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46179</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46179</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46179</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46179</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46179</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46179</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46179</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37901-2022</t>
        </is>
      </c>
      <c r="B14" s="1" t="n">
        <v>44811</v>
      </c>
      <c r="C14" s="1" t="n">
        <v>46179</v>
      </c>
      <c r="D14" t="inlineStr">
        <is>
          <t>KALMAR LÄN</t>
        </is>
      </c>
      <c r="E14" t="inlineStr">
        <is>
          <t>VIMMERBY</t>
        </is>
      </c>
      <c r="G14" t="n">
        <v>3.9</v>
      </c>
      <c r="H14" t="n">
        <v>1</v>
      </c>
      <c r="I14" t="n">
        <v>1</v>
      </c>
      <c r="J14" t="n">
        <v>1</v>
      </c>
      <c r="K14" t="n">
        <v>0</v>
      </c>
      <c r="L14" t="n">
        <v>0</v>
      </c>
      <c r="M14" t="n">
        <v>0</v>
      </c>
      <c r="N14" t="n">
        <v>0</v>
      </c>
      <c r="O14" t="n">
        <v>1</v>
      </c>
      <c r="P14" t="n">
        <v>0</v>
      </c>
      <c r="Q14" t="n">
        <v>3</v>
      </c>
      <c r="R14" s="2" t="inlineStr">
        <is>
          <t>Tallticka
Kornig nållav
Revlummer</t>
        </is>
      </c>
      <c r="S14">
        <f>HYPERLINK("https://klasma.github.io/Logging_0884/artfynd/A 37901-2022 artfynd.xlsx", "A 37901-2022")</f>
        <v/>
      </c>
      <c r="T14">
        <f>HYPERLINK("https://klasma.github.io/Logging_0884/kartor/A 37901-2022 karta.png", "A 37901-2022")</f>
        <v/>
      </c>
      <c r="V14">
        <f>HYPERLINK("https://klasma.github.io/Logging_0884/klagomål/A 37901-2022 FSC-klagomål.docx", "A 37901-2022")</f>
        <v/>
      </c>
      <c r="W14">
        <f>HYPERLINK("https://klasma.github.io/Logging_0884/klagomålsmail/A 37901-2022 FSC-klagomål mail.docx", "A 37901-2022")</f>
        <v/>
      </c>
      <c r="X14">
        <f>HYPERLINK("https://klasma.github.io/Logging_0884/tillsyn/A 37901-2022 tillsynsbegäran.docx", "A 37901-2022")</f>
        <v/>
      </c>
      <c r="Y14">
        <f>HYPERLINK("https://klasma.github.io/Logging_0884/tillsynsmail/A 37901-2022 tillsynsbegäran mail.docx", "A 37901-2022")</f>
        <v/>
      </c>
    </row>
    <row r="15" ht="15" customHeight="1">
      <c r="A15" t="inlineStr">
        <is>
          <t>A 57053-2025</t>
        </is>
      </c>
      <c r="B15" s="1" t="n">
        <v>45979.35256944445</v>
      </c>
      <c r="C15" s="1" t="n">
        <v>46179</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15427-2023</t>
        </is>
      </c>
      <c r="B16" s="1" t="n">
        <v>45020</v>
      </c>
      <c r="C16" s="1" t="n">
        <v>46179</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46179</v>
      </c>
      <c r="D17" t="inlineStr">
        <is>
          <t>KALMAR LÄN</t>
        </is>
      </c>
      <c r="E17" t="inlineStr">
        <is>
          <t>VIMMERBY</t>
        </is>
      </c>
      <c r="G17" t="n">
        <v>5.4</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41398-2021</t>
        </is>
      </c>
      <c r="B18" s="1" t="n">
        <v>44424</v>
      </c>
      <c r="C18" s="1" t="n">
        <v>46179</v>
      </c>
      <c r="D18" t="inlineStr">
        <is>
          <t>KALMAR LÄN</t>
        </is>
      </c>
      <c r="E18" t="inlineStr">
        <is>
          <t>VIMMERBY</t>
        </is>
      </c>
      <c r="G18" t="n">
        <v>14.1</v>
      </c>
      <c r="H18" t="n">
        <v>0</v>
      </c>
      <c r="I18" t="n">
        <v>0</v>
      </c>
      <c r="J18" t="n">
        <v>2</v>
      </c>
      <c r="K18" t="n">
        <v>0</v>
      </c>
      <c r="L18" t="n">
        <v>0</v>
      </c>
      <c r="M18" t="n">
        <v>0</v>
      </c>
      <c r="N18" t="n">
        <v>0</v>
      </c>
      <c r="O18" t="n">
        <v>2</v>
      </c>
      <c r="P18" t="n">
        <v>0</v>
      </c>
      <c r="Q18" t="n">
        <v>2</v>
      </c>
      <c r="R18" s="2" t="inlineStr">
        <is>
          <t>Klasefibbla
Sommarfibbla</t>
        </is>
      </c>
      <c r="S18">
        <f>HYPERLINK("https://klasma.github.io/Logging_0884/artfynd/A 41398-2021 artfynd.xlsx", "A 41398-2021")</f>
        <v/>
      </c>
      <c r="T18">
        <f>HYPERLINK("https://klasma.github.io/Logging_0884/kartor/A 41398-2021 karta.png", "A 41398-2021")</f>
        <v/>
      </c>
      <c r="V18">
        <f>HYPERLINK("https://klasma.github.io/Logging_0884/klagomål/A 41398-2021 FSC-klagomål.docx", "A 41398-2021")</f>
        <v/>
      </c>
      <c r="W18">
        <f>HYPERLINK("https://klasma.github.io/Logging_0884/klagomålsmail/A 41398-2021 FSC-klagomål mail.docx", "A 41398-2021")</f>
        <v/>
      </c>
      <c r="X18">
        <f>HYPERLINK("https://klasma.github.io/Logging_0884/tillsyn/A 41398-2021 tillsynsbegäran.docx", "A 41398-2021")</f>
        <v/>
      </c>
      <c r="Y18">
        <f>HYPERLINK("https://klasma.github.io/Logging_0884/tillsynsmail/A 41398-2021 tillsynsbegäran mail.docx", "A 41398-2021")</f>
        <v/>
      </c>
    </row>
    <row r="19" ht="15" customHeight="1">
      <c r="A19" t="inlineStr">
        <is>
          <t>A 42141-2021</t>
        </is>
      </c>
      <c r="B19" s="1" t="n">
        <v>44426.64793981481</v>
      </c>
      <c r="C19" s="1" t="n">
        <v>46179</v>
      </c>
      <c r="D19" t="inlineStr">
        <is>
          <t>KALMAR LÄN</t>
        </is>
      </c>
      <c r="E19" t="inlineStr">
        <is>
          <t>VIMMERBY</t>
        </is>
      </c>
      <c r="G19" t="n">
        <v>6.8</v>
      </c>
      <c r="H19" t="n">
        <v>2</v>
      </c>
      <c r="I19" t="n">
        <v>0</v>
      </c>
      <c r="J19" t="n">
        <v>0</v>
      </c>
      <c r="K19" t="n">
        <v>0</v>
      </c>
      <c r="L19" t="n">
        <v>0</v>
      </c>
      <c r="M19" t="n">
        <v>0</v>
      </c>
      <c r="N19" t="n">
        <v>0</v>
      </c>
      <c r="O19" t="n">
        <v>0</v>
      </c>
      <c r="P19" t="n">
        <v>0</v>
      </c>
      <c r="Q19" t="n">
        <v>2</v>
      </c>
      <c r="R19" s="2" t="inlineStr">
        <is>
          <t>Grönvit nattviol
Nattviol</t>
        </is>
      </c>
      <c r="S19">
        <f>HYPERLINK("https://klasma.github.io/Logging_0884/artfynd/A 42141-2021 artfynd.xlsx", "A 42141-2021")</f>
        <v/>
      </c>
      <c r="T19">
        <f>HYPERLINK("https://klasma.github.io/Logging_0884/kartor/A 42141-2021 karta.png", "A 42141-2021")</f>
        <v/>
      </c>
      <c r="V19">
        <f>HYPERLINK("https://klasma.github.io/Logging_0884/klagomål/A 42141-2021 FSC-klagomål.docx", "A 42141-2021")</f>
        <v/>
      </c>
      <c r="W19">
        <f>HYPERLINK("https://klasma.github.io/Logging_0884/klagomålsmail/A 42141-2021 FSC-klagomål mail.docx", "A 42141-2021")</f>
        <v/>
      </c>
      <c r="X19">
        <f>HYPERLINK("https://klasma.github.io/Logging_0884/tillsyn/A 42141-2021 tillsynsbegäran.docx", "A 42141-2021")</f>
        <v/>
      </c>
      <c r="Y19">
        <f>HYPERLINK("https://klasma.github.io/Logging_0884/tillsynsmail/A 42141-2021 tillsynsbegäran mail.docx", "A 42141-2021")</f>
        <v/>
      </c>
    </row>
    <row r="20" ht="15" customHeight="1">
      <c r="A20" t="inlineStr">
        <is>
          <t>A 36077-2021</t>
        </is>
      </c>
      <c r="B20" s="1" t="n">
        <v>44386</v>
      </c>
      <c r="C20" s="1" t="n">
        <v>46179</v>
      </c>
      <c r="D20" t="inlineStr">
        <is>
          <t>KALMAR LÄN</t>
        </is>
      </c>
      <c r="E20" t="inlineStr">
        <is>
          <t>VIMMERBY</t>
        </is>
      </c>
      <c r="G20" t="n">
        <v>2</v>
      </c>
      <c r="H20" t="n">
        <v>1</v>
      </c>
      <c r="I20" t="n">
        <v>1</v>
      </c>
      <c r="J20" t="n">
        <v>0</v>
      </c>
      <c r="K20" t="n">
        <v>1</v>
      </c>
      <c r="L20" t="n">
        <v>0</v>
      </c>
      <c r="M20" t="n">
        <v>0</v>
      </c>
      <c r="N20" t="n">
        <v>0</v>
      </c>
      <c r="O20" t="n">
        <v>1</v>
      </c>
      <c r="P20" t="n">
        <v>1</v>
      </c>
      <c r="Q20" t="n">
        <v>2</v>
      </c>
      <c r="R20" s="2" t="inlineStr">
        <is>
          <t>Knärot
Kattfotslav</t>
        </is>
      </c>
      <c r="S20">
        <f>HYPERLINK("https://klasma.github.io/Logging_0884/artfynd/A 36077-2021 artfynd.xlsx", "A 36077-2021")</f>
        <v/>
      </c>
      <c r="T20">
        <f>HYPERLINK("https://klasma.github.io/Logging_0884/kartor/A 36077-2021 karta.png", "A 36077-2021")</f>
        <v/>
      </c>
      <c r="U20">
        <f>HYPERLINK("https://klasma.github.io/Logging_0884/knärot/A 36077-2021 karta knärot.png", "A 36077-2021")</f>
        <v/>
      </c>
      <c r="V20">
        <f>HYPERLINK("https://klasma.github.io/Logging_0884/klagomål/A 36077-2021 FSC-klagomål.docx", "A 36077-2021")</f>
        <v/>
      </c>
      <c r="W20">
        <f>HYPERLINK("https://klasma.github.io/Logging_0884/klagomålsmail/A 36077-2021 FSC-klagomål mail.docx", "A 36077-2021")</f>
        <v/>
      </c>
      <c r="X20">
        <f>HYPERLINK("https://klasma.github.io/Logging_0884/tillsyn/A 36077-2021 tillsynsbegäran.docx", "A 36077-2021")</f>
        <v/>
      </c>
      <c r="Y20">
        <f>HYPERLINK("https://klasma.github.io/Logging_0884/tillsynsmail/A 36077-2021 tillsynsbegäran mail.docx", "A 36077-2021")</f>
        <v/>
      </c>
    </row>
    <row r="21" ht="15" customHeight="1">
      <c r="A21" t="inlineStr">
        <is>
          <t>A 40684-2025</t>
        </is>
      </c>
      <c r="B21" s="1" t="n">
        <v>45896.86820601852</v>
      </c>
      <c r="C21" s="1" t="n">
        <v>46179</v>
      </c>
      <c r="D21" t="inlineStr">
        <is>
          <t>KALMAR LÄN</t>
        </is>
      </c>
      <c r="E21" t="inlineStr">
        <is>
          <t>VIMMERBY</t>
        </is>
      </c>
      <c r="G21" t="n">
        <v>4.4</v>
      </c>
      <c r="H21" t="n">
        <v>2</v>
      </c>
      <c r="I21" t="n">
        <v>0</v>
      </c>
      <c r="J21" t="n">
        <v>1</v>
      </c>
      <c r="K21" t="n">
        <v>0</v>
      </c>
      <c r="L21" t="n">
        <v>0</v>
      </c>
      <c r="M21" t="n">
        <v>0</v>
      </c>
      <c r="N21" t="n">
        <v>0</v>
      </c>
      <c r="O21" t="n">
        <v>1</v>
      </c>
      <c r="P21" t="n">
        <v>0</v>
      </c>
      <c r="Q21" t="n">
        <v>2</v>
      </c>
      <c r="R21" s="2" t="inlineStr">
        <is>
          <t>Talltita
Kungsfågel</t>
        </is>
      </c>
      <c r="S21">
        <f>HYPERLINK("https://klasma.github.io/Logging_0884/artfynd/A 40684-2025 artfynd.xlsx", "A 40684-2025")</f>
        <v/>
      </c>
      <c r="T21">
        <f>HYPERLINK("https://klasma.github.io/Logging_0884/kartor/A 40684-2025 karta.png", "A 40684-2025")</f>
        <v/>
      </c>
      <c r="V21">
        <f>HYPERLINK("https://klasma.github.io/Logging_0884/klagomål/A 40684-2025 FSC-klagomål.docx", "A 40684-2025")</f>
        <v/>
      </c>
      <c r="W21">
        <f>HYPERLINK("https://klasma.github.io/Logging_0884/klagomålsmail/A 40684-2025 FSC-klagomål mail.docx", "A 40684-2025")</f>
        <v/>
      </c>
      <c r="X21">
        <f>HYPERLINK("https://klasma.github.io/Logging_0884/tillsyn/A 40684-2025 tillsynsbegäran.docx", "A 40684-2025")</f>
        <v/>
      </c>
      <c r="Y21">
        <f>HYPERLINK("https://klasma.github.io/Logging_0884/tillsynsmail/A 40684-2025 tillsynsbegäran mail.docx", "A 40684-2025")</f>
        <v/>
      </c>
      <c r="Z21">
        <f>HYPERLINK("https://klasma.github.io/Logging_0884/fåglar/A 40684-2025 prioriterade fågelarter.docx", "A 40684-2025")</f>
        <v/>
      </c>
    </row>
    <row r="22" ht="15" customHeight="1">
      <c r="A22" t="inlineStr">
        <is>
          <t>A 42802-2025</t>
        </is>
      </c>
      <c r="B22" s="1" t="n">
        <v>45908</v>
      </c>
      <c r="C22" s="1" t="n">
        <v>46179</v>
      </c>
      <c r="D22" t="inlineStr">
        <is>
          <t>KALMAR LÄN</t>
        </is>
      </c>
      <c r="E22" t="inlineStr">
        <is>
          <t>VIMMERBY</t>
        </is>
      </c>
      <c r="G22" t="n">
        <v>2.8</v>
      </c>
      <c r="H22" t="n">
        <v>1</v>
      </c>
      <c r="I22" t="n">
        <v>1</v>
      </c>
      <c r="J22" t="n">
        <v>0</v>
      </c>
      <c r="K22" t="n">
        <v>0</v>
      </c>
      <c r="L22" t="n">
        <v>0</v>
      </c>
      <c r="M22" t="n">
        <v>0</v>
      </c>
      <c r="N22" t="n">
        <v>0</v>
      </c>
      <c r="O22" t="n">
        <v>0</v>
      </c>
      <c r="P22" t="n">
        <v>0</v>
      </c>
      <c r="Q22" t="n">
        <v>2</v>
      </c>
      <c r="R22" s="2" t="inlineStr">
        <is>
          <t>Tibast
Fläcknycklar</t>
        </is>
      </c>
      <c r="S22">
        <f>HYPERLINK("https://klasma.github.io/Logging_0884/artfynd/A 42802-2025 artfynd.xlsx", "A 42802-2025")</f>
        <v/>
      </c>
      <c r="T22">
        <f>HYPERLINK("https://klasma.github.io/Logging_0884/kartor/A 42802-2025 karta.png", "A 42802-2025")</f>
        <v/>
      </c>
      <c r="V22">
        <f>HYPERLINK("https://klasma.github.io/Logging_0884/klagomål/A 42802-2025 FSC-klagomål.docx", "A 42802-2025")</f>
        <v/>
      </c>
      <c r="W22">
        <f>HYPERLINK("https://klasma.github.io/Logging_0884/klagomålsmail/A 42802-2025 FSC-klagomål mail.docx", "A 42802-2025")</f>
        <v/>
      </c>
      <c r="X22">
        <f>HYPERLINK("https://klasma.github.io/Logging_0884/tillsyn/A 42802-2025 tillsynsbegäran.docx", "A 42802-2025")</f>
        <v/>
      </c>
      <c r="Y22">
        <f>HYPERLINK("https://klasma.github.io/Logging_0884/tillsynsmail/A 42802-2025 tillsynsbegäran mail.docx", "A 42802-2025")</f>
        <v/>
      </c>
    </row>
    <row r="23" ht="15" customHeight="1">
      <c r="A23" t="inlineStr">
        <is>
          <t>A 2518-2023</t>
        </is>
      </c>
      <c r="B23" s="1" t="n">
        <v>44943</v>
      </c>
      <c r="C23" s="1" t="n">
        <v>46179</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46179</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22825-2023</t>
        </is>
      </c>
      <c r="B25" s="1" t="n">
        <v>45072</v>
      </c>
      <c r="C25" s="1" t="n">
        <v>46179</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19158-2023</t>
        </is>
      </c>
      <c r="B26" s="1" t="n">
        <v>45048</v>
      </c>
      <c r="C26" s="1" t="n">
        <v>46179</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14426-2026</t>
        </is>
      </c>
      <c r="B27" s="1" t="n">
        <v>46100.46956018519</v>
      </c>
      <c r="C27" s="1" t="n">
        <v>46179</v>
      </c>
      <c r="D27" t="inlineStr">
        <is>
          <t>KALMAR LÄN</t>
        </is>
      </c>
      <c r="E27" t="inlineStr">
        <is>
          <t>VIMMERBY</t>
        </is>
      </c>
      <c r="F27" t="inlineStr">
        <is>
          <t>Kyrkan</t>
        </is>
      </c>
      <c r="G27" t="n">
        <v>8.6</v>
      </c>
      <c r="H27" t="n">
        <v>1</v>
      </c>
      <c r="I27" t="n">
        <v>0</v>
      </c>
      <c r="J27" t="n">
        <v>1</v>
      </c>
      <c r="K27" t="n">
        <v>1</v>
      </c>
      <c r="L27" t="n">
        <v>0</v>
      </c>
      <c r="M27" t="n">
        <v>0</v>
      </c>
      <c r="N27" t="n">
        <v>0</v>
      </c>
      <c r="O27" t="n">
        <v>2</v>
      </c>
      <c r="P27" t="n">
        <v>1</v>
      </c>
      <c r="Q27" t="n">
        <v>2</v>
      </c>
      <c r="R27" s="2" t="inlineStr">
        <is>
          <t>Knärot
Tallticka</t>
        </is>
      </c>
      <c r="S27">
        <f>HYPERLINK("https://klasma.github.io/Logging_0884/artfynd/A 14426-2026 artfynd.xlsx", "A 14426-2026")</f>
        <v/>
      </c>
      <c r="T27">
        <f>HYPERLINK("https://klasma.github.io/Logging_0884/kartor/A 14426-2026 karta.png", "A 14426-2026")</f>
        <v/>
      </c>
      <c r="U27">
        <f>HYPERLINK("https://klasma.github.io/Logging_0884/knärot/A 14426-2026 karta knärot.png", "A 14426-2026")</f>
        <v/>
      </c>
      <c r="V27">
        <f>HYPERLINK("https://klasma.github.io/Logging_0884/klagomål/A 14426-2026 FSC-klagomål.docx", "A 14426-2026")</f>
        <v/>
      </c>
      <c r="W27">
        <f>HYPERLINK("https://klasma.github.io/Logging_0884/klagomålsmail/A 14426-2026 FSC-klagomål mail.docx", "A 14426-2026")</f>
        <v/>
      </c>
      <c r="X27">
        <f>HYPERLINK("https://klasma.github.io/Logging_0884/tillsyn/A 14426-2026 tillsynsbegäran.docx", "A 14426-2026")</f>
        <v/>
      </c>
      <c r="Y27">
        <f>HYPERLINK("https://klasma.github.io/Logging_0884/tillsynsmail/A 14426-2026 tillsynsbegäran mail.docx", "A 14426-2026")</f>
        <v/>
      </c>
    </row>
    <row r="28" ht="15" customHeight="1">
      <c r="A28" t="inlineStr">
        <is>
          <t>A 14024-2023</t>
        </is>
      </c>
      <c r="B28" s="1" t="n">
        <v>45008.60878472222</v>
      </c>
      <c r="C28" s="1" t="n">
        <v>46179</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25155-2026</t>
        </is>
      </c>
      <c r="B29" s="1" t="n">
        <v>46175.44809027778</v>
      </c>
      <c r="C29" s="1" t="n">
        <v>46179</v>
      </c>
      <c r="D29" t="inlineStr">
        <is>
          <t>KALMAR LÄN</t>
        </is>
      </c>
      <c r="E29" t="inlineStr">
        <is>
          <t>VIMMERBY</t>
        </is>
      </c>
      <c r="G29" t="n">
        <v>2.9</v>
      </c>
      <c r="H29" t="n">
        <v>0</v>
      </c>
      <c r="I29" t="n">
        <v>1</v>
      </c>
      <c r="J29" t="n">
        <v>0</v>
      </c>
      <c r="K29" t="n">
        <v>0</v>
      </c>
      <c r="L29" t="n">
        <v>1</v>
      </c>
      <c r="M29" t="n">
        <v>0</v>
      </c>
      <c r="N29" t="n">
        <v>0</v>
      </c>
      <c r="O29" t="n">
        <v>1</v>
      </c>
      <c r="P29" t="n">
        <v>1</v>
      </c>
      <c r="Q29" t="n">
        <v>2</v>
      </c>
      <c r="R29" s="2" t="inlineStr">
        <is>
          <t>Ryl
Grönpyrola</t>
        </is>
      </c>
      <c r="S29">
        <f>HYPERLINK("https://klasma.github.io/Logging_0884/artfynd/A 25155-2026 artfynd.xlsx", "A 25155-2026")</f>
        <v/>
      </c>
      <c r="T29">
        <f>HYPERLINK("https://klasma.github.io/Logging_0884/kartor/A 25155-2026 karta.png", "A 25155-2026")</f>
        <v/>
      </c>
      <c r="V29">
        <f>HYPERLINK("https://klasma.github.io/Logging_0884/klagomål/A 25155-2026 FSC-klagomål.docx", "A 25155-2026")</f>
        <v/>
      </c>
      <c r="W29">
        <f>HYPERLINK("https://klasma.github.io/Logging_0884/klagomålsmail/A 25155-2026 FSC-klagomål mail.docx", "A 25155-2026")</f>
        <v/>
      </c>
      <c r="X29">
        <f>HYPERLINK("https://klasma.github.io/Logging_0884/tillsyn/A 25155-2026 tillsynsbegäran.docx", "A 25155-2026")</f>
        <v/>
      </c>
      <c r="Y29">
        <f>HYPERLINK("https://klasma.github.io/Logging_0884/tillsynsmail/A 25155-2026 tillsynsbegäran mail.docx", "A 25155-2026")</f>
        <v/>
      </c>
    </row>
    <row r="30" ht="15" customHeight="1">
      <c r="A30" t="inlineStr">
        <is>
          <t>A 22396-2025</t>
        </is>
      </c>
      <c r="B30" s="1" t="n">
        <v>45786.52827546297</v>
      </c>
      <c r="C30" s="1" t="n">
        <v>46179</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46179</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46179</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1201-2025</t>
        </is>
      </c>
      <c r="B33" s="1" t="n">
        <v>45667</v>
      </c>
      <c r="C33" s="1" t="n">
        <v>46179</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29183-2025</t>
        </is>
      </c>
      <c r="B34" s="1" t="n">
        <v>45821</v>
      </c>
      <c r="C34" s="1" t="n">
        <v>46179</v>
      </c>
      <c r="D34" t="inlineStr">
        <is>
          <t>KALMAR LÄN</t>
        </is>
      </c>
      <c r="E34" t="inlineStr">
        <is>
          <t>VIMMERBY</t>
        </is>
      </c>
      <c r="G34" t="n">
        <v>2.7</v>
      </c>
      <c r="H34" t="n">
        <v>0</v>
      </c>
      <c r="I34" t="n">
        <v>1</v>
      </c>
      <c r="J34" t="n">
        <v>0</v>
      </c>
      <c r="K34" t="n">
        <v>0</v>
      </c>
      <c r="L34" t="n">
        <v>0</v>
      </c>
      <c r="M34" t="n">
        <v>0</v>
      </c>
      <c r="N34" t="n">
        <v>0</v>
      </c>
      <c r="O34" t="n">
        <v>0</v>
      </c>
      <c r="P34" t="n">
        <v>0</v>
      </c>
      <c r="Q34" t="n">
        <v>1</v>
      </c>
      <c r="R34" s="2" t="inlineStr">
        <is>
          <t>Sårläka</t>
        </is>
      </c>
      <c r="S34">
        <f>HYPERLINK("https://klasma.github.io/Logging_0884/artfynd/A 29183-2025 artfynd.xlsx", "A 29183-2025")</f>
        <v/>
      </c>
      <c r="T34">
        <f>HYPERLINK("https://klasma.github.io/Logging_0884/kartor/A 29183-2025 karta.png", "A 29183-2025")</f>
        <v/>
      </c>
      <c r="V34">
        <f>HYPERLINK("https://klasma.github.io/Logging_0884/klagomål/A 29183-2025 FSC-klagomål.docx", "A 29183-2025")</f>
        <v/>
      </c>
      <c r="W34">
        <f>HYPERLINK("https://klasma.github.io/Logging_0884/klagomålsmail/A 29183-2025 FSC-klagomål mail.docx", "A 29183-2025")</f>
        <v/>
      </c>
      <c r="X34">
        <f>HYPERLINK("https://klasma.github.io/Logging_0884/tillsyn/A 29183-2025 tillsynsbegäran.docx", "A 29183-2025")</f>
        <v/>
      </c>
      <c r="Y34">
        <f>HYPERLINK("https://klasma.github.io/Logging_0884/tillsynsmail/A 29183-2025 tillsynsbegäran mail.docx", "A 29183-2025")</f>
        <v/>
      </c>
    </row>
    <row r="35" ht="15" customHeight="1">
      <c r="A35" t="inlineStr">
        <is>
          <t>A 40083-2023</t>
        </is>
      </c>
      <c r="B35" s="1" t="n">
        <v>45168</v>
      </c>
      <c r="C35" s="1" t="n">
        <v>46179</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46179</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53404-2025</t>
        </is>
      </c>
      <c r="B37" s="1" t="n">
        <v>45959.57126157408</v>
      </c>
      <c r="C37" s="1" t="n">
        <v>46179</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55384-2025</t>
        </is>
      </c>
      <c r="B38" s="1" t="n">
        <v>45971.43178240741</v>
      </c>
      <c r="C38" s="1" t="n">
        <v>46179</v>
      </c>
      <c r="D38" t="inlineStr">
        <is>
          <t>KALMAR LÄN</t>
        </is>
      </c>
      <c r="E38" t="inlineStr">
        <is>
          <t>VIMMERBY</t>
        </is>
      </c>
      <c r="G38" t="n">
        <v>1.7</v>
      </c>
      <c r="H38" t="n">
        <v>1</v>
      </c>
      <c r="I38" t="n">
        <v>0</v>
      </c>
      <c r="J38" t="n">
        <v>1</v>
      </c>
      <c r="K38" t="n">
        <v>0</v>
      </c>
      <c r="L38" t="n">
        <v>0</v>
      </c>
      <c r="M38" t="n">
        <v>0</v>
      </c>
      <c r="N38" t="n">
        <v>0</v>
      </c>
      <c r="O38" t="n">
        <v>1</v>
      </c>
      <c r="P38" t="n">
        <v>0</v>
      </c>
      <c r="Q38" t="n">
        <v>1</v>
      </c>
      <c r="R38" s="2" t="inlineStr">
        <is>
          <t>Talltita</t>
        </is>
      </c>
      <c r="S38">
        <f>HYPERLINK("https://klasma.github.io/Logging_0884/artfynd/A 55384-2025 artfynd.xlsx", "A 55384-2025")</f>
        <v/>
      </c>
      <c r="T38">
        <f>HYPERLINK("https://klasma.github.io/Logging_0884/kartor/A 55384-2025 karta.png", "A 55384-2025")</f>
        <v/>
      </c>
      <c r="V38">
        <f>HYPERLINK("https://klasma.github.io/Logging_0884/klagomål/A 55384-2025 FSC-klagomål.docx", "A 55384-2025")</f>
        <v/>
      </c>
      <c r="W38">
        <f>HYPERLINK("https://klasma.github.io/Logging_0884/klagomålsmail/A 55384-2025 FSC-klagomål mail.docx", "A 55384-2025")</f>
        <v/>
      </c>
      <c r="X38">
        <f>HYPERLINK("https://klasma.github.io/Logging_0884/tillsyn/A 55384-2025 tillsynsbegäran.docx", "A 55384-2025")</f>
        <v/>
      </c>
      <c r="Y38">
        <f>HYPERLINK("https://klasma.github.io/Logging_0884/tillsynsmail/A 55384-2025 tillsynsbegäran mail.docx", "A 55384-2025")</f>
        <v/>
      </c>
      <c r="Z38">
        <f>HYPERLINK("https://klasma.github.io/Logging_0884/fåglar/A 55384-2025 prioriterade fågelarter.docx", "A 55384-2025")</f>
        <v/>
      </c>
    </row>
    <row r="39" ht="15" customHeight="1">
      <c r="A39" t="inlineStr">
        <is>
          <t>A 57062-2025</t>
        </is>
      </c>
      <c r="B39" s="1" t="n">
        <v>45979.37598379629</v>
      </c>
      <c r="C39" s="1" t="n">
        <v>46179</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23602-2023</t>
        </is>
      </c>
      <c r="B40" s="1" t="n">
        <v>45077</v>
      </c>
      <c r="C40" s="1" t="n">
        <v>46179</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61860-2024</t>
        </is>
      </c>
      <c r="B41" s="1" t="n">
        <v>45649</v>
      </c>
      <c r="C41" s="1" t="n">
        <v>46179</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15122-2024</t>
        </is>
      </c>
      <c r="B42" s="1" t="n">
        <v>45399.71412037037</v>
      </c>
      <c r="C42" s="1" t="n">
        <v>46179</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46179</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46179</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45574.42767361111</v>
      </c>
      <c r="C45" s="1" t="n">
        <v>46179</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9067-2025</t>
        </is>
      </c>
      <c r="B46" s="1" t="n">
        <v>45713</v>
      </c>
      <c r="C46" s="1" t="n">
        <v>46179</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52301-2023</t>
        </is>
      </c>
      <c r="B47" s="1" t="n">
        <v>45224</v>
      </c>
      <c r="C47" s="1" t="n">
        <v>46179</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46179</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53400-2025</t>
        </is>
      </c>
      <c r="B49" s="1" t="n">
        <v>45959.56684027778</v>
      </c>
      <c r="C49" s="1" t="n">
        <v>46179</v>
      </c>
      <c r="D49" t="inlineStr">
        <is>
          <t>KALMAR LÄN</t>
        </is>
      </c>
      <c r="E49" t="inlineStr">
        <is>
          <t>VIMMERBY</t>
        </is>
      </c>
      <c r="G49" t="n">
        <v>9.199999999999999</v>
      </c>
      <c r="H49" t="n">
        <v>1</v>
      </c>
      <c r="I49" t="n">
        <v>0</v>
      </c>
      <c r="J49" t="n">
        <v>0</v>
      </c>
      <c r="K49" t="n">
        <v>1</v>
      </c>
      <c r="L49" t="n">
        <v>0</v>
      </c>
      <c r="M49" t="n">
        <v>0</v>
      </c>
      <c r="N49" t="n">
        <v>0</v>
      </c>
      <c r="O49" t="n">
        <v>1</v>
      </c>
      <c r="P49" t="n">
        <v>1</v>
      </c>
      <c r="Q49" t="n">
        <v>1</v>
      </c>
      <c r="R49" s="2" t="inlineStr">
        <is>
          <t>Knärot</t>
        </is>
      </c>
      <c r="S49">
        <f>HYPERLINK("https://klasma.github.io/Logging_0884/artfynd/A 53400-2025 artfynd.xlsx", "A 53400-2025")</f>
        <v/>
      </c>
      <c r="T49">
        <f>HYPERLINK("https://klasma.github.io/Logging_0884/kartor/A 53400-2025 karta.png", "A 53400-2025")</f>
        <v/>
      </c>
      <c r="U49">
        <f>HYPERLINK("https://klasma.github.io/Logging_0884/knärot/A 53400-2025 karta knärot.png", "A 53400-2025")</f>
        <v/>
      </c>
      <c r="V49">
        <f>HYPERLINK("https://klasma.github.io/Logging_0884/klagomål/A 53400-2025 FSC-klagomål.docx", "A 53400-2025")</f>
        <v/>
      </c>
      <c r="W49">
        <f>HYPERLINK("https://klasma.github.io/Logging_0884/klagomålsmail/A 53400-2025 FSC-klagomål mail.docx", "A 53400-2025")</f>
        <v/>
      </c>
      <c r="X49">
        <f>HYPERLINK("https://klasma.github.io/Logging_0884/tillsyn/A 53400-2025 tillsynsbegäran.docx", "A 53400-2025")</f>
        <v/>
      </c>
      <c r="Y49">
        <f>HYPERLINK("https://klasma.github.io/Logging_0884/tillsynsmail/A 53400-2025 tillsynsbegäran mail.docx", "A 53400-2025")</f>
        <v/>
      </c>
    </row>
    <row r="50" ht="15" customHeight="1">
      <c r="A50" t="inlineStr">
        <is>
          <t>A 59070-2021</t>
        </is>
      </c>
      <c r="B50" s="1" t="n">
        <v>44490.38613425926</v>
      </c>
      <c r="C50" s="1" t="n">
        <v>46179</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56754-2021</t>
        </is>
      </c>
      <c r="B51" s="1" t="n">
        <v>44481.47483796296</v>
      </c>
      <c r="C51" s="1" t="n">
        <v>46179</v>
      </c>
      <c r="D51" t="inlineStr">
        <is>
          <t>KALMAR LÄN</t>
        </is>
      </c>
      <c r="E51" t="inlineStr">
        <is>
          <t>VIMMERBY</t>
        </is>
      </c>
      <c r="G51" t="n">
        <v>1.4</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46179</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32607-2021</t>
        </is>
      </c>
      <c r="B53" s="1" t="n">
        <v>44375.39033564815</v>
      </c>
      <c r="C53" s="1" t="n">
        <v>46179</v>
      </c>
      <c r="D53" t="inlineStr">
        <is>
          <t>KALMAR LÄN</t>
        </is>
      </c>
      <c r="E53" t="inlineStr">
        <is>
          <t>VIMMERBY</t>
        </is>
      </c>
      <c r="G53" t="n">
        <v>0.4</v>
      </c>
      <c r="H53" t="n">
        <v>0</v>
      </c>
      <c r="I53" t="n">
        <v>0</v>
      </c>
      <c r="J53" t="n">
        <v>0</v>
      </c>
      <c r="K53" t="n">
        <v>0</v>
      </c>
      <c r="L53" t="n">
        <v>0</v>
      </c>
      <c r="M53" t="n">
        <v>0</v>
      </c>
      <c r="N53" t="n">
        <v>0</v>
      </c>
      <c r="O53" t="n">
        <v>0</v>
      </c>
      <c r="P53" t="n">
        <v>0</v>
      </c>
      <c r="Q53" t="n">
        <v>0</v>
      </c>
      <c r="R53" s="2" t="inlineStr"/>
    </row>
    <row r="54" ht="15" customHeight="1">
      <c r="A54" t="inlineStr">
        <is>
          <t>A 8908-2022</t>
        </is>
      </c>
      <c r="B54" s="1" t="n">
        <v>44614</v>
      </c>
      <c r="C54" s="1" t="n">
        <v>46179</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16283-2022</t>
        </is>
      </c>
      <c r="B55" s="1" t="n">
        <v>44670</v>
      </c>
      <c r="C55" s="1" t="n">
        <v>46179</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16288-2022</t>
        </is>
      </c>
      <c r="B56" s="1" t="n">
        <v>44670</v>
      </c>
      <c r="C56" s="1" t="n">
        <v>46179</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63926-2021</t>
        </is>
      </c>
      <c r="B57" s="1" t="n">
        <v>44509</v>
      </c>
      <c r="C57" s="1" t="n">
        <v>46179</v>
      </c>
      <c r="D57" t="inlineStr">
        <is>
          <t>KALMAR LÄN</t>
        </is>
      </c>
      <c r="E57" t="inlineStr">
        <is>
          <t>VIMMERBY</t>
        </is>
      </c>
      <c r="G57" t="n">
        <v>0.7</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46179</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46179</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3426-2022</t>
        </is>
      </c>
      <c r="B60" s="1" t="n">
        <v>44585.51829861111</v>
      </c>
      <c r="C60" s="1" t="n">
        <v>46179</v>
      </c>
      <c r="D60" t="inlineStr">
        <is>
          <t>KALMAR LÄN</t>
        </is>
      </c>
      <c r="E60" t="inlineStr">
        <is>
          <t>VIMMERBY</t>
        </is>
      </c>
      <c r="G60" t="n">
        <v>1.8</v>
      </c>
      <c r="H60" t="n">
        <v>0</v>
      </c>
      <c r="I60" t="n">
        <v>0</v>
      </c>
      <c r="J60" t="n">
        <v>0</v>
      </c>
      <c r="K60" t="n">
        <v>0</v>
      </c>
      <c r="L60" t="n">
        <v>0</v>
      </c>
      <c r="M60" t="n">
        <v>0</v>
      </c>
      <c r="N60" t="n">
        <v>0</v>
      </c>
      <c r="O60" t="n">
        <v>0</v>
      </c>
      <c r="P60" t="n">
        <v>0</v>
      </c>
      <c r="Q60" t="n">
        <v>0</v>
      </c>
      <c r="R60" s="2" t="inlineStr"/>
    </row>
    <row r="61" ht="15" customHeight="1">
      <c r="A61" t="inlineStr">
        <is>
          <t>A 40728-2022</t>
        </is>
      </c>
      <c r="B61" s="1" t="n">
        <v>44824.53434027778</v>
      </c>
      <c r="C61" s="1" t="n">
        <v>46179</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46179</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44785.40800925926</v>
      </c>
      <c r="C63" s="1" t="n">
        <v>46179</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41438-2022</t>
        </is>
      </c>
      <c r="B64" s="1" t="n">
        <v>44826.68010416667</v>
      </c>
      <c r="C64" s="1" t="n">
        <v>46179</v>
      </c>
      <c r="D64" t="inlineStr">
        <is>
          <t>KALMAR LÄN</t>
        </is>
      </c>
      <c r="E64" t="inlineStr">
        <is>
          <t>VIMMERBY</t>
        </is>
      </c>
      <c r="G64" t="n">
        <v>3.1</v>
      </c>
      <c r="H64" t="n">
        <v>0</v>
      </c>
      <c r="I64" t="n">
        <v>0</v>
      </c>
      <c r="J64" t="n">
        <v>0</v>
      </c>
      <c r="K64" t="n">
        <v>0</v>
      </c>
      <c r="L64" t="n">
        <v>0</v>
      </c>
      <c r="M64" t="n">
        <v>0</v>
      </c>
      <c r="N64" t="n">
        <v>0</v>
      </c>
      <c r="O64" t="n">
        <v>0</v>
      </c>
      <c r="P64" t="n">
        <v>0</v>
      </c>
      <c r="Q64" t="n">
        <v>0</v>
      </c>
      <c r="R64" s="2" t="inlineStr"/>
    </row>
    <row r="65" ht="15" customHeight="1">
      <c r="A65" t="inlineStr">
        <is>
          <t>A 2183-2022</t>
        </is>
      </c>
      <c r="B65" s="1" t="n">
        <v>44578.47597222222</v>
      </c>
      <c r="C65" s="1" t="n">
        <v>46179</v>
      </c>
      <c r="D65" t="inlineStr">
        <is>
          <t>KALMAR LÄN</t>
        </is>
      </c>
      <c r="E65" t="inlineStr">
        <is>
          <t>VIMMERBY</t>
        </is>
      </c>
      <c r="G65" t="n">
        <v>4.8</v>
      </c>
      <c r="H65" t="n">
        <v>0</v>
      </c>
      <c r="I65" t="n">
        <v>0</v>
      </c>
      <c r="J65" t="n">
        <v>0</v>
      </c>
      <c r="K65" t="n">
        <v>0</v>
      </c>
      <c r="L65" t="n">
        <v>0</v>
      </c>
      <c r="M65" t="n">
        <v>0</v>
      </c>
      <c r="N65" t="n">
        <v>0</v>
      </c>
      <c r="O65" t="n">
        <v>0</v>
      </c>
      <c r="P65" t="n">
        <v>0</v>
      </c>
      <c r="Q65" t="n">
        <v>0</v>
      </c>
      <c r="R65" s="2" t="inlineStr"/>
    </row>
    <row r="66" ht="15" customHeight="1">
      <c r="A66" t="inlineStr">
        <is>
          <t>A 65670-2021</t>
        </is>
      </c>
      <c r="B66" s="1" t="n">
        <v>44516.59703703703</v>
      </c>
      <c r="C66" s="1" t="n">
        <v>46179</v>
      </c>
      <c r="D66" t="inlineStr">
        <is>
          <t>KALMAR LÄN</t>
        </is>
      </c>
      <c r="E66" t="inlineStr">
        <is>
          <t>VIMMERBY</t>
        </is>
      </c>
      <c r="G66" t="n">
        <v>1.9</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46179</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46179</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46179</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44404.87505787037</v>
      </c>
      <c r="C70" s="1" t="n">
        <v>46179</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44483.58295138889</v>
      </c>
      <c r="C71" s="1" t="n">
        <v>46179</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46179</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44542.8859375</v>
      </c>
      <c r="C73" s="1" t="n">
        <v>46179</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27762-2021</t>
        </is>
      </c>
      <c r="B74" s="1" t="n">
        <v>44354</v>
      </c>
      <c r="C74" s="1" t="n">
        <v>46179</v>
      </c>
      <c r="D74" t="inlineStr">
        <is>
          <t>KALMAR LÄN</t>
        </is>
      </c>
      <c r="E74" t="inlineStr">
        <is>
          <t>VIMMERBY</t>
        </is>
      </c>
      <c r="G74" t="n">
        <v>1.4</v>
      </c>
      <c r="H74" t="n">
        <v>0</v>
      </c>
      <c r="I74" t="n">
        <v>0</v>
      </c>
      <c r="J74" t="n">
        <v>0</v>
      </c>
      <c r="K74" t="n">
        <v>0</v>
      </c>
      <c r="L74" t="n">
        <v>0</v>
      </c>
      <c r="M74" t="n">
        <v>0</v>
      </c>
      <c r="N74" t="n">
        <v>0</v>
      </c>
      <c r="O74" t="n">
        <v>0</v>
      </c>
      <c r="P74" t="n">
        <v>0</v>
      </c>
      <c r="Q74" t="n">
        <v>0</v>
      </c>
      <c r="R74" s="2" t="inlineStr"/>
    </row>
    <row r="75" ht="15" customHeight="1">
      <c r="A75" t="inlineStr">
        <is>
          <t>A 64923-2021</t>
        </is>
      </c>
      <c r="B75" s="1" t="n">
        <v>44512.70245370371</v>
      </c>
      <c r="C75" s="1" t="n">
        <v>46179</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33829-2022</t>
        </is>
      </c>
      <c r="B76" s="1" t="n">
        <v>44790</v>
      </c>
      <c r="C76" s="1" t="n">
        <v>46179</v>
      </c>
      <c r="D76" t="inlineStr">
        <is>
          <t>KALMAR LÄN</t>
        </is>
      </c>
      <c r="E76" t="inlineStr">
        <is>
          <t>VIMMERBY</t>
        </is>
      </c>
      <c r="G76" t="n">
        <v>1.6</v>
      </c>
      <c r="H76" t="n">
        <v>0</v>
      </c>
      <c r="I76" t="n">
        <v>0</v>
      </c>
      <c r="J76" t="n">
        <v>0</v>
      </c>
      <c r="K76" t="n">
        <v>0</v>
      </c>
      <c r="L76" t="n">
        <v>0</v>
      </c>
      <c r="M76" t="n">
        <v>0</v>
      </c>
      <c r="N76" t="n">
        <v>0</v>
      </c>
      <c r="O76" t="n">
        <v>0</v>
      </c>
      <c r="P76" t="n">
        <v>0</v>
      </c>
      <c r="Q76" t="n">
        <v>0</v>
      </c>
      <c r="R76" s="2" t="inlineStr"/>
    </row>
    <row r="77" ht="15" customHeight="1">
      <c r="A77" t="inlineStr">
        <is>
          <t>A 68840-2021</t>
        </is>
      </c>
      <c r="B77" s="1" t="n">
        <v>44530.38055555556</v>
      </c>
      <c r="C77" s="1" t="n">
        <v>46179</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46179</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46179</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46179</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44790.47628472222</v>
      </c>
      <c r="C81" s="1" t="n">
        <v>46179</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46179</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46179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44410.71038194445</v>
      </c>
      <c r="C84" s="1" t="n">
        <v>46179</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46179</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30682-2021</t>
        </is>
      </c>
      <c r="B86" s="1" t="n">
        <v>44365</v>
      </c>
      <c r="C86" s="1" t="n">
        <v>46179</v>
      </c>
      <c r="D86" t="inlineStr">
        <is>
          <t>KALMAR LÄN</t>
        </is>
      </c>
      <c r="E86" t="inlineStr">
        <is>
          <t>VIMMERBY</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25049-2022</t>
        </is>
      </c>
      <c r="B87" s="1" t="n">
        <v>44729.28226851852</v>
      </c>
      <c r="C87" s="1" t="n">
        <v>46179</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46179</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46179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46179</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44371.62743055556</v>
      </c>
      <c r="C91" s="1" t="n">
        <v>46179</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44386.40783564815</v>
      </c>
      <c r="C92" s="1" t="n">
        <v>46179</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46179</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44463.29439814815</v>
      </c>
      <c r="C94" s="1" t="n">
        <v>46179</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46179</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46179</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46179</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46179</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44634.69703703704</v>
      </c>
      <c r="C99" s="1" t="n">
        <v>46179</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46179</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44769.45422453704</v>
      </c>
      <c r="C101" s="1" t="n">
        <v>46179</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44612.86762731482</v>
      </c>
      <c r="C102" s="1" t="n">
        <v>46179</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46179</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46179</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47208-2021</t>
        </is>
      </c>
      <c r="B105" s="1" t="n">
        <v>44447.34237268518</v>
      </c>
      <c r="C105" s="1" t="n">
        <v>46179</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7917-2022</t>
        </is>
      </c>
      <c r="B106" s="1" t="n">
        <v>44608</v>
      </c>
      <c r="C106" s="1" t="n">
        <v>46179</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46179</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44525.63913194444</v>
      </c>
      <c r="C108" s="1" t="n">
        <v>46179</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46179</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46179</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46179</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46179</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44817.57988425926</v>
      </c>
      <c r="C113" s="1" t="n">
        <v>46179</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44676.85248842592</v>
      </c>
      <c r="C114" s="1" t="n">
        <v>46179</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46179</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46179</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46179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46179</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46179</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44451.8375</v>
      </c>
      <c r="C120" s="1" t="n">
        <v>46179</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46179</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46179</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44790.48503472222</v>
      </c>
      <c r="C123" s="1" t="n">
        <v>46179</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44854.59157407407</v>
      </c>
      <c r="C124" s="1" t="n">
        <v>46179</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46179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23825-2022</t>
        </is>
      </c>
      <c r="B126" s="1" t="n">
        <v>44722.48768518519</v>
      </c>
      <c r="C126" s="1" t="n">
        <v>46179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47473-2021</t>
        </is>
      </c>
      <c r="B127" s="1" t="n">
        <v>44447</v>
      </c>
      <c r="C127" s="1" t="n">
        <v>46179</v>
      </c>
      <c r="D127" t="inlineStr">
        <is>
          <t>KALMAR LÄN</t>
        </is>
      </c>
      <c r="E127" t="inlineStr">
        <is>
          <t>VIMMERBY</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41056-2022</t>
        </is>
      </c>
      <c r="B128" s="1" t="n">
        <v>44824</v>
      </c>
      <c r="C128" s="1" t="n">
        <v>46179</v>
      </c>
      <c r="D128" t="inlineStr">
        <is>
          <t>KALMAR LÄN</t>
        </is>
      </c>
      <c r="E128" t="inlineStr">
        <is>
          <t>VIMMERBY</t>
        </is>
      </c>
      <c r="G128" t="n">
        <v>0.8</v>
      </c>
      <c r="H128" t="n">
        <v>0</v>
      </c>
      <c r="I128" t="n">
        <v>0</v>
      </c>
      <c r="J128" t="n">
        <v>0</v>
      </c>
      <c r="K128" t="n">
        <v>0</v>
      </c>
      <c r="L128" t="n">
        <v>0</v>
      </c>
      <c r="M128" t="n">
        <v>0</v>
      </c>
      <c r="N128" t="n">
        <v>0</v>
      </c>
      <c r="O128" t="n">
        <v>0</v>
      </c>
      <c r="P128" t="n">
        <v>0</v>
      </c>
      <c r="Q128" t="n">
        <v>0</v>
      </c>
      <c r="R128" s="2" t="inlineStr"/>
    </row>
    <row r="129" ht="15" customHeight="1">
      <c r="A129" t="inlineStr">
        <is>
          <t>A 31660-2021</t>
        </is>
      </c>
      <c r="B129" s="1" t="n">
        <v>44369</v>
      </c>
      <c r="C129" s="1" t="n">
        <v>46179</v>
      </c>
      <c r="D129" t="inlineStr">
        <is>
          <t>KALMAR LÄN</t>
        </is>
      </c>
      <c r="E129" t="inlineStr">
        <is>
          <t>VIMMERBY</t>
        </is>
      </c>
      <c r="G129" t="n">
        <v>4.2</v>
      </c>
      <c r="H129" t="n">
        <v>0</v>
      </c>
      <c r="I129" t="n">
        <v>0</v>
      </c>
      <c r="J129" t="n">
        <v>0</v>
      </c>
      <c r="K129" t="n">
        <v>0</v>
      </c>
      <c r="L129" t="n">
        <v>0</v>
      </c>
      <c r="M129" t="n">
        <v>0</v>
      </c>
      <c r="N129" t="n">
        <v>0</v>
      </c>
      <c r="O129" t="n">
        <v>0</v>
      </c>
      <c r="P129" t="n">
        <v>0</v>
      </c>
      <c r="Q129" t="n">
        <v>0</v>
      </c>
      <c r="R129" s="2" t="inlineStr"/>
    </row>
    <row r="130" ht="15" customHeight="1">
      <c r="A130" t="inlineStr">
        <is>
          <t>A 27455-2022</t>
        </is>
      </c>
      <c r="B130" s="1" t="n">
        <v>44742</v>
      </c>
      <c r="C130" s="1" t="n">
        <v>46179</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32603-2021</t>
        </is>
      </c>
      <c r="B131" s="1" t="n">
        <v>44375.38789351852</v>
      </c>
      <c r="C131" s="1" t="n">
        <v>46179</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36117-2021</t>
        </is>
      </c>
      <c r="B132" s="1" t="n">
        <v>44386</v>
      </c>
      <c r="C132" s="1" t="n">
        <v>46179</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42521-2021</t>
        </is>
      </c>
      <c r="B133" s="1" t="n">
        <v>44427</v>
      </c>
      <c r="C133" s="1" t="n">
        <v>46179</v>
      </c>
      <c r="D133" t="inlineStr">
        <is>
          <t>KALMAR LÄN</t>
        </is>
      </c>
      <c r="E133" t="inlineStr">
        <is>
          <t>VIMMERBY</t>
        </is>
      </c>
      <c r="G133" t="n">
        <v>5.4</v>
      </c>
      <c r="H133" t="n">
        <v>0</v>
      </c>
      <c r="I133" t="n">
        <v>0</v>
      </c>
      <c r="J133" t="n">
        <v>0</v>
      </c>
      <c r="K133" t="n">
        <v>0</v>
      </c>
      <c r="L133" t="n">
        <v>0</v>
      </c>
      <c r="M133" t="n">
        <v>0</v>
      </c>
      <c r="N133" t="n">
        <v>0</v>
      </c>
      <c r="O133" t="n">
        <v>0</v>
      </c>
      <c r="P133" t="n">
        <v>0</v>
      </c>
      <c r="Q133" t="n">
        <v>0</v>
      </c>
      <c r="R133" s="2" t="inlineStr"/>
    </row>
    <row r="134" ht="15" customHeight="1">
      <c r="A134" t="inlineStr">
        <is>
          <t>A 46964-2022</t>
        </is>
      </c>
      <c r="B134" s="1" t="n">
        <v>44851.95016203704</v>
      </c>
      <c r="C134" s="1" t="n">
        <v>46179</v>
      </c>
      <c r="D134" t="inlineStr">
        <is>
          <t>KALMAR LÄN</t>
        </is>
      </c>
      <c r="E134" t="inlineStr">
        <is>
          <t>VIMMERBY</t>
        </is>
      </c>
      <c r="G134" t="n">
        <v>0.2</v>
      </c>
      <c r="H134" t="n">
        <v>0</v>
      </c>
      <c r="I134" t="n">
        <v>0</v>
      </c>
      <c r="J134" t="n">
        <v>0</v>
      </c>
      <c r="K134" t="n">
        <v>0</v>
      </c>
      <c r="L134" t="n">
        <v>0</v>
      </c>
      <c r="M134" t="n">
        <v>0</v>
      </c>
      <c r="N134" t="n">
        <v>0</v>
      </c>
      <c r="O134" t="n">
        <v>0</v>
      </c>
      <c r="P134" t="n">
        <v>0</v>
      </c>
      <c r="Q134" t="n">
        <v>0</v>
      </c>
      <c r="R134" s="2" t="inlineStr"/>
    </row>
    <row r="135" ht="15" customHeight="1">
      <c r="A135" t="inlineStr">
        <is>
          <t>A 13180-2022</t>
        </is>
      </c>
      <c r="B135" s="1" t="n">
        <v>44644</v>
      </c>
      <c r="C135" s="1" t="n">
        <v>46179</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42850-2022</t>
        </is>
      </c>
      <c r="B136" s="1" t="n">
        <v>44832.67608796297</v>
      </c>
      <c r="C136" s="1" t="n">
        <v>46179</v>
      </c>
      <c r="D136" t="inlineStr">
        <is>
          <t>KALMAR LÄN</t>
        </is>
      </c>
      <c r="E136" t="inlineStr">
        <is>
          <t>VIMMERBY</t>
        </is>
      </c>
      <c r="G136" t="n">
        <v>5.9</v>
      </c>
      <c r="H136" t="n">
        <v>0</v>
      </c>
      <c r="I136" t="n">
        <v>0</v>
      </c>
      <c r="J136" t="n">
        <v>0</v>
      </c>
      <c r="K136" t="n">
        <v>0</v>
      </c>
      <c r="L136" t="n">
        <v>0</v>
      </c>
      <c r="M136" t="n">
        <v>0</v>
      </c>
      <c r="N136" t="n">
        <v>0</v>
      </c>
      <c r="O136" t="n">
        <v>0</v>
      </c>
      <c r="P136" t="n">
        <v>0</v>
      </c>
      <c r="Q136" t="n">
        <v>0</v>
      </c>
      <c r="R136" s="2" t="inlineStr"/>
    </row>
    <row r="137" ht="15" customHeight="1">
      <c r="A137" t="inlineStr">
        <is>
          <t>A 10086-2022</t>
        </is>
      </c>
      <c r="B137" s="1" t="n">
        <v>44621</v>
      </c>
      <c r="C137" s="1" t="n">
        <v>46179</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53145-2022</t>
        </is>
      </c>
      <c r="B138" s="1" t="n">
        <v>44876.48346064815</v>
      </c>
      <c r="C138" s="1" t="n">
        <v>46179</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25738-2022</t>
        </is>
      </c>
      <c r="B139" s="1" t="n">
        <v>44733.43092592592</v>
      </c>
      <c r="C139" s="1" t="n">
        <v>46179</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8194-2022</t>
        </is>
      </c>
      <c r="B140" s="1" t="n">
        <v>44609</v>
      </c>
      <c r="C140" s="1" t="n">
        <v>46179</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40971-2021</t>
        </is>
      </c>
      <c r="B141" s="1" t="n">
        <v>44421</v>
      </c>
      <c r="C141" s="1" t="n">
        <v>46179</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8453-2022</t>
        </is>
      </c>
      <c r="B142" s="1" t="n">
        <v>44612.86554398148</v>
      </c>
      <c r="C142" s="1" t="n">
        <v>46179</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54065-2021</t>
        </is>
      </c>
      <c r="B143" s="1" t="n">
        <v>44470.44232638889</v>
      </c>
      <c r="C143" s="1" t="n">
        <v>46179</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52433-2021</t>
        </is>
      </c>
      <c r="B144" s="1" t="n">
        <v>44466.34726851852</v>
      </c>
      <c r="C144" s="1" t="n">
        <v>46179</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31824-2022</t>
        </is>
      </c>
      <c r="B145" s="1" t="n">
        <v>44776</v>
      </c>
      <c r="C145" s="1" t="n">
        <v>46179</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50621-2022</t>
        </is>
      </c>
      <c r="B146" s="1" t="n">
        <v>44866.81100694444</v>
      </c>
      <c r="C146" s="1" t="n">
        <v>46179</v>
      </c>
      <c r="D146" t="inlineStr">
        <is>
          <t>KALMAR LÄN</t>
        </is>
      </c>
      <c r="E146" t="inlineStr">
        <is>
          <t>VIMMERBY</t>
        </is>
      </c>
      <c r="F146" t="inlineStr">
        <is>
          <t>Övriga Aktiebolag</t>
        </is>
      </c>
      <c r="G146" t="n">
        <v>5.1</v>
      </c>
      <c r="H146" t="n">
        <v>0</v>
      </c>
      <c r="I146" t="n">
        <v>0</v>
      </c>
      <c r="J146" t="n">
        <v>0</v>
      </c>
      <c r="K146" t="n">
        <v>0</v>
      </c>
      <c r="L146" t="n">
        <v>0</v>
      </c>
      <c r="M146" t="n">
        <v>0</v>
      </c>
      <c r="N146" t="n">
        <v>0</v>
      </c>
      <c r="O146" t="n">
        <v>0</v>
      </c>
      <c r="P146" t="n">
        <v>0</v>
      </c>
      <c r="Q146" t="n">
        <v>0</v>
      </c>
      <c r="R146" s="2" t="inlineStr"/>
    </row>
    <row r="147" ht="15" customHeight="1">
      <c r="A147" t="inlineStr">
        <is>
          <t>A 11733-2022</t>
        </is>
      </c>
      <c r="B147" s="1" t="n">
        <v>44634</v>
      </c>
      <c r="C147" s="1" t="n">
        <v>46179</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39042-2022</t>
        </is>
      </c>
      <c r="B148" s="1" t="n">
        <v>44817</v>
      </c>
      <c r="C148" s="1" t="n">
        <v>46179</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7804-2022</t>
        </is>
      </c>
      <c r="B149" s="1" t="n">
        <v>44608.50458333334</v>
      </c>
      <c r="C149" s="1" t="n">
        <v>46179</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29441-2024</t>
        </is>
      </c>
      <c r="B150" s="1" t="n">
        <v>45483.82834490741</v>
      </c>
      <c r="C150" s="1" t="n">
        <v>46179</v>
      </c>
      <c r="D150" t="inlineStr">
        <is>
          <t>KALMAR LÄN</t>
        </is>
      </c>
      <c r="E150" t="inlineStr">
        <is>
          <t>VIMMERBY</t>
        </is>
      </c>
      <c r="G150" t="n">
        <v>1.3</v>
      </c>
      <c r="H150" t="n">
        <v>0</v>
      </c>
      <c r="I150" t="n">
        <v>0</v>
      </c>
      <c r="J150" t="n">
        <v>0</v>
      </c>
      <c r="K150" t="n">
        <v>0</v>
      </c>
      <c r="L150" t="n">
        <v>0</v>
      </c>
      <c r="M150" t="n">
        <v>0</v>
      </c>
      <c r="N150" t="n">
        <v>0</v>
      </c>
      <c r="O150" t="n">
        <v>0</v>
      </c>
      <c r="P150" t="n">
        <v>0</v>
      </c>
      <c r="Q150" t="n">
        <v>0</v>
      </c>
      <c r="R150" s="2" t="inlineStr"/>
    </row>
    <row r="151" ht="15" customHeight="1">
      <c r="A151" t="inlineStr">
        <is>
          <t>A 25728-2023</t>
        </is>
      </c>
      <c r="B151" s="1" t="n">
        <v>45090.38012731481</v>
      </c>
      <c r="C151" s="1" t="n">
        <v>46179</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33359-2021</t>
        </is>
      </c>
      <c r="B152" s="1" t="n">
        <v>44377.49684027778</v>
      </c>
      <c r="C152" s="1" t="n">
        <v>46179</v>
      </c>
      <c r="D152" t="inlineStr">
        <is>
          <t>KALMAR LÄN</t>
        </is>
      </c>
      <c r="E152" t="inlineStr">
        <is>
          <t>VIMMERBY</t>
        </is>
      </c>
      <c r="F152" t="inlineStr">
        <is>
          <t>Kommuner</t>
        </is>
      </c>
      <c r="G152" t="n">
        <v>8</v>
      </c>
      <c r="H152" t="n">
        <v>0</v>
      </c>
      <c r="I152" t="n">
        <v>0</v>
      </c>
      <c r="J152" t="n">
        <v>0</v>
      </c>
      <c r="K152" t="n">
        <v>0</v>
      </c>
      <c r="L152" t="n">
        <v>0</v>
      </c>
      <c r="M152" t="n">
        <v>0</v>
      </c>
      <c r="N152" t="n">
        <v>0</v>
      </c>
      <c r="O152" t="n">
        <v>0</v>
      </c>
      <c r="P152" t="n">
        <v>0</v>
      </c>
      <c r="Q152" t="n">
        <v>0</v>
      </c>
      <c r="R152" s="2" t="inlineStr"/>
    </row>
    <row r="153" ht="15" customHeight="1">
      <c r="A153" t="inlineStr">
        <is>
          <t>A 43038-2022</t>
        </is>
      </c>
      <c r="B153" s="1" t="n">
        <v>44833.60123842592</v>
      </c>
      <c r="C153" s="1" t="n">
        <v>46179</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50087-2023</t>
        </is>
      </c>
      <c r="B154" s="1" t="n">
        <v>45215.59743055556</v>
      </c>
      <c r="C154" s="1" t="n">
        <v>46179</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33681-2022</t>
        </is>
      </c>
      <c r="B155" s="1" t="n">
        <v>44789</v>
      </c>
      <c r="C155" s="1" t="n">
        <v>46179</v>
      </c>
      <c r="D155" t="inlineStr">
        <is>
          <t>KALMAR LÄN</t>
        </is>
      </c>
      <c r="E155" t="inlineStr">
        <is>
          <t>VIMMERBY</t>
        </is>
      </c>
      <c r="G155" t="n">
        <v>3.2</v>
      </c>
      <c r="H155" t="n">
        <v>0</v>
      </c>
      <c r="I155" t="n">
        <v>0</v>
      </c>
      <c r="J155" t="n">
        <v>0</v>
      </c>
      <c r="K155" t="n">
        <v>0</v>
      </c>
      <c r="L155" t="n">
        <v>0</v>
      </c>
      <c r="M155" t="n">
        <v>0</v>
      </c>
      <c r="N155" t="n">
        <v>0</v>
      </c>
      <c r="O155" t="n">
        <v>0</v>
      </c>
      <c r="P155" t="n">
        <v>0</v>
      </c>
      <c r="Q155" t="n">
        <v>0</v>
      </c>
      <c r="R155" s="2" t="inlineStr"/>
    </row>
    <row r="156" ht="15" customHeight="1">
      <c r="A156" t="inlineStr">
        <is>
          <t>A 52435-2021</t>
        </is>
      </c>
      <c r="B156" s="1" t="n">
        <v>44466.34962962963</v>
      </c>
      <c r="C156" s="1" t="n">
        <v>46179</v>
      </c>
      <c r="D156" t="inlineStr">
        <is>
          <t>KALMAR LÄN</t>
        </is>
      </c>
      <c r="E156" t="inlineStr">
        <is>
          <t>VIMMERBY</t>
        </is>
      </c>
      <c r="G156" t="n">
        <v>2.8</v>
      </c>
      <c r="H156" t="n">
        <v>0</v>
      </c>
      <c r="I156" t="n">
        <v>0</v>
      </c>
      <c r="J156" t="n">
        <v>0</v>
      </c>
      <c r="K156" t="n">
        <v>0</v>
      </c>
      <c r="L156" t="n">
        <v>0</v>
      </c>
      <c r="M156" t="n">
        <v>0</v>
      </c>
      <c r="N156" t="n">
        <v>0</v>
      </c>
      <c r="O156" t="n">
        <v>0</v>
      </c>
      <c r="P156" t="n">
        <v>0</v>
      </c>
      <c r="Q156" t="n">
        <v>0</v>
      </c>
      <c r="R156" s="2" t="inlineStr"/>
    </row>
    <row r="157" ht="15" customHeight="1">
      <c r="A157" t="inlineStr">
        <is>
          <t>A 29093-2023</t>
        </is>
      </c>
      <c r="B157" s="1" t="n">
        <v>45105</v>
      </c>
      <c r="C157" s="1" t="n">
        <v>46179</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12033-2024</t>
        </is>
      </c>
      <c r="B158" s="1" t="n">
        <v>45377.40043981482</v>
      </c>
      <c r="C158" s="1" t="n">
        <v>46179</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28395-2023</t>
        </is>
      </c>
      <c r="B159" s="1" t="n">
        <v>45100.4062962963</v>
      </c>
      <c r="C159" s="1" t="n">
        <v>46179</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49408-2023</t>
        </is>
      </c>
      <c r="B160" s="1" t="n">
        <v>45211.43555555555</v>
      </c>
      <c r="C160" s="1" t="n">
        <v>46179</v>
      </c>
      <c r="D160" t="inlineStr">
        <is>
          <t>KALMAR LÄN</t>
        </is>
      </c>
      <c r="E160" t="inlineStr">
        <is>
          <t>VIMMERBY</t>
        </is>
      </c>
      <c r="G160" t="n">
        <v>13.1</v>
      </c>
      <c r="H160" t="n">
        <v>0</v>
      </c>
      <c r="I160" t="n">
        <v>0</v>
      </c>
      <c r="J160" t="n">
        <v>0</v>
      </c>
      <c r="K160" t="n">
        <v>0</v>
      </c>
      <c r="L160" t="n">
        <v>0</v>
      </c>
      <c r="M160" t="n">
        <v>0</v>
      </c>
      <c r="N160" t="n">
        <v>0</v>
      </c>
      <c r="O160" t="n">
        <v>0</v>
      </c>
      <c r="P160" t="n">
        <v>0</v>
      </c>
      <c r="Q160" t="n">
        <v>0</v>
      </c>
      <c r="R160" s="2" t="inlineStr"/>
    </row>
    <row r="161" ht="15" customHeight="1">
      <c r="A161" t="inlineStr">
        <is>
          <t>A 18501-2024</t>
        </is>
      </c>
      <c r="B161" s="1" t="n">
        <v>45425.57538194444</v>
      </c>
      <c r="C161" s="1" t="n">
        <v>46179</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27443-2023</t>
        </is>
      </c>
      <c r="B162" s="1" t="n">
        <v>45097.40524305555</v>
      </c>
      <c r="C162" s="1" t="n">
        <v>46179</v>
      </c>
      <c r="D162" t="inlineStr">
        <is>
          <t>KALMAR LÄN</t>
        </is>
      </c>
      <c r="E162" t="inlineStr">
        <is>
          <t>VIMMERBY</t>
        </is>
      </c>
      <c r="F162" t="inlineStr">
        <is>
          <t>Övriga Aktiebolag</t>
        </is>
      </c>
      <c r="G162" t="n">
        <v>2.3</v>
      </c>
      <c r="H162" t="n">
        <v>0</v>
      </c>
      <c r="I162" t="n">
        <v>0</v>
      </c>
      <c r="J162" t="n">
        <v>0</v>
      </c>
      <c r="K162" t="n">
        <v>0</v>
      </c>
      <c r="L162" t="n">
        <v>0</v>
      </c>
      <c r="M162" t="n">
        <v>0</v>
      </c>
      <c r="N162" t="n">
        <v>0</v>
      </c>
      <c r="O162" t="n">
        <v>0</v>
      </c>
      <c r="P162" t="n">
        <v>0</v>
      </c>
      <c r="Q162" t="n">
        <v>0</v>
      </c>
      <c r="R162" s="2" t="inlineStr"/>
    </row>
    <row r="163" ht="15" customHeight="1">
      <c r="A163" t="inlineStr">
        <is>
          <t>A 57256-2023</t>
        </is>
      </c>
      <c r="B163" s="1" t="n">
        <v>45245.5735300926</v>
      </c>
      <c r="C163" s="1" t="n">
        <v>46179</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25799-2023</t>
        </is>
      </c>
      <c r="B164" s="1" t="n">
        <v>45090</v>
      </c>
      <c r="C164" s="1" t="n">
        <v>46179</v>
      </c>
      <c r="D164" t="inlineStr">
        <is>
          <t>KALMAR LÄN</t>
        </is>
      </c>
      <c r="E164" t="inlineStr">
        <is>
          <t>VIMMERBY</t>
        </is>
      </c>
      <c r="G164" t="n">
        <v>7.7</v>
      </c>
      <c r="H164" t="n">
        <v>0</v>
      </c>
      <c r="I164" t="n">
        <v>0</v>
      </c>
      <c r="J164" t="n">
        <v>0</v>
      </c>
      <c r="K164" t="n">
        <v>0</v>
      </c>
      <c r="L164" t="n">
        <v>0</v>
      </c>
      <c r="M164" t="n">
        <v>0</v>
      </c>
      <c r="N164" t="n">
        <v>0</v>
      </c>
      <c r="O164" t="n">
        <v>0</v>
      </c>
      <c r="P164" t="n">
        <v>0</v>
      </c>
      <c r="Q164" t="n">
        <v>0</v>
      </c>
      <c r="R164" s="2" t="inlineStr"/>
    </row>
    <row r="165" ht="15" customHeight="1">
      <c r="A165" t="inlineStr">
        <is>
          <t>A 23088-2024</t>
        </is>
      </c>
      <c r="B165" s="1" t="n">
        <v>45450.51092592593</v>
      </c>
      <c r="C165" s="1" t="n">
        <v>46179</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1987-2024</t>
        </is>
      </c>
      <c r="B166" s="1" t="n">
        <v>45308.61152777778</v>
      </c>
      <c r="C166" s="1" t="n">
        <v>46179</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527-2024</t>
        </is>
      </c>
      <c r="B167" s="1" t="n">
        <v>45299.47513888889</v>
      </c>
      <c r="C167" s="1" t="n">
        <v>46179</v>
      </c>
      <c r="D167" t="inlineStr">
        <is>
          <t>KALMAR LÄN</t>
        </is>
      </c>
      <c r="E167" t="inlineStr">
        <is>
          <t>VIMMERBY</t>
        </is>
      </c>
      <c r="G167" t="n">
        <v>2.2</v>
      </c>
      <c r="H167" t="n">
        <v>0</v>
      </c>
      <c r="I167" t="n">
        <v>0</v>
      </c>
      <c r="J167" t="n">
        <v>0</v>
      </c>
      <c r="K167" t="n">
        <v>0</v>
      </c>
      <c r="L167" t="n">
        <v>0</v>
      </c>
      <c r="M167" t="n">
        <v>0</v>
      </c>
      <c r="N167" t="n">
        <v>0</v>
      </c>
      <c r="O167" t="n">
        <v>0</v>
      </c>
      <c r="P167" t="n">
        <v>0</v>
      </c>
      <c r="Q167" t="n">
        <v>0</v>
      </c>
      <c r="R167" s="2" t="inlineStr"/>
    </row>
    <row r="168" ht="15" customHeight="1">
      <c r="A168" t="inlineStr">
        <is>
          <t>A 57189-2022</t>
        </is>
      </c>
      <c r="B168" s="1" t="n">
        <v>44895.62296296296</v>
      </c>
      <c r="C168" s="1" t="n">
        <v>46179</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37192-2024</t>
        </is>
      </c>
      <c r="B169" s="1" t="n">
        <v>45539.66027777778</v>
      </c>
      <c r="C169" s="1" t="n">
        <v>46179</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47063-2022</t>
        </is>
      </c>
      <c r="B170" s="1" t="n">
        <v>44852</v>
      </c>
      <c r="C170" s="1" t="n">
        <v>46179</v>
      </c>
      <c r="D170" t="inlineStr">
        <is>
          <t>KALMAR LÄN</t>
        </is>
      </c>
      <c r="E170" t="inlineStr">
        <is>
          <t>VIMMERBY</t>
        </is>
      </c>
      <c r="G170" t="n">
        <v>2.5</v>
      </c>
      <c r="H170" t="n">
        <v>0</v>
      </c>
      <c r="I170" t="n">
        <v>0</v>
      </c>
      <c r="J170" t="n">
        <v>0</v>
      </c>
      <c r="K170" t="n">
        <v>0</v>
      </c>
      <c r="L170" t="n">
        <v>0</v>
      </c>
      <c r="M170" t="n">
        <v>0</v>
      </c>
      <c r="N170" t="n">
        <v>0</v>
      </c>
      <c r="O170" t="n">
        <v>0</v>
      </c>
      <c r="P170" t="n">
        <v>0</v>
      </c>
      <c r="Q170" t="n">
        <v>0</v>
      </c>
      <c r="R170" s="2" t="inlineStr"/>
    </row>
    <row r="171" ht="15" customHeight="1">
      <c r="A171" t="inlineStr">
        <is>
          <t>A 12819-2024</t>
        </is>
      </c>
      <c r="B171" s="1" t="n">
        <v>45384.66917824074</v>
      </c>
      <c r="C171" s="1" t="n">
        <v>46179</v>
      </c>
      <c r="D171" t="inlineStr">
        <is>
          <t>KALMAR LÄN</t>
        </is>
      </c>
      <c r="E171" t="inlineStr">
        <is>
          <t>VIMMERBY</t>
        </is>
      </c>
      <c r="G171" t="n">
        <v>5.1</v>
      </c>
      <c r="H171" t="n">
        <v>0</v>
      </c>
      <c r="I171" t="n">
        <v>0</v>
      </c>
      <c r="J171" t="n">
        <v>0</v>
      </c>
      <c r="K171" t="n">
        <v>0</v>
      </c>
      <c r="L171" t="n">
        <v>0</v>
      </c>
      <c r="M171" t="n">
        <v>0</v>
      </c>
      <c r="N171" t="n">
        <v>0</v>
      </c>
      <c r="O171" t="n">
        <v>0</v>
      </c>
      <c r="P171" t="n">
        <v>0</v>
      </c>
      <c r="Q171" t="n">
        <v>0</v>
      </c>
      <c r="R171" s="2" t="inlineStr"/>
    </row>
    <row r="172" ht="15" customHeight="1">
      <c r="A172" t="inlineStr">
        <is>
          <t>A 31382-2023</t>
        </is>
      </c>
      <c r="B172" s="1" t="n">
        <v>45114.55136574074</v>
      </c>
      <c r="C172" s="1" t="n">
        <v>46179</v>
      </c>
      <c r="D172" t="inlineStr">
        <is>
          <t>KALMAR LÄN</t>
        </is>
      </c>
      <c r="E172" t="inlineStr">
        <is>
          <t>VIMMERBY</t>
        </is>
      </c>
      <c r="G172" t="n">
        <v>3.7</v>
      </c>
      <c r="H172" t="n">
        <v>0</v>
      </c>
      <c r="I172" t="n">
        <v>0</v>
      </c>
      <c r="J172" t="n">
        <v>0</v>
      </c>
      <c r="K172" t="n">
        <v>0</v>
      </c>
      <c r="L172" t="n">
        <v>0</v>
      </c>
      <c r="M172" t="n">
        <v>0</v>
      </c>
      <c r="N172" t="n">
        <v>0</v>
      </c>
      <c r="O172" t="n">
        <v>0</v>
      </c>
      <c r="P172" t="n">
        <v>0</v>
      </c>
      <c r="Q172" t="n">
        <v>0</v>
      </c>
      <c r="R172" s="2" t="inlineStr"/>
    </row>
    <row r="173" ht="15" customHeight="1">
      <c r="A173" t="inlineStr">
        <is>
          <t>A 11073-2023</t>
        </is>
      </c>
      <c r="B173" s="1" t="n">
        <v>44992</v>
      </c>
      <c r="C173" s="1" t="n">
        <v>46179</v>
      </c>
      <c r="D173" t="inlineStr">
        <is>
          <t>KALMAR LÄN</t>
        </is>
      </c>
      <c r="E173" t="inlineStr">
        <is>
          <t>VIMMERBY</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59955-2023</t>
        </is>
      </c>
      <c r="B174" s="1" t="n">
        <v>45257.70313657408</v>
      </c>
      <c r="C174" s="1" t="n">
        <v>46179</v>
      </c>
      <c r="D174" t="inlineStr">
        <is>
          <t>KALMAR LÄN</t>
        </is>
      </c>
      <c r="E174" t="inlineStr">
        <is>
          <t>VIMMERBY</t>
        </is>
      </c>
      <c r="G174" t="n">
        <v>13.8</v>
      </c>
      <c r="H174" t="n">
        <v>0</v>
      </c>
      <c r="I174" t="n">
        <v>0</v>
      </c>
      <c r="J174" t="n">
        <v>0</v>
      </c>
      <c r="K174" t="n">
        <v>0</v>
      </c>
      <c r="L174" t="n">
        <v>0</v>
      </c>
      <c r="M174" t="n">
        <v>0</v>
      </c>
      <c r="N174" t="n">
        <v>0</v>
      </c>
      <c r="O174" t="n">
        <v>0</v>
      </c>
      <c r="P174" t="n">
        <v>0</v>
      </c>
      <c r="Q174" t="n">
        <v>0</v>
      </c>
      <c r="R174" s="2" t="inlineStr"/>
    </row>
    <row r="175" ht="15" customHeight="1">
      <c r="A175" t="inlineStr">
        <is>
          <t>A 61820-2023</t>
        </is>
      </c>
      <c r="B175" s="1" t="n">
        <v>45266.32614583334</v>
      </c>
      <c r="C175" s="1" t="n">
        <v>46179</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3269-2024</t>
        </is>
      </c>
      <c r="B176" s="1" t="n">
        <v>45317.40372685185</v>
      </c>
      <c r="C176" s="1" t="n">
        <v>46179</v>
      </c>
      <c r="D176" t="inlineStr">
        <is>
          <t>KALMAR LÄN</t>
        </is>
      </c>
      <c r="E176" t="inlineStr">
        <is>
          <t>VIMMERBY</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2157-2024</t>
        </is>
      </c>
      <c r="B177" s="1" t="n">
        <v>45309.59487268519</v>
      </c>
      <c r="C177" s="1" t="n">
        <v>46179</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9418-2024</t>
        </is>
      </c>
      <c r="B178" s="1" t="n">
        <v>45359.45038194444</v>
      </c>
      <c r="C178" s="1" t="n">
        <v>46179</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9416-2024</t>
        </is>
      </c>
      <c r="B179" s="1" t="n">
        <v>45359.44837962963</v>
      </c>
      <c r="C179" s="1" t="n">
        <v>46179</v>
      </c>
      <c r="D179" t="inlineStr">
        <is>
          <t>KALMAR LÄN</t>
        </is>
      </c>
      <c r="E179" t="inlineStr">
        <is>
          <t>VIMMERBY</t>
        </is>
      </c>
      <c r="G179" t="n">
        <v>3.2</v>
      </c>
      <c r="H179" t="n">
        <v>0</v>
      </c>
      <c r="I179" t="n">
        <v>0</v>
      </c>
      <c r="J179" t="n">
        <v>0</v>
      </c>
      <c r="K179" t="n">
        <v>0</v>
      </c>
      <c r="L179" t="n">
        <v>0</v>
      </c>
      <c r="M179" t="n">
        <v>0</v>
      </c>
      <c r="N179" t="n">
        <v>0</v>
      </c>
      <c r="O179" t="n">
        <v>0</v>
      </c>
      <c r="P179" t="n">
        <v>0</v>
      </c>
      <c r="Q179" t="n">
        <v>0</v>
      </c>
      <c r="R179" s="2" t="inlineStr"/>
    </row>
    <row r="180" ht="15" customHeight="1">
      <c r="A180" t="inlineStr">
        <is>
          <t>A 58318-2021</t>
        </is>
      </c>
      <c r="B180" s="1" t="n">
        <v>44488.35878472222</v>
      </c>
      <c r="C180" s="1" t="n">
        <v>46179</v>
      </c>
      <c r="D180" t="inlineStr">
        <is>
          <t>KALMAR LÄN</t>
        </is>
      </c>
      <c r="E180" t="inlineStr">
        <is>
          <t>VIMMERBY</t>
        </is>
      </c>
      <c r="G180" t="n">
        <v>4</v>
      </c>
      <c r="H180" t="n">
        <v>0</v>
      </c>
      <c r="I180" t="n">
        <v>0</v>
      </c>
      <c r="J180" t="n">
        <v>0</v>
      </c>
      <c r="K180" t="n">
        <v>0</v>
      </c>
      <c r="L180" t="n">
        <v>0</v>
      </c>
      <c r="M180" t="n">
        <v>0</v>
      </c>
      <c r="N180" t="n">
        <v>0</v>
      </c>
      <c r="O180" t="n">
        <v>0</v>
      </c>
      <c r="P180" t="n">
        <v>0</v>
      </c>
      <c r="Q180" t="n">
        <v>0</v>
      </c>
      <c r="R180" s="2" t="inlineStr"/>
    </row>
    <row r="181" ht="15" customHeight="1">
      <c r="A181" t="inlineStr">
        <is>
          <t>A 53083-2021</t>
        </is>
      </c>
      <c r="B181" s="1" t="n">
        <v>44467.83386574074</v>
      </c>
      <c r="C181" s="1" t="n">
        <v>46179</v>
      </c>
      <c r="D181" t="inlineStr">
        <is>
          <t>KALMAR LÄN</t>
        </is>
      </c>
      <c r="E181" t="inlineStr">
        <is>
          <t>VIMMERBY</t>
        </is>
      </c>
      <c r="G181" t="n">
        <v>6.8</v>
      </c>
      <c r="H181" t="n">
        <v>0</v>
      </c>
      <c r="I181" t="n">
        <v>0</v>
      </c>
      <c r="J181" t="n">
        <v>0</v>
      </c>
      <c r="K181" t="n">
        <v>0</v>
      </c>
      <c r="L181" t="n">
        <v>0</v>
      </c>
      <c r="M181" t="n">
        <v>0</v>
      </c>
      <c r="N181" t="n">
        <v>0</v>
      </c>
      <c r="O181" t="n">
        <v>0</v>
      </c>
      <c r="P181" t="n">
        <v>0</v>
      </c>
      <c r="Q181" t="n">
        <v>0</v>
      </c>
      <c r="R181" s="2" t="inlineStr"/>
    </row>
    <row r="182" ht="15" customHeight="1">
      <c r="A182" t="inlineStr">
        <is>
          <t>A 29173-2024</t>
        </is>
      </c>
      <c r="B182" s="1" t="n">
        <v>45482.52887731481</v>
      </c>
      <c r="C182" s="1" t="n">
        <v>46179</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36802-2021</t>
        </is>
      </c>
      <c r="B183" s="1" t="n">
        <v>44392</v>
      </c>
      <c r="C183" s="1" t="n">
        <v>46179</v>
      </c>
      <c r="D183" t="inlineStr">
        <is>
          <t>KALMAR LÄN</t>
        </is>
      </c>
      <c r="E183" t="inlineStr">
        <is>
          <t>VIMMERBY</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11111-2024</t>
        </is>
      </c>
      <c r="B184" s="1" t="n">
        <v>45371.36359953704</v>
      </c>
      <c r="C184" s="1" t="n">
        <v>46179</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11141-2024</t>
        </is>
      </c>
      <c r="B185" s="1" t="n">
        <v>45371.45865740741</v>
      </c>
      <c r="C185" s="1" t="n">
        <v>46179</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22197-2024</t>
        </is>
      </c>
      <c r="B186" s="1" t="n">
        <v>45446.36774305555</v>
      </c>
      <c r="C186" s="1" t="n">
        <v>46179</v>
      </c>
      <c r="D186" t="inlineStr">
        <is>
          <t>KALMAR LÄN</t>
        </is>
      </c>
      <c r="E186" t="inlineStr">
        <is>
          <t>VIMMERBY</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49313-2022</t>
        </is>
      </c>
      <c r="B187" s="1" t="n">
        <v>44861.52505787037</v>
      </c>
      <c r="C187" s="1" t="n">
        <v>46179</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35998-2024</t>
        </is>
      </c>
      <c r="B188" s="1" t="n">
        <v>45533.54429398148</v>
      </c>
      <c r="C188" s="1" t="n">
        <v>46179</v>
      </c>
      <c r="D188" t="inlineStr">
        <is>
          <t>KALMAR LÄN</t>
        </is>
      </c>
      <c r="E188" t="inlineStr">
        <is>
          <t>VIMMERBY</t>
        </is>
      </c>
      <c r="G188" t="n">
        <v>8.6</v>
      </c>
      <c r="H188" t="n">
        <v>0</v>
      </c>
      <c r="I188" t="n">
        <v>0</v>
      </c>
      <c r="J188" t="n">
        <v>0</v>
      </c>
      <c r="K188" t="n">
        <v>0</v>
      </c>
      <c r="L188" t="n">
        <v>0</v>
      </c>
      <c r="M188" t="n">
        <v>0</v>
      </c>
      <c r="N188" t="n">
        <v>0</v>
      </c>
      <c r="O188" t="n">
        <v>0</v>
      </c>
      <c r="P188" t="n">
        <v>0</v>
      </c>
      <c r="Q188" t="n">
        <v>0</v>
      </c>
      <c r="R188" s="2" t="inlineStr"/>
    </row>
    <row r="189" ht="15" customHeight="1">
      <c r="A189" t="inlineStr">
        <is>
          <t>A 36040-2024</t>
        </is>
      </c>
      <c r="B189" s="1" t="n">
        <v>45533.60232638889</v>
      </c>
      <c r="C189" s="1" t="n">
        <v>46179</v>
      </c>
      <c r="D189" t="inlineStr">
        <is>
          <t>KALMAR LÄN</t>
        </is>
      </c>
      <c r="E189" t="inlineStr">
        <is>
          <t>VIMMERBY</t>
        </is>
      </c>
      <c r="F189" t="inlineStr">
        <is>
          <t>Kommuner</t>
        </is>
      </c>
      <c r="G189" t="n">
        <v>3.6</v>
      </c>
      <c r="H189" t="n">
        <v>0</v>
      </c>
      <c r="I189" t="n">
        <v>0</v>
      </c>
      <c r="J189" t="n">
        <v>0</v>
      </c>
      <c r="K189" t="n">
        <v>0</v>
      </c>
      <c r="L189" t="n">
        <v>0</v>
      </c>
      <c r="M189" t="n">
        <v>0</v>
      </c>
      <c r="N189" t="n">
        <v>0</v>
      </c>
      <c r="O189" t="n">
        <v>0</v>
      </c>
      <c r="P189" t="n">
        <v>0</v>
      </c>
      <c r="Q189" t="n">
        <v>0</v>
      </c>
      <c r="R189" s="2" t="inlineStr"/>
    </row>
    <row r="190" ht="15" customHeight="1">
      <c r="A190" t="inlineStr">
        <is>
          <t>A 36043-2024</t>
        </is>
      </c>
      <c r="B190" s="1" t="n">
        <v>45533.60770833334</v>
      </c>
      <c r="C190" s="1" t="n">
        <v>46179</v>
      </c>
      <c r="D190" t="inlineStr">
        <is>
          <t>KALMAR LÄN</t>
        </is>
      </c>
      <c r="E190" t="inlineStr">
        <is>
          <t>VIMMERBY</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35710-2023</t>
        </is>
      </c>
      <c r="B191" s="1" t="n">
        <v>45147.67096064815</v>
      </c>
      <c r="C191" s="1" t="n">
        <v>46179</v>
      </c>
      <c r="D191" t="inlineStr">
        <is>
          <t>KALMAR LÄN</t>
        </is>
      </c>
      <c r="E191" t="inlineStr">
        <is>
          <t>VIMMERBY</t>
        </is>
      </c>
      <c r="G191" t="n">
        <v>3.1</v>
      </c>
      <c r="H191" t="n">
        <v>0</v>
      </c>
      <c r="I191" t="n">
        <v>0</v>
      </c>
      <c r="J191" t="n">
        <v>0</v>
      </c>
      <c r="K191" t="n">
        <v>0</v>
      </c>
      <c r="L191" t="n">
        <v>0</v>
      </c>
      <c r="M191" t="n">
        <v>0</v>
      </c>
      <c r="N191" t="n">
        <v>0</v>
      </c>
      <c r="O191" t="n">
        <v>0</v>
      </c>
      <c r="P191" t="n">
        <v>0</v>
      </c>
      <c r="Q191" t="n">
        <v>0</v>
      </c>
      <c r="R191" s="2" t="inlineStr"/>
    </row>
    <row r="192" ht="15" customHeight="1">
      <c r="A192" t="inlineStr">
        <is>
          <t>A 35711-2023</t>
        </is>
      </c>
      <c r="B192" s="1" t="n">
        <v>45147.67172453704</v>
      </c>
      <c r="C192" s="1" t="n">
        <v>46179</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16825-2024</t>
        </is>
      </c>
      <c r="B193" s="1" t="n">
        <v>45411.47335648148</v>
      </c>
      <c r="C193" s="1" t="n">
        <v>46179</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23984-2025</t>
        </is>
      </c>
      <c r="B194" s="1" t="n">
        <v>45796</v>
      </c>
      <c r="C194" s="1" t="n">
        <v>46179</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34588-2024</t>
        </is>
      </c>
      <c r="B195" s="1" t="n">
        <v>45526.3865625</v>
      </c>
      <c r="C195" s="1" t="n">
        <v>46179</v>
      </c>
      <c r="D195" t="inlineStr">
        <is>
          <t>KALMAR LÄN</t>
        </is>
      </c>
      <c r="E195" t="inlineStr">
        <is>
          <t>VIMMERBY</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56659-2023</t>
        </is>
      </c>
      <c r="B196" s="1" t="n">
        <v>45243.84869212963</v>
      </c>
      <c r="C196" s="1" t="n">
        <v>46179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409-2026</t>
        </is>
      </c>
      <c r="B197" s="1" t="n">
        <v>46028.69432870371</v>
      </c>
      <c r="C197" s="1" t="n">
        <v>46179</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406-2026</t>
        </is>
      </c>
      <c r="B198" s="1" t="n">
        <v>46028.68663194445</v>
      </c>
      <c r="C198" s="1" t="n">
        <v>46179</v>
      </c>
      <c r="D198" t="inlineStr">
        <is>
          <t>KALMAR LÄN</t>
        </is>
      </c>
      <c r="E198" t="inlineStr">
        <is>
          <t>VIMMERBY</t>
        </is>
      </c>
      <c r="G198" t="n">
        <v>1.8</v>
      </c>
      <c r="H198" t="n">
        <v>0</v>
      </c>
      <c r="I198" t="n">
        <v>0</v>
      </c>
      <c r="J198" t="n">
        <v>0</v>
      </c>
      <c r="K198" t="n">
        <v>0</v>
      </c>
      <c r="L198" t="n">
        <v>0</v>
      </c>
      <c r="M198" t="n">
        <v>0</v>
      </c>
      <c r="N198" t="n">
        <v>0</v>
      </c>
      <c r="O198" t="n">
        <v>0</v>
      </c>
      <c r="P198" t="n">
        <v>0</v>
      </c>
      <c r="Q198" t="n">
        <v>0</v>
      </c>
      <c r="R198" s="2" t="inlineStr"/>
    </row>
    <row r="199" ht="15" customHeight="1">
      <c r="A199" t="inlineStr">
        <is>
          <t>A 579-2026</t>
        </is>
      </c>
      <c r="B199" s="1" t="n">
        <v>46029.47912037037</v>
      </c>
      <c r="C199" s="1" t="n">
        <v>46179</v>
      </c>
      <c r="D199" t="inlineStr">
        <is>
          <t>KALMAR LÄN</t>
        </is>
      </c>
      <c r="E199" t="inlineStr">
        <is>
          <t>VIMMERBY</t>
        </is>
      </c>
      <c r="G199" t="n">
        <v>3</v>
      </c>
      <c r="H199" t="n">
        <v>0</v>
      </c>
      <c r="I199" t="n">
        <v>0</v>
      </c>
      <c r="J199" t="n">
        <v>0</v>
      </c>
      <c r="K199" t="n">
        <v>0</v>
      </c>
      <c r="L199" t="n">
        <v>0</v>
      </c>
      <c r="M199" t="n">
        <v>0</v>
      </c>
      <c r="N199" t="n">
        <v>0</v>
      </c>
      <c r="O199" t="n">
        <v>0</v>
      </c>
      <c r="P199" t="n">
        <v>0</v>
      </c>
      <c r="Q199" t="n">
        <v>0</v>
      </c>
      <c r="R199" s="2" t="inlineStr"/>
    </row>
    <row r="200" ht="15" customHeight="1">
      <c r="A200" t="inlineStr">
        <is>
          <t>A 38604-2025</t>
        </is>
      </c>
      <c r="B200" s="1" t="n">
        <v>45884.50613425926</v>
      </c>
      <c r="C200" s="1" t="n">
        <v>46179</v>
      </c>
      <c r="D200" t="inlineStr">
        <is>
          <t>KALMAR LÄN</t>
        </is>
      </c>
      <c r="E200" t="inlineStr">
        <is>
          <t>VIMMERBY</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3331-2023</t>
        </is>
      </c>
      <c r="B201" s="1" t="n">
        <v>44949</v>
      </c>
      <c r="C201" s="1" t="n">
        <v>46179</v>
      </c>
      <c r="D201" t="inlineStr">
        <is>
          <t>KALMAR LÄN</t>
        </is>
      </c>
      <c r="E201" t="inlineStr">
        <is>
          <t>VIMMERBY</t>
        </is>
      </c>
      <c r="G201" t="n">
        <v>6.2</v>
      </c>
      <c r="H201" t="n">
        <v>0</v>
      </c>
      <c r="I201" t="n">
        <v>0</v>
      </c>
      <c r="J201" t="n">
        <v>0</v>
      </c>
      <c r="K201" t="n">
        <v>0</v>
      </c>
      <c r="L201" t="n">
        <v>0</v>
      </c>
      <c r="M201" t="n">
        <v>0</v>
      </c>
      <c r="N201" t="n">
        <v>0</v>
      </c>
      <c r="O201" t="n">
        <v>0</v>
      </c>
      <c r="P201" t="n">
        <v>0</v>
      </c>
      <c r="Q201" t="n">
        <v>0</v>
      </c>
      <c r="R201" s="2" t="inlineStr"/>
    </row>
    <row r="202" ht="15" customHeight="1">
      <c r="A202" t="inlineStr">
        <is>
          <t>A 842-2026</t>
        </is>
      </c>
      <c r="B202" s="1" t="n">
        <v>46030.380625</v>
      </c>
      <c r="C202" s="1" t="n">
        <v>46179</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1069-2026</t>
        </is>
      </c>
      <c r="B203" s="1" t="n">
        <v>46030</v>
      </c>
      <c r="C203" s="1" t="n">
        <v>46179</v>
      </c>
      <c r="D203" t="inlineStr">
        <is>
          <t>KALMAR LÄN</t>
        </is>
      </c>
      <c r="E203" t="inlineStr">
        <is>
          <t>VIMMERBY</t>
        </is>
      </c>
      <c r="G203" t="n">
        <v>3.3</v>
      </c>
      <c r="H203" t="n">
        <v>0</v>
      </c>
      <c r="I203" t="n">
        <v>0</v>
      </c>
      <c r="J203" t="n">
        <v>0</v>
      </c>
      <c r="K203" t="n">
        <v>0</v>
      </c>
      <c r="L203" t="n">
        <v>0</v>
      </c>
      <c r="M203" t="n">
        <v>0</v>
      </c>
      <c r="N203" t="n">
        <v>0</v>
      </c>
      <c r="O203" t="n">
        <v>0</v>
      </c>
      <c r="P203" t="n">
        <v>0</v>
      </c>
      <c r="Q203" t="n">
        <v>0</v>
      </c>
      <c r="R203" s="2" t="inlineStr"/>
    </row>
    <row r="204" ht="15" customHeight="1">
      <c r="A204" t="inlineStr">
        <is>
          <t>A 40828-2023</t>
        </is>
      </c>
      <c r="B204" s="1" t="n">
        <v>45171.96248842592</v>
      </c>
      <c r="C204" s="1" t="n">
        <v>46179</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16734-2023</t>
        </is>
      </c>
      <c r="B205" s="1" t="n">
        <v>45030.71012731481</v>
      </c>
      <c r="C205" s="1" t="n">
        <v>46179</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64143-2021</t>
        </is>
      </c>
      <c r="B206" s="1" t="n">
        <v>44510.52157407408</v>
      </c>
      <c r="C206" s="1" t="n">
        <v>46179</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1743-2026</t>
        </is>
      </c>
      <c r="B207" s="1" t="n">
        <v>46034</v>
      </c>
      <c r="C207" s="1" t="n">
        <v>46179</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9720-2023</t>
        </is>
      </c>
      <c r="B208" s="1" t="n">
        <v>44984</v>
      </c>
      <c r="C208" s="1" t="n">
        <v>46179</v>
      </c>
      <c r="D208" t="inlineStr">
        <is>
          <t>KALMAR LÄN</t>
        </is>
      </c>
      <c r="E208" t="inlineStr">
        <is>
          <t>VIMMERBY</t>
        </is>
      </c>
      <c r="G208" t="n">
        <v>4.4</v>
      </c>
      <c r="H208" t="n">
        <v>0</v>
      </c>
      <c r="I208" t="n">
        <v>0</v>
      </c>
      <c r="J208" t="n">
        <v>0</v>
      </c>
      <c r="K208" t="n">
        <v>0</v>
      </c>
      <c r="L208" t="n">
        <v>0</v>
      </c>
      <c r="M208" t="n">
        <v>0</v>
      </c>
      <c r="N208" t="n">
        <v>0</v>
      </c>
      <c r="O208" t="n">
        <v>0</v>
      </c>
      <c r="P208" t="n">
        <v>0</v>
      </c>
      <c r="Q208" t="n">
        <v>0</v>
      </c>
      <c r="R208" s="2" t="inlineStr"/>
    </row>
    <row r="209" ht="15" customHeight="1">
      <c r="A209" t="inlineStr">
        <is>
          <t>A 5938-2022</t>
        </is>
      </c>
      <c r="B209" s="1" t="n">
        <v>44598</v>
      </c>
      <c r="C209" s="1" t="n">
        <v>46179</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1687-2023</t>
        </is>
      </c>
      <c r="B210" s="1" t="n">
        <v>44938</v>
      </c>
      <c r="C210" s="1" t="n">
        <v>46179</v>
      </c>
      <c r="D210" t="inlineStr">
        <is>
          <t>KALMAR LÄN</t>
        </is>
      </c>
      <c r="E210" t="inlineStr">
        <is>
          <t>VIMMERBY</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29440-2024</t>
        </is>
      </c>
      <c r="B211" s="1" t="n">
        <v>45483.82479166667</v>
      </c>
      <c r="C211" s="1" t="n">
        <v>46179</v>
      </c>
      <c r="D211" t="inlineStr">
        <is>
          <t>KALMAR LÄN</t>
        </is>
      </c>
      <c r="E211" t="inlineStr">
        <is>
          <t>VIMMERBY</t>
        </is>
      </c>
      <c r="G211" t="n">
        <v>4.5</v>
      </c>
      <c r="H211" t="n">
        <v>0</v>
      </c>
      <c r="I211" t="n">
        <v>0</v>
      </c>
      <c r="J211" t="n">
        <v>0</v>
      </c>
      <c r="K211" t="n">
        <v>0</v>
      </c>
      <c r="L211" t="n">
        <v>0</v>
      </c>
      <c r="M211" t="n">
        <v>0</v>
      </c>
      <c r="N211" t="n">
        <v>0</v>
      </c>
      <c r="O211" t="n">
        <v>0</v>
      </c>
      <c r="P211" t="n">
        <v>0</v>
      </c>
      <c r="Q211" t="n">
        <v>0</v>
      </c>
      <c r="R211" s="2" t="inlineStr"/>
    </row>
    <row r="212" ht="15" customHeight="1">
      <c r="A212" t="inlineStr">
        <is>
          <t>A 30921-2024</t>
        </is>
      </c>
      <c r="B212" s="1" t="n">
        <v>45498</v>
      </c>
      <c r="C212" s="1" t="n">
        <v>46179</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53482-2022</t>
        </is>
      </c>
      <c r="B213" s="1" t="n">
        <v>44879</v>
      </c>
      <c r="C213" s="1" t="n">
        <v>46179</v>
      </c>
      <c r="D213" t="inlineStr">
        <is>
          <t>KALMAR LÄN</t>
        </is>
      </c>
      <c r="E213" t="inlineStr">
        <is>
          <t>VIMMERBY</t>
        </is>
      </c>
      <c r="G213" t="n">
        <v>10.1</v>
      </c>
      <c r="H213" t="n">
        <v>0</v>
      </c>
      <c r="I213" t="n">
        <v>0</v>
      </c>
      <c r="J213" t="n">
        <v>0</v>
      </c>
      <c r="K213" t="n">
        <v>0</v>
      </c>
      <c r="L213" t="n">
        <v>0</v>
      </c>
      <c r="M213" t="n">
        <v>0</v>
      </c>
      <c r="N213" t="n">
        <v>0</v>
      </c>
      <c r="O213" t="n">
        <v>0</v>
      </c>
      <c r="P213" t="n">
        <v>0</v>
      </c>
      <c r="Q213" t="n">
        <v>0</v>
      </c>
      <c r="R213" s="2" t="inlineStr"/>
    </row>
    <row r="214" ht="15" customHeight="1">
      <c r="A214" t="inlineStr">
        <is>
          <t>A 1748-2026</t>
        </is>
      </c>
      <c r="B214" s="1" t="n">
        <v>46034.65589120371</v>
      </c>
      <c r="C214" s="1" t="n">
        <v>46179</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29180-2024</t>
        </is>
      </c>
      <c r="B215" s="1" t="n">
        <v>45482.54108796296</v>
      </c>
      <c r="C215" s="1" t="n">
        <v>46179</v>
      </c>
      <c r="D215" t="inlineStr">
        <is>
          <t>KALMAR LÄN</t>
        </is>
      </c>
      <c r="E215" t="inlineStr">
        <is>
          <t>VIMMERBY</t>
        </is>
      </c>
      <c r="G215" t="n">
        <v>3.8</v>
      </c>
      <c r="H215" t="n">
        <v>0</v>
      </c>
      <c r="I215" t="n">
        <v>0</v>
      </c>
      <c r="J215" t="n">
        <v>0</v>
      </c>
      <c r="K215" t="n">
        <v>0</v>
      </c>
      <c r="L215" t="n">
        <v>0</v>
      </c>
      <c r="M215" t="n">
        <v>0</v>
      </c>
      <c r="N215" t="n">
        <v>0</v>
      </c>
      <c r="O215" t="n">
        <v>0</v>
      </c>
      <c r="P215" t="n">
        <v>0</v>
      </c>
      <c r="Q215" t="n">
        <v>0</v>
      </c>
      <c r="R215" s="2" t="inlineStr"/>
    </row>
    <row r="216" ht="15" customHeight="1">
      <c r="A216" t="inlineStr">
        <is>
          <t>A 1862-2026</t>
        </is>
      </c>
      <c r="B216" s="1" t="n">
        <v>46035.44689814815</v>
      </c>
      <c r="C216" s="1" t="n">
        <v>46179</v>
      </c>
      <c r="D216" t="inlineStr">
        <is>
          <t>KALMAR LÄN</t>
        </is>
      </c>
      <c r="E216" t="inlineStr">
        <is>
          <t>VIMMERBY</t>
        </is>
      </c>
      <c r="G216" t="n">
        <v>3.1</v>
      </c>
      <c r="H216" t="n">
        <v>0</v>
      </c>
      <c r="I216" t="n">
        <v>0</v>
      </c>
      <c r="J216" t="n">
        <v>0</v>
      </c>
      <c r="K216" t="n">
        <v>0</v>
      </c>
      <c r="L216" t="n">
        <v>0</v>
      </c>
      <c r="M216" t="n">
        <v>0</v>
      </c>
      <c r="N216" t="n">
        <v>0</v>
      </c>
      <c r="O216" t="n">
        <v>0</v>
      </c>
      <c r="P216" t="n">
        <v>0</v>
      </c>
      <c r="Q216" t="n">
        <v>0</v>
      </c>
      <c r="R216" s="2" t="inlineStr"/>
    </row>
    <row r="217" ht="15" customHeight="1">
      <c r="A217" t="inlineStr">
        <is>
          <t>A 51278-2024</t>
        </is>
      </c>
      <c r="B217" s="1" t="n">
        <v>45603.74959490741</v>
      </c>
      <c r="C217" s="1" t="n">
        <v>46179</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54838-2024</t>
        </is>
      </c>
      <c r="B218" s="1" t="n">
        <v>45618.56787037037</v>
      </c>
      <c r="C218" s="1" t="n">
        <v>46179</v>
      </c>
      <c r="D218" t="inlineStr">
        <is>
          <t>KALMAR LÄN</t>
        </is>
      </c>
      <c r="E218" t="inlineStr">
        <is>
          <t>VIMMERBY</t>
        </is>
      </c>
      <c r="G218" t="n">
        <v>3.3</v>
      </c>
      <c r="H218" t="n">
        <v>0</v>
      </c>
      <c r="I218" t="n">
        <v>0</v>
      </c>
      <c r="J218" t="n">
        <v>0</v>
      </c>
      <c r="K218" t="n">
        <v>0</v>
      </c>
      <c r="L218" t="n">
        <v>0</v>
      </c>
      <c r="M218" t="n">
        <v>0</v>
      </c>
      <c r="N218" t="n">
        <v>0</v>
      </c>
      <c r="O218" t="n">
        <v>0</v>
      </c>
      <c r="P218" t="n">
        <v>0</v>
      </c>
      <c r="Q218" t="n">
        <v>0</v>
      </c>
      <c r="R218" s="2" t="inlineStr"/>
    </row>
    <row r="219" ht="15" customHeight="1">
      <c r="A219" t="inlineStr">
        <is>
          <t>A 25987-2024</t>
        </is>
      </c>
      <c r="B219" s="1" t="n">
        <v>45467.74417824074</v>
      </c>
      <c r="C219" s="1" t="n">
        <v>46179</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25109-2023</t>
        </is>
      </c>
      <c r="B220" s="1" t="n">
        <v>45086</v>
      </c>
      <c r="C220" s="1" t="n">
        <v>46179</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35082-2024</t>
        </is>
      </c>
      <c r="B221" s="1" t="n">
        <v>45527.68784722222</v>
      </c>
      <c r="C221" s="1" t="n">
        <v>46179</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62023-2022</t>
        </is>
      </c>
      <c r="B222" s="1" t="n">
        <v>44918.50106481482</v>
      </c>
      <c r="C222" s="1" t="n">
        <v>46179</v>
      </c>
      <c r="D222" t="inlineStr">
        <is>
          <t>KALMAR LÄN</t>
        </is>
      </c>
      <c r="E222" t="inlineStr">
        <is>
          <t>VIMMERBY</t>
        </is>
      </c>
      <c r="G222" t="n">
        <v>0.3</v>
      </c>
      <c r="H222" t="n">
        <v>0</v>
      </c>
      <c r="I222" t="n">
        <v>0</v>
      </c>
      <c r="J222" t="n">
        <v>0</v>
      </c>
      <c r="K222" t="n">
        <v>0</v>
      </c>
      <c r="L222" t="n">
        <v>0</v>
      </c>
      <c r="M222" t="n">
        <v>0</v>
      </c>
      <c r="N222" t="n">
        <v>0</v>
      </c>
      <c r="O222" t="n">
        <v>0</v>
      </c>
      <c r="P222" t="n">
        <v>0</v>
      </c>
      <c r="Q222" t="n">
        <v>0</v>
      </c>
      <c r="R222" s="2" t="inlineStr"/>
    </row>
    <row r="223" ht="15" customHeight="1">
      <c r="A223" t="inlineStr">
        <is>
          <t>A 29726-2025</t>
        </is>
      </c>
      <c r="B223" s="1" t="n">
        <v>45825.57805555555</v>
      </c>
      <c r="C223" s="1" t="n">
        <v>46179</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44582-2024</t>
        </is>
      </c>
      <c r="B224" s="1" t="n">
        <v>45574.49298611111</v>
      </c>
      <c r="C224" s="1" t="n">
        <v>46179</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58104-2024</t>
        </is>
      </c>
      <c r="B225" s="1" t="n">
        <v>45632.37459490741</v>
      </c>
      <c r="C225" s="1" t="n">
        <v>46179</v>
      </c>
      <c r="D225" t="inlineStr">
        <is>
          <t>KALMAR LÄN</t>
        </is>
      </c>
      <c r="E225" t="inlineStr">
        <is>
          <t>VIMMERBY</t>
        </is>
      </c>
      <c r="G225" t="n">
        <v>5</v>
      </c>
      <c r="H225" t="n">
        <v>0</v>
      </c>
      <c r="I225" t="n">
        <v>0</v>
      </c>
      <c r="J225" t="n">
        <v>0</v>
      </c>
      <c r="K225" t="n">
        <v>0</v>
      </c>
      <c r="L225" t="n">
        <v>0</v>
      </c>
      <c r="M225" t="n">
        <v>0</v>
      </c>
      <c r="N225" t="n">
        <v>0</v>
      </c>
      <c r="O225" t="n">
        <v>0</v>
      </c>
      <c r="P225" t="n">
        <v>0</v>
      </c>
      <c r="Q225" t="n">
        <v>0</v>
      </c>
      <c r="R225" s="2" t="inlineStr"/>
    </row>
    <row r="226" ht="15" customHeight="1">
      <c r="A226" t="inlineStr">
        <is>
          <t>A 9456-2025</t>
        </is>
      </c>
      <c r="B226" s="1" t="n">
        <v>45715.44159722222</v>
      </c>
      <c r="C226" s="1" t="n">
        <v>46179</v>
      </c>
      <c r="D226" t="inlineStr">
        <is>
          <t>KALMAR LÄN</t>
        </is>
      </c>
      <c r="E226" t="inlineStr">
        <is>
          <t>VIMMERBY</t>
        </is>
      </c>
      <c r="G226" t="n">
        <v>1.5</v>
      </c>
      <c r="H226" t="n">
        <v>0</v>
      </c>
      <c r="I226" t="n">
        <v>0</v>
      </c>
      <c r="J226" t="n">
        <v>0</v>
      </c>
      <c r="K226" t="n">
        <v>0</v>
      </c>
      <c r="L226" t="n">
        <v>0</v>
      </c>
      <c r="M226" t="n">
        <v>0</v>
      </c>
      <c r="N226" t="n">
        <v>0</v>
      </c>
      <c r="O226" t="n">
        <v>0</v>
      </c>
      <c r="P226" t="n">
        <v>0</v>
      </c>
      <c r="Q226" t="n">
        <v>0</v>
      </c>
      <c r="R226" s="2" t="inlineStr"/>
    </row>
    <row r="227" ht="15" customHeight="1">
      <c r="A227" t="inlineStr">
        <is>
          <t>A 12215-2024</t>
        </is>
      </c>
      <c r="B227" s="1" t="n">
        <v>45378.32185185186</v>
      </c>
      <c r="C227" s="1" t="n">
        <v>46179</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11111-2023</t>
        </is>
      </c>
      <c r="B228" s="1" t="n">
        <v>44992.4255787037</v>
      </c>
      <c r="C228" s="1" t="n">
        <v>46179</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30920-2024</t>
        </is>
      </c>
      <c r="B229" s="1" t="n">
        <v>45498.673125</v>
      </c>
      <c r="C229" s="1" t="n">
        <v>46179</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56536-2022</t>
        </is>
      </c>
      <c r="B230" s="1" t="n">
        <v>44893</v>
      </c>
      <c r="C230" s="1" t="n">
        <v>46179</v>
      </c>
      <c r="D230" t="inlineStr">
        <is>
          <t>KALMAR LÄN</t>
        </is>
      </c>
      <c r="E230" t="inlineStr">
        <is>
          <t>VIMMERBY</t>
        </is>
      </c>
      <c r="G230" t="n">
        <v>3.2</v>
      </c>
      <c r="H230" t="n">
        <v>0</v>
      </c>
      <c r="I230" t="n">
        <v>0</v>
      </c>
      <c r="J230" t="n">
        <v>0</v>
      </c>
      <c r="K230" t="n">
        <v>0</v>
      </c>
      <c r="L230" t="n">
        <v>0</v>
      </c>
      <c r="M230" t="n">
        <v>0</v>
      </c>
      <c r="N230" t="n">
        <v>0</v>
      </c>
      <c r="O230" t="n">
        <v>0</v>
      </c>
      <c r="P230" t="n">
        <v>0</v>
      </c>
      <c r="Q230" t="n">
        <v>0</v>
      </c>
      <c r="R230" s="2" t="inlineStr"/>
    </row>
    <row r="231" ht="15" customHeight="1">
      <c r="A231" t="inlineStr">
        <is>
          <t>A 63541-2023</t>
        </is>
      </c>
      <c r="B231" s="1" t="n">
        <v>45275.32266203704</v>
      </c>
      <c r="C231" s="1" t="n">
        <v>46179</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37323-2024</t>
        </is>
      </c>
      <c r="B232" s="1" t="n">
        <v>45540.50098379629</v>
      </c>
      <c r="C232" s="1" t="n">
        <v>46179</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58724-2024</t>
        </is>
      </c>
      <c r="B233" s="1" t="n">
        <v>45635.66409722222</v>
      </c>
      <c r="C233" s="1" t="n">
        <v>46179</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11429-2022</t>
        </is>
      </c>
      <c r="B234" s="1" t="n">
        <v>44630</v>
      </c>
      <c r="C234" s="1" t="n">
        <v>46179</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15494-2024</t>
        </is>
      </c>
      <c r="B235" s="1" t="n">
        <v>45401.53033564815</v>
      </c>
      <c r="C235" s="1" t="n">
        <v>46179</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56582-2022</t>
        </is>
      </c>
      <c r="B236" s="1" t="n">
        <v>44893</v>
      </c>
      <c r="C236" s="1" t="n">
        <v>46179</v>
      </c>
      <c r="D236" t="inlineStr">
        <is>
          <t>KALMAR LÄN</t>
        </is>
      </c>
      <c r="E236" t="inlineStr">
        <is>
          <t>VIMMERBY</t>
        </is>
      </c>
      <c r="G236" t="n">
        <v>2.2</v>
      </c>
      <c r="H236" t="n">
        <v>0</v>
      </c>
      <c r="I236" t="n">
        <v>0</v>
      </c>
      <c r="J236" t="n">
        <v>0</v>
      </c>
      <c r="K236" t="n">
        <v>0</v>
      </c>
      <c r="L236" t="n">
        <v>0</v>
      </c>
      <c r="M236" t="n">
        <v>0</v>
      </c>
      <c r="N236" t="n">
        <v>0</v>
      </c>
      <c r="O236" t="n">
        <v>0</v>
      </c>
      <c r="P236" t="n">
        <v>0</v>
      </c>
      <c r="Q236" t="n">
        <v>0</v>
      </c>
      <c r="R236" s="2" t="inlineStr"/>
    </row>
    <row r="237" ht="15" customHeight="1">
      <c r="A237" t="inlineStr">
        <is>
          <t>A 39807-2025</t>
        </is>
      </c>
      <c r="B237" s="1" t="n">
        <v>45891.50986111111</v>
      </c>
      <c r="C237" s="1" t="n">
        <v>46179</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6408-2025</t>
        </is>
      </c>
      <c r="B238" s="1" t="n">
        <v>45699.45671296296</v>
      </c>
      <c r="C238" s="1" t="n">
        <v>46179</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26046-2025</t>
        </is>
      </c>
      <c r="B239" s="1" t="n">
        <v>45804.708125</v>
      </c>
      <c r="C239" s="1" t="n">
        <v>46179</v>
      </c>
      <c r="D239" t="inlineStr">
        <is>
          <t>KALMAR LÄN</t>
        </is>
      </c>
      <c r="E239" t="inlineStr">
        <is>
          <t>VIMMERBY</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25792-2025</t>
        </is>
      </c>
      <c r="B240" s="1" t="n">
        <v>45804.39141203704</v>
      </c>
      <c r="C240" s="1" t="n">
        <v>46179</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11609-2023</t>
        </is>
      </c>
      <c r="B241" s="1" t="n">
        <v>44994.40635416667</v>
      </c>
      <c r="C241" s="1" t="n">
        <v>46179</v>
      </c>
      <c r="D241" t="inlineStr">
        <is>
          <t>KALMAR LÄN</t>
        </is>
      </c>
      <c r="E241" t="inlineStr">
        <is>
          <t>VIMMERBY</t>
        </is>
      </c>
      <c r="G241" t="n">
        <v>4.9</v>
      </c>
      <c r="H241" t="n">
        <v>0</v>
      </c>
      <c r="I241" t="n">
        <v>0</v>
      </c>
      <c r="J241" t="n">
        <v>0</v>
      </c>
      <c r="K241" t="n">
        <v>0</v>
      </c>
      <c r="L241" t="n">
        <v>0</v>
      </c>
      <c r="M241" t="n">
        <v>0</v>
      </c>
      <c r="N241" t="n">
        <v>0</v>
      </c>
      <c r="O241" t="n">
        <v>0</v>
      </c>
      <c r="P241" t="n">
        <v>0</v>
      </c>
      <c r="Q241" t="n">
        <v>0</v>
      </c>
      <c r="R241" s="2" t="inlineStr"/>
    </row>
    <row r="242" ht="15" customHeight="1">
      <c r="A242" t="inlineStr">
        <is>
          <t>A 39736-2025</t>
        </is>
      </c>
      <c r="B242" s="1" t="n">
        <v>45891</v>
      </c>
      <c r="C242" s="1" t="n">
        <v>46179</v>
      </c>
      <c r="D242" t="inlineStr">
        <is>
          <t>KALMAR LÄN</t>
        </is>
      </c>
      <c r="E242" t="inlineStr">
        <is>
          <t>VIMMERBY</t>
        </is>
      </c>
      <c r="G242" t="n">
        <v>12.8</v>
      </c>
      <c r="H242" t="n">
        <v>0</v>
      </c>
      <c r="I242" t="n">
        <v>0</v>
      </c>
      <c r="J242" t="n">
        <v>0</v>
      </c>
      <c r="K242" t="n">
        <v>0</v>
      </c>
      <c r="L242" t="n">
        <v>0</v>
      </c>
      <c r="M242" t="n">
        <v>0</v>
      </c>
      <c r="N242" t="n">
        <v>0</v>
      </c>
      <c r="O242" t="n">
        <v>0</v>
      </c>
      <c r="P242" t="n">
        <v>0</v>
      </c>
      <c r="Q242" t="n">
        <v>0</v>
      </c>
      <c r="R242" s="2" t="inlineStr"/>
    </row>
    <row r="243" ht="15" customHeight="1">
      <c r="A243" t="inlineStr">
        <is>
          <t>A 44464-2024</t>
        </is>
      </c>
      <c r="B243" s="1" t="n">
        <v>45574.35809027778</v>
      </c>
      <c r="C243" s="1" t="n">
        <v>46179</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39803-2025</t>
        </is>
      </c>
      <c r="B244" s="1" t="n">
        <v>45891.50525462963</v>
      </c>
      <c r="C244" s="1" t="n">
        <v>46179</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41066-2024</t>
        </is>
      </c>
      <c r="B245" s="1" t="n">
        <v>45559.38876157408</v>
      </c>
      <c r="C245" s="1" t="n">
        <v>46179</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3816-2022</t>
        </is>
      </c>
      <c r="B246" s="1" t="n">
        <v>44587</v>
      </c>
      <c r="C246" s="1" t="n">
        <v>46179</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40970-2025</t>
        </is>
      </c>
      <c r="B247" s="1" t="n">
        <v>45897.88706018519</v>
      </c>
      <c r="C247" s="1" t="n">
        <v>46179</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40973-2025</t>
        </is>
      </c>
      <c r="B248" s="1" t="n">
        <v>45897.89737268518</v>
      </c>
      <c r="C248" s="1" t="n">
        <v>46179</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1081-2023</t>
        </is>
      </c>
      <c r="B249" s="1" t="n">
        <v>44935</v>
      </c>
      <c r="C249" s="1" t="n">
        <v>46179</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26124-2025</t>
        </is>
      </c>
      <c r="B250" s="1" t="n">
        <v>45805.39247685186</v>
      </c>
      <c r="C250" s="1" t="n">
        <v>46179</v>
      </c>
      <c r="D250" t="inlineStr">
        <is>
          <t>KALMAR LÄN</t>
        </is>
      </c>
      <c r="E250" t="inlineStr">
        <is>
          <t>VIMMERBY</t>
        </is>
      </c>
      <c r="G250" t="n">
        <v>6.6</v>
      </c>
      <c r="H250" t="n">
        <v>0</v>
      </c>
      <c r="I250" t="n">
        <v>0</v>
      </c>
      <c r="J250" t="n">
        <v>0</v>
      </c>
      <c r="K250" t="n">
        <v>0</v>
      </c>
      <c r="L250" t="n">
        <v>0</v>
      </c>
      <c r="M250" t="n">
        <v>0</v>
      </c>
      <c r="N250" t="n">
        <v>0</v>
      </c>
      <c r="O250" t="n">
        <v>0</v>
      </c>
      <c r="P250" t="n">
        <v>0</v>
      </c>
      <c r="Q250" t="n">
        <v>0</v>
      </c>
      <c r="R250" s="2" t="inlineStr"/>
    </row>
    <row r="251" ht="15" customHeight="1">
      <c r="A251" t="inlineStr">
        <is>
          <t>A 7047-2022</t>
        </is>
      </c>
      <c r="B251" s="1" t="n">
        <v>44603</v>
      </c>
      <c r="C251" s="1" t="n">
        <v>46179</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12499-2023</t>
        </is>
      </c>
      <c r="B252" s="1" t="n">
        <v>44999.86172453704</v>
      </c>
      <c r="C252" s="1" t="n">
        <v>46179</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12500-2023</t>
        </is>
      </c>
      <c r="B253" s="1" t="n">
        <v>44999.8625</v>
      </c>
      <c r="C253" s="1" t="n">
        <v>46179</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6066-2023</t>
        </is>
      </c>
      <c r="B254" s="1" t="n">
        <v>44964.50894675926</v>
      </c>
      <c r="C254" s="1" t="n">
        <v>46179</v>
      </c>
      <c r="D254" t="inlineStr">
        <is>
          <t>KALMAR LÄN</t>
        </is>
      </c>
      <c r="E254" t="inlineStr">
        <is>
          <t>VIMMERBY</t>
        </is>
      </c>
      <c r="G254" t="n">
        <v>2.8</v>
      </c>
      <c r="H254" t="n">
        <v>0</v>
      </c>
      <c r="I254" t="n">
        <v>0</v>
      </c>
      <c r="J254" t="n">
        <v>0</v>
      </c>
      <c r="K254" t="n">
        <v>0</v>
      </c>
      <c r="L254" t="n">
        <v>0</v>
      </c>
      <c r="M254" t="n">
        <v>0</v>
      </c>
      <c r="N254" t="n">
        <v>0</v>
      </c>
      <c r="O254" t="n">
        <v>0</v>
      </c>
      <c r="P254" t="n">
        <v>0</v>
      </c>
      <c r="Q254" t="n">
        <v>0</v>
      </c>
      <c r="R254" s="2" t="inlineStr"/>
    </row>
    <row r="255" ht="15" customHeight="1">
      <c r="A255" t="inlineStr">
        <is>
          <t>A 33103-2024</t>
        </is>
      </c>
      <c r="B255" s="1" t="n">
        <v>45517.8162037037</v>
      </c>
      <c r="C255" s="1" t="n">
        <v>46179</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33161-2024</t>
        </is>
      </c>
      <c r="B256" s="1" t="n">
        <v>45518.40657407408</v>
      </c>
      <c r="C256" s="1" t="n">
        <v>46179</v>
      </c>
      <c r="D256" t="inlineStr">
        <is>
          <t>KALMAR LÄN</t>
        </is>
      </c>
      <c r="E256" t="inlineStr">
        <is>
          <t>VIMMERBY</t>
        </is>
      </c>
      <c r="G256" t="n">
        <v>4.7</v>
      </c>
      <c r="H256" t="n">
        <v>0</v>
      </c>
      <c r="I256" t="n">
        <v>0</v>
      </c>
      <c r="J256" t="n">
        <v>0</v>
      </c>
      <c r="K256" t="n">
        <v>0</v>
      </c>
      <c r="L256" t="n">
        <v>0</v>
      </c>
      <c r="M256" t="n">
        <v>0</v>
      </c>
      <c r="N256" t="n">
        <v>0</v>
      </c>
      <c r="O256" t="n">
        <v>0</v>
      </c>
      <c r="P256" t="n">
        <v>0</v>
      </c>
      <c r="Q256" t="n">
        <v>0</v>
      </c>
      <c r="R256" s="2" t="inlineStr"/>
    </row>
    <row r="257" ht="15" customHeight="1">
      <c r="A257" t="inlineStr">
        <is>
          <t>A 12510-2022</t>
        </is>
      </c>
      <c r="B257" s="1" t="n">
        <v>44638.55256944444</v>
      </c>
      <c r="C257" s="1" t="n">
        <v>46179</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26207-2025</t>
        </is>
      </c>
      <c r="B258" s="1" t="n">
        <v>45805.52983796296</v>
      </c>
      <c r="C258" s="1" t="n">
        <v>46179</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2523-2026</t>
        </is>
      </c>
      <c r="B259" s="1" t="n">
        <v>46037.42825231481</v>
      </c>
      <c r="C259" s="1" t="n">
        <v>46179</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40971-2025</t>
        </is>
      </c>
      <c r="B260" s="1" t="n">
        <v>45897.88836805556</v>
      </c>
      <c r="C260" s="1" t="n">
        <v>46179</v>
      </c>
      <c r="D260" t="inlineStr">
        <is>
          <t>KALMAR LÄN</t>
        </is>
      </c>
      <c r="E260" t="inlineStr">
        <is>
          <t>VIMMERBY</t>
        </is>
      </c>
      <c r="G260" t="n">
        <v>1.5</v>
      </c>
      <c r="H260" t="n">
        <v>0</v>
      </c>
      <c r="I260" t="n">
        <v>0</v>
      </c>
      <c r="J260" t="n">
        <v>0</v>
      </c>
      <c r="K260" t="n">
        <v>0</v>
      </c>
      <c r="L260" t="n">
        <v>0</v>
      </c>
      <c r="M260" t="n">
        <v>0</v>
      </c>
      <c r="N260" t="n">
        <v>0</v>
      </c>
      <c r="O260" t="n">
        <v>0</v>
      </c>
      <c r="P260" t="n">
        <v>0</v>
      </c>
      <c r="Q260" t="n">
        <v>0</v>
      </c>
      <c r="R260" s="2" t="inlineStr"/>
    </row>
    <row r="261" ht="15" customHeight="1">
      <c r="A261" t="inlineStr">
        <is>
          <t>A 1146-2025</t>
        </is>
      </c>
      <c r="B261" s="1" t="n">
        <v>45666</v>
      </c>
      <c r="C261" s="1" t="n">
        <v>46179</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41591-2025</t>
        </is>
      </c>
      <c r="B262" s="1" t="n">
        <v>45901.6327662037</v>
      </c>
      <c r="C262" s="1" t="n">
        <v>46179</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12890-2023</t>
        </is>
      </c>
      <c r="B263" s="1" t="n">
        <v>45001.59209490741</v>
      </c>
      <c r="C263" s="1" t="n">
        <v>46179</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41589-2025</t>
        </is>
      </c>
      <c r="B264" s="1" t="n">
        <v>45901.63219907408</v>
      </c>
      <c r="C264" s="1" t="n">
        <v>46179</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3902-2022</t>
        </is>
      </c>
      <c r="B265" s="1" t="n">
        <v>44587.48847222222</v>
      </c>
      <c r="C265" s="1" t="n">
        <v>46179</v>
      </c>
      <c r="D265" t="inlineStr">
        <is>
          <t>KALMAR LÄN</t>
        </is>
      </c>
      <c r="E265" t="inlineStr">
        <is>
          <t>VIMMERBY</t>
        </is>
      </c>
      <c r="G265" t="n">
        <v>2.6</v>
      </c>
      <c r="H265" t="n">
        <v>0</v>
      </c>
      <c r="I265" t="n">
        <v>0</v>
      </c>
      <c r="J265" t="n">
        <v>0</v>
      </c>
      <c r="K265" t="n">
        <v>0</v>
      </c>
      <c r="L265" t="n">
        <v>0</v>
      </c>
      <c r="M265" t="n">
        <v>0</v>
      </c>
      <c r="N265" t="n">
        <v>0</v>
      </c>
      <c r="O265" t="n">
        <v>0</v>
      </c>
      <c r="P265" t="n">
        <v>0</v>
      </c>
      <c r="Q265" t="n">
        <v>0</v>
      </c>
      <c r="R265" s="2" t="inlineStr"/>
    </row>
    <row r="266" ht="15" customHeight="1">
      <c r="A266" t="inlineStr">
        <is>
          <t>A 89-2023</t>
        </is>
      </c>
      <c r="B266" s="1" t="n">
        <v>44918</v>
      </c>
      <c r="C266" s="1" t="n">
        <v>46179</v>
      </c>
      <c r="D266" t="inlineStr">
        <is>
          <t>KALMAR LÄN</t>
        </is>
      </c>
      <c r="E266" t="inlineStr">
        <is>
          <t>VIMMERBY</t>
        </is>
      </c>
      <c r="G266" t="n">
        <v>16.1</v>
      </c>
      <c r="H266" t="n">
        <v>0</v>
      </c>
      <c r="I266" t="n">
        <v>0</v>
      </c>
      <c r="J266" t="n">
        <v>0</v>
      </c>
      <c r="K266" t="n">
        <v>0</v>
      </c>
      <c r="L266" t="n">
        <v>0</v>
      </c>
      <c r="M266" t="n">
        <v>0</v>
      </c>
      <c r="N266" t="n">
        <v>0</v>
      </c>
      <c r="O266" t="n">
        <v>0</v>
      </c>
      <c r="P266" t="n">
        <v>0</v>
      </c>
      <c r="Q266" t="n">
        <v>0</v>
      </c>
      <c r="R266" s="2" t="inlineStr"/>
    </row>
    <row r="267" ht="15" customHeight="1">
      <c r="A267" t="inlineStr">
        <is>
          <t>A 5382-2023</t>
        </is>
      </c>
      <c r="B267" s="1" t="n">
        <v>44959.66407407408</v>
      </c>
      <c r="C267" s="1" t="n">
        <v>46179</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6668-2023</t>
        </is>
      </c>
      <c r="B268" s="1" t="n">
        <v>44966</v>
      </c>
      <c r="C268" s="1" t="n">
        <v>46179</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172-2022</t>
        </is>
      </c>
      <c r="B269" s="1" t="n">
        <v>44564.62598379629</v>
      </c>
      <c r="C269" s="1" t="n">
        <v>46179</v>
      </c>
      <c r="D269" t="inlineStr">
        <is>
          <t>KALMAR LÄN</t>
        </is>
      </c>
      <c r="E269" t="inlineStr">
        <is>
          <t>VIMMERBY</t>
        </is>
      </c>
      <c r="G269" t="n">
        <v>2.1</v>
      </c>
      <c r="H269" t="n">
        <v>0</v>
      </c>
      <c r="I269" t="n">
        <v>0</v>
      </c>
      <c r="J269" t="n">
        <v>0</v>
      </c>
      <c r="K269" t="n">
        <v>0</v>
      </c>
      <c r="L269" t="n">
        <v>0</v>
      </c>
      <c r="M269" t="n">
        <v>0</v>
      </c>
      <c r="N269" t="n">
        <v>0</v>
      </c>
      <c r="O269" t="n">
        <v>0</v>
      </c>
      <c r="P269" t="n">
        <v>0</v>
      </c>
      <c r="Q269" t="n">
        <v>0</v>
      </c>
      <c r="R269" s="2" t="inlineStr"/>
    </row>
    <row r="270" ht="15" customHeight="1">
      <c r="A270" t="inlineStr">
        <is>
          <t>A 34090-2025</t>
        </is>
      </c>
      <c r="B270" s="1" t="n">
        <v>45845</v>
      </c>
      <c r="C270" s="1" t="n">
        <v>46179</v>
      </c>
      <c r="D270" t="inlineStr">
        <is>
          <t>KALMAR LÄN</t>
        </is>
      </c>
      <c r="E270" t="inlineStr">
        <is>
          <t>VIMMERBY</t>
        </is>
      </c>
      <c r="G270" t="n">
        <v>2.8</v>
      </c>
      <c r="H270" t="n">
        <v>0</v>
      </c>
      <c r="I270" t="n">
        <v>0</v>
      </c>
      <c r="J270" t="n">
        <v>0</v>
      </c>
      <c r="K270" t="n">
        <v>0</v>
      </c>
      <c r="L270" t="n">
        <v>0</v>
      </c>
      <c r="M270" t="n">
        <v>0</v>
      </c>
      <c r="N270" t="n">
        <v>0</v>
      </c>
      <c r="O270" t="n">
        <v>0</v>
      </c>
      <c r="P270" t="n">
        <v>0</v>
      </c>
      <c r="Q270" t="n">
        <v>0</v>
      </c>
      <c r="R270" s="2" t="inlineStr"/>
    </row>
    <row r="271" ht="15" customHeight="1">
      <c r="A271" t="inlineStr">
        <is>
          <t>A 2514-2026</t>
        </is>
      </c>
      <c r="B271" s="1" t="n">
        <v>46037.42219907408</v>
      </c>
      <c r="C271" s="1" t="n">
        <v>46179</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2518-2026</t>
        </is>
      </c>
      <c r="B272" s="1" t="n">
        <v>46037.42511574074</v>
      </c>
      <c r="C272" s="1" t="n">
        <v>46179</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30634-2024</t>
        </is>
      </c>
      <c r="B273" s="1" t="n">
        <v>45495</v>
      </c>
      <c r="C273" s="1" t="n">
        <v>46179</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6355-2022</t>
        </is>
      </c>
      <c r="B274" s="1" t="n">
        <v>44600</v>
      </c>
      <c r="C274" s="1" t="n">
        <v>46179</v>
      </c>
      <c r="D274" t="inlineStr">
        <is>
          <t>KALMAR LÄN</t>
        </is>
      </c>
      <c r="E274" t="inlineStr">
        <is>
          <t>VIMMERBY</t>
        </is>
      </c>
      <c r="G274" t="n">
        <v>4.9</v>
      </c>
      <c r="H274" t="n">
        <v>0</v>
      </c>
      <c r="I274" t="n">
        <v>0</v>
      </c>
      <c r="J274" t="n">
        <v>0</v>
      </c>
      <c r="K274" t="n">
        <v>0</v>
      </c>
      <c r="L274" t="n">
        <v>0</v>
      </c>
      <c r="M274" t="n">
        <v>0</v>
      </c>
      <c r="N274" t="n">
        <v>0</v>
      </c>
      <c r="O274" t="n">
        <v>0</v>
      </c>
      <c r="P274" t="n">
        <v>0</v>
      </c>
      <c r="Q274" t="n">
        <v>0</v>
      </c>
      <c r="R274" s="2" t="inlineStr"/>
    </row>
    <row r="275" ht="15" customHeight="1">
      <c r="A275" t="inlineStr">
        <is>
          <t>A 16020-2023</t>
        </is>
      </c>
      <c r="B275" s="1" t="n">
        <v>45026.82216435186</v>
      </c>
      <c r="C275" s="1" t="n">
        <v>46179</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60292-2022</t>
        </is>
      </c>
      <c r="B276" s="1" t="n">
        <v>44910.54231481482</v>
      </c>
      <c r="C276" s="1" t="n">
        <v>46179</v>
      </c>
      <c r="D276" t="inlineStr">
        <is>
          <t>KALMAR LÄN</t>
        </is>
      </c>
      <c r="E276" t="inlineStr">
        <is>
          <t>VIMMERBY</t>
        </is>
      </c>
      <c r="G276" t="n">
        <v>4.4</v>
      </c>
      <c r="H276" t="n">
        <v>0</v>
      </c>
      <c r="I276" t="n">
        <v>0</v>
      </c>
      <c r="J276" t="n">
        <v>0</v>
      </c>
      <c r="K276" t="n">
        <v>0</v>
      </c>
      <c r="L276" t="n">
        <v>0</v>
      </c>
      <c r="M276" t="n">
        <v>0</v>
      </c>
      <c r="N276" t="n">
        <v>0</v>
      </c>
      <c r="O276" t="n">
        <v>0</v>
      </c>
      <c r="P276" t="n">
        <v>0</v>
      </c>
      <c r="Q276" t="n">
        <v>0</v>
      </c>
      <c r="R276" s="2" t="inlineStr"/>
    </row>
    <row r="277" ht="15" customHeight="1">
      <c r="A277" t="inlineStr">
        <is>
          <t>A 43034-2024</t>
        </is>
      </c>
      <c r="B277" s="1" t="n">
        <v>45567.42011574074</v>
      </c>
      <c r="C277" s="1" t="n">
        <v>46179</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40256-2024</t>
        </is>
      </c>
      <c r="B278" s="1" t="n">
        <v>45554.62944444444</v>
      </c>
      <c r="C278" s="1" t="n">
        <v>46179</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3266-2026</t>
        </is>
      </c>
      <c r="B279" s="1" t="n">
        <v>46041</v>
      </c>
      <c r="C279" s="1" t="n">
        <v>46179</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43093-2024</t>
        </is>
      </c>
      <c r="B280" s="1" t="n">
        <v>45567</v>
      </c>
      <c r="C280" s="1" t="n">
        <v>46179</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3965-2026</t>
        </is>
      </c>
      <c r="B281" s="1" t="n">
        <v>46044.34563657407</v>
      </c>
      <c r="C281" s="1" t="n">
        <v>46179</v>
      </c>
      <c r="D281" t="inlineStr">
        <is>
          <t>KALMAR LÄN</t>
        </is>
      </c>
      <c r="E281" t="inlineStr">
        <is>
          <t>VIMMERBY</t>
        </is>
      </c>
      <c r="G281" t="n">
        <v>2.6</v>
      </c>
      <c r="H281" t="n">
        <v>0</v>
      </c>
      <c r="I281" t="n">
        <v>0</v>
      </c>
      <c r="J281" t="n">
        <v>0</v>
      </c>
      <c r="K281" t="n">
        <v>0</v>
      </c>
      <c r="L281" t="n">
        <v>0</v>
      </c>
      <c r="M281" t="n">
        <v>0</v>
      </c>
      <c r="N281" t="n">
        <v>0</v>
      </c>
      <c r="O281" t="n">
        <v>0</v>
      </c>
      <c r="P281" t="n">
        <v>0</v>
      </c>
      <c r="Q281" t="n">
        <v>0</v>
      </c>
      <c r="R281" s="2" t="inlineStr"/>
    </row>
    <row r="282" ht="15" customHeight="1">
      <c r="A282" t="inlineStr">
        <is>
          <t>A 3868-2026</t>
        </is>
      </c>
      <c r="B282" s="1" t="n">
        <v>46043.6360300926</v>
      </c>
      <c r="C282" s="1" t="n">
        <v>46179</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3869-2026</t>
        </is>
      </c>
      <c r="B283" s="1" t="n">
        <v>46043.63940972222</v>
      </c>
      <c r="C283" s="1" t="n">
        <v>46179</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35198-2023</t>
        </is>
      </c>
      <c r="B284" s="1" t="n">
        <v>45145</v>
      </c>
      <c r="C284" s="1" t="n">
        <v>46179</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28290-2025</t>
        </is>
      </c>
      <c r="B285" s="1" t="n">
        <v>45818.59261574074</v>
      </c>
      <c r="C285" s="1" t="n">
        <v>46179</v>
      </c>
      <c r="D285" t="inlineStr">
        <is>
          <t>KALMAR LÄN</t>
        </is>
      </c>
      <c r="E285" t="inlineStr">
        <is>
          <t>VIMMERBY</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28280-2025</t>
        </is>
      </c>
      <c r="B286" s="1" t="n">
        <v>45818.5862037037</v>
      </c>
      <c r="C286" s="1" t="n">
        <v>46179</v>
      </c>
      <c r="D286" t="inlineStr">
        <is>
          <t>KALMAR LÄN</t>
        </is>
      </c>
      <c r="E286" t="inlineStr">
        <is>
          <t>VIMMERBY</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28294-2025</t>
        </is>
      </c>
      <c r="B287" s="1" t="n">
        <v>45818.595625</v>
      </c>
      <c r="C287" s="1" t="n">
        <v>46179</v>
      </c>
      <c r="D287" t="inlineStr">
        <is>
          <t>KALMAR LÄN</t>
        </is>
      </c>
      <c r="E287" t="inlineStr">
        <is>
          <t>VIMMERBY</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55300-2021</t>
        </is>
      </c>
      <c r="B288" s="1" t="n">
        <v>44475</v>
      </c>
      <c r="C288" s="1" t="n">
        <v>46179</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47263-2023</t>
        </is>
      </c>
      <c r="B289" s="1" t="n">
        <v>45202.4209837963</v>
      </c>
      <c r="C289" s="1" t="n">
        <v>46179</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28713-2025</t>
        </is>
      </c>
      <c r="B290" s="1" t="n">
        <v>45820.33930555556</v>
      </c>
      <c r="C290" s="1" t="n">
        <v>46179</v>
      </c>
      <c r="D290" t="inlineStr">
        <is>
          <t>KALMAR LÄN</t>
        </is>
      </c>
      <c r="E290" t="inlineStr">
        <is>
          <t>VIMMERBY</t>
        </is>
      </c>
      <c r="G290" t="n">
        <v>2.3</v>
      </c>
      <c r="H290" t="n">
        <v>0</v>
      </c>
      <c r="I290" t="n">
        <v>0</v>
      </c>
      <c r="J290" t="n">
        <v>0</v>
      </c>
      <c r="K290" t="n">
        <v>0</v>
      </c>
      <c r="L290" t="n">
        <v>0</v>
      </c>
      <c r="M290" t="n">
        <v>0</v>
      </c>
      <c r="N290" t="n">
        <v>0</v>
      </c>
      <c r="O290" t="n">
        <v>0</v>
      </c>
      <c r="P290" t="n">
        <v>0</v>
      </c>
      <c r="Q290" t="n">
        <v>0</v>
      </c>
      <c r="R290" s="2" t="inlineStr"/>
    </row>
    <row r="291" ht="15" customHeight="1">
      <c r="A291" t="inlineStr">
        <is>
          <t>A 29737-2025</t>
        </is>
      </c>
      <c r="B291" s="1" t="n">
        <v>45825.58672453704</v>
      </c>
      <c r="C291" s="1" t="n">
        <v>46179</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43465-2025</t>
        </is>
      </c>
      <c r="B292" s="1" t="n">
        <v>45911.47138888889</v>
      </c>
      <c r="C292" s="1" t="n">
        <v>46179</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2536-2023</t>
        </is>
      </c>
      <c r="B293" s="1" t="n">
        <v>44943.62954861111</v>
      </c>
      <c r="C293" s="1" t="n">
        <v>46179</v>
      </c>
      <c r="D293" t="inlineStr">
        <is>
          <t>KALMAR LÄN</t>
        </is>
      </c>
      <c r="E293" t="inlineStr">
        <is>
          <t>VIMMERBY</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2801-2023</t>
        </is>
      </c>
      <c r="B294" s="1" t="n">
        <v>44944.73487268519</v>
      </c>
      <c r="C294" s="1" t="n">
        <v>46179</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30293-2025</t>
        </is>
      </c>
      <c r="B295" s="1" t="n">
        <v>45827</v>
      </c>
      <c r="C295" s="1" t="n">
        <v>46179</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44091-2025</t>
        </is>
      </c>
      <c r="B296" s="1" t="n">
        <v>45915.55950231481</v>
      </c>
      <c r="C296" s="1" t="n">
        <v>46179</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44095-2025</t>
        </is>
      </c>
      <c r="B297" s="1" t="n">
        <v>45915.56430555556</v>
      </c>
      <c r="C297" s="1" t="n">
        <v>46179</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14451-2024</t>
        </is>
      </c>
      <c r="B298" s="1" t="n">
        <v>45394.50028935185</v>
      </c>
      <c r="C298" s="1" t="n">
        <v>46179</v>
      </c>
      <c r="D298" t="inlineStr">
        <is>
          <t>KALMAR LÄN</t>
        </is>
      </c>
      <c r="E298" t="inlineStr">
        <is>
          <t>VIMMERBY</t>
        </is>
      </c>
      <c r="G298" t="n">
        <v>1.9</v>
      </c>
      <c r="H298" t="n">
        <v>0</v>
      </c>
      <c r="I298" t="n">
        <v>0</v>
      </c>
      <c r="J298" t="n">
        <v>0</v>
      </c>
      <c r="K298" t="n">
        <v>0</v>
      </c>
      <c r="L298" t="n">
        <v>0</v>
      </c>
      <c r="M298" t="n">
        <v>0</v>
      </c>
      <c r="N298" t="n">
        <v>0</v>
      </c>
      <c r="O298" t="n">
        <v>0</v>
      </c>
      <c r="P298" t="n">
        <v>0</v>
      </c>
      <c r="Q298" t="n">
        <v>0</v>
      </c>
      <c r="R298" s="2" t="inlineStr"/>
    </row>
    <row r="299" ht="15" customHeight="1">
      <c r="A299" t="inlineStr">
        <is>
          <t>A 30850-2025</t>
        </is>
      </c>
      <c r="B299" s="1" t="n">
        <v>45831</v>
      </c>
      <c r="C299" s="1" t="n">
        <v>46179</v>
      </c>
      <c r="D299" t="inlineStr">
        <is>
          <t>KALMAR LÄN</t>
        </is>
      </c>
      <c r="E299" t="inlineStr">
        <is>
          <t>VIMMERBY</t>
        </is>
      </c>
      <c r="G299" t="n">
        <v>2.7</v>
      </c>
      <c r="H299" t="n">
        <v>0</v>
      </c>
      <c r="I299" t="n">
        <v>0</v>
      </c>
      <c r="J299" t="n">
        <v>0</v>
      </c>
      <c r="K299" t="n">
        <v>0</v>
      </c>
      <c r="L299" t="n">
        <v>0</v>
      </c>
      <c r="M299" t="n">
        <v>0</v>
      </c>
      <c r="N299" t="n">
        <v>0</v>
      </c>
      <c r="O299" t="n">
        <v>0</v>
      </c>
      <c r="P299" t="n">
        <v>0</v>
      </c>
      <c r="Q299" t="n">
        <v>0</v>
      </c>
      <c r="R299" s="2" t="inlineStr"/>
    </row>
    <row r="300" ht="15" customHeight="1">
      <c r="A300" t="inlineStr">
        <is>
          <t>A 46238-2024</t>
        </is>
      </c>
      <c r="B300" s="1" t="n">
        <v>45581.58418981481</v>
      </c>
      <c r="C300" s="1" t="n">
        <v>46179</v>
      </c>
      <c r="D300" t="inlineStr">
        <is>
          <t>KALMAR LÄN</t>
        </is>
      </c>
      <c r="E300" t="inlineStr">
        <is>
          <t>VIMMERBY</t>
        </is>
      </c>
      <c r="G300" t="n">
        <v>2.1</v>
      </c>
      <c r="H300" t="n">
        <v>0</v>
      </c>
      <c r="I300" t="n">
        <v>0</v>
      </c>
      <c r="J300" t="n">
        <v>0</v>
      </c>
      <c r="K300" t="n">
        <v>0</v>
      </c>
      <c r="L300" t="n">
        <v>0</v>
      </c>
      <c r="M300" t="n">
        <v>0</v>
      </c>
      <c r="N300" t="n">
        <v>0</v>
      </c>
      <c r="O300" t="n">
        <v>0</v>
      </c>
      <c r="P300" t="n">
        <v>0</v>
      </c>
      <c r="Q300" t="n">
        <v>0</v>
      </c>
      <c r="R300" s="2" t="inlineStr"/>
    </row>
    <row r="301" ht="15" customHeight="1">
      <c r="A301" t="inlineStr">
        <is>
          <t>A 50993-2022</t>
        </is>
      </c>
      <c r="B301" s="1" t="n">
        <v>44867</v>
      </c>
      <c r="C301" s="1" t="n">
        <v>46179</v>
      </c>
      <c r="D301" t="inlineStr">
        <is>
          <t>KALMAR LÄN</t>
        </is>
      </c>
      <c r="E301" t="inlineStr">
        <is>
          <t>VIMMERBY</t>
        </is>
      </c>
      <c r="G301" t="n">
        <v>1.7</v>
      </c>
      <c r="H301" t="n">
        <v>0</v>
      </c>
      <c r="I301" t="n">
        <v>0</v>
      </c>
      <c r="J301" t="n">
        <v>0</v>
      </c>
      <c r="K301" t="n">
        <v>0</v>
      </c>
      <c r="L301" t="n">
        <v>0</v>
      </c>
      <c r="M301" t="n">
        <v>0</v>
      </c>
      <c r="N301" t="n">
        <v>0</v>
      </c>
      <c r="O301" t="n">
        <v>0</v>
      </c>
      <c r="P301" t="n">
        <v>0</v>
      </c>
      <c r="Q301" t="n">
        <v>0</v>
      </c>
      <c r="R301" s="2" t="inlineStr"/>
    </row>
    <row r="302" ht="15" customHeight="1">
      <c r="A302" t="inlineStr">
        <is>
          <t>A 46225-2024</t>
        </is>
      </c>
      <c r="B302" s="1" t="n">
        <v>45581.57333333333</v>
      </c>
      <c r="C302" s="1" t="n">
        <v>46179</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36055-2024</t>
        </is>
      </c>
      <c r="B303" s="1" t="n">
        <v>45533.63056712963</v>
      </c>
      <c r="C303" s="1" t="n">
        <v>46179</v>
      </c>
      <c r="D303" t="inlineStr">
        <is>
          <t>KALMAR LÄN</t>
        </is>
      </c>
      <c r="E303" t="inlineStr">
        <is>
          <t>VIMMERBY</t>
        </is>
      </c>
      <c r="F303" t="inlineStr">
        <is>
          <t>Kommuner</t>
        </is>
      </c>
      <c r="G303" t="n">
        <v>1.9</v>
      </c>
      <c r="H303" t="n">
        <v>0</v>
      </c>
      <c r="I303" t="n">
        <v>0</v>
      </c>
      <c r="J303" t="n">
        <v>0</v>
      </c>
      <c r="K303" t="n">
        <v>0</v>
      </c>
      <c r="L303" t="n">
        <v>0</v>
      </c>
      <c r="M303" t="n">
        <v>0</v>
      </c>
      <c r="N303" t="n">
        <v>0</v>
      </c>
      <c r="O303" t="n">
        <v>0</v>
      </c>
      <c r="P303" t="n">
        <v>0</v>
      </c>
      <c r="Q303" t="n">
        <v>0</v>
      </c>
      <c r="R303" s="2" t="inlineStr"/>
    </row>
    <row r="304" ht="15" customHeight="1">
      <c r="A304" t="inlineStr">
        <is>
          <t>A 30882-2025</t>
        </is>
      </c>
      <c r="B304" s="1" t="n">
        <v>45832.34540509259</v>
      </c>
      <c r="C304" s="1" t="n">
        <v>46179</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30971-2025</t>
        </is>
      </c>
      <c r="B305" s="1" t="n">
        <v>45832.46146990741</v>
      </c>
      <c r="C305" s="1" t="n">
        <v>46179</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47859-2024</t>
        </is>
      </c>
      <c r="B306" s="1" t="n">
        <v>45588.67070601852</v>
      </c>
      <c r="C306" s="1" t="n">
        <v>46179</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31552-2025</t>
        </is>
      </c>
      <c r="B307" s="1" t="n">
        <v>45833.64563657407</v>
      </c>
      <c r="C307" s="1" t="n">
        <v>46179</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31555-2025</t>
        </is>
      </c>
      <c r="B308" s="1" t="n">
        <v>45833.64814814815</v>
      </c>
      <c r="C308" s="1" t="n">
        <v>46179</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32835-2022</t>
        </is>
      </c>
      <c r="B309" s="1" t="n">
        <v>44784.42528935185</v>
      </c>
      <c r="C309" s="1" t="n">
        <v>46179</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41896-2023</t>
        </is>
      </c>
      <c r="B310" s="1" t="n">
        <v>45176.72427083334</v>
      </c>
      <c r="C310" s="1" t="n">
        <v>46179</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8559-2025</t>
        </is>
      </c>
      <c r="B311" s="1" t="n">
        <v>45709.62280092593</v>
      </c>
      <c r="C311" s="1" t="n">
        <v>46179</v>
      </c>
      <c r="D311" t="inlineStr">
        <is>
          <t>KALMAR LÄN</t>
        </is>
      </c>
      <c r="E311" t="inlineStr">
        <is>
          <t>VIMMERBY</t>
        </is>
      </c>
      <c r="G311" t="n">
        <v>8.9</v>
      </c>
      <c r="H311" t="n">
        <v>0</v>
      </c>
      <c r="I311" t="n">
        <v>0</v>
      </c>
      <c r="J311" t="n">
        <v>0</v>
      </c>
      <c r="K311" t="n">
        <v>0</v>
      </c>
      <c r="L311" t="n">
        <v>0</v>
      </c>
      <c r="M311" t="n">
        <v>0</v>
      </c>
      <c r="N311" t="n">
        <v>0</v>
      </c>
      <c r="O311" t="n">
        <v>0</v>
      </c>
      <c r="P311" t="n">
        <v>0</v>
      </c>
      <c r="Q311" t="n">
        <v>0</v>
      </c>
      <c r="R311" s="2" t="inlineStr"/>
    </row>
    <row r="312" ht="15" customHeight="1">
      <c r="A312" t="inlineStr">
        <is>
          <t>A 43606-2024</t>
        </is>
      </c>
      <c r="B312" s="1" t="n">
        <v>45569.45017361111</v>
      </c>
      <c r="C312" s="1" t="n">
        <v>46179</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31551-2025</t>
        </is>
      </c>
      <c r="B313" s="1" t="n">
        <v>45833.64237268519</v>
      </c>
      <c r="C313" s="1" t="n">
        <v>46179</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12325-2023</t>
        </is>
      </c>
      <c r="B314" s="1" t="n">
        <v>44999.35858796296</v>
      </c>
      <c r="C314" s="1" t="n">
        <v>46179</v>
      </c>
      <c r="D314" t="inlineStr">
        <is>
          <t>KALMAR LÄN</t>
        </is>
      </c>
      <c r="E314" t="inlineStr">
        <is>
          <t>VIMMERBY</t>
        </is>
      </c>
      <c r="G314" t="n">
        <v>3.4</v>
      </c>
      <c r="H314" t="n">
        <v>0</v>
      </c>
      <c r="I314" t="n">
        <v>0</v>
      </c>
      <c r="J314" t="n">
        <v>0</v>
      </c>
      <c r="K314" t="n">
        <v>0</v>
      </c>
      <c r="L314" t="n">
        <v>0</v>
      </c>
      <c r="M314" t="n">
        <v>0</v>
      </c>
      <c r="N314" t="n">
        <v>0</v>
      </c>
      <c r="O314" t="n">
        <v>0</v>
      </c>
      <c r="P314" t="n">
        <v>0</v>
      </c>
      <c r="Q314" t="n">
        <v>0</v>
      </c>
      <c r="R314" s="2" t="inlineStr"/>
    </row>
    <row r="315" ht="15" customHeight="1">
      <c r="A315" t="inlineStr">
        <is>
          <t>A 40665-2023</t>
        </is>
      </c>
      <c r="B315" s="1" t="n">
        <v>45170</v>
      </c>
      <c r="C315" s="1" t="n">
        <v>46179</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32116-2025</t>
        </is>
      </c>
      <c r="B316" s="1" t="n">
        <v>45835.48862268519</v>
      </c>
      <c r="C316" s="1" t="n">
        <v>46179</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28034-2022</t>
        </is>
      </c>
      <c r="B317" s="1" t="n">
        <v>44746.38834490741</v>
      </c>
      <c r="C317" s="1" t="n">
        <v>46179</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32380-2025</t>
        </is>
      </c>
      <c r="B318" s="1" t="n">
        <v>45837.77701388889</v>
      </c>
      <c r="C318" s="1" t="n">
        <v>46179</v>
      </c>
      <c r="D318" t="inlineStr">
        <is>
          <t>KALMAR LÄN</t>
        </is>
      </c>
      <c r="E318" t="inlineStr">
        <is>
          <t>VIMMERBY</t>
        </is>
      </c>
      <c r="G318" t="n">
        <v>3.1</v>
      </c>
      <c r="H318" t="n">
        <v>0</v>
      </c>
      <c r="I318" t="n">
        <v>0</v>
      </c>
      <c r="J318" t="n">
        <v>0</v>
      </c>
      <c r="K318" t="n">
        <v>0</v>
      </c>
      <c r="L318" t="n">
        <v>0</v>
      </c>
      <c r="M318" t="n">
        <v>0</v>
      </c>
      <c r="N318" t="n">
        <v>0</v>
      </c>
      <c r="O318" t="n">
        <v>0</v>
      </c>
      <c r="P318" t="n">
        <v>0</v>
      </c>
      <c r="Q318" t="n">
        <v>0</v>
      </c>
      <c r="R318" s="2" t="inlineStr"/>
    </row>
    <row r="319" ht="15" customHeight="1">
      <c r="A319" t="inlineStr">
        <is>
          <t>A 32077-2025</t>
        </is>
      </c>
      <c r="B319" s="1" t="n">
        <v>45835.45099537037</v>
      </c>
      <c r="C319" s="1" t="n">
        <v>46179</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55605-2024</t>
        </is>
      </c>
      <c r="B320" s="1" t="n">
        <v>45622</v>
      </c>
      <c r="C320" s="1" t="n">
        <v>46179</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42165-2024</t>
        </is>
      </c>
      <c r="B321" s="1" t="n">
        <v>45562.46342592593</v>
      </c>
      <c r="C321" s="1" t="n">
        <v>46179</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20129-2024</t>
        </is>
      </c>
      <c r="B322" s="1" t="n">
        <v>45434.55831018519</v>
      </c>
      <c r="C322" s="1" t="n">
        <v>46179</v>
      </c>
      <c r="D322" t="inlineStr">
        <is>
          <t>KALMAR LÄN</t>
        </is>
      </c>
      <c r="E322" t="inlineStr">
        <is>
          <t>VIMMERBY</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20137-2024</t>
        </is>
      </c>
      <c r="B323" s="1" t="n">
        <v>45434.56398148148</v>
      </c>
      <c r="C323" s="1" t="n">
        <v>46179</v>
      </c>
      <c r="D323" t="inlineStr">
        <is>
          <t>KALMAR LÄN</t>
        </is>
      </c>
      <c r="E323" t="inlineStr">
        <is>
          <t>VIMMERBY</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46887-2025</t>
        </is>
      </c>
      <c r="B324" s="1" t="n">
        <v>45929.3672337963</v>
      </c>
      <c r="C324" s="1" t="n">
        <v>46179</v>
      </c>
      <c r="D324" t="inlineStr">
        <is>
          <t>KALMAR LÄN</t>
        </is>
      </c>
      <c r="E324" t="inlineStr">
        <is>
          <t>VIMMERBY</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23095-2023</t>
        </is>
      </c>
      <c r="B325" s="1" t="n">
        <v>45075.43059027778</v>
      </c>
      <c r="C325" s="1" t="n">
        <v>46179</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32919-2022</t>
        </is>
      </c>
      <c r="B326" s="1" t="n">
        <v>44784.62724537037</v>
      </c>
      <c r="C326" s="1" t="n">
        <v>46179</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47227-2025</t>
        </is>
      </c>
      <c r="B327" s="1" t="n">
        <v>45930.39769675926</v>
      </c>
      <c r="C327" s="1" t="n">
        <v>46179</v>
      </c>
      <c r="D327" t="inlineStr">
        <is>
          <t>KALMAR LÄN</t>
        </is>
      </c>
      <c r="E327" t="inlineStr">
        <is>
          <t>VIMMERBY</t>
        </is>
      </c>
      <c r="G327" t="n">
        <v>1.3</v>
      </c>
      <c r="H327" t="n">
        <v>0</v>
      </c>
      <c r="I327" t="n">
        <v>0</v>
      </c>
      <c r="J327" t="n">
        <v>0</v>
      </c>
      <c r="K327" t="n">
        <v>0</v>
      </c>
      <c r="L327" t="n">
        <v>0</v>
      </c>
      <c r="M327" t="n">
        <v>0</v>
      </c>
      <c r="N327" t="n">
        <v>0</v>
      </c>
      <c r="O327" t="n">
        <v>0</v>
      </c>
      <c r="P327" t="n">
        <v>0</v>
      </c>
      <c r="Q327" t="n">
        <v>0</v>
      </c>
      <c r="R327" s="2" t="inlineStr"/>
    </row>
    <row r="328" ht="15" customHeight="1">
      <c r="A328" t="inlineStr">
        <is>
          <t>A 33186-2025</t>
        </is>
      </c>
      <c r="B328" s="1" t="n">
        <v>45840.59474537037</v>
      </c>
      <c r="C328" s="1" t="n">
        <v>46179</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7068-2024</t>
        </is>
      </c>
      <c r="B329" s="1" t="n">
        <v>45343.68038194445</v>
      </c>
      <c r="C329" s="1" t="n">
        <v>46179</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30977-2025</t>
        </is>
      </c>
      <c r="B330" s="1" t="n">
        <v>45832.46649305556</v>
      </c>
      <c r="C330" s="1" t="n">
        <v>46179</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32655-2023</t>
        </is>
      </c>
      <c r="B331" s="1" t="n">
        <v>45121.61318287037</v>
      </c>
      <c r="C331" s="1" t="n">
        <v>46179</v>
      </c>
      <c r="D331" t="inlineStr">
        <is>
          <t>KALMAR LÄN</t>
        </is>
      </c>
      <c r="E331" t="inlineStr">
        <is>
          <t>VIMMERBY</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54409-2024</t>
        </is>
      </c>
      <c r="B332" s="1" t="n">
        <v>45617.47570601852</v>
      </c>
      <c r="C332" s="1" t="n">
        <v>46179</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9475-2023</t>
        </is>
      </c>
      <c r="B333" s="1" t="n">
        <v>44981.58834490741</v>
      </c>
      <c r="C333" s="1" t="n">
        <v>46179</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28702-2025</t>
        </is>
      </c>
      <c r="B334" s="1" t="n">
        <v>45820.03976851852</v>
      </c>
      <c r="C334" s="1" t="n">
        <v>46179</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43092-2024</t>
        </is>
      </c>
      <c r="B335" s="1" t="n">
        <v>45567</v>
      </c>
      <c r="C335" s="1" t="n">
        <v>46179</v>
      </c>
      <c r="D335" t="inlineStr">
        <is>
          <t>KALMAR LÄN</t>
        </is>
      </c>
      <c r="E335" t="inlineStr">
        <is>
          <t>VIMMERBY</t>
        </is>
      </c>
      <c r="G335" t="n">
        <v>2.7</v>
      </c>
      <c r="H335" t="n">
        <v>0</v>
      </c>
      <c r="I335" t="n">
        <v>0</v>
      </c>
      <c r="J335" t="n">
        <v>0</v>
      </c>
      <c r="K335" t="n">
        <v>0</v>
      </c>
      <c r="L335" t="n">
        <v>0</v>
      </c>
      <c r="M335" t="n">
        <v>0</v>
      </c>
      <c r="N335" t="n">
        <v>0</v>
      </c>
      <c r="O335" t="n">
        <v>0</v>
      </c>
      <c r="P335" t="n">
        <v>0</v>
      </c>
      <c r="Q335" t="n">
        <v>0</v>
      </c>
      <c r="R335" s="2" t="inlineStr"/>
    </row>
    <row r="336" ht="15" customHeight="1">
      <c r="A336" t="inlineStr">
        <is>
          <t>A 26956-2025</t>
        </is>
      </c>
      <c r="B336" s="1" t="n">
        <v>45811.45460648148</v>
      </c>
      <c r="C336" s="1" t="n">
        <v>46179</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11619-2023</t>
        </is>
      </c>
      <c r="B337" s="1" t="n">
        <v>44994.42113425926</v>
      </c>
      <c r="C337" s="1" t="n">
        <v>46179</v>
      </c>
      <c r="D337" t="inlineStr">
        <is>
          <t>KALMAR LÄN</t>
        </is>
      </c>
      <c r="E337" t="inlineStr">
        <is>
          <t>VIMMERBY</t>
        </is>
      </c>
      <c r="G337" t="n">
        <v>2.5</v>
      </c>
      <c r="H337" t="n">
        <v>0</v>
      </c>
      <c r="I337" t="n">
        <v>0</v>
      </c>
      <c r="J337" t="n">
        <v>0</v>
      </c>
      <c r="K337" t="n">
        <v>0</v>
      </c>
      <c r="L337" t="n">
        <v>0</v>
      </c>
      <c r="M337" t="n">
        <v>0</v>
      </c>
      <c r="N337" t="n">
        <v>0</v>
      </c>
      <c r="O337" t="n">
        <v>0</v>
      </c>
      <c r="P337" t="n">
        <v>0</v>
      </c>
      <c r="Q337" t="n">
        <v>0</v>
      </c>
      <c r="R337" s="2" t="inlineStr"/>
    </row>
    <row r="338" ht="15" customHeight="1">
      <c r="A338" t="inlineStr">
        <is>
          <t>A 48408-2025</t>
        </is>
      </c>
      <c r="B338" s="1" t="n">
        <v>45934.40527777778</v>
      </c>
      <c r="C338" s="1" t="n">
        <v>46179</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5074-2023</t>
        </is>
      </c>
      <c r="B339" s="1" t="n">
        <v>44958.61047453704</v>
      </c>
      <c r="C339" s="1" t="n">
        <v>46179</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6368-2023</t>
        </is>
      </c>
      <c r="B340" s="1" t="n">
        <v>44965</v>
      </c>
      <c r="C340" s="1" t="n">
        <v>46179</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5701-2024</t>
        </is>
      </c>
      <c r="B341" s="1" t="n">
        <v>45334.78826388889</v>
      </c>
      <c r="C341" s="1" t="n">
        <v>46179</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34628-2025</t>
        </is>
      </c>
      <c r="B342" s="1" t="n">
        <v>45847.91280092593</v>
      </c>
      <c r="C342" s="1" t="n">
        <v>46179</v>
      </c>
      <c r="D342" t="inlineStr">
        <is>
          <t>KALMAR LÄN</t>
        </is>
      </c>
      <c r="E342" t="inlineStr">
        <is>
          <t>VIMMERBY</t>
        </is>
      </c>
      <c r="G342" t="n">
        <v>4.2</v>
      </c>
      <c r="H342" t="n">
        <v>0</v>
      </c>
      <c r="I342" t="n">
        <v>0</v>
      </c>
      <c r="J342" t="n">
        <v>0</v>
      </c>
      <c r="K342" t="n">
        <v>0</v>
      </c>
      <c r="L342" t="n">
        <v>0</v>
      </c>
      <c r="M342" t="n">
        <v>0</v>
      </c>
      <c r="N342" t="n">
        <v>0</v>
      </c>
      <c r="O342" t="n">
        <v>0</v>
      </c>
      <c r="P342" t="n">
        <v>0</v>
      </c>
      <c r="Q342" t="n">
        <v>0</v>
      </c>
      <c r="R342" s="2" t="inlineStr"/>
    </row>
    <row r="343" ht="15" customHeight="1">
      <c r="A343" t="inlineStr">
        <is>
          <t>A 7797-2023</t>
        </is>
      </c>
      <c r="B343" s="1" t="n">
        <v>44973.43075231482</v>
      </c>
      <c r="C343" s="1" t="n">
        <v>46179</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6817-2026</t>
        </is>
      </c>
      <c r="B344" s="1" t="n">
        <v>46057.38412037037</v>
      </c>
      <c r="C344" s="1" t="n">
        <v>46179</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35271-2025</t>
        </is>
      </c>
      <c r="B345" s="1" t="n">
        <v>45853.87599537037</v>
      </c>
      <c r="C345" s="1" t="n">
        <v>46179</v>
      </c>
      <c r="D345" t="inlineStr">
        <is>
          <t>KALMAR LÄN</t>
        </is>
      </c>
      <c r="E345" t="inlineStr">
        <is>
          <t>VIMMERBY</t>
        </is>
      </c>
      <c r="G345" t="n">
        <v>0.4</v>
      </c>
      <c r="H345" t="n">
        <v>0</v>
      </c>
      <c r="I345" t="n">
        <v>0</v>
      </c>
      <c r="J345" t="n">
        <v>0</v>
      </c>
      <c r="K345" t="n">
        <v>0</v>
      </c>
      <c r="L345" t="n">
        <v>0</v>
      </c>
      <c r="M345" t="n">
        <v>0</v>
      </c>
      <c r="N345" t="n">
        <v>0</v>
      </c>
      <c r="O345" t="n">
        <v>0</v>
      </c>
      <c r="P345" t="n">
        <v>0</v>
      </c>
      <c r="Q345" t="n">
        <v>0</v>
      </c>
      <c r="R345" s="2" t="inlineStr"/>
    </row>
    <row r="346" ht="15" customHeight="1">
      <c r="A346" t="inlineStr">
        <is>
          <t>A 16953-2025</t>
        </is>
      </c>
      <c r="B346" s="1" t="n">
        <v>45755.44333333334</v>
      </c>
      <c r="C346" s="1" t="n">
        <v>46179</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8410-2023</t>
        </is>
      </c>
      <c r="B347" s="1" t="n">
        <v>44977</v>
      </c>
      <c r="C347" s="1" t="n">
        <v>46179</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6028-2023</t>
        </is>
      </c>
      <c r="B348" s="1" t="n">
        <v>44964.44356481481</v>
      </c>
      <c r="C348" s="1" t="n">
        <v>46179</v>
      </c>
      <c r="D348" t="inlineStr">
        <is>
          <t>KALMAR LÄN</t>
        </is>
      </c>
      <c r="E348" t="inlineStr">
        <is>
          <t>VIMMERBY</t>
        </is>
      </c>
      <c r="G348" t="n">
        <v>2.5</v>
      </c>
      <c r="H348" t="n">
        <v>0</v>
      </c>
      <c r="I348" t="n">
        <v>0</v>
      </c>
      <c r="J348" t="n">
        <v>0</v>
      </c>
      <c r="K348" t="n">
        <v>0</v>
      </c>
      <c r="L348" t="n">
        <v>0</v>
      </c>
      <c r="M348" t="n">
        <v>0</v>
      </c>
      <c r="N348" t="n">
        <v>0</v>
      </c>
      <c r="O348" t="n">
        <v>0</v>
      </c>
      <c r="P348" t="n">
        <v>0</v>
      </c>
      <c r="Q348" t="n">
        <v>0</v>
      </c>
      <c r="R348" s="2" t="inlineStr"/>
    </row>
    <row r="349" ht="15" customHeight="1">
      <c r="A349" t="inlineStr">
        <is>
          <t>A 19502-2025</t>
        </is>
      </c>
      <c r="B349" s="1" t="n">
        <v>45769</v>
      </c>
      <c r="C349" s="1" t="n">
        <v>46179</v>
      </c>
      <c r="D349" t="inlineStr">
        <is>
          <t>KALMAR LÄN</t>
        </is>
      </c>
      <c r="E349" t="inlineStr">
        <is>
          <t>VIMMERBY</t>
        </is>
      </c>
      <c r="G349" t="n">
        <v>1.9</v>
      </c>
      <c r="H349" t="n">
        <v>0</v>
      </c>
      <c r="I349" t="n">
        <v>0</v>
      </c>
      <c r="J349" t="n">
        <v>0</v>
      </c>
      <c r="K349" t="n">
        <v>0</v>
      </c>
      <c r="L349" t="n">
        <v>0</v>
      </c>
      <c r="M349" t="n">
        <v>0</v>
      </c>
      <c r="N349" t="n">
        <v>0</v>
      </c>
      <c r="O349" t="n">
        <v>0</v>
      </c>
      <c r="P349" t="n">
        <v>0</v>
      </c>
      <c r="Q349" t="n">
        <v>0</v>
      </c>
      <c r="R349" s="2" t="inlineStr"/>
    </row>
    <row r="350" ht="15" customHeight="1">
      <c r="A350" t="inlineStr">
        <is>
          <t>A 52823-2024</t>
        </is>
      </c>
      <c r="B350" s="1" t="n">
        <v>45610.59094907407</v>
      </c>
      <c r="C350" s="1" t="n">
        <v>46179</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36299-2025</t>
        </is>
      </c>
      <c r="B351" s="1" t="n">
        <v>45867.69346064814</v>
      </c>
      <c r="C351" s="1" t="n">
        <v>46179</v>
      </c>
      <c r="D351" t="inlineStr">
        <is>
          <t>KALMAR LÄN</t>
        </is>
      </c>
      <c r="E351" t="inlineStr">
        <is>
          <t>VIMMERBY</t>
        </is>
      </c>
      <c r="G351" t="n">
        <v>7.6</v>
      </c>
      <c r="H351" t="n">
        <v>0</v>
      </c>
      <c r="I351" t="n">
        <v>0</v>
      </c>
      <c r="J351" t="n">
        <v>0</v>
      </c>
      <c r="K351" t="n">
        <v>0</v>
      </c>
      <c r="L351" t="n">
        <v>0</v>
      </c>
      <c r="M351" t="n">
        <v>0</v>
      </c>
      <c r="N351" t="n">
        <v>0</v>
      </c>
      <c r="O351" t="n">
        <v>0</v>
      </c>
      <c r="P351" t="n">
        <v>0</v>
      </c>
      <c r="Q351" t="n">
        <v>0</v>
      </c>
      <c r="R351" s="2" t="inlineStr"/>
    </row>
    <row r="352" ht="15" customHeight="1">
      <c r="A352" t="inlineStr">
        <is>
          <t>A 36297-2025</t>
        </is>
      </c>
      <c r="B352" s="1" t="n">
        <v>45867.68625</v>
      </c>
      <c r="C352" s="1" t="n">
        <v>46179</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36246-2025</t>
        </is>
      </c>
      <c r="B353" s="1" t="n">
        <v>45867.56320601852</v>
      </c>
      <c r="C353" s="1" t="n">
        <v>46179</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36538-2025</t>
        </is>
      </c>
      <c r="B354" s="1" t="n">
        <v>45869.62276620371</v>
      </c>
      <c r="C354" s="1" t="n">
        <v>46179</v>
      </c>
      <c r="D354" t="inlineStr">
        <is>
          <t>KALMAR LÄN</t>
        </is>
      </c>
      <c r="E354" t="inlineStr">
        <is>
          <t>VIMMERBY</t>
        </is>
      </c>
      <c r="G354" t="n">
        <v>2.6</v>
      </c>
      <c r="H354" t="n">
        <v>0</v>
      </c>
      <c r="I354" t="n">
        <v>0</v>
      </c>
      <c r="J354" t="n">
        <v>0</v>
      </c>
      <c r="K354" t="n">
        <v>0</v>
      </c>
      <c r="L354" t="n">
        <v>0</v>
      </c>
      <c r="M354" t="n">
        <v>0</v>
      </c>
      <c r="N354" t="n">
        <v>0</v>
      </c>
      <c r="O354" t="n">
        <v>0</v>
      </c>
      <c r="P354" t="n">
        <v>0</v>
      </c>
      <c r="Q354" t="n">
        <v>0</v>
      </c>
      <c r="R354" s="2" t="inlineStr"/>
    </row>
    <row r="355" ht="15" customHeight="1">
      <c r="A355" t="inlineStr">
        <is>
          <t>A 36602-2025</t>
        </is>
      </c>
      <c r="B355" s="1" t="n">
        <v>45870.52111111111</v>
      </c>
      <c r="C355" s="1" t="n">
        <v>46179</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36601-2025</t>
        </is>
      </c>
      <c r="B356" s="1" t="n">
        <v>45870.52005787037</v>
      </c>
      <c r="C356" s="1" t="n">
        <v>46179</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36603-2025</t>
        </is>
      </c>
      <c r="B357" s="1" t="n">
        <v>45870.52142361111</v>
      </c>
      <c r="C357" s="1" t="n">
        <v>46179</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56853-2022</t>
        </is>
      </c>
      <c r="B358" s="1" t="n">
        <v>44894.49538194444</v>
      </c>
      <c r="C358" s="1" t="n">
        <v>46179</v>
      </c>
      <c r="D358" t="inlineStr">
        <is>
          <t>KALMAR LÄN</t>
        </is>
      </c>
      <c r="E358" t="inlineStr">
        <is>
          <t>VIMMERBY</t>
        </is>
      </c>
      <c r="G358" t="n">
        <v>4.3</v>
      </c>
      <c r="H358" t="n">
        <v>0</v>
      </c>
      <c r="I358" t="n">
        <v>0</v>
      </c>
      <c r="J358" t="n">
        <v>0</v>
      </c>
      <c r="K358" t="n">
        <v>0</v>
      </c>
      <c r="L358" t="n">
        <v>0</v>
      </c>
      <c r="M358" t="n">
        <v>0</v>
      </c>
      <c r="N358" t="n">
        <v>0</v>
      </c>
      <c r="O358" t="n">
        <v>0</v>
      </c>
      <c r="P358" t="n">
        <v>0</v>
      </c>
      <c r="Q358" t="n">
        <v>0</v>
      </c>
      <c r="R358" s="2" t="inlineStr"/>
    </row>
    <row r="359" ht="15" customHeight="1">
      <c r="A359" t="inlineStr">
        <is>
          <t>A 11152-2023</t>
        </is>
      </c>
      <c r="B359" s="1" t="n">
        <v>44992</v>
      </c>
      <c r="C359" s="1" t="n">
        <v>46179</v>
      </c>
      <c r="D359" t="inlineStr">
        <is>
          <t>KALMAR LÄN</t>
        </is>
      </c>
      <c r="E359" t="inlineStr">
        <is>
          <t>VIMMERBY</t>
        </is>
      </c>
      <c r="G359" t="n">
        <v>10.6</v>
      </c>
      <c r="H359" t="n">
        <v>0</v>
      </c>
      <c r="I359" t="n">
        <v>0</v>
      </c>
      <c r="J359" t="n">
        <v>0</v>
      </c>
      <c r="K359" t="n">
        <v>0</v>
      </c>
      <c r="L359" t="n">
        <v>0</v>
      </c>
      <c r="M359" t="n">
        <v>0</v>
      </c>
      <c r="N359" t="n">
        <v>0</v>
      </c>
      <c r="O359" t="n">
        <v>0</v>
      </c>
      <c r="P359" t="n">
        <v>0</v>
      </c>
      <c r="Q359" t="n">
        <v>0</v>
      </c>
      <c r="R359" s="2" t="inlineStr"/>
    </row>
    <row r="360" ht="15" customHeight="1">
      <c r="A360" t="inlineStr">
        <is>
          <t>A 8696-2026</t>
        </is>
      </c>
      <c r="B360" s="1" t="n">
        <v>46066.45273148148</v>
      </c>
      <c r="C360" s="1" t="n">
        <v>46179</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50324-2025</t>
        </is>
      </c>
      <c r="B361" s="1" t="n">
        <v>45944.45962962963</v>
      </c>
      <c r="C361" s="1" t="n">
        <v>46179</v>
      </c>
      <c r="D361" t="inlineStr">
        <is>
          <t>KALMAR LÄN</t>
        </is>
      </c>
      <c r="E361" t="inlineStr">
        <is>
          <t>VIMMERBY</t>
        </is>
      </c>
      <c r="G361" t="n">
        <v>2.1</v>
      </c>
      <c r="H361" t="n">
        <v>0</v>
      </c>
      <c r="I361" t="n">
        <v>0</v>
      </c>
      <c r="J361" t="n">
        <v>0</v>
      </c>
      <c r="K361" t="n">
        <v>0</v>
      </c>
      <c r="L361" t="n">
        <v>0</v>
      </c>
      <c r="M361" t="n">
        <v>0</v>
      </c>
      <c r="N361" t="n">
        <v>0</v>
      </c>
      <c r="O361" t="n">
        <v>0</v>
      </c>
      <c r="P361" t="n">
        <v>0</v>
      </c>
      <c r="Q361" t="n">
        <v>0</v>
      </c>
      <c r="R361" s="2" t="inlineStr"/>
    </row>
    <row r="362" ht="15" customHeight="1">
      <c r="A362" t="inlineStr">
        <is>
          <t>A 15550-2023</t>
        </is>
      </c>
      <c r="B362" s="1" t="n">
        <v>45020</v>
      </c>
      <c r="C362" s="1" t="n">
        <v>46179</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31355-2023</t>
        </is>
      </c>
      <c r="B363" s="1" t="n">
        <v>45114.49505787037</v>
      </c>
      <c r="C363" s="1" t="n">
        <v>46179</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18330-2023</t>
        </is>
      </c>
      <c r="B364" s="1" t="n">
        <v>45041</v>
      </c>
      <c r="C364" s="1" t="n">
        <v>46179</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36934-2025</t>
        </is>
      </c>
      <c r="B365" s="1" t="n">
        <v>45874.57109953704</v>
      </c>
      <c r="C365" s="1" t="n">
        <v>46179</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8595-2026</t>
        </is>
      </c>
      <c r="B366" s="1" t="n">
        <v>46065.7372337963</v>
      </c>
      <c r="C366" s="1" t="n">
        <v>46179</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46179</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27993-2022</t>
        </is>
      </c>
      <c r="B368" s="1" t="n">
        <v>44745.84396990741</v>
      </c>
      <c r="C368" s="1" t="n">
        <v>46179</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37102-2025</t>
        </is>
      </c>
      <c r="B369" s="1" t="n">
        <v>45875.47454861111</v>
      </c>
      <c r="C369" s="1" t="n">
        <v>46179</v>
      </c>
      <c r="D369" t="inlineStr">
        <is>
          <t>KALMAR LÄN</t>
        </is>
      </c>
      <c r="E369" t="inlineStr">
        <is>
          <t>VIMMERBY</t>
        </is>
      </c>
      <c r="G369" t="n">
        <v>1.3</v>
      </c>
      <c r="H369" t="n">
        <v>0</v>
      </c>
      <c r="I369" t="n">
        <v>0</v>
      </c>
      <c r="J369" t="n">
        <v>0</v>
      </c>
      <c r="K369" t="n">
        <v>0</v>
      </c>
      <c r="L369" t="n">
        <v>0</v>
      </c>
      <c r="M369" t="n">
        <v>0</v>
      </c>
      <c r="N369" t="n">
        <v>0</v>
      </c>
      <c r="O369" t="n">
        <v>0</v>
      </c>
      <c r="P369" t="n">
        <v>0</v>
      </c>
      <c r="Q369" t="n">
        <v>0</v>
      </c>
      <c r="R369" s="2" t="inlineStr"/>
    </row>
    <row r="370" ht="15" customHeight="1">
      <c r="A370" t="inlineStr">
        <is>
          <t>A 51062-2025</t>
        </is>
      </c>
      <c r="B370" s="1" t="n">
        <v>45947.44685185186</v>
      </c>
      <c r="C370" s="1" t="n">
        <v>46179</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53752-2024</t>
        </is>
      </c>
      <c r="B371" s="1" t="n">
        <v>45615.48927083334</v>
      </c>
      <c r="C371" s="1" t="n">
        <v>46179</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37668-2025</t>
        </is>
      </c>
      <c r="B372" s="1" t="n">
        <v>45880.51550925926</v>
      </c>
      <c r="C372" s="1" t="n">
        <v>46179</v>
      </c>
      <c r="D372" t="inlineStr">
        <is>
          <t>KALMAR LÄN</t>
        </is>
      </c>
      <c r="E372" t="inlineStr">
        <is>
          <t>VIMMERBY</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37578-2025</t>
        </is>
      </c>
      <c r="B373" s="1" t="n">
        <v>45880.38380787037</v>
      </c>
      <c r="C373" s="1" t="n">
        <v>46179</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58728-2024</t>
        </is>
      </c>
      <c r="B374" s="1" t="n">
        <v>45635.66695601852</v>
      </c>
      <c r="C374" s="1" t="n">
        <v>46179</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43242-2024</t>
        </is>
      </c>
      <c r="B375" s="1" t="n">
        <v>45568.30189814815</v>
      </c>
      <c r="C375" s="1" t="n">
        <v>46179</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16983-2023</t>
        </is>
      </c>
      <c r="B376" s="1" t="n">
        <v>45033.76043981482</v>
      </c>
      <c r="C376" s="1" t="n">
        <v>46179</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6405-2025</t>
        </is>
      </c>
      <c r="B377" s="1" t="n">
        <v>45699.45392361111</v>
      </c>
      <c r="C377" s="1" t="n">
        <v>46179</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36843-2023</t>
        </is>
      </c>
      <c r="B378" s="1" t="n">
        <v>45154.49831018518</v>
      </c>
      <c r="C378" s="1" t="n">
        <v>46179</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51990-2025</t>
        </is>
      </c>
      <c r="B379" s="1" t="n">
        <v>45952.58061342593</v>
      </c>
      <c r="C379" s="1" t="n">
        <v>46179</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57486-2024</t>
        </is>
      </c>
      <c r="B380" s="1" t="n">
        <v>45630.35827546296</v>
      </c>
      <c r="C380" s="1" t="n">
        <v>46179</v>
      </c>
      <c r="D380" t="inlineStr">
        <is>
          <t>KALMAR LÄN</t>
        </is>
      </c>
      <c r="E380" t="inlineStr">
        <is>
          <t>VIMMERBY</t>
        </is>
      </c>
      <c r="G380" t="n">
        <v>0.4</v>
      </c>
      <c r="H380" t="n">
        <v>0</v>
      </c>
      <c r="I380" t="n">
        <v>0</v>
      </c>
      <c r="J380" t="n">
        <v>0</v>
      </c>
      <c r="K380" t="n">
        <v>0</v>
      </c>
      <c r="L380" t="n">
        <v>0</v>
      </c>
      <c r="M380" t="n">
        <v>0</v>
      </c>
      <c r="N380" t="n">
        <v>0</v>
      </c>
      <c r="O380" t="n">
        <v>0</v>
      </c>
      <c r="P380" t="n">
        <v>0</v>
      </c>
      <c r="Q380" t="n">
        <v>0</v>
      </c>
      <c r="R380" s="2" t="inlineStr"/>
    </row>
    <row r="381" ht="15" customHeight="1">
      <c r="A381" t="inlineStr">
        <is>
          <t>A 52466-2025</t>
        </is>
      </c>
      <c r="B381" s="1" t="n">
        <v>45954.44707175926</v>
      </c>
      <c r="C381" s="1" t="n">
        <v>46179</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52465-2025</t>
        </is>
      </c>
      <c r="B382" s="1" t="n">
        <v>45954.44543981482</v>
      </c>
      <c r="C382" s="1" t="n">
        <v>46179</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44423-2023</t>
        </is>
      </c>
      <c r="B383" s="1" t="n">
        <v>45189</v>
      </c>
      <c r="C383" s="1" t="n">
        <v>46179</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21496-2023</t>
        </is>
      </c>
      <c r="B384" s="1" t="n">
        <v>45063.49936342592</v>
      </c>
      <c r="C384" s="1" t="n">
        <v>46179</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31056-2022</t>
        </is>
      </c>
      <c r="B385" s="1" t="n">
        <v>44769.45805555556</v>
      </c>
      <c r="C385" s="1" t="n">
        <v>46179</v>
      </c>
      <c r="D385" t="inlineStr">
        <is>
          <t>KALMAR LÄN</t>
        </is>
      </c>
      <c r="E385" t="inlineStr">
        <is>
          <t>VIMMERBY</t>
        </is>
      </c>
      <c r="G385" t="n">
        <v>2</v>
      </c>
      <c r="H385" t="n">
        <v>0</v>
      </c>
      <c r="I385" t="n">
        <v>0</v>
      </c>
      <c r="J385" t="n">
        <v>0</v>
      </c>
      <c r="K385" t="n">
        <v>0</v>
      </c>
      <c r="L385" t="n">
        <v>0</v>
      </c>
      <c r="M385" t="n">
        <v>0</v>
      </c>
      <c r="N385" t="n">
        <v>0</v>
      </c>
      <c r="O385" t="n">
        <v>0</v>
      </c>
      <c r="P385" t="n">
        <v>0</v>
      </c>
      <c r="Q385" t="n">
        <v>0</v>
      </c>
      <c r="R385" s="2" t="inlineStr"/>
    </row>
    <row r="386" ht="15" customHeight="1">
      <c r="A386" t="inlineStr">
        <is>
          <t>A 10965-2026</t>
        </is>
      </c>
      <c r="B386" s="1" t="n">
        <v>46079.43295138889</v>
      </c>
      <c r="C386" s="1" t="n">
        <v>46179</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52475-2025</t>
        </is>
      </c>
      <c r="B387" s="1" t="n">
        <v>45954.468125</v>
      </c>
      <c r="C387" s="1" t="n">
        <v>46179</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72701-2021</t>
        </is>
      </c>
      <c r="B388" s="1" t="n">
        <v>44546</v>
      </c>
      <c r="C388" s="1" t="n">
        <v>46179</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61355-2024</t>
        </is>
      </c>
      <c r="B389" s="1" t="n">
        <v>45646.38200231481</v>
      </c>
      <c r="C389" s="1" t="n">
        <v>46179</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11407-2026</t>
        </is>
      </c>
      <c r="B390" s="1" t="n">
        <v>46083</v>
      </c>
      <c r="C390" s="1" t="n">
        <v>46179</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53398-2025</t>
        </is>
      </c>
      <c r="B391" s="1" t="n">
        <v>45959.56247685185</v>
      </c>
      <c r="C391" s="1" t="n">
        <v>46179</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53397-2025</t>
        </is>
      </c>
      <c r="B392" s="1" t="n">
        <v>45959.55918981481</v>
      </c>
      <c r="C392" s="1" t="n">
        <v>46179</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53396-2025</t>
        </is>
      </c>
      <c r="B393" s="1" t="n">
        <v>45959.55577546296</v>
      </c>
      <c r="C393" s="1" t="n">
        <v>46179</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53933-2025</t>
        </is>
      </c>
      <c r="B394" s="1" t="n">
        <v>45961.47650462963</v>
      </c>
      <c r="C394" s="1" t="n">
        <v>46179</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33374-2021</t>
        </is>
      </c>
      <c r="B395" s="1" t="n">
        <v>44377</v>
      </c>
      <c r="C395" s="1" t="n">
        <v>46179</v>
      </c>
      <c r="D395" t="inlineStr">
        <is>
          <t>KALMAR LÄN</t>
        </is>
      </c>
      <c r="E395" t="inlineStr">
        <is>
          <t>VIMMERBY</t>
        </is>
      </c>
      <c r="G395" t="n">
        <v>3.3</v>
      </c>
      <c r="H395" t="n">
        <v>0</v>
      </c>
      <c r="I395" t="n">
        <v>0</v>
      </c>
      <c r="J395" t="n">
        <v>0</v>
      </c>
      <c r="K395" t="n">
        <v>0</v>
      </c>
      <c r="L395" t="n">
        <v>0</v>
      </c>
      <c r="M395" t="n">
        <v>0</v>
      </c>
      <c r="N395" t="n">
        <v>0</v>
      </c>
      <c r="O395" t="n">
        <v>0</v>
      </c>
      <c r="P395" t="n">
        <v>0</v>
      </c>
      <c r="Q395" t="n">
        <v>0</v>
      </c>
      <c r="R395" s="2" t="inlineStr"/>
    </row>
    <row r="396" ht="15" customHeight="1">
      <c r="A396" t="inlineStr">
        <is>
          <t>A 54236-2025</t>
        </is>
      </c>
      <c r="B396" s="1" t="n">
        <v>45964.62671296296</v>
      </c>
      <c r="C396" s="1" t="n">
        <v>46179</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53920-2025</t>
        </is>
      </c>
      <c r="B397" s="1" t="n">
        <v>45961.44951388889</v>
      </c>
      <c r="C397" s="1" t="n">
        <v>46179</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10759-2023</t>
        </is>
      </c>
      <c r="B398" s="1" t="n">
        <v>44988</v>
      </c>
      <c r="C398" s="1" t="n">
        <v>46179</v>
      </c>
      <c r="D398" t="inlineStr">
        <is>
          <t>KALMAR LÄN</t>
        </is>
      </c>
      <c r="E398" t="inlineStr">
        <is>
          <t>VIMMERBY</t>
        </is>
      </c>
      <c r="G398" t="n">
        <v>0.4</v>
      </c>
      <c r="H398" t="n">
        <v>0</v>
      </c>
      <c r="I398" t="n">
        <v>0</v>
      </c>
      <c r="J398" t="n">
        <v>0</v>
      </c>
      <c r="K398" t="n">
        <v>0</v>
      </c>
      <c r="L398" t="n">
        <v>0</v>
      </c>
      <c r="M398" t="n">
        <v>0</v>
      </c>
      <c r="N398" t="n">
        <v>0</v>
      </c>
      <c r="O398" t="n">
        <v>0</v>
      </c>
      <c r="P398" t="n">
        <v>0</v>
      </c>
      <c r="Q398" t="n">
        <v>0</v>
      </c>
      <c r="R398" s="2" t="inlineStr"/>
    </row>
    <row r="399" ht="15" customHeight="1">
      <c r="A399" t="inlineStr">
        <is>
          <t>A 18899-2025</t>
        </is>
      </c>
      <c r="B399" s="1" t="n">
        <v>45764.44931712963</v>
      </c>
      <c r="C399" s="1" t="n">
        <v>46179</v>
      </c>
      <c r="D399" t="inlineStr">
        <is>
          <t>KALMAR LÄN</t>
        </is>
      </c>
      <c r="E399" t="inlineStr">
        <is>
          <t>VIMMERBY</t>
        </is>
      </c>
      <c r="F399" t="inlineStr">
        <is>
          <t>Kommuner</t>
        </is>
      </c>
      <c r="G399" t="n">
        <v>4</v>
      </c>
      <c r="H399" t="n">
        <v>0</v>
      </c>
      <c r="I399" t="n">
        <v>0</v>
      </c>
      <c r="J399" t="n">
        <v>0</v>
      </c>
      <c r="K399" t="n">
        <v>0</v>
      </c>
      <c r="L399" t="n">
        <v>0</v>
      </c>
      <c r="M399" t="n">
        <v>0</v>
      </c>
      <c r="N399" t="n">
        <v>0</v>
      </c>
      <c r="O399" t="n">
        <v>0</v>
      </c>
      <c r="P399" t="n">
        <v>0</v>
      </c>
      <c r="Q399" t="n">
        <v>0</v>
      </c>
      <c r="R399" s="2" t="inlineStr"/>
    </row>
    <row r="400" ht="15" customHeight="1">
      <c r="A400" t="inlineStr">
        <is>
          <t>A 54234-2025</t>
        </is>
      </c>
      <c r="B400" s="1" t="n">
        <v>45964.62486111111</v>
      </c>
      <c r="C400" s="1" t="n">
        <v>46179</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53903-2025</t>
        </is>
      </c>
      <c r="B401" s="1" t="n">
        <v>45961.43738425926</v>
      </c>
      <c r="C401" s="1" t="n">
        <v>46179</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11273-2026</t>
        </is>
      </c>
      <c r="B402" s="1" t="n">
        <v>46080.57634259259</v>
      </c>
      <c r="C402" s="1" t="n">
        <v>46179</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11415-2026</t>
        </is>
      </c>
      <c r="B403" s="1" t="n">
        <v>46083</v>
      </c>
      <c r="C403" s="1" t="n">
        <v>46179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32614-2023</t>
        </is>
      </c>
      <c r="B404" s="1" t="n">
        <v>45121</v>
      </c>
      <c r="C404" s="1" t="n">
        <v>46179</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61939-2021</t>
        </is>
      </c>
      <c r="B405" s="1" t="n">
        <v>44502</v>
      </c>
      <c r="C405" s="1" t="n">
        <v>46179</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40076-2021</t>
        </is>
      </c>
      <c r="B406" s="1" t="n">
        <v>44418</v>
      </c>
      <c r="C406" s="1" t="n">
        <v>46179</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11798-2026</t>
        </is>
      </c>
      <c r="B407" s="1" t="n">
        <v>46085.34020833333</v>
      </c>
      <c r="C407" s="1" t="n">
        <v>46179</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55385-2025</t>
        </is>
      </c>
      <c r="B408" s="1" t="n">
        <v>45971.43350694444</v>
      </c>
      <c r="C408" s="1" t="n">
        <v>46179</v>
      </c>
      <c r="D408" t="inlineStr">
        <is>
          <t>KALMAR LÄN</t>
        </is>
      </c>
      <c r="E408" t="inlineStr">
        <is>
          <t>VIMMERBY</t>
        </is>
      </c>
      <c r="G408" t="n">
        <v>5</v>
      </c>
      <c r="H408" t="n">
        <v>0</v>
      </c>
      <c r="I408" t="n">
        <v>0</v>
      </c>
      <c r="J408" t="n">
        <v>0</v>
      </c>
      <c r="K408" t="n">
        <v>0</v>
      </c>
      <c r="L408" t="n">
        <v>0</v>
      </c>
      <c r="M408" t="n">
        <v>0</v>
      </c>
      <c r="N408" t="n">
        <v>0</v>
      </c>
      <c r="O408" t="n">
        <v>0</v>
      </c>
      <c r="P408" t="n">
        <v>0</v>
      </c>
      <c r="Q408" t="n">
        <v>0</v>
      </c>
      <c r="R408" s="2" t="inlineStr"/>
    </row>
    <row r="409" ht="15" customHeight="1">
      <c r="A409" t="inlineStr">
        <is>
          <t>A 55603-2025</t>
        </is>
      </c>
      <c r="B409" s="1" t="n">
        <v>45971</v>
      </c>
      <c r="C409" s="1" t="n">
        <v>46179</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12588-2025</t>
        </is>
      </c>
      <c r="B410" s="1" t="n">
        <v>45732.76936342593</v>
      </c>
      <c r="C410" s="1" t="n">
        <v>46179</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25979-2023</t>
        </is>
      </c>
      <c r="B411" s="1" t="n">
        <v>45090.89653935185</v>
      </c>
      <c r="C411" s="1" t="n">
        <v>46179</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25980-2023</t>
        </is>
      </c>
      <c r="B412" s="1" t="n">
        <v>45090.89880787037</v>
      </c>
      <c r="C412" s="1" t="n">
        <v>46179</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46921-2023</t>
        </is>
      </c>
      <c r="B413" s="1" t="n">
        <v>45201.39996527778</v>
      </c>
      <c r="C413" s="1" t="n">
        <v>46179</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10837-2023</t>
        </is>
      </c>
      <c r="B414" s="1" t="n">
        <v>44991.30547453704</v>
      </c>
      <c r="C414" s="1" t="n">
        <v>46179</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10838-2023</t>
        </is>
      </c>
      <c r="B415" s="1" t="n">
        <v>44991</v>
      </c>
      <c r="C415" s="1" t="n">
        <v>46179</v>
      </c>
      <c r="D415" t="inlineStr">
        <is>
          <t>KALMAR LÄN</t>
        </is>
      </c>
      <c r="E415" t="inlineStr">
        <is>
          <t>VIMMERBY</t>
        </is>
      </c>
      <c r="G415" t="n">
        <v>5.1</v>
      </c>
      <c r="H415" t="n">
        <v>0</v>
      </c>
      <c r="I415" t="n">
        <v>0</v>
      </c>
      <c r="J415" t="n">
        <v>0</v>
      </c>
      <c r="K415" t="n">
        <v>0</v>
      </c>
      <c r="L415" t="n">
        <v>0</v>
      </c>
      <c r="M415" t="n">
        <v>0</v>
      </c>
      <c r="N415" t="n">
        <v>0</v>
      </c>
      <c r="O415" t="n">
        <v>0</v>
      </c>
      <c r="P415" t="n">
        <v>0</v>
      </c>
      <c r="Q415" t="n">
        <v>0</v>
      </c>
      <c r="R415" s="2" t="inlineStr"/>
    </row>
    <row r="416" ht="15" customHeight="1">
      <c r="A416" t="inlineStr">
        <is>
          <t>A 30912-2023</t>
        </is>
      </c>
      <c r="B416" s="1" t="n">
        <v>45113.41633101852</v>
      </c>
      <c r="C416" s="1" t="n">
        <v>46179</v>
      </c>
      <c r="D416" t="inlineStr">
        <is>
          <t>KALMAR LÄN</t>
        </is>
      </c>
      <c r="E416" t="inlineStr">
        <is>
          <t>VIMMERBY</t>
        </is>
      </c>
      <c r="G416" t="n">
        <v>5</v>
      </c>
      <c r="H416" t="n">
        <v>0</v>
      </c>
      <c r="I416" t="n">
        <v>0</v>
      </c>
      <c r="J416" t="n">
        <v>0</v>
      </c>
      <c r="K416" t="n">
        <v>0</v>
      </c>
      <c r="L416" t="n">
        <v>0</v>
      </c>
      <c r="M416" t="n">
        <v>0</v>
      </c>
      <c r="N416" t="n">
        <v>0</v>
      </c>
      <c r="O416" t="n">
        <v>0</v>
      </c>
      <c r="P416" t="n">
        <v>0</v>
      </c>
      <c r="Q416" t="n">
        <v>0</v>
      </c>
      <c r="R416" s="2" t="inlineStr"/>
    </row>
    <row r="417" ht="15" customHeight="1">
      <c r="A417" t="inlineStr">
        <is>
          <t>A 55436-2023</t>
        </is>
      </c>
      <c r="B417" s="1" t="n">
        <v>45238.4328587963</v>
      </c>
      <c r="C417" s="1" t="n">
        <v>46179</v>
      </c>
      <c r="D417" t="inlineStr">
        <is>
          <t>KALMAR LÄN</t>
        </is>
      </c>
      <c r="E417" t="inlineStr">
        <is>
          <t>VIMMERBY</t>
        </is>
      </c>
      <c r="G417" t="n">
        <v>5.6</v>
      </c>
      <c r="H417" t="n">
        <v>0</v>
      </c>
      <c r="I417" t="n">
        <v>0</v>
      </c>
      <c r="J417" t="n">
        <v>0</v>
      </c>
      <c r="K417" t="n">
        <v>0</v>
      </c>
      <c r="L417" t="n">
        <v>0</v>
      </c>
      <c r="M417" t="n">
        <v>0</v>
      </c>
      <c r="N417" t="n">
        <v>0</v>
      </c>
      <c r="O417" t="n">
        <v>0</v>
      </c>
      <c r="P417" t="n">
        <v>0</v>
      </c>
      <c r="Q417" t="n">
        <v>0</v>
      </c>
      <c r="R417" s="2" t="inlineStr"/>
    </row>
    <row r="418" ht="15" customHeight="1">
      <c r="A418" t="inlineStr">
        <is>
          <t>A 21507-2023</t>
        </is>
      </c>
      <c r="B418" s="1" t="n">
        <v>45063.508125</v>
      </c>
      <c r="C418" s="1" t="n">
        <v>46179</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51187-2023</t>
        </is>
      </c>
      <c r="B419" s="1" t="n">
        <v>45219.40528935185</v>
      </c>
      <c r="C419" s="1" t="n">
        <v>46179</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13290-2025</t>
        </is>
      </c>
      <c r="B420" s="1" t="n">
        <v>45735.56751157407</v>
      </c>
      <c r="C420" s="1" t="n">
        <v>46179</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45560-2021</t>
        </is>
      </c>
      <c r="B421" s="1" t="n">
        <v>44440</v>
      </c>
      <c r="C421" s="1" t="n">
        <v>46179</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12730-2026</t>
        </is>
      </c>
      <c r="B422" s="1" t="n">
        <v>46091</v>
      </c>
      <c r="C422" s="1" t="n">
        <v>46179</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16622-2025</t>
        </is>
      </c>
      <c r="B423" s="1" t="n">
        <v>45754.33641203704</v>
      </c>
      <c r="C423" s="1" t="n">
        <v>46179</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31340-2023</t>
        </is>
      </c>
      <c r="B424" s="1" t="n">
        <v>45114.47895833333</v>
      </c>
      <c r="C424" s="1" t="n">
        <v>46179</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29168-2024</t>
        </is>
      </c>
      <c r="B425" s="1" t="n">
        <v>45482.49870370371</v>
      </c>
      <c r="C425" s="1" t="n">
        <v>46179</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29186-2024</t>
        </is>
      </c>
      <c r="B426" s="1" t="n">
        <v>45482.54844907407</v>
      </c>
      <c r="C426" s="1" t="n">
        <v>46179</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35895-2024</t>
        </is>
      </c>
      <c r="B427" s="1" t="n">
        <v>45533.38870370371</v>
      </c>
      <c r="C427" s="1" t="n">
        <v>46179</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12590-2025</t>
        </is>
      </c>
      <c r="B428" s="1" t="n">
        <v>45732.79925925926</v>
      </c>
      <c r="C428" s="1" t="n">
        <v>46179</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30318-2023</t>
        </is>
      </c>
      <c r="B429" s="1" t="n">
        <v>45111.30824074074</v>
      </c>
      <c r="C429" s="1" t="n">
        <v>46179</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57728-2025</t>
        </is>
      </c>
      <c r="B430" s="1" t="n">
        <v>45981</v>
      </c>
      <c r="C430" s="1" t="n">
        <v>46179</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43186-2021</t>
        </is>
      </c>
      <c r="B431" s="1" t="n">
        <v>44431.84840277778</v>
      </c>
      <c r="C431" s="1" t="n">
        <v>46179</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60230-2022</t>
        </is>
      </c>
      <c r="B432" s="1" t="n">
        <v>44910</v>
      </c>
      <c r="C432" s="1" t="n">
        <v>46179</v>
      </c>
      <c r="D432" t="inlineStr">
        <is>
          <t>KALMAR LÄN</t>
        </is>
      </c>
      <c r="E432" t="inlineStr">
        <is>
          <t>VIMMERBY</t>
        </is>
      </c>
      <c r="G432" t="n">
        <v>11.3</v>
      </c>
      <c r="H432" t="n">
        <v>0</v>
      </c>
      <c r="I432" t="n">
        <v>0</v>
      </c>
      <c r="J432" t="n">
        <v>0</v>
      </c>
      <c r="K432" t="n">
        <v>0</v>
      </c>
      <c r="L432" t="n">
        <v>0</v>
      </c>
      <c r="M432" t="n">
        <v>0</v>
      </c>
      <c r="N432" t="n">
        <v>0</v>
      </c>
      <c r="O432" t="n">
        <v>0</v>
      </c>
      <c r="P432" t="n">
        <v>0</v>
      </c>
      <c r="Q432" t="n">
        <v>0</v>
      </c>
      <c r="R432" s="2" t="inlineStr"/>
    </row>
    <row r="433" ht="15" customHeight="1">
      <c r="A433" t="inlineStr">
        <is>
          <t>A 12820-2026</t>
        </is>
      </c>
      <c r="B433" s="1" t="n">
        <v>46092.40909722223</v>
      </c>
      <c r="C433" s="1" t="n">
        <v>46179</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12821-2026</t>
        </is>
      </c>
      <c r="B434" s="1" t="n">
        <v>46092.41256944444</v>
      </c>
      <c r="C434" s="1" t="n">
        <v>46179</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12825-2026</t>
        </is>
      </c>
      <c r="B435" s="1" t="n">
        <v>46092.41561342592</v>
      </c>
      <c r="C435" s="1" t="n">
        <v>46179</v>
      </c>
      <c r="D435" t="inlineStr">
        <is>
          <t>KALMAR LÄN</t>
        </is>
      </c>
      <c r="E435" t="inlineStr">
        <is>
          <t>VIMMERBY</t>
        </is>
      </c>
      <c r="G435" t="n">
        <v>2.6</v>
      </c>
      <c r="H435" t="n">
        <v>0</v>
      </c>
      <c r="I435" t="n">
        <v>0</v>
      </c>
      <c r="J435" t="n">
        <v>0</v>
      </c>
      <c r="K435" t="n">
        <v>0</v>
      </c>
      <c r="L435" t="n">
        <v>0</v>
      </c>
      <c r="M435" t="n">
        <v>0</v>
      </c>
      <c r="N435" t="n">
        <v>0</v>
      </c>
      <c r="O435" t="n">
        <v>0</v>
      </c>
      <c r="P435" t="n">
        <v>0</v>
      </c>
      <c r="Q435" t="n">
        <v>0</v>
      </c>
      <c r="R435" s="2" t="inlineStr"/>
    </row>
    <row r="436" ht="15" customHeight="1">
      <c r="A436" t="inlineStr">
        <is>
          <t>A 5925-2022</t>
        </is>
      </c>
      <c r="B436" s="1" t="n">
        <v>44598.7384837963</v>
      </c>
      <c r="C436" s="1" t="n">
        <v>46179</v>
      </c>
      <c r="D436" t="inlineStr">
        <is>
          <t>KALMAR LÄN</t>
        </is>
      </c>
      <c r="E436" t="inlineStr">
        <is>
          <t>VIMMERBY</t>
        </is>
      </c>
      <c r="G436" t="n">
        <v>2.1</v>
      </c>
      <c r="H436" t="n">
        <v>0</v>
      </c>
      <c r="I436" t="n">
        <v>0</v>
      </c>
      <c r="J436" t="n">
        <v>0</v>
      </c>
      <c r="K436" t="n">
        <v>0</v>
      </c>
      <c r="L436" t="n">
        <v>0</v>
      </c>
      <c r="M436" t="n">
        <v>0</v>
      </c>
      <c r="N436" t="n">
        <v>0</v>
      </c>
      <c r="O436" t="n">
        <v>0</v>
      </c>
      <c r="P436" t="n">
        <v>0</v>
      </c>
      <c r="Q436" t="n">
        <v>0</v>
      </c>
      <c r="R436" s="2" t="inlineStr"/>
    </row>
    <row r="437" ht="15" customHeight="1">
      <c r="A437" t="inlineStr">
        <is>
          <t>A 845-2023</t>
        </is>
      </c>
      <c r="B437" s="1" t="n">
        <v>44931</v>
      </c>
      <c r="C437" s="1" t="n">
        <v>46179</v>
      </c>
      <c r="D437" t="inlineStr">
        <is>
          <t>KALMAR LÄN</t>
        </is>
      </c>
      <c r="E437" t="inlineStr">
        <is>
          <t>VIMMERBY</t>
        </is>
      </c>
      <c r="F437" t="inlineStr">
        <is>
          <t>Övriga Aktiebolag</t>
        </is>
      </c>
      <c r="G437" t="n">
        <v>19</v>
      </c>
      <c r="H437" t="n">
        <v>0</v>
      </c>
      <c r="I437" t="n">
        <v>0</v>
      </c>
      <c r="J437" t="n">
        <v>0</v>
      </c>
      <c r="K437" t="n">
        <v>0</v>
      </c>
      <c r="L437" t="n">
        <v>0</v>
      </c>
      <c r="M437" t="n">
        <v>0</v>
      </c>
      <c r="N437" t="n">
        <v>0</v>
      </c>
      <c r="O437" t="n">
        <v>0</v>
      </c>
      <c r="P437" t="n">
        <v>0</v>
      </c>
      <c r="Q437" t="n">
        <v>0</v>
      </c>
      <c r="R437" s="2" t="inlineStr"/>
    </row>
    <row r="438" ht="15" customHeight="1">
      <c r="A438" t="inlineStr">
        <is>
          <t>A 16119-2023</t>
        </is>
      </c>
      <c r="B438" s="1" t="n">
        <v>45027.59450231482</v>
      </c>
      <c r="C438" s="1" t="n">
        <v>46179</v>
      </c>
      <c r="D438" t="inlineStr">
        <is>
          <t>KALMAR LÄN</t>
        </is>
      </c>
      <c r="E438" t="inlineStr">
        <is>
          <t>VIMMERBY</t>
        </is>
      </c>
      <c r="F438" t="inlineStr">
        <is>
          <t>Kommuner</t>
        </is>
      </c>
      <c r="G438" t="n">
        <v>4.4</v>
      </c>
      <c r="H438" t="n">
        <v>0</v>
      </c>
      <c r="I438" t="n">
        <v>0</v>
      </c>
      <c r="J438" t="n">
        <v>0</v>
      </c>
      <c r="K438" t="n">
        <v>0</v>
      </c>
      <c r="L438" t="n">
        <v>0</v>
      </c>
      <c r="M438" t="n">
        <v>0</v>
      </c>
      <c r="N438" t="n">
        <v>0</v>
      </c>
      <c r="O438" t="n">
        <v>0</v>
      </c>
      <c r="P438" t="n">
        <v>0</v>
      </c>
      <c r="Q438" t="n">
        <v>0</v>
      </c>
      <c r="R438" s="2" t="inlineStr"/>
    </row>
    <row r="439" ht="15" customHeight="1">
      <c r="A439" t="inlineStr">
        <is>
          <t>A 30588-2023</t>
        </is>
      </c>
      <c r="B439" s="1" t="n">
        <v>45112.33599537037</v>
      </c>
      <c r="C439" s="1" t="n">
        <v>46179</v>
      </c>
      <c r="D439" t="inlineStr">
        <is>
          <t>KALMAR LÄN</t>
        </is>
      </c>
      <c r="E439" t="inlineStr">
        <is>
          <t>VIMMERBY</t>
        </is>
      </c>
      <c r="G439" t="n">
        <v>2.7</v>
      </c>
      <c r="H439" t="n">
        <v>0</v>
      </c>
      <c r="I439" t="n">
        <v>0</v>
      </c>
      <c r="J439" t="n">
        <v>0</v>
      </c>
      <c r="K439" t="n">
        <v>0</v>
      </c>
      <c r="L439" t="n">
        <v>0</v>
      </c>
      <c r="M439" t="n">
        <v>0</v>
      </c>
      <c r="N439" t="n">
        <v>0</v>
      </c>
      <c r="O439" t="n">
        <v>0</v>
      </c>
      <c r="P439" t="n">
        <v>0</v>
      </c>
      <c r="Q439" t="n">
        <v>0</v>
      </c>
      <c r="R439" s="2" t="inlineStr"/>
    </row>
    <row r="440" ht="15" customHeight="1">
      <c r="A440" t="inlineStr">
        <is>
          <t>A 58498-2025</t>
        </is>
      </c>
      <c r="B440" s="1" t="n">
        <v>45985.68671296296</v>
      </c>
      <c r="C440" s="1" t="n">
        <v>46179</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58501-2025</t>
        </is>
      </c>
      <c r="B441" s="1" t="n">
        <v>45985.69153935185</v>
      </c>
      <c r="C441" s="1" t="n">
        <v>46179</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45528-2021</t>
        </is>
      </c>
      <c r="B442" s="1" t="n">
        <v>44440.60415509259</v>
      </c>
      <c r="C442" s="1" t="n">
        <v>46179</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58503-2025</t>
        </is>
      </c>
      <c r="B443" s="1" t="n">
        <v>45985.69509259259</v>
      </c>
      <c r="C443" s="1" t="n">
        <v>46179</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58446-2025</t>
        </is>
      </c>
      <c r="B444" s="1" t="n">
        <v>45985.62168981481</v>
      </c>
      <c r="C444" s="1" t="n">
        <v>46179</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58500-2025</t>
        </is>
      </c>
      <c r="B445" s="1" t="n">
        <v>45985.69008101852</v>
      </c>
      <c r="C445" s="1" t="n">
        <v>46179</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13667-2026</t>
        </is>
      </c>
      <c r="B446" s="1" t="n">
        <v>46097</v>
      </c>
      <c r="C446" s="1" t="n">
        <v>46179</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13714-2026</t>
        </is>
      </c>
      <c r="B447" s="1" t="n">
        <v>46097.58472222222</v>
      </c>
      <c r="C447" s="1" t="n">
        <v>46179</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16516-2023</t>
        </is>
      </c>
      <c r="B448" s="1" t="n">
        <v>45029</v>
      </c>
      <c r="C448" s="1" t="n">
        <v>46179</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2510-2023</t>
        </is>
      </c>
      <c r="B449" s="1" t="n">
        <v>44943.57309027778</v>
      </c>
      <c r="C449" s="1" t="n">
        <v>46179</v>
      </c>
      <c r="D449" t="inlineStr">
        <is>
          <t>KALMAR LÄN</t>
        </is>
      </c>
      <c r="E449" t="inlineStr">
        <is>
          <t>VIMMERBY</t>
        </is>
      </c>
      <c r="G449" t="n">
        <v>8.6</v>
      </c>
      <c r="H449" t="n">
        <v>0</v>
      </c>
      <c r="I449" t="n">
        <v>0</v>
      </c>
      <c r="J449" t="n">
        <v>0</v>
      </c>
      <c r="K449" t="n">
        <v>0</v>
      </c>
      <c r="L449" t="n">
        <v>0</v>
      </c>
      <c r="M449" t="n">
        <v>0</v>
      </c>
      <c r="N449" t="n">
        <v>0</v>
      </c>
      <c r="O449" t="n">
        <v>0</v>
      </c>
      <c r="P449" t="n">
        <v>0</v>
      </c>
      <c r="Q449" t="n">
        <v>0</v>
      </c>
      <c r="R449" s="2" t="inlineStr"/>
    </row>
    <row r="450" ht="15" customHeight="1">
      <c r="A450" t="inlineStr">
        <is>
          <t>A 59037-2025</t>
        </is>
      </c>
      <c r="B450" s="1" t="n">
        <v>45988.36508101852</v>
      </c>
      <c r="C450" s="1" t="n">
        <v>46179</v>
      </c>
      <c r="D450" t="inlineStr">
        <is>
          <t>KALMAR LÄN</t>
        </is>
      </c>
      <c r="E450" t="inlineStr">
        <is>
          <t>VIMMERBY</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59034-2025</t>
        </is>
      </c>
      <c r="B451" s="1" t="n">
        <v>45988.36243055556</v>
      </c>
      <c r="C451" s="1" t="n">
        <v>46179</v>
      </c>
      <c r="D451" t="inlineStr">
        <is>
          <t>KALMAR LÄN</t>
        </is>
      </c>
      <c r="E451" t="inlineStr">
        <is>
          <t>VIMMERBY</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59068-2025</t>
        </is>
      </c>
      <c r="B452" s="1" t="n">
        <v>45988.41725694444</v>
      </c>
      <c r="C452" s="1" t="n">
        <v>46179</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58858-2025</t>
        </is>
      </c>
      <c r="B453" s="1" t="n">
        <v>45987.4243287037</v>
      </c>
      <c r="C453" s="1" t="n">
        <v>46179</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59039-2025</t>
        </is>
      </c>
      <c r="B454" s="1" t="n">
        <v>45988.36790509259</v>
      </c>
      <c r="C454" s="1" t="n">
        <v>46179</v>
      </c>
      <c r="D454" t="inlineStr">
        <is>
          <t>KALMAR LÄN</t>
        </is>
      </c>
      <c r="E454" t="inlineStr">
        <is>
          <t>VIMMERBY</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48373-2021</t>
        </is>
      </c>
      <c r="B455" s="1" t="n">
        <v>44451</v>
      </c>
      <c r="C455" s="1" t="n">
        <v>46179</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58841-2025</t>
        </is>
      </c>
      <c r="B456" s="1" t="n">
        <v>45987.36275462963</v>
      </c>
      <c r="C456" s="1" t="n">
        <v>46179</v>
      </c>
      <c r="D456" t="inlineStr">
        <is>
          <t>KALMAR LÄN</t>
        </is>
      </c>
      <c r="E456" t="inlineStr">
        <is>
          <t>VIMMERBY</t>
        </is>
      </c>
      <c r="G456" t="n">
        <v>3.5</v>
      </c>
      <c r="H456" t="n">
        <v>0</v>
      </c>
      <c r="I456" t="n">
        <v>0</v>
      </c>
      <c r="J456" t="n">
        <v>0</v>
      </c>
      <c r="K456" t="n">
        <v>0</v>
      </c>
      <c r="L456" t="n">
        <v>0</v>
      </c>
      <c r="M456" t="n">
        <v>0</v>
      </c>
      <c r="N456" t="n">
        <v>0</v>
      </c>
      <c r="O456" t="n">
        <v>0</v>
      </c>
      <c r="P456" t="n">
        <v>0</v>
      </c>
      <c r="Q456" t="n">
        <v>0</v>
      </c>
      <c r="R456" s="2" t="inlineStr"/>
    </row>
    <row r="457" ht="15" customHeight="1">
      <c r="A457" t="inlineStr">
        <is>
          <t>A 7485-2024</t>
        </is>
      </c>
      <c r="B457" s="1" t="n">
        <v>45346.67184027778</v>
      </c>
      <c r="C457" s="1" t="n">
        <v>46179</v>
      </c>
      <c r="D457" t="inlineStr">
        <is>
          <t>KALMAR LÄN</t>
        </is>
      </c>
      <c r="E457" t="inlineStr">
        <is>
          <t>VIMMERBY</t>
        </is>
      </c>
      <c r="G457" t="n">
        <v>1.9</v>
      </c>
      <c r="H457" t="n">
        <v>0</v>
      </c>
      <c r="I457" t="n">
        <v>0</v>
      </c>
      <c r="J457" t="n">
        <v>0</v>
      </c>
      <c r="K457" t="n">
        <v>0</v>
      </c>
      <c r="L457" t="n">
        <v>0</v>
      </c>
      <c r="M457" t="n">
        <v>0</v>
      </c>
      <c r="N457" t="n">
        <v>0</v>
      </c>
      <c r="O457" t="n">
        <v>0</v>
      </c>
      <c r="P457" t="n">
        <v>0</v>
      </c>
      <c r="Q457" t="n">
        <v>0</v>
      </c>
      <c r="R457" s="2" t="inlineStr"/>
    </row>
    <row r="458" ht="15" customHeight="1">
      <c r="A458" t="inlineStr">
        <is>
          <t>A 6574-2023</t>
        </is>
      </c>
      <c r="B458" s="1" t="n">
        <v>44966</v>
      </c>
      <c r="C458" s="1" t="n">
        <v>46179</v>
      </c>
      <c r="D458" t="inlineStr">
        <is>
          <t>KALMAR LÄN</t>
        </is>
      </c>
      <c r="E458" t="inlineStr">
        <is>
          <t>VIMMERBY</t>
        </is>
      </c>
      <c r="G458" t="n">
        <v>2.5</v>
      </c>
      <c r="H458" t="n">
        <v>0</v>
      </c>
      <c r="I458" t="n">
        <v>0</v>
      </c>
      <c r="J458" t="n">
        <v>0</v>
      </c>
      <c r="K458" t="n">
        <v>0</v>
      </c>
      <c r="L458" t="n">
        <v>0</v>
      </c>
      <c r="M458" t="n">
        <v>0</v>
      </c>
      <c r="N458" t="n">
        <v>0</v>
      </c>
      <c r="O458" t="n">
        <v>0</v>
      </c>
      <c r="P458" t="n">
        <v>0</v>
      </c>
      <c r="Q458" t="n">
        <v>0</v>
      </c>
      <c r="R458" s="2" t="inlineStr"/>
    </row>
    <row r="459" ht="15" customHeight="1">
      <c r="A459" t="inlineStr">
        <is>
          <t>A 58750-2022</t>
        </is>
      </c>
      <c r="B459" s="1" t="n">
        <v>44903.33363425926</v>
      </c>
      <c r="C459" s="1" t="n">
        <v>46179</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59579-2025</t>
        </is>
      </c>
      <c r="B460" s="1" t="n">
        <v>45992.30569444445</v>
      </c>
      <c r="C460" s="1" t="n">
        <v>46179</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13793-2026</t>
        </is>
      </c>
      <c r="B461" s="1" t="n">
        <v>46097.79199074074</v>
      </c>
      <c r="C461" s="1" t="n">
        <v>46179</v>
      </c>
      <c r="D461" t="inlineStr">
        <is>
          <t>KALMAR LÄN</t>
        </is>
      </c>
      <c r="E461" t="inlineStr">
        <is>
          <t>VIMMERBY</t>
        </is>
      </c>
      <c r="G461" t="n">
        <v>2.9</v>
      </c>
      <c r="H461" t="n">
        <v>0</v>
      </c>
      <c r="I461" t="n">
        <v>0</v>
      </c>
      <c r="J461" t="n">
        <v>0</v>
      </c>
      <c r="K461" t="n">
        <v>0</v>
      </c>
      <c r="L461" t="n">
        <v>0</v>
      </c>
      <c r="M461" t="n">
        <v>0</v>
      </c>
      <c r="N461" t="n">
        <v>0</v>
      </c>
      <c r="O461" t="n">
        <v>0</v>
      </c>
      <c r="P461" t="n">
        <v>0</v>
      </c>
      <c r="Q461" t="n">
        <v>0</v>
      </c>
      <c r="R461" s="2" t="inlineStr"/>
    </row>
    <row r="462" ht="15" customHeight="1">
      <c r="A462" t="inlineStr">
        <is>
          <t>A 60180-2025</t>
        </is>
      </c>
      <c r="B462" s="1" t="n">
        <v>45994.46428240741</v>
      </c>
      <c r="C462" s="1" t="n">
        <v>46179</v>
      </c>
      <c r="D462" t="inlineStr">
        <is>
          <t>KALMAR LÄN</t>
        </is>
      </c>
      <c r="E462" t="inlineStr">
        <is>
          <t>VIMMERBY</t>
        </is>
      </c>
      <c r="G462" t="n">
        <v>6.8</v>
      </c>
      <c r="H462" t="n">
        <v>0</v>
      </c>
      <c r="I462" t="n">
        <v>0</v>
      </c>
      <c r="J462" t="n">
        <v>0</v>
      </c>
      <c r="K462" t="n">
        <v>0</v>
      </c>
      <c r="L462" t="n">
        <v>0</v>
      </c>
      <c r="M462" t="n">
        <v>0</v>
      </c>
      <c r="N462" t="n">
        <v>0</v>
      </c>
      <c r="O462" t="n">
        <v>0</v>
      </c>
      <c r="P462" t="n">
        <v>0</v>
      </c>
      <c r="Q462" t="n">
        <v>0</v>
      </c>
      <c r="R462" s="2" t="inlineStr"/>
    </row>
    <row r="463" ht="15" customHeight="1">
      <c r="A463" t="inlineStr">
        <is>
          <t>A 14279-2026</t>
        </is>
      </c>
      <c r="B463" s="1" t="n">
        <v>46099.66826388889</v>
      </c>
      <c r="C463" s="1" t="n">
        <v>46179</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2260-2022</t>
        </is>
      </c>
      <c r="B464" s="1" t="n">
        <v>44578.62943287037</v>
      </c>
      <c r="C464" s="1" t="n">
        <v>46179</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50860-2022</t>
        </is>
      </c>
      <c r="B465" s="1" t="n">
        <v>44867</v>
      </c>
      <c r="C465" s="1" t="n">
        <v>46179</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60297-2025</t>
        </is>
      </c>
      <c r="B466" s="1" t="n">
        <v>45994</v>
      </c>
      <c r="C466" s="1" t="n">
        <v>46179</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53483-2022</t>
        </is>
      </c>
      <c r="B467" s="1" t="n">
        <v>44879.55940972222</v>
      </c>
      <c r="C467" s="1" t="n">
        <v>46179</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58962-2022</t>
        </is>
      </c>
      <c r="B468" s="1" t="n">
        <v>44903</v>
      </c>
      <c r="C468" s="1" t="n">
        <v>46179</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58967-2022</t>
        </is>
      </c>
      <c r="B469" s="1" t="n">
        <v>44896</v>
      </c>
      <c r="C469" s="1" t="n">
        <v>46179</v>
      </c>
      <c r="D469" t="inlineStr">
        <is>
          <t>KALMAR LÄN</t>
        </is>
      </c>
      <c r="E469" t="inlineStr">
        <is>
          <t>VIMMERBY</t>
        </is>
      </c>
      <c r="G469" t="n">
        <v>5</v>
      </c>
      <c r="H469" t="n">
        <v>0</v>
      </c>
      <c r="I469" t="n">
        <v>0</v>
      </c>
      <c r="J469" t="n">
        <v>0</v>
      </c>
      <c r="K469" t="n">
        <v>0</v>
      </c>
      <c r="L469" t="n">
        <v>0</v>
      </c>
      <c r="M469" t="n">
        <v>0</v>
      </c>
      <c r="N469" t="n">
        <v>0</v>
      </c>
      <c r="O469" t="n">
        <v>0</v>
      </c>
      <c r="P469" t="n">
        <v>0</v>
      </c>
      <c r="Q469" t="n">
        <v>0</v>
      </c>
      <c r="R469" s="2" t="inlineStr"/>
    </row>
    <row r="470" ht="15" customHeight="1">
      <c r="A470" t="inlineStr">
        <is>
          <t>A 57682-2022</t>
        </is>
      </c>
      <c r="B470" s="1" t="n">
        <v>44890</v>
      </c>
      <c r="C470" s="1" t="n">
        <v>46179</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4076-2022</t>
        </is>
      </c>
      <c r="B471" s="1" t="n">
        <v>44588.37998842593</v>
      </c>
      <c r="C471" s="1" t="n">
        <v>46179</v>
      </c>
      <c r="D471" t="inlineStr">
        <is>
          <t>KALMAR LÄN</t>
        </is>
      </c>
      <c r="E471" t="inlineStr">
        <is>
          <t>VIMMERBY</t>
        </is>
      </c>
      <c r="G471" t="n">
        <v>3</v>
      </c>
      <c r="H471" t="n">
        <v>0</v>
      </c>
      <c r="I471" t="n">
        <v>0</v>
      </c>
      <c r="J471" t="n">
        <v>0</v>
      </c>
      <c r="K471" t="n">
        <v>0</v>
      </c>
      <c r="L471" t="n">
        <v>0</v>
      </c>
      <c r="M471" t="n">
        <v>0</v>
      </c>
      <c r="N471" t="n">
        <v>0</v>
      </c>
      <c r="O471" t="n">
        <v>0</v>
      </c>
      <c r="P471" t="n">
        <v>0</v>
      </c>
      <c r="Q471" t="n">
        <v>0</v>
      </c>
      <c r="R471" s="2" t="inlineStr"/>
    </row>
    <row r="472" ht="15" customHeight="1">
      <c r="A472" t="inlineStr">
        <is>
          <t>A 4122-2022</t>
        </is>
      </c>
      <c r="B472" s="1" t="n">
        <v>44588</v>
      </c>
      <c r="C472" s="1" t="n">
        <v>46179</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9624-2024</t>
        </is>
      </c>
      <c r="B473" s="1" t="n">
        <v>45361.90282407407</v>
      </c>
      <c r="C473" s="1" t="n">
        <v>46179</v>
      </c>
      <c r="D473" t="inlineStr">
        <is>
          <t>KALMAR LÄN</t>
        </is>
      </c>
      <c r="E473" t="inlineStr">
        <is>
          <t>VIMMERBY</t>
        </is>
      </c>
      <c r="G473" t="n">
        <v>3.8</v>
      </c>
      <c r="H473" t="n">
        <v>0</v>
      </c>
      <c r="I473" t="n">
        <v>0</v>
      </c>
      <c r="J473" t="n">
        <v>0</v>
      </c>
      <c r="K473" t="n">
        <v>0</v>
      </c>
      <c r="L473" t="n">
        <v>0</v>
      </c>
      <c r="M473" t="n">
        <v>0</v>
      </c>
      <c r="N473" t="n">
        <v>0</v>
      </c>
      <c r="O473" t="n">
        <v>0</v>
      </c>
      <c r="P473" t="n">
        <v>0</v>
      </c>
      <c r="Q473" t="n">
        <v>0</v>
      </c>
      <c r="R473" s="2" t="inlineStr"/>
    </row>
    <row r="474" ht="15" customHeight="1">
      <c r="A474" t="inlineStr">
        <is>
          <t>A 52327-2023</t>
        </is>
      </c>
      <c r="B474" s="1" t="n">
        <v>45224.6515162037</v>
      </c>
      <c r="C474" s="1" t="n">
        <v>46179</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14277-2026</t>
        </is>
      </c>
      <c r="B475" s="1" t="n">
        <v>46099.66305555555</v>
      </c>
      <c r="C475" s="1" t="n">
        <v>46179</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29616-2022</t>
        </is>
      </c>
      <c r="B476" s="1" t="n">
        <v>44754</v>
      </c>
      <c r="C476" s="1" t="n">
        <v>46179</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28403-2023</t>
        </is>
      </c>
      <c r="B477" s="1" t="n">
        <v>45100.85270833333</v>
      </c>
      <c r="C477" s="1" t="n">
        <v>46179</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17511-2024</t>
        </is>
      </c>
      <c r="B478" s="1" t="n">
        <v>45415.57682870371</v>
      </c>
      <c r="C478" s="1" t="n">
        <v>46179</v>
      </c>
      <c r="D478" t="inlineStr">
        <is>
          <t>KALMAR LÄN</t>
        </is>
      </c>
      <c r="E478" t="inlineStr">
        <is>
          <t>VIMMERBY</t>
        </is>
      </c>
      <c r="G478" t="n">
        <v>5.3</v>
      </c>
      <c r="H478" t="n">
        <v>0</v>
      </c>
      <c r="I478" t="n">
        <v>0</v>
      </c>
      <c r="J478" t="n">
        <v>0</v>
      </c>
      <c r="K478" t="n">
        <v>0</v>
      </c>
      <c r="L478" t="n">
        <v>0</v>
      </c>
      <c r="M478" t="n">
        <v>0</v>
      </c>
      <c r="N478" t="n">
        <v>0</v>
      </c>
      <c r="O478" t="n">
        <v>0</v>
      </c>
      <c r="P478" t="n">
        <v>0</v>
      </c>
      <c r="Q478" t="n">
        <v>0</v>
      </c>
      <c r="R478" s="2" t="inlineStr"/>
    </row>
    <row r="479" ht="15" customHeight="1">
      <c r="A479" t="inlineStr">
        <is>
          <t>A 14320-2026</t>
        </is>
      </c>
      <c r="B479" s="1" t="n">
        <v>46099.88449074074</v>
      </c>
      <c r="C479" s="1" t="n">
        <v>46179</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66022-2021</t>
        </is>
      </c>
      <c r="B480" s="1" t="n">
        <v>44517</v>
      </c>
      <c r="C480" s="1" t="n">
        <v>46179</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29973-2023</t>
        </is>
      </c>
      <c r="B481" s="1" t="n">
        <v>45108.703125</v>
      </c>
      <c r="C481" s="1" t="n">
        <v>46179</v>
      </c>
      <c r="D481" t="inlineStr">
        <is>
          <t>KALMAR LÄN</t>
        </is>
      </c>
      <c r="E481" t="inlineStr">
        <is>
          <t>VIMMERBY</t>
        </is>
      </c>
      <c r="G481" t="n">
        <v>4</v>
      </c>
      <c r="H481" t="n">
        <v>0</v>
      </c>
      <c r="I481" t="n">
        <v>0</v>
      </c>
      <c r="J481" t="n">
        <v>0</v>
      </c>
      <c r="K481" t="n">
        <v>0</v>
      </c>
      <c r="L481" t="n">
        <v>0</v>
      </c>
      <c r="M481" t="n">
        <v>0</v>
      </c>
      <c r="N481" t="n">
        <v>0</v>
      </c>
      <c r="O481" t="n">
        <v>0</v>
      </c>
      <c r="P481" t="n">
        <v>0</v>
      </c>
      <c r="Q481" t="n">
        <v>0</v>
      </c>
      <c r="R481" s="2" t="inlineStr"/>
    </row>
    <row r="482" ht="15" customHeight="1">
      <c r="A482" t="inlineStr">
        <is>
          <t>A 61790-2025</t>
        </is>
      </c>
      <c r="B482" s="1" t="n">
        <v>46002.68768518518</v>
      </c>
      <c r="C482" s="1" t="n">
        <v>46179</v>
      </c>
      <c r="D482" t="inlineStr">
        <is>
          <t>KALMAR LÄN</t>
        </is>
      </c>
      <c r="E482" t="inlineStr">
        <is>
          <t>VIMMERBY</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30070-2023</t>
        </is>
      </c>
      <c r="B483" s="1" t="n">
        <v>45110.4275</v>
      </c>
      <c r="C483" s="1" t="n">
        <v>46179</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61726-2025</t>
        </is>
      </c>
      <c r="B484" s="1" t="n">
        <v>46002.58822916666</v>
      </c>
      <c r="C484" s="1" t="n">
        <v>46179</v>
      </c>
      <c r="D484" t="inlineStr">
        <is>
          <t>KALMAR LÄN</t>
        </is>
      </c>
      <c r="E484" t="inlineStr">
        <is>
          <t>VIMMERBY</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61725-2025</t>
        </is>
      </c>
      <c r="B485" s="1" t="n">
        <v>46002.58680555555</v>
      </c>
      <c r="C485" s="1" t="n">
        <v>46179</v>
      </c>
      <c r="D485" t="inlineStr">
        <is>
          <t>KALMAR LÄN</t>
        </is>
      </c>
      <c r="E485" t="inlineStr">
        <is>
          <t>VIMMERBY</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46078-2023</t>
        </is>
      </c>
      <c r="B486" s="1" t="n">
        <v>45196</v>
      </c>
      <c r="C486" s="1" t="n">
        <v>46179</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7643-2022</t>
        </is>
      </c>
      <c r="B487" s="1" t="n">
        <v>44607</v>
      </c>
      <c r="C487" s="1" t="n">
        <v>46179</v>
      </c>
      <c r="D487" t="inlineStr">
        <is>
          <t>KALMAR LÄN</t>
        </is>
      </c>
      <c r="E487" t="inlineStr">
        <is>
          <t>VIMMERBY</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3494-2023</t>
        </is>
      </c>
      <c r="B488" s="1" t="n">
        <v>44949</v>
      </c>
      <c r="C488" s="1" t="n">
        <v>46179</v>
      </c>
      <c r="D488" t="inlineStr">
        <is>
          <t>KALMAR LÄN</t>
        </is>
      </c>
      <c r="E488" t="inlineStr">
        <is>
          <t>VIMMERBY</t>
        </is>
      </c>
      <c r="F488" t="inlineStr">
        <is>
          <t>Kyrkan</t>
        </is>
      </c>
      <c r="G488" t="n">
        <v>0.8</v>
      </c>
      <c r="H488" t="n">
        <v>0</v>
      </c>
      <c r="I488" t="n">
        <v>0</v>
      </c>
      <c r="J488" t="n">
        <v>0</v>
      </c>
      <c r="K488" t="n">
        <v>0</v>
      </c>
      <c r="L488" t="n">
        <v>0</v>
      </c>
      <c r="M488" t="n">
        <v>0</v>
      </c>
      <c r="N488" t="n">
        <v>0</v>
      </c>
      <c r="O488" t="n">
        <v>0</v>
      </c>
      <c r="P488" t="n">
        <v>0</v>
      </c>
      <c r="Q488" t="n">
        <v>0</v>
      </c>
      <c r="R488" s="2" t="inlineStr"/>
    </row>
    <row r="489" ht="15" customHeight="1">
      <c r="A489" t="inlineStr">
        <is>
          <t>A 32633-2023</t>
        </is>
      </c>
      <c r="B489" s="1" t="n">
        <v>45121.58699074074</v>
      </c>
      <c r="C489" s="1" t="n">
        <v>46179</v>
      </c>
      <c r="D489" t="inlineStr">
        <is>
          <t>KALMAR LÄN</t>
        </is>
      </c>
      <c r="E489" t="inlineStr">
        <is>
          <t>VIMMERBY</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43601-2024</t>
        </is>
      </c>
      <c r="B490" s="1" t="n">
        <v>45569.44684027778</v>
      </c>
      <c r="C490" s="1" t="n">
        <v>46179</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14318-2026</t>
        </is>
      </c>
      <c r="B491" s="1" t="n">
        <v>46099.87961805556</v>
      </c>
      <c r="C491" s="1" t="n">
        <v>46179</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13813-2024</t>
        </is>
      </c>
      <c r="B492" s="1" t="n">
        <v>45391.41310185185</v>
      </c>
      <c r="C492" s="1" t="n">
        <v>46179</v>
      </c>
      <c r="D492" t="inlineStr">
        <is>
          <t>KALMAR LÄN</t>
        </is>
      </c>
      <c r="E492" t="inlineStr">
        <is>
          <t>VIMMERBY</t>
        </is>
      </c>
      <c r="G492" t="n">
        <v>0.4</v>
      </c>
      <c r="H492" t="n">
        <v>0</v>
      </c>
      <c r="I492" t="n">
        <v>0</v>
      </c>
      <c r="J492" t="n">
        <v>0</v>
      </c>
      <c r="K492" t="n">
        <v>0</v>
      </c>
      <c r="L492" t="n">
        <v>0</v>
      </c>
      <c r="M492" t="n">
        <v>0</v>
      </c>
      <c r="N492" t="n">
        <v>0</v>
      </c>
      <c r="O492" t="n">
        <v>0</v>
      </c>
      <c r="P492" t="n">
        <v>0</v>
      </c>
      <c r="Q492" t="n">
        <v>0</v>
      </c>
      <c r="R492" s="2" t="inlineStr"/>
    </row>
    <row r="493" ht="15" customHeight="1">
      <c r="A493" t="inlineStr">
        <is>
          <t>A 25234-2023</t>
        </is>
      </c>
      <c r="B493" s="1" t="n">
        <v>45086.63194444445</v>
      </c>
      <c r="C493" s="1" t="n">
        <v>46179</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25236-2023</t>
        </is>
      </c>
      <c r="B494" s="1" t="n">
        <v>45086.63334490741</v>
      </c>
      <c r="C494" s="1" t="n">
        <v>46179</v>
      </c>
      <c r="D494" t="inlineStr">
        <is>
          <t>KALMAR LÄN</t>
        </is>
      </c>
      <c r="E494" t="inlineStr">
        <is>
          <t>VIMMERBY</t>
        </is>
      </c>
      <c r="G494" t="n">
        <v>0.9</v>
      </c>
      <c r="H494" t="n">
        <v>0</v>
      </c>
      <c r="I494" t="n">
        <v>0</v>
      </c>
      <c r="J494" t="n">
        <v>0</v>
      </c>
      <c r="K494" t="n">
        <v>0</v>
      </c>
      <c r="L494" t="n">
        <v>0</v>
      </c>
      <c r="M494" t="n">
        <v>0</v>
      </c>
      <c r="N494" t="n">
        <v>0</v>
      </c>
      <c r="O494" t="n">
        <v>0</v>
      </c>
      <c r="P494" t="n">
        <v>0</v>
      </c>
      <c r="Q494" t="n">
        <v>0</v>
      </c>
      <c r="R494" s="2" t="inlineStr"/>
    </row>
    <row r="495" ht="15" customHeight="1">
      <c r="A495" t="inlineStr">
        <is>
          <t>A 15205-2026</t>
        </is>
      </c>
      <c r="B495" s="1" t="n">
        <v>46105.48628472222</v>
      </c>
      <c r="C495" s="1" t="n">
        <v>46179</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25244-2023</t>
        </is>
      </c>
      <c r="B496" s="1" t="n">
        <v>45086</v>
      </c>
      <c r="C496" s="1" t="n">
        <v>46179</v>
      </c>
      <c r="D496" t="inlineStr">
        <is>
          <t>KALMAR LÄN</t>
        </is>
      </c>
      <c r="E496" t="inlineStr">
        <is>
          <t>VIMMERBY</t>
        </is>
      </c>
      <c r="G496" t="n">
        <v>4.7</v>
      </c>
      <c r="H496" t="n">
        <v>0</v>
      </c>
      <c r="I496" t="n">
        <v>0</v>
      </c>
      <c r="J496" t="n">
        <v>0</v>
      </c>
      <c r="K496" t="n">
        <v>0</v>
      </c>
      <c r="L496" t="n">
        <v>0</v>
      </c>
      <c r="M496" t="n">
        <v>0</v>
      </c>
      <c r="N496" t="n">
        <v>0</v>
      </c>
      <c r="O496" t="n">
        <v>0</v>
      </c>
      <c r="P496" t="n">
        <v>0</v>
      </c>
      <c r="Q496" t="n">
        <v>0</v>
      </c>
      <c r="R496" s="2" t="inlineStr"/>
    </row>
    <row r="497" ht="15" customHeight="1">
      <c r="A497" t="inlineStr">
        <is>
          <t>A 23341-2022</t>
        </is>
      </c>
      <c r="B497" s="1" t="n">
        <v>44720.53898148148</v>
      </c>
      <c r="C497" s="1" t="n">
        <v>46179</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71793-2021</t>
        </is>
      </c>
      <c r="B498" s="1" t="n">
        <v>44539</v>
      </c>
      <c r="C498" s="1" t="n">
        <v>46179</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73938-2021</t>
        </is>
      </c>
      <c r="B499" s="1" t="n">
        <v>44553</v>
      </c>
      <c r="C499" s="1" t="n">
        <v>46179</v>
      </c>
      <c r="D499" t="inlineStr">
        <is>
          <t>KALMAR LÄN</t>
        </is>
      </c>
      <c r="E499" t="inlineStr">
        <is>
          <t>VIMMERBY</t>
        </is>
      </c>
      <c r="G499" t="n">
        <v>3.2</v>
      </c>
      <c r="H499" t="n">
        <v>0</v>
      </c>
      <c r="I499" t="n">
        <v>0</v>
      </c>
      <c r="J499" t="n">
        <v>0</v>
      </c>
      <c r="K499" t="n">
        <v>0</v>
      </c>
      <c r="L499" t="n">
        <v>0</v>
      </c>
      <c r="M499" t="n">
        <v>0</v>
      </c>
      <c r="N499" t="n">
        <v>0</v>
      </c>
      <c r="O499" t="n">
        <v>0</v>
      </c>
      <c r="P499" t="n">
        <v>0</v>
      </c>
      <c r="Q499" t="n">
        <v>0</v>
      </c>
      <c r="R499" s="2" t="inlineStr"/>
    </row>
    <row r="500" ht="15" customHeight="1">
      <c r="A500" t="inlineStr">
        <is>
          <t>A 15054-2026</t>
        </is>
      </c>
      <c r="B500" s="1" t="n">
        <v>46104.6815162037</v>
      </c>
      <c r="C500" s="1" t="n">
        <v>46179</v>
      </c>
      <c r="D500" t="inlineStr">
        <is>
          <t>KALMAR LÄN</t>
        </is>
      </c>
      <c r="E500" t="inlineStr">
        <is>
          <t>VIMMERBY</t>
        </is>
      </c>
      <c r="G500" t="n">
        <v>1.4</v>
      </c>
      <c r="H500" t="n">
        <v>0</v>
      </c>
      <c r="I500" t="n">
        <v>0</v>
      </c>
      <c r="J500" t="n">
        <v>0</v>
      </c>
      <c r="K500" t="n">
        <v>0</v>
      </c>
      <c r="L500" t="n">
        <v>0</v>
      </c>
      <c r="M500" t="n">
        <v>0</v>
      </c>
      <c r="N500" t="n">
        <v>0</v>
      </c>
      <c r="O500" t="n">
        <v>0</v>
      </c>
      <c r="P500" t="n">
        <v>0</v>
      </c>
      <c r="Q500" t="n">
        <v>0</v>
      </c>
      <c r="R500" s="2" t="inlineStr"/>
    </row>
    <row r="501" ht="15" customHeight="1">
      <c r="A501" t="inlineStr">
        <is>
          <t>A 6069-2023</t>
        </is>
      </c>
      <c r="B501" s="1" t="n">
        <v>44964.5115162037</v>
      </c>
      <c r="C501" s="1" t="n">
        <v>46179</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14793-2026</t>
        </is>
      </c>
      <c r="B502" s="1" t="n">
        <v>46101.92108796296</v>
      </c>
      <c r="C502" s="1" t="n">
        <v>46179</v>
      </c>
      <c r="D502" t="inlineStr">
        <is>
          <t>KALMAR LÄN</t>
        </is>
      </c>
      <c r="E502" t="inlineStr">
        <is>
          <t>VIMMERBY</t>
        </is>
      </c>
      <c r="G502" t="n">
        <v>5.7</v>
      </c>
      <c r="H502" t="n">
        <v>0</v>
      </c>
      <c r="I502" t="n">
        <v>0</v>
      </c>
      <c r="J502" t="n">
        <v>0</v>
      </c>
      <c r="K502" t="n">
        <v>0</v>
      </c>
      <c r="L502" t="n">
        <v>0</v>
      </c>
      <c r="M502" t="n">
        <v>0</v>
      </c>
      <c r="N502" t="n">
        <v>0</v>
      </c>
      <c r="O502" t="n">
        <v>0</v>
      </c>
      <c r="P502" t="n">
        <v>0</v>
      </c>
      <c r="Q502" t="n">
        <v>0</v>
      </c>
      <c r="R502" s="2" t="inlineStr"/>
    </row>
    <row r="503" ht="15" customHeight="1">
      <c r="A503" t="inlineStr">
        <is>
          <t>A 50995-2022</t>
        </is>
      </c>
      <c r="B503" s="1" t="n">
        <v>44867</v>
      </c>
      <c r="C503" s="1" t="n">
        <v>46179</v>
      </c>
      <c r="D503" t="inlineStr">
        <is>
          <t>KALMAR LÄN</t>
        </is>
      </c>
      <c r="E503" t="inlineStr">
        <is>
          <t>VIMMERBY</t>
        </is>
      </c>
      <c r="G503" t="n">
        <v>2.4</v>
      </c>
      <c r="H503" t="n">
        <v>0</v>
      </c>
      <c r="I503" t="n">
        <v>0</v>
      </c>
      <c r="J503" t="n">
        <v>0</v>
      </c>
      <c r="K503" t="n">
        <v>0</v>
      </c>
      <c r="L503" t="n">
        <v>0</v>
      </c>
      <c r="M503" t="n">
        <v>0</v>
      </c>
      <c r="N503" t="n">
        <v>0</v>
      </c>
      <c r="O503" t="n">
        <v>0</v>
      </c>
      <c r="P503" t="n">
        <v>0</v>
      </c>
      <c r="Q503" t="n">
        <v>0</v>
      </c>
      <c r="R503" s="2" t="inlineStr"/>
    </row>
    <row r="504" ht="15" customHeight="1">
      <c r="A504" t="inlineStr">
        <is>
          <t>A 27122-2023</t>
        </is>
      </c>
      <c r="B504" s="1" t="n">
        <v>45096.45247685185</v>
      </c>
      <c r="C504" s="1" t="n">
        <v>46179</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30402-2023</t>
        </is>
      </c>
      <c r="B505" s="1" t="n">
        <v>45111.48395833333</v>
      </c>
      <c r="C505" s="1" t="n">
        <v>46179</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14792-2026</t>
        </is>
      </c>
      <c r="B506" s="1" t="n">
        <v>46101.91993055555</v>
      </c>
      <c r="C506" s="1" t="n">
        <v>46179</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47842-2024</t>
        </is>
      </c>
      <c r="B507" s="1" t="n">
        <v>45588.65545138889</v>
      </c>
      <c r="C507" s="1" t="n">
        <v>46179</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6857-2023</t>
        </is>
      </c>
      <c r="B508" s="1" t="n">
        <v>44967.45122685185</v>
      </c>
      <c r="C508" s="1" t="n">
        <v>46179</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46224-2024</t>
        </is>
      </c>
      <c r="B509" s="1" t="n">
        <v>45581.57016203704</v>
      </c>
      <c r="C509" s="1" t="n">
        <v>46179</v>
      </c>
      <c r="D509" t="inlineStr">
        <is>
          <t>KALMAR LÄN</t>
        </is>
      </c>
      <c r="E509" t="inlineStr">
        <is>
          <t>VIMMERBY</t>
        </is>
      </c>
      <c r="G509" t="n">
        <v>3.1</v>
      </c>
      <c r="H509" t="n">
        <v>0</v>
      </c>
      <c r="I509" t="n">
        <v>0</v>
      </c>
      <c r="J509" t="n">
        <v>0</v>
      </c>
      <c r="K509" t="n">
        <v>0</v>
      </c>
      <c r="L509" t="n">
        <v>0</v>
      </c>
      <c r="M509" t="n">
        <v>0</v>
      </c>
      <c r="N509" t="n">
        <v>0</v>
      </c>
      <c r="O509" t="n">
        <v>0</v>
      </c>
      <c r="P509" t="n">
        <v>0</v>
      </c>
      <c r="Q509" t="n">
        <v>0</v>
      </c>
      <c r="R509" s="2" t="inlineStr"/>
    </row>
    <row r="510" ht="15" customHeight="1">
      <c r="A510" t="inlineStr">
        <is>
          <t>A 63848-2025</t>
        </is>
      </c>
      <c r="B510" s="1" t="n">
        <v>46020.44902777778</v>
      </c>
      <c r="C510" s="1" t="n">
        <v>46179</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63758-2025</t>
        </is>
      </c>
      <c r="B511" s="1" t="n">
        <v>46018.46483796297</v>
      </c>
      <c r="C511" s="1" t="n">
        <v>46179</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29013-2024</t>
        </is>
      </c>
      <c r="B512" s="1" t="n">
        <v>45481.55984953704</v>
      </c>
      <c r="C512" s="1" t="n">
        <v>46179</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37028-2024</t>
        </is>
      </c>
      <c r="B513" s="1" t="n">
        <v>45539.38744212963</v>
      </c>
      <c r="C513" s="1" t="n">
        <v>46179</v>
      </c>
      <c r="D513" t="inlineStr">
        <is>
          <t>KALMAR LÄN</t>
        </is>
      </c>
      <c r="E513" t="inlineStr">
        <is>
          <t>VIMMERBY</t>
        </is>
      </c>
      <c r="G513" t="n">
        <v>5.2</v>
      </c>
      <c r="H513" t="n">
        <v>0</v>
      </c>
      <c r="I513" t="n">
        <v>0</v>
      </c>
      <c r="J513" t="n">
        <v>0</v>
      </c>
      <c r="K513" t="n">
        <v>0</v>
      </c>
      <c r="L513" t="n">
        <v>0</v>
      </c>
      <c r="M513" t="n">
        <v>0</v>
      </c>
      <c r="N513" t="n">
        <v>0</v>
      </c>
      <c r="O513" t="n">
        <v>0</v>
      </c>
      <c r="P513" t="n">
        <v>0</v>
      </c>
      <c r="Q513" t="n">
        <v>0</v>
      </c>
      <c r="R513" s="2" t="inlineStr"/>
    </row>
    <row r="514" ht="15" customHeight="1">
      <c r="A514" t="inlineStr">
        <is>
          <t>A 37187-2024</t>
        </is>
      </c>
      <c r="B514" s="1" t="n">
        <v>45539.65212962963</v>
      </c>
      <c r="C514" s="1" t="n">
        <v>46179</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12630-2023</t>
        </is>
      </c>
      <c r="B515" s="1" t="n">
        <v>45000.47998842593</v>
      </c>
      <c r="C515" s="1" t="n">
        <v>46179</v>
      </c>
      <c r="D515" t="inlineStr">
        <is>
          <t>KALMAR LÄN</t>
        </is>
      </c>
      <c r="E515" t="inlineStr">
        <is>
          <t>VIMMERBY</t>
        </is>
      </c>
      <c r="G515" t="n">
        <v>2.1</v>
      </c>
      <c r="H515" t="n">
        <v>0</v>
      </c>
      <c r="I515" t="n">
        <v>0</v>
      </c>
      <c r="J515" t="n">
        <v>0</v>
      </c>
      <c r="K515" t="n">
        <v>0</v>
      </c>
      <c r="L515" t="n">
        <v>0</v>
      </c>
      <c r="M515" t="n">
        <v>0</v>
      </c>
      <c r="N515" t="n">
        <v>0</v>
      </c>
      <c r="O515" t="n">
        <v>0</v>
      </c>
      <c r="P515" t="n">
        <v>0</v>
      </c>
      <c r="Q515" t="n">
        <v>0</v>
      </c>
      <c r="R515" s="2" t="inlineStr"/>
    </row>
    <row r="516" ht="15" customHeight="1">
      <c r="A516" t="inlineStr">
        <is>
          <t>A 39584-2024</t>
        </is>
      </c>
      <c r="B516" s="1" t="n">
        <v>45552.36759259259</v>
      </c>
      <c r="C516" s="1" t="n">
        <v>46179</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27705-2023</t>
        </is>
      </c>
      <c r="B517" s="1" t="n">
        <v>45098.30535879629</v>
      </c>
      <c r="C517" s="1" t="n">
        <v>46179</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31013-2023</t>
        </is>
      </c>
      <c r="B518" s="1" t="n">
        <v>45113.56574074074</v>
      </c>
      <c r="C518" s="1" t="n">
        <v>46179</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33352-2022</t>
        </is>
      </c>
      <c r="B519" s="1" t="n">
        <v>44788</v>
      </c>
      <c r="C519" s="1" t="n">
        <v>46179</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46234-2024</t>
        </is>
      </c>
      <c r="B520" s="1" t="n">
        <v>45581.57958333333</v>
      </c>
      <c r="C520" s="1" t="n">
        <v>46179</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21882-2026</t>
        </is>
      </c>
      <c r="B521" s="1" t="n">
        <v>46150.59287037037</v>
      </c>
      <c r="C521" s="1" t="n">
        <v>46179</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39053-2024</t>
        </is>
      </c>
      <c r="B522" s="1" t="n">
        <v>45548</v>
      </c>
      <c r="C522" s="1" t="n">
        <v>46179</v>
      </c>
      <c r="D522" t="inlineStr">
        <is>
          <t>KALMAR LÄN</t>
        </is>
      </c>
      <c r="E522" t="inlineStr">
        <is>
          <t>VIMMERBY</t>
        </is>
      </c>
      <c r="G522" t="n">
        <v>5</v>
      </c>
      <c r="H522" t="n">
        <v>0</v>
      </c>
      <c r="I522" t="n">
        <v>0</v>
      </c>
      <c r="J522" t="n">
        <v>0</v>
      </c>
      <c r="K522" t="n">
        <v>0</v>
      </c>
      <c r="L522" t="n">
        <v>0</v>
      </c>
      <c r="M522" t="n">
        <v>0</v>
      </c>
      <c r="N522" t="n">
        <v>0</v>
      </c>
      <c r="O522" t="n">
        <v>0</v>
      </c>
      <c r="P522" t="n">
        <v>0</v>
      </c>
      <c r="Q522" t="n">
        <v>0</v>
      </c>
      <c r="R522" s="2" t="inlineStr"/>
    </row>
    <row r="523" ht="15" customHeight="1">
      <c r="A523" t="inlineStr">
        <is>
          <t>A 15449-2023</t>
        </is>
      </c>
      <c r="B523" s="1" t="n">
        <v>45020</v>
      </c>
      <c r="C523" s="1" t="n">
        <v>46179</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43594-2024</t>
        </is>
      </c>
      <c r="B524" s="1" t="n">
        <v>45569.44295138889</v>
      </c>
      <c r="C524" s="1" t="n">
        <v>46179</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17486-2024</t>
        </is>
      </c>
      <c r="B525" s="1" t="n">
        <v>45415.48979166667</v>
      </c>
      <c r="C525" s="1" t="n">
        <v>46179</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14248-2023</t>
        </is>
      </c>
      <c r="B526" s="1" t="n">
        <v>45009</v>
      </c>
      <c r="C526" s="1" t="n">
        <v>46179</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16183-2026</t>
        </is>
      </c>
      <c r="B527" s="1" t="n">
        <v>46111</v>
      </c>
      <c r="C527" s="1" t="n">
        <v>46179</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30400-2023</t>
        </is>
      </c>
      <c r="B528" s="1" t="n">
        <v>45111.48225694444</v>
      </c>
      <c r="C528" s="1" t="n">
        <v>46179</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30404-2023</t>
        </is>
      </c>
      <c r="B529" s="1" t="n">
        <v>45111.48636574074</v>
      </c>
      <c r="C529" s="1" t="n">
        <v>46179</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55123-2024</t>
        </is>
      </c>
      <c r="B530" s="1" t="n">
        <v>45621.46103009259</v>
      </c>
      <c r="C530" s="1" t="n">
        <v>46179</v>
      </c>
      <c r="D530" t="inlineStr">
        <is>
          <t>KALMAR LÄN</t>
        </is>
      </c>
      <c r="E530" t="inlineStr">
        <is>
          <t>VIMMERBY</t>
        </is>
      </c>
      <c r="G530" t="n">
        <v>3.1</v>
      </c>
      <c r="H530" t="n">
        <v>0</v>
      </c>
      <c r="I530" t="n">
        <v>0</v>
      </c>
      <c r="J530" t="n">
        <v>0</v>
      </c>
      <c r="K530" t="n">
        <v>0</v>
      </c>
      <c r="L530" t="n">
        <v>0</v>
      </c>
      <c r="M530" t="n">
        <v>0</v>
      </c>
      <c r="N530" t="n">
        <v>0</v>
      </c>
      <c r="O530" t="n">
        <v>0</v>
      </c>
      <c r="P530" t="n">
        <v>0</v>
      </c>
      <c r="Q530" t="n">
        <v>0</v>
      </c>
      <c r="R530" s="2" t="inlineStr"/>
    </row>
    <row r="531" ht="15" customHeight="1">
      <c r="A531" t="inlineStr">
        <is>
          <t>A 31405-2023</t>
        </is>
      </c>
      <c r="B531" s="1" t="n">
        <v>45114.58148148148</v>
      </c>
      <c r="C531" s="1" t="n">
        <v>46179</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16632-2026</t>
        </is>
      </c>
      <c r="B532" s="1" t="n">
        <v>46112.62212962963</v>
      </c>
      <c r="C532" s="1" t="n">
        <v>46179</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16653-2026</t>
        </is>
      </c>
      <c r="B533" s="1" t="n">
        <v>46112.64597222222</v>
      </c>
      <c r="C533" s="1" t="n">
        <v>46179</v>
      </c>
      <c r="D533" t="inlineStr">
        <is>
          <t>KALMAR LÄN</t>
        </is>
      </c>
      <c r="E533" t="inlineStr">
        <is>
          <t>VIMMERBY</t>
        </is>
      </c>
      <c r="F533" t="inlineStr">
        <is>
          <t>Kommuner</t>
        </is>
      </c>
      <c r="G533" t="n">
        <v>4.4</v>
      </c>
      <c r="H533" t="n">
        <v>0</v>
      </c>
      <c r="I533" t="n">
        <v>0</v>
      </c>
      <c r="J533" t="n">
        <v>0</v>
      </c>
      <c r="K533" t="n">
        <v>0</v>
      </c>
      <c r="L533" t="n">
        <v>0</v>
      </c>
      <c r="M533" t="n">
        <v>0</v>
      </c>
      <c r="N533" t="n">
        <v>0</v>
      </c>
      <c r="O533" t="n">
        <v>0</v>
      </c>
      <c r="P533" t="n">
        <v>0</v>
      </c>
      <c r="Q533" t="n">
        <v>0</v>
      </c>
      <c r="R533" s="2" t="inlineStr"/>
    </row>
    <row r="534" ht="15" customHeight="1">
      <c r="A534" t="inlineStr">
        <is>
          <t>A 24707-2024</t>
        </is>
      </c>
      <c r="B534" s="1" t="n">
        <v>45460.62172453704</v>
      </c>
      <c r="C534" s="1" t="n">
        <v>46179</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16672-2026</t>
        </is>
      </c>
      <c r="B535" s="1" t="n">
        <v>46112.67336805556</v>
      </c>
      <c r="C535" s="1" t="n">
        <v>46179</v>
      </c>
      <c r="D535" t="inlineStr">
        <is>
          <t>KALMAR LÄN</t>
        </is>
      </c>
      <c r="E535" t="inlineStr">
        <is>
          <t>VIMMERBY</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16870-2026</t>
        </is>
      </c>
      <c r="B536" s="1" t="n">
        <v>46113.5822800926</v>
      </c>
      <c r="C536" s="1" t="n">
        <v>46179</v>
      </c>
      <c r="D536" t="inlineStr">
        <is>
          <t>KALMAR LÄN</t>
        </is>
      </c>
      <c r="E536" t="inlineStr">
        <is>
          <t>VIMMERBY</t>
        </is>
      </c>
      <c r="G536" t="n">
        <v>2</v>
      </c>
      <c r="H536" t="n">
        <v>0</v>
      </c>
      <c r="I536" t="n">
        <v>0</v>
      </c>
      <c r="J536" t="n">
        <v>0</v>
      </c>
      <c r="K536" t="n">
        <v>0</v>
      </c>
      <c r="L536" t="n">
        <v>0</v>
      </c>
      <c r="M536" t="n">
        <v>0</v>
      </c>
      <c r="N536" t="n">
        <v>0</v>
      </c>
      <c r="O536" t="n">
        <v>0</v>
      </c>
      <c r="P536" t="n">
        <v>0</v>
      </c>
      <c r="Q536" t="n">
        <v>0</v>
      </c>
      <c r="R536" s="2" t="inlineStr"/>
    </row>
    <row r="537" ht="15" customHeight="1">
      <c r="A537" t="inlineStr">
        <is>
          <t>A 16795-2026</t>
        </is>
      </c>
      <c r="B537" s="1" t="n">
        <v>46113.47216435185</v>
      </c>
      <c r="C537" s="1" t="n">
        <v>46179</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16799-2026</t>
        </is>
      </c>
      <c r="B538" s="1" t="n">
        <v>46113.47913194444</v>
      </c>
      <c r="C538" s="1" t="n">
        <v>46179</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36049-2024</t>
        </is>
      </c>
      <c r="B539" s="1" t="n">
        <v>45533.61996527778</v>
      </c>
      <c r="C539" s="1" t="n">
        <v>46179</v>
      </c>
      <c r="D539" t="inlineStr">
        <is>
          <t>KALMAR LÄN</t>
        </is>
      </c>
      <c r="E539" t="inlineStr">
        <is>
          <t>VIMMERBY</t>
        </is>
      </c>
      <c r="F539" t="inlineStr">
        <is>
          <t>Kommuner</t>
        </is>
      </c>
      <c r="G539" t="n">
        <v>2.6</v>
      </c>
      <c r="H539" t="n">
        <v>0</v>
      </c>
      <c r="I539" t="n">
        <v>0</v>
      </c>
      <c r="J539" t="n">
        <v>0</v>
      </c>
      <c r="K539" t="n">
        <v>0</v>
      </c>
      <c r="L539" t="n">
        <v>0</v>
      </c>
      <c r="M539" t="n">
        <v>0</v>
      </c>
      <c r="N539" t="n">
        <v>0</v>
      </c>
      <c r="O539" t="n">
        <v>0</v>
      </c>
      <c r="P539" t="n">
        <v>0</v>
      </c>
      <c r="Q539" t="n">
        <v>0</v>
      </c>
      <c r="R539" s="2" t="inlineStr"/>
    </row>
    <row r="540" ht="15" customHeight="1">
      <c r="A540" t="inlineStr">
        <is>
          <t>A 16801-2026</t>
        </is>
      </c>
      <c r="B540" s="1" t="n">
        <v>46113.48400462963</v>
      </c>
      <c r="C540" s="1" t="n">
        <v>46179</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16675-2026</t>
        </is>
      </c>
      <c r="B541" s="1" t="n">
        <v>46112.68202546296</v>
      </c>
      <c r="C541" s="1" t="n">
        <v>46179</v>
      </c>
      <c r="D541" t="inlineStr">
        <is>
          <t>KALMAR LÄN</t>
        </is>
      </c>
      <c r="E541" t="inlineStr">
        <is>
          <t>VIMMERBY</t>
        </is>
      </c>
      <c r="F541" t="inlineStr">
        <is>
          <t>Kommuner</t>
        </is>
      </c>
      <c r="G541" t="n">
        <v>0.8</v>
      </c>
      <c r="H541" t="n">
        <v>0</v>
      </c>
      <c r="I541" t="n">
        <v>0</v>
      </c>
      <c r="J541" t="n">
        <v>0</v>
      </c>
      <c r="K541" t="n">
        <v>0</v>
      </c>
      <c r="L541" t="n">
        <v>0</v>
      </c>
      <c r="M541" t="n">
        <v>0</v>
      </c>
      <c r="N541" t="n">
        <v>0</v>
      </c>
      <c r="O541" t="n">
        <v>0</v>
      </c>
      <c r="P541" t="n">
        <v>0</v>
      </c>
      <c r="Q541" t="n">
        <v>0</v>
      </c>
      <c r="R541" s="2" t="inlineStr"/>
    </row>
    <row r="542" ht="15" customHeight="1">
      <c r="A542" t="inlineStr">
        <is>
          <t>A 16678-2026</t>
        </is>
      </c>
      <c r="B542" s="1" t="n">
        <v>46112.69435185185</v>
      </c>
      <c r="C542" s="1" t="n">
        <v>46179</v>
      </c>
      <c r="D542" t="inlineStr">
        <is>
          <t>KALMAR LÄN</t>
        </is>
      </c>
      <c r="E542" t="inlineStr">
        <is>
          <t>VIMMERBY</t>
        </is>
      </c>
      <c r="F542" t="inlineStr">
        <is>
          <t>Kommuner</t>
        </is>
      </c>
      <c r="G542" t="n">
        <v>1.6</v>
      </c>
      <c r="H542" t="n">
        <v>0</v>
      </c>
      <c r="I542" t="n">
        <v>0</v>
      </c>
      <c r="J542" t="n">
        <v>0</v>
      </c>
      <c r="K542" t="n">
        <v>0</v>
      </c>
      <c r="L542" t="n">
        <v>0</v>
      </c>
      <c r="M542" t="n">
        <v>0</v>
      </c>
      <c r="N542" t="n">
        <v>0</v>
      </c>
      <c r="O542" t="n">
        <v>0</v>
      </c>
      <c r="P542" t="n">
        <v>0</v>
      </c>
      <c r="Q542" t="n">
        <v>0</v>
      </c>
      <c r="R542" s="2" t="inlineStr"/>
    </row>
    <row r="543" ht="15" customHeight="1">
      <c r="A543" t="inlineStr">
        <is>
          <t>A 16648-2026</t>
        </is>
      </c>
      <c r="B543" s="1" t="n">
        <v>46112.64032407408</v>
      </c>
      <c r="C543" s="1" t="n">
        <v>46179</v>
      </c>
      <c r="D543" t="inlineStr">
        <is>
          <t>KALMAR LÄN</t>
        </is>
      </c>
      <c r="E543" t="inlineStr">
        <is>
          <t>VIMMERBY</t>
        </is>
      </c>
      <c r="F543" t="inlineStr">
        <is>
          <t>Kommuner</t>
        </is>
      </c>
      <c r="G543" t="n">
        <v>0.9</v>
      </c>
      <c r="H543" t="n">
        <v>0</v>
      </c>
      <c r="I543" t="n">
        <v>0</v>
      </c>
      <c r="J543" t="n">
        <v>0</v>
      </c>
      <c r="K543" t="n">
        <v>0</v>
      </c>
      <c r="L543" t="n">
        <v>0</v>
      </c>
      <c r="M543" t="n">
        <v>0</v>
      </c>
      <c r="N543" t="n">
        <v>0</v>
      </c>
      <c r="O543" t="n">
        <v>0</v>
      </c>
      <c r="P543" t="n">
        <v>0</v>
      </c>
      <c r="Q543" t="n">
        <v>0</v>
      </c>
      <c r="R543" s="2" t="inlineStr"/>
    </row>
    <row r="544" ht="15" customHeight="1">
      <c r="A544" t="inlineStr">
        <is>
          <t>A 16656-2026</t>
        </is>
      </c>
      <c r="B544" s="1" t="n">
        <v>46112.65111111111</v>
      </c>
      <c r="C544" s="1" t="n">
        <v>46179</v>
      </c>
      <c r="D544" t="inlineStr">
        <is>
          <t>KALMAR LÄN</t>
        </is>
      </c>
      <c r="E544" t="inlineStr">
        <is>
          <t>VIMMERBY</t>
        </is>
      </c>
      <c r="F544" t="inlineStr">
        <is>
          <t>Kommuner</t>
        </is>
      </c>
      <c r="G544" t="n">
        <v>5.5</v>
      </c>
      <c r="H544" t="n">
        <v>0</v>
      </c>
      <c r="I544" t="n">
        <v>0</v>
      </c>
      <c r="J544" t="n">
        <v>0</v>
      </c>
      <c r="K544" t="n">
        <v>0</v>
      </c>
      <c r="L544" t="n">
        <v>0</v>
      </c>
      <c r="M544" t="n">
        <v>0</v>
      </c>
      <c r="N544" t="n">
        <v>0</v>
      </c>
      <c r="O544" t="n">
        <v>0</v>
      </c>
      <c r="P544" t="n">
        <v>0</v>
      </c>
      <c r="Q544" t="n">
        <v>0</v>
      </c>
      <c r="R544" s="2" t="inlineStr"/>
    </row>
    <row r="545" ht="15" customHeight="1">
      <c r="A545" t="inlineStr">
        <is>
          <t>A 16823-2026</t>
        </is>
      </c>
      <c r="B545" s="1" t="n">
        <v>46113.51649305555</v>
      </c>
      <c r="C545" s="1" t="n">
        <v>46179</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16617-2026</t>
        </is>
      </c>
      <c r="B546" s="1" t="n">
        <v>46112.60607638889</v>
      </c>
      <c r="C546" s="1" t="n">
        <v>46179</v>
      </c>
      <c r="D546" t="inlineStr">
        <is>
          <t>KALMAR LÄN</t>
        </is>
      </c>
      <c r="E546" t="inlineStr">
        <is>
          <t>VIMMERBY</t>
        </is>
      </c>
      <c r="F546" t="inlineStr">
        <is>
          <t>Kommuner</t>
        </is>
      </c>
      <c r="G546" t="n">
        <v>0.6</v>
      </c>
      <c r="H546" t="n">
        <v>0</v>
      </c>
      <c r="I546" t="n">
        <v>0</v>
      </c>
      <c r="J546" t="n">
        <v>0</v>
      </c>
      <c r="K546" t="n">
        <v>0</v>
      </c>
      <c r="L546" t="n">
        <v>0</v>
      </c>
      <c r="M546" t="n">
        <v>0</v>
      </c>
      <c r="N546" t="n">
        <v>0</v>
      </c>
      <c r="O546" t="n">
        <v>0</v>
      </c>
      <c r="P546" t="n">
        <v>0</v>
      </c>
      <c r="Q546" t="n">
        <v>0</v>
      </c>
      <c r="R546" s="2" t="inlineStr"/>
    </row>
    <row r="547" ht="15" customHeight="1">
      <c r="A547" t="inlineStr">
        <is>
          <t>A 14359-2025</t>
        </is>
      </c>
      <c r="B547" s="1" t="n">
        <v>45741.37270833334</v>
      </c>
      <c r="C547" s="1" t="n">
        <v>46179</v>
      </c>
      <c r="D547" t="inlineStr">
        <is>
          <t>KALMAR LÄN</t>
        </is>
      </c>
      <c r="E547" t="inlineStr">
        <is>
          <t>VIMMERBY</t>
        </is>
      </c>
      <c r="G547" t="n">
        <v>2</v>
      </c>
      <c r="H547" t="n">
        <v>0</v>
      </c>
      <c r="I547" t="n">
        <v>0</v>
      </c>
      <c r="J547" t="n">
        <v>0</v>
      </c>
      <c r="K547" t="n">
        <v>0</v>
      </c>
      <c r="L547" t="n">
        <v>0</v>
      </c>
      <c r="M547" t="n">
        <v>0</v>
      </c>
      <c r="N547" t="n">
        <v>0</v>
      </c>
      <c r="O547" t="n">
        <v>0</v>
      </c>
      <c r="P547" t="n">
        <v>0</v>
      </c>
      <c r="Q547" t="n">
        <v>0</v>
      </c>
      <c r="R547" s="2" t="inlineStr"/>
    </row>
    <row r="548" ht="15" customHeight="1">
      <c r="A548" t="inlineStr">
        <is>
          <t>A 39578-2024</t>
        </is>
      </c>
      <c r="B548" s="1" t="n">
        <v>45552.36484953704</v>
      </c>
      <c r="C548" s="1" t="n">
        <v>46179</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62779-2023</t>
        </is>
      </c>
      <c r="B549" s="1" t="n">
        <v>45271.66576388889</v>
      </c>
      <c r="C549" s="1" t="n">
        <v>46179</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3425-2022</t>
        </is>
      </c>
      <c r="B550" s="1" t="n">
        <v>44585.51060185185</v>
      </c>
      <c r="C550" s="1" t="n">
        <v>46179</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43962-2024</t>
        </is>
      </c>
      <c r="B551" s="1" t="n">
        <v>45572.48293981481</v>
      </c>
      <c r="C551" s="1" t="n">
        <v>46179</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12810-2023</t>
        </is>
      </c>
      <c r="B552" s="1" t="n">
        <v>45001.43854166667</v>
      </c>
      <c r="C552" s="1" t="n">
        <v>46179</v>
      </c>
      <c r="D552" t="inlineStr">
        <is>
          <t>KALMAR LÄN</t>
        </is>
      </c>
      <c r="E552" t="inlineStr">
        <is>
          <t>VIMMERBY</t>
        </is>
      </c>
      <c r="G552" t="n">
        <v>1.5</v>
      </c>
      <c r="H552" t="n">
        <v>0</v>
      </c>
      <c r="I552" t="n">
        <v>0</v>
      </c>
      <c r="J552" t="n">
        <v>0</v>
      </c>
      <c r="K552" t="n">
        <v>0</v>
      </c>
      <c r="L552" t="n">
        <v>0</v>
      </c>
      <c r="M552" t="n">
        <v>0</v>
      </c>
      <c r="N552" t="n">
        <v>0</v>
      </c>
      <c r="O552" t="n">
        <v>0</v>
      </c>
      <c r="P552" t="n">
        <v>0</v>
      </c>
      <c r="Q552" t="n">
        <v>0</v>
      </c>
      <c r="R552" s="2" t="inlineStr"/>
    </row>
    <row r="553" ht="15" customHeight="1">
      <c r="A553" t="inlineStr">
        <is>
          <t>A 43068-2023</t>
        </is>
      </c>
      <c r="B553" s="1" t="n">
        <v>45182.78834490741</v>
      </c>
      <c r="C553" s="1" t="n">
        <v>46179</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12075-2024</t>
        </is>
      </c>
      <c r="B554" s="1" t="n">
        <v>45377</v>
      </c>
      <c r="C554" s="1" t="n">
        <v>46179</v>
      </c>
      <c r="D554" t="inlineStr">
        <is>
          <t>KALMAR LÄN</t>
        </is>
      </c>
      <c r="E554" t="inlineStr">
        <is>
          <t>VIMMERBY</t>
        </is>
      </c>
      <c r="G554" t="n">
        <v>3.7</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44579.62225694444</v>
      </c>
      <c r="C555" s="1" t="n">
        <v>46179</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13015-2022</t>
        </is>
      </c>
      <c r="B556" s="1" t="n">
        <v>44643</v>
      </c>
      <c r="C556" s="1" t="n">
        <v>46179</v>
      </c>
      <c r="D556" t="inlineStr">
        <is>
          <t>KALMAR LÄN</t>
        </is>
      </c>
      <c r="E556" t="inlineStr">
        <is>
          <t>VIMMERBY</t>
        </is>
      </c>
      <c r="G556" t="n">
        <v>2.4</v>
      </c>
      <c r="H556" t="n">
        <v>0</v>
      </c>
      <c r="I556" t="n">
        <v>0</v>
      </c>
      <c r="J556" t="n">
        <v>0</v>
      </c>
      <c r="K556" t="n">
        <v>0</v>
      </c>
      <c r="L556" t="n">
        <v>0</v>
      </c>
      <c r="M556" t="n">
        <v>0</v>
      </c>
      <c r="N556" t="n">
        <v>0</v>
      </c>
      <c r="O556" t="n">
        <v>0</v>
      </c>
      <c r="P556" t="n">
        <v>0</v>
      </c>
      <c r="Q556" t="n">
        <v>0</v>
      </c>
      <c r="R556" s="2" t="inlineStr"/>
    </row>
    <row r="557" ht="15" customHeight="1">
      <c r="A557" t="inlineStr">
        <is>
          <t>A 4624-2024</t>
        </is>
      </c>
      <c r="B557" s="1" t="n">
        <v>45328.38755787037</v>
      </c>
      <c r="C557" s="1" t="n">
        <v>46179</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9129-2025</t>
        </is>
      </c>
      <c r="B558" s="1" t="n">
        <v>45713.92412037037</v>
      </c>
      <c r="C558" s="1" t="n">
        <v>46179</v>
      </c>
      <c r="D558" t="inlineStr">
        <is>
          <t>KALMAR LÄN</t>
        </is>
      </c>
      <c r="E558" t="inlineStr">
        <is>
          <t>VIMMERBY</t>
        </is>
      </c>
      <c r="G558" t="n">
        <v>2.8</v>
      </c>
      <c r="H558" t="n">
        <v>0</v>
      </c>
      <c r="I558" t="n">
        <v>0</v>
      </c>
      <c r="J558" t="n">
        <v>0</v>
      </c>
      <c r="K558" t="n">
        <v>0</v>
      </c>
      <c r="L558" t="n">
        <v>0</v>
      </c>
      <c r="M558" t="n">
        <v>0</v>
      </c>
      <c r="N558" t="n">
        <v>0</v>
      </c>
      <c r="O558" t="n">
        <v>0</v>
      </c>
      <c r="P558" t="n">
        <v>0</v>
      </c>
      <c r="Q558" t="n">
        <v>0</v>
      </c>
      <c r="R558" s="2" t="inlineStr"/>
    </row>
    <row r="559" ht="15" customHeight="1">
      <c r="A559" t="inlineStr">
        <is>
          <t>A 22643-2023</t>
        </is>
      </c>
      <c r="B559" s="1" t="n">
        <v>45071</v>
      </c>
      <c r="C559" s="1" t="n">
        <v>46179</v>
      </c>
      <c r="D559" t="inlineStr">
        <is>
          <t>KALMAR LÄN</t>
        </is>
      </c>
      <c r="E559" t="inlineStr">
        <is>
          <t>VIMMERBY</t>
        </is>
      </c>
      <c r="G559" t="n">
        <v>3.9</v>
      </c>
      <c r="H559" t="n">
        <v>0</v>
      </c>
      <c r="I559" t="n">
        <v>0</v>
      </c>
      <c r="J559" t="n">
        <v>0</v>
      </c>
      <c r="K559" t="n">
        <v>0</v>
      </c>
      <c r="L559" t="n">
        <v>0</v>
      </c>
      <c r="M559" t="n">
        <v>0</v>
      </c>
      <c r="N559" t="n">
        <v>0</v>
      </c>
      <c r="O559" t="n">
        <v>0</v>
      </c>
      <c r="P559" t="n">
        <v>0</v>
      </c>
      <c r="Q559" t="n">
        <v>0</v>
      </c>
      <c r="R559" s="2" t="inlineStr"/>
    </row>
    <row r="560" ht="15" customHeight="1">
      <c r="A560" t="inlineStr">
        <is>
          <t>A 34597-2022</t>
        </is>
      </c>
      <c r="B560" s="1" t="n">
        <v>44795</v>
      </c>
      <c r="C560" s="1" t="n">
        <v>46179</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40079-2023</t>
        </is>
      </c>
      <c r="B561" s="1" t="n">
        <v>45168.89298611111</v>
      </c>
      <c r="C561" s="1" t="n">
        <v>46179</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19833-2023</t>
        </is>
      </c>
      <c r="B562" s="1" t="n">
        <v>45052</v>
      </c>
      <c r="C562" s="1" t="n">
        <v>46179</v>
      </c>
      <c r="D562" t="inlineStr">
        <is>
          <t>KALMAR LÄN</t>
        </is>
      </c>
      <c r="E562" t="inlineStr">
        <is>
          <t>VIMMERBY</t>
        </is>
      </c>
      <c r="G562" t="n">
        <v>6.7</v>
      </c>
      <c r="H562" t="n">
        <v>0</v>
      </c>
      <c r="I562" t="n">
        <v>0</v>
      </c>
      <c r="J562" t="n">
        <v>0</v>
      </c>
      <c r="K562" t="n">
        <v>0</v>
      </c>
      <c r="L562" t="n">
        <v>0</v>
      </c>
      <c r="M562" t="n">
        <v>0</v>
      </c>
      <c r="N562" t="n">
        <v>0</v>
      </c>
      <c r="O562" t="n">
        <v>0</v>
      </c>
      <c r="P562" t="n">
        <v>0</v>
      </c>
      <c r="Q562" t="n">
        <v>0</v>
      </c>
      <c r="R562" s="2" t="inlineStr"/>
    </row>
    <row r="563" ht="15" customHeight="1">
      <c r="A563" t="inlineStr">
        <is>
          <t>A 17084-2025</t>
        </is>
      </c>
      <c r="B563" s="1" t="n">
        <v>45755.64450231481</v>
      </c>
      <c r="C563" s="1" t="n">
        <v>46179</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56022-2024</t>
        </is>
      </c>
      <c r="B564" s="1" t="n">
        <v>45623.95947916667</v>
      </c>
      <c r="C564" s="1" t="n">
        <v>46179</v>
      </c>
      <c r="D564" t="inlineStr">
        <is>
          <t>KALMAR LÄN</t>
        </is>
      </c>
      <c r="E564" t="inlineStr">
        <is>
          <t>VIMMERBY</t>
        </is>
      </c>
      <c r="G564" t="n">
        <v>0.3</v>
      </c>
      <c r="H564" t="n">
        <v>0</v>
      </c>
      <c r="I564" t="n">
        <v>0</v>
      </c>
      <c r="J564" t="n">
        <v>0</v>
      </c>
      <c r="K564" t="n">
        <v>0</v>
      </c>
      <c r="L564" t="n">
        <v>0</v>
      </c>
      <c r="M564" t="n">
        <v>0</v>
      </c>
      <c r="N564" t="n">
        <v>0</v>
      </c>
      <c r="O564" t="n">
        <v>0</v>
      </c>
      <c r="P564" t="n">
        <v>0</v>
      </c>
      <c r="Q564" t="n">
        <v>0</v>
      </c>
      <c r="R564" s="2" t="inlineStr"/>
    </row>
    <row r="565" ht="15" customHeight="1">
      <c r="A565" t="inlineStr">
        <is>
          <t>A 11928-2022</t>
        </is>
      </c>
      <c r="B565" s="1" t="n">
        <v>44635</v>
      </c>
      <c r="C565" s="1" t="n">
        <v>46179</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5527-2022</t>
        </is>
      </c>
      <c r="B566" s="1" t="n">
        <v>44595.583125</v>
      </c>
      <c r="C566" s="1" t="n">
        <v>46179</v>
      </c>
      <c r="D566" t="inlineStr">
        <is>
          <t>KALMAR LÄN</t>
        </is>
      </c>
      <c r="E566" t="inlineStr">
        <is>
          <t>VIMMERBY</t>
        </is>
      </c>
      <c r="G566" t="n">
        <v>3.6</v>
      </c>
      <c r="H566" t="n">
        <v>0</v>
      </c>
      <c r="I566" t="n">
        <v>0</v>
      </c>
      <c r="J566" t="n">
        <v>0</v>
      </c>
      <c r="K566" t="n">
        <v>0</v>
      </c>
      <c r="L566" t="n">
        <v>0</v>
      </c>
      <c r="M566" t="n">
        <v>0</v>
      </c>
      <c r="N566" t="n">
        <v>0</v>
      </c>
      <c r="O566" t="n">
        <v>0</v>
      </c>
      <c r="P566" t="n">
        <v>0</v>
      </c>
      <c r="Q566" t="n">
        <v>0</v>
      </c>
      <c r="R566" s="2" t="inlineStr"/>
    </row>
    <row r="567" ht="15" customHeight="1">
      <c r="A567" t="inlineStr">
        <is>
          <t>A 49461-2023</t>
        </is>
      </c>
      <c r="B567" s="1" t="n">
        <v>45211.52642361111</v>
      </c>
      <c r="C567" s="1" t="n">
        <v>46179</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49474-2023</t>
        </is>
      </c>
      <c r="B568" s="1" t="n">
        <v>45211.541875</v>
      </c>
      <c r="C568" s="1" t="n">
        <v>46179</v>
      </c>
      <c r="D568" t="inlineStr">
        <is>
          <t>KALMAR LÄN</t>
        </is>
      </c>
      <c r="E568" t="inlineStr">
        <is>
          <t>VIMMERBY</t>
        </is>
      </c>
      <c r="G568" t="n">
        <v>3.6</v>
      </c>
      <c r="H568" t="n">
        <v>0</v>
      </c>
      <c r="I568" t="n">
        <v>0</v>
      </c>
      <c r="J568" t="n">
        <v>0</v>
      </c>
      <c r="K568" t="n">
        <v>0</v>
      </c>
      <c r="L568" t="n">
        <v>0</v>
      </c>
      <c r="M568" t="n">
        <v>0</v>
      </c>
      <c r="N568" t="n">
        <v>0</v>
      </c>
      <c r="O568" t="n">
        <v>0</v>
      </c>
      <c r="P568" t="n">
        <v>0</v>
      </c>
      <c r="Q568" t="n">
        <v>0</v>
      </c>
      <c r="R568" s="2" t="inlineStr"/>
    </row>
    <row r="569" ht="15" customHeight="1">
      <c r="A569" t="inlineStr">
        <is>
          <t>A 61861-2024</t>
        </is>
      </c>
      <c r="B569" s="1" t="n">
        <v>45650.37370370371</v>
      </c>
      <c r="C569" s="1" t="n">
        <v>46179</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45846-2023</t>
        </is>
      </c>
      <c r="B570" s="1" t="n">
        <v>45195.58452546296</v>
      </c>
      <c r="C570" s="1" t="n">
        <v>46179</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8167-2024</t>
        </is>
      </c>
      <c r="B571" s="1" t="n">
        <v>45351.6062962963</v>
      </c>
      <c r="C571" s="1" t="n">
        <v>46179</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49382-2023</t>
        </is>
      </c>
      <c r="B572" s="1" t="n">
        <v>45208</v>
      </c>
      <c r="C572" s="1" t="n">
        <v>46179</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35846-2023</t>
        </is>
      </c>
      <c r="B573" s="1" t="n">
        <v>45148</v>
      </c>
      <c r="C573" s="1" t="n">
        <v>46179</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35913-2023</t>
        </is>
      </c>
      <c r="B574" s="1" t="n">
        <v>45148</v>
      </c>
      <c r="C574" s="1" t="n">
        <v>46179</v>
      </c>
      <c r="D574" t="inlineStr">
        <is>
          <t>KALMAR LÄN</t>
        </is>
      </c>
      <c r="E574" t="inlineStr">
        <is>
          <t>VIMMERBY</t>
        </is>
      </c>
      <c r="G574" t="n">
        <v>6.9</v>
      </c>
      <c r="H574" t="n">
        <v>0</v>
      </c>
      <c r="I574" t="n">
        <v>0</v>
      </c>
      <c r="J574" t="n">
        <v>0</v>
      </c>
      <c r="K574" t="n">
        <v>0</v>
      </c>
      <c r="L574" t="n">
        <v>0</v>
      </c>
      <c r="M574" t="n">
        <v>0</v>
      </c>
      <c r="N574" t="n">
        <v>0</v>
      </c>
      <c r="O574" t="n">
        <v>0</v>
      </c>
      <c r="P574" t="n">
        <v>0</v>
      </c>
      <c r="Q574" t="n">
        <v>0</v>
      </c>
      <c r="R574" s="2" t="inlineStr"/>
    </row>
    <row r="575" ht="15" customHeight="1">
      <c r="A575" t="inlineStr">
        <is>
          <t>A 38757-2023</t>
        </is>
      </c>
      <c r="B575" s="1" t="n">
        <v>45163.41376157408</v>
      </c>
      <c r="C575" s="1" t="n">
        <v>46179</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20136-2024</t>
        </is>
      </c>
      <c r="B576" s="1" t="n">
        <v>45434.56291666667</v>
      </c>
      <c r="C576" s="1" t="n">
        <v>46179</v>
      </c>
      <c r="D576" t="inlineStr">
        <is>
          <t>KALMAR LÄN</t>
        </is>
      </c>
      <c r="E576" t="inlineStr">
        <is>
          <t>VIMMERBY</t>
        </is>
      </c>
      <c r="F576" t="inlineStr">
        <is>
          <t>Sveaskog</t>
        </is>
      </c>
      <c r="G576" t="n">
        <v>8.4</v>
      </c>
      <c r="H576" t="n">
        <v>0</v>
      </c>
      <c r="I576" t="n">
        <v>0</v>
      </c>
      <c r="J576" t="n">
        <v>0</v>
      </c>
      <c r="K576" t="n">
        <v>0</v>
      </c>
      <c r="L576" t="n">
        <v>0</v>
      </c>
      <c r="M576" t="n">
        <v>0</v>
      </c>
      <c r="N576" t="n">
        <v>0</v>
      </c>
      <c r="O576" t="n">
        <v>0</v>
      </c>
      <c r="P576" t="n">
        <v>0</v>
      </c>
      <c r="Q576" t="n">
        <v>0</v>
      </c>
      <c r="R576" s="2" t="inlineStr"/>
    </row>
    <row r="577" ht="15" customHeight="1">
      <c r="A577" t="inlineStr">
        <is>
          <t>A 24283-2023</t>
        </is>
      </c>
      <c r="B577" s="1" t="n">
        <v>45079.87827546296</v>
      </c>
      <c r="C577" s="1" t="n">
        <v>46179</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59598-2023</t>
        </is>
      </c>
      <c r="B578" s="1" t="n">
        <v>45254.62489583333</v>
      </c>
      <c r="C578" s="1" t="n">
        <v>46179</v>
      </c>
      <c r="D578" t="inlineStr">
        <is>
          <t>KALMAR LÄN</t>
        </is>
      </c>
      <c r="E578" t="inlineStr">
        <is>
          <t>VIMMERBY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30920-2023</t>
        </is>
      </c>
      <c r="B579" s="1" t="n">
        <v>45113.43921296296</v>
      </c>
      <c r="C579" s="1" t="n">
        <v>46179</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40929-2022</t>
        </is>
      </c>
      <c r="B580" s="1" t="n">
        <v>44825.4336574074</v>
      </c>
      <c r="C580" s="1" t="n">
        <v>46179</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33380-2023</t>
        </is>
      </c>
      <c r="B581" s="1" t="n">
        <v>45128</v>
      </c>
      <c r="C581" s="1" t="n">
        <v>46179</v>
      </c>
      <c r="D581" t="inlineStr">
        <is>
          <t>KALMAR LÄN</t>
        </is>
      </c>
      <c r="E581" t="inlineStr">
        <is>
          <t>VIMMERBY</t>
        </is>
      </c>
      <c r="G581" t="n">
        <v>5.2</v>
      </c>
      <c r="H581" t="n">
        <v>0</v>
      </c>
      <c r="I581" t="n">
        <v>0</v>
      </c>
      <c r="J581" t="n">
        <v>0</v>
      </c>
      <c r="K581" t="n">
        <v>0</v>
      </c>
      <c r="L581" t="n">
        <v>0</v>
      </c>
      <c r="M581" t="n">
        <v>0</v>
      </c>
      <c r="N581" t="n">
        <v>0</v>
      </c>
      <c r="O581" t="n">
        <v>0</v>
      </c>
      <c r="P581" t="n">
        <v>0</v>
      </c>
      <c r="Q581" t="n">
        <v>0</v>
      </c>
      <c r="R581" s="2" t="inlineStr"/>
    </row>
    <row r="582" ht="15" customHeight="1">
      <c r="A582" t="inlineStr">
        <is>
          <t>A 46144-2023</t>
        </is>
      </c>
      <c r="B582" s="1" t="n">
        <v>45196.57247685185</v>
      </c>
      <c r="C582" s="1" t="n">
        <v>46179</v>
      </c>
      <c r="D582" t="inlineStr">
        <is>
          <t>KALMAR LÄN</t>
        </is>
      </c>
      <c r="E582" t="inlineStr">
        <is>
          <t>VIMMERBY</t>
        </is>
      </c>
      <c r="G582" t="n">
        <v>6.5</v>
      </c>
      <c r="H582" t="n">
        <v>0</v>
      </c>
      <c r="I582" t="n">
        <v>0</v>
      </c>
      <c r="J582" t="n">
        <v>0</v>
      </c>
      <c r="K582" t="n">
        <v>0</v>
      </c>
      <c r="L582" t="n">
        <v>0</v>
      </c>
      <c r="M582" t="n">
        <v>0</v>
      </c>
      <c r="N582" t="n">
        <v>0</v>
      </c>
      <c r="O582" t="n">
        <v>0</v>
      </c>
      <c r="P582" t="n">
        <v>0</v>
      </c>
      <c r="Q582" t="n">
        <v>0</v>
      </c>
      <c r="R582" s="2" t="inlineStr"/>
    </row>
    <row r="583" ht="15" customHeight="1">
      <c r="A583" t="inlineStr">
        <is>
          <t>A 54787-2023</t>
        </is>
      </c>
      <c r="B583" s="1" t="n">
        <v>45236</v>
      </c>
      <c r="C583" s="1" t="n">
        <v>46179</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15715-2022</t>
        </is>
      </c>
      <c r="B584" s="1" t="n">
        <v>44663</v>
      </c>
      <c r="C584" s="1" t="n">
        <v>46179</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43774-2023</t>
        </is>
      </c>
      <c r="B585" s="1" t="n">
        <v>45187</v>
      </c>
      <c r="C585" s="1" t="n">
        <v>46179</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43705-2023</t>
        </is>
      </c>
      <c r="B586" s="1" t="n">
        <v>45187.42854166667</v>
      </c>
      <c r="C586" s="1" t="n">
        <v>46179</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7932-2025</t>
        </is>
      </c>
      <c r="B587" s="1" t="n">
        <v>45707.3793287037</v>
      </c>
      <c r="C587" s="1" t="n">
        <v>46179</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1978-2024</t>
        </is>
      </c>
      <c r="B588" s="1" t="n">
        <v>45308.59001157407</v>
      </c>
      <c r="C588" s="1" t="n">
        <v>46179</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6399-2025</t>
        </is>
      </c>
      <c r="B589" s="1" t="n">
        <v>45699.44291666667</v>
      </c>
      <c r="C589" s="1" t="n">
        <v>46179</v>
      </c>
      <c r="D589" t="inlineStr">
        <is>
          <t>KALMAR LÄN</t>
        </is>
      </c>
      <c r="E589" t="inlineStr">
        <is>
          <t>VIMMERBY</t>
        </is>
      </c>
      <c r="G589" t="n">
        <v>3.1</v>
      </c>
      <c r="H589" t="n">
        <v>0</v>
      </c>
      <c r="I589" t="n">
        <v>0</v>
      </c>
      <c r="J589" t="n">
        <v>0</v>
      </c>
      <c r="K589" t="n">
        <v>0</v>
      </c>
      <c r="L589" t="n">
        <v>0</v>
      </c>
      <c r="M589" t="n">
        <v>0</v>
      </c>
      <c r="N589" t="n">
        <v>0</v>
      </c>
      <c r="O589" t="n">
        <v>0</v>
      </c>
      <c r="P589" t="n">
        <v>0</v>
      </c>
      <c r="Q589" t="n">
        <v>0</v>
      </c>
      <c r="R589" s="2" t="inlineStr"/>
    </row>
    <row r="590" ht="15" customHeight="1">
      <c r="A590" t="inlineStr">
        <is>
          <t>A 41311-2023</t>
        </is>
      </c>
      <c r="B590" s="1" t="n">
        <v>45174</v>
      </c>
      <c r="C590" s="1" t="n">
        <v>46179</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10785-2025</t>
        </is>
      </c>
      <c r="B591" s="1" t="n">
        <v>45722.48634259259</v>
      </c>
      <c r="C591" s="1" t="n">
        <v>46179</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18020-2025</t>
        </is>
      </c>
      <c r="B592" s="1" t="n">
        <v>45761.4437962963</v>
      </c>
      <c r="C592" s="1" t="n">
        <v>46179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585-2024</t>
        </is>
      </c>
      <c r="B593" s="1" t="n">
        <v>45299.62576388889</v>
      </c>
      <c r="C593" s="1" t="n">
        <v>46179</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6802-2025</t>
        </is>
      </c>
      <c r="B594" s="1" t="n">
        <v>45700.68289351852</v>
      </c>
      <c r="C594" s="1" t="n">
        <v>46179</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56020-2024</t>
        </is>
      </c>
      <c r="B595" s="1" t="n">
        <v>45623.9525462963</v>
      </c>
      <c r="C595" s="1" t="n">
        <v>46179</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33842-2022</t>
        </is>
      </c>
      <c r="B596" s="1" t="n">
        <v>44790.49523148148</v>
      </c>
      <c r="C596" s="1" t="n">
        <v>46179</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60675-2023</t>
        </is>
      </c>
      <c r="B597" s="1" t="n">
        <v>45260.4716550926</v>
      </c>
      <c r="C597" s="1" t="n">
        <v>46179</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40095-2022</t>
        </is>
      </c>
      <c r="B598" s="1" t="n">
        <v>44820</v>
      </c>
      <c r="C598" s="1" t="n">
        <v>46179</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19537-2022</t>
        </is>
      </c>
      <c r="B599" s="1" t="n">
        <v>44693.62822916666</v>
      </c>
      <c r="C599" s="1" t="n">
        <v>46179</v>
      </c>
      <c r="D599" t="inlineStr">
        <is>
          <t>KALMAR LÄN</t>
        </is>
      </c>
      <c r="E599" t="inlineStr">
        <is>
          <t>VIMMERBY</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57311-2023</t>
        </is>
      </c>
      <c r="B600" s="1" t="n">
        <v>45245.63574074074</v>
      </c>
      <c r="C600" s="1" t="n">
        <v>46179</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64428-2023</t>
        </is>
      </c>
      <c r="B601" s="1" t="n">
        <v>45280.66769675926</v>
      </c>
      <c r="C601" s="1" t="n">
        <v>46179</v>
      </c>
      <c r="D601" t="inlineStr">
        <is>
          <t>KALMAR LÄN</t>
        </is>
      </c>
      <c r="E601" t="inlineStr">
        <is>
          <t>VIMMERBY</t>
        </is>
      </c>
      <c r="G601" t="n">
        <v>1.2</v>
      </c>
      <c r="H601" t="n">
        <v>0</v>
      </c>
      <c r="I601" t="n">
        <v>0</v>
      </c>
      <c r="J601" t="n">
        <v>0</v>
      </c>
      <c r="K601" t="n">
        <v>0</v>
      </c>
      <c r="L601" t="n">
        <v>0</v>
      </c>
      <c r="M601" t="n">
        <v>0</v>
      </c>
      <c r="N601" t="n">
        <v>0</v>
      </c>
      <c r="O601" t="n">
        <v>0</v>
      </c>
      <c r="P601" t="n">
        <v>0</v>
      </c>
      <c r="Q601" t="n">
        <v>0</v>
      </c>
      <c r="R601" s="2" t="inlineStr"/>
    </row>
    <row r="602" ht="15" customHeight="1">
      <c r="A602" t="inlineStr">
        <is>
          <t>A 4527-2023</t>
        </is>
      </c>
      <c r="B602" s="1" t="n">
        <v>44956</v>
      </c>
      <c r="C602" s="1" t="n">
        <v>46179</v>
      </c>
      <c r="D602" t="inlineStr">
        <is>
          <t>KALMAR LÄN</t>
        </is>
      </c>
      <c r="E602" t="inlineStr">
        <is>
          <t>VIMMERBY</t>
        </is>
      </c>
      <c r="F602" t="inlineStr">
        <is>
          <t>Kommuner</t>
        </is>
      </c>
      <c r="G602" t="n">
        <v>8.5</v>
      </c>
      <c r="H602" t="n">
        <v>0</v>
      </c>
      <c r="I602" t="n">
        <v>0</v>
      </c>
      <c r="J602" t="n">
        <v>0</v>
      </c>
      <c r="K602" t="n">
        <v>0</v>
      </c>
      <c r="L602" t="n">
        <v>0</v>
      </c>
      <c r="M602" t="n">
        <v>0</v>
      </c>
      <c r="N602" t="n">
        <v>0</v>
      </c>
      <c r="O602" t="n">
        <v>0</v>
      </c>
      <c r="P602" t="n">
        <v>0</v>
      </c>
      <c r="Q602" t="n">
        <v>0</v>
      </c>
      <c r="R602" s="2" t="inlineStr"/>
    </row>
    <row r="603" ht="15" customHeight="1">
      <c r="A603" t="inlineStr">
        <is>
          <t>A 3268-2024</t>
        </is>
      </c>
      <c r="B603" s="1" t="n">
        <v>45317</v>
      </c>
      <c r="C603" s="1" t="n">
        <v>46179</v>
      </c>
      <c r="D603" t="inlineStr">
        <is>
          <t>KALMAR LÄN</t>
        </is>
      </c>
      <c r="E603" t="inlineStr">
        <is>
          <t>VIMMERBY</t>
        </is>
      </c>
      <c r="F603" t="inlineStr">
        <is>
          <t>Övriga Aktiebolag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51408-2023</t>
        </is>
      </c>
      <c r="B604" s="1" t="n">
        <v>45219.69356481481</v>
      </c>
      <c r="C604" s="1" t="n">
        <v>46179</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52588-2023</t>
        </is>
      </c>
      <c r="B605" s="1" t="n">
        <v>45225.60192129629</v>
      </c>
      <c r="C605" s="1" t="n">
        <v>46179</v>
      </c>
      <c r="D605" t="inlineStr">
        <is>
          <t>KALMAR LÄN</t>
        </is>
      </c>
      <c r="E605" t="inlineStr">
        <is>
          <t>VIMMERBY</t>
        </is>
      </c>
      <c r="G605" t="n">
        <v>2.9</v>
      </c>
      <c r="H605" t="n">
        <v>0</v>
      </c>
      <c r="I605" t="n">
        <v>0</v>
      </c>
      <c r="J605" t="n">
        <v>0</v>
      </c>
      <c r="K605" t="n">
        <v>0</v>
      </c>
      <c r="L605" t="n">
        <v>0</v>
      </c>
      <c r="M605" t="n">
        <v>0</v>
      </c>
      <c r="N605" t="n">
        <v>0</v>
      </c>
      <c r="O605" t="n">
        <v>0</v>
      </c>
      <c r="P605" t="n">
        <v>0</v>
      </c>
      <c r="Q605" t="n">
        <v>0</v>
      </c>
      <c r="R605" s="2" t="inlineStr"/>
    </row>
    <row r="606" ht="15" customHeight="1">
      <c r="A606" t="inlineStr">
        <is>
          <t>A 55236-2023</t>
        </is>
      </c>
      <c r="B606" s="1" t="n">
        <v>45237.63225694445</v>
      </c>
      <c r="C606" s="1" t="n">
        <v>46179</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55245-2023</t>
        </is>
      </c>
      <c r="B607" s="1" t="n">
        <v>45237.64408564815</v>
      </c>
      <c r="C607" s="1" t="n">
        <v>46179</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19111-2025</t>
        </is>
      </c>
      <c r="B608" s="1" t="n">
        <v>45768.65611111111</v>
      </c>
      <c r="C608" s="1" t="n">
        <v>46179</v>
      </c>
      <c r="D608" t="inlineStr">
        <is>
          <t>KALMAR LÄN</t>
        </is>
      </c>
      <c r="E608" t="inlineStr">
        <is>
          <t>VIMMERBY</t>
        </is>
      </c>
      <c r="G608" t="n">
        <v>6.2</v>
      </c>
      <c r="H608" t="n">
        <v>0</v>
      </c>
      <c r="I608" t="n">
        <v>0</v>
      </c>
      <c r="J608" t="n">
        <v>0</v>
      </c>
      <c r="K608" t="n">
        <v>0</v>
      </c>
      <c r="L608" t="n">
        <v>0</v>
      </c>
      <c r="M608" t="n">
        <v>0</v>
      </c>
      <c r="N608" t="n">
        <v>0</v>
      </c>
      <c r="O608" t="n">
        <v>0</v>
      </c>
      <c r="P608" t="n">
        <v>0</v>
      </c>
      <c r="Q608" t="n">
        <v>0</v>
      </c>
      <c r="R608" s="2" t="inlineStr"/>
    </row>
    <row r="609" ht="15" customHeight="1">
      <c r="A609" t="inlineStr">
        <is>
          <t>A 25370-2022</t>
        </is>
      </c>
      <c r="B609" s="1" t="n">
        <v>44732.3659837963</v>
      </c>
      <c r="C609" s="1" t="n">
        <v>46179</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33838-2022</t>
        </is>
      </c>
      <c r="B610" s="1" t="n">
        <v>44790.49040509259</v>
      </c>
      <c r="C610" s="1" t="n">
        <v>46179</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4058-2024</t>
        </is>
      </c>
      <c r="B611" s="1" t="n">
        <v>45323.53744212963</v>
      </c>
      <c r="C611" s="1" t="n">
        <v>46179</v>
      </c>
      <c r="D611" t="inlineStr">
        <is>
          <t>KALMAR LÄN</t>
        </is>
      </c>
      <c r="E611" t="inlineStr">
        <is>
          <t>VIMMERBY</t>
        </is>
      </c>
      <c r="G611" t="n">
        <v>6.5</v>
      </c>
      <c r="H611" t="n">
        <v>0</v>
      </c>
      <c r="I611" t="n">
        <v>0</v>
      </c>
      <c r="J611" t="n">
        <v>0</v>
      </c>
      <c r="K611" t="n">
        <v>0</v>
      </c>
      <c r="L611" t="n">
        <v>0</v>
      </c>
      <c r="M611" t="n">
        <v>0</v>
      </c>
      <c r="N611" t="n">
        <v>0</v>
      </c>
      <c r="O611" t="n">
        <v>0</v>
      </c>
      <c r="P611" t="n">
        <v>0</v>
      </c>
      <c r="Q611" t="n">
        <v>0</v>
      </c>
      <c r="R611" s="2" t="inlineStr"/>
    </row>
    <row r="612" ht="15" customHeight="1">
      <c r="A612" t="inlineStr">
        <is>
          <t>A 36008-2024</t>
        </is>
      </c>
      <c r="B612" s="1" t="n">
        <v>45533.55362268518</v>
      </c>
      <c r="C612" s="1" t="n">
        <v>46179</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8540-2024</t>
        </is>
      </c>
      <c r="B613" s="1" t="n">
        <v>45355.54138888889</v>
      </c>
      <c r="C613" s="1" t="n">
        <v>46179</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45361.87975694444</v>
      </c>
      <c r="C614" s="1" t="n">
        <v>46179</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5146-2024</t>
        </is>
      </c>
      <c r="B615" s="1" t="n">
        <v>45330</v>
      </c>
      <c r="C615" s="1" t="n">
        <v>46179</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5148-2024</t>
        </is>
      </c>
      <c r="B616" s="1" t="n">
        <v>45330</v>
      </c>
      <c r="C616" s="1" t="n">
        <v>46179</v>
      </c>
      <c r="D616" t="inlineStr">
        <is>
          <t>KALMAR LÄN</t>
        </is>
      </c>
      <c r="E616" t="inlineStr">
        <is>
          <t>VIMMERBY</t>
        </is>
      </c>
      <c r="G616" t="n">
        <v>5.6</v>
      </c>
      <c r="H616" t="n">
        <v>0</v>
      </c>
      <c r="I616" t="n">
        <v>0</v>
      </c>
      <c r="J616" t="n">
        <v>0</v>
      </c>
      <c r="K616" t="n">
        <v>0</v>
      </c>
      <c r="L616" t="n">
        <v>0</v>
      </c>
      <c r="M616" t="n">
        <v>0</v>
      </c>
      <c r="N616" t="n">
        <v>0</v>
      </c>
      <c r="O616" t="n">
        <v>0</v>
      </c>
      <c r="P616" t="n">
        <v>0</v>
      </c>
      <c r="Q616" t="n">
        <v>0</v>
      </c>
      <c r="R616" s="2" t="inlineStr"/>
    </row>
    <row r="617" ht="15" customHeight="1">
      <c r="A617" t="inlineStr">
        <is>
          <t>A 44179-2022</t>
        </is>
      </c>
      <c r="B617" s="1" t="n">
        <v>44839.4528125</v>
      </c>
      <c r="C617" s="1" t="n">
        <v>46179</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50648-2023</t>
        </is>
      </c>
      <c r="B618" s="1" t="n">
        <v>45217.47834490741</v>
      </c>
      <c r="C618" s="1" t="n">
        <v>46179</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2121-2022</t>
        </is>
      </c>
      <c r="B619" s="1" t="n">
        <v>44578.32717592592</v>
      </c>
      <c r="C619" s="1" t="n">
        <v>46179</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57799-2022</t>
        </is>
      </c>
      <c r="B620" s="1" t="n">
        <v>44897</v>
      </c>
      <c r="C620" s="1" t="n">
        <v>46179</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26318-2023</t>
        </is>
      </c>
      <c r="B621" s="1" t="n">
        <v>45091.67936342592</v>
      </c>
      <c r="C621" s="1" t="n">
        <v>46179</v>
      </c>
      <c r="D621" t="inlineStr">
        <is>
          <t>KALMAR LÄN</t>
        </is>
      </c>
      <c r="E621" t="inlineStr">
        <is>
          <t>VIMMERBY</t>
        </is>
      </c>
      <c r="G621" t="n">
        <v>3.8</v>
      </c>
      <c r="H621" t="n">
        <v>0</v>
      </c>
      <c r="I621" t="n">
        <v>0</v>
      </c>
      <c r="J621" t="n">
        <v>0</v>
      </c>
      <c r="K621" t="n">
        <v>0</v>
      </c>
      <c r="L621" t="n">
        <v>0</v>
      </c>
      <c r="M621" t="n">
        <v>0</v>
      </c>
      <c r="N621" t="n">
        <v>0</v>
      </c>
      <c r="O621" t="n">
        <v>0</v>
      </c>
      <c r="P621" t="n">
        <v>0</v>
      </c>
      <c r="Q621" t="n">
        <v>0</v>
      </c>
      <c r="R621" s="2" t="inlineStr"/>
    </row>
    <row r="622" ht="15" customHeight="1">
      <c r="A622" t="inlineStr">
        <is>
          <t>A 60437-2023</t>
        </is>
      </c>
      <c r="B622" s="1" t="n">
        <v>45259.51916666667</v>
      </c>
      <c r="C622" s="1" t="n">
        <v>46179</v>
      </c>
      <c r="D622" t="inlineStr">
        <is>
          <t>KALMAR LÄN</t>
        </is>
      </c>
      <c r="E622" t="inlineStr">
        <is>
          <t>VIMMERBY</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60438-2023</t>
        </is>
      </c>
      <c r="B623" s="1" t="n">
        <v>45259.52020833334</v>
      </c>
      <c r="C623" s="1" t="n">
        <v>46179</v>
      </c>
      <c r="D623" t="inlineStr">
        <is>
          <t>KALMAR LÄN</t>
        </is>
      </c>
      <c r="E623" t="inlineStr">
        <is>
          <t>VIMMERBY</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7758-2024</t>
        </is>
      </c>
      <c r="B624" s="1" t="n">
        <v>45349.54434027777</v>
      </c>
      <c r="C624" s="1" t="n">
        <v>46179</v>
      </c>
      <c r="D624" t="inlineStr">
        <is>
          <t>KALMAR LÄN</t>
        </is>
      </c>
      <c r="E624" t="inlineStr">
        <is>
          <t>VIMMERBY</t>
        </is>
      </c>
      <c r="G624" t="n">
        <v>3.5</v>
      </c>
      <c r="H624" t="n">
        <v>0</v>
      </c>
      <c r="I624" t="n">
        <v>0</v>
      </c>
      <c r="J624" t="n">
        <v>0</v>
      </c>
      <c r="K624" t="n">
        <v>0</v>
      </c>
      <c r="L624" t="n">
        <v>0</v>
      </c>
      <c r="M624" t="n">
        <v>0</v>
      </c>
      <c r="N624" t="n">
        <v>0</v>
      </c>
      <c r="O624" t="n">
        <v>0</v>
      </c>
      <c r="P624" t="n">
        <v>0</v>
      </c>
      <c r="Q624" t="n">
        <v>0</v>
      </c>
      <c r="R624" s="2" t="inlineStr"/>
    </row>
    <row r="625" ht="15" customHeight="1">
      <c r="A625" t="inlineStr">
        <is>
          <t>A 6082-2022</t>
        </is>
      </c>
      <c r="B625" s="1" t="n">
        <v>44599</v>
      </c>
      <c r="C625" s="1" t="n">
        <v>46179</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46979-2023</t>
        </is>
      </c>
      <c r="B626" s="1" t="n">
        <v>45201</v>
      </c>
      <c r="C626" s="1" t="n">
        <v>46179</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2596-2025</t>
        </is>
      </c>
      <c r="B627" s="1" t="n">
        <v>45674.71810185185</v>
      </c>
      <c r="C627" s="1" t="n">
        <v>46179</v>
      </c>
      <c r="D627" t="inlineStr">
        <is>
          <t>KALMAR LÄN</t>
        </is>
      </c>
      <c r="E627" t="inlineStr">
        <is>
          <t>VIMMERBY</t>
        </is>
      </c>
      <c r="G627" t="n">
        <v>9</v>
      </c>
      <c r="H627" t="n">
        <v>0</v>
      </c>
      <c r="I627" t="n">
        <v>0</v>
      </c>
      <c r="J627" t="n">
        <v>0</v>
      </c>
      <c r="K627" t="n">
        <v>0</v>
      </c>
      <c r="L627" t="n">
        <v>0</v>
      </c>
      <c r="M627" t="n">
        <v>0</v>
      </c>
      <c r="N627" t="n">
        <v>0</v>
      </c>
      <c r="O627" t="n">
        <v>0</v>
      </c>
      <c r="P627" t="n">
        <v>0</v>
      </c>
      <c r="Q627" t="n">
        <v>0</v>
      </c>
      <c r="R627" s="2" t="inlineStr"/>
    </row>
    <row r="628" ht="15" customHeight="1">
      <c r="A628" t="inlineStr">
        <is>
          <t>A 47855-2024</t>
        </is>
      </c>
      <c r="B628" s="1" t="n">
        <v>45588.66457175926</v>
      </c>
      <c r="C628" s="1" t="n">
        <v>46179</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63583-2023</t>
        </is>
      </c>
      <c r="B629" s="1" t="n">
        <v>45275.41833333333</v>
      </c>
      <c r="C629" s="1" t="n">
        <v>46179</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60228-2021</t>
        </is>
      </c>
      <c r="B630" s="1" t="n">
        <v>44495</v>
      </c>
      <c r="C630" s="1" t="n">
        <v>46179</v>
      </c>
      <c r="D630" t="inlineStr">
        <is>
          <t>KALMAR LÄN</t>
        </is>
      </c>
      <c r="E630" t="inlineStr">
        <is>
          <t>VIMMERBY</t>
        </is>
      </c>
      <c r="G630" t="n">
        <v>4.1</v>
      </c>
      <c r="H630" t="n">
        <v>0</v>
      </c>
      <c r="I630" t="n">
        <v>0</v>
      </c>
      <c r="J630" t="n">
        <v>0</v>
      </c>
      <c r="K630" t="n">
        <v>0</v>
      </c>
      <c r="L630" t="n">
        <v>0</v>
      </c>
      <c r="M630" t="n">
        <v>0</v>
      </c>
      <c r="N630" t="n">
        <v>0</v>
      </c>
      <c r="O630" t="n">
        <v>0</v>
      </c>
      <c r="P630" t="n">
        <v>0</v>
      </c>
      <c r="Q630" t="n">
        <v>0</v>
      </c>
      <c r="R630" s="2" t="inlineStr"/>
    </row>
    <row r="631" ht="15" customHeight="1">
      <c r="A631" t="inlineStr">
        <is>
          <t>A 46522-2022</t>
        </is>
      </c>
      <c r="B631" s="1" t="n">
        <v>44848.59133101852</v>
      </c>
      <c r="C631" s="1" t="n">
        <v>46179</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21109-2024</t>
        </is>
      </c>
      <c r="B632" s="1" t="n">
        <v>45440.28329861111</v>
      </c>
      <c r="C632" s="1" t="n">
        <v>46179</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33815-2022</t>
        </is>
      </c>
      <c r="B633" s="1" t="n">
        <v>44790.45876157407</v>
      </c>
      <c r="C633" s="1" t="n">
        <v>46179</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49461-2022</t>
        </is>
      </c>
      <c r="B634" s="1" t="n">
        <v>44861</v>
      </c>
      <c r="C634" s="1" t="n">
        <v>46179</v>
      </c>
      <c r="D634" t="inlineStr">
        <is>
          <t>KALMAR LÄN</t>
        </is>
      </c>
      <c r="E634" t="inlineStr">
        <is>
          <t>VIMMERBY</t>
        </is>
      </c>
      <c r="G634" t="n">
        <v>3.2</v>
      </c>
      <c r="H634" t="n">
        <v>0</v>
      </c>
      <c r="I634" t="n">
        <v>0</v>
      </c>
      <c r="J634" t="n">
        <v>0</v>
      </c>
      <c r="K634" t="n">
        <v>0</v>
      </c>
      <c r="L634" t="n">
        <v>0</v>
      </c>
      <c r="M634" t="n">
        <v>0</v>
      </c>
      <c r="N634" t="n">
        <v>0</v>
      </c>
      <c r="O634" t="n">
        <v>0</v>
      </c>
      <c r="P634" t="n">
        <v>0</v>
      </c>
      <c r="Q634" t="n">
        <v>0</v>
      </c>
      <c r="R634" s="2" t="inlineStr"/>
    </row>
    <row r="635" ht="15" customHeight="1">
      <c r="A635" t="inlineStr">
        <is>
          <t>A 53542-2022</t>
        </is>
      </c>
      <c r="B635" s="1" t="n">
        <v>44879.62173611111</v>
      </c>
      <c r="C635" s="1" t="n">
        <v>46179</v>
      </c>
      <c r="D635" t="inlineStr">
        <is>
          <t>KALMAR LÄN</t>
        </is>
      </c>
      <c r="E635" t="inlineStr">
        <is>
          <t>VIMMERBY</t>
        </is>
      </c>
      <c r="G635" t="n">
        <v>2.6</v>
      </c>
      <c r="H635" t="n">
        <v>0</v>
      </c>
      <c r="I635" t="n">
        <v>0</v>
      </c>
      <c r="J635" t="n">
        <v>0</v>
      </c>
      <c r="K635" t="n">
        <v>0</v>
      </c>
      <c r="L635" t="n">
        <v>0</v>
      </c>
      <c r="M635" t="n">
        <v>0</v>
      </c>
      <c r="N635" t="n">
        <v>0</v>
      </c>
      <c r="O635" t="n">
        <v>0</v>
      </c>
      <c r="P635" t="n">
        <v>0</v>
      </c>
      <c r="Q635" t="n">
        <v>0</v>
      </c>
      <c r="R635" s="2" t="inlineStr"/>
    </row>
    <row r="636" ht="15" customHeight="1">
      <c r="A636" t="inlineStr">
        <is>
          <t>A 35713-2023</t>
        </is>
      </c>
      <c r="B636" s="1" t="n">
        <v>45147</v>
      </c>
      <c r="C636" s="1" t="n">
        <v>46179</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10424-2023</t>
        </is>
      </c>
      <c r="B637" s="1" t="n">
        <v>44987.54104166666</v>
      </c>
      <c r="C637" s="1" t="n">
        <v>46179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33340-2023</t>
        </is>
      </c>
      <c r="B638" s="1" t="n">
        <v>45128.37305555555</v>
      </c>
      <c r="C638" s="1" t="n">
        <v>46179</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29017-2024</t>
        </is>
      </c>
      <c r="B639" s="1" t="n">
        <v>45481.56722222222</v>
      </c>
      <c r="C639" s="1" t="n">
        <v>46179</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58046-2022</t>
        </is>
      </c>
      <c r="B640" s="1" t="n">
        <v>44900.57393518519</v>
      </c>
      <c r="C640" s="1" t="n">
        <v>46179</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14548-2024</t>
        </is>
      </c>
      <c r="B641" s="1" t="n">
        <v>45394.66887731481</v>
      </c>
      <c r="C641" s="1" t="n">
        <v>46179</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48120-2022</t>
        </is>
      </c>
      <c r="B642" s="1" t="n">
        <v>44857.65989583333</v>
      </c>
      <c r="C642" s="1" t="n">
        <v>46179</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3423-2022</t>
        </is>
      </c>
      <c r="B643" s="1" t="n">
        <v>44585.50431712963</v>
      </c>
      <c r="C643" s="1" t="n">
        <v>46179</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11074-2023</t>
        </is>
      </c>
      <c r="B644" s="1" t="n">
        <v>44992.34151620371</v>
      </c>
      <c r="C644" s="1" t="n">
        <v>46179</v>
      </c>
      <c r="D644" t="inlineStr">
        <is>
          <t>KALMAR LÄN</t>
        </is>
      </c>
      <c r="E644" t="inlineStr">
        <is>
          <t>VIMMERBY</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71631-2021</t>
        </is>
      </c>
      <c r="B645" s="1" t="n">
        <v>44542.90072916666</v>
      </c>
      <c r="C645" s="1" t="n">
        <v>46179</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49039-2021</t>
        </is>
      </c>
      <c r="B646" s="1" t="n">
        <v>44453.56578703703</v>
      </c>
      <c r="C646" s="1" t="n">
        <v>46179</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42918-2021</t>
        </is>
      </c>
      <c r="B647" s="1" t="n">
        <v>44431</v>
      </c>
      <c r="C647" s="1" t="n">
        <v>46179</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529-2022</t>
        </is>
      </c>
      <c r="B648" s="1" t="n">
        <v>44566</v>
      </c>
      <c r="C648" s="1" t="n">
        <v>46179</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14855-2025</t>
        </is>
      </c>
      <c r="B649" s="1" t="n">
        <v>45743.41148148148</v>
      </c>
      <c r="C649" s="1" t="n">
        <v>46179</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60951-2023</t>
        </is>
      </c>
      <c r="B650" s="1" t="n">
        <v>45261.44914351852</v>
      </c>
      <c r="C650" s="1" t="n">
        <v>46179</v>
      </c>
      <c r="D650" t="inlineStr">
        <is>
          <t>KALMAR LÄN</t>
        </is>
      </c>
      <c r="E650" t="inlineStr">
        <is>
          <t>VIMMERBY</t>
        </is>
      </c>
      <c r="G650" t="n">
        <v>4.3</v>
      </c>
      <c r="H650" t="n">
        <v>0</v>
      </c>
      <c r="I650" t="n">
        <v>0</v>
      </c>
      <c r="J650" t="n">
        <v>0</v>
      </c>
      <c r="K650" t="n">
        <v>0</v>
      </c>
      <c r="L650" t="n">
        <v>0</v>
      </c>
      <c r="M650" t="n">
        <v>0</v>
      </c>
      <c r="N650" t="n">
        <v>0</v>
      </c>
      <c r="O650" t="n">
        <v>0</v>
      </c>
      <c r="P650" t="n">
        <v>0</v>
      </c>
      <c r="Q650" t="n">
        <v>0</v>
      </c>
      <c r="R650" s="2" t="inlineStr"/>
    </row>
    <row r="651" ht="15" customHeight="1">
      <c r="A651" t="inlineStr">
        <is>
          <t>A 19162-2023</t>
        </is>
      </c>
      <c r="B651" s="1" t="n">
        <v>45048.59699074074</v>
      </c>
      <c r="C651" s="1" t="n">
        <v>46179</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31209-2024</t>
        </is>
      </c>
      <c r="B652" s="1" t="n">
        <v>45503.5658912037</v>
      </c>
      <c r="C652" s="1" t="n">
        <v>46179</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5864-2022</t>
        </is>
      </c>
      <c r="B653" s="1" t="n">
        <v>44596</v>
      </c>
      <c r="C653" s="1" t="n">
        <v>46179</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3938-2023</t>
        </is>
      </c>
      <c r="B654" s="1" t="n">
        <v>44952.35775462963</v>
      </c>
      <c r="C654" s="1" t="n">
        <v>46179</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17713-2026</t>
        </is>
      </c>
      <c r="B655" s="1" t="n">
        <v>46121.72810185186</v>
      </c>
      <c r="C655" s="1" t="n">
        <v>46179</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50085-2023</t>
        </is>
      </c>
      <c r="B656" s="1" t="n">
        <v>45215.5959375</v>
      </c>
      <c r="C656" s="1" t="n">
        <v>46179</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11219-2023</t>
        </is>
      </c>
      <c r="B657" s="1" t="n">
        <v>44992.62498842592</v>
      </c>
      <c r="C657" s="1" t="n">
        <v>46179</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18122-2026</t>
        </is>
      </c>
      <c r="B658" s="1" t="n">
        <v>46125.58524305555</v>
      </c>
      <c r="C658" s="1" t="n">
        <v>46179</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6850-2023</t>
        </is>
      </c>
      <c r="B659" s="1" t="n">
        <v>44967.44255787037</v>
      </c>
      <c r="C659" s="1" t="n">
        <v>46179</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6358-2022</t>
        </is>
      </c>
      <c r="B660" s="1" t="n">
        <v>44600</v>
      </c>
      <c r="C660" s="1" t="n">
        <v>46179</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43853-2023</t>
        </is>
      </c>
      <c r="B661" s="1" t="n">
        <v>45187.60813657408</v>
      </c>
      <c r="C661" s="1" t="n">
        <v>46179</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48673-2021</t>
        </is>
      </c>
      <c r="B662" s="1" t="n">
        <v>44452</v>
      </c>
      <c r="C662" s="1" t="n">
        <v>46179</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14137-2023</t>
        </is>
      </c>
      <c r="B663" s="1" t="n">
        <v>45009.4671875</v>
      </c>
      <c r="C663" s="1" t="n">
        <v>46179</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38780-2021</t>
        </is>
      </c>
      <c r="B664" s="1" t="n">
        <v>44410</v>
      </c>
      <c r="C664" s="1" t="n">
        <v>46179</v>
      </c>
      <c r="D664" t="inlineStr">
        <is>
          <t>KALMAR LÄN</t>
        </is>
      </c>
      <c r="E664" t="inlineStr">
        <is>
          <t>VIMMERBY</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30503-2023</t>
        </is>
      </c>
      <c r="B665" s="1" t="n">
        <v>45111</v>
      </c>
      <c r="C665" s="1" t="n">
        <v>46179</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60110-2022</t>
        </is>
      </c>
      <c r="B666" s="1" t="n">
        <v>44909</v>
      </c>
      <c r="C666" s="1" t="n">
        <v>46179</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59300-2024</t>
        </is>
      </c>
      <c r="B667" s="1" t="n">
        <v>45637.66542824074</v>
      </c>
      <c r="C667" s="1" t="n">
        <v>46179</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18329-2023</t>
        </is>
      </c>
      <c r="B668" s="1" t="n">
        <v>45041.63380787037</v>
      </c>
      <c r="C668" s="1" t="n">
        <v>46179</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5720-2023</t>
        </is>
      </c>
      <c r="B669" s="1" t="n">
        <v>44961</v>
      </c>
      <c r="C669" s="1" t="n">
        <v>46179</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61538-2022</t>
        </is>
      </c>
      <c r="B670" s="1" t="n">
        <v>44916.55414351852</v>
      </c>
      <c r="C670" s="1" t="n">
        <v>46179</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694-2024</t>
        </is>
      </c>
      <c r="B671" s="1" t="n">
        <v>45300.3794212963</v>
      </c>
      <c r="C671" s="1" t="n">
        <v>46179</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57114-2023</t>
        </is>
      </c>
      <c r="B672" s="1" t="n">
        <v>45245.36174768519</v>
      </c>
      <c r="C672" s="1" t="n">
        <v>46179</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12327-2023</t>
        </is>
      </c>
      <c r="B673" s="1" t="n">
        <v>44999.36081018519</v>
      </c>
      <c r="C673" s="1" t="n">
        <v>46179</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30633-2024</t>
        </is>
      </c>
      <c r="B674" s="1" t="n">
        <v>45495</v>
      </c>
      <c r="C674" s="1" t="n">
        <v>46179</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33424-2023</t>
        </is>
      </c>
      <c r="B675" s="1" t="n">
        <v>45128.9325</v>
      </c>
      <c r="C675" s="1" t="n">
        <v>46179</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33425-2023</t>
        </is>
      </c>
      <c r="B676" s="1" t="n">
        <v>45128.93540509259</v>
      </c>
      <c r="C676" s="1" t="n">
        <v>46179</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3609-2024</t>
        </is>
      </c>
      <c r="B677" s="1" t="n">
        <v>45320.89128472222</v>
      </c>
      <c r="C677" s="1" t="n">
        <v>46179</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8650-2022</t>
        </is>
      </c>
      <c r="B678" s="1" t="n">
        <v>44613</v>
      </c>
      <c r="C678" s="1" t="n">
        <v>46179</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24932-2026</t>
        </is>
      </c>
      <c r="B679" s="1" t="n">
        <v>46174.5197800926</v>
      </c>
      <c r="C679" s="1" t="n">
        <v>46179</v>
      </c>
      <c r="D679" t="inlineStr">
        <is>
          <t>KALMAR LÄN</t>
        </is>
      </c>
      <c r="E679" t="inlineStr">
        <is>
          <t>VIMMERBY</t>
        </is>
      </c>
      <c r="G679" t="n">
        <v>2.3</v>
      </c>
      <c r="H679" t="n">
        <v>0</v>
      </c>
      <c r="I679" t="n">
        <v>0</v>
      </c>
      <c r="J679" t="n">
        <v>0</v>
      </c>
      <c r="K679" t="n">
        <v>0</v>
      </c>
      <c r="L679" t="n">
        <v>0</v>
      </c>
      <c r="M679" t="n">
        <v>0</v>
      </c>
      <c r="N679" t="n">
        <v>0</v>
      </c>
      <c r="O679" t="n">
        <v>0</v>
      </c>
      <c r="P679" t="n">
        <v>0</v>
      </c>
      <c r="Q679" t="n">
        <v>0</v>
      </c>
      <c r="R679" s="2" t="inlineStr"/>
    </row>
    <row r="680" ht="15" customHeight="1">
      <c r="A680" t="inlineStr">
        <is>
          <t>A 11147-2023</t>
        </is>
      </c>
      <c r="B680" s="1" t="n">
        <v>44992</v>
      </c>
      <c r="C680" s="1" t="n">
        <v>46179</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16676-2023</t>
        </is>
      </c>
      <c r="B681" s="1" t="n">
        <v>45028</v>
      </c>
      <c r="C681" s="1" t="n">
        <v>46179</v>
      </c>
      <c r="D681" t="inlineStr">
        <is>
          <t>KALMAR LÄN</t>
        </is>
      </c>
      <c r="E681" t="inlineStr">
        <is>
          <t>VIMMERBY</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23263-2024</t>
        </is>
      </c>
      <c r="B682" s="1" t="n">
        <v>45453.36854166666</v>
      </c>
      <c r="C682" s="1" t="n">
        <v>46179</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49488-2023</t>
        </is>
      </c>
      <c r="B683" s="1" t="n">
        <v>45211.55472222222</v>
      </c>
      <c r="C683" s="1" t="n">
        <v>46179</v>
      </c>
      <c r="D683" t="inlineStr">
        <is>
          <t>KALMAR LÄN</t>
        </is>
      </c>
      <c r="E683" t="inlineStr">
        <is>
          <t>VIMMERBY</t>
        </is>
      </c>
      <c r="F683" t="inlineStr">
        <is>
          <t>Sveaskog</t>
        </is>
      </c>
      <c r="G683" t="n">
        <v>6.2</v>
      </c>
      <c r="H683" t="n">
        <v>0</v>
      </c>
      <c r="I683" t="n">
        <v>0</v>
      </c>
      <c r="J683" t="n">
        <v>0</v>
      </c>
      <c r="K683" t="n">
        <v>0</v>
      </c>
      <c r="L683" t="n">
        <v>0</v>
      </c>
      <c r="M683" t="n">
        <v>0</v>
      </c>
      <c r="N683" t="n">
        <v>0</v>
      </c>
      <c r="O683" t="n">
        <v>0</v>
      </c>
      <c r="P683" t="n">
        <v>0</v>
      </c>
      <c r="Q683" t="n">
        <v>0</v>
      </c>
      <c r="R683" s="2" t="inlineStr"/>
    </row>
    <row r="684" ht="15" customHeight="1">
      <c r="A684" t="inlineStr">
        <is>
          <t>A 59768-2024</t>
        </is>
      </c>
      <c r="B684" s="1" t="n">
        <v>45639.56185185185</v>
      </c>
      <c r="C684" s="1" t="n">
        <v>46179</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72067-2021</t>
        </is>
      </c>
      <c r="B685" s="1" t="n">
        <v>44540</v>
      </c>
      <c r="C685" s="1" t="n">
        <v>46179</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41158-2023</t>
        </is>
      </c>
      <c r="B686" s="1" t="n">
        <v>45174.31395833333</v>
      </c>
      <c r="C686" s="1" t="n">
        <v>46179</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22198-2024</t>
        </is>
      </c>
      <c r="B687" s="1" t="n">
        <v>45446.36865740741</v>
      </c>
      <c r="C687" s="1" t="n">
        <v>46179</v>
      </c>
      <c r="D687" t="inlineStr">
        <is>
          <t>KALMAR LÄN</t>
        </is>
      </c>
      <c r="E687" t="inlineStr">
        <is>
          <t>VIMMERBY</t>
        </is>
      </c>
      <c r="F687" t="inlineStr">
        <is>
          <t>Sveaskog</t>
        </is>
      </c>
      <c r="G687" t="n">
        <v>2.3</v>
      </c>
      <c r="H687" t="n">
        <v>0</v>
      </c>
      <c r="I687" t="n">
        <v>0</v>
      </c>
      <c r="J687" t="n">
        <v>0</v>
      </c>
      <c r="K687" t="n">
        <v>0</v>
      </c>
      <c r="L687" t="n">
        <v>0</v>
      </c>
      <c r="M687" t="n">
        <v>0</v>
      </c>
      <c r="N687" t="n">
        <v>0</v>
      </c>
      <c r="O687" t="n">
        <v>0</v>
      </c>
      <c r="P687" t="n">
        <v>0</v>
      </c>
      <c r="Q687" t="n">
        <v>0</v>
      </c>
      <c r="R687" s="2" t="inlineStr"/>
    </row>
    <row r="688" ht="15" customHeight="1">
      <c r="A688" t="inlineStr">
        <is>
          <t>A 9511-2023</t>
        </is>
      </c>
      <c r="B688" s="1" t="n">
        <v>44981.64725694444</v>
      </c>
      <c r="C688" s="1" t="n">
        <v>46179</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34205-2023</t>
        </is>
      </c>
      <c r="B689" s="1" t="n">
        <v>45138</v>
      </c>
      <c r="C689" s="1" t="n">
        <v>46179</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57091-2022</t>
        </is>
      </c>
      <c r="B690" s="1" t="n">
        <v>44895.46524305556</v>
      </c>
      <c r="C690" s="1" t="n">
        <v>46179</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2604-2025</t>
        </is>
      </c>
      <c r="B691" s="1" t="n">
        <v>45674.74094907408</v>
      </c>
      <c r="C691" s="1" t="n">
        <v>46179</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6807-2025</t>
        </is>
      </c>
      <c r="B692" s="1" t="n">
        <v>45700.68672453704</v>
      </c>
      <c r="C692" s="1" t="n">
        <v>46179</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38851-2023</t>
        </is>
      </c>
      <c r="B693" s="1" t="n">
        <v>45163</v>
      </c>
      <c r="C693" s="1" t="n">
        <v>46179</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23252-2024</t>
        </is>
      </c>
      <c r="B694" s="1" t="n">
        <v>45453.36067129629</v>
      </c>
      <c r="C694" s="1" t="n">
        <v>46179</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5792-2023</t>
        </is>
      </c>
      <c r="B695" s="1" t="n">
        <v>44963.44769675926</v>
      </c>
      <c r="C695" s="1" t="n">
        <v>46179</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2797-2023</t>
        </is>
      </c>
      <c r="B696" s="1" t="n">
        <v>44944.71386574074</v>
      </c>
      <c r="C696" s="1" t="n">
        <v>46179</v>
      </c>
      <c r="D696" t="inlineStr">
        <is>
          <t>KALMAR LÄN</t>
        </is>
      </c>
      <c r="E696" t="inlineStr">
        <is>
          <t>VIMMERBY</t>
        </is>
      </c>
      <c r="G696" t="n">
        <v>3.4</v>
      </c>
      <c r="H696" t="n">
        <v>0</v>
      </c>
      <c r="I696" t="n">
        <v>0</v>
      </c>
      <c r="J696" t="n">
        <v>0</v>
      </c>
      <c r="K696" t="n">
        <v>0</v>
      </c>
      <c r="L696" t="n">
        <v>0</v>
      </c>
      <c r="M696" t="n">
        <v>0</v>
      </c>
      <c r="N696" t="n">
        <v>0</v>
      </c>
      <c r="O696" t="n">
        <v>0</v>
      </c>
      <c r="P696" t="n">
        <v>0</v>
      </c>
      <c r="Q696" t="n">
        <v>0</v>
      </c>
      <c r="R696" s="2" t="inlineStr"/>
    </row>
    <row r="697" ht="15" customHeight="1">
      <c r="A697" t="inlineStr">
        <is>
          <t>A 2799-2023</t>
        </is>
      </c>
      <c r="B697" s="1" t="n">
        <v>44944.72100694444</v>
      </c>
      <c r="C697" s="1" t="n">
        <v>46179</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58278-2023</t>
        </is>
      </c>
      <c r="B698" s="1" t="n">
        <v>45250.5278587963</v>
      </c>
      <c r="C698" s="1" t="n">
        <v>46179</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36259-2022</t>
        </is>
      </c>
      <c r="B699" s="1" t="n">
        <v>44803.59118055556</v>
      </c>
      <c r="C699" s="1" t="n">
        <v>46179</v>
      </c>
      <c r="D699" t="inlineStr">
        <is>
          <t>KALMAR LÄN</t>
        </is>
      </c>
      <c r="E699" t="inlineStr">
        <is>
          <t>VIMMERBY</t>
        </is>
      </c>
      <c r="G699" t="n">
        <v>3.9</v>
      </c>
      <c r="H699" t="n">
        <v>0</v>
      </c>
      <c r="I699" t="n">
        <v>0</v>
      </c>
      <c r="J699" t="n">
        <v>0</v>
      </c>
      <c r="K699" t="n">
        <v>0</v>
      </c>
      <c r="L699" t="n">
        <v>0</v>
      </c>
      <c r="M699" t="n">
        <v>0</v>
      </c>
      <c r="N699" t="n">
        <v>0</v>
      </c>
      <c r="O699" t="n">
        <v>0</v>
      </c>
      <c r="P699" t="n">
        <v>0</v>
      </c>
      <c r="Q699" t="n">
        <v>0</v>
      </c>
      <c r="R699" s="2" t="inlineStr"/>
    </row>
    <row r="700" ht="15" customHeight="1">
      <c r="A700" t="inlineStr">
        <is>
          <t>A 36526-2023</t>
        </is>
      </c>
      <c r="B700" s="1" t="n">
        <v>45153.32778935185</v>
      </c>
      <c r="C700" s="1" t="n">
        <v>46179</v>
      </c>
      <c r="D700" t="inlineStr">
        <is>
          <t>KALMAR LÄN</t>
        </is>
      </c>
      <c r="E700" t="inlineStr">
        <is>
          <t>VIMMERBY</t>
        </is>
      </c>
      <c r="G700" t="n">
        <v>2.7</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46179</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29351-2023</t>
        </is>
      </c>
      <c r="B702" s="1" t="n">
        <v>45106.2610300926</v>
      </c>
      <c r="C702" s="1" t="n">
        <v>46179</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6474-2025</t>
        </is>
      </c>
      <c r="B703" s="1" t="n">
        <v>45699.60055555555</v>
      </c>
      <c r="C703" s="1" t="n">
        <v>46179</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57555-2024</t>
        </is>
      </c>
      <c r="B704" s="1" t="n">
        <v>45630.45069444444</v>
      </c>
      <c r="C704" s="1" t="n">
        <v>46179</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52279-2023</t>
        </is>
      </c>
      <c r="B705" s="1" t="n">
        <v>45224</v>
      </c>
      <c r="C705" s="1" t="n">
        <v>46179</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52324-2023</t>
        </is>
      </c>
      <c r="B706" s="1" t="n">
        <v>45224.64659722222</v>
      </c>
      <c r="C706" s="1" t="n">
        <v>46179</v>
      </c>
      <c r="D706" t="inlineStr">
        <is>
          <t>KALMAR LÄN</t>
        </is>
      </c>
      <c r="E706" t="inlineStr">
        <is>
          <t>VIMMERBY</t>
        </is>
      </c>
      <c r="F706" t="inlineStr">
        <is>
          <t>Sveaskog</t>
        </is>
      </c>
      <c r="G706" t="n">
        <v>2.9</v>
      </c>
      <c r="H706" t="n">
        <v>0</v>
      </c>
      <c r="I706" t="n">
        <v>0</v>
      </c>
      <c r="J706" t="n">
        <v>0</v>
      </c>
      <c r="K706" t="n">
        <v>0</v>
      </c>
      <c r="L706" t="n">
        <v>0</v>
      </c>
      <c r="M706" t="n">
        <v>0</v>
      </c>
      <c r="N706" t="n">
        <v>0</v>
      </c>
      <c r="O706" t="n">
        <v>0</v>
      </c>
      <c r="P706" t="n">
        <v>0</v>
      </c>
      <c r="Q706" t="n">
        <v>0</v>
      </c>
      <c r="R706" s="2" t="inlineStr"/>
    </row>
    <row r="707" ht="15" customHeight="1">
      <c r="A707" t="inlineStr">
        <is>
          <t>A 32642-2023</t>
        </is>
      </c>
      <c r="B707" s="1" t="n">
        <v>45121.59954861111</v>
      </c>
      <c r="C707" s="1" t="n">
        <v>46179</v>
      </c>
      <c r="D707" t="inlineStr">
        <is>
          <t>KALMAR LÄN</t>
        </is>
      </c>
      <c r="E707" t="inlineStr">
        <is>
          <t>VIMMERBY</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32651-2023</t>
        </is>
      </c>
      <c r="B708" s="1" t="n">
        <v>45121.6096875</v>
      </c>
      <c r="C708" s="1" t="n">
        <v>46179</v>
      </c>
      <c r="D708" t="inlineStr">
        <is>
          <t>KALMAR LÄN</t>
        </is>
      </c>
      <c r="E708" t="inlineStr">
        <is>
          <t>VIMMERBY</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40730-2024</t>
        </is>
      </c>
      <c r="B709" s="1" t="n">
        <v>45558.44914351852</v>
      </c>
      <c r="C709" s="1" t="n">
        <v>46179</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9643-2023</t>
        </is>
      </c>
      <c r="B710" s="1" t="n">
        <v>44984</v>
      </c>
      <c r="C710" s="1" t="n">
        <v>46179</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56213-2024</t>
        </is>
      </c>
      <c r="B711" s="1" t="n">
        <v>45624.60141203704</v>
      </c>
      <c r="C711" s="1" t="n">
        <v>46179</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20126-2024</t>
        </is>
      </c>
      <c r="B712" s="1" t="n">
        <v>45434.55471064815</v>
      </c>
      <c r="C712" s="1" t="n">
        <v>46179</v>
      </c>
      <c r="D712" t="inlineStr">
        <is>
          <t>KALMAR LÄN</t>
        </is>
      </c>
      <c r="E712" t="inlineStr">
        <is>
          <t>VIMMERBY</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9694-2023</t>
        </is>
      </c>
      <c r="B713" s="1" t="n">
        <v>44984.45895833334</v>
      </c>
      <c r="C713" s="1" t="n">
        <v>46179</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9710-2023</t>
        </is>
      </c>
      <c r="B714" s="1" t="n">
        <v>44984</v>
      </c>
      <c r="C714" s="1" t="n">
        <v>46179</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18633-2026</t>
        </is>
      </c>
      <c r="B715" s="1" t="n">
        <v>46128.26289351852</v>
      </c>
      <c r="C715" s="1" t="n">
        <v>46179</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7944-2024</t>
        </is>
      </c>
      <c r="B716" s="1" t="n">
        <v>45350.53306712963</v>
      </c>
      <c r="C716" s="1" t="n">
        <v>46179</v>
      </c>
      <c r="D716" t="inlineStr">
        <is>
          <t>KALMAR LÄN</t>
        </is>
      </c>
      <c r="E716" t="inlineStr">
        <is>
          <t>VIMMERBY</t>
        </is>
      </c>
      <c r="G716" t="n">
        <v>1.2</v>
      </c>
      <c r="H716" t="n">
        <v>0</v>
      </c>
      <c r="I716" t="n">
        <v>0</v>
      </c>
      <c r="J716" t="n">
        <v>0</v>
      </c>
      <c r="K716" t="n">
        <v>0</v>
      </c>
      <c r="L716" t="n">
        <v>0</v>
      </c>
      <c r="M716" t="n">
        <v>0</v>
      </c>
      <c r="N716" t="n">
        <v>0</v>
      </c>
      <c r="O716" t="n">
        <v>0</v>
      </c>
      <c r="P716" t="n">
        <v>0</v>
      </c>
      <c r="Q716" t="n">
        <v>0</v>
      </c>
      <c r="R716" s="2" t="inlineStr"/>
    </row>
    <row r="717" ht="15" customHeight="1">
      <c r="A717" t="inlineStr">
        <is>
          <t>A 10807-2024</t>
        </is>
      </c>
      <c r="B717" s="1" t="n">
        <v>45369.62780092593</v>
      </c>
      <c r="C717" s="1" t="n">
        <v>46179</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40260-2024</t>
        </is>
      </c>
      <c r="B718" s="1" t="n">
        <v>45554.63225694445</v>
      </c>
      <c r="C718" s="1" t="n">
        <v>46179</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10787-2025</t>
        </is>
      </c>
      <c r="B719" s="1" t="n">
        <v>45722.48915509259</v>
      </c>
      <c r="C719" s="1" t="n">
        <v>46179</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58577-2024</t>
        </is>
      </c>
      <c r="B720" s="1" t="n">
        <v>45635.4874537037</v>
      </c>
      <c r="C720" s="1" t="n">
        <v>46179</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38198-2024</t>
        </is>
      </c>
      <c r="B721" s="1" t="n">
        <v>45545.49508101852</v>
      </c>
      <c r="C721" s="1" t="n">
        <v>46179</v>
      </c>
      <c r="D721" t="inlineStr">
        <is>
          <t>KALMAR LÄN</t>
        </is>
      </c>
      <c r="E721" t="inlineStr">
        <is>
          <t>VIMMERBY</t>
        </is>
      </c>
      <c r="G721" t="n">
        <v>7.9</v>
      </c>
      <c r="H721" t="n">
        <v>0</v>
      </c>
      <c r="I721" t="n">
        <v>0</v>
      </c>
      <c r="J721" t="n">
        <v>0</v>
      </c>
      <c r="K721" t="n">
        <v>0</v>
      </c>
      <c r="L721" t="n">
        <v>0</v>
      </c>
      <c r="M721" t="n">
        <v>0</v>
      </c>
      <c r="N721" t="n">
        <v>0</v>
      </c>
      <c r="O721" t="n">
        <v>0</v>
      </c>
      <c r="P721" t="n">
        <v>0</v>
      </c>
      <c r="Q721" t="n">
        <v>0</v>
      </c>
      <c r="R721" s="2" t="inlineStr"/>
    </row>
    <row r="722" ht="15" customHeight="1">
      <c r="A722" t="inlineStr">
        <is>
          <t>A 22264-2023</t>
        </is>
      </c>
      <c r="B722" s="1" t="n">
        <v>45070.3665625</v>
      </c>
      <c r="C722" s="1" t="n">
        <v>46179</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22266-2023</t>
        </is>
      </c>
      <c r="B723" s="1" t="n">
        <v>45070</v>
      </c>
      <c r="C723" s="1" t="n">
        <v>46179</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50091-2023</t>
        </is>
      </c>
      <c r="B724" s="1" t="n">
        <v>45215.60199074074</v>
      </c>
      <c r="C724" s="1" t="n">
        <v>46179</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10303-2025</t>
        </is>
      </c>
      <c r="B725" s="1" t="n">
        <v>45720.44217592593</v>
      </c>
      <c r="C725" s="1" t="n">
        <v>46179</v>
      </c>
      <c r="D725" t="inlineStr">
        <is>
          <t>KALMAR LÄN</t>
        </is>
      </c>
      <c r="E725" t="inlineStr">
        <is>
          <t>VIMMERBY</t>
        </is>
      </c>
      <c r="G725" t="n">
        <v>0.9</v>
      </c>
      <c r="H725" t="n">
        <v>0</v>
      </c>
      <c r="I725" t="n">
        <v>0</v>
      </c>
      <c r="J725" t="n">
        <v>0</v>
      </c>
      <c r="K725" t="n">
        <v>0</v>
      </c>
      <c r="L725" t="n">
        <v>0</v>
      </c>
      <c r="M725" t="n">
        <v>0</v>
      </c>
      <c r="N725" t="n">
        <v>0</v>
      </c>
      <c r="O725" t="n">
        <v>0</v>
      </c>
      <c r="P725" t="n">
        <v>0</v>
      </c>
      <c r="Q725" t="n">
        <v>0</v>
      </c>
      <c r="R725" s="2" t="inlineStr"/>
    </row>
    <row r="726" ht="15" customHeight="1">
      <c r="A726" t="inlineStr">
        <is>
          <t>A 11027-2023</t>
        </is>
      </c>
      <c r="B726" s="1" t="n">
        <v>44991.89657407408</v>
      </c>
      <c r="C726" s="1" t="n">
        <v>46179</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11661-2023</t>
        </is>
      </c>
      <c r="B727" s="1" t="n">
        <v>44994.46908564815</v>
      </c>
      <c r="C727" s="1" t="n">
        <v>46179</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36155-2023</t>
        </is>
      </c>
      <c r="B728" s="1" t="n">
        <v>45149.60917824074</v>
      </c>
      <c r="C728" s="1" t="n">
        <v>46179</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40147-2023</t>
        </is>
      </c>
      <c r="B729" s="1" t="n">
        <v>45169</v>
      </c>
      <c r="C729" s="1" t="n">
        <v>46179</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63950-2023</t>
        </is>
      </c>
      <c r="B730" s="1" t="n">
        <v>45278</v>
      </c>
      <c r="C730" s="1" t="n">
        <v>46179</v>
      </c>
      <c r="D730" t="inlineStr">
        <is>
          <t>KALMAR LÄN</t>
        </is>
      </c>
      <c r="E730" t="inlineStr">
        <is>
          <t>VIMMERBY</t>
        </is>
      </c>
      <c r="F730" t="inlineStr">
        <is>
          <t>Kyrkan</t>
        </is>
      </c>
      <c r="G730" t="n">
        <v>2.7</v>
      </c>
      <c r="H730" t="n">
        <v>0</v>
      </c>
      <c r="I730" t="n">
        <v>0</v>
      </c>
      <c r="J730" t="n">
        <v>0</v>
      </c>
      <c r="K730" t="n">
        <v>0</v>
      </c>
      <c r="L730" t="n">
        <v>0</v>
      </c>
      <c r="M730" t="n">
        <v>0</v>
      </c>
      <c r="N730" t="n">
        <v>0</v>
      </c>
      <c r="O730" t="n">
        <v>0</v>
      </c>
      <c r="P730" t="n">
        <v>0</v>
      </c>
      <c r="Q730" t="n">
        <v>0</v>
      </c>
      <c r="R730" s="2" t="inlineStr"/>
    </row>
    <row r="731" ht="15" customHeight="1">
      <c r="A731" t="inlineStr">
        <is>
          <t>A 24096-2024</t>
        </is>
      </c>
      <c r="B731" s="1" t="n">
        <v>45456.59289351852</v>
      </c>
      <c r="C731" s="1" t="n">
        <v>46179</v>
      </c>
      <c r="D731" t="inlineStr">
        <is>
          <t>KALMAR LÄN</t>
        </is>
      </c>
      <c r="E731" t="inlineStr">
        <is>
          <t>VIMMERBY</t>
        </is>
      </c>
      <c r="G731" t="n">
        <v>2.3</v>
      </c>
      <c r="H731" t="n">
        <v>0</v>
      </c>
      <c r="I731" t="n">
        <v>0</v>
      </c>
      <c r="J731" t="n">
        <v>0</v>
      </c>
      <c r="K731" t="n">
        <v>0</v>
      </c>
      <c r="L731" t="n">
        <v>0</v>
      </c>
      <c r="M731" t="n">
        <v>0</v>
      </c>
      <c r="N731" t="n">
        <v>0</v>
      </c>
      <c r="O731" t="n">
        <v>0</v>
      </c>
      <c r="P731" t="n">
        <v>0</v>
      </c>
      <c r="Q731" t="n">
        <v>0</v>
      </c>
      <c r="R731" s="2" t="inlineStr"/>
    </row>
    <row r="732" ht="15" customHeight="1">
      <c r="A732" t="inlineStr">
        <is>
          <t>A 24930-2026</t>
        </is>
      </c>
      <c r="B732" s="1" t="n">
        <v>46174.51430555555</v>
      </c>
      <c r="C732" s="1" t="n">
        <v>46179</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25194-2026</t>
        </is>
      </c>
      <c r="B733" s="1" t="n">
        <v>46175.58986111111</v>
      </c>
      <c r="C733" s="1" t="n">
        <v>46179</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25106-2026</t>
        </is>
      </c>
      <c r="B734" s="1" t="n">
        <v>46175.35026620371</v>
      </c>
      <c r="C734" s="1" t="n">
        <v>46179</v>
      </c>
      <c r="D734" t="inlineStr">
        <is>
          <t>KALMAR LÄN</t>
        </is>
      </c>
      <c r="E734" t="inlineStr">
        <is>
          <t>VIMMERBY</t>
        </is>
      </c>
      <c r="G734" t="n">
        <v>1.2</v>
      </c>
      <c r="H734" t="n">
        <v>0</v>
      </c>
      <c r="I734" t="n">
        <v>0</v>
      </c>
      <c r="J734" t="n">
        <v>0</v>
      </c>
      <c r="K734" t="n">
        <v>0</v>
      </c>
      <c r="L734" t="n">
        <v>0</v>
      </c>
      <c r="M734" t="n">
        <v>0</v>
      </c>
      <c r="N734" t="n">
        <v>0</v>
      </c>
      <c r="O734" t="n">
        <v>0</v>
      </c>
      <c r="P734" t="n">
        <v>0</v>
      </c>
      <c r="Q734" t="n">
        <v>0</v>
      </c>
      <c r="R734" s="2" t="inlineStr"/>
    </row>
    <row r="735" ht="15" customHeight="1">
      <c r="A735" t="inlineStr">
        <is>
          <t>A 13015-2023</t>
        </is>
      </c>
      <c r="B735" s="1" t="n">
        <v>45002</v>
      </c>
      <c r="C735" s="1" t="n">
        <v>46179</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25284-2026</t>
        </is>
      </c>
      <c r="B736" s="1" t="n">
        <v>46176.40210648148</v>
      </c>
      <c r="C736" s="1" t="n">
        <v>46179</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41199-2023</t>
        </is>
      </c>
      <c r="B737" s="1" t="n">
        <v>45174.40454861111</v>
      </c>
      <c r="C737" s="1" t="n">
        <v>46179</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36014-2024</t>
        </is>
      </c>
      <c r="B738" s="1" t="n">
        <v>45533.56108796296</v>
      </c>
      <c r="C738" s="1" t="n">
        <v>46179</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36030-2024</t>
        </is>
      </c>
      <c r="B739" s="1" t="n">
        <v>45533.58302083334</v>
      </c>
      <c r="C739" s="1" t="n">
        <v>46179</v>
      </c>
      <c r="D739" t="inlineStr">
        <is>
          <t>KALMAR LÄN</t>
        </is>
      </c>
      <c r="E739" t="inlineStr">
        <is>
          <t>VIMMERBY</t>
        </is>
      </c>
      <c r="F739" t="inlineStr">
        <is>
          <t>Kommuner</t>
        </is>
      </c>
      <c r="G739" t="n">
        <v>4</v>
      </c>
      <c r="H739" t="n">
        <v>0</v>
      </c>
      <c r="I739" t="n">
        <v>0</v>
      </c>
      <c r="J739" t="n">
        <v>0</v>
      </c>
      <c r="K739" t="n">
        <v>0</v>
      </c>
      <c r="L739" t="n">
        <v>0</v>
      </c>
      <c r="M739" t="n">
        <v>0</v>
      </c>
      <c r="N739" t="n">
        <v>0</v>
      </c>
      <c r="O739" t="n">
        <v>0</v>
      </c>
      <c r="P739" t="n">
        <v>0</v>
      </c>
      <c r="Q739" t="n">
        <v>0</v>
      </c>
      <c r="R739" s="2" t="inlineStr"/>
    </row>
    <row r="740" ht="15" customHeight="1">
      <c r="A740" t="inlineStr">
        <is>
          <t>A 25192-2026</t>
        </is>
      </c>
      <c r="B740" s="1" t="n">
        <v>46175.5820949074</v>
      </c>
      <c r="C740" s="1" t="n">
        <v>46179</v>
      </c>
      <c r="D740" t="inlineStr">
        <is>
          <t>KALMAR LÄN</t>
        </is>
      </c>
      <c r="E740" t="inlineStr">
        <is>
          <t>VIMMERBY</t>
        </is>
      </c>
      <c r="G740" t="n">
        <v>3.2</v>
      </c>
      <c r="H740" t="n">
        <v>0</v>
      </c>
      <c r="I740" t="n">
        <v>0</v>
      </c>
      <c r="J740" t="n">
        <v>0</v>
      </c>
      <c r="K740" t="n">
        <v>0</v>
      </c>
      <c r="L740" t="n">
        <v>0</v>
      </c>
      <c r="M740" t="n">
        <v>0</v>
      </c>
      <c r="N740" t="n">
        <v>0</v>
      </c>
      <c r="O740" t="n">
        <v>0</v>
      </c>
      <c r="P740" t="n">
        <v>0</v>
      </c>
      <c r="Q740" t="n">
        <v>0</v>
      </c>
      <c r="R740" s="2" t="inlineStr"/>
    </row>
    <row r="741" ht="15" customHeight="1">
      <c r="A741" t="inlineStr">
        <is>
          <t>A 25105-2026</t>
        </is>
      </c>
      <c r="B741" s="1" t="n">
        <v>46175.34893518518</v>
      </c>
      <c r="C741" s="1" t="n">
        <v>46179</v>
      </c>
      <c r="D741" t="inlineStr">
        <is>
          <t>KALMAR LÄN</t>
        </is>
      </c>
      <c r="E741" t="inlineStr">
        <is>
          <t>VIMMERBY</t>
        </is>
      </c>
      <c r="G741" t="n">
        <v>0.9</v>
      </c>
      <c r="H741" t="n">
        <v>0</v>
      </c>
      <c r="I741" t="n">
        <v>0</v>
      </c>
      <c r="J741" t="n">
        <v>0</v>
      </c>
      <c r="K741" t="n">
        <v>0</v>
      </c>
      <c r="L741" t="n">
        <v>0</v>
      </c>
      <c r="M741" t="n">
        <v>0</v>
      </c>
      <c r="N741" t="n">
        <v>0</v>
      </c>
      <c r="O741" t="n">
        <v>0</v>
      </c>
      <c r="P741" t="n">
        <v>0</v>
      </c>
      <c r="Q741" t="n">
        <v>0</v>
      </c>
      <c r="R741" s="2" t="inlineStr"/>
    </row>
    <row r="742" ht="15" customHeight="1">
      <c r="A742" t="inlineStr">
        <is>
          <t>A 25345-2026</t>
        </is>
      </c>
      <c r="B742" s="1" t="n">
        <v>46176.58015046296</v>
      </c>
      <c r="C742" s="1" t="n">
        <v>46179</v>
      </c>
      <c r="D742" t="inlineStr">
        <is>
          <t>KALMAR LÄN</t>
        </is>
      </c>
      <c r="E742" t="inlineStr">
        <is>
          <t>VIMMERBY</t>
        </is>
      </c>
      <c r="G742" t="n">
        <v>1.9</v>
      </c>
      <c r="H742" t="n">
        <v>0</v>
      </c>
      <c r="I742" t="n">
        <v>0</v>
      </c>
      <c r="J742" t="n">
        <v>0</v>
      </c>
      <c r="K742" t="n">
        <v>0</v>
      </c>
      <c r="L742" t="n">
        <v>0</v>
      </c>
      <c r="M742" t="n">
        <v>0</v>
      </c>
      <c r="N742" t="n">
        <v>0</v>
      </c>
      <c r="O742" t="n">
        <v>0</v>
      </c>
      <c r="P742" t="n">
        <v>0</v>
      </c>
      <c r="Q742" t="n">
        <v>0</v>
      </c>
      <c r="R742" s="2" t="inlineStr"/>
    </row>
    <row r="743" ht="15" customHeight="1">
      <c r="A743" t="inlineStr">
        <is>
          <t>A 25395-2026</t>
        </is>
      </c>
      <c r="B743" s="1" t="n">
        <v>46176.73450231482</v>
      </c>
      <c r="C743" s="1" t="n">
        <v>46179</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6321-2023</t>
        </is>
      </c>
      <c r="B744" s="1" t="n">
        <v>44965.4815162037</v>
      </c>
      <c r="C744" s="1" t="n">
        <v>46179</v>
      </c>
      <c r="D744" t="inlineStr">
        <is>
          <t>KALMAR LÄN</t>
        </is>
      </c>
      <c r="E744" t="inlineStr">
        <is>
          <t>VIMMERBY</t>
        </is>
      </c>
      <c r="G744" t="n">
        <v>1.8</v>
      </c>
      <c r="H744" t="n">
        <v>0</v>
      </c>
      <c r="I744" t="n">
        <v>0</v>
      </c>
      <c r="J744" t="n">
        <v>0</v>
      </c>
      <c r="K744" t="n">
        <v>0</v>
      </c>
      <c r="L744" t="n">
        <v>0</v>
      </c>
      <c r="M744" t="n">
        <v>0</v>
      </c>
      <c r="N744" t="n">
        <v>0</v>
      </c>
      <c r="O744" t="n">
        <v>0</v>
      </c>
      <c r="P744" t="n">
        <v>0</v>
      </c>
      <c r="Q744" t="n">
        <v>0</v>
      </c>
      <c r="R744" s="2" t="inlineStr"/>
    </row>
    <row r="745" ht="15" customHeight="1">
      <c r="A745" t="inlineStr">
        <is>
          <t>A 25158-2026</t>
        </is>
      </c>
      <c r="B745" s="1" t="n">
        <v>46175.45645833333</v>
      </c>
      <c r="C745" s="1" t="n">
        <v>46179</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36226-2025</t>
        </is>
      </c>
      <c r="B746" s="1" t="n">
        <v>45867.51630787037</v>
      </c>
      <c r="C746" s="1" t="n">
        <v>46179</v>
      </c>
      <c r="D746" t="inlineStr">
        <is>
          <t>KALMAR LÄN</t>
        </is>
      </c>
      <c r="E746" t="inlineStr">
        <is>
          <t>VIMMERBY</t>
        </is>
      </c>
      <c r="G746" t="n">
        <v>3.1</v>
      </c>
      <c r="H746" t="n">
        <v>0</v>
      </c>
      <c r="I746" t="n">
        <v>0</v>
      </c>
      <c r="J746" t="n">
        <v>0</v>
      </c>
      <c r="K746" t="n">
        <v>0</v>
      </c>
      <c r="L746" t="n">
        <v>0</v>
      </c>
      <c r="M746" t="n">
        <v>0</v>
      </c>
      <c r="N746" t="n">
        <v>0</v>
      </c>
      <c r="O746" t="n">
        <v>0</v>
      </c>
      <c r="P746" t="n">
        <v>0</v>
      </c>
      <c r="Q746" t="n">
        <v>0</v>
      </c>
      <c r="R746" s="2" t="inlineStr"/>
    </row>
    <row r="747" ht="15" customHeight="1">
      <c r="A747" t="inlineStr">
        <is>
          <t>A 37088-2025</t>
        </is>
      </c>
      <c r="B747" s="1" t="n">
        <v>45875.45716435185</v>
      </c>
      <c r="C747" s="1" t="n">
        <v>46179</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37866-2025</t>
        </is>
      </c>
      <c r="B748" s="1" t="n">
        <v>45881</v>
      </c>
      <c r="C748" s="1" t="n">
        <v>46179</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20018-2026</t>
        </is>
      </c>
      <c r="B749" s="1" t="n">
        <v>46136.50282407407</v>
      </c>
      <c r="C749" s="1" t="n">
        <v>46179</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52755-2022</t>
        </is>
      </c>
      <c r="B750" s="1" t="n">
        <v>44875.27736111111</v>
      </c>
      <c r="C750" s="1" t="n">
        <v>46179</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3292-2026</t>
        </is>
      </c>
      <c r="B751" s="1" t="n">
        <v>46041</v>
      </c>
      <c r="C751" s="1" t="n">
        <v>46179</v>
      </c>
      <c r="D751" t="inlineStr">
        <is>
          <t>KALMAR LÄN</t>
        </is>
      </c>
      <c r="E751" t="inlineStr">
        <is>
          <t>VIMMERBY</t>
        </is>
      </c>
      <c r="G751" t="n">
        <v>3.9</v>
      </c>
      <c r="H751" t="n">
        <v>0</v>
      </c>
      <c r="I751" t="n">
        <v>0</v>
      </c>
      <c r="J751" t="n">
        <v>0</v>
      </c>
      <c r="K751" t="n">
        <v>0</v>
      </c>
      <c r="L751" t="n">
        <v>0</v>
      </c>
      <c r="M751" t="n">
        <v>0</v>
      </c>
      <c r="N751" t="n">
        <v>0</v>
      </c>
      <c r="O751" t="n">
        <v>0</v>
      </c>
      <c r="P751" t="n">
        <v>0</v>
      </c>
      <c r="Q751" t="n">
        <v>0</v>
      </c>
      <c r="R751" s="2" t="inlineStr"/>
    </row>
    <row r="752" ht="15" customHeight="1">
      <c r="A752" t="inlineStr">
        <is>
          <t>A 40823-2023</t>
        </is>
      </c>
      <c r="B752" s="1" t="n">
        <v>45171.77335648148</v>
      </c>
      <c r="C752" s="1" t="n">
        <v>46179</v>
      </c>
      <c r="D752" t="inlineStr">
        <is>
          <t>KALMAR LÄN</t>
        </is>
      </c>
      <c r="E752" t="inlineStr">
        <is>
          <t>VIMMERBY</t>
        </is>
      </c>
      <c r="G752" t="n">
        <v>2.7</v>
      </c>
      <c r="H752" t="n">
        <v>0</v>
      </c>
      <c r="I752" t="n">
        <v>0</v>
      </c>
      <c r="J752" t="n">
        <v>0</v>
      </c>
      <c r="K752" t="n">
        <v>0</v>
      </c>
      <c r="L752" t="n">
        <v>0</v>
      </c>
      <c r="M752" t="n">
        <v>0</v>
      </c>
      <c r="N752" t="n">
        <v>0</v>
      </c>
      <c r="O752" t="n">
        <v>0</v>
      </c>
      <c r="P752" t="n">
        <v>0</v>
      </c>
      <c r="Q752" t="n">
        <v>0</v>
      </c>
      <c r="R752" s="2" t="inlineStr"/>
    </row>
    <row r="753" ht="15" customHeight="1">
      <c r="A753" t="inlineStr">
        <is>
          <t>A 34071-2025</t>
        </is>
      </c>
      <c r="B753" s="1" t="n">
        <v>45845.43803240741</v>
      </c>
      <c r="C753" s="1" t="n">
        <v>46179</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27761-2024</t>
        </is>
      </c>
      <c r="B754" s="1" t="n">
        <v>45475.49018518518</v>
      </c>
      <c r="C754" s="1" t="n">
        <v>46179</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21028-2023</t>
        </is>
      </c>
      <c r="B755" s="1" t="n">
        <v>45061</v>
      </c>
      <c r="C755" s="1" t="n">
        <v>46179</v>
      </c>
      <c r="D755" t="inlineStr">
        <is>
          <t>KALMAR LÄN</t>
        </is>
      </c>
      <c r="E755" t="inlineStr">
        <is>
          <t>VIMMERBY</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45114-2025</t>
        </is>
      </c>
      <c r="B756" s="1" t="n">
        <v>45919.42387731482</v>
      </c>
      <c r="C756" s="1" t="n">
        <v>46179</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64203-2021</t>
        </is>
      </c>
      <c r="B757" s="1" t="n">
        <v>44510.60921296296</v>
      </c>
      <c r="C757" s="1" t="n">
        <v>46179</v>
      </c>
      <c r="D757" t="inlineStr">
        <is>
          <t>KALMAR LÄN</t>
        </is>
      </c>
      <c r="E757" t="inlineStr">
        <is>
          <t>VIMMERBY</t>
        </is>
      </c>
      <c r="F757" t="inlineStr">
        <is>
          <t>Övriga Aktiebolag</t>
        </is>
      </c>
      <c r="G757" t="n">
        <v>5.4</v>
      </c>
      <c r="H757" t="n">
        <v>0</v>
      </c>
      <c r="I757" t="n">
        <v>0</v>
      </c>
      <c r="J757" t="n">
        <v>0</v>
      </c>
      <c r="K757" t="n">
        <v>0</v>
      </c>
      <c r="L757" t="n">
        <v>0</v>
      </c>
      <c r="M757" t="n">
        <v>0</v>
      </c>
      <c r="N757" t="n">
        <v>0</v>
      </c>
      <c r="O757" t="n">
        <v>0</v>
      </c>
      <c r="P757" t="n">
        <v>0</v>
      </c>
      <c r="Q757" t="n">
        <v>0</v>
      </c>
      <c r="R757" s="2" t="inlineStr"/>
    </row>
    <row r="758" ht="15" customHeight="1">
      <c r="A758" t="inlineStr">
        <is>
          <t>A 1016-2024</t>
        </is>
      </c>
      <c r="B758" s="1" t="n">
        <v>45301</v>
      </c>
      <c r="C758" s="1" t="n">
        <v>46179</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1024-2024</t>
        </is>
      </c>
      <c r="B759" s="1" t="n">
        <v>45301.68237268519</v>
      </c>
      <c r="C759" s="1" t="n">
        <v>46179</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27758-2024</t>
        </is>
      </c>
      <c r="B760" s="1" t="n">
        <v>45475.48303240741</v>
      </c>
      <c r="C760" s="1" t="n">
        <v>46179</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32865-2023</t>
        </is>
      </c>
      <c r="B761" s="1" t="n">
        <v>45124</v>
      </c>
      <c r="C761" s="1" t="n">
        <v>46179</v>
      </c>
      <c r="D761" t="inlineStr">
        <is>
          <t>KALMAR LÄN</t>
        </is>
      </c>
      <c r="E761" t="inlineStr">
        <is>
          <t>VIMMERBY</t>
        </is>
      </c>
      <c r="G761" t="n">
        <v>0.5</v>
      </c>
      <c r="H761" t="n">
        <v>0</v>
      </c>
      <c r="I761" t="n">
        <v>0</v>
      </c>
      <c r="J761" t="n">
        <v>0</v>
      </c>
      <c r="K761" t="n">
        <v>0</v>
      </c>
      <c r="L761" t="n">
        <v>0</v>
      </c>
      <c r="M761" t="n">
        <v>0</v>
      </c>
      <c r="N761" t="n">
        <v>0</v>
      </c>
      <c r="O761" t="n">
        <v>0</v>
      </c>
      <c r="P761" t="n">
        <v>0</v>
      </c>
      <c r="Q761" t="n">
        <v>0</v>
      </c>
      <c r="R761" s="2" t="inlineStr"/>
    </row>
    <row r="762" ht="15" customHeight="1">
      <c r="A762" t="inlineStr">
        <is>
          <t>A 17926-2025</t>
        </is>
      </c>
      <c r="B762" s="1" t="n">
        <v>45759.38987268518</v>
      </c>
      <c r="C762" s="1" t="n">
        <v>46179</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35127-2024</t>
        </is>
      </c>
      <c r="B763" s="1" t="n">
        <v>45530.33202546297</v>
      </c>
      <c r="C763" s="1" t="n">
        <v>46179</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33383-2023</t>
        </is>
      </c>
      <c r="B764" s="1" t="n">
        <v>45128.58414351852</v>
      </c>
      <c r="C764" s="1" t="n">
        <v>46179</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4297-2022</t>
        </is>
      </c>
      <c r="B765" s="1" t="n">
        <v>44588</v>
      </c>
      <c r="C765" s="1" t="n">
        <v>46179</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52294-2023</t>
        </is>
      </c>
      <c r="B766" s="1" t="n">
        <v>45224.60075231481</v>
      </c>
      <c r="C766" s="1" t="n">
        <v>46179</v>
      </c>
      <c r="D766" t="inlineStr">
        <is>
          <t>KALMAR LÄN</t>
        </is>
      </c>
      <c r="E766" t="inlineStr">
        <is>
          <t>VIMMERBY</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55716-2023</t>
        </is>
      </c>
      <c r="B767" s="1" t="n">
        <v>45232</v>
      </c>
      <c r="C767" s="1" t="n">
        <v>46179</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34386-2024</t>
        </is>
      </c>
      <c r="B768" s="1" t="n">
        <v>45525.41762731481</v>
      </c>
      <c r="C768" s="1" t="n">
        <v>46179</v>
      </c>
      <c r="D768" t="inlineStr">
        <is>
          <t>KALMAR LÄN</t>
        </is>
      </c>
      <c r="E768" t="inlineStr">
        <is>
          <t>VIMMERBY</t>
        </is>
      </c>
      <c r="G768" t="n">
        <v>0.3</v>
      </c>
      <c r="H768" t="n">
        <v>0</v>
      </c>
      <c r="I768" t="n">
        <v>0</v>
      </c>
      <c r="J768" t="n">
        <v>0</v>
      </c>
      <c r="K768" t="n">
        <v>0</v>
      </c>
      <c r="L768" t="n">
        <v>0</v>
      </c>
      <c r="M768" t="n">
        <v>0</v>
      </c>
      <c r="N768" t="n">
        <v>0</v>
      </c>
      <c r="O768" t="n">
        <v>0</v>
      </c>
      <c r="P768" t="n">
        <v>0</v>
      </c>
      <c r="Q768" t="n">
        <v>0</v>
      </c>
      <c r="R768" s="2" t="inlineStr"/>
    </row>
    <row r="769" ht="15" customHeight="1">
      <c r="A769" t="inlineStr">
        <is>
          <t>A 42429-2024</t>
        </is>
      </c>
      <c r="B769" s="1" t="n">
        <v>45565.40657407408</v>
      </c>
      <c r="C769" s="1" t="n">
        <v>46179</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11946-2025</t>
        </is>
      </c>
      <c r="B770" s="1" t="n">
        <v>45728.54832175926</v>
      </c>
      <c r="C770" s="1" t="n">
        <v>46179</v>
      </c>
      <c r="D770" t="inlineStr">
        <is>
          <t>KALMAR LÄN</t>
        </is>
      </c>
      <c r="E770" t="inlineStr">
        <is>
          <t>VIMMERBY</t>
        </is>
      </c>
      <c r="G770" t="n">
        <v>0.4</v>
      </c>
      <c r="H770" t="n">
        <v>0</v>
      </c>
      <c r="I770" t="n">
        <v>0</v>
      </c>
      <c r="J770" t="n">
        <v>0</v>
      </c>
      <c r="K770" t="n">
        <v>0</v>
      </c>
      <c r="L770" t="n">
        <v>0</v>
      </c>
      <c r="M770" t="n">
        <v>0</v>
      </c>
      <c r="N770" t="n">
        <v>0</v>
      </c>
      <c r="O770" t="n">
        <v>0</v>
      </c>
      <c r="P770" t="n">
        <v>0</v>
      </c>
      <c r="Q770" t="n">
        <v>0</v>
      </c>
      <c r="R770" s="2" t="inlineStr"/>
    </row>
    <row r="771" ht="15" customHeight="1">
      <c r="A771" t="inlineStr">
        <is>
          <t>A 26254-2025</t>
        </is>
      </c>
      <c r="B771" s="1" t="n">
        <v>45805</v>
      </c>
      <c r="C771" s="1" t="n">
        <v>46179</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59943-2023</t>
        </is>
      </c>
      <c r="B772" s="1" t="n">
        <v>45257.67958333333</v>
      </c>
      <c r="C772" s="1" t="n">
        <v>46179</v>
      </c>
      <c r="D772" t="inlineStr">
        <is>
          <t>KALMAR LÄN</t>
        </is>
      </c>
      <c r="E772" t="inlineStr">
        <is>
          <t>VIMMERBY</t>
        </is>
      </c>
      <c r="G772" t="n">
        <v>6.4</v>
      </c>
      <c r="H772" t="n">
        <v>0</v>
      </c>
      <c r="I772" t="n">
        <v>0</v>
      </c>
      <c r="J772" t="n">
        <v>0</v>
      </c>
      <c r="K772" t="n">
        <v>0</v>
      </c>
      <c r="L772" t="n">
        <v>0</v>
      </c>
      <c r="M772" t="n">
        <v>0</v>
      </c>
      <c r="N772" t="n">
        <v>0</v>
      </c>
      <c r="O772" t="n">
        <v>0</v>
      </c>
      <c r="P772" t="n">
        <v>0</v>
      </c>
      <c r="Q772" t="n">
        <v>0</v>
      </c>
      <c r="R772" s="2" t="inlineStr"/>
    </row>
    <row r="773" ht="15" customHeight="1">
      <c r="A773" t="inlineStr">
        <is>
          <t>A 15493-2023</t>
        </is>
      </c>
      <c r="B773" s="1" t="n">
        <v>45018</v>
      </c>
      <c r="C773" s="1" t="n">
        <v>46179</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51881-2024</t>
        </is>
      </c>
      <c r="B774" s="1" t="n">
        <v>45607.56773148148</v>
      </c>
      <c r="C774" s="1" t="n">
        <v>46179</v>
      </c>
      <c r="D774" t="inlineStr">
        <is>
          <t>KALMAR LÄN</t>
        </is>
      </c>
      <c r="E774" t="inlineStr">
        <is>
          <t>VIMMERBY</t>
        </is>
      </c>
      <c r="G774" t="n">
        <v>3.4</v>
      </c>
      <c r="H774" t="n">
        <v>0</v>
      </c>
      <c r="I774" t="n">
        <v>0</v>
      </c>
      <c r="J774" t="n">
        <v>0</v>
      </c>
      <c r="K774" t="n">
        <v>0</v>
      </c>
      <c r="L774" t="n">
        <v>0</v>
      </c>
      <c r="M774" t="n">
        <v>0</v>
      </c>
      <c r="N774" t="n">
        <v>0</v>
      </c>
      <c r="O774" t="n">
        <v>0</v>
      </c>
      <c r="P774" t="n">
        <v>0</v>
      </c>
      <c r="Q774" t="n">
        <v>0</v>
      </c>
      <c r="R774" s="2" t="inlineStr"/>
    </row>
    <row r="775" ht="15" customHeight="1">
      <c r="A775" t="inlineStr">
        <is>
          <t>A 1021-2024</t>
        </is>
      </c>
      <c r="B775" s="1" t="n">
        <v>45301.67736111111</v>
      </c>
      <c r="C775" s="1" t="n">
        <v>46179</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32569-2024</t>
        </is>
      </c>
      <c r="B776" s="1" t="n">
        <v>45513.55840277778</v>
      </c>
      <c r="C776" s="1" t="n">
        <v>46179</v>
      </c>
      <c r="D776" t="inlineStr">
        <is>
          <t>KALMAR LÄN</t>
        </is>
      </c>
      <c r="E776" t="inlineStr">
        <is>
          <t>VIMMERBY</t>
        </is>
      </c>
      <c r="G776" t="n">
        <v>3.7</v>
      </c>
      <c r="H776" t="n">
        <v>0</v>
      </c>
      <c r="I776" t="n">
        <v>0</v>
      </c>
      <c r="J776" t="n">
        <v>0</v>
      </c>
      <c r="K776" t="n">
        <v>0</v>
      </c>
      <c r="L776" t="n">
        <v>0</v>
      </c>
      <c r="M776" t="n">
        <v>0</v>
      </c>
      <c r="N776" t="n">
        <v>0</v>
      </c>
      <c r="O776" t="n">
        <v>0</v>
      </c>
      <c r="P776" t="n">
        <v>0</v>
      </c>
      <c r="Q776" t="n">
        <v>0</v>
      </c>
      <c r="R776" s="2" t="inlineStr"/>
    </row>
    <row r="777" ht="15" customHeight="1">
      <c r="A777" t="inlineStr">
        <is>
          <t>A 32575-2024</t>
        </is>
      </c>
      <c r="B777" s="1" t="n">
        <v>45513.56527777778</v>
      </c>
      <c r="C777" s="1" t="n">
        <v>46179</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30063-2023</t>
        </is>
      </c>
      <c r="B778" s="1" t="n">
        <v>45110.4184375</v>
      </c>
      <c r="C778" s="1" t="n">
        <v>46179</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17482-2024</t>
        </is>
      </c>
      <c r="B779" s="1" t="n">
        <v>45415.47848379629</v>
      </c>
      <c r="C779" s="1" t="n">
        <v>46179</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13817-2024</t>
        </is>
      </c>
      <c r="B780" s="1" t="n">
        <v>45391.41976851852</v>
      </c>
      <c r="C780" s="1" t="n">
        <v>46179</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30406-2023</t>
        </is>
      </c>
      <c r="B781" s="1" t="n">
        <v>45111.48787037037</v>
      </c>
      <c r="C781" s="1" t="n">
        <v>46179</v>
      </c>
      <c r="D781" t="inlineStr">
        <is>
          <t>KALMAR LÄN</t>
        </is>
      </c>
      <c r="E781" t="inlineStr">
        <is>
          <t>VIMMERBY</t>
        </is>
      </c>
      <c r="G781" t="n">
        <v>2.4</v>
      </c>
      <c r="H781" t="n">
        <v>0</v>
      </c>
      <c r="I781" t="n">
        <v>0</v>
      </c>
      <c r="J781" t="n">
        <v>0</v>
      </c>
      <c r="K781" t="n">
        <v>0</v>
      </c>
      <c r="L781" t="n">
        <v>0</v>
      </c>
      <c r="M781" t="n">
        <v>0</v>
      </c>
      <c r="N781" t="n">
        <v>0</v>
      </c>
      <c r="O781" t="n">
        <v>0</v>
      </c>
      <c r="P781" t="n">
        <v>0</v>
      </c>
      <c r="Q781" t="n">
        <v>0</v>
      </c>
      <c r="R781" s="2" t="inlineStr"/>
    </row>
    <row r="782" ht="15" customHeight="1">
      <c r="A782" t="inlineStr">
        <is>
          <t>A 29020-2024</t>
        </is>
      </c>
      <c r="B782" s="1" t="n">
        <v>45481.58048611111</v>
      </c>
      <c r="C782" s="1" t="n">
        <v>46179</v>
      </c>
      <c r="D782" t="inlineStr">
        <is>
          <t>KALMAR LÄN</t>
        </is>
      </c>
      <c r="E782" t="inlineStr">
        <is>
          <t>VIMMERBY</t>
        </is>
      </c>
      <c r="G782" t="n">
        <v>2.3</v>
      </c>
      <c r="H782" t="n">
        <v>0</v>
      </c>
      <c r="I782" t="n">
        <v>0</v>
      </c>
      <c r="J782" t="n">
        <v>0</v>
      </c>
      <c r="K782" t="n">
        <v>0</v>
      </c>
      <c r="L782" t="n">
        <v>0</v>
      </c>
      <c r="M782" t="n">
        <v>0</v>
      </c>
      <c r="N782" t="n">
        <v>0</v>
      </c>
      <c r="O782" t="n">
        <v>0</v>
      </c>
      <c r="P782" t="n">
        <v>0</v>
      </c>
      <c r="Q782" t="n">
        <v>0</v>
      </c>
      <c r="R782" s="2" t="inlineStr"/>
    </row>
    <row r="783" ht="15" customHeight="1">
      <c r="A783" t="inlineStr">
        <is>
          <t>A 25582-2024</t>
        </is>
      </c>
      <c r="B783" s="1" t="n">
        <v>45463</v>
      </c>
      <c r="C783" s="1" t="n">
        <v>46179</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57578-2024</t>
        </is>
      </c>
      <c r="B784" s="1" t="n">
        <v>45630.47564814815</v>
      </c>
      <c r="C784" s="1" t="n">
        <v>46179</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22397-2025</t>
        </is>
      </c>
      <c r="B785" s="1" t="n">
        <v>45786.52878472222</v>
      </c>
      <c r="C785" s="1" t="n">
        <v>46179</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11442-2025</t>
        </is>
      </c>
      <c r="B786" s="1" t="n">
        <v>45726.62721064815</v>
      </c>
      <c r="C786" s="1" t="n">
        <v>46179</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6307-2025</t>
        </is>
      </c>
      <c r="B787" s="1" t="n">
        <v>45698.69016203703</v>
      </c>
      <c r="C787" s="1" t="n">
        <v>46179</v>
      </c>
      <c r="D787" t="inlineStr">
        <is>
          <t>KALMAR LÄN</t>
        </is>
      </c>
      <c r="E787" t="inlineStr">
        <is>
          <t>VIMMERBY</t>
        </is>
      </c>
      <c r="G787" t="n">
        <v>3</v>
      </c>
      <c r="H787" t="n">
        <v>0</v>
      </c>
      <c r="I787" t="n">
        <v>0</v>
      </c>
      <c r="J787" t="n">
        <v>0</v>
      </c>
      <c r="K787" t="n">
        <v>0</v>
      </c>
      <c r="L787" t="n">
        <v>0</v>
      </c>
      <c r="M787" t="n">
        <v>0</v>
      </c>
      <c r="N787" t="n">
        <v>0</v>
      </c>
      <c r="O787" t="n">
        <v>0</v>
      </c>
      <c r="P787" t="n">
        <v>0</v>
      </c>
      <c r="Q787" t="n">
        <v>0</v>
      </c>
      <c r="R787" s="2" t="inlineStr"/>
    </row>
    <row r="788" ht="15" customHeight="1">
      <c r="A788" t="inlineStr">
        <is>
          <t>A 23394-2025</t>
        </is>
      </c>
      <c r="B788" s="1" t="n">
        <v>45791.89865740741</v>
      </c>
      <c r="C788" s="1" t="n">
        <v>46179</v>
      </c>
      <c r="D788" t="inlineStr">
        <is>
          <t>KALMAR LÄN</t>
        </is>
      </c>
      <c r="E788" t="inlineStr">
        <is>
          <t>VIMMERBY</t>
        </is>
      </c>
      <c r="G788" t="n">
        <v>3.1</v>
      </c>
      <c r="H788" t="n">
        <v>0</v>
      </c>
      <c r="I788" t="n">
        <v>0</v>
      </c>
      <c r="J788" t="n">
        <v>0</v>
      </c>
      <c r="K788" t="n">
        <v>0</v>
      </c>
      <c r="L788" t="n">
        <v>0</v>
      </c>
      <c r="M788" t="n">
        <v>0</v>
      </c>
      <c r="N788" t="n">
        <v>0</v>
      </c>
      <c r="O788" t="n">
        <v>0</v>
      </c>
      <c r="P788" t="n">
        <v>0</v>
      </c>
      <c r="Q788" t="n">
        <v>0</v>
      </c>
      <c r="R788" s="2" t="inlineStr"/>
    </row>
    <row r="789" ht="15" customHeight="1">
      <c r="A789" t="inlineStr">
        <is>
          <t>A 25830-2025</t>
        </is>
      </c>
      <c r="B789" s="1" t="n">
        <v>45804.44519675926</v>
      </c>
      <c r="C789" s="1" t="n">
        <v>46179</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47955-2025</t>
        </is>
      </c>
      <c r="B790" s="1" t="n">
        <v>45932.58896990741</v>
      </c>
      <c r="C790" s="1" t="n">
        <v>46179</v>
      </c>
      <c r="D790" t="inlineStr">
        <is>
          <t>KALMAR LÄN</t>
        </is>
      </c>
      <c r="E790" t="inlineStr">
        <is>
          <t>VIMMERBY</t>
        </is>
      </c>
      <c r="G790" t="n">
        <v>3.4</v>
      </c>
      <c r="H790" t="n">
        <v>0</v>
      </c>
      <c r="I790" t="n">
        <v>0</v>
      </c>
      <c r="J790" t="n">
        <v>0</v>
      </c>
      <c r="K790" t="n">
        <v>0</v>
      </c>
      <c r="L790" t="n">
        <v>0</v>
      </c>
      <c r="M790" t="n">
        <v>0</v>
      </c>
      <c r="N790" t="n">
        <v>0</v>
      </c>
      <c r="O790" t="n">
        <v>0</v>
      </c>
      <c r="P790" t="n">
        <v>0</v>
      </c>
      <c r="Q790" t="n">
        <v>0</v>
      </c>
      <c r="R790" s="2" t="inlineStr"/>
    </row>
    <row r="791" ht="15" customHeight="1">
      <c r="A791" t="inlineStr">
        <is>
          <t>A 36273-2025</t>
        </is>
      </c>
      <c r="B791" s="1" t="n">
        <v>45867.63094907408</v>
      </c>
      <c r="C791" s="1" t="n">
        <v>46179</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36282-2025</t>
        </is>
      </c>
      <c r="B792" s="1" t="n">
        <v>45867.64663194444</v>
      </c>
      <c r="C792" s="1" t="n">
        <v>46179</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31876-2025</t>
        </is>
      </c>
      <c r="B793" s="1" t="n">
        <v>45834.65197916667</v>
      </c>
      <c r="C793" s="1" t="n">
        <v>46179</v>
      </c>
      <c r="D793" t="inlineStr">
        <is>
          <t>KALMAR LÄN</t>
        </is>
      </c>
      <c r="E793" t="inlineStr">
        <is>
          <t>VIMMERBY</t>
        </is>
      </c>
      <c r="F793" t="inlineStr">
        <is>
          <t>Sveaskog</t>
        </is>
      </c>
      <c r="G793" t="n">
        <v>3.3</v>
      </c>
      <c r="H793" t="n">
        <v>0</v>
      </c>
      <c r="I793" t="n">
        <v>0</v>
      </c>
      <c r="J793" t="n">
        <v>0</v>
      </c>
      <c r="K793" t="n">
        <v>0</v>
      </c>
      <c r="L793" t="n">
        <v>0</v>
      </c>
      <c r="M793" t="n">
        <v>0</v>
      </c>
      <c r="N793" t="n">
        <v>0</v>
      </c>
      <c r="O793" t="n">
        <v>0</v>
      </c>
      <c r="P793" t="n">
        <v>0</v>
      </c>
      <c r="Q793" t="n">
        <v>0</v>
      </c>
      <c r="R793" s="2" t="inlineStr"/>
    </row>
    <row r="794" ht="15" customHeight="1">
      <c r="A794" t="inlineStr">
        <is>
          <t>A 58159-2024</t>
        </is>
      </c>
      <c r="B794" s="1" t="n">
        <v>45632.44886574074</v>
      </c>
      <c r="C794" s="1" t="n">
        <v>46179</v>
      </c>
      <c r="D794" t="inlineStr">
        <is>
          <t>KALMAR LÄN</t>
        </is>
      </c>
      <c r="E794" t="inlineStr">
        <is>
          <t>VIMMERBY</t>
        </is>
      </c>
      <c r="G794" t="n">
        <v>7.5</v>
      </c>
      <c r="H794" t="n">
        <v>0</v>
      </c>
      <c r="I794" t="n">
        <v>0</v>
      </c>
      <c r="J794" t="n">
        <v>0</v>
      </c>
      <c r="K794" t="n">
        <v>0</v>
      </c>
      <c r="L794" t="n">
        <v>0</v>
      </c>
      <c r="M794" t="n">
        <v>0</v>
      </c>
      <c r="N794" t="n">
        <v>0</v>
      </c>
      <c r="O794" t="n">
        <v>0</v>
      </c>
      <c r="P794" t="n">
        <v>0</v>
      </c>
      <c r="Q794" t="n">
        <v>0</v>
      </c>
      <c r="R794" s="2" t="inlineStr"/>
    </row>
    <row r="795" ht="15" customHeight="1">
      <c r="A795" t="inlineStr">
        <is>
          <t>A 32064-2025</t>
        </is>
      </c>
      <c r="B795" s="1" t="n">
        <v>45835.44709490741</v>
      </c>
      <c r="C795" s="1" t="n">
        <v>46179</v>
      </c>
      <c r="D795" t="inlineStr">
        <is>
          <t>KALMAR LÄN</t>
        </is>
      </c>
      <c r="E795" t="inlineStr">
        <is>
          <t>VIMMERBY</t>
        </is>
      </c>
      <c r="G795" t="n">
        <v>2.6</v>
      </c>
      <c r="H795" t="n">
        <v>0</v>
      </c>
      <c r="I795" t="n">
        <v>0</v>
      </c>
      <c r="J795" t="n">
        <v>0</v>
      </c>
      <c r="K795" t="n">
        <v>0</v>
      </c>
      <c r="L795" t="n">
        <v>0</v>
      </c>
      <c r="M795" t="n">
        <v>0</v>
      </c>
      <c r="N795" t="n">
        <v>0</v>
      </c>
      <c r="O795" t="n">
        <v>0</v>
      </c>
      <c r="P795" t="n">
        <v>0</v>
      </c>
      <c r="Q795" t="n">
        <v>0</v>
      </c>
      <c r="R795" s="2" t="inlineStr"/>
    </row>
    <row r="796" ht="15" customHeight="1">
      <c r="A796" t="inlineStr">
        <is>
          <t>A 20-2025</t>
        </is>
      </c>
      <c r="B796" s="1" t="n">
        <v>45658.80232638889</v>
      </c>
      <c r="C796" s="1" t="n">
        <v>46179</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20017-2026</t>
        </is>
      </c>
      <c r="B797" s="1" t="n">
        <v>46136.49986111111</v>
      </c>
      <c r="C797" s="1" t="n">
        <v>46179</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28282-2025</t>
        </is>
      </c>
      <c r="B798" s="1" t="n">
        <v>45818.58769675926</v>
      </c>
      <c r="C798" s="1" t="n">
        <v>46179</v>
      </c>
      <c r="D798" t="inlineStr">
        <is>
          <t>KALMAR LÄN</t>
        </is>
      </c>
      <c r="E798" t="inlineStr">
        <is>
          <t>VIMMERBY</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61937-2025</t>
        </is>
      </c>
      <c r="B799" s="1" t="n">
        <v>46003</v>
      </c>
      <c r="C799" s="1" t="n">
        <v>46179</v>
      </c>
      <c r="D799" t="inlineStr">
        <is>
          <t>KALMAR LÄN</t>
        </is>
      </c>
      <c r="E799" t="inlineStr">
        <is>
          <t>VIMMERBY</t>
        </is>
      </c>
      <c r="G799" t="n">
        <v>3.4</v>
      </c>
      <c r="H799" t="n">
        <v>0</v>
      </c>
      <c r="I799" t="n">
        <v>0</v>
      </c>
      <c r="J799" t="n">
        <v>0</v>
      </c>
      <c r="K799" t="n">
        <v>0</v>
      </c>
      <c r="L799" t="n">
        <v>0</v>
      </c>
      <c r="M799" t="n">
        <v>0</v>
      </c>
      <c r="N799" t="n">
        <v>0</v>
      </c>
      <c r="O799" t="n">
        <v>0</v>
      </c>
      <c r="P799" t="n">
        <v>0</v>
      </c>
      <c r="Q799" t="n">
        <v>0</v>
      </c>
      <c r="R799" s="2" t="inlineStr"/>
    </row>
    <row r="800" ht="15" customHeight="1">
      <c r="A800" t="inlineStr">
        <is>
          <t>A 36221-2025</t>
        </is>
      </c>
      <c r="B800" s="1" t="n">
        <v>45867.50792824074</v>
      </c>
      <c r="C800" s="1" t="n">
        <v>46179</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16015-2025</t>
        </is>
      </c>
      <c r="B801" s="1" t="n">
        <v>45749.60487268519</v>
      </c>
      <c r="C801" s="1" t="n">
        <v>46179</v>
      </c>
      <c r="D801" t="inlineStr">
        <is>
          <t>KALMAR LÄN</t>
        </is>
      </c>
      <c r="E801" t="inlineStr">
        <is>
          <t>VIMMERBY</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38969-2023</t>
        </is>
      </c>
      <c r="B802" s="1" t="n">
        <v>45163.63621527778</v>
      </c>
      <c r="C802" s="1" t="n">
        <v>46179</v>
      </c>
      <c r="D802" t="inlineStr">
        <is>
          <t>KALMAR LÄN</t>
        </is>
      </c>
      <c r="E802" t="inlineStr">
        <is>
          <t>VIMMERBY</t>
        </is>
      </c>
      <c r="F802" t="inlineStr">
        <is>
          <t>Sveaskog</t>
        </is>
      </c>
      <c r="G802" t="n">
        <v>2.4</v>
      </c>
      <c r="H802" t="n">
        <v>0</v>
      </c>
      <c r="I802" t="n">
        <v>0</v>
      </c>
      <c r="J802" t="n">
        <v>0</v>
      </c>
      <c r="K802" t="n">
        <v>0</v>
      </c>
      <c r="L802" t="n">
        <v>0</v>
      </c>
      <c r="M802" t="n">
        <v>0</v>
      </c>
      <c r="N802" t="n">
        <v>0</v>
      </c>
      <c r="O802" t="n">
        <v>0</v>
      </c>
      <c r="P802" t="n">
        <v>0</v>
      </c>
      <c r="Q802" t="n">
        <v>0</v>
      </c>
      <c r="R802" s="2" t="inlineStr"/>
    </row>
    <row r="803" ht="15" customHeight="1">
      <c r="A803" t="inlineStr">
        <is>
          <t>A 35597-2025</t>
        </is>
      </c>
      <c r="B803" s="1" t="n">
        <v>45858.66019675926</v>
      </c>
      <c r="C803" s="1" t="n">
        <v>46179</v>
      </c>
      <c r="D803" t="inlineStr">
        <is>
          <t>KALMAR LÄN</t>
        </is>
      </c>
      <c r="E803" t="inlineStr">
        <is>
          <t>VIMMERBY</t>
        </is>
      </c>
      <c r="G803" t="n">
        <v>6.4</v>
      </c>
      <c r="H803" t="n">
        <v>0</v>
      </c>
      <c r="I803" t="n">
        <v>0</v>
      </c>
      <c r="J803" t="n">
        <v>0</v>
      </c>
      <c r="K803" t="n">
        <v>0</v>
      </c>
      <c r="L803" t="n">
        <v>0</v>
      </c>
      <c r="M803" t="n">
        <v>0</v>
      </c>
      <c r="N803" t="n">
        <v>0</v>
      </c>
      <c r="O803" t="n">
        <v>0</v>
      </c>
      <c r="P803" t="n">
        <v>0</v>
      </c>
      <c r="Q803" t="n">
        <v>0</v>
      </c>
      <c r="R803" s="2" t="inlineStr"/>
    </row>
    <row r="804" ht="15" customHeight="1">
      <c r="A804" t="inlineStr">
        <is>
          <t>A 29727-2025</t>
        </is>
      </c>
      <c r="B804" s="1" t="n">
        <v>45825.5796875</v>
      </c>
      <c r="C804" s="1" t="n">
        <v>46179</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29783-2024</t>
        </is>
      </c>
      <c r="B805" s="1" t="n">
        <v>45485.45778935185</v>
      </c>
      <c r="C805" s="1" t="n">
        <v>46179</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46118-2025</t>
        </is>
      </c>
      <c r="B806" s="1" t="n">
        <v>45924.57697916667</v>
      </c>
      <c r="C806" s="1" t="n">
        <v>46179</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35596-2025</t>
        </is>
      </c>
      <c r="B807" s="1" t="n">
        <v>45858.60641203704</v>
      </c>
      <c r="C807" s="1" t="n">
        <v>46179</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45854-2025</t>
        </is>
      </c>
      <c r="B808" s="1" t="n">
        <v>45923</v>
      </c>
      <c r="C808" s="1" t="n">
        <v>46179</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c r="A809" t="inlineStr">
        <is>
          <t>A 60215-2022</t>
        </is>
      </c>
      <c r="B809" s="1" t="n">
        <v>44910.41346064815</v>
      </c>
      <c r="C809" s="1" t="n">
        <v>46179</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2026-06-06T10:38:21Z</dcterms:created>
  <dcterms:modified xmlns:dcterms="http://purl.org/dc/terms/" xmlns:xsi="http://www.w3.org/2001/XMLSchema-instance" xsi:type="dcterms:W3CDTF">2026-06-06T10:38:22Z</dcterms:modified>
</cp:coreProperties>
</file>