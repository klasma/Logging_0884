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46136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46136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46136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46136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46136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46136</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46136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55604-2025</t>
        </is>
      </c>
      <c r="B14" s="1" t="n">
        <v>45971</v>
      </c>
      <c r="C14" s="1" t="n">
        <v>46136</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7040-2026</t>
        </is>
      </c>
      <c r="B15" s="1" t="n">
        <v>46057.69520833333</v>
      </c>
      <c r="C15" s="1" t="n">
        <v>46136</v>
      </c>
      <c r="D15" t="inlineStr">
        <is>
          <t>KALMAR LÄN</t>
        </is>
      </c>
      <c r="E15" t="inlineStr">
        <is>
          <t>VIMMERBY</t>
        </is>
      </c>
      <c r="G15" t="n">
        <v>2.7</v>
      </c>
      <c r="H15" t="n">
        <v>4</v>
      </c>
      <c r="I15" t="n">
        <v>0</v>
      </c>
      <c r="J15" t="n">
        <v>2</v>
      </c>
      <c r="K15" t="n">
        <v>1</v>
      </c>
      <c r="L15" t="n">
        <v>0</v>
      </c>
      <c r="M15" t="n">
        <v>0</v>
      </c>
      <c r="N15" t="n">
        <v>0</v>
      </c>
      <c r="O15" t="n">
        <v>3</v>
      </c>
      <c r="P15" t="n">
        <v>1</v>
      </c>
      <c r="Q15" t="n">
        <v>4</v>
      </c>
      <c r="R15" s="2" t="inlineStr">
        <is>
          <t>Knärot
Spillkråka
Talltita
Tjäder</t>
        </is>
      </c>
      <c r="S15">
        <f>HYPERLINK("https://klasma.github.io/Logging_0884/artfynd/A 7040-2026 artfynd.xlsx", "A 7040-2026")</f>
        <v/>
      </c>
      <c r="T15">
        <f>HYPERLINK("https://klasma.github.io/Logging_0884/kartor/A 7040-2026 karta.png", "A 7040-2026")</f>
        <v/>
      </c>
      <c r="U15">
        <f>HYPERLINK("https://klasma.github.io/Logging_0884/knärot/A 7040-2026 karta knärot.png", "A 7040-2026")</f>
        <v/>
      </c>
      <c r="V15">
        <f>HYPERLINK("https://klasma.github.io/Logging_0884/klagomål/A 7040-2026 FSC-klagomål.docx", "A 7040-2026")</f>
        <v/>
      </c>
      <c r="W15">
        <f>HYPERLINK("https://klasma.github.io/Logging_0884/klagomålsmail/A 7040-2026 FSC-klagomål mail.docx", "A 7040-2026")</f>
        <v/>
      </c>
      <c r="X15">
        <f>HYPERLINK("https://klasma.github.io/Logging_0884/tillsyn/A 7040-2026 tillsynsbegäran.docx", "A 7040-2026")</f>
        <v/>
      </c>
      <c r="Y15">
        <f>HYPERLINK("https://klasma.github.io/Logging_0884/tillsynsmail/A 7040-2026 tillsynsbegäran mail.docx", "A 7040-2026")</f>
        <v/>
      </c>
      <c r="Z15">
        <f>HYPERLINK("https://klasma.github.io/Logging_0884/fåglar/A 7040-2026 prioriterade fågelarter.docx", "A 7040-2026")</f>
        <v/>
      </c>
    </row>
    <row r="16" ht="15" customHeight="1">
      <c r="A16" t="inlineStr">
        <is>
          <t>A 3075-2025</t>
        </is>
      </c>
      <c r="B16" s="1" t="n">
        <v>45678</v>
      </c>
      <c r="C16" s="1" t="n">
        <v>46136</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46824-2025</t>
        </is>
      </c>
      <c r="B17" s="1" t="n">
        <v>45926.90006944445</v>
      </c>
      <c r="C17" s="1" t="n">
        <v>46136</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37901-2022</t>
        </is>
      </c>
      <c r="B18" s="1" t="n">
        <v>44811</v>
      </c>
      <c r="C18" s="1" t="n">
        <v>46136</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46136</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46136</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46136</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46136</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46136</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46136</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46136</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22825-2023</t>
        </is>
      </c>
      <c r="B26" s="1" t="n">
        <v>45072</v>
      </c>
      <c r="C26" s="1" t="n">
        <v>46136</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17935-2025</t>
        </is>
      </c>
      <c r="B27" s="1" t="n">
        <v>45760.34877314815</v>
      </c>
      <c r="C27" s="1" t="n">
        <v>46136</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14426-2026</t>
        </is>
      </c>
      <c r="B28" s="1" t="n">
        <v>46100.46956018519</v>
      </c>
      <c r="C28" s="1" t="n">
        <v>46136</v>
      </c>
      <c r="D28" t="inlineStr">
        <is>
          <t>KALMAR LÄN</t>
        </is>
      </c>
      <c r="E28" t="inlineStr">
        <is>
          <t>VIMMERBY</t>
        </is>
      </c>
      <c r="F28" t="inlineStr">
        <is>
          <t>Kyrkan</t>
        </is>
      </c>
      <c r="G28" t="n">
        <v>8.6</v>
      </c>
      <c r="H28" t="n">
        <v>1</v>
      </c>
      <c r="I28" t="n">
        <v>0</v>
      </c>
      <c r="J28" t="n">
        <v>1</v>
      </c>
      <c r="K28" t="n">
        <v>1</v>
      </c>
      <c r="L28" t="n">
        <v>0</v>
      </c>
      <c r="M28" t="n">
        <v>0</v>
      </c>
      <c r="N28" t="n">
        <v>0</v>
      </c>
      <c r="O28" t="n">
        <v>2</v>
      </c>
      <c r="P28" t="n">
        <v>1</v>
      </c>
      <c r="Q28" t="n">
        <v>2</v>
      </c>
      <c r="R28" s="2" t="inlineStr">
        <is>
          <t>Knärot
Tallticka</t>
        </is>
      </c>
      <c r="S28">
        <f>HYPERLINK("https://klasma.github.io/Logging_0884/artfynd/A 14426-2026 artfynd.xlsx", "A 14426-2026")</f>
        <v/>
      </c>
      <c r="T28">
        <f>HYPERLINK("https://klasma.github.io/Logging_0884/kartor/A 14426-2026 karta.png", "A 14426-2026")</f>
        <v/>
      </c>
      <c r="U28">
        <f>HYPERLINK("https://klasma.github.io/Logging_0884/knärot/A 14426-2026 karta knärot.png", "A 14426-2026")</f>
        <v/>
      </c>
      <c r="V28">
        <f>HYPERLINK("https://klasma.github.io/Logging_0884/klagomål/A 14426-2026 FSC-klagomål.docx", "A 14426-2026")</f>
        <v/>
      </c>
      <c r="W28">
        <f>HYPERLINK("https://klasma.github.io/Logging_0884/klagomålsmail/A 14426-2026 FSC-klagomål mail.docx", "A 14426-2026")</f>
        <v/>
      </c>
      <c r="X28">
        <f>HYPERLINK("https://klasma.github.io/Logging_0884/tillsyn/A 14426-2026 tillsynsbegäran.docx", "A 14426-2026")</f>
        <v/>
      </c>
      <c r="Y28">
        <f>HYPERLINK("https://klasma.github.io/Logging_0884/tillsynsmail/A 14426-2026 tillsynsbegäran mail.docx", "A 14426-2026")</f>
        <v/>
      </c>
    </row>
    <row r="29" ht="15" customHeight="1">
      <c r="A29" t="inlineStr">
        <is>
          <t>A 40684-2025</t>
        </is>
      </c>
      <c r="B29" s="1" t="n">
        <v>45896.86820601852</v>
      </c>
      <c r="C29" s="1" t="n">
        <v>46136</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46136</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19158-2023</t>
        </is>
      </c>
      <c r="B31" s="1" t="n">
        <v>45048</v>
      </c>
      <c r="C31" s="1" t="n">
        <v>46136</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46136</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46136</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46136</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46136</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46136</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1201-2025</t>
        </is>
      </c>
      <c r="B37" s="1" t="n">
        <v>45667</v>
      </c>
      <c r="C37" s="1" t="n">
        <v>46136</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29183-2025</t>
        </is>
      </c>
      <c r="B38" s="1" t="n">
        <v>45821</v>
      </c>
      <c r="C38" s="1" t="n">
        <v>46136</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61860-2024</t>
        </is>
      </c>
      <c r="B39" s="1" t="n">
        <v>45649</v>
      </c>
      <c r="C39" s="1" t="n">
        <v>46136</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40083-2023</t>
        </is>
      </c>
      <c r="B40" s="1" t="n">
        <v>45168</v>
      </c>
      <c r="C40" s="1" t="n">
        <v>46136</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46136</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23602-2023</t>
        </is>
      </c>
      <c r="B42" s="1" t="n">
        <v>45077</v>
      </c>
      <c r="C42" s="1" t="n">
        <v>46136</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15122-2024</t>
        </is>
      </c>
      <c r="B43" s="1" t="n">
        <v>45399.71412037037</v>
      </c>
      <c r="C43" s="1" t="n">
        <v>46136</v>
      </c>
      <c r="D43" t="inlineStr">
        <is>
          <t>KALMAR LÄN</t>
        </is>
      </c>
      <c r="E43" t="inlineStr">
        <is>
          <t>VIMMERBY</t>
        </is>
      </c>
      <c r="G43" t="n">
        <v>1.7</v>
      </c>
      <c r="H43" t="n">
        <v>0</v>
      </c>
      <c r="I43" t="n">
        <v>0</v>
      </c>
      <c r="J43" t="n">
        <v>0</v>
      </c>
      <c r="K43" t="n">
        <v>1</v>
      </c>
      <c r="L43" t="n">
        <v>0</v>
      </c>
      <c r="M43" t="n">
        <v>0</v>
      </c>
      <c r="N43" t="n">
        <v>0</v>
      </c>
      <c r="O43" t="n">
        <v>1</v>
      </c>
      <c r="P43" t="n">
        <v>1</v>
      </c>
      <c r="Q43" t="n">
        <v>1</v>
      </c>
      <c r="R43" s="2" t="inlineStr">
        <is>
          <t>Sågfibbla</t>
        </is>
      </c>
      <c r="S43">
        <f>HYPERLINK("https://klasma.github.io/Logging_0884/artfynd/A 15122-2024 artfynd.xlsx", "A 15122-2024")</f>
        <v/>
      </c>
      <c r="T43">
        <f>HYPERLINK("https://klasma.github.io/Logging_0884/kartor/A 15122-2024 karta.png", "A 15122-2024")</f>
        <v/>
      </c>
      <c r="V43">
        <f>HYPERLINK("https://klasma.github.io/Logging_0884/klagomål/A 15122-2024 FSC-klagomål.docx", "A 15122-2024")</f>
        <v/>
      </c>
      <c r="W43">
        <f>HYPERLINK("https://klasma.github.io/Logging_0884/klagomålsmail/A 15122-2024 FSC-klagomål mail.docx", "A 15122-2024")</f>
        <v/>
      </c>
      <c r="X43">
        <f>HYPERLINK("https://klasma.github.io/Logging_0884/tillsyn/A 15122-2024 tillsynsbegäran.docx", "A 15122-2024")</f>
        <v/>
      </c>
      <c r="Y43">
        <f>HYPERLINK("https://klasma.github.io/Logging_0884/tillsynsmail/A 15122-2024 tillsynsbegäran mail.docx", "A 15122-2024")</f>
        <v/>
      </c>
    </row>
    <row r="44" ht="15" customHeight="1">
      <c r="A44" t="inlineStr">
        <is>
          <t>A 53400-2025</t>
        </is>
      </c>
      <c r="B44" s="1" t="n">
        <v>45959.56684027778</v>
      </c>
      <c r="C44" s="1" t="n">
        <v>46136</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53404-2025</t>
        </is>
      </c>
      <c r="B45" s="1" t="n">
        <v>45959.57126157408</v>
      </c>
      <c r="C45" s="1" t="n">
        <v>46136</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32985-2023</t>
        </is>
      </c>
      <c r="B46" s="1" t="n">
        <v>45125</v>
      </c>
      <c r="C46" s="1" t="n">
        <v>46136</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55384-2025</t>
        </is>
      </c>
      <c r="B47" s="1" t="n">
        <v>45971.43178240741</v>
      </c>
      <c r="C47" s="1" t="n">
        <v>46136</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28852-2023</t>
        </is>
      </c>
      <c r="B48" s="1" t="n">
        <v>45104</v>
      </c>
      <c r="C48" s="1" t="n">
        <v>46136</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57062-2025</t>
        </is>
      </c>
      <c r="B49" s="1" t="n">
        <v>45979.37598379629</v>
      </c>
      <c r="C49" s="1" t="n">
        <v>46136</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44515-2024</t>
        </is>
      </c>
      <c r="B50" s="1" t="n">
        <v>45574.42767361111</v>
      </c>
      <c r="C50" s="1" t="n">
        <v>46136</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9067-2025</t>
        </is>
      </c>
      <c r="B51" s="1" t="n">
        <v>45713</v>
      </c>
      <c r="C51" s="1" t="n">
        <v>46136</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52301-2023</t>
        </is>
      </c>
      <c r="B52" s="1" t="n">
        <v>45224</v>
      </c>
      <c r="C52" s="1" t="n">
        <v>46136</v>
      </c>
      <c r="D52" t="inlineStr">
        <is>
          <t>KALMAR LÄN</t>
        </is>
      </c>
      <c r="E52" t="inlineStr">
        <is>
          <t>VIMMERBY</t>
        </is>
      </c>
      <c r="G52" t="n">
        <v>5.3</v>
      </c>
      <c r="H52" t="n">
        <v>0</v>
      </c>
      <c r="I52" t="n">
        <v>0</v>
      </c>
      <c r="J52" t="n">
        <v>0</v>
      </c>
      <c r="K52" t="n">
        <v>0</v>
      </c>
      <c r="L52" t="n">
        <v>1</v>
      </c>
      <c r="M52" t="n">
        <v>0</v>
      </c>
      <c r="N52" t="n">
        <v>0</v>
      </c>
      <c r="O52" t="n">
        <v>1</v>
      </c>
      <c r="P52" t="n">
        <v>1</v>
      </c>
      <c r="Q52" t="n">
        <v>1</v>
      </c>
      <c r="R52" s="2" t="inlineStr">
        <is>
          <t>Ask</t>
        </is>
      </c>
      <c r="S52">
        <f>HYPERLINK("https://klasma.github.io/Logging_0884/artfynd/A 52301-2023 artfynd.xlsx", "A 52301-2023")</f>
        <v/>
      </c>
      <c r="T52">
        <f>HYPERLINK("https://klasma.github.io/Logging_0884/kartor/A 52301-2023 karta.png", "A 52301-2023")</f>
        <v/>
      </c>
      <c r="V52">
        <f>HYPERLINK("https://klasma.github.io/Logging_0884/klagomål/A 52301-2023 FSC-klagomål.docx", "A 52301-2023")</f>
        <v/>
      </c>
      <c r="W52">
        <f>HYPERLINK("https://klasma.github.io/Logging_0884/klagomålsmail/A 52301-2023 FSC-klagomål mail.docx", "A 52301-2023")</f>
        <v/>
      </c>
      <c r="X52">
        <f>HYPERLINK("https://klasma.github.io/Logging_0884/tillsyn/A 52301-2023 tillsynsbegäran.docx", "A 52301-2023")</f>
        <v/>
      </c>
      <c r="Y52">
        <f>HYPERLINK("https://klasma.github.io/Logging_0884/tillsynsmail/A 52301-2023 tillsynsbegäran mail.docx", "A 52301-2023")</f>
        <v/>
      </c>
    </row>
    <row r="53" ht="15" customHeight="1">
      <c r="A53" t="inlineStr">
        <is>
          <t>A 33436-2021</t>
        </is>
      </c>
      <c r="B53" s="1" t="n">
        <v>44377.61104166666</v>
      </c>
      <c r="C53" s="1" t="n">
        <v>46136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59070-2021</t>
        </is>
      </c>
      <c r="B54" s="1" t="n">
        <v>44490.38613425926</v>
      </c>
      <c r="C54" s="1" t="n">
        <v>46136</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46136</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46136</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46136</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46136</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46136</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46136</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46136</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46136</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46136</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46136</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46136</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56378-2021</t>
        </is>
      </c>
      <c r="B66" s="1" t="n">
        <v>44480</v>
      </c>
      <c r="C66" s="1" t="n">
        <v>46136</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46136</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40728-2022</t>
        </is>
      </c>
      <c r="B68" s="1" t="n">
        <v>44824.53434027778</v>
      </c>
      <c r="C68" s="1" t="n">
        <v>46136</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40073-2021</t>
        </is>
      </c>
      <c r="B69" s="1" t="n">
        <v>44418</v>
      </c>
      <c r="C69" s="1" t="n">
        <v>46136</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33051-2022</t>
        </is>
      </c>
      <c r="B70" s="1" t="n">
        <v>44785.40800925926</v>
      </c>
      <c r="C70" s="1" t="n">
        <v>46136</v>
      </c>
      <c r="D70" t="inlineStr">
        <is>
          <t>KALMAR LÄN</t>
        </is>
      </c>
      <c r="E70" t="inlineStr">
        <is>
          <t>VIMMERBY</t>
        </is>
      </c>
      <c r="G70" t="n">
        <v>0.3</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46136</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2183-2022</t>
        </is>
      </c>
      <c r="B72" s="1" t="n">
        <v>44578.47597222222</v>
      </c>
      <c r="C72" s="1" t="n">
        <v>46136</v>
      </c>
      <c r="D72" t="inlineStr">
        <is>
          <t>KALMAR LÄN</t>
        </is>
      </c>
      <c r="E72" t="inlineStr">
        <is>
          <t>VIMMERBY</t>
        </is>
      </c>
      <c r="G72" t="n">
        <v>4.8</v>
      </c>
      <c r="H72" t="n">
        <v>0</v>
      </c>
      <c r="I72" t="n">
        <v>0</v>
      </c>
      <c r="J72" t="n">
        <v>0</v>
      </c>
      <c r="K72" t="n">
        <v>0</v>
      </c>
      <c r="L72" t="n">
        <v>0</v>
      </c>
      <c r="M72" t="n">
        <v>0</v>
      </c>
      <c r="N72" t="n">
        <v>0</v>
      </c>
      <c r="O72" t="n">
        <v>0</v>
      </c>
      <c r="P72" t="n">
        <v>0</v>
      </c>
      <c r="Q72" t="n">
        <v>0</v>
      </c>
      <c r="R72" s="2" t="inlineStr"/>
    </row>
    <row r="73" ht="15" customHeight="1">
      <c r="A73" t="inlineStr">
        <is>
          <t>A 65670-2021</t>
        </is>
      </c>
      <c r="B73" s="1" t="n">
        <v>44516.59703703703</v>
      </c>
      <c r="C73" s="1" t="n">
        <v>46136</v>
      </c>
      <c r="D73" t="inlineStr">
        <is>
          <t>KALMAR LÄN</t>
        </is>
      </c>
      <c r="E73" t="inlineStr">
        <is>
          <t>VIMMERBY</t>
        </is>
      </c>
      <c r="G73" t="n">
        <v>1.9</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46136</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46136</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46136</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46136</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57416-2021</t>
        </is>
      </c>
      <c r="B78" s="1" t="n">
        <v>44483.58295138889</v>
      </c>
      <c r="C78" s="1" t="n">
        <v>46136</v>
      </c>
      <c r="D78" t="inlineStr">
        <is>
          <t>KALMAR LÄN</t>
        </is>
      </c>
      <c r="E78" t="inlineStr">
        <is>
          <t>VIMMERBY</t>
        </is>
      </c>
      <c r="G78" t="n">
        <v>2.9</v>
      </c>
      <c r="H78" t="n">
        <v>0</v>
      </c>
      <c r="I78" t="n">
        <v>0</v>
      </c>
      <c r="J78" t="n">
        <v>0</v>
      </c>
      <c r="K78" t="n">
        <v>0</v>
      </c>
      <c r="L78" t="n">
        <v>0</v>
      </c>
      <c r="M78" t="n">
        <v>0</v>
      </c>
      <c r="N78" t="n">
        <v>0</v>
      </c>
      <c r="O78" t="n">
        <v>0</v>
      </c>
      <c r="P78" t="n">
        <v>0</v>
      </c>
      <c r="Q78" t="n">
        <v>0</v>
      </c>
      <c r="R78" s="2" t="inlineStr"/>
    </row>
    <row r="79" ht="15" customHeight="1">
      <c r="A79" t="inlineStr">
        <is>
          <t>A 59791-2021</t>
        </is>
      </c>
      <c r="B79" s="1" t="n">
        <v>44494</v>
      </c>
      <c r="C79" s="1" t="n">
        <v>46136</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71626-2021</t>
        </is>
      </c>
      <c r="B80" s="1" t="n">
        <v>44542.8859375</v>
      </c>
      <c r="C80" s="1" t="n">
        <v>46136</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46136</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64923-2021</t>
        </is>
      </c>
      <c r="B82" s="1" t="n">
        <v>44512.70245370371</v>
      </c>
      <c r="C82" s="1" t="n">
        <v>46136</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33829-2022</t>
        </is>
      </c>
      <c r="B83" s="1" t="n">
        <v>44790</v>
      </c>
      <c r="C83" s="1" t="n">
        <v>46136</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68840-2021</t>
        </is>
      </c>
      <c r="B84" s="1" t="n">
        <v>44530.38055555556</v>
      </c>
      <c r="C84" s="1" t="n">
        <v>46136</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4118-2022</t>
        </is>
      </c>
      <c r="B85" s="1" t="n">
        <v>44588</v>
      </c>
      <c r="C85" s="1" t="n">
        <v>46136</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4126-2022</t>
        </is>
      </c>
      <c r="B86" s="1" t="n">
        <v>44588</v>
      </c>
      <c r="C86" s="1" t="n">
        <v>46136</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33820-2022</t>
        </is>
      </c>
      <c r="B87" s="1" t="n">
        <v>44790</v>
      </c>
      <c r="C87" s="1" t="n">
        <v>46136</v>
      </c>
      <c r="D87" t="inlineStr">
        <is>
          <t>KALMAR LÄN</t>
        </is>
      </c>
      <c r="E87" t="inlineStr">
        <is>
          <t>VIMMERBY</t>
        </is>
      </c>
      <c r="G87" t="n">
        <v>3</v>
      </c>
      <c r="H87" t="n">
        <v>0</v>
      </c>
      <c r="I87" t="n">
        <v>0</v>
      </c>
      <c r="J87" t="n">
        <v>0</v>
      </c>
      <c r="K87" t="n">
        <v>0</v>
      </c>
      <c r="L87" t="n">
        <v>0</v>
      </c>
      <c r="M87" t="n">
        <v>0</v>
      </c>
      <c r="N87" t="n">
        <v>0</v>
      </c>
      <c r="O87" t="n">
        <v>0</v>
      </c>
      <c r="P87" t="n">
        <v>0</v>
      </c>
      <c r="Q87" t="n">
        <v>0</v>
      </c>
      <c r="R87" s="2" t="inlineStr"/>
    </row>
    <row r="88" ht="15" customHeight="1">
      <c r="A88" t="inlineStr">
        <is>
          <t>A 33824-2022</t>
        </is>
      </c>
      <c r="B88" s="1" t="n">
        <v>44790.47628472222</v>
      </c>
      <c r="C88" s="1" t="n">
        <v>46136</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55297-2021</t>
        </is>
      </c>
      <c r="B89" s="1" t="n">
        <v>44475</v>
      </c>
      <c r="C89" s="1" t="n">
        <v>46136</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19863-2021</t>
        </is>
      </c>
      <c r="B90" s="1" t="n">
        <v>44312</v>
      </c>
      <c r="C90" s="1" t="n">
        <v>46136</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35531-2021</t>
        </is>
      </c>
      <c r="B91" s="1" t="n">
        <v>44385</v>
      </c>
      <c r="C91" s="1" t="n">
        <v>46136</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38789-2021</t>
        </is>
      </c>
      <c r="B92" s="1" t="n">
        <v>44410.71038194445</v>
      </c>
      <c r="C92" s="1" t="n">
        <v>46136</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16290-2022</t>
        </is>
      </c>
      <c r="B93" s="1" t="n">
        <v>44670</v>
      </c>
      <c r="C93" s="1" t="n">
        <v>46136</v>
      </c>
      <c r="D93" t="inlineStr">
        <is>
          <t>KALMAR LÄN</t>
        </is>
      </c>
      <c r="E93" t="inlineStr">
        <is>
          <t>VIMMERBY</t>
        </is>
      </c>
      <c r="G93" t="n">
        <v>1.2</v>
      </c>
      <c r="H93" t="n">
        <v>0</v>
      </c>
      <c r="I93" t="n">
        <v>0</v>
      </c>
      <c r="J93" t="n">
        <v>0</v>
      </c>
      <c r="K93" t="n">
        <v>0</v>
      </c>
      <c r="L93" t="n">
        <v>0</v>
      </c>
      <c r="M93" t="n">
        <v>0</v>
      </c>
      <c r="N93" t="n">
        <v>0</v>
      </c>
      <c r="O93" t="n">
        <v>0</v>
      </c>
      <c r="P93" t="n">
        <v>0</v>
      </c>
      <c r="Q93" t="n">
        <v>0</v>
      </c>
      <c r="R93" s="2" t="inlineStr"/>
    </row>
    <row r="94" ht="15" customHeight="1">
      <c r="A94" t="inlineStr">
        <is>
          <t>A 30682-2021</t>
        </is>
      </c>
      <c r="B94" s="1" t="n">
        <v>44365</v>
      </c>
      <c r="C94" s="1" t="n">
        <v>46136</v>
      </c>
      <c r="D94" t="inlineStr">
        <is>
          <t>KALMAR LÄN</t>
        </is>
      </c>
      <c r="E94" t="inlineStr">
        <is>
          <t>VIMMERBY</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25049-2022</t>
        </is>
      </c>
      <c r="B95" s="1" t="n">
        <v>44729.28226851852</v>
      </c>
      <c r="C95" s="1" t="n">
        <v>46136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24723-2021</t>
        </is>
      </c>
      <c r="B96" s="1" t="n">
        <v>44340.54472222222</v>
      </c>
      <c r="C96" s="1" t="n">
        <v>46136</v>
      </c>
      <c r="D96" t="inlineStr">
        <is>
          <t>KALMAR LÄN</t>
        </is>
      </c>
      <c r="E96" t="inlineStr">
        <is>
          <t>VIMMERBY</t>
        </is>
      </c>
      <c r="G96" t="n">
        <v>3.3</v>
      </c>
      <c r="H96" t="n">
        <v>0</v>
      </c>
      <c r="I96" t="n">
        <v>0</v>
      </c>
      <c r="J96" t="n">
        <v>0</v>
      </c>
      <c r="K96" t="n">
        <v>0</v>
      </c>
      <c r="L96" t="n">
        <v>0</v>
      </c>
      <c r="M96" t="n">
        <v>0</v>
      </c>
      <c r="N96" t="n">
        <v>0</v>
      </c>
      <c r="O96" t="n">
        <v>0</v>
      </c>
      <c r="P96" t="n">
        <v>0</v>
      </c>
      <c r="Q96" t="n">
        <v>0</v>
      </c>
      <c r="R96" s="2" t="inlineStr"/>
    </row>
    <row r="97" ht="15" customHeight="1">
      <c r="A97" t="inlineStr">
        <is>
          <t>A 24752-2021</t>
        </is>
      </c>
      <c r="B97" s="1" t="n">
        <v>44340</v>
      </c>
      <c r="C97" s="1" t="n">
        <v>46136</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31533-2022</t>
        </is>
      </c>
      <c r="B98" s="1" t="n">
        <v>44774</v>
      </c>
      <c r="C98" s="1" t="n">
        <v>46136</v>
      </c>
      <c r="D98" t="inlineStr">
        <is>
          <t>KALMAR LÄN</t>
        </is>
      </c>
      <c r="E98" t="inlineStr">
        <is>
          <t>VIMMERBY</t>
        </is>
      </c>
      <c r="G98" t="n">
        <v>2.5</v>
      </c>
      <c r="H98" t="n">
        <v>0</v>
      </c>
      <c r="I98" t="n">
        <v>0</v>
      </c>
      <c r="J98" t="n">
        <v>0</v>
      </c>
      <c r="K98" t="n">
        <v>0</v>
      </c>
      <c r="L98" t="n">
        <v>0</v>
      </c>
      <c r="M98" t="n">
        <v>0</v>
      </c>
      <c r="N98" t="n">
        <v>0</v>
      </c>
      <c r="O98" t="n">
        <v>0</v>
      </c>
      <c r="P98" t="n">
        <v>0</v>
      </c>
      <c r="Q98" t="n">
        <v>0</v>
      </c>
      <c r="R98" s="2" t="inlineStr"/>
    </row>
    <row r="99" ht="15" customHeight="1">
      <c r="A99" t="inlineStr">
        <is>
          <t>A 25859-2022</t>
        </is>
      </c>
      <c r="B99" s="1" t="n">
        <v>44733</v>
      </c>
      <c r="C99" s="1" t="n">
        <v>46136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25868-2022</t>
        </is>
      </c>
      <c r="B100" s="1" t="n">
        <v>44733</v>
      </c>
      <c r="C100" s="1" t="n">
        <v>46136</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32386-2021</t>
        </is>
      </c>
      <c r="B101" s="1" t="n">
        <v>44371.62743055556</v>
      </c>
      <c r="C101" s="1" t="n">
        <v>46136</v>
      </c>
      <c r="D101" t="inlineStr">
        <is>
          <t>KALMAR LÄN</t>
        </is>
      </c>
      <c r="E101" t="inlineStr">
        <is>
          <t>VIMMERBY</t>
        </is>
      </c>
      <c r="G101" t="n">
        <v>1.6</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46136</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46136</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46136</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4042-2022</t>
        </is>
      </c>
      <c r="B106" s="1" t="n">
        <v>44588</v>
      </c>
      <c r="C106" s="1" t="n">
        <v>46136</v>
      </c>
      <c r="D106" t="inlineStr">
        <is>
          <t>KALMAR LÄN</t>
        </is>
      </c>
      <c r="E106" t="inlineStr">
        <is>
          <t>VIMMERBY</t>
        </is>
      </c>
      <c r="G106" t="n">
        <v>4.7</v>
      </c>
      <c r="H106" t="n">
        <v>0</v>
      </c>
      <c r="I106" t="n">
        <v>0</v>
      </c>
      <c r="J106" t="n">
        <v>0</v>
      </c>
      <c r="K106" t="n">
        <v>0</v>
      </c>
      <c r="L106" t="n">
        <v>0</v>
      </c>
      <c r="M106" t="n">
        <v>0</v>
      </c>
      <c r="N106" t="n">
        <v>0</v>
      </c>
      <c r="O106" t="n">
        <v>0</v>
      </c>
      <c r="P106" t="n">
        <v>0</v>
      </c>
      <c r="Q106" t="n">
        <v>0</v>
      </c>
      <c r="R106" s="2" t="inlineStr"/>
    </row>
    <row r="107" ht="15" customHeight="1">
      <c r="A107" t="inlineStr">
        <is>
          <t>A 33690-2022</t>
        </is>
      </c>
      <c r="B107" s="1" t="n">
        <v>44789</v>
      </c>
      <c r="C107" s="1" t="n">
        <v>46136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35198-2021</t>
        </is>
      </c>
      <c r="B108" s="1" t="n">
        <v>44377</v>
      </c>
      <c r="C108" s="1" t="n">
        <v>46136</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34036-2021</t>
        </is>
      </c>
      <c r="B109" s="1" t="n">
        <v>44379</v>
      </c>
      <c r="C109" s="1" t="n">
        <v>46136</v>
      </c>
      <c r="D109" t="inlineStr">
        <is>
          <t>KALMAR LÄN</t>
        </is>
      </c>
      <c r="E109" t="inlineStr">
        <is>
          <t>VIMMERBY</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46136</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11814-2022</t>
        </is>
      </c>
      <c r="B111" s="1" t="n">
        <v>44634.69703703704</v>
      </c>
      <c r="C111" s="1" t="n">
        <v>46136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56385-2021</t>
        </is>
      </c>
      <c r="B112" s="1" t="n">
        <v>44480</v>
      </c>
      <c r="C112" s="1" t="n">
        <v>46136</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24738-2021</t>
        </is>
      </c>
      <c r="B113" s="1" t="n">
        <v>44340.58002314815</v>
      </c>
      <c r="C113" s="1" t="n">
        <v>46136</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31053-2022</t>
        </is>
      </c>
      <c r="B114" s="1" t="n">
        <v>44769.45422453704</v>
      </c>
      <c r="C114" s="1" t="n">
        <v>46136</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46136</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46136</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39959-2022</t>
        </is>
      </c>
      <c r="B117" s="1" t="n">
        <v>44819</v>
      </c>
      <c r="C117" s="1" t="n">
        <v>46136</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24999-2021</t>
        </is>
      </c>
      <c r="B118" s="1" t="n">
        <v>44341</v>
      </c>
      <c r="C118" s="1" t="n">
        <v>46136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7917-2022</t>
        </is>
      </c>
      <c r="B119" s="1" t="n">
        <v>44608</v>
      </c>
      <c r="C119" s="1" t="n">
        <v>46136</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46136</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56389-2021</t>
        </is>
      </c>
      <c r="B121" s="1" t="n">
        <v>44480</v>
      </c>
      <c r="C121" s="1" t="n">
        <v>46136</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46136</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15533-2022</t>
        </is>
      </c>
      <c r="B123" s="1" t="n">
        <v>44662</v>
      </c>
      <c r="C123" s="1" t="n">
        <v>46136</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165-2022</t>
        </is>
      </c>
      <c r="B124" s="1" t="n">
        <v>44564</v>
      </c>
      <c r="C124" s="1" t="n">
        <v>46136</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46136</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12107-2022</t>
        </is>
      </c>
      <c r="B126" s="1" t="n">
        <v>44636</v>
      </c>
      <c r="C126" s="1" t="n">
        <v>46136</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39225-2022</t>
        </is>
      </c>
      <c r="B127" s="1" t="n">
        <v>44817.57988425926</v>
      </c>
      <c r="C127" s="1" t="n">
        <v>46136</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46136</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7167-2022</t>
        </is>
      </c>
      <c r="B129" s="1" t="n">
        <v>44604</v>
      </c>
      <c r="C129" s="1" t="n">
        <v>46136</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35001-2021</t>
        </is>
      </c>
      <c r="B130" s="1" t="n">
        <v>44383</v>
      </c>
      <c r="C130" s="1" t="n">
        <v>46136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40077-2021</t>
        </is>
      </c>
      <c r="B131" s="1" t="n">
        <v>44418</v>
      </c>
      <c r="C131" s="1" t="n">
        <v>46136</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55674-2021</t>
        </is>
      </c>
      <c r="B132" s="1" t="n">
        <v>44476</v>
      </c>
      <c r="C132" s="1" t="n">
        <v>46136</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46136</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46136</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46136</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46136</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47708-2022</t>
        </is>
      </c>
      <c r="B137" s="1" t="n">
        <v>44854.59157407407</v>
      </c>
      <c r="C137" s="1" t="n">
        <v>46136</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33831-2022</t>
        </is>
      </c>
      <c r="B138" s="1" t="n">
        <v>44790.48503472222</v>
      </c>
      <c r="C138" s="1" t="n">
        <v>46136</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9918-2022</t>
        </is>
      </c>
      <c r="B139" s="1" t="n">
        <v>44620</v>
      </c>
      <c r="C139" s="1" t="n">
        <v>46136</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23825-2022</t>
        </is>
      </c>
      <c r="B140" s="1" t="n">
        <v>44722.48768518519</v>
      </c>
      <c r="C140" s="1" t="n">
        <v>46136</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47473-2021</t>
        </is>
      </c>
      <c r="B141" s="1" t="n">
        <v>44447</v>
      </c>
      <c r="C141" s="1" t="n">
        <v>46136</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41056-2022</t>
        </is>
      </c>
      <c r="B142" s="1" t="n">
        <v>44824</v>
      </c>
      <c r="C142" s="1" t="n">
        <v>46136</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31660-2021</t>
        </is>
      </c>
      <c r="B143" s="1" t="n">
        <v>44369</v>
      </c>
      <c r="C143" s="1" t="n">
        <v>46136</v>
      </c>
      <c r="D143" t="inlineStr">
        <is>
          <t>KALMAR LÄN</t>
        </is>
      </c>
      <c r="E143" t="inlineStr">
        <is>
          <t>VIMMERBY</t>
        </is>
      </c>
      <c r="G143" t="n">
        <v>4.2</v>
      </c>
      <c r="H143" t="n">
        <v>0</v>
      </c>
      <c r="I143" t="n">
        <v>0</v>
      </c>
      <c r="J143" t="n">
        <v>0</v>
      </c>
      <c r="K143" t="n">
        <v>0</v>
      </c>
      <c r="L143" t="n">
        <v>0</v>
      </c>
      <c r="M143" t="n">
        <v>0</v>
      </c>
      <c r="N143" t="n">
        <v>0</v>
      </c>
      <c r="O143" t="n">
        <v>0</v>
      </c>
      <c r="P143" t="n">
        <v>0</v>
      </c>
      <c r="Q143" t="n">
        <v>0</v>
      </c>
      <c r="R143" s="2" t="inlineStr"/>
    </row>
    <row r="144" ht="15" customHeight="1">
      <c r="A144" t="inlineStr">
        <is>
          <t>A 27455-2022</t>
        </is>
      </c>
      <c r="B144" s="1" t="n">
        <v>44742</v>
      </c>
      <c r="C144" s="1" t="n">
        <v>46136</v>
      </c>
      <c r="D144" t="inlineStr">
        <is>
          <t>KALMAR LÄN</t>
        </is>
      </c>
      <c r="E144" t="inlineStr">
        <is>
          <t>VIMMERBY</t>
        </is>
      </c>
      <c r="G144" t="n">
        <v>1.6</v>
      </c>
      <c r="H144" t="n">
        <v>0</v>
      </c>
      <c r="I144" t="n">
        <v>0</v>
      </c>
      <c r="J144" t="n">
        <v>0</v>
      </c>
      <c r="K144" t="n">
        <v>0</v>
      </c>
      <c r="L144" t="n">
        <v>0</v>
      </c>
      <c r="M144" t="n">
        <v>0</v>
      </c>
      <c r="N144" t="n">
        <v>0</v>
      </c>
      <c r="O144" t="n">
        <v>0</v>
      </c>
      <c r="P144" t="n">
        <v>0</v>
      </c>
      <c r="Q144" t="n">
        <v>0</v>
      </c>
      <c r="R144" s="2" t="inlineStr"/>
    </row>
    <row r="145" ht="15" customHeight="1">
      <c r="A145" t="inlineStr">
        <is>
          <t>A 36117-2021</t>
        </is>
      </c>
      <c r="B145" s="1" t="n">
        <v>44386</v>
      </c>
      <c r="C145" s="1" t="n">
        <v>46136</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42521-2021</t>
        </is>
      </c>
      <c r="B146" s="1" t="n">
        <v>44427</v>
      </c>
      <c r="C146" s="1" t="n">
        <v>46136</v>
      </c>
      <c r="D146" t="inlineStr">
        <is>
          <t>KALMAR LÄN</t>
        </is>
      </c>
      <c r="E146" t="inlineStr">
        <is>
          <t>VIMMERBY</t>
        </is>
      </c>
      <c r="G146" t="n">
        <v>5.4</v>
      </c>
      <c r="H146" t="n">
        <v>0</v>
      </c>
      <c r="I146" t="n">
        <v>0</v>
      </c>
      <c r="J146" t="n">
        <v>0</v>
      </c>
      <c r="K146" t="n">
        <v>0</v>
      </c>
      <c r="L146" t="n">
        <v>0</v>
      </c>
      <c r="M146" t="n">
        <v>0</v>
      </c>
      <c r="N146" t="n">
        <v>0</v>
      </c>
      <c r="O146" t="n">
        <v>0</v>
      </c>
      <c r="P146" t="n">
        <v>0</v>
      </c>
      <c r="Q146" t="n">
        <v>0</v>
      </c>
      <c r="R146" s="2" t="inlineStr"/>
    </row>
    <row r="147" ht="15" customHeight="1">
      <c r="A147" t="inlineStr">
        <is>
          <t>A 32603-2021</t>
        </is>
      </c>
      <c r="B147" s="1" t="n">
        <v>44375.38789351852</v>
      </c>
      <c r="C147" s="1" t="n">
        <v>46136</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46964-2022</t>
        </is>
      </c>
      <c r="B148" s="1" t="n">
        <v>44851.95016203704</v>
      </c>
      <c r="C148" s="1" t="n">
        <v>46136</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13180-2022</t>
        </is>
      </c>
      <c r="B149" s="1" t="n">
        <v>44644</v>
      </c>
      <c r="C149" s="1" t="n">
        <v>46136</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42850-2022</t>
        </is>
      </c>
      <c r="B150" s="1" t="n">
        <v>44832.67608796297</v>
      </c>
      <c r="C150" s="1" t="n">
        <v>46136</v>
      </c>
      <c r="D150" t="inlineStr">
        <is>
          <t>KALMAR LÄN</t>
        </is>
      </c>
      <c r="E150" t="inlineStr">
        <is>
          <t>VIMMERBY</t>
        </is>
      </c>
      <c r="G150" t="n">
        <v>5.9</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46136</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53145-2022</t>
        </is>
      </c>
      <c r="B152" s="1" t="n">
        <v>44876.48346064815</v>
      </c>
      <c r="C152" s="1" t="n">
        <v>46136</v>
      </c>
      <c r="D152" t="inlineStr">
        <is>
          <t>KALMAR LÄN</t>
        </is>
      </c>
      <c r="E152" t="inlineStr">
        <is>
          <t>VIMMERBY</t>
        </is>
      </c>
      <c r="G152" t="n">
        <v>0.4</v>
      </c>
      <c r="H152" t="n">
        <v>0</v>
      </c>
      <c r="I152" t="n">
        <v>0</v>
      </c>
      <c r="J152" t="n">
        <v>0</v>
      </c>
      <c r="K152" t="n">
        <v>0</v>
      </c>
      <c r="L152" t="n">
        <v>0</v>
      </c>
      <c r="M152" t="n">
        <v>0</v>
      </c>
      <c r="N152" t="n">
        <v>0</v>
      </c>
      <c r="O152" t="n">
        <v>0</v>
      </c>
      <c r="P152" t="n">
        <v>0</v>
      </c>
      <c r="Q152" t="n">
        <v>0</v>
      </c>
      <c r="R152" s="2" t="inlineStr"/>
    </row>
    <row r="153" ht="15" customHeight="1">
      <c r="A153" t="inlineStr">
        <is>
          <t>A 25738-2022</t>
        </is>
      </c>
      <c r="B153" s="1" t="n">
        <v>44733.43092592592</v>
      </c>
      <c r="C153" s="1" t="n">
        <v>46136</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8194-2022</t>
        </is>
      </c>
      <c r="B154" s="1" t="n">
        <v>44609</v>
      </c>
      <c r="C154" s="1" t="n">
        <v>46136</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40971-2021</t>
        </is>
      </c>
      <c r="B155" s="1" t="n">
        <v>44421</v>
      </c>
      <c r="C155" s="1" t="n">
        <v>46136</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8453-2022</t>
        </is>
      </c>
      <c r="B156" s="1" t="n">
        <v>44612.86554398148</v>
      </c>
      <c r="C156" s="1" t="n">
        <v>46136</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54065-2021</t>
        </is>
      </c>
      <c r="B157" s="1" t="n">
        <v>44470.44232638889</v>
      </c>
      <c r="C157" s="1" t="n">
        <v>46136</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52433-2021</t>
        </is>
      </c>
      <c r="B158" s="1" t="n">
        <v>44466.34726851852</v>
      </c>
      <c r="C158" s="1" t="n">
        <v>46136</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50621-2022</t>
        </is>
      </c>
      <c r="B159" s="1" t="n">
        <v>44866.81100694444</v>
      </c>
      <c r="C159" s="1" t="n">
        <v>46136</v>
      </c>
      <c r="D159" t="inlineStr">
        <is>
          <t>KALMAR LÄN</t>
        </is>
      </c>
      <c r="E159" t="inlineStr">
        <is>
          <t>VIMMERBY</t>
        </is>
      </c>
      <c r="F159" t="inlineStr">
        <is>
          <t>Övriga Aktiebolag</t>
        </is>
      </c>
      <c r="G159" t="n">
        <v>5.1</v>
      </c>
      <c r="H159" t="n">
        <v>0</v>
      </c>
      <c r="I159" t="n">
        <v>0</v>
      </c>
      <c r="J159" t="n">
        <v>0</v>
      </c>
      <c r="K159" t="n">
        <v>0</v>
      </c>
      <c r="L159" t="n">
        <v>0</v>
      </c>
      <c r="M159" t="n">
        <v>0</v>
      </c>
      <c r="N159" t="n">
        <v>0</v>
      </c>
      <c r="O159" t="n">
        <v>0</v>
      </c>
      <c r="P159" t="n">
        <v>0</v>
      </c>
      <c r="Q159" t="n">
        <v>0</v>
      </c>
      <c r="R159" s="2" t="inlineStr"/>
    </row>
    <row r="160" ht="15" customHeight="1">
      <c r="A160" t="inlineStr">
        <is>
          <t>A 31824-2022</t>
        </is>
      </c>
      <c r="B160" s="1" t="n">
        <v>44776</v>
      </c>
      <c r="C160" s="1" t="n">
        <v>46136</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11733-2022</t>
        </is>
      </c>
      <c r="B161" s="1" t="n">
        <v>44634</v>
      </c>
      <c r="C161" s="1" t="n">
        <v>46136</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7804-2022</t>
        </is>
      </c>
      <c r="B162" s="1" t="n">
        <v>44608.50458333334</v>
      </c>
      <c r="C162" s="1" t="n">
        <v>46136</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39042-2022</t>
        </is>
      </c>
      <c r="B163" s="1" t="n">
        <v>44817</v>
      </c>
      <c r="C163" s="1" t="n">
        <v>46136</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29441-2024</t>
        </is>
      </c>
      <c r="B164" s="1" t="n">
        <v>45483.82834490741</v>
      </c>
      <c r="C164" s="1" t="n">
        <v>46136</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25728-2023</t>
        </is>
      </c>
      <c r="B165" s="1" t="n">
        <v>45090.38012731481</v>
      </c>
      <c r="C165" s="1" t="n">
        <v>46136</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33359-2021</t>
        </is>
      </c>
      <c r="B166" s="1" t="n">
        <v>44377.49684027778</v>
      </c>
      <c r="C166" s="1" t="n">
        <v>46136</v>
      </c>
      <c r="D166" t="inlineStr">
        <is>
          <t>KALMAR LÄN</t>
        </is>
      </c>
      <c r="E166" t="inlineStr">
        <is>
          <t>VIMMERBY</t>
        </is>
      </c>
      <c r="F166" t="inlineStr">
        <is>
          <t>Kommuner</t>
        </is>
      </c>
      <c r="G166" t="n">
        <v>8</v>
      </c>
      <c r="H166" t="n">
        <v>0</v>
      </c>
      <c r="I166" t="n">
        <v>0</v>
      </c>
      <c r="J166" t="n">
        <v>0</v>
      </c>
      <c r="K166" t="n">
        <v>0</v>
      </c>
      <c r="L166" t="n">
        <v>0</v>
      </c>
      <c r="M166" t="n">
        <v>0</v>
      </c>
      <c r="N166" t="n">
        <v>0</v>
      </c>
      <c r="O166" t="n">
        <v>0</v>
      </c>
      <c r="P166" t="n">
        <v>0</v>
      </c>
      <c r="Q166" t="n">
        <v>0</v>
      </c>
      <c r="R166" s="2" t="inlineStr"/>
    </row>
    <row r="167" ht="15" customHeight="1">
      <c r="A167" t="inlineStr">
        <is>
          <t>A 52435-2021</t>
        </is>
      </c>
      <c r="B167" s="1" t="n">
        <v>44466.34962962963</v>
      </c>
      <c r="C167" s="1" t="n">
        <v>46136</v>
      </c>
      <c r="D167" t="inlineStr">
        <is>
          <t>KALMAR LÄN</t>
        </is>
      </c>
      <c r="E167" t="inlineStr">
        <is>
          <t>VIMMERBY</t>
        </is>
      </c>
      <c r="G167" t="n">
        <v>2.8</v>
      </c>
      <c r="H167" t="n">
        <v>0</v>
      </c>
      <c r="I167" t="n">
        <v>0</v>
      </c>
      <c r="J167" t="n">
        <v>0</v>
      </c>
      <c r="K167" t="n">
        <v>0</v>
      </c>
      <c r="L167" t="n">
        <v>0</v>
      </c>
      <c r="M167" t="n">
        <v>0</v>
      </c>
      <c r="N167" t="n">
        <v>0</v>
      </c>
      <c r="O167" t="n">
        <v>0</v>
      </c>
      <c r="P167" t="n">
        <v>0</v>
      </c>
      <c r="Q167" t="n">
        <v>0</v>
      </c>
      <c r="R167" s="2" t="inlineStr"/>
    </row>
    <row r="168" ht="15" customHeight="1">
      <c r="A168" t="inlineStr">
        <is>
          <t>A 29093-2023</t>
        </is>
      </c>
      <c r="B168" s="1" t="n">
        <v>45105</v>
      </c>
      <c r="C168" s="1" t="n">
        <v>46136</v>
      </c>
      <c r="D168" t="inlineStr">
        <is>
          <t>KALMAR LÄN</t>
        </is>
      </c>
      <c r="E168" t="inlineStr">
        <is>
          <t>VIMMERBY</t>
        </is>
      </c>
      <c r="G168" t="n">
        <v>2.9</v>
      </c>
      <c r="H168" t="n">
        <v>0</v>
      </c>
      <c r="I168" t="n">
        <v>0</v>
      </c>
      <c r="J168" t="n">
        <v>0</v>
      </c>
      <c r="K168" t="n">
        <v>0</v>
      </c>
      <c r="L168" t="n">
        <v>0</v>
      </c>
      <c r="M168" t="n">
        <v>0</v>
      </c>
      <c r="N168" t="n">
        <v>0</v>
      </c>
      <c r="O168" t="n">
        <v>0</v>
      </c>
      <c r="P168" t="n">
        <v>0</v>
      </c>
      <c r="Q168" t="n">
        <v>0</v>
      </c>
      <c r="R168" s="2" t="inlineStr"/>
    </row>
    <row r="169" ht="15" customHeight="1">
      <c r="A169" t="inlineStr">
        <is>
          <t>A 43038-2022</t>
        </is>
      </c>
      <c r="B169" s="1" t="n">
        <v>44833.60123842592</v>
      </c>
      <c r="C169" s="1" t="n">
        <v>46136</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50087-2023</t>
        </is>
      </c>
      <c r="B170" s="1" t="n">
        <v>45215.59743055556</v>
      </c>
      <c r="C170" s="1" t="n">
        <v>46136</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33681-2022</t>
        </is>
      </c>
      <c r="B171" s="1" t="n">
        <v>44789</v>
      </c>
      <c r="C171" s="1" t="n">
        <v>46136</v>
      </c>
      <c r="D171" t="inlineStr">
        <is>
          <t>KALMAR LÄN</t>
        </is>
      </c>
      <c r="E171" t="inlineStr">
        <is>
          <t>VIMMERBY</t>
        </is>
      </c>
      <c r="G171" t="n">
        <v>3.2</v>
      </c>
      <c r="H171" t="n">
        <v>0</v>
      </c>
      <c r="I171" t="n">
        <v>0</v>
      </c>
      <c r="J171" t="n">
        <v>0</v>
      </c>
      <c r="K171" t="n">
        <v>0</v>
      </c>
      <c r="L171" t="n">
        <v>0</v>
      </c>
      <c r="M171" t="n">
        <v>0</v>
      </c>
      <c r="N171" t="n">
        <v>0</v>
      </c>
      <c r="O171" t="n">
        <v>0</v>
      </c>
      <c r="P171" t="n">
        <v>0</v>
      </c>
      <c r="Q171" t="n">
        <v>0</v>
      </c>
      <c r="R171" s="2" t="inlineStr"/>
    </row>
    <row r="172" ht="15" customHeight="1">
      <c r="A172" t="inlineStr">
        <is>
          <t>A 16825-2024</t>
        </is>
      </c>
      <c r="B172" s="1" t="n">
        <v>45411.47335648148</v>
      </c>
      <c r="C172" s="1" t="n">
        <v>46136</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12033-2024</t>
        </is>
      </c>
      <c r="B173" s="1" t="n">
        <v>45377.40043981482</v>
      </c>
      <c r="C173" s="1" t="n">
        <v>46136</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6214-2025</t>
        </is>
      </c>
      <c r="B174" s="1" t="n">
        <v>45698.51711805556</v>
      </c>
      <c r="C174" s="1" t="n">
        <v>46136</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28395-2023</t>
        </is>
      </c>
      <c r="B175" s="1" t="n">
        <v>45100.4062962963</v>
      </c>
      <c r="C175" s="1" t="n">
        <v>46136</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49408-2023</t>
        </is>
      </c>
      <c r="B176" s="1" t="n">
        <v>45211.43555555555</v>
      </c>
      <c r="C176" s="1" t="n">
        <v>46136</v>
      </c>
      <c r="D176" t="inlineStr">
        <is>
          <t>KALMAR LÄN</t>
        </is>
      </c>
      <c r="E176" t="inlineStr">
        <is>
          <t>VIMMERBY</t>
        </is>
      </c>
      <c r="G176" t="n">
        <v>13.1</v>
      </c>
      <c r="H176" t="n">
        <v>0</v>
      </c>
      <c r="I176" t="n">
        <v>0</v>
      </c>
      <c r="J176" t="n">
        <v>0</v>
      </c>
      <c r="K176" t="n">
        <v>0</v>
      </c>
      <c r="L176" t="n">
        <v>0</v>
      </c>
      <c r="M176" t="n">
        <v>0</v>
      </c>
      <c r="N176" t="n">
        <v>0</v>
      </c>
      <c r="O176" t="n">
        <v>0</v>
      </c>
      <c r="P176" t="n">
        <v>0</v>
      </c>
      <c r="Q176" t="n">
        <v>0</v>
      </c>
      <c r="R176" s="2" t="inlineStr"/>
    </row>
    <row r="177" ht="15" customHeight="1">
      <c r="A177" t="inlineStr">
        <is>
          <t>A 27443-2023</t>
        </is>
      </c>
      <c r="B177" s="1" t="n">
        <v>45097.40524305555</v>
      </c>
      <c r="C177" s="1" t="n">
        <v>46136</v>
      </c>
      <c r="D177" t="inlineStr">
        <is>
          <t>KALMAR LÄN</t>
        </is>
      </c>
      <c r="E177" t="inlineStr">
        <is>
          <t>VIMMERBY</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18501-2024</t>
        </is>
      </c>
      <c r="B178" s="1" t="n">
        <v>45425.57538194444</v>
      </c>
      <c r="C178" s="1" t="n">
        <v>46136</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25799-2023</t>
        </is>
      </c>
      <c r="B179" s="1" t="n">
        <v>45090</v>
      </c>
      <c r="C179" s="1" t="n">
        <v>46136</v>
      </c>
      <c r="D179" t="inlineStr">
        <is>
          <t>KALMAR LÄN</t>
        </is>
      </c>
      <c r="E179" t="inlineStr">
        <is>
          <t>VIMMERBY</t>
        </is>
      </c>
      <c r="G179" t="n">
        <v>7.7</v>
      </c>
      <c r="H179" t="n">
        <v>0</v>
      </c>
      <c r="I179" t="n">
        <v>0</v>
      </c>
      <c r="J179" t="n">
        <v>0</v>
      </c>
      <c r="K179" t="n">
        <v>0</v>
      </c>
      <c r="L179" t="n">
        <v>0</v>
      </c>
      <c r="M179" t="n">
        <v>0</v>
      </c>
      <c r="N179" t="n">
        <v>0</v>
      </c>
      <c r="O179" t="n">
        <v>0</v>
      </c>
      <c r="P179" t="n">
        <v>0</v>
      </c>
      <c r="Q179" t="n">
        <v>0</v>
      </c>
      <c r="R179" s="2" t="inlineStr"/>
    </row>
    <row r="180" ht="15" customHeight="1">
      <c r="A180" t="inlineStr">
        <is>
          <t>A 57256-2023</t>
        </is>
      </c>
      <c r="B180" s="1" t="n">
        <v>45245.5735300926</v>
      </c>
      <c r="C180" s="1" t="n">
        <v>46136</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16015-2025</t>
        </is>
      </c>
      <c r="B181" s="1" t="n">
        <v>45749.60487268519</v>
      </c>
      <c r="C181" s="1" t="n">
        <v>46136</v>
      </c>
      <c r="D181" t="inlineStr">
        <is>
          <t>KALMAR LÄN</t>
        </is>
      </c>
      <c r="E181" t="inlineStr">
        <is>
          <t>VIMMERBY</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23088-2024</t>
        </is>
      </c>
      <c r="B182" s="1" t="n">
        <v>45450.51092592593</v>
      </c>
      <c r="C182" s="1" t="n">
        <v>46136</v>
      </c>
      <c r="D182" t="inlineStr">
        <is>
          <t>KALMAR LÄN</t>
        </is>
      </c>
      <c r="E182" t="inlineStr">
        <is>
          <t>VIMMERBY</t>
        </is>
      </c>
      <c r="G182" t="n">
        <v>1.9</v>
      </c>
      <c r="H182" t="n">
        <v>0</v>
      </c>
      <c r="I182" t="n">
        <v>0</v>
      </c>
      <c r="J182" t="n">
        <v>0</v>
      </c>
      <c r="K182" t="n">
        <v>0</v>
      </c>
      <c r="L182" t="n">
        <v>0</v>
      </c>
      <c r="M182" t="n">
        <v>0</v>
      </c>
      <c r="N182" t="n">
        <v>0</v>
      </c>
      <c r="O182" t="n">
        <v>0</v>
      </c>
      <c r="P182" t="n">
        <v>0</v>
      </c>
      <c r="Q182" t="n">
        <v>0</v>
      </c>
      <c r="R182" s="2" t="inlineStr"/>
    </row>
    <row r="183" ht="15" customHeight="1">
      <c r="A183" t="inlineStr">
        <is>
          <t>A 57189-2022</t>
        </is>
      </c>
      <c r="B183" s="1" t="n">
        <v>44895.62296296296</v>
      </c>
      <c r="C183" s="1" t="n">
        <v>46136</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1987-2024</t>
        </is>
      </c>
      <c r="B184" s="1" t="n">
        <v>45308.61152777778</v>
      </c>
      <c r="C184" s="1" t="n">
        <v>46136</v>
      </c>
      <c r="D184" t="inlineStr">
        <is>
          <t>KALMAR LÄN</t>
        </is>
      </c>
      <c r="E184" t="inlineStr">
        <is>
          <t>VIMMERBY</t>
        </is>
      </c>
      <c r="G184" t="n">
        <v>3</v>
      </c>
      <c r="H184" t="n">
        <v>0</v>
      </c>
      <c r="I184" t="n">
        <v>0</v>
      </c>
      <c r="J184" t="n">
        <v>0</v>
      </c>
      <c r="K184" t="n">
        <v>0</v>
      </c>
      <c r="L184" t="n">
        <v>0</v>
      </c>
      <c r="M184" t="n">
        <v>0</v>
      </c>
      <c r="N184" t="n">
        <v>0</v>
      </c>
      <c r="O184" t="n">
        <v>0</v>
      </c>
      <c r="P184" t="n">
        <v>0</v>
      </c>
      <c r="Q184" t="n">
        <v>0</v>
      </c>
      <c r="R184" s="2" t="inlineStr"/>
    </row>
    <row r="185" ht="15" customHeight="1">
      <c r="A185" t="inlineStr">
        <is>
          <t>A 527-2024</t>
        </is>
      </c>
      <c r="B185" s="1" t="n">
        <v>45299.47513888889</v>
      </c>
      <c r="C185" s="1" t="n">
        <v>46136</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37192-2024</t>
        </is>
      </c>
      <c r="B186" s="1" t="n">
        <v>45539.66027777778</v>
      </c>
      <c r="C186" s="1" t="n">
        <v>46136</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47063-2022</t>
        </is>
      </c>
      <c r="B187" s="1" t="n">
        <v>44852</v>
      </c>
      <c r="C187" s="1" t="n">
        <v>46136</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12819-2024</t>
        </is>
      </c>
      <c r="B188" s="1" t="n">
        <v>45384.66917824074</v>
      </c>
      <c r="C188" s="1" t="n">
        <v>46136</v>
      </c>
      <c r="D188" t="inlineStr">
        <is>
          <t>KALMAR LÄN</t>
        </is>
      </c>
      <c r="E188" t="inlineStr">
        <is>
          <t>VIMMERBY</t>
        </is>
      </c>
      <c r="G188" t="n">
        <v>5.1</v>
      </c>
      <c r="H188" t="n">
        <v>0</v>
      </c>
      <c r="I188" t="n">
        <v>0</v>
      </c>
      <c r="J188" t="n">
        <v>0</v>
      </c>
      <c r="K188" t="n">
        <v>0</v>
      </c>
      <c r="L188" t="n">
        <v>0</v>
      </c>
      <c r="M188" t="n">
        <v>0</v>
      </c>
      <c r="N188" t="n">
        <v>0</v>
      </c>
      <c r="O188" t="n">
        <v>0</v>
      </c>
      <c r="P188" t="n">
        <v>0</v>
      </c>
      <c r="Q188" t="n">
        <v>0</v>
      </c>
      <c r="R188" s="2" t="inlineStr"/>
    </row>
    <row r="189" ht="15" customHeight="1">
      <c r="A189" t="inlineStr">
        <is>
          <t>A 31382-2023</t>
        </is>
      </c>
      <c r="B189" s="1" t="n">
        <v>45114.55136574074</v>
      </c>
      <c r="C189" s="1" t="n">
        <v>46136</v>
      </c>
      <c r="D189" t="inlineStr">
        <is>
          <t>KALMAR LÄN</t>
        </is>
      </c>
      <c r="E189" t="inlineStr">
        <is>
          <t>VIMMERBY</t>
        </is>
      </c>
      <c r="G189" t="n">
        <v>3.7</v>
      </c>
      <c r="H189" t="n">
        <v>0</v>
      </c>
      <c r="I189" t="n">
        <v>0</v>
      </c>
      <c r="J189" t="n">
        <v>0</v>
      </c>
      <c r="K189" t="n">
        <v>0</v>
      </c>
      <c r="L189" t="n">
        <v>0</v>
      </c>
      <c r="M189" t="n">
        <v>0</v>
      </c>
      <c r="N189" t="n">
        <v>0</v>
      </c>
      <c r="O189" t="n">
        <v>0</v>
      </c>
      <c r="P189" t="n">
        <v>0</v>
      </c>
      <c r="Q189" t="n">
        <v>0</v>
      </c>
      <c r="R189" s="2" t="inlineStr"/>
    </row>
    <row r="190" ht="15" customHeight="1">
      <c r="A190" t="inlineStr">
        <is>
          <t>A 11073-2023</t>
        </is>
      </c>
      <c r="B190" s="1" t="n">
        <v>44992</v>
      </c>
      <c r="C190" s="1" t="n">
        <v>46136</v>
      </c>
      <c r="D190" t="inlineStr">
        <is>
          <t>KALMAR LÄN</t>
        </is>
      </c>
      <c r="E190" t="inlineStr">
        <is>
          <t>VIMMERBY</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61820-2023</t>
        </is>
      </c>
      <c r="B191" s="1" t="n">
        <v>45266.32614583334</v>
      </c>
      <c r="C191" s="1" t="n">
        <v>46136</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36802-2021</t>
        </is>
      </c>
      <c r="B192" s="1" t="n">
        <v>44392</v>
      </c>
      <c r="C192" s="1" t="n">
        <v>46136</v>
      </c>
      <c r="D192" t="inlineStr">
        <is>
          <t>KALMAR LÄN</t>
        </is>
      </c>
      <c r="E192" t="inlineStr">
        <is>
          <t>VIMMERBY</t>
        </is>
      </c>
      <c r="F192" t="inlineStr">
        <is>
          <t>Sveaskog</t>
        </is>
      </c>
      <c r="G192" t="n">
        <v>4.6</v>
      </c>
      <c r="H192" t="n">
        <v>0</v>
      </c>
      <c r="I192" t="n">
        <v>0</v>
      </c>
      <c r="J192" t="n">
        <v>0</v>
      </c>
      <c r="K192" t="n">
        <v>0</v>
      </c>
      <c r="L192" t="n">
        <v>0</v>
      </c>
      <c r="M192" t="n">
        <v>0</v>
      </c>
      <c r="N192" t="n">
        <v>0</v>
      </c>
      <c r="O192" t="n">
        <v>0</v>
      </c>
      <c r="P192" t="n">
        <v>0</v>
      </c>
      <c r="Q192" t="n">
        <v>0</v>
      </c>
      <c r="R192" s="2" t="inlineStr"/>
    </row>
    <row r="193" ht="15" customHeight="1">
      <c r="A193" t="inlineStr">
        <is>
          <t>A 59955-2023</t>
        </is>
      </c>
      <c r="B193" s="1" t="n">
        <v>45257.70313657408</v>
      </c>
      <c r="C193" s="1" t="n">
        <v>46136</v>
      </c>
      <c r="D193" t="inlineStr">
        <is>
          <t>KALMAR LÄN</t>
        </is>
      </c>
      <c r="E193" t="inlineStr">
        <is>
          <t>VIMMERBY</t>
        </is>
      </c>
      <c r="G193" t="n">
        <v>13.8</v>
      </c>
      <c r="H193" t="n">
        <v>0</v>
      </c>
      <c r="I193" t="n">
        <v>0</v>
      </c>
      <c r="J193" t="n">
        <v>0</v>
      </c>
      <c r="K193" t="n">
        <v>0</v>
      </c>
      <c r="L193" t="n">
        <v>0</v>
      </c>
      <c r="M193" t="n">
        <v>0</v>
      </c>
      <c r="N193" t="n">
        <v>0</v>
      </c>
      <c r="O193" t="n">
        <v>0</v>
      </c>
      <c r="P193" t="n">
        <v>0</v>
      </c>
      <c r="Q193" t="n">
        <v>0</v>
      </c>
      <c r="R193" s="2" t="inlineStr"/>
    </row>
    <row r="194" ht="15" customHeight="1">
      <c r="A194" t="inlineStr">
        <is>
          <t>A 3269-2024</t>
        </is>
      </c>
      <c r="B194" s="1" t="n">
        <v>45317.40372685185</v>
      </c>
      <c r="C194" s="1" t="n">
        <v>46136</v>
      </c>
      <c r="D194" t="inlineStr">
        <is>
          <t>KALMAR LÄN</t>
        </is>
      </c>
      <c r="E194" t="inlineStr">
        <is>
          <t>VIMMERBY</t>
        </is>
      </c>
      <c r="F194" t="inlineStr">
        <is>
          <t>Övriga Aktiebolag</t>
        </is>
      </c>
      <c r="G194" t="n">
        <v>1.7</v>
      </c>
      <c r="H194" t="n">
        <v>0</v>
      </c>
      <c r="I194" t="n">
        <v>0</v>
      </c>
      <c r="J194" t="n">
        <v>0</v>
      </c>
      <c r="K194" t="n">
        <v>0</v>
      </c>
      <c r="L194" t="n">
        <v>0</v>
      </c>
      <c r="M194" t="n">
        <v>0</v>
      </c>
      <c r="N194" t="n">
        <v>0</v>
      </c>
      <c r="O194" t="n">
        <v>0</v>
      </c>
      <c r="P194" t="n">
        <v>0</v>
      </c>
      <c r="Q194" t="n">
        <v>0</v>
      </c>
      <c r="R194" s="2" t="inlineStr"/>
    </row>
    <row r="195" ht="15" customHeight="1">
      <c r="A195" t="inlineStr">
        <is>
          <t>A 9418-2024</t>
        </is>
      </c>
      <c r="B195" s="1" t="n">
        <v>45359.45038194444</v>
      </c>
      <c r="C195" s="1" t="n">
        <v>46136</v>
      </c>
      <c r="D195" t="inlineStr">
        <is>
          <t>KALMAR LÄN</t>
        </is>
      </c>
      <c r="E195" t="inlineStr">
        <is>
          <t>VIMMERBY</t>
        </is>
      </c>
      <c r="G195" t="n">
        <v>1.9</v>
      </c>
      <c r="H195" t="n">
        <v>0</v>
      </c>
      <c r="I195" t="n">
        <v>0</v>
      </c>
      <c r="J195" t="n">
        <v>0</v>
      </c>
      <c r="K195" t="n">
        <v>0</v>
      </c>
      <c r="L195" t="n">
        <v>0</v>
      </c>
      <c r="M195" t="n">
        <v>0</v>
      </c>
      <c r="N195" t="n">
        <v>0</v>
      </c>
      <c r="O195" t="n">
        <v>0</v>
      </c>
      <c r="P195" t="n">
        <v>0</v>
      </c>
      <c r="Q195" t="n">
        <v>0</v>
      </c>
      <c r="R195" s="2" t="inlineStr"/>
    </row>
    <row r="196" ht="15" customHeight="1">
      <c r="A196" t="inlineStr">
        <is>
          <t>A 2157-2024</t>
        </is>
      </c>
      <c r="B196" s="1" t="n">
        <v>45309.59487268519</v>
      </c>
      <c r="C196" s="1" t="n">
        <v>46136</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9416-2024</t>
        </is>
      </c>
      <c r="B197" s="1" t="n">
        <v>45359.44837962963</v>
      </c>
      <c r="C197" s="1" t="n">
        <v>46136</v>
      </c>
      <c r="D197" t="inlineStr">
        <is>
          <t>KALMAR LÄN</t>
        </is>
      </c>
      <c r="E197" t="inlineStr">
        <is>
          <t>VIMMERBY</t>
        </is>
      </c>
      <c r="G197" t="n">
        <v>3.2</v>
      </c>
      <c r="H197" t="n">
        <v>0</v>
      </c>
      <c r="I197" t="n">
        <v>0</v>
      </c>
      <c r="J197" t="n">
        <v>0</v>
      </c>
      <c r="K197" t="n">
        <v>0</v>
      </c>
      <c r="L197" t="n">
        <v>0</v>
      </c>
      <c r="M197" t="n">
        <v>0</v>
      </c>
      <c r="N197" t="n">
        <v>0</v>
      </c>
      <c r="O197" t="n">
        <v>0</v>
      </c>
      <c r="P197" t="n">
        <v>0</v>
      </c>
      <c r="Q197" t="n">
        <v>0</v>
      </c>
      <c r="R197" s="2" t="inlineStr"/>
    </row>
    <row r="198" ht="15" customHeight="1">
      <c r="A198" t="inlineStr">
        <is>
          <t>A 58318-2021</t>
        </is>
      </c>
      <c r="B198" s="1" t="n">
        <v>44488.35878472222</v>
      </c>
      <c r="C198" s="1" t="n">
        <v>46136</v>
      </c>
      <c r="D198" t="inlineStr">
        <is>
          <t>KALMAR LÄN</t>
        </is>
      </c>
      <c r="E198" t="inlineStr">
        <is>
          <t>VIMMERBY</t>
        </is>
      </c>
      <c r="G198" t="n">
        <v>4</v>
      </c>
      <c r="H198" t="n">
        <v>0</v>
      </c>
      <c r="I198" t="n">
        <v>0</v>
      </c>
      <c r="J198" t="n">
        <v>0</v>
      </c>
      <c r="K198" t="n">
        <v>0</v>
      </c>
      <c r="L198" t="n">
        <v>0</v>
      </c>
      <c r="M198" t="n">
        <v>0</v>
      </c>
      <c r="N198" t="n">
        <v>0</v>
      </c>
      <c r="O198" t="n">
        <v>0</v>
      </c>
      <c r="P198" t="n">
        <v>0</v>
      </c>
      <c r="Q198" t="n">
        <v>0</v>
      </c>
      <c r="R198" s="2" t="inlineStr"/>
    </row>
    <row r="199" ht="15" customHeight="1">
      <c r="A199" t="inlineStr">
        <is>
          <t>A 53083-2021</t>
        </is>
      </c>
      <c r="B199" s="1" t="n">
        <v>44467.83386574074</v>
      </c>
      <c r="C199" s="1" t="n">
        <v>46136</v>
      </c>
      <c r="D199" t="inlineStr">
        <is>
          <t>KALMAR LÄN</t>
        </is>
      </c>
      <c r="E199" t="inlineStr">
        <is>
          <t>VIMMERBY</t>
        </is>
      </c>
      <c r="G199" t="n">
        <v>6.8</v>
      </c>
      <c r="H199" t="n">
        <v>0</v>
      </c>
      <c r="I199" t="n">
        <v>0</v>
      </c>
      <c r="J199" t="n">
        <v>0</v>
      </c>
      <c r="K199" t="n">
        <v>0</v>
      </c>
      <c r="L199" t="n">
        <v>0</v>
      </c>
      <c r="M199" t="n">
        <v>0</v>
      </c>
      <c r="N199" t="n">
        <v>0</v>
      </c>
      <c r="O199" t="n">
        <v>0</v>
      </c>
      <c r="P199" t="n">
        <v>0</v>
      </c>
      <c r="Q199" t="n">
        <v>0</v>
      </c>
      <c r="R199" s="2" t="inlineStr"/>
    </row>
    <row r="200" ht="15" customHeight="1">
      <c r="A200" t="inlineStr">
        <is>
          <t>A 29173-2024</t>
        </is>
      </c>
      <c r="B200" s="1" t="n">
        <v>45482.52887731481</v>
      </c>
      <c r="C200" s="1" t="n">
        <v>46136</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22197-2024</t>
        </is>
      </c>
      <c r="B201" s="1" t="n">
        <v>45446.36774305555</v>
      </c>
      <c r="C201" s="1" t="n">
        <v>46136</v>
      </c>
      <c r="D201" t="inlineStr">
        <is>
          <t>KALMAR LÄN</t>
        </is>
      </c>
      <c r="E201" t="inlineStr">
        <is>
          <t>VIMMERBY</t>
        </is>
      </c>
      <c r="F201" t="inlineStr">
        <is>
          <t>Sveaskog</t>
        </is>
      </c>
      <c r="G201" t="n">
        <v>3.2</v>
      </c>
      <c r="H201" t="n">
        <v>0</v>
      </c>
      <c r="I201" t="n">
        <v>0</v>
      </c>
      <c r="J201" t="n">
        <v>0</v>
      </c>
      <c r="K201" t="n">
        <v>0</v>
      </c>
      <c r="L201" t="n">
        <v>0</v>
      </c>
      <c r="M201" t="n">
        <v>0</v>
      </c>
      <c r="N201" t="n">
        <v>0</v>
      </c>
      <c r="O201" t="n">
        <v>0</v>
      </c>
      <c r="P201" t="n">
        <v>0</v>
      </c>
      <c r="Q201" t="n">
        <v>0</v>
      </c>
      <c r="R201" s="2" t="inlineStr"/>
    </row>
    <row r="202" ht="15" customHeight="1">
      <c r="A202" t="inlineStr">
        <is>
          <t>A 49313-2022</t>
        </is>
      </c>
      <c r="B202" s="1" t="n">
        <v>44861.52505787037</v>
      </c>
      <c r="C202" s="1" t="n">
        <v>46136</v>
      </c>
      <c r="D202" t="inlineStr">
        <is>
          <t>KALMAR LÄN</t>
        </is>
      </c>
      <c r="E202" t="inlineStr">
        <is>
          <t>VIMMERBY</t>
        </is>
      </c>
      <c r="G202" t="n">
        <v>1.9</v>
      </c>
      <c r="H202" t="n">
        <v>0</v>
      </c>
      <c r="I202" t="n">
        <v>0</v>
      </c>
      <c r="J202" t="n">
        <v>0</v>
      </c>
      <c r="K202" t="n">
        <v>0</v>
      </c>
      <c r="L202" t="n">
        <v>0</v>
      </c>
      <c r="M202" t="n">
        <v>0</v>
      </c>
      <c r="N202" t="n">
        <v>0</v>
      </c>
      <c r="O202" t="n">
        <v>0</v>
      </c>
      <c r="P202" t="n">
        <v>0</v>
      </c>
      <c r="Q202" t="n">
        <v>0</v>
      </c>
      <c r="R202" s="2" t="inlineStr"/>
    </row>
    <row r="203" ht="15" customHeight="1">
      <c r="A203" t="inlineStr">
        <is>
          <t>A 11111-2024</t>
        </is>
      </c>
      <c r="B203" s="1" t="n">
        <v>45371.36359953704</v>
      </c>
      <c r="C203" s="1" t="n">
        <v>46136</v>
      </c>
      <c r="D203" t="inlineStr">
        <is>
          <t>KALMAR LÄN</t>
        </is>
      </c>
      <c r="E203" t="inlineStr">
        <is>
          <t>VIMMERBY</t>
        </is>
      </c>
      <c r="G203" t="n">
        <v>1.4</v>
      </c>
      <c r="H203" t="n">
        <v>0</v>
      </c>
      <c r="I203" t="n">
        <v>0</v>
      </c>
      <c r="J203" t="n">
        <v>0</v>
      </c>
      <c r="K203" t="n">
        <v>0</v>
      </c>
      <c r="L203" t="n">
        <v>0</v>
      </c>
      <c r="M203" t="n">
        <v>0</v>
      </c>
      <c r="N203" t="n">
        <v>0</v>
      </c>
      <c r="O203" t="n">
        <v>0</v>
      </c>
      <c r="P203" t="n">
        <v>0</v>
      </c>
      <c r="Q203" t="n">
        <v>0</v>
      </c>
      <c r="R203" s="2" t="inlineStr"/>
    </row>
    <row r="204" ht="15" customHeight="1">
      <c r="A204" t="inlineStr">
        <is>
          <t>A 11141-2024</t>
        </is>
      </c>
      <c r="B204" s="1" t="n">
        <v>45371.45865740741</v>
      </c>
      <c r="C204" s="1" t="n">
        <v>46136</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35998-2024</t>
        </is>
      </c>
      <c r="B205" s="1" t="n">
        <v>45533.54429398148</v>
      </c>
      <c r="C205" s="1" t="n">
        <v>46136</v>
      </c>
      <c r="D205" t="inlineStr">
        <is>
          <t>KALMAR LÄN</t>
        </is>
      </c>
      <c r="E205" t="inlineStr">
        <is>
          <t>VIMMERBY</t>
        </is>
      </c>
      <c r="G205" t="n">
        <v>8.6</v>
      </c>
      <c r="H205" t="n">
        <v>0</v>
      </c>
      <c r="I205" t="n">
        <v>0</v>
      </c>
      <c r="J205" t="n">
        <v>0</v>
      </c>
      <c r="K205" t="n">
        <v>0</v>
      </c>
      <c r="L205" t="n">
        <v>0</v>
      </c>
      <c r="M205" t="n">
        <v>0</v>
      </c>
      <c r="N205" t="n">
        <v>0</v>
      </c>
      <c r="O205" t="n">
        <v>0</v>
      </c>
      <c r="P205" t="n">
        <v>0</v>
      </c>
      <c r="Q205" t="n">
        <v>0</v>
      </c>
      <c r="R205" s="2" t="inlineStr"/>
    </row>
    <row r="206" ht="15" customHeight="1">
      <c r="A206" t="inlineStr">
        <is>
          <t>A 36040-2024</t>
        </is>
      </c>
      <c r="B206" s="1" t="n">
        <v>45533.60232638889</v>
      </c>
      <c r="C206" s="1" t="n">
        <v>46136</v>
      </c>
      <c r="D206" t="inlineStr">
        <is>
          <t>KALMAR LÄN</t>
        </is>
      </c>
      <c r="E206" t="inlineStr">
        <is>
          <t>VIMMERBY</t>
        </is>
      </c>
      <c r="F206" t="inlineStr">
        <is>
          <t>Kommuner</t>
        </is>
      </c>
      <c r="G206" t="n">
        <v>3.6</v>
      </c>
      <c r="H206" t="n">
        <v>0</v>
      </c>
      <c r="I206" t="n">
        <v>0</v>
      </c>
      <c r="J206" t="n">
        <v>0</v>
      </c>
      <c r="K206" t="n">
        <v>0</v>
      </c>
      <c r="L206" t="n">
        <v>0</v>
      </c>
      <c r="M206" t="n">
        <v>0</v>
      </c>
      <c r="N206" t="n">
        <v>0</v>
      </c>
      <c r="O206" t="n">
        <v>0</v>
      </c>
      <c r="P206" t="n">
        <v>0</v>
      </c>
      <c r="Q206" t="n">
        <v>0</v>
      </c>
      <c r="R206" s="2" t="inlineStr"/>
    </row>
    <row r="207" ht="15" customHeight="1">
      <c r="A207" t="inlineStr">
        <is>
          <t>A 36043-2024</t>
        </is>
      </c>
      <c r="B207" s="1" t="n">
        <v>45533.60770833334</v>
      </c>
      <c r="C207" s="1" t="n">
        <v>46136</v>
      </c>
      <c r="D207" t="inlineStr">
        <is>
          <t>KALMAR LÄN</t>
        </is>
      </c>
      <c r="E207" t="inlineStr">
        <is>
          <t>VIMMERBY</t>
        </is>
      </c>
      <c r="F207" t="inlineStr">
        <is>
          <t>Kommuner</t>
        </is>
      </c>
      <c r="G207" t="n">
        <v>1.5</v>
      </c>
      <c r="H207" t="n">
        <v>0</v>
      </c>
      <c r="I207" t="n">
        <v>0</v>
      </c>
      <c r="J207" t="n">
        <v>0</v>
      </c>
      <c r="K207" t="n">
        <v>0</v>
      </c>
      <c r="L207" t="n">
        <v>0</v>
      </c>
      <c r="M207" t="n">
        <v>0</v>
      </c>
      <c r="N207" t="n">
        <v>0</v>
      </c>
      <c r="O207" t="n">
        <v>0</v>
      </c>
      <c r="P207" t="n">
        <v>0</v>
      </c>
      <c r="Q207" t="n">
        <v>0</v>
      </c>
      <c r="R207" s="2" t="inlineStr"/>
    </row>
    <row r="208" ht="15" customHeight="1">
      <c r="A208" t="inlineStr">
        <is>
          <t>A 35710-2023</t>
        </is>
      </c>
      <c r="B208" s="1" t="n">
        <v>45147.67096064815</v>
      </c>
      <c r="C208" s="1" t="n">
        <v>46136</v>
      </c>
      <c r="D208" t="inlineStr">
        <is>
          <t>KALMAR LÄN</t>
        </is>
      </c>
      <c r="E208" t="inlineStr">
        <is>
          <t>VIMMERBY</t>
        </is>
      </c>
      <c r="G208" t="n">
        <v>3.1</v>
      </c>
      <c r="H208" t="n">
        <v>0</v>
      </c>
      <c r="I208" t="n">
        <v>0</v>
      </c>
      <c r="J208" t="n">
        <v>0</v>
      </c>
      <c r="K208" t="n">
        <v>0</v>
      </c>
      <c r="L208" t="n">
        <v>0</v>
      </c>
      <c r="M208" t="n">
        <v>0</v>
      </c>
      <c r="N208" t="n">
        <v>0</v>
      </c>
      <c r="O208" t="n">
        <v>0</v>
      </c>
      <c r="P208" t="n">
        <v>0</v>
      </c>
      <c r="Q208" t="n">
        <v>0</v>
      </c>
      <c r="R208" s="2" t="inlineStr"/>
    </row>
    <row r="209" ht="15" customHeight="1">
      <c r="A209" t="inlineStr">
        <is>
          <t>A 35711-2023</t>
        </is>
      </c>
      <c r="B209" s="1" t="n">
        <v>45147.67172453704</v>
      </c>
      <c r="C209" s="1" t="n">
        <v>46136</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34588-2024</t>
        </is>
      </c>
      <c r="B210" s="1" t="n">
        <v>45526.3865625</v>
      </c>
      <c r="C210" s="1" t="n">
        <v>46136</v>
      </c>
      <c r="D210" t="inlineStr">
        <is>
          <t>KALMAR LÄN</t>
        </is>
      </c>
      <c r="E210" t="inlineStr">
        <is>
          <t>VIMMERBY</t>
        </is>
      </c>
      <c r="F210" t="inlineStr">
        <is>
          <t>Övriga Aktiebolag</t>
        </is>
      </c>
      <c r="G210" t="n">
        <v>3.3</v>
      </c>
      <c r="H210" t="n">
        <v>0</v>
      </c>
      <c r="I210" t="n">
        <v>0</v>
      </c>
      <c r="J210" t="n">
        <v>0</v>
      </c>
      <c r="K210" t="n">
        <v>0</v>
      </c>
      <c r="L210" t="n">
        <v>0</v>
      </c>
      <c r="M210" t="n">
        <v>0</v>
      </c>
      <c r="N210" t="n">
        <v>0</v>
      </c>
      <c r="O210" t="n">
        <v>0</v>
      </c>
      <c r="P210" t="n">
        <v>0</v>
      </c>
      <c r="Q210" t="n">
        <v>0</v>
      </c>
      <c r="R210" s="2" t="inlineStr"/>
    </row>
    <row r="211" ht="15" customHeight="1">
      <c r="A211" t="inlineStr">
        <is>
          <t>A 56659-2023</t>
        </is>
      </c>
      <c r="B211" s="1" t="n">
        <v>45243.84869212963</v>
      </c>
      <c r="C211" s="1" t="n">
        <v>46136</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3331-2023</t>
        </is>
      </c>
      <c r="B212" s="1" t="n">
        <v>44949</v>
      </c>
      <c r="C212" s="1" t="n">
        <v>46136</v>
      </c>
      <c r="D212" t="inlineStr">
        <is>
          <t>KALMAR LÄN</t>
        </is>
      </c>
      <c r="E212" t="inlineStr">
        <is>
          <t>VIMMERBY</t>
        </is>
      </c>
      <c r="G212" t="n">
        <v>6.2</v>
      </c>
      <c r="H212" t="n">
        <v>0</v>
      </c>
      <c r="I212" t="n">
        <v>0</v>
      </c>
      <c r="J212" t="n">
        <v>0</v>
      </c>
      <c r="K212" t="n">
        <v>0</v>
      </c>
      <c r="L212" t="n">
        <v>0</v>
      </c>
      <c r="M212" t="n">
        <v>0</v>
      </c>
      <c r="N212" t="n">
        <v>0</v>
      </c>
      <c r="O212" t="n">
        <v>0</v>
      </c>
      <c r="P212" t="n">
        <v>0</v>
      </c>
      <c r="Q212" t="n">
        <v>0</v>
      </c>
      <c r="R212" s="2" t="inlineStr"/>
    </row>
    <row r="213" ht="15" customHeight="1">
      <c r="A213" t="inlineStr">
        <is>
          <t>A 1687-2023</t>
        </is>
      </c>
      <c r="B213" s="1" t="n">
        <v>44938</v>
      </c>
      <c r="C213" s="1" t="n">
        <v>46136</v>
      </c>
      <c r="D213" t="inlineStr">
        <is>
          <t>KALMAR LÄN</t>
        </is>
      </c>
      <c r="E213" t="inlineStr">
        <is>
          <t>VIMMERBY</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16734-2023</t>
        </is>
      </c>
      <c r="B214" s="1" t="n">
        <v>45030.71012731481</v>
      </c>
      <c r="C214" s="1" t="n">
        <v>46136</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29440-2024</t>
        </is>
      </c>
      <c r="B215" s="1" t="n">
        <v>45483.82479166667</v>
      </c>
      <c r="C215" s="1" t="n">
        <v>46136</v>
      </c>
      <c r="D215" t="inlineStr">
        <is>
          <t>KALMAR LÄN</t>
        </is>
      </c>
      <c r="E215" t="inlineStr">
        <is>
          <t>VIMMERBY</t>
        </is>
      </c>
      <c r="G215" t="n">
        <v>4.5</v>
      </c>
      <c r="H215" t="n">
        <v>0</v>
      </c>
      <c r="I215" t="n">
        <v>0</v>
      </c>
      <c r="J215" t="n">
        <v>0</v>
      </c>
      <c r="K215" t="n">
        <v>0</v>
      </c>
      <c r="L215" t="n">
        <v>0</v>
      </c>
      <c r="M215" t="n">
        <v>0</v>
      </c>
      <c r="N215" t="n">
        <v>0</v>
      </c>
      <c r="O215" t="n">
        <v>0</v>
      </c>
      <c r="P215" t="n">
        <v>0</v>
      </c>
      <c r="Q215" t="n">
        <v>0</v>
      </c>
      <c r="R215" s="2" t="inlineStr"/>
    </row>
    <row r="216" ht="15" customHeight="1">
      <c r="A216" t="inlineStr">
        <is>
          <t>A 30921-2024</t>
        </is>
      </c>
      <c r="B216" s="1" t="n">
        <v>45498</v>
      </c>
      <c r="C216" s="1" t="n">
        <v>46136</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53482-2022</t>
        </is>
      </c>
      <c r="B217" s="1" t="n">
        <v>44879</v>
      </c>
      <c r="C217" s="1" t="n">
        <v>46136</v>
      </c>
      <c r="D217" t="inlineStr">
        <is>
          <t>KALMAR LÄN</t>
        </is>
      </c>
      <c r="E217" t="inlineStr">
        <is>
          <t>VIMMERBY</t>
        </is>
      </c>
      <c r="G217" t="n">
        <v>10.1</v>
      </c>
      <c r="H217" t="n">
        <v>0</v>
      </c>
      <c r="I217" t="n">
        <v>0</v>
      </c>
      <c r="J217" t="n">
        <v>0</v>
      </c>
      <c r="K217" t="n">
        <v>0</v>
      </c>
      <c r="L217" t="n">
        <v>0</v>
      </c>
      <c r="M217" t="n">
        <v>0</v>
      </c>
      <c r="N217" t="n">
        <v>0</v>
      </c>
      <c r="O217" t="n">
        <v>0</v>
      </c>
      <c r="P217" t="n">
        <v>0</v>
      </c>
      <c r="Q217" t="n">
        <v>0</v>
      </c>
      <c r="R217" s="2" t="inlineStr"/>
    </row>
    <row r="218" ht="15" customHeight="1">
      <c r="A218" t="inlineStr">
        <is>
          <t>A 40828-2023</t>
        </is>
      </c>
      <c r="B218" s="1" t="n">
        <v>45171.96248842592</v>
      </c>
      <c r="C218" s="1" t="n">
        <v>46136</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51278-2024</t>
        </is>
      </c>
      <c r="B219" s="1" t="n">
        <v>45603.74959490741</v>
      </c>
      <c r="C219" s="1" t="n">
        <v>46136</v>
      </c>
      <c r="D219" t="inlineStr">
        <is>
          <t>KALMAR LÄN</t>
        </is>
      </c>
      <c r="E219" t="inlineStr">
        <is>
          <t>VIMMERBY</t>
        </is>
      </c>
      <c r="G219" t="n">
        <v>3.4</v>
      </c>
      <c r="H219" t="n">
        <v>0</v>
      </c>
      <c r="I219" t="n">
        <v>0</v>
      </c>
      <c r="J219" t="n">
        <v>0</v>
      </c>
      <c r="K219" t="n">
        <v>0</v>
      </c>
      <c r="L219" t="n">
        <v>0</v>
      </c>
      <c r="M219" t="n">
        <v>0</v>
      </c>
      <c r="N219" t="n">
        <v>0</v>
      </c>
      <c r="O219" t="n">
        <v>0</v>
      </c>
      <c r="P219" t="n">
        <v>0</v>
      </c>
      <c r="Q219" t="n">
        <v>0</v>
      </c>
      <c r="R219" s="2" t="inlineStr"/>
    </row>
    <row r="220" ht="15" customHeight="1">
      <c r="A220" t="inlineStr">
        <is>
          <t>A 64143-2021</t>
        </is>
      </c>
      <c r="B220" s="1" t="n">
        <v>44510.52157407408</v>
      </c>
      <c r="C220" s="1" t="n">
        <v>46136</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9720-2023</t>
        </is>
      </c>
      <c r="B221" s="1" t="n">
        <v>44984</v>
      </c>
      <c r="C221" s="1" t="n">
        <v>46136</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5938-2022</t>
        </is>
      </c>
      <c r="B222" s="1" t="n">
        <v>44598</v>
      </c>
      <c r="C222" s="1" t="n">
        <v>46136</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35082-2024</t>
        </is>
      </c>
      <c r="B223" s="1" t="n">
        <v>45527.68784722222</v>
      </c>
      <c r="C223" s="1" t="n">
        <v>46136</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29180-2024</t>
        </is>
      </c>
      <c r="B224" s="1" t="n">
        <v>45482.54108796296</v>
      </c>
      <c r="C224" s="1" t="n">
        <v>46136</v>
      </c>
      <c r="D224" t="inlineStr">
        <is>
          <t>KALMAR LÄN</t>
        </is>
      </c>
      <c r="E224" t="inlineStr">
        <is>
          <t>VIMMERBY</t>
        </is>
      </c>
      <c r="G224" t="n">
        <v>3.8</v>
      </c>
      <c r="H224" t="n">
        <v>0</v>
      </c>
      <c r="I224" t="n">
        <v>0</v>
      </c>
      <c r="J224" t="n">
        <v>0</v>
      </c>
      <c r="K224" t="n">
        <v>0</v>
      </c>
      <c r="L224" t="n">
        <v>0</v>
      </c>
      <c r="M224" t="n">
        <v>0</v>
      </c>
      <c r="N224" t="n">
        <v>0</v>
      </c>
      <c r="O224" t="n">
        <v>0</v>
      </c>
      <c r="P224" t="n">
        <v>0</v>
      </c>
      <c r="Q224" t="n">
        <v>0</v>
      </c>
      <c r="R224" s="2" t="inlineStr"/>
    </row>
    <row r="225" ht="15" customHeight="1">
      <c r="A225" t="inlineStr">
        <is>
          <t>A 44582-2024</t>
        </is>
      </c>
      <c r="B225" s="1" t="n">
        <v>45574.49298611111</v>
      </c>
      <c r="C225" s="1" t="n">
        <v>46136</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9456-2025</t>
        </is>
      </c>
      <c r="B226" s="1" t="n">
        <v>45715.44159722222</v>
      </c>
      <c r="C226" s="1" t="n">
        <v>46136</v>
      </c>
      <c r="D226" t="inlineStr">
        <is>
          <t>KALMAR LÄN</t>
        </is>
      </c>
      <c r="E226" t="inlineStr">
        <is>
          <t>VIMMERBY</t>
        </is>
      </c>
      <c r="G226" t="n">
        <v>1.5</v>
      </c>
      <c r="H226" t="n">
        <v>0</v>
      </c>
      <c r="I226" t="n">
        <v>0</v>
      </c>
      <c r="J226" t="n">
        <v>0</v>
      </c>
      <c r="K226" t="n">
        <v>0</v>
      </c>
      <c r="L226" t="n">
        <v>0</v>
      </c>
      <c r="M226" t="n">
        <v>0</v>
      </c>
      <c r="N226" t="n">
        <v>0</v>
      </c>
      <c r="O226" t="n">
        <v>0</v>
      </c>
      <c r="P226" t="n">
        <v>0</v>
      </c>
      <c r="Q226" t="n">
        <v>0</v>
      </c>
      <c r="R226" s="2" t="inlineStr"/>
    </row>
    <row r="227" ht="15" customHeight="1">
      <c r="A227" t="inlineStr">
        <is>
          <t>A 409-2026</t>
        </is>
      </c>
      <c r="B227" s="1" t="n">
        <v>46028.69432870371</v>
      </c>
      <c r="C227" s="1" t="n">
        <v>46136</v>
      </c>
      <c r="D227" t="inlineStr">
        <is>
          <t>KALMAR LÄN</t>
        </is>
      </c>
      <c r="E227" t="inlineStr">
        <is>
          <t>VIMMERBY</t>
        </is>
      </c>
      <c r="G227" t="n">
        <v>2.2</v>
      </c>
      <c r="H227" t="n">
        <v>0</v>
      </c>
      <c r="I227" t="n">
        <v>0</v>
      </c>
      <c r="J227" t="n">
        <v>0</v>
      </c>
      <c r="K227" t="n">
        <v>0</v>
      </c>
      <c r="L227" t="n">
        <v>0</v>
      </c>
      <c r="M227" t="n">
        <v>0</v>
      </c>
      <c r="N227" t="n">
        <v>0</v>
      </c>
      <c r="O227" t="n">
        <v>0</v>
      </c>
      <c r="P227" t="n">
        <v>0</v>
      </c>
      <c r="Q227" t="n">
        <v>0</v>
      </c>
      <c r="R227" s="2" t="inlineStr"/>
    </row>
    <row r="228" ht="15" customHeight="1">
      <c r="A228" t="inlineStr">
        <is>
          <t>A 11111-2023</t>
        </is>
      </c>
      <c r="B228" s="1" t="n">
        <v>44992.4255787037</v>
      </c>
      <c r="C228" s="1" t="n">
        <v>46136</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406-2026</t>
        </is>
      </c>
      <c r="B229" s="1" t="n">
        <v>46028.68663194445</v>
      </c>
      <c r="C229" s="1" t="n">
        <v>46136</v>
      </c>
      <c r="D229" t="inlineStr">
        <is>
          <t>KALMAR LÄN</t>
        </is>
      </c>
      <c r="E229" t="inlineStr">
        <is>
          <t>VIMMERBY</t>
        </is>
      </c>
      <c r="G229" t="n">
        <v>1.8</v>
      </c>
      <c r="H229" t="n">
        <v>0</v>
      </c>
      <c r="I229" t="n">
        <v>0</v>
      </c>
      <c r="J229" t="n">
        <v>0</v>
      </c>
      <c r="K229" t="n">
        <v>0</v>
      </c>
      <c r="L229" t="n">
        <v>0</v>
      </c>
      <c r="M229" t="n">
        <v>0</v>
      </c>
      <c r="N229" t="n">
        <v>0</v>
      </c>
      <c r="O229" t="n">
        <v>0</v>
      </c>
      <c r="P229" t="n">
        <v>0</v>
      </c>
      <c r="Q229" t="n">
        <v>0</v>
      </c>
      <c r="R229" s="2" t="inlineStr"/>
    </row>
    <row r="230" ht="15" customHeight="1">
      <c r="A230" t="inlineStr">
        <is>
          <t>A 29783-2024</t>
        </is>
      </c>
      <c r="B230" s="1" t="n">
        <v>45485.45778935185</v>
      </c>
      <c r="C230" s="1" t="n">
        <v>46136</v>
      </c>
      <c r="D230" t="inlineStr">
        <is>
          <t>KALMAR LÄN</t>
        </is>
      </c>
      <c r="E230" t="inlineStr">
        <is>
          <t>VIMMERBY</t>
        </is>
      </c>
      <c r="G230" t="n">
        <v>3.1</v>
      </c>
      <c r="H230" t="n">
        <v>0</v>
      </c>
      <c r="I230" t="n">
        <v>0</v>
      </c>
      <c r="J230" t="n">
        <v>0</v>
      </c>
      <c r="K230" t="n">
        <v>0</v>
      </c>
      <c r="L230" t="n">
        <v>0</v>
      </c>
      <c r="M230" t="n">
        <v>0</v>
      </c>
      <c r="N230" t="n">
        <v>0</v>
      </c>
      <c r="O230" t="n">
        <v>0</v>
      </c>
      <c r="P230" t="n">
        <v>0</v>
      </c>
      <c r="Q230" t="n">
        <v>0</v>
      </c>
      <c r="R230" s="2" t="inlineStr"/>
    </row>
    <row r="231" ht="15" customHeight="1">
      <c r="A231" t="inlineStr">
        <is>
          <t>A 54838-2024</t>
        </is>
      </c>
      <c r="B231" s="1" t="n">
        <v>45618.56787037037</v>
      </c>
      <c r="C231" s="1" t="n">
        <v>46136</v>
      </c>
      <c r="D231" t="inlineStr">
        <is>
          <t>KALMAR LÄN</t>
        </is>
      </c>
      <c r="E231" t="inlineStr">
        <is>
          <t>VIMMERBY</t>
        </is>
      </c>
      <c r="G231" t="n">
        <v>3.3</v>
      </c>
      <c r="H231" t="n">
        <v>0</v>
      </c>
      <c r="I231" t="n">
        <v>0</v>
      </c>
      <c r="J231" t="n">
        <v>0</v>
      </c>
      <c r="K231" t="n">
        <v>0</v>
      </c>
      <c r="L231" t="n">
        <v>0</v>
      </c>
      <c r="M231" t="n">
        <v>0</v>
      </c>
      <c r="N231" t="n">
        <v>0</v>
      </c>
      <c r="O231" t="n">
        <v>0</v>
      </c>
      <c r="P231" t="n">
        <v>0</v>
      </c>
      <c r="Q231" t="n">
        <v>0</v>
      </c>
      <c r="R231" s="2" t="inlineStr"/>
    </row>
    <row r="232" ht="15" customHeight="1">
      <c r="A232" t="inlineStr">
        <is>
          <t>A 579-2026</t>
        </is>
      </c>
      <c r="B232" s="1" t="n">
        <v>46029.47912037037</v>
      </c>
      <c r="C232" s="1" t="n">
        <v>46136</v>
      </c>
      <c r="D232" t="inlineStr">
        <is>
          <t>KALMAR LÄN</t>
        </is>
      </c>
      <c r="E232" t="inlineStr">
        <is>
          <t>VIMMERBY</t>
        </is>
      </c>
      <c r="G232" t="n">
        <v>3</v>
      </c>
      <c r="H232" t="n">
        <v>0</v>
      </c>
      <c r="I232" t="n">
        <v>0</v>
      </c>
      <c r="J232" t="n">
        <v>0</v>
      </c>
      <c r="K232" t="n">
        <v>0</v>
      </c>
      <c r="L232" t="n">
        <v>0</v>
      </c>
      <c r="M232" t="n">
        <v>0</v>
      </c>
      <c r="N232" t="n">
        <v>0</v>
      </c>
      <c r="O232" t="n">
        <v>0</v>
      </c>
      <c r="P232" t="n">
        <v>0</v>
      </c>
      <c r="Q232" t="n">
        <v>0</v>
      </c>
      <c r="R232" s="2" t="inlineStr"/>
    </row>
    <row r="233" ht="15" customHeight="1">
      <c r="A233" t="inlineStr">
        <is>
          <t>A 58724-2024</t>
        </is>
      </c>
      <c r="B233" s="1" t="n">
        <v>45635.66409722222</v>
      </c>
      <c r="C233" s="1" t="n">
        <v>46136</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15494-2024</t>
        </is>
      </c>
      <c r="B234" s="1" t="n">
        <v>45401.53033564815</v>
      </c>
      <c r="C234" s="1" t="n">
        <v>46136</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25987-2024</t>
        </is>
      </c>
      <c r="B235" s="1" t="n">
        <v>45467.74417824074</v>
      </c>
      <c r="C235" s="1" t="n">
        <v>46136</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25109-2023</t>
        </is>
      </c>
      <c r="B236" s="1" t="n">
        <v>45086</v>
      </c>
      <c r="C236" s="1" t="n">
        <v>46136</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38604-2025</t>
        </is>
      </c>
      <c r="B237" s="1" t="n">
        <v>45884.50613425926</v>
      </c>
      <c r="C237" s="1" t="n">
        <v>46136</v>
      </c>
      <c r="D237" t="inlineStr">
        <is>
          <t>KALMAR LÄN</t>
        </is>
      </c>
      <c r="E237" t="inlineStr">
        <is>
          <t>VIMMERBY</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26039-2025</t>
        </is>
      </c>
      <c r="B238" s="1" t="n">
        <v>45804.6953587963</v>
      </c>
      <c r="C238" s="1" t="n">
        <v>46136</v>
      </c>
      <c r="D238" t="inlineStr">
        <is>
          <t>KALMAR LÄN</t>
        </is>
      </c>
      <c r="E238" t="inlineStr">
        <is>
          <t>VIMMERBY</t>
        </is>
      </c>
      <c r="F238" t="inlineStr">
        <is>
          <t>Sveaskog</t>
        </is>
      </c>
      <c r="G238" t="n">
        <v>5.2</v>
      </c>
      <c r="H238" t="n">
        <v>0</v>
      </c>
      <c r="I238" t="n">
        <v>0</v>
      </c>
      <c r="J238" t="n">
        <v>0</v>
      </c>
      <c r="K238" t="n">
        <v>0</v>
      </c>
      <c r="L238" t="n">
        <v>0</v>
      </c>
      <c r="M238" t="n">
        <v>0</v>
      </c>
      <c r="N238" t="n">
        <v>0</v>
      </c>
      <c r="O238" t="n">
        <v>0</v>
      </c>
      <c r="P238" t="n">
        <v>0</v>
      </c>
      <c r="Q238" t="n">
        <v>0</v>
      </c>
      <c r="R238" s="2" t="inlineStr"/>
    </row>
    <row r="239" ht="15" customHeight="1">
      <c r="A239" t="inlineStr">
        <is>
          <t>A 26046-2025</t>
        </is>
      </c>
      <c r="B239" s="1" t="n">
        <v>45804.708125</v>
      </c>
      <c r="C239" s="1" t="n">
        <v>46136</v>
      </c>
      <c r="D239" t="inlineStr">
        <is>
          <t>KALMAR LÄN</t>
        </is>
      </c>
      <c r="E239" t="inlineStr">
        <is>
          <t>VIMMERBY</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25792-2025</t>
        </is>
      </c>
      <c r="B240" s="1" t="n">
        <v>45804.39141203704</v>
      </c>
      <c r="C240" s="1" t="n">
        <v>46136</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62023-2022</t>
        </is>
      </c>
      <c r="B241" s="1" t="n">
        <v>44918.50106481482</v>
      </c>
      <c r="C241" s="1" t="n">
        <v>46136</v>
      </c>
      <c r="D241" t="inlineStr">
        <is>
          <t>KALMAR LÄN</t>
        </is>
      </c>
      <c r="E241" t="inlineStr">
        <is>
          <t>VIMMERBY</t>
        </is>
      </c>
      <c r="G241" t="n">
        <v>0.3</v>
      </c>
      <c r="H241" t="n">
        <v>0</v>
      </c>
      <c r="I241" t="n">
        <v>0</v>
      </c>
      <c r="J241" t="n">
        <v>0</v>
      </c>
      <c r="K241" t="n">
        <v>0</v>
      </c>
      <c r="L241" t="n">
        <v>0</v>
      </c>
      <c r="M241" t="n">
        <v>0</v>
      </c>
      <c r="N241" t="n">
        <v>0</v>
      </c>
      <c r="O241" t="n">
        <v>0</v>
      </c>
      <c r="P241" t="n">
        <v>0</v>
      </c>
      <c r="Q241" t="n">
        <v>0</v>
      </c>
      <c r="R241" s="2" t="inlineStr"/>
    </row>
    <row r="242" ht="15" customHeight="1">
      <c r="A242" t="inlineStr">
        <is>
          <t>A 842-2026</t>
        </is>
      </c>
      <c r="B242" s="1" t="n">
        <v>46030.380625</v>
      </c>
      <c r="C242" s="1" t="n">
        <v>46136</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1069-2026</t>
        </is>
      </c>
      <c r="B243" s="1" t="n">
        <v>46030</v>
      </c>
      <c r="C243" s="1" t="n">
        <v>46136</v>
      </c>
      <c r="D243" t="inlineStr">
        <is>
          <t>KALMAR LÄN</t>
        </is>
      </c>
      <c r="E243" t="inlineStr">
        <is>
          <t>VIMMERBY</t>
        </is>
      </c>
      <c r="G243" t="n">
        <v>3.3</v>
      </c>
      <c r="H243" t="n">
        <v>0</v>
      </c>
      <c r="I243" t="n">
        <v>0</v>
      </c>
      <c r="J243" t="n">
        <v>0</v>
      </c>
      <c r="K243" t="n">
        <v>0</v>
      </c>
      <c r="L243" t="n">
        <v>0</v>
      </c>
      <c r="M243" t="n">
        <v>0</v>
      </c>
      <c r="N243" t="n">
        <v>0</v>
      </c>
      <c r="O243" t="n">
        <v>0</v>
      </c>
      <c r="P243" t="n">
        <v>0</v>
      </c>
      <c r="Q243" t="n">
        <v>0</v>
      </c>
      <c r="R243" s="2" t="inlineStr"/>
    </row>
    <row r="244" ht="15" customHeight="1">
      <c r="A244" t="inlineStr">
        <is>
          <t>A 58104-2024</t>
        </is>
      </c>
      <c r="B244" s="1" t="n">
        <v>45632.37459490741</v>
      </c>
      <c r="C244" s="1" t="n">
        <v>46136</v>
      </c>
      <c r="D244" t="inlineStr">
        <is>
          <t>KALMAR LÄN</t>
        </is>
      </c>
      <c r="E244" t="inlineStr">
        <is>
          <t>VIMMERBY</t>
        </is>
      </c>
      <c r="G244" t="n">
        <v>5</v>
      </c>
      <c r="H244" t="n">
        <v>0</v>
      </c>
      <c r="I244" t="n">
        <v>0</v>
      </c>
      <c r="J244" t="n">
        <v>0</v>
      </c>
      <c r="K244" t="n">
        <v>0</v>
      </c>
      <c r="L244" t="n">
        <v>0</v>
      </c>
      <c r="M244" t="n">
        <v>0</v>
      </c>
      <c r="N244" t="n">
        <v>0</v>
      </c>
      <c r="O244" t="n">
        <v>0</v>
      </c>
      <c r="P244" t="n">
        <v>0</v>
      </c>
      <c r="Q244" t="n">
        <v>0</v>
      </c>
      <c r="R244" s="2" t="inlineStr"/>
    </row>
    <row r="245" ht="15" customHeight="1">
      <c r="A245" t="inlineStr">
        <is>
          <t>A 25830-2025</t>
        </is>
      </c>
      <c r="B245" s="1" t="n">
        <v>45804.44519675926</v>
      </c>
      <c r="C245" s="1" t="n">
        <v>46136</v>
      </c>
      <c r="D245" t="inlineStr">
        <is>
          <t>KALMAR LÄN</t>
        </is>
      </c>
      <c r="E245" t="inlineStr">
        <is>
          <t>VIMMERBY</t>
        </is>
      </c>
      <c r="G245" t="n">
        <v>4.9</v>
      </c>
      <c r="H245" t="n">
        <v>0</v>
      </c>
      <c r="I245" t="n">
        <v>0</v>
      </c>
      <c r="J245" t="n">
        <v>0</v>
      </c>
      <c r="K245" t="n">
        <v>0</v>
      </c>
      <c r="L245" t="n">
        <v>0</v>
      </c>
      <c r="M245" t="n">
        <v>0</v>
      </c>
      <c r="N245" t="n">
        <v>0</v>
      </c>
      <c r="O245" t="n">
        <v>0</v>
      </c>
      <c r="P245" t="n">
        <v>0</v>
      </c>
      <c r="Q245" t="n">
        <v>0</v>
      </c>
      <c r="R245" s="2" t="inlineStr"/>
    </row>
    <row r="246" ht="15" customHeight="1">
      <c r="A246" t="inlineStr">
        <is>
          <t>A 12215-2024</t>
        </is>
      </c>
      <c r="B246" s="1" t="n">
        <v>45378.32185185186</v>
      </c>
      <c r="C246" s="1" t="n">
        <v>46136</v>
      </c>
      <c r="D246" t="inlineStr">
        <is>
          <t>KALMAR LÄN</t>
        </is>
      </c>
      <c r="E246" t="inlineStr">
        <is>
          <t>VIMMERBY</t>
        </is>
      </c>
      <c r="G246" t="n">
        <v>1.6</v>
      </c>
      <c r="H246" t="n">
        <v>0</v>
      </c>
      <c r="I246" t="n">
        <v>0</v>
      </c>
      <c r="J246" t="n">
        <v>0</v>
      </c>
      <c r="K246" t="n">
        <v>0</v>
      </c>
      <c r="L246" t="n">
        <v>0</v>
      </c>
      <c r="M246" t="n">
        <v>0</v>
      </c>
      <c r="N246" t="n">
        <v>0</v>
      </c>
      <c r="O246" t="n">
        <v>0</v>
      </c>
      <c r="P246" t="n">
        <v>0</v>
      </c>
      <c r="Q246" t="n">
        <v>0</v>
      </c>
      <c r="R246" s="2" t="inlineStr"/>
    </row>
    <row r="247" ht="15" customHeight="1">
      <c r="A247" t="inlineStr">
        <is>
          <t>A 30920-2024</t>
        </is>
      </c>
      <c r="B247" s="1" t="n">
        <v>45498.673125</v>
      </c>
      <c r="C247" s="1" t="n">
        <v>46136</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56536-2022</t>
        </is>
      </c>
      <c r="B248" s="1" t="n">
        <v>44893</v>
      </c>
      <c r="C248" s="1" t="n">
        <v>46136</v>
      </c>
      <c r="D248" t="inlineStr">
        <is>
          <t>KALMAR LÄN</t>
        </is>
      </c>
      <c r="E248" t="inlineStr">
        <is>
          <t>VIMMERBY</t>
        </is>
      </c>
      <c r="G248" t="n">
        <v>3.2</v>
      </c>
      <c r="H248" t="n">
        <v>0</v>
      </c>
      <c r="I248" t="n">
        <v>0</v>
      </c>
      <c r="J248" t="n">
        <v>0</v>
      </c>
      <c r="K248" t="n">
        <v>0</v>
      </c>
      <c r="L248" t="n">
        <v>0</v>
      </c>
      <c r="M248" t="n">
        <v>0</v>
      </c>
      <c r="N248" t="n">
        <v>0</v>
      </c>
      <c r="O248" t="n">
        <v>0</v>
      </c>
      <c r="P248" t="n">
        <v>0</v>
      </c>
      <c r="Q248" t="n">
        <v>0</v>
      </c>
      <c r="R248" s="2" t="inlineStr"/>
    </row>
    <row r="249" ht="15" customHeight="1">
      <c r="A249" t="inlineStr">
        <is>
          <t>A 63541-2023</t>
        </is>
      </c>
      <c r="B249" s="1" t="n">
        <v>45275.32266203704</v>
      </c>
      <c r="C249" s="1" t="n">
        <v>46136</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37323-2024</t>
        </is>
      </c>
      <c r="B250" s="1" t="n">
        <v>45540.50098379629</v>
      </c>
      <c r="C250" s="1" t="n">
        <v>46136</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26124-2025</t>
        </is>
      </c>
      <c r="B251" s="1" t="n">
        <v>45805.39247685186</v>
      </c>
      <c r="C251" s="1" t="n">
        <v>46136</v>
      </c>
      <c r="D251" t="inlineStr">
        <is>
          <t>KALMAR LÄN</t>
        </is>
      </c>
      <c r="E251" t="inlineStr">
        <is>
          <t>VIMMERBY</t>
        </is>
      </c>
      <c r="G251" t="n">
        <v>6.6</v>
      </c>
      <c r="H251" t="n">
        <v>0</v>
      </c>
      <c r="I251" t="n">
        <v>0</v>
      </c>
      <c r="J251" t="n">
        <v>0</v>
      </c>
      <c r="K251" t="n">
        <v>0</v>
      </c>
      <c r="L251" t="n">
        <v>0</v>
      </c>
      <c r="M251" t="n">
        <v>0</v>
      </c>
      <c r="N251" t="n">
        <v>0</v>
      </c>
      <c r="O251" t="n">
        <v>0</v>
      </c>
      <c r="P251" t="n">
        <v>0</v>
      </c>
      <c r="Q251" t="n">
        <v>0</v>
      </c>
      <c r="R251" s="2" t="inlineStr"/>
    </row>
    <row r="252" ht="15" customHeight="1">
      <c r="A252" t="inlineStr">
        <is>
          <t>A 26254-2025</t>
        </is>
      </c>
      <c r="B252" s="1" t="n">
        <v>45805</v>
      </c>
      <c r="C252" s="1" t="n">
        <v>46136</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1734-2026</t>
        </is>
      </c>
      <c r="B253" s="1" t="n">
        <v>46034</v>
      </c>
      <c r="C253" s="1" t="n">
        <v>46136</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1743-2026</t>
        </is>
      </c>
      <c r="B254" s="1" t="n">
        <v>46034</v>
      </c>
      <c r="C254" s="1" t="n">
        <v>46136</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26207-2025</t>
        </is>
      </c>
      <c r="B255" s="1" t="n">
        <v>45805.52983796296</v>
      </c>
      <c r="C255" s="1" t="n">
        <v>46136</v>
      </c>
      <c r="D255" t="inlineStr">
        <is>
          <t>KALMAR LÄN</t>
        </is>
      </c>
      <c r="E255" t="inlineStr">
        <is>
          <t>VIMMERBY</t>
        </is>
      </c>
      <c r="G255" t="n">
        <v>0.7</v>
      </c>
      <c r="H255" t="n">
        <v>0</v>
      </c>
      <c r="I255" t="n">
        <v>0</v>
      </c>
      <c r="J255" t="n">
        <v>0</v>
      </c>
      <c r="K255" t="n">
        <v>0</v>
      </c>
      <c r="L255" t="n">
        <v>0</v>
      </c>
      <c r="M255" t="n">
        <v>0</v>
      </c>
      <c r="N255" t="n">
        <v>0</v>
      </c>
      <c r="O255" t="n">
        <v>0</v>
      </c>
      <c r="P255" t="n">
        <v>0</v>
      </c>
      <c r="Q255" t="n">
        <v>0</v>
      </c>
      <c r="R255" s="2" t="inlineStr"/>
    </row>
    <row r="256" ht="15" customHeight="1">
      <c r="A256" t="inlineStr">
        <is>
          <t>A 1748-2026</t>
        </is>
      </c>
      <c r="B256" s="1" t="n">
        <v>46034.65589120371</v>
      </c>
      <c r="C256" s="1" t="n">
        <v>46136</v>
      </c>
      <c r="D256" t="inlineStr">
        <is>
          <t>KALMAR LÄN</t>
        </is>
      </c>
      <c r="E256" t="inlineStr">
        <is>
          <t>VIMMERBY</t>
        </is>
      </c>
      <c r="G256" t="n">
        <v>0.9</v>
      </c>
      <c r="H256" t="n">
        <v>0</v>
      </c>
      <c r="I256" t="n">
        <v>0</v>
      </c>
      <c r="J256" t="n">
        <v>0</v>
      </c>
      <c r="K256" t="n">
        <v>0</v>
      </c>
      <c r="L256" t="n">
        <v>0</v>
      </c>
      <c r="M256" t="n">
        <v>0</v>
      </c>
      <c r="N256" t="n">
        <v>0</v>
      </c>
      <c r="O256" t="n">
        <v>0</v>
      </c>
      <c r="P256" t="n">
        <v>0</v>
      </c>
      <c r="Q256" t="n">
        <v>0</v>
      </c>
      <c r="R256" s="2" t="inlineStr"/>
    </row>
    <row r="257" ht="15" customHeight="1">
      <c r="A257" t="inlineStr">
        <is>
          <t>A 11429-2022</t>
        </is>
      </c>
      <c r="B257" s="1" t="n">
        <v>44630</v>
      </c>
      <c r="C257" s="1" t="n">
        <v>46136</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56582-2022</t>
        </is>
      </c>
      <c r="B258" s="1" t="n">
        <v>44893</v>
      </c>
      <c r="C258" s="1" t="n">
        <v>46136</v>
      </c>
      <c r="D258" t="inlineStr">
        <is>
          <t>KALMAR LÄN</t>
        </is>
      </c>
      <c r="E258" t="inlineStr">
        <is>
          <t>VIMMERBY</t>
        </is>
      </c>
      <c r="G258" t="n">
        <v>2.2</v>
      </c>
      <c r="H258" t="n">
        <v>0</v>
      </c>
      <c r="I258" t="n">
        <v>0</v>
      </c>
      <c r="J258" t="n">
        <v>0</v>
      </c>
      <c r="K258" t="n">
        <v>0</v>
      </c>
      <c r="L258" t="n">
        <v>0</v>
      </c>
      <c r="M258" t="n">
        <v>0</v>
      </c>
      <c r="N258" t="n">
        <v>0</v>
      </c>
      <c r="O258" t="n">
        <v>0</v>
      </c>
      <c r="P258" t="n">
        <v>0</v>
      </c>
      <c r="Q258" t="n">
        <v>0</v>
      </c>
      <c r="R258" s="2" t="inlineStr"/>
    </row>
    <row r="259" ht="15" customHeight="1">
      <c r="A259" t="inlineStr">
        <is>
          <t>A 1862-2026</t>
        </is>
      </c>
      <c r="B259" s="1" t="n">
        <v>46035.44689814815</v>
      </c>
      <c r="C259" s="1" t="n">
        <v>46136</v>
      </c>
      <c r="D259" t="inlineStr">
        <is>
          <t>KALMAR LÄN</t>
        </is>
      </c>
      <c r="E259" t="inlineStr">
        <is>
          <t>VIMMERBY</t>
        </is>
      </c>
      <c r="G259" t="n">
        <v>3.1</v>
      </c>
      <c r="H259" t="n">
        <v>0</v>
      </c>
      <c r="I259" t="n">
        <v>0</v>
      </c>
      <c r="J259" t="n">
        <v>0</v>
      </c>
      <c r="K259" t="n">
        <v>0</v>
      </c>
      <c r="L259" t="n">
        <v>0</v>
      </c>
      <c r="M259" t="n">
        <v>0</v>
      </c>
      <c r="N259" t="n">
        <v>0</v>
      </c>
      <c r="O259" t="n">
        <v>0</v>
      </c>
      <c r="P259" t="n">
        <v>0</v>
      </c>
      <c r="Q259" t="n">
        <v>0</v>
      </c>
      <c r="R259" s="2" t="inlineStr"/>
    </row>
    <row r="260" ht="15" customHeight="1">
      <c r="A260" t="inlineStr">
        <is>
          <t>A 6408-2025</t>
        </is>
      </c>
      <c r="B260" s="1" t="n">
        <v>45699.45671296296</v>
      </c>
      <c r="C260" s="1" t="n">
        <v>46136</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11609-2023</t>
        </is>
      </c>
      <c r="B261" s="1" t="n">
        <v>44994.40635416667</v>
      </c>
      <c r="C261" s="1" t="n">
        <v>46136</v>
      </c>
      <c r="D261" t="inlineStr">
        <is>
          <t>KALMAR LÄN</t>
        </is>
      </c>
      <c r="E261" t="inlineStr">
        <is>
          <t>VIMMERBY</t>
        </is>
      </c>
      <c r="G261" t="n">
        <v>4.9</v>
      </c>
      <c r="H261" t="n">
        <v>0</v>
      </c>
      <c r="I261" t="n">
        <v>0</v>
      </c>
      <c r="J261" t="n">
        <v>0</v>
      </c>
      <c r="K261" t="n">
        <v>0</v>
      </c>
      <c r="L261" t="n">
        <v>0</v>
      </c>
      <c r="M261" t="n">
        <v>0</v>
      </c>
      <c r="N261" t="n">
        <v>0</v>
      </c>
      <c r="O261" t="n">
        <v>0</v>
      </c>
      <c r="P261" t="n">
        <v>0</v>
      </c>
      <c r="Q261" t="n">
        <v>0</v>
      </c>
      <c r="R261" s="2" t="inlineStr"/>
    </row>
    <row r="262" ht="15" customHeight="1">
      <c r="A262" t="inlineStr">
        <is>
          <t>A 44464-2024</t>
        </is>
      </c>
      <c r="B262" s="1" t="n">
        <v>45574.35809027778</v>
      </c>
      <c r="C262" s="1" t="n">
        <v>46136</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41066-2024</t>
        </is>
      </c>
      <c r="B263" s="1" t="n">
        <v>45559.38876157408</v>
      </c>
      <c r="C263" s="1" t="n">
        <v>46136</v>
      </c>
      <c r="D263" t="inlineStr">
        <is>
          <t>KALMAR LÄN</t>
        </is>
      </c>
      <c r="E263" t="inlineStr">
        <is>
          <t>VIMMERBY</t>
        </is>
      </c>
      <c r="G263" t="n">
        <v>2.4</v>
      </c>
      <c r="H263" t="n">
        <v>0</v>
      </c>
      <c r="I263" t="n">
        <v>0</v>
      </c>
      <c r="J263" t="n">
        <v>0</v>
      </c>
      <c r="K263" t="n">
        <v>0</v>
      </c>
      <c r="L263" t="n">
        <v>0</v>
      </c>
      <c r="M263" t="n">
        <v>0</v>
      </c>
      <c r="N263" t="n">
        <v>0</v>
      </c>
      <c r="O263" t="n">
        <v>0</v>
      </c>
      <c r="P263" t="n">
        <v>0</v>
      </c>
      <c r="Q263" t="n">
        <v>0</v>
      </c>
      <c r="R263" s="2" t="inlineStr"/>
    </row>
    <row r="264" ht="15" customHeight="1">
      <c r="A264" t="inlineStr">
        <is>
          <t>A 3816-2022</t>
        </is>
      </c>
      <c r="B264" s="1" t="n">
        <v>44587</v>
      </c>
      <c r="C264" s="1" t="n">
        <v>46136</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2523-2026</t>
        </is>
      </c>
      <c r="B265" s="1" t="n">
        <v>46037.42825231481</v>
      </c>
      <c r="C265" s="1" t="n">
        <v>46136</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2514-2026</t>
        </is>
      </c>
      <c r="B266" s="1" t="n">
        <v>46037.42219907408</v>
      </c>
      <c r="C266" s="1" t="n">
        <v>46136</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2518-2026</t>
        </is>
      </c>
      <c r="B267" s="1" t="n">
        <v>46037.42511574074</v>
      </c>
      <c r="C267" s="1" t="n">
        <v>46136</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1081-2023</t>
        </is>
      </c>
      <c r="B268" s="1" t="n">
        <v>44935</v>
      </c>
      <c r="C268" s="1" t="n">
        <v>46136</v>
      </c>
      <c r="D268" t="inlineStr">
        <is>
          <t>KALMAR LÄN</t>
        </is>
      </c>
      <c r="E268" t="inlineStr">
        <is>
          <t>VIMMERBY</t>
        </is>
      </c>
      <c r="G268" t="n">
        <v>1.3</v>
      </c>
      <c r="H268" t="n">
        <v>0</v>
      </c>
      <c r="I268" t="n">
        <v>0</v>
      </c>
      <c r="J268" t="n">
        <v>0</v>
      </c>
      <c r="K268" t="n">
        <v>0</v>
      </c>
      <c r="L268" t="n">
        <v>0</v>
      </c>
      <c r="M268" t="n">
        <v>0</v>
      </c>
      <c r="N268" t="n">
        <v>0</v>
      </c>
      <c r="O268" t="n">
        <v>0</v>
      </c>
      <c r="P268" t="n">
        <v>0</v>
      </c>
      <c r="Q268" t="n">
        <v>0</v>
      </c>
      <c r="R268" s="2" t="inlineStr"/>
    </row>
    <row r="269" ht="15" customHeight="1">
      <c r="A269" t="inlineStr">
        <is>
          <t>A 7047-2022</t>
        </is>
      </c>
      <c r="B269" s="1" t="n">
        <v>44603</v>
      </c>
      <c r="C269" s="1" t="n">
        <v>46136</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12499-2023</t>
        </is>
      </c>
      <c r="B270" s="1" t="n">
        <v>44999.86172453704</v>
      </c>
      <c r="C270" s="1" t="n">
        <v>46136</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12500-2023</t>
        </is>
      </c>
      <c r="B271" s="1" t="n">
        <v>44999.8625</v>
      </c>
      <c r="C271" s="1" t="n">
        <v>46136</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6066-2023</t>
        </is>
      </c>
      <c r="B272" s="1" t="n">
        <v>44964.50894675926</v>
      </c>
      <c r="C272" s="1" t="n">
        <v>46136</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33103-2024</t>
        </is>
      </c>
      <c r="B273" s="1" t="n">
        <v>45517.8162037037</v>
      </c>
      <c r="C273" s="1" t="n">
        <v>46136</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33161-2024</t>
        </is>
      </c>
      <c r="B274" s="1" t="n">
        <v>45518.40657407408</v>
      </c>
      <c r="C274" s="1" t="n">
        <v>46136</v>
      </c>
      <c r="D274" t="inlineStr">
        <is>
          <t>KALMAR LÄN</t>
        </is>
      </c>
      <c r="E274" t="inlineStr">
        <is>
          <t>VIMMERBY</t>
        </is>
      </c>
      <c r="G274" t="n">
        <v>4.7</v>
      </c>
      <c r="H274" t="n">
        <v>0</v>
      </c>
      <c r="I274" t="n">
        <v>0</v>
      </c>
      <c r="J274" t="n">
        <v>0</v>
      </c>
      <c r="K274" t="n">
        <v>0</v>
      </c>
      <c r="L274" t="n">
        <v>0</v>
      </c>
      <c r="M274" t="n">
        <v>0</v>
      </c>
      <c r="N274" t="n">
        <v>0</v>
      </c>
      <c r="O274" t="n">
        <v>0</v>
      </c>
      <c r="P274" t="n">
        <v>0</v>
      </c>
      <c r="Q274" t="n">
        <v>0</v>
      </c>
      <c r="R274" s="2" t="inlineStr"/>
    </row>
    <row r="275" ht="15" customHeight="1">
      <c r="A275" t="inlineStr">
        <is>
          <t>A 12510-2022</t>
        </is>
      </c>
      <c r="B275" s="1" t="n">
        <v>44638.55256944444</v>
      </c>
      <c r="C275" s="1" t="n">
        <v>46136</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3266-2026</t>
        </is>
      </c>
      <c r="B276" s="1" t="n">
        <v>46041</v>
      </c>
      <c r="C276" s="1" t="n">
        <v>46136</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1146-2025</t>
        </is>
      </c>
      <c r="B277" s="1" t="n">
        <v>45666</v>
      </c>
      <c r="C277" s="1" t="n">
        <v>46136</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3292-2026</t>
        </is>
      </c>
      <c r="B278" s="1" t="n">
        <v>46041</v>
      </c>
      <c r="C278" s="1" t="n">
        <v>46136</v>
      </c>
      <c r="D278" t="inlineStr">
        <is>
          <t>KALMAR LÄN</t>
        </is>
      </c>
      <c r="E278" t="inlineStr">
        <is>
          <t>VIMMERBY</t>
        </is>
      </c>
      <c r="G278" t="n">
        <v>3.9</v>
      </c>
      <c r="H278" t="n">
        <v>0</v>
      </c>
      <c r="I278" t="n">
        <v>0</v>
      </c>
      <c r="J278" t="n">
        <v>0</v>
      </c>
      <c r="K278" t="n">
        <v>0</v>
      </c>
      <c r="L278" t="n">
        <v>0</v>
      </c>
      <c r="M278" t="n">
        <v>0</v>
      </c>
      <c r="N278" t="n">
        <v>0</v>
      </c>
      <c r="O278" t="n">
        <v>0</v>
      </c>
      <c r="P278" t="n">
        <v>0</v>
      </c>
      <c r="Q278" t="n">
        <v>0</v>
      </c>
      <c r="R278" s="2" t="inlineStr"/>
    </row>
    <row r="279" ht="15" customHeight="1">
      <c r="A279" t="inlineStr">
        <is>
          <t>A 3965-2026</t>
        </is>
      </c>
      <c r="B279" s="1" t="n">
        <v>46044.34563657407</v>
      </c>
      <c r="C279" s="1" t="n">
        <v>46136</v>
      </c>
      <c r="D279" t="inlineStr">
        <is>
          <t>KALMAR LÄN</t>
        </is>
      </c>
      <c r="E279" t="inlineStr">
        <is>
          <t>VIMMERBY</t>
        </is>
      </c>
      <c r="G279" t="n">
        <v>2.6</v>
      </c>
      <c r="H279" t="n">
        <v>0</v>
      </c>
      <c r="I279" t="n">
        <v>0</v>
      </c>
      <c r="J279" t="n">
        <v>0</v>
      </c>
      <c r="K279" t="n">
        <v>0</v>
      </c>
      <c r="L279" t="n">
        <v>0</v>
      </c>
      <c r="M279" t="n">
        <v>0</v>
      </c>
      <c r="N279" t="n">
        <v>0</v>
      </c>
      <c r="O279" t="n">
        <v>0</v>
      </c>
      <c r="P279" t="n">
        <v>0</v>
      </c>
      <c r="Q279" t="n">
        <v>0</v>
      </c>
      <c r="R279" s="2" t="inlineStr"/>
    </row>
    <row r="280" ht="15" customHeight="1">
      <c r="A280" t="inlineStr">
        <is>
          <t>A 3868-2026</t>
        </is>
      </c>
      <c r="B280" s="1" t="n">
        <v>46043.6360300926</v>
      </c>
      <c r="C280" s="1" t="n">
        <v>46136</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3869-2026</t>
        </is>
      </c>
      <c r="B281" s="1" t="n">
        <v>46043.63940972222</v>
      </c>
      <c r="C281" s="1" t="n">
        <v>46136</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12890-2023</t>
        </is>
      </c>
      <c r="B282" s="1" t="n">
        <v>45001.59209490741</v>
      </c>
      <c r="C282" s="1" t="n">
        <v>46136</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3902-2022</t>
        </is>
      </c>
      <c r="B283" s="1" t="n">
        <v>44587.48847222222</v>
      </c>
      <c r="C283" s="1" t="n">
        <v>46136</v>
      </c>
      <c r="D283" t="inlineStr">
        <is>
          <t>KALMAR LÄN</t>
        </is>
      </c>
      <c r="E283" t="inlineStr">
        <is>
          <t>VIMMERBY</t>
        </is>
      </c>
      <c r="G283" t="n">
        <v>2.6</v>
      </c>
      <c r="H283" t="n">
        <v>0</v>
      </c>
      <c r="I283" t="n">
        <v>0</v>
      </c>
      <c r="J283" t="n">
        <v>0</v>
      </c>
      <c r="K283" t="n">
        <v>0</v>
      </c>
      <c r="L283" t="n">
        <v>0</v>
      </c>
      <c r="M283" t="n">
        <v>0</v>
      </c>
      <c r="N283" t="n">
        <v>0</v>
      </c>
      <c r="O283" t="n">
        <v>0</v>
      </c>
      <c r="P283" t="n">
        <v>0</v>
      </c>
      <c r="Q283" t="n">
        <v>0</v>
      </c>
      <c r="R283" s="2" t="inlineStr"/>
    </row>
    <row r="284" ht="15" customHeight="1">
      <c r="A284" t="inlineStr">
        <is>
          <t>A 28290-2025</t>
        </is>
      </c>
      <c r="B284" s="1" t="n">
        <v>45818.59261574074</v>
      </c>
      <c r="C284" s="1" t="n">
        <v>46136</v>
      </c>
      <c r="D284" t="inlineStr">
        <is>
          <t>KALMAR LÄN</t>
        </is>
      </c>
      <c r="E284" t="inlineStr">
        <is>
          <t>VIMMERBY</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89-2023</t>
        </is>
      </c>
      <c r="B285" s="1" t="n">
        <v>44918</v>
      </c>
      <c r="C285" s="1" t="n">
        <v>46136</v>
      </c>
      <c r="D285" t="inlineStr">
        <is>
          <t>KALMAR LÄN</t>
        </is>
      </c>
      <c r="E285" t="inlineStr">
        <is>
          <t>VIMMERBY</t>
        </is>
      </c>
      <c r="G285" t="n">
        <v>16.1</v>
      </c>
      <c r="H285" t="n">
        <v>0</v>
      </c>
      <c r="I285" t="n">
        <v>0</v>
      </c>
      <c r="J285" t="n">
        <v>0</v>
      </c>
      <c r="K285" t="n">
        <v>0</v>
      </c>
      <c r="L285" t="n">
        <v>0</v>
      </c>
      <c r="M285" t="n">
        <v>0</v>
      </c>
      <c r="N285" t="n">
        <v>0</v>
      </c>
      <c r="O285" t="n">
        <v>0</v>
      </c>
      <c r="P285" t="n">
        <v>0</v>
      </c>
      <c r="Q285" t="n">
        <v>0</v>
      </c>
      <c r="R285" s="2" t="inlineStr"/>
    </row>
    <row r="286" ht="15" customHeight="1">
      <c r="A286" t="inlineStr">
        <is>
          <t>A 5382-2023</t>
        </is>
      </c>
      <c r="B286" s="1" t="n">
        <v>44959.66407407408</v>
      </c>
      <c r="C286" s="1" t="n">
        <v>46136</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28280-2025</t>
        </is>
      </c>
      <c r="B287" s="1" t="n">
        <v>45818.5862037037</v>
      </c>
      <c r="C287" s="1" t="n">
        <v>46136</v>
      </c>
      <c r="D287" t="inlineStr">
        <is>
          <t>KALMAR LÄN</t>
        </is>
      </c>
      <c r="E287" t="inlineStr">
        <is>
          <t>VIMMERBY</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28286-2025</t>
        </is>
      </c>
      <c r="B288" s="1" t="n">
        <v>45818.58993055556</v>
      </c>
      <c r="C288" s="1" t="n">
        <v>46136</v>
      </c>
      <c r="D288" t="inlineStr">
        <is>
          <t>KALMAR LÄN</t>
        </is>
      </c>
      <c r="E288" t="inlineStr">
        <is>
          <t>VIMMERBY</t>
        </is>
      </c>
      <c r="F288" t="inlineStr">
        <is>
          <t>Sveaskog</t>
        </is>
      </c>
      <c r="G288" t="n">
        <v>8</v>
      </c>
      <c r="H288" t="n">
        <v>0</v>
      </c>
      <c r="I288" t="n">
        <v>0</v>
      </c>
      <c r="J288" t="n">
        <v>0</v>
      </c>
      <c r="K288" t="n">
        <v>0</v>
      </c>
      <c r="L288" t="n">
        <v>0</v>
      </c>
      <c r="M288" t="n">
        <v>0</v>
      </c>
      <c r="N288" t="n">
        <v>0</v>
      </c>
      <c r="O288" t="n">
        <v>0</v>
      </c>
      <c r="P288" t="n">
        <v>0</v>
      </c>
      <c r="Q288" t="n">
        <v>0</v>
      </c>
      <c r="R288" s="2" t="inlineStr"/>
    </row>
    <row r="289" ht="15" customHeight="1">
      <c r="A289" t="inlineStr">
        <is>
          <t>A 6668-2023</t>
        </is>
      </c>
      <c r="B289" s="1" t="n">
        <v>44966</v>
      </c>
      <c r="C289" s="1" t="n">
        <v>46136</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172-2022</t>
        </is>
      </c>
      <c r="B290" s="1" t="n">
        <v>44564.62598379629</v>
      </c>
      <c r="C290" s="1" t="n">
        <v>46136</v>
      </c>
      <c r="D290" t="inlineStr">
        <is>
          <t>KALMAR LÄN</t>
        </is>
      </c>
      <c r="E290" t="inlineStr">
        <is>
          <t>VIMMERBY</t>
        </is>
      </c>
      <c r="G290" t="n">
        <v>2.1</v>
      </c>
      <c r="H290" t="n">
        <v>0</v>
      </c>
      <c r="I290" t="n">
        <v>0</v>
      </c>
      <c r="J290" t="n">
        <v>0</v>
      </c>
      <c r="K290" t="n">
        <v>0</v>
      </c>
      <c r="L290" t="n">
        <v>0</v>
      </c>
      <c r="M290" t="n">
        <v>0</v>
      </c>
      <c r="N290" t="n">
        <v>0</v>
      </c>
      <c r="O290" t="n">
        <v>0</v>
      </c>
      <c r="P290" t="n">
        <v>0</v>
      </c>
      <c r="Q290" t="n">
        <v>0</v>
      </c>
      <c r="R290" s="2" t="inlineStr"/>
    </row>
    <row r="291" ht="15" customHeight="1">
      <c r="A291" t="inlineStr">
        <is>
          <t>A 30634-2024</t>
        </is>
      </c>
      <c r="B291" s="1" t="n">
        <v>45495</v>
      </c>
      <c r="C291" s="1" t="n">
        <v>46136</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6355-2022</t>
        </is>
      </c>
      <c r="B292" s="1" t="n">
        <v>44600</v>
      </c>
      <c r="C292" s="1" t="n">
        <v>46136</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16020-2023</t>
        </is>
      </c>
      <c r="B293" s="1" t="n">
        <v>45026.82216435186</v>
      </c>
      <c r="C293" s="1" t="n">
        <v>46136</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28282-2025</t>
        </is>
      </c>
      <c r="B294" s="1" t="n">
        <v>45818.58769675926</v>
      </c>
      <c r="C294" s="1" t="n">
        <v>46136</v>
      </c>
      <c r="D294" t="inlineStr">
        <is>
          <t>KALMAR LÄN</t>
        </is>
      </c>
      <c r="E294" t="inlineStr">
        <is>
          <t>VIMMERBY</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28294-2025</t>
        </is>
      </c>
      <c r="B295" s="1" t="n">
        <v>45818.595625</v>
      </c>
      <c r="C295" s="1" t="n">
        <v>46136</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60292-2022</t>
        </is>
      </c>
      <c r="B296" s="1" t="n">
        <v>44910.54231481482</v>
      </c>
      <c r="C296" s="1" t="n">
        <v>46136</v>
      </c>
      <c r="D296" t="inlineStr">
        <is>
          <t>KALMAR LÄN</t>
        </is>
      </c>
      <c r="E296" t="inlineStr">
        <is>
          <t>VIMMERBY</t>
        </is>
      </c>
      <c r="G296" t="n">
        <v>4.4</v>
      </c>
      <c r="H296" t="n">
        <v>0</v>
      </c>
      <c r="I296" t="n">
        <v>0</v>
      </c>
      <c r="J296" t="n">
        <v>0</v>
      </c>
      <c r="K296" t="n">
        <v>0</v>
      </c>
      <c r="L296" t="n">
        <v>0</v>
      </c>
      <c r="M296" t="n">
        <v>0</v>
      </c>
      <c r="N296" t="n">
        <v>0</v>
      </c>
      <c r="O296" t="n">
        <v>0</v>
      </c>
      <c r="P296" t="n">
        <v>0</v>
      </c>
      <c r="Q296" t="n">
        <v>0</v>
      </c>
      <c r="R296" s="2" t="inlineStr"/>
    </row>
    <row r="297" ht="15" customHeight="1">
      <c r="A297" t="inlineStr">
        <is>
          <t>A 43034-2024</t>
        </is>
      </c>
      <c r="B297" s="1" t="n">
        <v>45567.42011574074</v>
      </c>
      <c r="C297" s="1" t="n">
        <v>46136</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40256-2024</t>
        </is>
      </c>
      <c r="B298" s="1" t="n">
        <v>45554.62944444444</v>
      </c>
      <c r="C298" s="1" t="n">
        <v>46136</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28713-2025</t>
        </is>
      </c>
      <c r="B299" s="1" t="n">
        <v>45820.33930555556</v>
      </c>
      <c r="C299" s="1" t="n">
        <v>46136</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43093-2024</t>
        </is>
      </c>
      <c r="B300" s="1" t="n">
        <v>45567</v>
      </c>
      <c r="C300" s="1" t="n">
        <v>46136</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28712-2025</t>
        </is>
      </c>
      <c r="B301" s="1" t="n">
        <v>45820.33708333333</v>
      </c>
      <c r="C301" s="1" t="n">
        <v>46136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28714-2025</t>
        </is>
      </c>
      <c r="B302" s="1" t="n">
        <v>45820.34128472222</v>
      </c>
      <c r="C302" s="1" t="n">
        <v>46136</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28620-2025</t>
        </is>
      </c>
      <c r="B303" s="1" t="n">
        <v>45819.61060185185</v>
      </c>
      <c r="C303" s="1" t="n">
        <v>46136</v>
      </c>
      <c r="D303" t="inlineStr">
        <is>
          <t>KALMAR LÄN</t>
        </is>
      </c>
      <c r="E303" t="inlineStr">
        <is>
          <t>VIMMERBY</t>
        </is>
      </c>
      <c r="G303" t="n">
        <v>5.6</v>
      </c>
      <c r="H303" t="n">
        <v>0</v>
      </c>
      <c r="I303" t="n">
        <v>0</v>
      </c>
      <c r="J303" t="n">
        <v>0</v>
      </c>
      <c r="K303" t="n">
        <v>0</v>
      </c>
      <c r="L303" t="n">
        <v>0</v>
      </c>
      <c r="M303" t="n">
        <v>0</v>
      </c>
      <c r="N303" t="n">
        <v>0</v>
      </c>
      <c r="O303" t="n">
        <v>0</v>
      </c>
      <c r="P303" t="n">
        <v>0</v>
      </c>
      <c r="Q303" t="n">
        <v>0</v>
      </c>
      <c r="R303" s="2" t="inlineStr"/>
    </row>
    <row r="304" ht="15" customHeight="1">
      <c r="A304" t="inlineStr">
        <is>
          <t>A 35198-2023</t>
        </is>
      </c>
      <c r="B304" s="1" t="n">
        <v>45145</v>
      </c>
      <c r="C304" s="1" t="n">
        <v>46136</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58374-2024</t>
        </is>
      </c>
      <c r="B305" s="1" t="n">
        <v>45632.72635416667</v>
      </c>
      <c r="C305" s="1" t="n">
        <v>46136</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29727-2025</t>
        </is>
      </c>
      <c r="B306" s="1" t="n">
        <v>45825.5796875</v>
      </c>
      <c r="C306" s="1" t="n">
        <v>46136</v>
      </c>
      <c r="D306" t="inlineStr">
        <is>
          <t>KALMAR LÄN</t>
        </is>
      </c>
      <c r="E306" t="inlineStr">
        <is>
          <t>VIMMERBY</t>
        </is>
      </c>
      <c r="G306" t="n">
        <v>1.3</v>
      </c>
      <c r="H306" t="n">
        <v>0</v>
      </c>
      <c r="I306" t="n">
        <v>0</v>
      </c>
      <c r="J306" t="n">
        <v>0</v>
      </c>
      <c r="K306" t="n">
        <v>0</v>
      </c>
      <c r="L306" t="n">
        <v>0</v>
      </c>
      <c r="M306" t="n">
        <v>0</v>
      </c>
      <c r="N306" t="n">
        <v>0</v>
      </c>
      <c r="O306" t="n">
        <v>0</v>
      </c>
      <c r="P306" t="n">
        <v>0</v>
      </c>
      <c r="Q306" t="n">
        <v>0</v>
      </c>
      <c r="R306" s="2" t="inlineStr"/>
    </row>
    <row r="307" ht="15" customHeight="1">
      <c r="A307" t="inlineStr">
        <is>
          <t>A 29737-2025</t>
        </is>
      </c>
      <c r="B307" s="1" t="n">
        <v>45825.58672453704</v>
      </c>
      <c r="C307" s="1" t="n">
        <v>46136</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29726-2025</t>
        </is>
      </c>
      <c r="B308" s="1" t="n">
        <v>45825.57805555555</v>
      </c>
      <c r="C308" s="1" t="n">
        <v>46136</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55300-2021</t>
        </is>
      </c>
      <c r="B309" s="1" t="n">
        <v>44475</v>
      </c>
      <c r="C309" s="1" t="n">
        <v>46136</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47263-2023</t>
        </is>
      </c>
      <c r="B310" s="1" t="n">
        <v>45202.4209837963</v>
      </c>
      <c r="C310" s="1" t="n">
        <v>46136</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2536-2023</t>
        </is>
      </c>
      <c r="B311" s="1" t="n">
        <v>44943.62954861111</v>
      </c>
      <c r="C311" s="1" t="n">
        <v>46136</v>
      </c>
      <c r="D311" t="inlineStr">
        <is>
          <t>KALMAR LÄN</t>
        </is>
      </c>
      <c r="E311" t="inlineStr">
        <is>
          <t>VIMMERBY</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2801-2023</t>
        </is>
      </c>
      <c r="B312" s="1" t="n">
        <v>44944.73487268519</v>
      </c>
      <c r="C312" s="1" t="n">
        <v>46136</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30293-2025</t>
        </is>
      </c>
      <c r="B313" s="1" t="n">
        <v>45827</v>
      </c>
      <c r="C313" s="1" t="n">
        <v>46136</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17968-2025</t>
        </is>
      </c>
      <c r="B314" s="1" t="n">
        <v>45761.35990740741</v>
      </c>
      <c r="C314" s="1" t="n">
        <v>46136</v>
      </c>
      <c r="D314" t="inlineStr">
        <is>
          <t>KALMAR LÄN</t>
        </is>
      </c>
      <c r="E314" t="inlineStr">
        <is>
          <t>VIMMERBY</t>
        </is>
      </c>
      <c r="G314" t="n">
        <v>3.3</v>
      </c>
      <c r="H314" t="n">
        <v>0</v>
      </c>
      <c r="I314" t="n">
        <v>0</v>
      </c>
      <c r="J314" t="n">
        <v>0</v>
      </c>
      <c r="K314" t="n">
        <v>0</v>
      </c>
      <c r="L314" t="n">
        <v>0</v>
      </c>
      <c r="M314" t="n">
        <v>0</v>
      </c>
      <c r="N314" t="n">
        <v>0</v>
      </c>
      <c r="O314" t="n">
        <v>0</v>
      </c>
      <c r="P314" t="n">
        <v>0</v>
      </c>
      <c r="Q314" t="n">
        <v>0</v>
      </c>
      <c r="R314" s="2" t="inlineStr"/>
    </row>
    <row r="315" ht="15" customHeight="1">
      <c r="A315" t="inlineStr">
        <is>
          <t>A 38964-2025</t>
        </is>
      </c>
      <c r="B315" s="1" t="n">
        <v>45887.68759259259</v>
      </c>
      <c r="C315" s="1" t="n">
        <v>46136</v>
      </c>
      <c r="D315" t="inlineStr">
        <is>
          <t>KALMAR LÄN</t>
        </is>
      </c>
      <c r="E315" t="inlineStr">
        <is>
          <t>VIMMERBY</t>
        </is>
      </c>
      <c r="G315" t="n">
        <v>7.5</v>
      </c>
      <c r="H315" t="n">
        <v>0</v>
      </c>
      <c r="I315" t="n">
        <v>0</v>
      </c>
      <c r="J315" t="n">
        <v>0</v>
      </c>
      <c r="K315" t="n">
        <v>0</v>
      </c>
      <c r="L315" t="n">
        <v>0</v>
      </c>
      <c r="M315" t="n">
        <v>0</v>
      </c>
      <c r="N315" t="n">
        <v>0</v>
      </c>
      <c r="O315" t="n">
        <v>0</v>
      </c>
      <c r="P315" t="n">
        <v>0</v>
      </c>
      <c r="Q315" t="n">
        <v>0</v>
      </c>
      <c r="R315" s="2" t="inlineStr"/>
    </row>
    <row r="316" ht="15" customHeight="1">
      <c r="A316" t="inlineStr">
        <is>
          <t>A 30290-2025</t>
        </is>
      </c>
      <c r="B316" s="1" t="n">
        <v>45827</v>
      </c>
      <c r="C316" s="1" t="n">
        <v>46136</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30850-2025</t>
        </is>
      </c>
      <c r="B317" s="1" t="n">
        <v>45831</v>
      </c>
      <c r="C317" s="1" t="n">
        <v>46136</v>
      </c>
      <c r="D317" t="inlineStr">
        <is>
          <t>KALMAR LÄN</t>
        </is>
      </c>
      <c r="E317" t="inlineStr">
        <is>
          <t>VIMMERBY</t>
        </is>
      </c>
      <c r="G317" t="n">
        <v>2.7</v>
      </c>
      <c r="H317" t="n">
        <v>0</v>
      </c>
      <c r="I317" t="n">
        <v>0</v>
      </c>
      <c r="J317" t="n">
        <v>0</v>
      </c>
      <c r="K317" t="n">
        <v>0</v>
      </c>
      <c r="L317" t="n">
        <v>0</v>
      </c>
      <c r="M317" t="n">
        <v>0</v>
      </c>
      <c r="N317" t="n">
        <v>0</v>
      </c>
      <c r="O317" t="n">
        <v>0</v>
      </c>
      <c r="P317" t="n">
        <v>0</v>
      </c>
      <c r="Q317" t="n">
        <v>0</v>
      </c>
      <c r="R317" s="2" t="inlineStr"/>
    </row>
    <row r="318" ht="15" customHeight="1">
      <c r="A318" t="inlineStr">
        <is>
          <t>A 14451-2024</t>
        </is>
      </c>
      <c r="B318" s="1" t="n">
        <v>45394.50028935185</v>
      </c>
      <c r="C318" s="1" t="n">
        <v>46136</v>
      </c>
      <c r="D318" t="inlineStr">
        <is>
          <t>KALMAR LÄN</t>
        </is>
      </c>
      <c r="E318" t="inlineStr">
        <is>
          <t>VIMMERBY</t>
        </is>
      </c>
      <c r="G318" t="n">
        <v>1.9</v>
      </c>
      <c r="H318" t="n">
        <v>0</v>
      </c>
      <c r="I318" t="n">
        <v>0</v>
      </c>
      <c r="J318" t="n">
        <v>0</v>
      </c>
      <c r="K318" t="n">
        <v>0</v>
      </c>
      <c r="L318" t="n">
        <v>0</v>
      </c>
      <c r="M318" t="n">
        <v>0</v>
      </c>
      <c r="N318" t="n">
        <v>0</v>
      </c>
      <c r="O318" t="n">
        <v>0</v>
      </c>
      <c r="P318" t="n">
        <v>0</v>
      </c>
      <c r="Q318" t="n">
        <v>0</v>
      </c>
      <c r="R318" s="2" t="inlineStr"/>
    </row>
    <row r="319" ht="15" customHeight="1">
      <c r="A319" t="inlineStr">
        <is>
          <t>A 13793-2026</t>
        </is>
      </c>
      <c r="B319" s="1" t="n">
        <v>46097.79199074074</v>
      </c>
      <c r="C319" s="1" t="n">
        <v>46136</v>
      </c>
      <c r="D319" t="inlineStr">
        <is>
          <t>KALMAR LÄN</t>
        </is>
      </c>
      <c r="E319" t="inlineStr">
        <is>
          <t>VIMMERBY</t>
        </is>
      </c>
      <c r="G319" t="n">
        <v>2.9</v>
      </c>
      <c r="H319" t="n">
        <v>0</v>
      </c>
      <c r="I319" t="n">
        <v>0</v>
      </c>
      <c r="J319" t="n">
        <v>0</v>
      </c>
      <c r="K319" t="n">
        <v>0</v>
      </c>
      <c r="L319" t="n">
        <v>0</v>
      </c>
      <c r="M319" t="n">
        <v>0</v>
      </c>
      <c r="N319" t="n">
        <v>0</v>
      </c>
      <c r="O319" t="n">
        <v>0</v>
      </c>
      <c r="P319" t="n">
        <v>0</v>
      </c>
      <c r="Q319" t="n">
        <v>0</v>
      </c>
      <c r="R319" s="2" t="inlineStr"/>
    </row>
    <row r="320" ht="15" customHeight="1">
      <c r="A320" t="inlineStr">
        <is>
          <t>A 46238-2024</t>
        </is>
      </c>
      <c r="B320" s="1" t="n">
        <v>45581.58418981481</v>
      </c>
      <c r="C320" s="1" t="n">
        <v>46136</v>
      </c>
      <c r="D320" t="inlineStr">
        <is>
          <t>KALMAR LÄN</t>
        </is>
      </c>
      <c r="E320" t="inlineStr">
        <is>
          <t>VIMMERBY</t>
        </is>
      </c>
      <c r="G320" t="n">
        <v>2.1</v>
      </c>
      <c r="H320" t="n">
        <v>0</v>
      </c>
      <c r="I320" t="n">
        <v>0</v>
      </c>
      <c r="J320" t="n">
        <v>0</v>
      </c>
      <c r="K320" t="n">
        <v>0</v>
      </c>
      <c r="L320" t="n">
        <v>0</v>
      </c>
      <c r="M320" t="n">
        <v>0</v>
      </c>
      <c r="N320" t="n">
        <v>0</v>
      </c>
      <c r="O320" t="n">
        <v>0</v>
      </c>
      <c r="P320" t="n">
        <v>0</v>
      </c>
      <c r="Q320" t="n">
        <v>0</v>
      </c>
      <c r="R320" s="2" t="inlineStr"/>
    </row>
    <row r="321" ht="15" customHeight="1">
      <c r="A321" t="inlineStr">
        <is>
          <t>A 50993-2022</t>
        </is>
      </c>
      <c r="B321" s="1" t="n">
        <v>44867</v>
      </c>
      <c r="C321" s="1" t="n">
        <v>46136</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46225-2024</t>
        </is>
      </c>
      <c r="B322" s="1" t="n">
        <v>45581.57333333333</v>
      </c>
      <c r="C322" s="1" t="n">
        <v>46136</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13667-2026</t>
        </is>
      </c>
      <c r="B323" s="1" t="n">
        <v>46097</v>
      </c>
      <c r="C323" s="1" t="n">
        <v>46136</v>
      </c>
      <c r="D323" t="inlineStr">
        <is>
          <t>KALMAR LÄN</t>
        </is>
      </c>
      <c r="E323" t="inlineStr">
        <is>
          <t>VIMMERBY</t>
        </is>
      </c>
      <c r="G323" t="n">
        <v>6.8</v>
      </c>
      <c r="H323" t="n">
        <v>0</v>
      </c>
      <c r="I323" t="n">
        <v>0</v>
      </c>
      <c r="J323" t="n">
        <v>0</v>
      </c>
      <c r="K323" t="n">
        <v>0</v>
      </c>
      <c r="L323" t="n">
        <v>0</v>
      </c>
      <c r="M323" t="n">
        <v>0</v>
      </c>
      <c r="N323" t="n">
        <v>0</v>
      </c>
      <c r="O323" t="n">
        <v>0</v>
      </c>
      <c r="P323" t="n">
        <v>0</v>
      </c>
      <c r="Q323" t="n">
        <v>0</v>
      </c>
      <c r="R323" s="2" t="inlineStr"/>
    </row>
    <row r="324" ht="15" customHeight="1">
      <c r="A324" t="inlineStr">
        <is>
          <t>A 13714-2026</t>
        </is>
      </c>
      <c r="B324" s="1" t="n">
        <v>46097.58472222222</v>
      </c>
      <c r="C324" s="1" t="n">
        <v>46136</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36055-2024</t>
        </is>
      </c>
      <c r="B325" s="1" t="n">
        <v>45533.63056712963</v>
      </c>
      <c r="C325" s="1" t="n">
        <v>46136</v>
      </c>
      <c r="D325" t="inlineStr">
        <is>
          <t>KALMAR LÄN</t>
        </is>
      </c>
      <c r="E325" t="inlineStr">
        <is>
          <t>VIMMERBY</t>
        </is>
      </c>
      <c r="F325" t="inlineStr">
        <is>
          <t>Kommuner</t>
        </is>
      </c>
      <c r="G325" t="n">
        <v>1.9</v>
      </c>
      <c r="H325" t="n">
        <v>0</v>
      </c>
      <c r="I325" t="n">
        <v>0</v>
      </c>
      <c r="J325" t="n">
        <v>0</v>
      </c>
      <c r="K325" t="n">
        <v>0</v>
      </c>
      <c r="L325" t="n">
        <v>0</v>
      </c>
      <c r="M325" t="n">
        <v>0</v>
      </c>
      <c r="N325" t="n">
        <v>0</v>
      </c>
      <c r="O325" t="n">
        <v>0</v>
      </c>
      <c r="P325" t="n">
        <v>0</v>
      </c>
      <c r="Q325" t="n">
        <v>0</v>
      </c>
      <c r="R325" s="2" t="inlineStr"/>
    </row>
    <row r="326" ht="15" customHeight="1">
      <c r="A326" t="inlineStr">
        <is>
          <t>A 30882-2025</t>
        </is>
      </c>
      <c r="B326" s="1" t="n">
        <v>45832.34540509259</v>
      </c>
      <c r="C326" s="1" t="n">
        <v>46136</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30971-2025</t>
        </is>
      </c>
      <c r="B327" s="1" t="n">
        <v>45832.46146990741</v>
      </c>
      <c r="C327" s="1" t="n">
        <v>46136</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47859-2024</t>
        </is>
      </c>
      <c r="B328" s="1" t="n">
        <v>45588.67070601852</v>
      </c>
      <c r="C328" s="1" t="n">
        <v>46136</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31552-2025</t>
        </is>
      </c>
      <c r="B329" s="1" t="n">
        <v>45833.64563657407</v>
      </c>
      <c r="C329" s="1" t="n">
        <v>46136</v>
      </c>
      <c r="D329" t="inlineStr">
        <is>
          <t>KALMAR LÄN</t>
        </is>
      </c>
      <c r="E329" t="inlineStr">
        <is>
          <t>VIMMERBY</t>
        </is>
      </c>
      <c r="G329" t="n">
        <v>1.7</v>
      </c>
      <c r="H329" t="n">
        <v>0</v>
      </c>
      <c r="I329" t="n">
        <v>0</v>
      </c>
      <c r="J329" t="n">
        <v>0</v>
      </c>
      <c r="K329" t="n">
        <v>0</v>
      </c>
      <c r="L329" t="n">
        <v>0</v>
      </c>
      <c r="M329" t="n">
        <v>0</v>
      </c>
      <c r="N329" t="n">
        <v>0</v>
      </c>
      <c r="O329" t="n">
        <v>0</v>
      </c>
      <c r="P329" t="n">
        <v>0</v>
      </c>
      <c r="Q329" t="n">
        <v>0</v>
      </c>
      <c r="R329" s="2" t="inlineStr"/>
    </row>
    <row r="330" ht="15" customHeight="1">
      <c r="A330" t="inlineStr">
        <is>
          <t>A 31555-2025</t>
        </is>
      </c>
      <c r="B330" s="1" t="n">
        <v>45833.64814814815</v>
      </c>
      <c r="C330" s="1" t="n">
        <v>46136</v>
      </c>
      <c r="D330" t="inlineStr">
        <is>
          <t>KALMAR LÄN</t>
        </is>
      </c>
      <c r="E330" t="inlineStr">
        <is>
          <t>VIMMERBY</t>
        </is>
      </c>
      <c r="G330" t="n">
        <v>1.8</v>
      </c>
      <c r="H330" t="n">
        <v>0</v>
      </c>
      <c r="I330" t="n">
        <v>0</v>
      </c>
      <c r="J330" t="n">
        <v>0</v>
      </c>
      <c r="K330" t="n">
        <v>0</v>
      </c>
      <c r="L330" t="n">
        <v>0</v>
      </c>
      <c r="M330" t="n">
        <v>0</v>
      </c>
      <c r="N330" t="n">
        <v>0</v>
      </c>
      <c r="O330" t="n">
        <v>0</v>
      </c>
      <c r="P330" t="n">
        <v>0</v>
      </c>
      <c r="Q330" t="n">
        <v>0</v>
      </c>
      <c r="R330" s="2" t="inlineStr"/>
    </row>
    <row r="331" ht="15" customHeight="1">
      <c r="A331" t="inlineStr">
        <is>
          <t>A 32835-2022</t>
        </is>
      </c>
      <c r="B331" s="1" t="n">
        <v>44784.42528935185</v>
      </c>
      <c r="C331" s="1" t="n">
        <v>46136</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41896-2023</t>
        </is>
      </c>
      <c r="B332" s="1" t="n">
        <v>45176.72427083334</v>
      </c>
      <c r="C332" s="1" t="n">
        <v>46136</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31870-2025</t>
        </is>
      </c>
      <c r="B333" s="1" t="n">
        <v>45834.64667824074</v>
      </c>
      <c r="C333" s="1" t="n">
        <v>46136</v>
      </c>
      <c r="D333" t="inlineStr">
        <is>
          <t>KALMAR LÄN</t>
        </is>
      </c>
      <c r="E333" t="inlineStr">
        <is>
          <t>VIMMERBY</t>
        </is>
      </c>
      <c r="F333" t="inlineStr">
        <is>
          <t>Sveaskog</t>
        </is>
      </c>
      <c r="G333" t="n">
        <v>3.5</v>
      </c>
      <c r="H333" t="n">
        <v>0</v>
      </c>
      <c r="I333" t="n">
        <v>0</v>
      </c>
      <c r="J333" t="n">
        <v>0</v>
      </c>
      <c r="K333" t="n">
        <v>0</v>
      </c>
      <c r="L333" t="n">
        <v>0</v>
      </c>
      <c r="M333" t="n">
        <v>0</v>
      </c>
      <c r="N333" t="n">
        <v>0</v>
      </c>
      <c r="O333" t="n">
        <v>0</v>
      </c>
      <c r="P333" t="n">
        <v>0</v>
      </c>
      <c r="Q333" t="n">
        <v>0</v>
      </c>
      <c r="R333" s="2" t="inlineStr"/>
    </row>
    <row r="334" ht="15" customHeight="1">
      <c r="A334" t="inlineStr">
        <is>
          <t>A 8559-2025</t>
        </is>
      </c>
      <c r="B334" s="1" t="n">
        <v>45709.62280092593</v>
      </c>
      <c r="C334" s="1" t="n">
        <v>46136</v>
      </c>
      <c r="D334" t="inlineStr">
        <is>
          <t>KALMAR LÄN</t>
        </is>
      </c>
      <c r="E334" t="inlineStr">
        <is>
          <t>VIMMERBY</t>
        </is>
      </c>
      <c r="G334" t="n">
        <v>8.9</v>
      </c>
      <c r="H334" t="n">
        <v>0</v>
      </c>
      <c r="I334" t="n">
        <v>0</v>
      </c>
      <c r="J334" t="n">
        <v>0</v>
      </c>
      <c r="K334" t="n">
        <v>0</v>
      </c>
      <c r="L334" t="n">
        <v>0</v>
      </c>
      <c r="M334" t="n">
        <v>0</v>
      </c>
      <c r="N334" t="n">
        <v>0</v>
      </c>
      <c r="O334" t="n">
        <v>0</v>
      </c>
      <c r="P334" t="n">
        <v>0</v>
      </c>
      <c r="Q334" t="n">
        <v>0</v>
      </c>
      <c r="R334" s="2" t="inlineStr"/>
    </row>
    <row r="335" ht="15" customHeight="1">
      <c r="A335" t="inlineStr">
        <is>
          <t>A 43606-2024</t>
        </is>
      </c>
      <c r="B335" s="1" t="n">
        <v>45569.45017361111</v>
      </c>
      <c r="C335" s="1" t="n">
        <v>46136</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31872-2025</t>
        </is>
      </c>
      <c r="B336" s="1" t="n">
        <v>45834.65040509259</v>
      </c>
      <c r="C336" s="1" t="n">
        <v>46136</v>
      </c>
      <c r="D336" t="inlineStr">
        <is>
          <t>KALMAR LÄN</t>
        </is>
      </c>
      <c r="E336" t="inlineStr">
        <is>
          <t>VIMMERBY</t>
        </is>
      </c>
      <c r="F336" t="inlineStr">
        <is>
          <t>Sveaskog</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31876-2025</t>
        </is>
      </c>
      <c r="B337" s="1" t="n">
        <v>45834.65197916667</v>
      </c>
      <c r="C337" s="1" t="n">
        <v>46136</v>
      </c>
      <c r="D337" t="inlineStr">
        <is>
          <t>KALMAR LÄN</t>
        </is>
      </c>
      <c r="E337" t="inlineStr">
        <is>
          <t>VIMMERBY</t>
        </is>
      </c>
      <c r="F337" t="inlineStr">
        <is>
          <t>Sveaskog</t>
        </is>
      </c>
      <c r="G337" t="n">
        <v>3.3</v>
      </c>
      <c r="H337" t="n">
        <v>0</v>
      </c>
      <c r="I337" t="n">
        <v>0</v>
      </c>
      <c r="J337" t="n">
        <v>0</v>
      </c>
      <c r="K337" t="n">
        <v>0</v>
      </c>
      <c r="L337" t="n">
        <v>0</v>
      </c>
      <c r="M337" t="n">
        <v>0</v>
      </c>
      <c r="N337" t="n">
        <v>0</v>
      </c>
      <c r="O337" t="n">
        <v>0</v>
      </c>
      <c r="P337" t="n">
        <v>0</v>
      </c>
      <c r="Q337" t="n">
        <v>0</v>
      </c>
      <c r="R337" s="2" t="inlineStr"/>
    </row>
    <row r="338" ht="15" customHeight="1">
      <c r="A338" t="inlineStr">
        <is>
          <t>A 12325-2023</t>
        </is>
      </c>
      <c r="B338" s="1" t="n">
        <v>44999.35858796296</v>
      </c>
      <c r="C338" s="1" t="n">
        <v>46136</v>
      </c>
      <c r="D338" t="inlineStr">
        <is>
          <t>KALMAR LÄN</t>
        </is>
      </c>
      <c r="E338" t="inlineStr">
        <is>
          <t>VIMMERBY</t>
        </is>
      </c>
      <c r="G338" t="n">
        <v>3.4</v>
      </c>
      <c r="H338" t="n">
        <v>0</v>
      </c>
      <c r="I338" t="n">
        <v>0</v>
      </c>
      <c r="J338" t="n">
        <v>0</v>
      </c>
      <c r="K338" t="n">
        <v>0</v>
      </c>
      <c r="L338" t="n">
        <v>0</v>
      </c>
      <c r="M338" t="n">
        <v>0</v>
      </c>
      <c r="N338" t="n">
        <v>0</v>
      </c>
      <c r="O338" t="n">
        <v>0</v>
      </c>
      <c r="P338" t="n">
        <v>0</v>
      </c>
      <c r="Q338" t="n">
        <v>0</v>
      </c>
      <c r="R338" s="2" t="inlineStr"/>
    </row>
    <row r="339" ht="15" customHeight="1">
      <c r="A339" t="inlineStr">
        <is>
          <t>A 14320-2026</t>
        </is>
      </c>
      <c r="B339" s="1" t="n">
        <v>46099.88449074074</v>
      </c>
      <c r="C339" s="1" t="n">
        <v>46136</v>
      </c>
      <c r="D339" t="inlineStr">
        <is>
          <t>KALMAR LÄN</t>
        </is>
      </c>
      <c r="E339" t="inlineStr">
        <is>
          <t>VIMMERBY</t>
        </is>
      </c>
      <c r="G339" t="n">
        <v>2.3</v>
      </c>
      <c r="H339" t="n">
        <v>0</v>
      </c>
      <c r="I339" t="n">
        <v>0</v>
      </c>
      <c r="J339" t="n">
        <v>0</v>
      </c>
      <c r="K339" t="n">
        <v>0</v>
      </c>
      <c r="L339" t="n">
        <v>0</v>
      </c>
      <c r="M339" t="n">
        <v>0</v>
      </c>
      <c r="N339" t="n">
        <v>0</v>
      </c>
      <c r="O339" t="n">
        <v>0</v>
      </c>
      <c r="P339" t="n">
        <v>0</v>
      </c>
      <c r="Q339" t="n">
        <v>0</v>
      </c>
      <c r="R339" s="2" t="inlineStr"/>
    </row>
    <row r="340" ht="15" customHeight="1">
      <c r="A340" t="inlineStr">
        <is>
          <t>A 8945-2025</t>
        </is>
      </c>
      <c r="B340" s="1" t="n">
        <v>45713.45311342592</v>
      </c>
      <c r="C340" s="1" t="n">
        <v>46136</v>
      </c>
      <c r="D340" t="inlineStr">
        <is>
          <t>KALMAR LÄN</t>
        </is>
      </c>
      <c r="E340" t="inlineStr">
        <is>
          <t>VIMMERBY</t>
        </is>
      </c>
      <c r="G340" t="n">
        <v>0.6</v>
      </c>
      <c r="H340" t="n">
        <v>0</v>
      </c>
      <c r="I340" t="n">
        <v>0</v>
      </c>
      <c r="J340" t="n">
        <v>0</v>
      </c>
      <c r="K340" t="n">
        <v>0</v>
      </c>
      <c r="L340" t="n">
        <v>0</v>
      </c>
      <c r="M340" t="n">
        <v>0</v>
      </c>
      <c r="N340" t="n">
        <v>0</v>
      </c>
      <c r="O340" t="n">
        <v>0</v>
      </c>
      <c r="P340" t="n">
        <v>0</v>
      </c>
      <c r="Q340" t="n">
        <v>0</v>
      </c>
      <c r="R340" s="2" t="inlineStr"/>
    </row>
    <row r="341" ht="15" customHeight="1">
      <c r="A341" t="inlineStr">
        <is>
          <t>A 31551-2025</t>
        </is>
      </c>
      <c r="B341" s="1" t="n">
        <v>45833.64237268519</v>
      </c>
      <c r="C341" s="1" t="n">
        <v>46136</v>
      </c>
      <c r="D341" t="inlineStr">
        <is>
          <t>KALMAR LÄN</t>
        </is>
      </c>
      <c r="E341" t="inlineStr">
        <is>
          <t>VIMMERBY</t>
        </is>
      </c>
      <c r="G341" t="n">
        <v>1.9</v>
      </c>
      <c r="H341" t="n">
        <v>0</v>
      </c>
      <c r="I341" t="n">
        <v>0</v>
      </c>
      <c r="J341" t="n">
        <v>0</v>
      </c>
      <c r="K341" t="n">
        <v>0</v>
      </c>
      <c r="L341" t="n">
        <v>0</v>
      </c>
      <c r="M341" t="n">
        <v>0</v>
      </c>
      <c r="N341" t="n">
        <v>0</v>
      </c>
      <c r="O341" t="n">
        <v>0</v>
      </c>
      <c r="P341" t="n">
        <v>0</v>
      </c>
      <c r="Q341" t="n">
        <v>0</v>
      </c>
      <c r="R341" s="2" t="inlineStr"/>
    </row>
    <row r="342" ht="15" customHeight="1">
      <c r="A342" t="inlineStr">
        <is>
          <t>A 31987-2025</t>
        </is>
      </c>
      <c r="B342" s="1" t="n">
        <v>45835.36229166666</v>
      </c>
      <c r="C342" s="1" t="n">
        <v>46136</v>
      </c>
      <c r="D342" t="inlineStr">
        <is>
          <t>KALMAR LÄN</t>
        </is>
      </c>
      <c r="E342" t="inlineStr">
        <is>
          <t>VIMMERBY</t>
        </is>
      </c>
      <c r="F342" t="inlineStr">
        <is>
          <t>Kyrkan</t>
        </is>
      </c>
      <c r="G342" t="n">
        <v>1.2</v>
      </c>
      <c r="H342" t="n">
        <v>0</v>
      </c>
      <c r="I342" t="n">
        <v>0</v>
      </c>
      <c r="J342" t="n">
        <v>0</v>
      </c>
      <c r="K342" t="n">
        <v>0</v>
      </c>
      <c r="L342" t="n">
        <v>0</v>
      </c>
      <c r="M342" t="n">
        <v>0</v>
      </c>
      <c r="N342" t="n">
        <v>0</v>
      </c>
      <c r="O342" t="n">
        <v>0</v>
      </c>
      <c r="P342" t="n">
        <v>0</v>
      </c>
      <c r="Q342" t="n">
        <v>0</v>
      </c>
      <c r="R342" s="2" t="inlineStr"/>
    </row>
    <row r="343" ht="15" customHeight="1">
      <c r="A343" t="inlineStr">
        <is>
          <t>A 40665-2023</t>
        </is>
      </c>
      <c r="B343" s="1" t="n">
        <v>45170</v>
      </c>
      <c r="C343" s="1" t="n">
        <v>46136</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13307-2025</t>
        </is>
      </c>
      <c r="B344" s="1" t="n">
        <v>45735.58024305556</v>
      </c>
      <c r="C344" s="1" t="n">
        <v>46136</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14279-2026</t>
        </is>
      </c>
      <c r="B345" s="1" t="n">
        <v>46099.66826388889</v>
      </c>
      <c r="C345" s="1" t="n">
        <v>46136</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32120-2025</t>
        </is>
      </c>
      <c r="B346" s="1" t="n">
        <v>45835.4924537037</v>
      </c>
      <c r="C346" s="1" t="n">
        <v>46136</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14318-2026</t>
        </is>
      </c>
      <c r="B347" s="1" t="n">
        <v>46099.87961805556</v>
      </c>
      <c r="C347" s="1" t="n">
        <v>46136</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28034-2022</t>
        </is>
      </c>
      <c r="B348" s="1" t="n">
        <v>44746.38834490741</v>
      </c>
      <c r="C348" s="1" t="n">
        <v>46136</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6817-2026</t>
        </is>
      </c>
      <c r="B349" s="1" t="n">
        <v>46057.38412037037</v>
      </c>
      <c r="C349" s="1" t="n">
        <v>46136</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14277-2026</t>
        </is>
      </c>
      <c r="B350" s="1" t="n">
        <v>46099.66305555555</v>
      </c>
      <c r="C350" s="1" t="n">
        <v>46136</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32116-2025</t>
        </is>
      </c>
      <c r="B351" s="1" t="n">
        <v>45835.48862268519</v>
      </c>
      <c r="C351" s="1" t="n">
        <v>46136</v>
      </c>
      <c r="D351" t="inlineStr">
        <is>
          <t>KALMAR LÄN</t>
        </is>
      </c>
      <c r="E351" t="inlineStr">
        <is>
          <t>VIMMERBY</t>
        </is>
      </c>
      <c r="G351" t="n">
        <v>0.9</v>
      </c>
      <c r="H351" t="n">
        <v>0</v>
      </c>
      <c r="I351" t="n">
        <v>0</v>
      </c>
      <c r="J351" t="n">
        <v>0</v>
      </c>
      <c r="K351" t="n">
        <v>0</v>
      </c>
      <c r="L351" t="n">
        <v>0</v>
      </c>
      <c r="M351" t="n">
        <v>0</v>
      </c>
      <c r="N351" t="n">
        <v>0</v>
      </c>
      <c r="O351" t="n">
        <v>0</v>
      </c>
      <c r="P351" t="n">
        <v>0</v>
      </c>
      <c r="Q351" t="n">
        <v>0</v>
      </c>
      <c r="R351" s="2" t="inlineStr"/>
    </row>
    <row r="352" ht="15" customHeight="1">
      <c r="A352" t="inlineStr">
        <is>
          <t>A 55605-2024</t>
        </is>
      </c>
      <c r="B352" s="1" t="n">
        <v>45622</v>
      </c>
      <c r="C352" s="1" t="n">
        <v>46136</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42165-2024</t>
        </is>
      </c>
      <c r="B353" s="1" t="n">
        <v>45562.46342592593</v>
      </c>
      <c r="C353" s="1" t="n">
        <v>46136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20129-2024</t>
        </is>
      </c>
      <c r="B354" s="1" t="n">
        <v>45434.55831018519</v>
      </c>
      <c r="C354" s="1" t="n">
        <v>46136</v>
      </c>
      <c r="D354" t="inlineStr">
        <is>
          <t>KALMAR LÄN</t>
        </is>
      </c>
      <c r="E354" t="inlineStr">
        <is>
          <t>VIMMERBY</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20137-2024</t>
        </is>
      </c>
      <c r="B355" s="1" t="n">
        <v>45434.56398148148</v>
      </c>
      <c r="C355" s="1" t="n">
        <v>46136</v>
      </c>
      <c r="D355" t="inlineStr">
        <is>
          <t>KALMAR LÄN</t>
        </is>
      </c>
      <c r="E355" t="inlineStr">
        <is>
          <t>VIMMERBY</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32380-2025</t>
        </is>
      </c>
      <c r="B356" s="1" t="n">
        <v>45837.77701388889</v>
      </c>
      <c r="C356" s="1" t="n">
        <v>46136</v>
      </c>
      <c r="D356" t="inlineStr">
        <is>
          <t>KALMAR LÄN</t>
        </is>
      </c>
      <c r="E356" t="inlineStr">
        <is>
          <t>VIMMERBY</t>
        </is>
      </c>
      <c r="G356" t="n">
        <v>3.1</v>
      </c>
      <c r="H356" t="n">
        <v>0</v>
      </c>
      <c r="I356" t="n">
        <v>0</v>
      </c>
      <c r="J356" t="n">
        <v>0</v>
      </c>
      <c r="K356" t="n">
        <v>0</v>
      </c>
      <c r="L356" t="n">
        <v>0</v>
      </c>
      <c r="M356" t="n">
        <v>0</v>
      </c>
      <c r="N356" t="n">
        <v>0</v>
      </c>
      <c r="O356" t="n">
        <v>0</v>
      </c>
      <c r="P356" t="n">
        <v>0</v>
      </c>
      <c r="Q356" t="n">
        <v>0</v>
      </c>
      <c r="R356" s="2" t="inlineStr"/>
    </row>
    <row r="357" ht="15" customHeight="1">
      <c r="A357" t="inlineStr">
        <is>
          <t>A 32109-2025</t>
        </is>
      </c>
      <c r="B357" s="1" t="n">
        <v>45835.48267361111</v>
      </c>
      <c r="C357" s="1" t="n">
        <v>46136</v>
      </c>
      <c r="D357" t="inlineStr">
        <is>
          <t>KALMAR LÄN</t>
        </is>
      </c>
      <c r="E357" t="inlineStr">
        <is>
          <t>VIMMERBY</t>
        </is>
      </c>
      <c r="G357" t="n">
        <v>2.5</v>
      </c>
      <c r="H357" t="n">
        <v>0</v>
      </c>
      <c r="I357" t="n">
        <v>0</v>
      </c>
      <c r="J357" t="n">
        <v>0</v>
      </c>
      <c r="K357" t="n">
        <v>0</v>
      </c>
      <c r="L357" t="n">
        <v>0</v>
      </c>
      <c r="M357" t="n">
        <v>0</v>
      </c>
      <c r="N357" t="n">
        <v>0</v>
      </c>
      <c r="O357" t="n">
        <v>0</v>
      </c>
      <c r="P357" t="n">
        <v>0</v>
      </c>
      <c r="Q357" t="n">
        <v>0</v>
      </c>
      <c r="R357" s="2" t="inlineStr"/>
    </row>
    <row r="358" ht="15" customHeight="1">
      <c r="A358" t="inlineStr">
        <is>
          <t>A 32113-2025</t>
        </is>
      </c>
      <c r="B358" s="1" t="n">
        <v>45835.48445601852</v>
      </c>
      <c r="C358" s="1" t="n">
        <v>46136</v>
      </c>
      <c r="D358" t="inlineStr">
        <is>
          <t>KALMAR LÄN</t>
        </is>
      </c>
      <c r="E358" t="inlineStr">
        <is>
          <t>VIMMERBY</t>
        </is>
      </c>
      <c r="G358" t="n">
        <v>3.5</v>
      </c>
      <c r="H358" t="n">
        <v>0</v>
      </c>
      <c r="I358" t="n">
        <v>0</v>
      </c>
      <c r="J358" t="n">
        <v>0</v>
      </c>
      <c r="K358" t="n">
        <v>0</v>
      </c>
      <c r="L358" t="n">
        <v>0</v>
      </c>
      <c r="M358" t="n">
        <v>0</v>
      </c>
      <c r="N358" t="n">
        <v>0</v>
      </c>
      <c r="O358" t="n">
        <v>0</v>
      </c>
      <c r="P358" t="n">
        <v>0</v>
      </c>
      <c r="Q358" t="n">
        <v>0</v>
      </c>
      <c r="R358" s="2" t="inlineStr"/>
    </row>
    <row r="359" ht="15" customHeight="1">
      <c r="A359" t="inlineStr">
        <is>
          <t>A 23095-2023</t>
        </is>
      </c>
      <c r="B359" s="1" t="n">
        <v>45075.43059027778</v>
      </c>
      <c r="C359" s="1" t="n">
        <v>46136</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32919-2022</t>
        </is>
      </c>
      <c r="B360" s="1" t="n">
        <v>44784.62724537037</v>
      </c>
      <c r="C360" s="1" t="n">
        <v>46136</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32077-2025</t>
        </is>
      </c>
      <c r="B361" s="1" t="n">
        <v>45835.45099537037</v>
      </c>
      <c r="C361" s="1" t="n">
        <v>46136</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14793-2026</t>
        </is>
      </c>
      <c r="B362" s="1" t="n">
        <v>46101.92108796296</v>
      </c>
      <c r="C362" s="1" t="n">
        <v>46136</v>
      </c>
      <c r="D362" t="inlineStr">
        <is>
          <t>KALMAR LÄN</t>
        </is>
      </c>
      <c r="E362" t="inlineStr">
        <is>
          <t>VIMMERBY</t>
        </is>
      </c>
      <c r="G362" t="n">
        <v>5.7</v>
      </c>
      <c r="H362" t="n">
        <v>0</v>
      </c>
      <c r="I362" t="n">
        <v>0</v>
      </c>
      <c r="J362" t="n">
        <v>0</v>
      </c>
      <c r="K362" t="n">
        <v>0</v>
      </c>
      <c r="L362" t="n">
        <v>0</v>
      </c>
      <c r="M362" t="n">
        <v>0</v>
      </c>
      <c r="N362" t="n">
        <v>0</v>
      </c>
      <c r="O362" t="n">
        <v>0</v>
      </c>
      <c r="P362" t="n">
        <v>0</v>
      </c>
      <c r="Q362" t="n">
        <v>0</v>
      </c>
      <c r="R362" s="2" t="inlineStr"/>
    </row>
    <row r="363" ht="15" customHeight="1">
      <c r="A363" t="inlineStr">
        <is>
          <t>A 32064-2025</t>
        </is>
      </c>
      <c r="B363" s="1" t="n">
        <v>45835.44709490741</v>
      </c>
      <c r="C363" s="1" t="n">
        <v>46136</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32065-2025</t>
        </is>
      </c>
      <c r="B364" s="1" t="n">
        <v>45835.44732638889</v>
      </c>
      <c r="C364" s="1" t="n">
        <v>46136</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15054-2026</t>
        </is>
      </c>
      <c r="B365" s="1" t="n">
        <v>46104.6815162037</v>
      </c>
      <c r="C365" s="1" t="n">
        <v>46136</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39801-2025</t>
        </is>
      </c>
      <c r="B366" s="1" t="n">
        <v>45891.50216435185</v>
      </c>
      <c r="C366" s="1" t="n">
        <v>46136</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7068-2024</t>
        </is>
      </c>
      <c r="B367" s="1" t="n">
        <v>45343.68038194445</v>
      </c>
      <c r="C367" s="1" t="n">
        <v>46136</v>
      </c>
      <c r="D367" t="inlineStr">
        <is>
          <t>KALMAR LÄN</t>
        </is>
      </c>
      <c r="E367" t="inlineStr">
        <is>
          <t>VIMMERBY</t>
        </is>
      </c>
      <c r="G367" t="n">
        <v>2.5</v>
      </c>
      <c r="H367" t="n">
        <v>0</v>
      </c>
      <c r="I367" t="n">
        <v>0</v>
      </c>
      <c r="J367" t="n">
        <v>0</v>
      </c>
      <c r="K367" t="n">
        <v>0</v>
      </c>
      <c r="L367" t="n">
        <v>0</v>
      </c>
      <c r="M367" t="n">
        <v>0</v>
      </c>
      <c r="N367" t="n">
        <v>0</v>
      </c>
      <c r="O367" t="n">
        <v>0</v>
      </c>
      <c r="P367" t="n">
        <v>0</v>
      </c>
      <c r="Q367" t="n">
        <v>0</v>
      </c>
      <c r="R367" s="2" t="inlineStr"/>
    </row>
    <row r="368" ht="15" customHeight="1">
      <c r="A368" t="inlineStr">
        <is>
          <t>A 39807-2025</t>
        </is>
      </c>
      <c r="B368" s="1" t="n">
        <v>45891.50986111111</v>
      </c>
      <c r="C368" s="1" t="n">
        <v>46136</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32655-2023</t>
        </is>
      </c>
      <c r="B369" s="1" t="n">
        <v>45121.61318287037</v>
      </c>
      <c r="C369" s="1" t="n">
        <v>46136</v>
      </c>
      <c r="D369" t="inlineStr">
        <is>
          <t>KALMAR LÄN</t>
        </is>
      </c>
      <c r="E369" t="inlineStr">
        <is>
          <t>VIMMERBY</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14792-2026</t>
        </is>
      </c>
      <c r="B370" s="1" t="n">
        <v>46101.91993055555</v>
      </c>
      <c r="C370" s="1" t="n">
        <v>46136</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33186-2025</t>
        </is>
      </c>
      <c r="B371" s="1" t="n">
        <v>45840.59474537037</v>
      </c>
      <c r="C371" s="1" t="n">
        <v>46136</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54409-2024</t>
        </is>
      </c>
      <c r="B372" s="1" t="n">
        <v>45617.47570601852</v>
      </c>
      <c r="C372" s="1" t="n">
        <v>46136</v>
      </c>
      <c r="D372" t="inlineStr">
        <is>
          <t>KALMAR LÄN</t>
        </is>
      </c>
      <c r="E372" t="inlineStr">
        <is>
          <t>VIMMERBY</t>
        </is>
      </c>
      <c r="G372" t="n">
        <v>4.3</v>
      </c>
      <c r="H372" t="n">
        <v>0</v>
      </c>
      <c r="I372" t="n">
        <v>0</v>
      </c>
      <c r="J372" t="n">
        <v>0</v>
      </c>
      <c r="K372" t="n">
        <v>0</v>
      </c>
      <c r="L372" t="n">
        <v>0</v>
      </c>
      <c r="M372" t="n">
        <v>0</v>
      </c>
      <c r="N372" t="n">
        <v>0</v>
      </c>
      <c r="O372" t="n">
        <v>0</v>
      </c>
      <c r="P372" t="n">
        <v>0</v>
      </c>
      <c r="Q372" t="n">
        <v>0</v>
      </c>
      <c r="R372" s="2" t="inlineStr"/>
    </row>
    <row r="373" ht="15" customHeight="1">
      <c r="A373" t="inlineStr">
        <is>
          <t>A 30977-2025</t>
        </is>
      </c>
      <c r="B373" s="1" t="n">
        <v>45832.46649305556</v>
      </c>
      <c r="C373" s="1" t="n">
        <v>46136</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33695-2025</t>
        </is>
      </c>
      <c r="B374" s="1" t="n">
        <v>45841.70569444444</v>
      </c>
      <c r="C374" s="1" t="n">
        <v>46136</v>
      </c>
      <c r="D374" t="inlineStr">
        <is>
          <t>KALMAR LÄN</t>
        </is>
      </c>
      <c r="E374" t="inlineStr">
        <is>
          <t>VIMMERBY</t>
        </is>
      </c>
      <c r="G374" t="n">
        <v>2.7</v>
      </c>
      <c r="H374" t="n">
        <v>0</v>
      </c>
      <c r="I374" t="n">
        <v>0</v>
      </c>
      <c r="J374" t="n">
        <v>0</v>
      </c>
      <c r="K374" t="n">
        <v>0</v>
      </c>
      <c r="L374" t="n">
        <v>0</v>
      </c>
      <c r="M374" t="n">
        <v>0</v>
      </c>
      <c r="N374" t="n">
        <v>0</v>
      </c>
      <c r="O374" t="n">
        <v>0</v>
      </c>
      <c r="P374" t="n">
        <v>0</v>
      </c>
      <c r="Q374" t="n">
        <v>0</v>
      </c>
      <c r="R374" s="2" t="inlineStr"/>
    </row>
    <row r="375" ht="15" customHeight="1">
      <c r="A375" t="inlineStr">
        <is>
          <t>A 33698-2025</t>
        </is>
      </c>
      <c r="B375" s="1" t="n">
        <v>45841.70868055556</v>
      </c>
      <c r="C375" s="1" t="n">
        <v>46136</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39736-2025</t>
        </is>
      </c>
      <c r="B376" s="1" t="n">
        <v>45891</v>
      </c>
      <c r="C376" s="1" t="n">
        <v>46136</v>
      </c>
      <c r="D376" t="inlineStr">
        <is>
          <t>KALMAR LÄN</t>
        </is>
      </c>
      <c r="E376" t="inlineStr">
        <is>
          <t>VIMMERBY</t>
        </is>
      </c>
      <c r="G376" t="n">
        <v>12.8</v>
      </c>
      <c r="H376" t="n">
        <v>0</v>
      </c>
      <c r="I376" t="n">
        <v>0</v>
      </c>
      <c r="J376" t="n">
        <v>0</v>
      </c>
      <c r="K376" t="n">
        <v>0</v>
      </c>
      <c r="L376" t="n">
        <v>0</v>
      </c>
      <c r="M376" t="n">
        <v>0</v>
      </c>
      <c r="N376" t="n">
        <v>0</v>
      </c>
      <c r="O376" t="n">
        <v>0</v>
      </c>
      <c r="P376" t="n">
        <v>0</v>
      </c>
      <c r="Q376" t="n">
        <v>0</v>
      </c>
      <c r="R376" s="2" t="inlineStr"/>
    </row>
    <row r="377" ht="15" customHeight="1">
      <c r="A377" t="inlineStr">
        <is>
          <t>A 39803-2025</t>
        </is>
      </c>
      <c r="B377" s="1" t="n">
        <v>45891.50525462963</v>
      </c>
      <c r="C377" s="1" t="n">
        <v>46136</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39889-2025</t>
        </is>
      </c>
      <c r="B378" s="1" t="n">
        <v>45891</v>
      </c>
      <c r="C378" s="1" t="n">
        <v>46136</v>
      </c>
      <c r="D378" t="inlineStr">
        <is>
          <t>KALMAR LÄN</t>
        </is>
      </c>
      <c r="E378" t="inlineStr">
        <is>
          <t>VIMMERBY</t>
        </is>
      </c>
      <c r="G378" t="n">
        <v>4.5</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46136</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40970-2025</t>
        </is>
      </c>
      <c r="B380" s="1" t="n">
        <v>45897.88706018519</v>
      </c>
      <c r="C380" s="1" t="n">
        <v>46136</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40973-2025</t>
        </is>
      </c>
      <c r="B381" s="1" t="n">
        <v>45897.89737268518</v>
      </c>
      <c r="C381" s="1" t="n">
        <v>46136</v>
      </c>
      <c r="D381" t="inlineStr">
        <is>
          <t>KALMAR LÄN</t>
        </is>
      </c>
      <c r="E381" t="inlineStr">
        <is>
          <t>VIMMERBY</t>
        </is>
      </c>
      <c r="G381" t="n">
        <v>1.8</v>
      </c>
      <c r="H381" t="n">
        <v>0</v>
      </c>
      <c r="I381" t="n">
        <v>0</v>
      </c>
      <c r="J381" t="n">
        <v>0</v>
      </c>
      <c r="K381" t="n">
        <v>0</v>
      </c>
      <c r="L381" t="n">
        <v>0</v>
      </c>
      <c r="M381" t="n">
        <v>0</v>
      </c>
      <c r="N381" t="n">
        <v>0</v>
      </c>
      <c r="O381" t="n">
        <v>0</v>
      </c>
      <c r="P381" t="n">
        <v>0</v>
      </c>
      <c r="Q381" t="n">
        <v>0</v>
      </c>
      <c r="R381" s="2" t="inlineStr"/>
    </row>
    <row r="382" ht="15" customHeight="1">
      <c r="A382" t="inlineStr">
        <is>
          <t>A 41224-2025</t>
        </is>
      </c>
      <c r="B382" s="1" t="n">
        <v>45898.58861111111</v>
      </c>
      <c r="C382" s="1" t="n">
        <v>46136</v>
      </c>
      <c r="D382" t="inlineStr">
        <is>
          <t>KALMAR LÄN</t>
        </is>
      </c>
      <c r="E382" t="inlineStr">
        <is>
          <t>VIMMERBY</t>
        </is>
      </c>
      <c r="G382" t="n">
        <v>4.4</v>
      </c>
      <c r="H382" t="n">
        <v>0</v>
      </c>
      <c r="I382" t="n">
        <v>0</v>
      </c>
      <c r="J382" t="n">
        <v>0</v>
      </c>
      <c r="K382" t="n">
        <v>0</v>
      </c>
      <c r="L382" t="n">
        <v>0</v>
      </c>
      <c r="M382" t="n">
        <v>0</v>
      </c>
      <c r="N382" t="n">
        <v>0</v>
      </c>
      <c r="O382" t="n">
        <v>0</v>
      </c>
      <c r="P382" t="n">
        <v>0</v>
      </c>
      <c r="Q382" t="n">
        <v>0</v>
      </c>
      <c r="R382" s="2" t="inlineStr"/>
    </row>
    <row r="383" ht="15" customHeight="1">
      <c r="A383" t="inlineStr">
        <is>
          <t>A 43092-2024</t>
        </is>
      </c>
      <c r="B383" s="1" t="n">
        <v>45567</v>
      </c>
      <c r="C383" s="1" t="n">
        <v>46136</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40925-2025</t>
        </is>
      </c>
      <c r="B384" s="1" t="n">
        <v>45897.64208333333</v>
      </c>
      <c r="C384" s="1" t="n">
        <v>46136</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40921-2025</t>
        </is>
      </c>
      <c r="B385" s="1" t="n">
        <v>45897.63520833333</v>
      </c>
      <c r="C385" s="1" t="n">
        <v>46136</v>
      </c>
      <c r="D385" t="inlineStr">
        <is>
          <t>KALMAR LÄN</t>
        </is>
      </c>
      <c r="E385" t="inlineStr">
        <is>
          <t>VIMMERBY</t>
        </is>
      </c>
      <c r="G385" t="n">
        <v>4.2</v>
      </c>
      <c r="H385" t="n">
        <v>0</v>
      </c>
      <c r="I385" t="n">
        <v>0</v>
      </c>
      <c r="J385" t="n">
        <v>0</v>
      </c>
      <c r="K385" t="n">
        <v>0</v>
      </c>
      <c r="L385" t="n">
        <v>0</v>
      </c>
      <c r="M385" t="n">
        <v>0</v>
      </c>
      <c r="N385" t="n">
        <v>0</v>
      </c>
      <c r="O385" t="n">
        <v>0</v>
      </c>
      <c r="P385" t="n">
        <v>0</v>
      </c>
      <c r="Q385" t="n">
        <v>0</v>
      </c>
      <c r="R385" s="2" t="inlineStr"/>
    </row>
    <row r="386" ht="15" customHeight="1">
      <c r="A386" t="inlineStr">
        <is>
          <t>A 40971-2025</t>
        </is>
      </c>
      <c r="B386" s="1" t="n">
        <v>45897.88836805556</v>
      </c>
      <c r="C386" s="1" t="n">
        <v>46136</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11619-2023</t>
        </is>
      </c>
      <c r="B387" s="1" t="n">
        <v>44994.42113425926</v>
      </c>
      <c r="C387" s="1" t="n">
        <v>46136</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5074-2023</t>
        </is>
      </c>
      <c r="B388" s="1" t="n">
        <v>44958.61047453704</v>
      </c>
      <c r="C388" s="1" t="n">
        <v>46136</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33696-2025</t>
        </is>
      </c>
      <c r="B389" s="1" t="n">
        <v>45841.7072337963</v>
      </c>
      <c r="C389" s="1" t="n">
        <v>46136</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6368-2023</t>
        </is>
      </c>
      <c r="B390" s="1" t="n">
        <v>44965</v>
      </c>
      <c r="C390" s="1" t="n">
        <v>46136</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5701-2024</t>
        </is>
      </c>
      <c r="B391" s="1" t="n">
        <v>45334.78826388889</v>
      </c>
      <c r="C391" s="1" t="n">
        <v>46136</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15205-2026</t>
        </is>
      </c>
      <c r="B392" s="1" t="n">
        <v>46105.48628472222</v>
      </c>
      <c r="C392" s="1" t="n">
        <v>46136</v>
      </c>
      <c r="D392" t="inlineStr">
        <is>
          <t>KALMAR LÄN</t>
        </is>
      </c>
      <c r="E392" t="inlineStr">
        <is>
          <t>VIMMERBY</t>
        </is>
      </c>
      <c r="G392" t="n">
        <v>2.1</v>
      </c>
      <c r="H392" t="n">
        <v>0</v>
      </c>
      <c r="I392" t="n">
        <v>0</v>
      </c>
      <c r="J392" t="n">
        <v>0</v>
      </c>
      <c r="K392" t="n">
        <v>0</v>
      </c>
      <c r="L392" t="n">
        <v>0</v>
      </c>
      <c r="M392" t="n">
        <v>0</v>
      </c>
      <c r="N392" t="n">
        <v>0</v>
      </c>
      <c r="O392" t="n">
        <v>0</v>
      </c>
      <c r="P392" t="n">
        <v>0</v>
      </c>
      <c r="Q392" t="n">
        <v>0</v>
      </c>
      <c r="R392" s="2" t="inlineStr"/>
    </row>
    <row r="393" ht="15" customHeight="1">
      <c r="A393" t="inlineStr">
        <is>
          <t>A 28702-2025</t>
        </is>
      </c>
      <c r="B393" s="1" t="n">
        <v>45820.03976851852</v>
      </c>
      <c r="C393" s="1" t="n">
        <v>46136</v>
      </c>
      <c r="D393" t="inlineStr">
        <is>
          <t>KALMAR LÄN</t>
        </is>
      </c>
      <c r="E393" t="inlineStr">
        <is>
          <t>VIMMERBY</t>
        </is>
      </c>
      <c r="G393" t="n">
        <v>2.1</v>
      </c>
      <c r="H393" t="n">
        <v>0</v>
      </c>
      <c r="I393" t="n">
        <v>0</v>
      </c>
      <c r="J393" t="n">
        <v>0</v>
      </c>
      <c r="K393" t="n">
        <v>0</v>
      </c>
      <c r="L393" t="n">
        <v>0</v>
      </c>
      <c r="M393" t="n">
        <v>0</v>
      </c>
      <c r="N393" t="n">
        <v>0</v>
      </c>
      <c r="O393" t="n">
        <v>0</v>
      </c>
      <c r="P393" t="n">
        <v>0</v>
      </c>
      <c r="Q393" t="n">
        <v>0</v>
      </c>
      <c r="R393" s="2" t="inlineStr"/>
    </row>
    <row r="394" ht="15" customHeight="1">
      <c r="A394" t="inlineStr">
        <is>
          <t>A 7797-2023</t>
        </is>
      </c>
      <c r="B394" s="1" t="n">
        <v>44973.43075231482</v>
      </c>
      <c r="C394" s="1" t="n">
        <v>46136</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8696-2026</t>
        </is>
      </c>
      <c r="B395" s="1" t="n">
        <v>46066.45273148148</v>
      </c>
      <c r="C395" s="1" t="n">
        <v>46136</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24655-2021</t>
        </is>
      </c>
      <c r="B396" s="1" t="n">
        <v>44340</v>
      </c>
      <c r="C396" s="1" t="n">
        <v>46136</v>
      </c>
      <c r="D396" t="inlineStr">
        <is>
          <t>KALMAR LÄN</t>
        </is>
      </c>
      <c r="E396" t="inlineStr">
        <is>
          <t>VIMMERBY</t>
        </is>
      </c>
      <c r="G396" t="n">
        <v>14.9</v>
      </c>
      <c r="H396" t="n">
        <v>0</v>
      </c>
      <c r="I396" t="n">
        <v>0</v>
      </c>
      <c r="J396" t="n">
        <v>0</v>
      </c>
      <c r="K396" t="n">
        <v>0</v>
      </c>
      <c r="L396" t="n">
        <v>0</v>
      </c>
      <c r="M396" t="n">
        <v>0</v>
      </c>
      <c r="N396" t="n">
        <v>0</v>
      </c>
      <c r="O396" t="n">
        <v>0</v>
      </c>
      <c r="P396" t="n">
        <v>0</v>
      </c>
      <c r="Q396" t="n">
        <v>0</v>
      </c>
      <c r="R396" s="2" t="inlineStr"/>
    </row>
    <row r="397" ht="15" customHeight="1">
      <c r="A397" t="inlineStr">
        <is>
          <t>A 34071-2025</t>
        </is>
      </c>
      <c r="B397" s="1" t="n">
        <v>45845.43803240741</v>
      </c>
      <c r="C397" s="1" t="n">
        <v>46136</v>
      </c>
      <c r="D397" t="inlineStr">
        <is>
          <t>KALMAR LÄN</t>
        </is>
      </c>
      <c r="E397" t="inlineStr">
        <is>
          <t>VIMMERBY</t>
        </is>
      </c>
      <c r="G397" t="n">
        <v>6.8</v>
      </c>
      <c r="H397" t="n">
        <v>0</v>
      </c>
      <c r="I397" t="n">
        <v>0</v>
      </c>
      <c r="J397" t="n">
        <v>0</v>
      </c>
      <c r="K397" t="n">
        <v>0</v>
      </c>
      <c r="L397" t="n">
        <v>0</v>
      </c>
      <c r="M397" t="n">
        <v>0</v>
      </c>
      <c r="N397" t="n">
        <v>0</v>
      </c>
      <c r="O397" t="n">
        <v>0</v>
      </c>
      <c r="P397" t="n">
        <v>0</v>
      </c>
      <c r="Q397" t="n">
        <v>0</v>
      </c>
      <c r="R397" s="2" t="inlineStr"/>
    </row>
    <row r="398" ht="15" customHeight="1">
      <c r="A398" t="inlineStr">
        <is>
          <t>A 34106-2025</t>
        </is>
      </c>
      <c r="B398" s="1" t="n">
        <v>45845.49414351852</v>
      </c>
      <c r="C398" s="1" t="n">
        <v>46136</v>
      </c>
      <c r="D398" t="inlineStr">
        <is>
          <t>KALMAR LÄN</t>
        </is>
      </c>
      <c r="E398" t="inlineStr">
        <is>
          <t>VIMMERBY</t>
        </is>
      </c>
      <c r="G398" t="n">
        <v>6</v>
      </c>
      <c r="H398" t="n">
        <v>0</v>
      </c>
      <c r="I398" t="n">
        <v>0</v>
      </c>
      <c r="J398" t="n">
        <v>0</v>
      </c>
      <c r="K398" t="n">
        <v>0</v>
      </c>
      <c r="L398" t="n">
        <v>0</v>
      </c>
      <c r="M398" t="n">
        <v>0</v>
      </c>
      <c r="N398" t="n">
        <v>0</v>
      </c>
      <c r="O398" t="n">
        <v>0</v>
      </c>
      <c r="P398" t="n">
        <v>0</v>
      </c>
      <c r="Q398" t="n">
        <v>0</v>
      </c>
      <c r="R398" s="2" t="inlineStr"/>
    </row>
    <row r="399" ht="15" customHeight="1">
      <c r="A399" t="inlineStr">
        <is>
          <t>A 26956-2025</t>
        </is>
      </c>
      <c r="B399" s="1" t="n">
        <v>45811.45460648148</v>
      </c>
      <c r="C399" s="1" t="n">
        <v>46136</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8410-2023</t>
        </is>
      </c>
      <c r="B400" s="1" t="n">
        <v>44977</v>
      </c>
      <c r="C400" s="1" t="n">
        <v>46136</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6028-2023</t>
        </is>
      </c>
      <c r="B401" s="1" t="n">
        <v>44964.44356481481</v>
      </c>
      <c r="C401" s="1" t="n">
        <v>46136</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34628-2025</t>
        </is>
      </c>
      <c r="B402" s="1" t="n">
        <v>45847.91280092593</v>
      </c>
      <c r="C402" s="1" t="n">
        <v>46136</v>
      </c>
      <c r="D402" t="inlineStr">
        <is>
          <t>KALMAR LÄN</t>
        </is>
      </c>
      <c r="E402" t="inlineStr">
        <is>
          <t>VIMMERBY</t>
        </is>
      </c>
      <c r="G402" t="n">
        <v>4.2</v>
      </c>
      <c r="H402" t="n">
        <v>0</v>
      </c>
      <c r="I402" t="n">
        <v>0</v>
      </c>
      <c r="J402" t="n">
        <v>0</v>
      </c>
      <c r="K402" t="n">
        <v>0</v>
      </c>
      <c r="L402" t="n">
        <v>0</v>
      </c>
      <c r="M402" t="n">
        <v>0</v>
      </c>
      <c r="N402" t="n">
        <v>0</v>
      </c>
      <c r="O402" t="n">
        <v>0</v>
      </c>
      <c r="P402" t="n">
        <v>0</v>
      </c>
      <c r="Q402" t="n">
        <v>0</v>
      </c>
      <c r="R402" s="2" t="inlineStr"/>
    </row>
    <row r="403" ht="15" customHeight="1">
      <c r="A403" t="inlineStr">
        <is>
          <t>A 52823-2024</t>
        </is>
      </c>
      <c r="B403" s="1" t="n">
        <v>45610.59094907407</v>
      </c>
      <c r="C403" s="1" t="n">
        <v>46136</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8595-2026</t>
        </is>
      </c>
      <c r="B404" s="1" t="n">
        <v>46065.7372337963</v>
      </c>
      <c r="C404" s="1" t="n">
        <v>46136</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16656-2026</t>
        </is>
      </c>
      <c r="B405" s="1" t="n">
        <v>46112.65111111111</v>
      </c>
      <c r="C405" s="1" t="n">
        <v>46136</v>
      </c>
      <c r="D405" t="inlineStr">
        <is>
          <t>KALMAR LÄN</t>
        </is>
      </c>
      <c r="E405" t="inlineStr">
        <is>
          <t>VIMMERBY</t>
        </is>
      </c>
      <c r="F405" t="inlineStr">
        <is>
          <t>Kommuner</t>
        </is>
      </c>
      <c r="G405" t="n">
        <v>5.5</v>
      </c>
      <c r="H405" t="n">
        <v>0</v>
      </c>
      <c r="I405" t="n">
        <v>0</v>
      </c>
      <c r="J405" t="n">
        <v>0</v>
      </c>
      <c r="K405" t="n">
        <v>0</v>
      </c>
      <c r="L405" t="n">
        <v>0</v>
      </c>
      <c r="M405" t="n">
        <v>0</v>
      </c>
      <c r="N405" t="n">
        <v>0</v>
      </c>
      <c r="O405" t="n">
        <v>0</v>
      </c>
      <c r="P405" t="n">
        <v>0</v>
      </c>
      <c r="Q405" t="n">
        <v>0</v>
      </c>
      <c r="R405" s="2" t="inlineStr"/>
    </row>
    <row r="406" ht="15" customHeight="1">
      <c r="A406" t="inlineStr">
        <is>
          <t>A 16678-2026</t>
        </is>
      </c>
      <c r="B406" s="1" t="n">
        <v>46112.69435185185</v>
      </c>
      <c r="C406" s="1" t="n">
        <v>46136</v>
      </c>
      <c r="D406" t="inlineStr">
        <is>
          <t>KALMAR LÄN</t>
        </is>
      </c>
      <c r="E406" t="inlineStr">
        <is>
          <t>VIMMERBY</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56853-2022</t>
        </is>
      </c>
      <c r="B407" s="1" t="n">
        <v>44894.49538194444</v>
      </c>
      <c r="C407" s="1" t="n">
        <v>46136</v>
      </c>
      <c r="D407" t="inlineStr">
        <is>
          <t>KALMAR LÄN</t>
        </is>
      </c>
      <c r="E407" t="inlineStr">
        <is>
          <t>VIMMERBY</t>
        </is>
      </c>
      <c r="G407" t="n">
        <v>4.3</v>
      </c>
      <c r="H407" t="n">
        <v>0</v>
      </c>
      <c r="I407" t="n">
        <v>0</v>
      </c>
      <c r="J407" t="n">
        <v>0</v>
      </c>
      <c r="K407" t="n">
        <v>0</v>
      </c>
      <c r="L407" t="n">
        <v>0</v>
      </c>
      <c r="M407" t="n">
        <v>0</v>
      </c>
      <c r="N407" t="n">
        <v>0</v>
      </c>
      <c r="O407" t="n">
        <v>0</v>
      </c>
      <c r="P407" t="n">
        <v>0</v>
      </c>
      <c r="Q407" t="n">
        <v>0</v>
      </c>
      <c r="R407" s="2" t="inlineStr"/>
    </row>
    <row r="408" ht="15" customHeight="1">
      <c r="A408" t="inlineStr">
        <is>
          <t>A 11152-2023</t>
        </is>
      </c>
      <c r="B408" s="1" t="n">
        <v>44992</v>
      </c>
      <c r="C408" s="1" t="n">
        <v>46136</v>
      </c>
      <c r="D408" t="inlineStr">
        <is>
          <t>KALMAR LÄN</t>
        </is>
      </c>
      <c r="E408" t="inlineStr">
        <is>
          <t>VIMMERBY</t>
        </is>
      </c>
      <c r="G408" t="n">
        <v>10.6</v>
      </c>
      <c r="H408" t="n">
        <v>0</v>
      </c>
      <c r="I408" t="n">
        <v>0</v>
      </c>
      <c r="J408" t="n">
        <v>0</v>
      </c>
      <c r="K408" t="n">
        <v>0</v>
      </c>
      <c r="L408" t="n">
        <v>0</v>
      </c>
      <c r="M408" t="n">
        <v>0</v>
      </c>
      <c r="N408" t="n">
        <v>0</v>
      </c>
      <c r="O408" t="n">
        <v>0</v>
      </c>
      <c r="P408" t="n">
        <v>0</v>
      </c>
      <c r="Q408" t="n">
        <v>0</v>
      </c>
      <c r="R408" s="2" t="inlineStr"/>
    </row>
    <row r="409" ht="15" customHeight="1">
      <c r="A409" t="inlineStr">
        <is>
          <t>A 15550-2023</t>
        </is>
      </c>
      <c r="B409" s="1" t="n">
        <v>45020</v>
      </c>
      <c r="C409" s="1" t="n">
        <v>46136</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41591-2025</t>
        </is>
      </c>
      <c r="B410" s="1" t="n">
        <v>45901.6327662037</v>
      </c>
      <c r="C410" s="1" t="n">
        <v>46136</v>
      </c>
      <c r="D410" t="inlineStr">
        <is>
          <t>KALMAR LÄN</t>
        </is>
      </c>
      <c r="E410" t="inlineStr">
        <is>
          <t>VIMMERBY</t>
        </is>
      </c>
      <c r="G410" t="n">
        <v>0.5</v>
      </c>
      <c r="H410" t="n">
        <v>0</v>
      </c>
      <c r="I410" t="n">
        <v>0</v>
      </c>
      <c r="J410" t="n">
        <v>0</v>
      </c>
      <c r="K410" t="n">
        <v>0</v>
      </c>
      <c r="L410" t="n">
        <v>0</v>
      </c>
      <c r="M410" t="n">
        <v>0</v>
      </c>
      <c r="N410" t="n">
        <v>0</v>
      </c>
      <c r="O410" t="n">
        <v>0</v>
      </c>
      <c r="P410" t="n">
        <v>0</v>
      </c>
      <c r="Q410" t="n">
        <v>0</v>
      </c>
      <c r="R410" s="2" t="inlineStr"/>
    </row>
    <row r="411" ht="15" customHeight="1">
      <c r="A411" t="inlineStr">
        <is>
          <t>A 41589-2025</t>
        </is>
      </c>
      <c r="B411" s="1" t="n">
        <v>45901.63219907408</v>
      </c>
      <c r="C411" s="1" t="n">
        <v>46136</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35270-2025</t>
        </is>
      </c>
      <c r="B412" s="1" t="n">
        <v>45853.87112268519</v>
      </c>
      <c r="C412" s="1" t="n">
        <v>46136</v>
      </c>
      <c r="D412" t="inlineStr">
        <is>
          <t>KALMAR LÄN</t>
        </is>
      </c>
      <c r="E412" t="inlineStr">
        <is>
          <t>VIMMERBY</t>
        </is>
      </c>
      <c r="G412" t="n">
        <v>2.4</v>
      </c>
      <c r="H412" t="n">
        <v>0</v>
      </c>
      <c r="I412" t="n">
        <v>0</v>
      </c>
      <c r="J412" t="n">
        <v>0</v>
      </c>
      <c r="K412" t="n">
        <v>0</v>
      </c>
      <c r="L412" t="n">
        <v>0</v>
      </c>
      <c r="M412" t="n">
        <v>0</v>
      </c>
      <c r="N412" t="n">
        <v>0</v>
      </c>
      <c r="O412" t="n">
        <v>0</v>
      </c>
      <c r="P412" t="n">
        <v>0</v>
      </c>
      <c r="Q412" t="n">
        <v>0</v>
      </c>
      <c r="R412" s="2" t="inlineStr"/>
    </row>
    <row r="413" ht="15" customHeight="1">
      <c r="A413" t="inlineStr">
        <is>
          <t>A 35271-2025</t>
        </is>
      </c>
      <c r="B413" s="1" t="n">
        <v>45853.87599537037</v>
      </c>
      <c r="C413" s="1" t="n">
        <v>46136</v>
      </c>
      <c r="D413" t="inlineStr">
        <is>
          <t>KALMAR LÄN</t>
        </is>
      </c>
      <c r="E413" t="inlineStr">
        <is>
          <t>VIMMERBY</t>
        </is>
      </c>
      <c r="G413" t="n">
        <v>0.4</v>
      </c>
      <c r="H413" t="n">
        <v>0</v>
      </c>
      <c r="I413" t="n">
        <v>0</v>
      </c>
      <c r="J413" t="n">
        <v>0</v>
      </c>
      <c r="K413" t="n">
        <v>0</v>
      </c>
      <c r="L413" t="n">
        <v>0</v>
      </c>
      <c r="M413" t="n">
        <v>0</v>
      </c>
      <c r="N413" t="n">
        <v>0</v>
      </c>
      <c r="O413" t="n">
        <v>0</v>
      </c>
      <c r="P413" t="n">
        <v>0</v>
      </c>
      <c r="Q413" t="n">
        <v>0</v>
      </c>
      <c r="R413" s="2" t="inlineStr"/>
    </row>
    <row r="414" ht="15" customHeight="1">
      <c r="A414" t="inlineStr">
        <is>
          <t>A 35272-2025</t>
        </is>
      </c>
      <c r="B414" s="1" t="n">
        <v>45853.88070601852</v>
      </c>
      <c r="C414" s="1" t="n">
        <v>46136</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31355-2023</t>
        </is>
      </c>
      <c r="B415" s="1" t="n">
        <v>45114.49505787037</v>
      </c>
      <c r="C415" s="1" t="n">
        <v>46136</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16953-2025</t>
        </is>
      </c>
      <c r="B416" s="1" t="n">
        <v>45755.44333333334</v>
      </c>
      <c r="C416" s="1" t="n">
        <v>46136</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18330-2023</t>
        </is>
      </c>
      <c r="B417" s="1" t="n">
        <v>45041</v>
      </c>
      <c r="C417" s="1" t="n">
        <v>46136</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58100-2024</t>
        </is>
      </c>
      <c r="B418" s="1" t="n">
        <v>45632.36706018518</v>
      </c>
      <c r="C418" s="1" t="n">
        <v>46136</v>
      </c>
      <c r="D418" t="inlineStr">
        <is>
          <t>KALMAR LÄN</t>
        </is>
      </c>
      <c r="E418" t="inlineStr">
        <is>
          <t>VIMMERBY</t>
        </is>
      </c>
      <c r="G418" t="n">
        <v>0.9</v>
      </c>
      <c r="H418" t="n">
        <v>0</v>
      </c>
      <c r="I418" t="n">
        <v>0</v>
      </c>
      <c r="J418" t="n">
        <v>0</v>
      </c>
      <c r="K418" t="n">
        <v>0</v>
      </c>
      <c r="L418" t="n">
        <v>0</v>
      </c>
      <c r="M418" t="n">
        <v>0</v>
      </c>
      <c r="N418" t="n">
        <v>0</v>
      </c>
      <c r="O418" t="n">
        <v>0</v>
      </c>
      <c r="P418" t="n">
        <v>0</v>
      </c>
      <c r="Q418" t="n">
        <v>0</v>
      </c>
      <c r="R418" s="2" t="inlineStr"/>
    </row>
    <row r="419" ht="15" customHeight="1">
      <c r="A419" t="inlineStr">
        <is>
          <t>A 27993-2022</t>
        </is>
      </c>
      <c r="B419" s="1" t="n">
        <v>44745.84396990741</v>
      </c>
      <c r="C419" s="1" t="n">
        <v>46136</v>
      </c>
      <c r="D419" t="inlineStr">
        <is>
          <t>KALMAR LÄN</t>
        </is>
      </c>
      <c r="E419" t="inlineStr">
        <is>
          <t>VIMMERBY</t>
        </is>
      </c>
      <c r="G419" t="n">
        <v>2.8</v>
      </c>
      <c r="H419" t="n">
        <v>0</v>
      </c>
      <c r="I419" t="n">
        <v>0</v>
      </c>
      <c r="J419" t="n">
        <v>0</v>
      </c>
      <c r="K419" t="n">
        <v>0</v>
      </c>
      <c r="L419" t="n">
        <v>0</v>
      </c>
      <c r="M419" t="n">
        <v>0</v>
      </c>
      <c r="N419" t="n">
        <v>0</v>
      </c>
      <c r="O419" t="n">
        <v>0</v>
      </c>
      <c r="P419" t="n">
        <v>0</v>
      </c>
      <c r="Q419" t="n">
        <v>0</v>
      </c>
      <c r="R419" s="2" t="inlineStr"/>
    </row>
    <row r="420" ht="15" customHeight="1">
      <c r="A420" t="inlineStr">
        <is>
          <t>A 16183-2026</t>
        </is>
      </c>
      <c r="B420" s="1" t="n">
        <v>46111</v>
      </c>
      <c r="C420" s="1" t="n">
        <v>46136</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16675-2026</t>
        </is>
      </c>
      <c r="B421" s="1" t="n">
        <v>46112.68202546296</v>
      </c>
      <c r="C421" s="1" t="n">
        <v>46136</v>
      </c>
      <c r="D421" t="inlineStr">
        <is>
          <t>KALMAR LÄN</t>
        </is>
      </c>
      <c r="E421" t="inlineStr">
        <is>
          <t>VIMMERBY</t>
        </is>
      </c>
      <c r="F421" t="inlineStr">
        <is>
          <t>Kommuner</t>
        </is>
      </c>
      <c r="G421" t="n">
        <v>0.8</v>
      </c>
      <c r="H421" t="n">
        <v>0</v>
      </c>
      <c r="I421" t="n">
        <v>0</v>
      </c>
      <c r="J421" t="n">
        <v>0</v>
      </c>
      <c r="K421" t="n">
        <v>0</v>
      </c>
      <c r="L421" t="n">
        <v>0</v>
      </c>
      <c r="M421" t="n">
        <v>0</v>
      </c>
      <c r="N421" t="n">
        <v>0</v>
      </c>
      <c r="O421" t="n">
        <v>0</v>
      </c>
      <c r="P421" t="n">
        <v>0</v>
      </c>
      <c r="Q421" t="n">
        <v>0</v>
      </c>
      <c r="R421" s="2" t="inlineStr"/>
    </row>
    <row r="422" ht="15" customHeight="1">
      <c r="A422" t="inlineStr">
        <is>
          <t>A 38969-2023</t>
        </is>
      </c>
      <c r="B422" s="1" t="n">
        <v>45163.63621527778</v>
      </c>
      <c r="C422" s="1" t="n">
        <v>46136</v>
      </c>
      <c r="D422" t="inlineStr">
        <is>
          <t>KALMAR LÄN</t>
        </is>
      </c>
      <c r="E422" t="inlineStr">
        <is>
          <t>VIMMERBY</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35597-2025</t>
        </is>
      </c>
      <c r="B423" s="1" t="n">
        <v>45858.66019675926</v>
      </c>
      <c r="C423" s="1" t="n">
        <v>46136</v>
      </c>
      <c r="D423" t="inlineStr">
        <is>
          <t>KALMAR LÄN</t>
        </is>
      </c>
      <c r="E423" t="inlineStr">
        <is>
          <t>VIMMERBY</t>
        </is>
      </c>
      <c r="G423" t="n">
        <v>6.4</v>
      </c>
      <c r="H423" t="n">
        <v>0</v>
      </c>
      <c r="I423" t="n">
        <v>0</v>
      </c>
      <c r="J423" t="n">
        <v>0</v>
      </c>
      <c r="K423" t="n">
        <v>0</v>
      </c>
      <c r="L423" t="n">
        <v>0</v>
      </c>
      <c r="M423" t="n">
        <v>0</v>
      </c>
      <c r="N423" t="n">
        <v>0</v>
      </c>
      <c r="O423" t="n">
        <v>0</v>
      </c>
      <c r="P423" t="n">
        <v>0</v>
      </c>
      <c r="Q423" t="n">
        <v>0</v>
      </c>
      <c r="R423" s="2" t="inlineStr"/>
    </row>
    <row r="424" ht="15" customHeight="1">
      <c r="A424" t="inlineStr">
        <is>
          <t>A 16653-2026</t>
        </is>
      </c>
      <c r="B424" s="1" t="n">
        <v>46112.64597222222</v>
      </c>
      <c r="C424" s="1" t="n">
        <v>46136</v>
      </c>
      <c r="D424" t="inlineStr">
        <is>
          <t>KALMAR LÄN</t>
        </is>
      </c>
      <c r="E424" t="inlineStr">
        <is>
          <t>VIMMERBY</t>
        </is>
      </c>
      <c r="F424" t="inlineStr">
        <is>
          <t>Kommuner</t>
        </is>
      </c>
      <c r="G424" t="n">
        <v>4.4</v>
      </c>
      <c r="H424" t="n">
        <v>0</v>
      </c>
      <c r="I424" t="n">
        <v>0</v>
      </c>
      <c r="J424" t="n">
        <v>0</v>
      </c>
      <c r="K424" t="n">
        <v>0</v>
      </c>
      <c r="L424" t="n">
        <v>0</v>
      </c>
      <c r="M424" t="n">
        <v>0</v>
      </c>
      <c r="N424" t="n">
        <v>0</v>
      </c>
      <c r="O424" t="n">
        <v>0</v>
      </c>
      <c r="P424" t="n">
        <v>0</v>
      </c>
      <c r="Q424" t="n">
        <v>0</v>
      </c>
      <c r="R424" s="2" t="inlineStr"/>
    </row>
    <row r="425" ht="15" customHeight="1">
      <c r="A425" t="inlineStr">
        <is>
          <t>A 16672-2026</t>
        </is>
      </c>
      <c r="B425" s="1" t="n">
        <v>46112.67336805556</v>
      </c>
      <c r="C425" s="1" t="n">
        <v>46136</v>
      </c>
      <c r="D425" t="inlineStr">
        <is>
          <t>KALMAR LÄN</t>
        </is>
      </c>
      <c r="E425" t="inlineStr">
        <is>
          <t>VIMMERBY</t>
        </is>
      </c>
      <c r="F425" t="inlineStr">
        <is>
          <t>Kommuner</t>
        </is>
      </c>
      <c r="G425" t="n">
        <v>1.4</v>
      </c>
      <c r="H425" t="n">
        <v>0</v>
      </c>
      <c r="I425" t="n">
        <v>0</v>
      </c>
      <c r="J425" t="n">
        <v>0</v>
      </c>
      <c r="K425" t="n">
        <v>0</v>
      </c>
      <c r="L425" t="n">
        <v>0</v>
      </c>
      <c r="M425" t="n">
        <v>0</v>
      </c>
      <c r="N425" t="n">
        <v>0</v>
      </c>
      <c r="O425" t="n">
        <v>0</v>
      </c>
      <c r="P425" t="n">
        <v>0</v>
      </c>
      <c r="Q425" t="n">
        <v>0</v>
      </c>
      <c r="R425" s="2" t="inlineStr"/>
    </row>
    <row r="426" ht="15" customHeight="1">
      <c r="A426" t="inlineStr">
        <is>
          <t>A 53752-2024</t>
        </is>
      </c>
      <c r="B426" s="1" t="n">
        <v>45615.48927083334</v>
      </c>
      <c r="C426" s="1" t="n">
        <v>46136</v>
      </c>
      <c r="D426" t="inlineStr">
        <is>
          <t>KALMAR LÄN</t>
        </is>
      </c>
      <c r="E426" t="inlineStr">
        <is>
          <t>VIMMERBY</t>
        </is>
      </c>
      <c r="G426" t="n">
        <v>2.4</v>
      </c>
      <c r="H426" t="n">
        <v>0</v>
      </c>
      <c r="I426" t="n">
        <v>0</v>
      </c>
      <c r="J426" t="n">
        <v>0</v>
      </c>
      <c r="K426" t="n">
        <v>0</v>
      </c>
      <c r="L426" t="n">
        <v>0</v>
      </c>
      <c r="M426" t="n">
        <v>0</v>
      </c>
      <c r="N426" t="n">
        <v>0</v>
      </c>
      <c r="O426" t="n">
        <v>0</v>
      </c>
      <c r="P426" t="n">
        <v>0</v>
      </c>
      <c r="Q426" t="n">
        <v>0</v>
      </c>
      <c r="R426" s="2" t="inlineStr"/>
    </row>
    <row r="427" ht="15" customHeight="1">
      <c r="A427" t="inlineStr">
        <is>
          <t>A 16617-2026</t>
        </is>
      </c>
      <c r="B427" s="1" t="n">
        <v>46112.60607638889</v>
      </c>
      <c r="C427" s="1" t="n">
        <v>46136</v>
      </c>
      <c r="D427" t="inlineStr">
        <is>
          <t>KALMAR LÄN</t>
        </is>
      </c>
      <c r="E427" t="inlineStr">
        <is>
          <t>VIMMERBY</t>
        </is>
      </c>
      <c r="F427" t="inlineStr">
        <is>
          <t>Kommuner</t>
        </is>
      </c>
      <c r="G427" t="n">
        <v>0.6</v>
      </c>
      <c r="H427" t="n">
        <v>0</v>
      </c>
      <c r="I427" t="n">
        <v>0</v>
      </c>
      <c r="J427" t="n">
        <v>0</v>
      </c>
      <c r="K427" t="n">
        <v>0</v>
      </c>
      <c r="L427" t="n">
        <v>0</v>
      </c>
      <c r="M427" t="n">
        <v>0</v>
      </c>
      <c r="N427" t="n">
        <v>0</v>
      </c>
      <c r="O427" t="n">
        <v>0</v>
      </c>
      <c r="P427" t="n">
        <v>0</v>
      </c>
      <c r="Q427" t="n">
        <v>0</v>
      </c>
      <c r="R427" s="2" t="inlineStr"/>
    </row>
    <row r="428" ht="15" customHeight="1">
      <c r="A428" t="inlineStr">
        <is>
          <t>A 35596-2025</t>
        </is>
      </c>
      <c r="B428" s="1" t="n">
        <v>45858.60641203704</v>
      </c>
      <c r="C428" s="1" t="n">
        <v>46136</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58728-2024</t>
        </is>
      </c>
      <c r="B429" s="1" t="n">
        <v>45635.66695601852</v>
      </c>
      <c r="C429" s="1" t="n">
        <v>46136</v>
      </c>
      <c r="D429" t="inlineStr">
        <is>
          <t>KALMAR LÄN</t>
        </is>
      </c>
      <c r="E429" t="inlineStr">
        <is>
          <t>VIMMERBY</t>
        </is>
      </c>
      <c r="G429" t="n">
        <v>0.4</v>
      </c>
      <c r="H429" t="n">
        <v>0</v>
      </c>
      <c r="I429" t="n">
        <v>0</v>
      </c>
      <c r="J429" t="n">
        <v>0</v>
      </c>
      <c r="K429" t="n">
        <v>0</v>
      </c>
      <c r="L429" t="n">
        <v>0</v>
      </c>
      <c r="M429" t="n">
        <v>0</v>
      </c>
      <c r="N429" t="n">
        <v>0</v>
      </c>
      <c r="O429" t="n">
        <v>0</v>
      </c>
      <c r="P429" t="n">
        <v>0</v>
      </c>
      <c r="Q429" t="n">
        <v>0</v>
      </c>
      <c r="R429" s="2" t="inlineStr"/>
    </row>
    <row r="430" ht="15" customHeight="1">
      <c r="A430" t="inlineStr">
        <is>
          <t>A 43242-2024</t>
        </is>
      </c>
      <c r="B430" s="1" t="n">
        <v>45568.30189814815</v>
      </c>
      <c r="C430" s="1" t="n">
        <v>46136</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16983-2023</t>
        </is>
      </c>
      <c r="B431" s="1" t="n">
        <v>45033.76043981482</v>
      </c>
      <c r="C431" s="1" t="n">
        <v>46136</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16632-2026</t>
        </is>
      </c>
      <c r="B432" s="1" t="n">
        <v>46112.62212962963</v>
      </c>
      <c r="C432" s="1" t="n">
        <v>46136</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16648-2026</t>
        </is>
      </c>
      <c r="B433" s="1" t="n">
        <v>46112.64032407408</v>
      </c>
      <c r="C433" s="1" t="n">
        <v>46136</v>
      </c>
      <c r="D433" t="inlineStr">
        <is>
          <t>KALMAR LÄN</t>
        </is>
      </c>
      <c r="E433" t="inlineStr">
        <is>
          <t>VIMMERBY</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19502-2025</t>
        </is>
      </c>
      <c r="B434" s="1" t="n">
        <v>45769</v>
      </c>
      <c r="C434" s="1" t="n">
        <v>46136</v>
      </c>
      <c r="D434" t="inlineStr">
        <is>
          <t>KALMAR LÄN</t>
        </is>
      </c>
      <c r="E434" t="inlineStr">
        <is>
          <t>VIMMERBY</t>
        </is>
      </c>
      <c r="G434" t="n">
        <v>1.9</v>
      </c>
      <c r="H434" t="n">
        <v>0</v>
      </c>
      <c r="I434" t="n">
        <v>0</v>
      </c>
      <c r="J434" t="n">
        <v>0</v>
      </c>
      <c r="K434" t="n">
        <v>0</v>
      </c>
      <c r="L434" t="n">
        <v>0</v>
      </c>
      <c r="M434" t="n">
        <v>0</v>
      </c>
      <c r="N434" t="n">
        <v>0</v>
      </c>
      <c r="O434" t="n">
        <v>0</v>
      </c>
      <c r="P434" t="n">
        <v>0</v>
      </c>
      <c r="Q434" t="n">
        <v>0</v>
      </c>
      <c r="R434" s="2" t="inlineStr"/>
    </row>
    <row r="435" ht="15" customHeight="1">
      <c r="A435" t="inlineStr">
        <is>
          <t>A 6405-2025</t>
        </is>
      </c>
      <c r="B435" s="1" t="n">
        <v>45699.45392361111</v>
      </c>
      <c r="C435" s="1" t="n">
        <v>46136</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36843-2023</t>
        </is>
      </c>
      <c r="B436" s="1" t="n">
        <v>45154.49831018518</v>
      </c>
      <c r="C436" s="1" t="n">
        <v>46136</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34090-2025</t>
        </is>
      </c>
      <c r="B437" s="1" t="n">
        <v>45845</v>
      </c>
      <c r="C437" s="1" t="n">
        <v>46136</v>
      </c>
      <c r="D437" t="inlineStr">
        <is>
          <t>KALMAR LÄN</t>
        </is>
      </c>
      <c r="E437" t="inlineStr">
        <is>
          <t>VIMMERBY</t>
        </is>
      </c>
      <c r="G437" t="n">
        <v>2.8</v>
      </c>
      <c r="H437" t="n">
        <v>0</v>
      </c>
      <c r="I437" t="n">
        <v>0</v>
      </c>
      <c r="J437" t="n">
        <v>0</v>
      </c>
      <c r="K437" t="n">
        <v>0</v>
      </c>
      <c r="L437" t="n">
        <v>0</v>
      </c>
      <c r="M437" t="n">
        <v>0</v>
      </c>
      <c r="N437" t="n">
        <v>0</v>
      </c>
      <c r="O437" t="n">
        <v>0</v>
      </c>
      <c r="P437" t="n">
        <v>0</v>
      </c>
      <c r="Q437" t="n">
        <v>0</v>
      </c>
      <c r="R437" s="2" t="inlineStr"/>
    </row>
    <row r="438" ht="15" customHeight="1">
      <c r="A438" t="inlineStr">
        <is>
          <t>A 57486-2024</t>
        </is>
      </c>
      <c r="B438" s="1" t="n">
        <v>45630.35827546296</v>
      </c>
      <c r="C438" s="1" t="n">
        <v>46136</v>
      </c>
      <c r="D438" t="inlineStr">
        <is>
          <t>KALMAR LÄN</t>
        </is>
      </c>
      <c r="E438" t="inlineStr">
        <is>
          <t>VIMMERBY</t>
        </is>
      </c>
      <c r="G438" t="n">
        <v>0.4</v>
      </c>
      <c r="H438" t="n">
        <v>0</v>
      </c>
      <c r="I438" t="n">
        <v>0</v>
      </c>
      <c r="J438" t="n">
        <v>0</v>
      </c>
      <c r="K438" t="n">
        <v>0</v>
      </c>
      <c r="L438" t="n">
        <v>0</v>
      </c>
      <c r="M438" t="n">
        <v>0</v>
      </c>
      <c r="N438" t="n">
        <v>0</v>
      </c>
      <c r="O438" t="n">
        <v>0</v>
      </c>
      <c r="P438" t="n">
        <v>0</v>
      </c>
      <c r="Q438" t="n">
        <v>0</v>
      </c>
      <c r="R438" s="2" t="inlineStr"/>
    </row>
    <row r="439" ht="15" customHeight="1">
      <c r="A439" t="inlineStr">
        <is>
          <t>A 36273-2025</t>
        </is>
      </c>
      <c r="B439" s="1" t="n">
        <v>45867.63094907408</v>
      </c>
      <c r="C439" s="1" t="n">
        <v>46136</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16801-2026</t>
        </is>
      </c>
      <c r="B440" s="1" t="n">
        <v>46113.48400462963</v>
      </c>
      <c r="C440" s="1" t="n">
        <v>46136</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36299-2025</t>
        </is>
      </c>
      <c r="B441" s="1" t="n">
        <v>45867.69346064814</v>
      </c>
      <c r="C441" s="1" t="n">
        <v>46136</v>
      </c>
      <c r="D441" t="inlineStr">
        <is>
          <t>KALMAR LÄN</t>
        </is>
      </c>
      <c r="E441" t="inlineStr">
        <is>
          <t>VIMMERBY</t>
        </is>
      </c>
      <c r="G441" t="n">
        <v>7.6</v>
      </c>
      <c r="H441" t="n">
        <v>0</v>
      </c>
      <c r="I441" t="n">
        <v>0</v>
      </c>
      <c r="J441" t="n">
        <v>0</v>
      </c>
      <c r="K441" t="n">
        <v>0</v>
      </c>
      <c r="L441" t="n">
        <v>0</v>
      </c>
      <c r="M441" t="n">
        <v>0</v>
      </c>
      <c r="N441" t="n">
        <v>0</v>
      </c>
      <c r="O441" t="n">
        <v>0</v>
      </c>
      <c r="P441" t="n">
        <v>0</v>
      </c>
      <c r="Q441" t="n">
        <v>0</v>
      </c>
      <c r="R441" s="2" t="inlineStr"/>
    </row>
    <row r="442" ht="15" customHeight="1">
      <c r="A442" t="inlineStr">
        <is>
          <t>A 36221-2025</t>
        </is>
      </c>
      <c r="B442" s="1" t="n">
        <v>45867.50792824074</v>
      </c>
      <c r="C442" s="1" t="n">
        <v>46136</v>
      </c>
      <c r="D442" t="inlineStr">
        <is>
          <t>KALMAR LÄN</t>
        </is>
      </c>
      <c r="E442" t="inlineStr">
        <is>
          <t>VIMMERBY</t>
        </is>
      </c>
      <c r="G442" t="n">
        <v>2.5</v>
      </c>
      <c r="H442" t="n">
        <v>0</v>
      </c>
      <c r="I442" t="n">
        <v>0</v>
      </c>
      <c r="J442" t="n">
        <v>0</v>
      </c>
      <c r="K442" t="n">
        <v>0</v>
      </c>
      <c r="L442" t="n">
        <v>0</v>
      </c>
      <c r="M442" t="n">
        <v>0</v>
      </c>
      <c r="N442" t="n">
        <v>0</v>
      </c>
      <c r="O442" t="n">
        <v>0</v>
      </c>
      <c r="P442" t="n">
        <v>0</v>
      </c>
      <c r="Q442" t="n">
        <v>0</v>
      </c>
      <c r="R442" s="2" t="inlineStr"/>
    </row>
    <row r="443" ht="15" customHeight="1">
      <c r="A443" t="inlineStr">
        <is>
          <t>A 36226-2025</t>
        </is>
      </c>
      <c r="B443" s="1" t="n">
        <v>45867.51630787037</v>
      </c>
      <c r="C443" s="1" t="n">
        <v>46136</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36297-2025</t>
        </is>
      </c>
      <c r="B444" s="1" t="n">
        <v>45867.68625</v>
      </c>
      <c r="C444" s="1" t="n">
        <v>46136</v>
      </c>
      <c r="D444" t="inlineStr">
        <is>
          <t>KALMAR LÄN</t>
        </is>
      </c>
      <c r="E444" t="inlineStr">
        <is>
          <t>VIMMERBY</t>
        </is>
      </c>
      <c r="G444" t="n">
        <v>4.9</v>
      </c>
      <c r="H444" t="n">
        <v>0</v>
      </c>
      <c r="I444" t="n">
        <v>0</v>
      </c>
      <c r="J444" t="n">
        <v>0</v>
      </c>
      <c r="K444" t="n">
        <v>0</v>
      </c>
      <c r="L444" t="n">
        <v>0</v>
      </c>
      <c r="M444" t="n">
        <v>0</v>
      </c>
      <c r="N444" t="n">
        <v>0</v>
      </c>
      <c r="O444" t="n">
        <v>0</v>
      </c>
      <c r="P444" t="n">
        <v>0</v>
      </c>
      <c r="Q444" t="n">
        <v>0</v>
      </c>
      <c r="R444" s="2" t="inlineStr"/>
    </row>
    <row r="445" ht="15" customHeight="1">
      <c r="A445" t="inlineStr">
        <is>
          <t>A 36246-2025</t>
        </is>
      </c>
      <c r="B445" s="1" t="n">
        <v>45867.56320601852</v>
      </c>
      <c r="C445" s="1" t="n">
        <v>46136</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44423-2023</t>
        </is>
      </c>
      <c r="B446" s="1" t="n">
        <v>45189</v>
      </c>
      <c r="C446" s="1" t="n">
        <v>46136</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36282-2025</t>
        </is>
      </c>
      <c r="B447" s="1" t="n">
        <v>45867.64663194444</v>
      </c>
      <c r="C447" s="1" t="n">
        <v>46136</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36538-2025</t>
        </is>
      </c>
      <c r="B448" s="1" t="n">
        <v>45869.62276620371</v>
      </c>
      <c r="C448" s="1" t="n">
        <v>46136</v>
      </c>
      <c r="D448" t="inlineStr">
        <is>
          <t>KALMAR LÄN</t>
        </is>
      </c>
      <c r="E448" t="inlineStr">
        <is>
          <t>VIMMERBY</t>
        </is>
      </c>
      <c r="G448" t="n">
        <v>2.6</v>
      </c>
      <c r="H448" t="n">
        <v>0</v>
      </c>
      <c r="I448" t="n">
        <v>0</v>
      </c>
      <c r="J448" t="n">
        <v>0</v>
      </c>
      <c r="K448" t="n">
        <v>0</v>
      </c>
      <c r="L448" t="n">
        <v>0</v>
      </c>
      <c r="M448" t="n">
        <v>0</v>
      </c>
      <c r="N448" t="n">
        <v>0</v>
      </c>
      <c r="O448" t="n">
        <v>0</v>
      </c>
      <c r="P448" t="n">
        <v>0</v>
      </c>
      <c r="Q448" t="n">
        <v>0</v>
      </c>
      <c r="R448" s="2" t="inlineStr"/>
    </row>
    <row r="449" ht="15" customHeight="1">
      <c r="A449" t="inlineStr">
        <is>
          <t>A 20-2025</t>
        </is>
      </c>
      <c r="B449" s="1" t="n">
        <v>45658.80232638889</v>
      </c>
      <c r="C449" s="1" t="n">
        <v>46136</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23-2025</t>
        </is>
      </c>
      <c r="B450" s="1" t="n">
        <v>45658.80827546296</v>
      </c>
      <c r="C450" s="1" t="n">
        <v>46136</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21496-2023</t>
        </is>
      </c>
      <c r="B451" s="1" t="n">
        <v>45063.49936342592</v>
      </c>
      <c r="C451" s="1" t="n">
        <v>46136</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36598-2025</t>
        </is>
      </c>
      <c r="B452" s="1" t="n">
        <v>45870.51708333333</v>
      </c>
      <c r="C452" s="1" t="n">
        <v>46136</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36602-2025</t>
        </is>
      </c>
      <c r="B453" s="1" t="n">
        <v>45870.52111111111</v>
      </c>
      <c r="C453" s="1" t="n">
        <v>46136</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16799-2026</t>
        </is>
      </c>
      <c r="B454" s="1" t="n">
        <v>46113.47913194444</v>
      </c>
      <c r="C454" s="1" t="n">
        <v>46136</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31056-2022</t>
        </is>
      </c>
      <c r="B455" s="1" t="n">
        <v>44769.45805555556</v>
      </c>
      <c r="C455" s="1" t="n">
        <v>46136</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16795-2026</t>
        </is>
      </c>
      <c r="B456" s="1" t="n">
        <v>46113.47216435185</v>
      </c>
      <c r="C456" s="1" t="n">
        <v>46136</v>
      </c>
      <c r="D456" t="inlineStr">
        <is>
          <t>KALMAR LÄN</t>
        </is>
      </c>
      <c r="E456" t="inlineStr">
        <is>
          <t>VIMMERBY</t>
        </is>
      </c>
      <c r="G456" t="n">
        <v>2.1</v>
      </c>
      <c r="H456" t="n">
        <v>0</v>
      </c>
      <c r="I456" t="n">
        <v>0</v>
      </c>
      <c r="J456" t="n">
        <v>0</v>
      </c>
      <c r="K456" t="n">
        <v>0</v>
      </c>
      <c r="L456" t="n">
        <v>0</v>
      </c>
      <c r="M456" t="n">
        <v>0</v>
      </c>
      <c r="N456" t="n">
        <v>0</v>
      </c>
      <c r="O456" t="n">
        <v>0</v>
      </c>
      <c r="P456" t="n">
        <v>0</v>
      </c>
      <c r="Q456" t="n">
        <v>0</v>
      </c>
      <c r="R456" s="2" t="inlineStr"/>
    </row>
    <row r="457" ht="15" customHeight="1">
      <c r="A457" t="inlineStr">
        <is>
          <t>A 16870-2026</t>
        </is>
      </c>
      <c r="B457" s="1" t="n">
        <v>46113.5822800926</v>
      </c>
      <c r="C457" s="1" t="n">
        <v>46136</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16823-2026</t>
        </is>
      </c>
      <c r="B458" s="1" t="n">
        <v>46113.51649305555</v>
      </c>
      <c r="C458" s="1" t="n">
        <v>46136</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36600-2025</t>
        </is>
      </c>
      <c r="B459" s="1" t="n">
        <v>45870.51958333333</v>
      </c>
      <c r="C459" s="1" t="n">
        <v>46136</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36601-2025</t>
        </is>
      </c>
      <c r="B460" s="1" t="n">
        <v>45870.52005787037</v>
      </c>
      <c r="C460" s="1" t="n">
        <v>46136</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36603-2025</t>
        </is>
      </c>
      <c r="B461" s="1" t="n">
        <v>45870.52142361111</v>
      </c>
      <c r="C461" s="1" t="n">
        <v>46136</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41735-2025</t>
        </is>
      </c>
      <c r="B462" s="1" t="n">
        <v>45902.47164351852</v>
      </c>
      <c r="C462" s="1" t="n">
        <v>46136</v>
      </c>
      <c r="D462" t="inlineStr">
        <is>
          <t>KALMAR LÄN</t>
        </is>
      </c>
      <c r="E462" t="inlineStr">
        <is>
          <t>VIMMERBY</t>
        </is>
      </c>
      <c r="G462" t="n">
        <v>3</v>
      </c>
      <c r="H462" t="n">
        <v>0</v>
      </c>
      <c r="I462" t="n">
        <v>0</v>
      </c>
      <c r="J462" t="n">
        <v>0</v>
      </c>
      <c r="K462" t="n">
        <v>0</v>
      </c>
      <c r="L462" t="n">
        <v>0</v>
      </c>
      <c r="M462" t="n">
        <v>0</v>
      </c>
      <c r="N462" t="n">
        <v>0</v>
      </c>
      <c r="O462" t="n">
        <v>0</v>
      </c>
      <c r="P462" t="n">
        <v>0</v>
      </c>
      <c r="Q462" t="n">
        <v>0</v>
      </c>
      <c r="R462" s="2" t="inlineStr"/>
    </row>
    <row r="463" ht="15" customHeight="1">
      <c r="A463" t="inlineStr">
        <is>
          <t>A 72701-2021</t>
        </is>
      </c>
      <c r="B463" s="1" t="n">
        <v>44546</v>
      </c>
      <c r="C463" s="1" t="n">
        <v>46136</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52294-2023</t>
        </is>
      </c>
      <c r="B464" s="1" t="n">
        <v>45224.60075231481</v>
      </c>
      <c r="C464" s="1" t="n">
        <v>46136</v>
      </c>
      <c r="D464" t="inlineStr">
        <is>
          <t>KALMAR LÄN</t>
        </is>
      </c>
      <c r="E464" t="inlineStr">
        <is>
          <t>VIMMERBY</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61355-2024</t>
        </is>
      </c>
      <c r="B465" s="1" t="n">
        <v>45646.38200231481</v>
      </c>
      <c r="C465" s="1" t="n">
        <v>46136</v>
      </c>
      <c r="D465" t="inlineStr">
        <is>
          <t>KALMAR LÄN</t>
        </is>
      </c>
      <c r="E465" t="inlineStr">
        <is>
          <t>VIMMERBY</t>
        </is>
      </c>
      <c r="G465" t="n">
        <v>2.7</v>
      </c>
      <c r="H465" t="n">
        <v>0</v>
      </c>
      <c r="I465" t="n">
        <v>0</v>
      </c>
      <c r="J465" t="n">
        <v>0</v>
      </c>
      <c r="K465" t="n">
        <v>0</v>
      </c>
      <c r="L465" t="n">
        <v>0</v>
      </c>
      <c r="M465" t="n">
        <v>0</v>
      </c>
      <c r="N465" t="n">
        <v>0</v>
      </c>
      <c r="O465" t="n">
        <v>0</v>
      </c>
      <c r="P465" t="n">
        <v>0</v>
      </c>
      <c r="Q465" t="n">
        <v>0</v>
      </c>
      <c r="R465" s="2" t="inlineStr"/>
    </row>
    <row r="466" ht="15" customHeight="1">
      <c r="A466" t="inlineStr">
        <is>
          <t>A 33374-2021</t>
        </is>
      </c>
      <c r="B466" s="1" t="n">
        <v>44377</v>
      </c>
      <c r="C466" s="1" t="n">
        <v>46136</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10759-2023</t>
        </is>
      </c>
      <c r="B467" s="1" t="n">
        <v>44988</v>
      </c>
      <c r="C467" s="1" t="n">
        <v>46136</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18899-2025</t>
        </is>
      </c>
      <c r="B468" s="1" t="n">
        <v>45764.44931712963</v>
      </c>
      <c r="C468" s="1" t="n">
        <v>46136</v>
      </c>
      <c r="D468" t="inlineStr">
        <is>
          <t>KALMAR LÄN</t>
        </is>
      </c>
      <c r="E468" t="inlineStr">
        <is>
          <t>VIMMERBY</t>
        </is>
      </c>
      <c r="F468" t="inlineStr">
        <is>
          <t>Kommuner</t>
        </is>
      </c>
      <c r="G468" t="n">
        <v>4</v>
      </c>
      <c r="H468" t="n">
        <v>0</v>
      </c>
      <c r="I468" t="n">
        <v>0</v>
      </c>
      <c r="J468" t="n">
        <v>0</v>
      </c>
      <c r="K468" t="n">
        <v>0</v>
      </c>
      <c r="L468" t="n">
        <v>0</v>
      </c>
      <c r="M468" t="n">
        <v>0</v>
      </c>
      <c r="N468" t="n">
        <v>0</v>
      </c>
      <c r="O468" t="n">
        <v>0</v>
      </c>
      <c r="P468" t="n">
        <v>0</v>
      </c>
      <c r="Q468" t="n">
        <v>0</v>
      </c>
      <c r="R468" s="2" t="inlineStr"/>
    </row>
    <row r="469" ht="15" customHeight="1">
      <c r="A469" t="inlineStr">
        <is>
          <t>A 36934-2025</t>
        </is>
      </c>
      <c r="B469" s="1" t="n">
        <v>45874.57109953704</v>
      </c>
      <c r="C469" s="1" t="n">
        <v>46136</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32614-2023</t>
        </is>
      </c>
      <c r="B470" s="1" t="n">
        <v>45121</v>
      </c>
      <c r="C470" s="1" t="n">
        <v>46136</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61939-2021</t>
        </is>
      </c>
      <c r="B471" s="1" t="n">
        <v>44502</v>
      </c>
      <c r="C471" s="1" t="n">
        <v>46136</v>
      </c>
      <c r="D471" t="inlineStr">
        <is>
          <t>KALMAR LÄN</t>
        </is>
      </c>
      <c r="E471" t="inlineStr">
        <is>
          <t>VIMMERBY</t>
        </is>
      </c>
      <c r="G471" t="n">
        <v>2.7</v>
      </c>
      <c r="H471" t="n">
        <v>0</v>
      </c>
      <c r="I471" t="n">
        <v>0</v>
      </c>
      <c r="J471" t="n">
        <v>0</v>
      </c>
      <c r="K471" t="n">
        <v>0</v>
      </c>
      <c r="L471" t="n">
        <v>0</v>
      </c>
      <c r="M471" t="n">
        <v>0</v>
      </c>
      <c r="N471" t="n">
        <v>0</v>
      </c>
      <c r="O471" t="n">
        <v>0</v>
      </c>
      <c r="P471" t="n">
        <v>0</v>
      </c>
      <c r="Q471" t="n">
        <v>0</v>
      </c>
      <c r="R471" s="2" t="inlineStr"/>
    </row>
    <row r="472" ht="15" customHeight="1">
      <c r="A472" t="inlineStr">
        <is>
          <t>A 37088-2025</t>
        </is>
      </c>
      <c r="B472" s="1" t="n">
        <v>45875.45716435185</v>
      </c>
      <c r="C472" s="1" t="n">
        <v>46136</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37102-2025</t>
        </is>
      </c>
      <c r="B473" s="1" t="n">
        <v>45875.47454861111</v>
      </c>
      <c r="C473" s="1" t="n">
        <v>46136</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37079-2025</t>
        </is>
      </c>
      <c r="B474" s="1" t="n">
        <v>45875.42716435185</v>
      </c>
      <c r="C474" s="1" t="n">
        <v>46136</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17713-2026</t>
        </is>
      </c>
      <c r="B475" s="1" t="n">
        <v>46121.72810185186</v>
      </c>
      <c r="C475" s="1" t="n">
        <v>46136</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37668-2025</t>
        </is>
      </c>
      <c r="B476" s="1" t="n">
        <v>45880.51550925926</v>
      </c>
      <c r="C476" s="1" t="n">
        <v>46136</v>
      </c>
      <c r="D476" t="inlineStr">
        <is>
          <t>KALMAR LÄN</t>
        </is>
      </c>
      <c r="E476" t="inlineStr">
        <is>
          <t>VIMMERBY</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10965-2026</t>
        </is>
      </c>
      <c r="B477" s="1" t="n">
        <v>46079.43295138889</v>
      </c>
      <c r="C477" s="1" t="n">
        <v>46136</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37578-2025</t>
        </is>
      </c>
      <c r="B478" s="1" t="n">
        <v>45880.38380787037</v>
      </c>
      <c r="C478" s="1" t="n">
        <v>46136</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6218-2025</t>
        </is>
      </c>
      <c r="B479" s="1" t="n">
        <v>45698.53336805556</v>
      </c>
      <c r="C479" s="1" t="n">
        <v>46136</v>
      </c>
      <c r="D479" t="inlineStr">
        <is>
          <t>KALMAR LÄN</t>
        </is>
      </c>
      <c r="E479" t="inlineStr">
        <is>
          <t>VIMMERBY</t>
        </is>
      </c>
      <c r="G479" t="n">
        <v>1.1</v>
      </c>
      <c r="H479" t="n">
        <v>0</v>
      </c>
      <c r="I479" t="n">
        <v>0</v>
      </c>
      <c r="J479" t="n">
        <v>0</v>
      </c>
      <c r="K479" t="n">
        <v>0</v>
      </c>
      <c r="L479" t="n">
        <v>0</v>
      </c>
      <c r="M479" t="n">
        <v>0</v>
      </c>
      <c r="N479" t="n">
        <v>0</v>
      </c>
      <c r="O479" t="n">
        <v>0</v>
      </c>
      <c r="P479" t="n">
        <v>0</v>
      </c>
      <c r="Q479" t="n">
        <v>0</v>
      </c>
      <c r="R479" s="2" t="inlineStr"/>
    </row>
    <row r="480" ht="15" customHeight="1">
      <c r="A480" t="inlineStr">
        <is>
          <t>A 11407-2026</t>
        </is>
      </c>
      <c r="B480" s="1" t="n">
        <v>46083</v>
      </c>
      <c r="C480" s="1" t="n">
        <v>46136</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40076-2021</t>
        </is>
      </c>
      <c r="B481" s="1" t="n">
        <v>44418</v>
      </c>
      <c r="C481" s="1" t="n">
        <v>46136</v>
      </c>
      <c r="D481" t="inlineStr">
        <is>
          <t>KALMAR LÄN</t>
        </is>
      </c>
      <c r="E481" t="inlineStr">
        <is>
          <t>VIMMERBY</t>
        </is>
      </c>
      <c r="G481" t="n">
        <v>2</v>
      </c>
      <c r="H481" t="n">
        <v>0</v>
      </c>
      <c r="I481" t="n">
        <v>0</v>
      </c>
      <c r="J481" t="n">
        <v>0</v>
      </c>
      <c r="K481" t="n">
        <v>0</v>
      </c>
      <c r="L481" t="n">
        <v>0</v>
      </c>
      <c r="M481" t="n">
        <v>0</v>
      </c>
      <c r="N481" t="n">
        <v>0</v>
      </c>
      <c r="O481" t="n">
        <v>0</v>
      </c>
      <c r="P481" t="n">
        <v>0</v>
      </c>
      <c r="Q481" t="n">
        <v>0</v>
      </c>
      <c r="R481" s="2" t="inlineStr"/>
    </row>
    <row r="482" ht="15" customHeight="1">
      <c r="A482" t="inlineStr">
        <is>
          <t>A 18122-2026</t>
        </is>
      </c>
      <c r="B482" s="1" t="n">
        <v>46125.58524305555</v>
      </c>
      <c r="C482" s="1" t="n">
        <v>46136</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11273-2026</t>
        </is>
      </c>
      <c r="B483" s="1" t="n">
        <v>46080.57634259259</v>
      </c>
      <c r="C483" s="1" t="n">
        <v>46136</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11415-2026</t>
        </is>
      </c>
      <c r="B484" s="1" t="n">
        <v>46083</v>
      </c>
      <c r="C484" s="1" t="n">
        <v>46136</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37866-2025</t>
        </is>
      </c>
      <c r="B485" s="1" t="n">
        <v>45881</v>
      </c>
      <c r="C485" s="1" t="n">
        <v>46136</v>
      </c>
      <c r="D485" t="inlineStr">
        <is>
          <t>KALMAR LÄN</t>
        </is>
      </c>
      <c r="E485" t="inlineStr">
        <is>
          <t>VIMMERBY</t>
        </is>
      </c>
      <c r="G485" t="n">
        <v>3.4</v>
      </c>
      <c r="H485" t="n">
        <v>0</v>
      </c>
      <c r="I485" t="n">
        <v>0</v>
      </c>
      <c r="J485" t="n">
        <v>0</v>
      </c>
      <c r="K485" t="n">
        <v>0</v>
      </c>
      <c r="L485" t="n">
        <v>0</v>
      </c>
      <c r="M485" t="n">
        <v>0</v>
      </c>
      <c r="N485" t="n">
        <v>0</v>
      </c>
      <c r="O485" t="n">
        <v>0</v>
      </c>
      <c r="P485" t="n">
        <v>0</v>
      </c>
      <c r="Q485" t="n">
        <v>0</v>
      </c>
      <c r="R485" s="2" t="inlineStr"/>
    </row>
    <row r="486" ht="15" customHeight="1">
      <c r="A486" t="inlineStr">
        <is>
          <t>A 37939-2025</t>
        </is>
      </c>
      <c r="B486" s="1" t="n">
        <v>45881.59877314815</v>
      </c>
      <c r="C486" s="1" t="n">
        <v>46136</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12588-2025</t>
        </is>
      </c>
      <c r="B487" s="1" t="n">
        <v>45732.76936342593</v>
      </c>
      <c r="C487" s="1" t="n">
        <v>46136</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25979-2023</t>
        </is>
      </c>
      <c r="B488" s="1" t="n">
        <v>45090.89653935185</v>
      </c>
      <c r="C488" s="1" t="n">
        <v>46136</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25980-2023</t>
        </is>
      </c>
      <c r="B489" s="1" t="n">
        <v>45090.89880787037</v>
      </c>
      <c r="C489" s="1" t="n">
        <v>46136</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42828-2025</t>
        </is>
      </c>
      <c r="B490" s="1" t="n">
        <v>45908.57716435185</v>
      </c>
      <c r="C490" s="1" t="n">
        <v>46136</v>
      </c>
      <c r="D490" t="inlineStr">
        <is>
          <t>KALMAR LÄN</t>
        </is>
      </c>
      <c r="E490" t="inlineStr">
        <is>
          <t>VIMMERBY</t>
        </is>
      </c>
      <c r="G490" t="n">
        <v>5.2</v>
      </c>
      <c r="H490" t="n">
        <v>0</v>
      </c>
      <c r="I490" t="n">
        <v>0</v>
      </c>
      <c r="J490" t="n">
        <v>0</v>
      </c>
      <c r="K490" t="n">
        <v>0</v>
      </c>
      <c r="L490" t="n">
        <v>0</v>
      </c>
      <c r="M490" t="n">
        <v>0</v>
      </c>
      <c r="N490" t="n">
        <v>0</v>
      </c>
      <c r="O490" t="n">
        <v>0</v>
      </c>
      <c r="P490" t="n">
        <v>0</v>
      </c>
      <c r="Q490" t="n">
        <v>0</v>
      </c>
      <c r="R490" s="2" t="inlineStr"/>
    </row>
    <row r="491" ht="15" customHeight="1">
      <c r="A491" t="inlineStr">
        <is>
          <t>A 46921-2023</t>
        </is>
      </c>
      <c r="B491" s="1" t="n">
        <v>45201.39996527778</v>
      </c>
      <c r="C491" s="1" t="n">
        <v>46136</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10837-2023</t>
        </is>
      </c>
      <c r="B492" s="1" t="n">
        <v>44991.30547453704</v>
      </c>
      <c r="C492" s="1" t="n">
        <v>46136</v>
      </c>
      <c r="D492" t="inlineStr">
        <is>
          <t>KALMAR LÄN</t>
        </is>
      </c>
      <c r="E492" t="inlineStr">
        <is>
          <t>VIMMERBY</t>
        </is>
      </c>
      <c r="G492" t="n">
        <v>7.3</v>
      </c>
      <c r="H492" t="n">
        <v>0</v>
      </c>
      <c r="I492" t="n">
        <v>0</v>
      </c>
      <c r="J492" t="n">
        <v>0</v>
      </c>
      <c r="K492" t="n">
        <v>0</v>
      </c>
      <c r="L492" t="n">
        <v>0</v>
      </c>
      <c r="M492" t="n">
        <v>0</v>
      </c>
      <c r="N492" t="n">
        <v>0</v>
      </c>
      <c r="O492" t="n">
        <v>0</v>
      </c>
      <c r="P492" t="n">
        <v>0</v>
      </c>
      <c r="Q492" t="n">
        <v>0</v>
      </c>
      <c r="R492" s="2" t="inlineStr"/>
    </row>
    <row r="493" ht="15" customHeight="1">
      <c r="A493" t="inlineStr">
        <is>
          <t>A 10838-2023</t>
        </is>
      </c>
      <c r="B493" s="1" t="n">
        <v>44991</v>
      </c>
      <c r="C493" s="1" t="n">
        <v>46136</v>
      </c>
      <c r="D493" t="inlineStr">
        <is>
          <t>KALMAR LÄN</t>
        </is>
      </c>
      <c r="E493" t="inlineStr">
        <is>
          <t>VIMMERBY</t>
        </is>
      </c>
      <c r="G493" t="n">
        <v>5.1</v>
      </c>
      <c r="H493" t="n">
        <v>0</v>
      </c>
      <c r="I493" t="n">
        <v>0</v>
      </c>
      <c r="J493" t="n">
        <v>0</v>
      </c>
      <c r="K493" t="n">
        <v>0</v>
      </c>
      <c r="L493" t="n">
        <v>0</v>
      </c>
      <c r="M493" t="n">
        <v>0</v>
      </c>
      <c r="N493" t="n">
        <v>0</v>
      </c>
      <c r="O493" t="n">
        <v>0</v>
      </c>
      <c r="P493" t="n">
        <v>0</v>
      </c>
      <c r="Q493" t="n">
        <v>0</v>
      </c>
      <c r="R493" s="2" t="inlineStr"/>
    </row>
    <row r="494" ht="15" customHeight="1">
      <c r="A494" t="inlineStr">
        <is>
          <t>A 30912-2023</t>
        </is>
      </c>
      <c r="B494" s="1" t="n">
        <v>45113.41633101852</v>
      </c>
      <c r="C494" s="1" t="n">
        <v>46136</v>
      </c>
      <c r="D494" t="inlineStr">
        <is>
          <t>KALMAR LÄN</t>
        </is>
      </c>
      <c r="E494" t="inlineStr">
        <is>
          <t>VIMMERBY</t>
        </is>
      </c>
      <c r="G494" t="n">
        <v>5</v>
      </c>
      <c r="H494" t="n">
        <v>0</v>
      </c>
      <c r="I494" t="n">
        <v>0</v>
      </c>
      <c r="J494" t="n">
        <v>0</v>
      </c>
      <c r="K494" t="n">
        <v>0</v>
      </c>
      <c r="L494" t="n">
        <v>0</v>
      </c>
      <c r="M494" t="n">
        <v>0</v>
      </c>
      <c r="N494" t="n">
        <v>0</v>
      </c>
      <c r="O494" t="n">
        <v>0</v>
      </c>
      <c r="P494" t="n">
        <v>0</v>
      </c>
      <c r="Q494" t="n">
        <v>0</v>
      </c>
      <c r="R494" s="2" t="inlineStr"/>
    </row>
    <row r="495" ht="15" customHeight="1">
      <c r="A495" t="inlineStr">
        <is>
          <t>A 55436-2023</t>
        </is>
      </c>
      <c r="B495" s="1" t="n">
        <v>45238.4328587963</v>
      </c>
      <c r="C495" s="1" t="n">
        <v>46136</v>
      </c>
      <c r="D495" t="inlineStr">
        <is>
          <t>KALMAR LÄN</t>
        </is>
      </c>
      <c r="E495" t="inlineStr">
        <is>
          <t>VIMMERBY</t>
        </is>
      </c>
      <c r="G495" t="n">
        <v>5.6</v>
      </c>
      <c r="H495" t="n">
        <v>0</v>
      </c>
      <c r="I495" t="n">
        <v>0</v>
      </c>
      <c r="J495" t="n">
        <v>0</v>
      </c>
      <c r="K495" t="n">
        <v>0</v>
      </c>
      <c r="L495" t="n">
        <v>0</v>
      </c>
      <c r="M495" t="n">
        <v>0</v>
      </c>
      <c r="N495" t="n">
        <v>0</v>
      </c>
      <c r="O495" t="n">
        <v>0</v>
      </c>
      <c r="P495" t="n">
        <v>0</v>
      </c>
      <c r="Q495" t="n">
        <v>0</v>
      </c>
      <c r="R495" s="2" t="inlineStr"/>
    </row>
    <row r="496" ht="15" customHeight="1">
      <c r="A496" t="inlineStr">
        <is>
          <t>A 42794-2025</t>
        </is>
      </c>
      <c r="B496" s="1" t="n">
        <v>45908</v>
      </c>
      <c r="C496" s="1" t="n">
        <v>46136</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21507-2023</t>
        </is>
      </c>
      <c r="B497" s="1" t="n">
        <v>45063.508125</v>
      </c>
      <c r="C497" s="1" t="n">
        <v>46136</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51187-2023</t>
        </is>
      </c>
      <c r="B498" s="1" t="n">
        <v>45219.40528935185</v>
      </c>
      <c r="C498" s="1" t="n">
        <v>46136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13290-2025</t>
        </is>
      </c>
      <c r="B499" s="1" t="n">
        <v>45735.56751157407</v>
      </c>
      <c r="C499" s="1" t="n">
        <v>46136</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46136</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16622-2025</t>
        </is>
      </c>
      <c r="B501" s="1" t="n">
        <v>45754.33641203704</v>
      </c>
      <c r="C501" s="1" t="n">
        <v>46136</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11798-2026</t>
        </is>
      </c>
      <c r="B502" s="1" t="n">
        <v>46085.34020833333</v>
      </c>
      <c r="C502" s="1" t="n">
        <v>46136</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42820-2025</t>
        </is>
      </c>
      <c r="B503" s="1" t="n">
        <v>45908</v>
      </c>
      <c r="C503" s="1" t="n">
        <v>46136</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31340-2023</t>
        </is>
      </c>
      <c r="B504" s="1" t="n">
        <v>45114.47895833333</v>
      </c>
      <c r="C504" s="1" t="n">
        <v>46136</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29168-2024</t>
        </is>
      </c>
      <c r="B505" s="1" t="n">
        <v>45482.49870370371</v>
      </c>
      <c r="C505" s="1" t="n">
        <v>46136</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29186-2024</t>
        </is>
      </c>
      <c r="B506" s="1" t="n">
        <v>45482.54844907407</v>
      </c>
      <c r="C506" s="1" t="n">
        <v>46136</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35895-2024</t>
        </is>
      </c>
      <c r="B507" s="1" t="n">
        <v>45533.38870370371</v>
      </c>
      <c r="C507" s="1" t="n">
        <v>46136</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12590-2025</t>
        </is>
      </c>
      <c r="B508" s="1" t="n">
        <v>45732.79925925926</v>
      </c>
      <c r="C508" s="1" t="n">
        <v>46136</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34060-2025</t>
        </is>
      </c>
      <c r="B509" s="1" t="n">
        <v>45845.42015046296</v>
      </c>
      <c r="C509" s="1" t="n">
        <v>46136</v>
      </c>
      <c r="D509" t="inlineStr">
        <is>
          <t>KALMAR LÄN</t>
        </is>
      </c>
      <c r="E509" t="inlineStr">
        <is>
          <t>VIMMERBY</t>
        </is>
      </c>
      <c r="G509" t="n">
        <v>5.7</v>
      </c>
      <c r="H509" t="n">
        <v>0</v>
      </c>
      <c r="I509" t="n">
        <v>0</v>
      </c>
      <c r="J509" t="n">
        <v>0</v>
      </c>
      <c r="K509" t="n">
        <v>0</v>
      </c>
      <c r="L509" t="n">
        <v>0</v>
      </c>
      <c r="M509" t="n">
        <v>0</v>
      </c>
      <c r="N509" t="n">
        <v>0</v>
      </c>
      <c r="O509" t="n">
        <v>0</v>
      </c>
      <c r="P509" t="n">
        <v>0</v>
      </c>
      <c r="Q509" t="n">
        <v>0</v>
      </c>
      <c r="R509" s="2" t="inlineStr"/>
    </row>
    <row r="510" ht="15" customHeight="1">
      <c r="A510" t="inlineStr">
        <is>
          <t>A 30318-2023</t>
        </is>
      </c>
      <c r="B510" s="1" t="n">
        <v>45111.30824074074</v>
      </c>
      <c r="C510" s="1" t="n">
        <v>46136</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43617-2025</t>
        </is>
      </c>
      <c r="B511" s="1" t="n">
        <v>45911.67798611111</v>
      </c>
      <c r="C511" s="1" t="n">
        <v>46136</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18633-2026</t>
        </is>
      </c>
      <c r="B512" s="1" t="n">
        <v>46128.26289351852</v>
      </c>
      <c r="C512" s="1" t="n">
        <v>46136</v>
      </c>
      <c r="D512" t="inlineStr">
        <is>
          <t>KALMAR LÄN</t>
        </is>
      </c>
      <c r="E512" t="inlineStr">
        <is>
          <t>VIMMERBY</t>
        </is>
      </c>
      <c r="G512" t="n">
        <v>2</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44431.84840277778</v>
      </c>
      <c r="C513" s="1" t="n">
        <v>46136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60215-2022</t>
        </is>
      </c>
      <c r="B514" s="1" t="n">
        <v>44910.41346064815</v>
      </c>
      <c r="C514" s="1" t="n">
        <v>46136</v>
      </c>
      <c r="D514" t="inlineStr">
        <is>
          <t>KALMAR LÄN</t>
        </is>
      </c>
      <c r="E514" t="inlineStr">
        <is>
          <t>VIMMERBY</t>
        </is>
      </c>
      <c r="G514" t="n">
        <v>1.1</v>
      </c>
      <c r="H514" t="n">
        <v>0</v>
      </c>
      <c r="I514" t="n">
        <v>0</v>
      </c>
      <c r="J514" t="n">
        <v>0</v>
      </c>
      <c r="K514" t="n">
        <v>0</v>
      </c>
      <c r="L514" t="n">
        <v>0</v>
      </c>
      <c r="M514" t="n">
        <v>0</v>
      </c>
      <c r="N514" t="n">
        <v>0</v>
      </c>
      <c r="O514" t="n">
        <v>0</v>
      </c>
      <c r="P514" t="n">
        <v>0</v>
      </c>
      <c r="Q514" t="n">
        <v>0</v>
      </c>
      <c r="R514" s="2" t="inlineStr"/>
    </row>
    <row r="515" ht="15" customHeight="1">
      <c r="A515" t="inlineStr">
        <is>
          <t>A 60230-2022</t>
        </is>
      </c>
      <c r="B515" s="1" t="n">
        <v>44910</v>
      </c>
      <c r="C515" s="1" t="n">
        <v>46136</v>
      </c>
      <c r="D515" t="inlineStr">
        <is>
          <t>KALMAR LÄN</t>
        </is>
      </c>
      <c r="E515" t="inlineStr">
        <is>
          <t>VIMMERBY</t>
        </is>
      </c>
      <c r="G515" t="n">
        <v>11.3</v>
      </c>
      <c r="H515" t="n">
        <v>0</v>
      </c>
      <c r="I515" t="n">
        <v>0</v>
      </c>
      <c r="J515" t="n">
        <v>0</v>
      </c>
      <c r="K515" t="n">
        <v>0</v>
      </c>
      <c r="L515" t="n">
        <v>0</v>
      </c>
      <c r="M515" t="n">
        <v>0</v>
      </c>
      <c r="N515" t="n">
        <v>0</v>
      </c>
      <c r="O515" t="n">
        <v>0</v>
      </c>
      <c r="P515" t="n">
        <v>0</v>
      </c>
      <c r="Q515" t="n">
        <v>0</v>
      </c>
      <c r="R515" s="2" t="inlineStr"/>
    </row>
    <row r="516" ht="15" customHeight="1">
      <c r="A516" t="inlineStr">
        <is>
          <t>A 43465-2025</t>
        </is>
      </c>
      <c r="B516" s="1" t="n">
        <v>45911.47138888889</v>
      </c>
      <c r="C516" s="1" t="n">
        <v>46136</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5925-2022</t>
        </is>
      </c>
      <c r="B517" s="1" t="n">
        <v>44598.7384837963</v>
      </c>
      <c r="C517" s="1" t="n">
        <v>46136</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845-2023</t>
        </is>
      </c>
      <c r="B518" s="1" t="n">
        <v>44931</v>
      </c>
      <c r="C518" s="1" t="n">
        <v>46136</v>
      </c>
      <c r="D518" t="inlineStr">
        <is>
          <t>KALMAR LÄN</t>
        </is>
      </c>
      <c r="E518" t="inlineStr">
        <is>
          <t>VIMMERBY</t>
        </is>
      </c>
      <c r="F518" t="inlineStr">
        <is>
          <t>Övriga Aktiebolag</t>
        </is>
      </c>
      <c r="G518" t="n">
        <v>19</v>
      </c>
      <c r="H518" t="n">
        <v>0</v>
      </c>
      <c r="I518" t="n">
        <v>0</v>
      </c>
      <c r="J518" t="n">
        <v>0</v>
      </c>
      <c r="K518" t="n">
        <v>0</v>
      </c>
      <c r="L518" t="n">
        <v>0</v>
      </c>
      <c r="M518" t="n">
        <v>0</v>
      </c>
      <c r="N518" t="n">
        <v>0</v>
      </c>
      <c r="O518" t="n">
        <v>0</v>
      </c>
      <c r="P518" t="n">
        <v>0</v>
      </c>
      <c r="Q518" t="n">
        <v>0</v>
      </c>
      <c r="R518" s="2" t="inlineStr"/>
    </row>
    <row r="519" ht="15" customHeight="1">
      <c r="A519" t="inlineStr">
        <is>
          <t>A 16119-2023</t>
        </is>
      </c>
      <c r="B519" s="1" t="n">
        <v>45027.59450231482</v>
      </c>
      <c r="C519" s="1" t="n">
        <v>46136</v>
      </c>
      <c r="D519" t="inlineStr">
        <is>
          <t>KALMAR LÄN</t>
        </is>
      </c>
      <c r="E519" t="inlineStr">
        <is>
          <t>VIMMERBY</t>
        </is>
      </c>
      <c r="F519" t="inlineStr">
        <is>
          <t>Kommuner</t>
        </is>
      </c>
      <c r="G519" t="n">
        <v>4.4</v>
      </c>
      <c r="H519" t="n">
        <v>0</v>
      </c>
      <c r="I519" t="n">
        <v>0</v>
      </c>
      <c r="J519" t="n">
        <v>0</v>
      </c>
      <c r="K519" t="n">
        <v>0</v>
      </c>
      <c r="L519" t="n">
        <v>0</v>
      </c>
      <c r="M519" t="n">
        <v>0</v>
      </c>
      <c r="N519" t="n">
        <v>0</v>
      </c>
      <c r="O519" t="n">
        <v>0</v>
      </c>
      <c r="P519" t="n">
        <v>0</v>
      </c>
      <c r="Q519" t="n">
        <v>0</v>
      </c>
      <c r="R519" s="2" t="inlineStr"/>
    </row>
    <row r="520" ht="15" customHeight="1">
      <c r="A520" t="inlineStr">
        <is>
          <t>A 30588-2023</t>
        </is>
      </c>
      <c r="B520" s="1" t="n">
        <v>45112.33599537037</v>
      </c>
      <c r="C520" s="1" t="n">
        <v>46136</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45528-2021</t>
        </is>
      </c>
      <c r="B521" s="1" t="n">
        <v>44440.60415509259</v>
      </c>
      <c r="C521" s="1" t="n">
        <v>46136</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16516-2023</t>
        </is>
      </c>
      <c r="B522" s="1" t="n">
        <v>45029</v>
      </c>
      <c r="C522" s="1" t="n">
        <v>46136</v>
      </c>
      <c r="D522" t="inlineStr">
        <is>
          <t>KALMAR LÄN</t>
        </is>
      </c>
      <c r="E522" t="inlineStr">
        <is>
          <t>VIMMERBY</t>
        </is>
      </c>
      <c r="G522" t="n">
        <v>4.3</v>
      </c>
      <c r="H522" t="n">
        <v>0</v>
      </c>
      <c r="I522" t="n">
        <v>0</v>
      </c>
      <c r="J522" t="n">
        <v>0</v>
      </c>
      <c r="K522" t="n">
        <v>0</v>
      </c>
      <c r="L522" t="n">
        <v>0</v>
      </c>
      <c r="M522" t="n">
        <v>0</v>
      </c>
      <c r="N522" t="n">
        <v>0</v>
      </c>
      <c r="O522" t="n">
        <v>0</v>
      </c>
      <c r="P522" t="n">
        <v>0</v>
      </c>
      <c r="Q522" t="n">
        <v>0</v>
      </c>
      <c r="R522" s="2" t="inlineStr"/>
    </row>
    <row r="523" ht="15" customHeight="1">
      <c r="A523" t="inlineStr">
        <is>
          <t>A 44329-2025</t>
        </is>
      </c>
      <c r="B523" s="1" t="n">
        <v>45916.41019675926</v>
      </c>
      <c r="C523" s="1" t="n">
        <v>46136</v>
      </c>
      <c r="D523" t="inlineStr">
        <is>
          <t>KALMAR LÄN</t>
        </is>
      </c>
      <c r="E523" t="inlineStr">
        <is>
          <t>VIMMERBY</t>
        </is>
      </c>
      <c r="G523" t="n">
        <v>4.3</v>
      </c>
      <c r="H523" t="n">
        <v>0</v>
      </c>
      <c r="I523" t="n">
        <v>0</v>
      </c>
      <c r="J523" t="n">
        <v>0</v>
      </c>
      <c r="K523" t="n">
        <v>0</v>
      </c>
      <c r="L523" t="n">
        <v>0</v>
      </c>
      <c r="M523" t="n">
        <v>0</v>
      </c>
      <c r="N523" t="n">
        <v>0</v>
      </c>
      <c r="O523" t="n">
        <v>0</v>
      </c>
      <c r="P523" t="n">
        <v>0</v>
      </c>
      <c r="Q523" t="n">
        <v>0</v>
      </c>
      <c r="R523" s="2" t="inlineStr"/>
    </row>
    <row r="524" ht="15" customHeight="1">
      <c r="A524" t="inlineStr">
        <is>
          <t>A 2510-2023</t>
        </is>
      </c>
      <c r="B524" s="1" t="n">
        <v>44943.57309027778</v>
      </c>
      <c r="C524" s="1" t="n">
        <v>46136</v>
      </c>
      <c r="D524" t="inlineStr">
        <is>
          <t>KALMAR LÄN</t>
        </is>
      </c>
      <c r="E524" t="inlineStr">
        <is>
          <t>VIMMERBY</t>
        </is>
      </c>
      <c r="G524" t="n">
        <v>8.6</v>
      </c>
      <c r="H524" t="n">
        <v>0</v>
      </c>
      <c r="I524" t="n">
        <v>0</v>
      </c>
      <c r="J524" t="n">
        <v>0</v>
      </c>
      <c r="K524" t="n">
        <v>0</v>
      </c>
      <c r="L524" t="n">
        <v>0</v>
      </c>
      <c r="M524" t="n">
        <v>0</v>
      </c>
      <c r="N524" t="n">
        <v>0</v>
      </c>
      <c r="O524" t="n">
        <v>0</v>
      </c>
      <c r="P524" t="n">
        <v>0</v>
      </c>
      <c r="Q524" t="n">
        <v>0</v>
      </c>
      <c r="R524" s="2" t="inlineStr"/>
    </row>
    <row r="525" ht="15" customHeight="1">
      <c r="A525" t="inlineStr">
        <is>
          <t>A 48373-2021</t>
        </is>
      </c>
      <c r="B525" s="1" t="n">
        <v>44451</v>
      </c>
      <c r="C525" s="1" t="n">
        <v>46136</v>
      </c>
      <c r="D525" t="inlineStr">
        <is>
          <t>KALMAR LÄN</t>
        </is>
      </c>
      <c r="E525" t="inlineStr">
        <is>
          <t>VIMMERBY</t>
        </is>
      </c>
      <c r="G525" t="n">
        <v>2.2</v>
      </c>
      <c r="H525" t="n">
        <v>0</v>
      </c>
      <c r="I525" t="n">
        <v>0</v>
      </c>
      <c r="J525" t="n">
        <v>0</v>
      </c>
      <c r="K525" t="n">
        <v>0</v>
      </c>
      <c r="L525" t="n">
        <v>0</v>
      </c>
      <c r="M525" t="n">
        <v>0</v>
      </c>
      <c r="N525" t="n">
        <v>0</v>
      </c>
      <c r="O525" t="n">
        <v>0</v>
      </c>
      <c r="P525" t="n">
        <v>0</v>
      </c>
      <c r="Q525" t="n">
        <v>0</v>
      </c>
      <c r="R525" s="2" t="inlineStr"/>
    </row>
    <row r="526" ht="15" customHeight="1">
      <c r="A526" t="inlineStr">
        <is>
          <t>A 44517-2025</t>
        </is>
      </c>
      <c r="B526" s="1" t="n">
        <v>45916.7103587963</v>
      </c>
      <c r="C526" s="1" t="n">
        <v>46136</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12730-2026</t>
        </is>
      </c>
      <c r="B527" s="1" t="n">
        <v>46091</v>
      </c>
      <c r="C527" s="1" t="n">
        <v>46136</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44091-2025</t>
        </is>
      </c>
      <c r="B528" s="1" t="n">
        <v>45915.55950231481</v>
      </c>
      <c r="C528" s="1" t="n">
        <v>46136</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44095-2025</t>
        </is>
      </c>
      <c r="B529" s="1" t="n">
        <v>45915.56430555556</v>
      </c>
      <c r="C529" s="1" t="n">
        <v>46136</v>
      </c>
      <c r="D529" t="inlineStr">
        <is>
          <t>KALMAR LÄN</t>
        </is>
      </c>
      <c r="E529" t="inlineStr">
        <is>
          <t>VIMMERBY</t>
        </is>
      </c>
      <c r="G529" t="n">
        <v>2.4</v>
      </c>
      <c r="H529" t="n">
        <v>0</v>
      </c>
      <c r="I529" t="n">
        <v>0</v>
      </c>
      <c r="J529" t="n">
        <v>0</v>
      </c>
      <c r="K529" t="n">
        <v>0</v>
      </c>
      <c r="L529" t="n">
        <v>0</v>
      </c>
      <c r="M529" t="n">
        <v>0</v>
      </c>
      <c r="N529" t="n">
        <v>0</v>
      </c>
      <c r="O529" t="n">
        <v>0</v>
      </c>
      <c r="P529" t="n">
        <v>0</v>
      </c>
      <c r="Q529" t="n">
        <v>0</v>
      </c>
      <c r="R529" s="2" t="inlineStr"/>
    </row>
    <row r="530" ht="15" customHeight="1">
      <c r="A530" t="inlineStr">
        <is>
          <t>A 44742-2025</t>
        </is>
      </c>
      <c r="B530" s="1" t="n">
        <v>45917.67054398148</v>
      </c>
      <c r="C530" s="1" t="n">
        <v>46136</v>
      </c>
      <c r="D530" t="inlineStr">
        <is>
          <t>KALMAR LÄN</t>
        </is>
      </c>
      <c r="E530" t="inlineStr">
        <is>
          <t>VIMMERBY</t>
        </is>
      </c>
      <c r="G530" t="n">
        <v>4.7</v>
      </c>
      <c r="H530" t="n">
        <v>0</v>
      </c>
      <c r="I530" t="n">
        <v>0</v>
      </c>
      <c r="J530" t="n">
        <v>0</v>
      </c>
      <c r="K530" t="n">
        <v>0</v>
      </c>
      <c r="L530" t="n">
        <v>0</v>
      </c>
      <c r="M530" t="n">
        <v>0</v>
      </c>
      <c r="N530" t="n">
        <v>0</v>
      </c>
      <c r="O530" t="n">
        <v>0</v>
      </c>
      <c r="P530" t="n">
        <v>0</v>
      </c>
      <c r="Q530" t="n">
        <v>0</v>
      </c>
      <c r="R530" s="2" t="inlineStr"/>
    </row>
    <row r="531" ht="15" customHeight="1">
      <c r="A531" t="inlineStr">
        <is>
          <t>A 41896-2025</t>
        </is>
      </c>
      <c r="B531" s="1" t="n">
        <v>45903.38800925926</v>
      </c>
      <c r="C531" s="1" t="n">
        <v>46136</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7485-2024</t>
        </is>
      </c>
      <c r="B532" s="1" t="n">
        <v>45346.67184027778</v>
      </c>
      <c r="C532" s="1" t="n">
        <v>46136</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6574-2023</t>
        </is>
      </c>
      <c r="B533" s="1" t="n">
        <v>44966</v>
      </c>
      <c r="C533" s="1" t="n">
        <v>46136</v>
      </c>
      <c r="D533" t="inlineStr">
        <is>
          <t>KALMAR LÄN</t>
        </is>
      </c>
      <c r="E533" t="inlineStr">
        <is>
          <t>VIMMERBY</t>
        </is>
      </c>
      <c r="G533" t="n">
        <v>2.5</v>
      </c>
      <c r="H533" t="n">
        <v>0</v>
      </c>
      <c r="I533" t="n">
        <v>0</v>
      </c>
      <c r="J533" t="n">
        <v>0</v>
      </c>
      <c r="K533" t="n">
        <v>0</v>
      </c>
      <c r="L533" t="n">
        <v>0</v>
      </c>
      <c r="M533" t="n">
        <v>0</v>
      </c>
      <c r="N533" t="n">
        <v>0</v>
      </c>
      <c r="O533" t="n">
        <v>0</v>
      </c>
      <c r="P533" t="n">
        <v>0</v>
      </c>
      <c r="Q533" t="n">
        <v>0</v>
      </c>
      <c r="R533" s="2" t="inlineStr"/>
    </row>
    <row r="534" ht="15" customHeight="1">
      <c r="A534" t="inlineStr">
        <is>
          <t>A 20054-2023</t>
        </is>
      </c>
      <c r="B534" s="1" t="n">
        <v>45054.6750462963</v>
      </c>
      <c r="C534" s="1" t="n">
        <v>46136</v>
      </c>
      <c r="D534" t="inlineStr">
        <is>
          <t>KALMAR LÄN</t>
        </is>
      </c>
      <c r="E534" t="inlineStr">
        <is>
          <t>VIMMERBY</t>
        </is>
      </c>
      <c r="G534" t="n">
        <v>2.4</v>
      </c>
      <c r="H534" t="n">
        <v>0</v>
      </c>
      <c r="I534" t="n">
        <v>0</v>
      </c>
      <c r="J534" t="n">
        <v>0</v>
      </c>
      <c r="K534" t="n">
        <v>0</v>
      </c>
      <c r="L534" t="n">
        <v>0</v>
      </c>
      <c r="M534" t="n">
        <v>0</v>
      </c>
      <c r="N534" t="n">
        <v>0</v>
      </c>
      <c r="O534" t="n">
        <v>0</v>
      </c>
      <c r="P534" t="n">
        <v>0</v>
      </c>
      <c r="Q534" t="n">
        <v>0</v>
      </c>
      <c r="R534" s="2" t="inlineStr"/>
    </row>
    <row r="535" ht="15" customHeight="1">
      <c r="A535" t="inlineStr">
        <is>
          <t>A 58750-2022</t>
        </is>
      </c>
      <c r="B535" s="1" t="n">
        <v>44903.33363425926</v>
      </c>
      <c r="C535" s="1" t="n">
        <v>46136</v>
      </c>
      <c r="D535" t="inlineStr">
        <is>
          <t>KALMAR LÄN</t>
        </is>
      </c>
      <c r="E535" t="inlineStr">
        <is>
          <t>VIMMERBY</t>
        </is>
      </c>
      <c r="G535" t="n">
        <v>3.3</v>
      </c>
      <c r="H535" t="n">
        <v>0</v>
      </c>
      <c r="I535" t="n">
        <v>0</v>
      </c>
      <c r="J535" t="n">
        <v>0</v>
      </c>
      <c r="K535" t="n">
        <v>0</v>
      </c>
      <c r="L535" t="n">
        <v>0</v>
      </c>
      <c r="M535" t="n">
        <v>0</v>
      </c>
      <c r="N535" t="n">
        <v>0</v>
      </c>
      <c r="O535" t="n">
        <v>0</v>
      </c>
      <c r="P535" t="n">
        <v>0</v>
      </c>
      <c r="Q535" t="n">
        <v>0</v>
      </c>
      <c r="R535" s="2" t="inlineStr"/>
    </row>
    <row r="536" ht="15" customHeight="1">
      <c r="A536" t="inlineStr">
        <is>
          <t>A 45319-2025</t>
        </is>
      </c>
      <c r="B536" s="1" t="n">
        <v>45921.95611111111</v>
      </c>
      <c r="C536" s="1" t="n">
        <v>46136</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45320-2025</t>
        </is>
      </c>
      <c r="B537" s="1" t="n">
        <v>45921.96395833333</v>
      </c>
      <c r="C537" s="1" t="n">
        <v>46136</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45114-2025</t>
        </is>
      </c>
      <c r="B538" s="1" t="n">
        <v>45919.42387731482</v>
      </c>
      <c r="C538" s="1" t="n">
        <v>46136</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2260-2022</t>
        </is>
      </c>
      <c r="B539" s="1" t="n">
        <v>44578.62943287037</v>
      </c>
      <c r="C539" s="1" t="n">
        <v>46136</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46118-2025</t>
        </is>
      </c>
      <c r="B540" s="1" t="n">
        <v>45924.57697916667</v>
      </c>
      <c r="C540" s="1" t="n">
        <v>46136</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50860-2022</t>
        </is>
      </c>
      <c r="B541" s="1" t="n">
        <v>44867</v>
      </c>
      <c r="C541" s="1" t="n">
        <v>46136</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53483-2022</t>
        </is>
      </c>
      <c r="B542" s="1" t="n">
        <v>44879.55940972222</v>
      </c>
      <c r="C542" s="1" t="n">
        <v>46136</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58962-2022</t>
        </is>
      </c>
      <c r="B543" s="1" t="n">
        <v>44903</v>
      </c>
      <c r="C543" s="1" t="n">
        <v>46136</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58967-2022</t>
        </is>
      </c>
      <c r="B544" s="1" t="n">
        <v>44896</v>
      </c>
      <c r="C544" s="1" t="n">
        <v>46136</v>
      </c>
      <c r="D544" t="inlineStr">
        <is>
          <t>KALMAR LÄN</t>
        </is>
      </c>
      <c r="E544" t="inlineStr">
        <is>
          <t>VIMMERBY</t>
        </is>
      </c>
      <c r="G544" t="n">
        <v>5</v>
      </c>
      <c r="H544" t="n">
        <v>0</v>
      </c>
      <c r="I544" t="n">
        <v>0</v>
      </c>
      <c r="J544" t="n">
        <v>0</v>
      </c>
      <c r="K544" t="n">
        <v>0</v>
      </c>
      <c r="L544" t="n">
        <v>0</v>
      </c>
      <c r="M544" t="n">
        <v>0</v>
      </c>
      <c r="N544" t="n">
        <v>0</v>
      </c>
      <c r="O544" t="n">
        <v>0</v>
      </c>
      <c r="P544" t="n">
        <v>0</v>
      </c>
      <c r="Q544" t="n">
        <v>0</v>
      </c>
      <c r="R544" s="2" t="inlineStr"/>
    </row>
    <row r="545" ht="15" customHeight="1">
      <c r="A545" t="inlineStr">
        <is>
          <t>A 57682-2022</t>
        </is>
      </c>
      <c r="B545" s="1" t="n">
        <v>44890</v>
      </c>
      <c r="C545" s="1" t="n">
        <v>46136</v>
      </c>
      <c r="D545" t="inlineStr">
        <is>
          <t>KALMAR LÄN</t>
        </is>
      </c>
      <c r="E545" t="inlineStr">
        <is>
          <t>VIMMERBY</t>
        </is>
      </c>
      <c r="G545" t="n">
        <v>1.5</v>
      </c>
      <c r="H545" t="n">
        <v>0</v>
      </c>
      <c r="I545" t="n">
        <v>0</v>
      </c>
      <c r="J545" t="n">
        <v>0</v>
      </c>
      <c r="K545" t="n">
        <v>0</v>
      </c>
      <c r="L545" t="n">
        <v>0</v>
      </c>
      <c r="M545" t="n">
        <v>0</v>
      </c>
      <c r="N545" t="n">
        <v>0</v>
      </c>
      <c r="O545" t="n">
        <v>0</v>
      </c>
      <c r="P545" t="n">
        <v>0</v>
      </c>
      <c r="Q545" t="n">
        <v>0</v>
      </c>
      <c r="R545" s="2" t="inlineStr"/>
    </row>
    <row r="546" ht="15" customHeight="1">
      <c r="A546" t="inlineStr">
        <is>
          <t>A 12820-2026</t>
        </is>
      </c>
      <c r="B546" s="1" t="n">
        <v>46092.40909722223</v>
      </c>
      <c r="C546" s="1" t="n">
        <v>46136</v>
      </c>
      <c r="D546" t="inlineStr">
        <is>
          <t>KALMAR LÄN</t>
        </is>
      </c>
      <c r="E546" t="inlineStr">
        <is>
          <t>VIMMERBY</t>
        </is>
      </c>
      <c r="G546" t="n">
        <v>4.3</v>
      </c>
      <c r="H546" t="n">
        <v>0</v>
      </c>
      <c r="I546" t="n">
        <v>0</v>
      </c>
      <c r="J546" t="n">
        <v>0</v>
      </c>
      <c r="K546" t="n">
        <v>0</v>
      </c>
      <c r="L546" t="n">
        <v>0</v>
      </c>
      <c r="M546" t="n">
        <v>0</v>
      </c>
      <c r="N546" t="n">
        <v>0</v>
      </c>
      <c r="O546" t="n">
        <v>0</v>
      </c>
      <c r="P546" t="n">
        <v>0</v>
      </c>
      <c r="Q546" t="n">
        <v>0</v>
      </c>
      <c r="R546" s="2" t="inlineStr"/>
    </row>
    <row r="547" ht="15" customHeight="1">
      <c r="A547" t="inlineStr">
        <is>
          <t>A 12821-2026</t>
        </is>
      </c>
      <c r="B547" s="1" t="n">
        <v>46092.41256944444</v>
      </c>
      <c r="C547" s="1" t="n">
        <v>46136</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12825-2026</t>
        </is>
      </c>
      <c r="B548" s="1" t="n">
        <v>46092.41561342592</v>
      </c>
      <c r="C548" s="1" t="n">
        <v>46136</v>
      </c>
      <c r="D548" t="inlineStr">
        <is>
          <t>KALMAR LÄN</t>
        </is>
      </c>
      <c r="E548" t="inlineStr">
        <is>
          <t>VIMMERBY</t>
        </is>
      </c>
      <c r="G548" t="n">
        <v>2.6</v>
      </c>
      <c r="H548" t="n">
        <v>0</v>
      </c>
      <c r="I548" t="n">
        <v>0</v>
      </c>
      <c r="J548" t="n">
        <v>0</v>
      </c>
      <c r="K548" t="n">
        <v>0</v>
      </c>
      <c r="L548" t="n">
        <v>0</v>
      </c>
      <c r="M548" t="n">
        <v>0</v>
      </c>
      <c r="N548" t="n">
        <v>0</v>
      </c>
      <c r="O548" t="n">
        <v>0</v>
      </c>
      <c r="P548" t="n">
        <v>0</v>
      </c>
      <c r="Q548" t="n">
        <v>0</v>
      </c>
      <c r="R548" s="2" t="inlineStr"/>
    </row>
    <row r="549" ht="15" customHeight="1">
      <c r="A549" t="inlineStr">
        <is>
          <t>A 45854-2025</t>
        </is>
      </c>
      <c r="B549" s="1" t="n">
        <v>45923</v>
      </c>
      <c r="C549" s="1" t="n">
        <v>46136</v>
      </c>
      <c r="D549" t="inlineStr">
        <is>
          <t>KALMAR LÄN</t>
        </is>
      </c>
      <c r="E549" t="inlineStr">
        <is>
          <t>VIMMERBY</t>
        </is>
      </c>
      <c r="G549" t="n">
        <v>2.2</v>
      </c>
      <c r="H549" t="n">
        <v>0</v>
      </c>
      <c r="I549" t="n">
        <v>0</v>
      </c>
      <c r="J549" t="n">
        <v>0</v>
      </c>
      <c r="K549" t="n">
        <v>0</v>
      </c>
      <c r="L549" t="n">
        <v>0</v>
      </c>
      <c r="M549" t="n">
        <v>0</v>
      </c>
      <c r="N549" t="n">
        <v>0</v>
      </c>
      <c r="O549" t="n">
        <v>0</v>
      </c>
      <c r="P549" t="n">
        <v>0</v>
      </c>
      <c r="Q549" t="n">
        <v>0</v>
      </c>
      <c r="R549" s="2" t="inlineStr"/>
    </row>
    <row r="550" ht="15" customHeight="1">
      <c r="A550" t="inlineStr">
        <is>
          <t>A 45855-2025</t>
        </is>
      </c>
      <c r="B550" s="1" t="n">
        <v>45923</v>
      </c>
      <c r="C550" s="1" t="n">
        <v>46136</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46361-2025</t>
        </is>
      </c>
      <c r="B551" s="1" t="n">
        <v>45925.49670138889</v>
      </c>
      <c r="C551" s="1" t="n">
        <v>46136</v>
      </c>
      <c r="D551" t="inlineStr">
        <is>
          <t>KALMAR LÄN</t>
        </is>
      </c>
      <c r="E551" t="inlineStr">
        <is>
          <t>VIMMERBY</t>
        </is>
      </c>
      <c r="G551" t="n">
        <v>4.2</v>
      </c>
      <c r="H551" t="n">
        <v>0</v>
      </c>
      <c r="I551" t="n">
        <v>0</v>
      </c>
      <c r="J551" t="n">
        <v>0</v>
      </c>
      <c r="K551" t="n">
        <v>0</v>
      </c>
      <c r="L551" t="n">
        <v>0</v>
      </c>
      <c r="M551" t="n">
        <v>0</v>
      </c>
      <c r="N551" t="n">
        <v>0</v>
      </c>
      <c r="O551" t="n">
        <v>0</v>
      </c>
      <c r="P551" t="n">
        <v>0</v>
      </c>
      <c r="Q551" t="n">
        <v>0</v>
      </c>
      <c r="R551" s="2" t="inlineStr"/>
    </row>
    <row r="552" ht="15" customHeight="1">
      <c r="A552" t="inlineStr">
        <is>
          <t>A 46365-2025</t>
        </is>
      </c>
      <c r="B552" s="1" t="n">
        <v>45925.50075231482</v>
      </c>
      <c r="C552" s="1" t="n">
        <v>46136</v>
      </c>
      <c r="D552" t="inlineStr">
        <is>
          <t>KALMAR LÄN</t>
        </is>
      </c>
      <c r="E552" t="inlineStr">
        <is>
          <t>VIMMERBY</t>
        </is>
      </c>
      <c r="G552" t="n">
        <v>5.6</v>
      </c>
      <c r="H552" t="n">
        <v>0</v>
      </c>
      <c r="I552" t="n">
        <v>0</v>
      </c>
      <c r="J552" t="n">
        <v>0</v>
      </c>
      <c r="K552" t="n">
        <v>0</v>
      </c>
      <c r="L552" t="n">
        <v>0</v>
      </c>
      <c r="M552" t="n">
        <v>0</v>
      </c>
      <c r="N552" t="n">
        <v>0</v>
      </c>
      <c r="O552" t="n">
        <v>0</v>
      </c>
      <c r="P552" t="n">
        <v>0</v>
      </c>
      <c r="Q552" t="n">
        <v>0</v>
      </c>
      <c r="R552" s="2" t="inlineStr"/>
    </row>
    <row r="553" ht="15" customHeight="1">
      <c r="A553" t="inlineStr">
        <is>
          <t>A 4076-2022</t>
        </is>
      </c>
      <c r="B553" s="1" t="n">
        <v>44588.37998842593</v>
      </c>
      <c r="C553" s="1" t="n">
        <v>46136</v>
      </c>
      <c r="D553" t="inlineStr">
        <is>
          <t>KALMAR LÄN</t>
        </is>
      </c>
      <c r="E553" t="inlineStr">
        <is>
          <t>VIMMERBY</t>
        </is>
      </c>
      <c r="G553" t="n">
        <v>3</v>
      </c>
      <c r="H553" t="n">
        <v>0</v>
      </c>
      <c r="I553" t="n">
        <v>0</v>
      </c>
      <c r="J553" t="n">
        <v>0</v>
      </c>
      <c r="K553" t="n">
        <v>0</v>
      </c>
      <c r="L553" t="n">
        <v>0</v>
      </c>
      <c r="M553" t="n">
        <v>0</v>
      </c>
      <c r="N553" t="n">
        <v>0</v>
      </c>
      <c r="O553" t="n">
        <v>0</v>
      </c>
      <c r="P553" t="n">
        <v>0</v>
      </c>
      <c r="Q553" t="n">
        <v>0</v>
      </c>
      <c r="R553" s="2" t="inlineStr"/>
    </row>
    <row r="554" ht="15" customHeight="1">
      <c r="A554" t="inlineStr">
        <is>
          <t>A 4122-2022</t>
        </is>
      </c>
      <c r="B554" s="1" t="n">
        <v>44588</v>
      </c>
      <c r="C554" s="1" t="n">
        <v>46136</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45856-2025</t>
        </is>
      </c>
      <c r="B555" s="1" t="n">
        <v>45923</v>
      </c>
      <c r="C555" s="1" t="n">
        <v>46136</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46887-2025</t>
        </is>
      </c>
      <c r="B556" s="1" t="n">
        <v>45929.3672337963</v>
      </c>
      <c r="C556" s="1" t="n">
        <v>46136</v>
      </c>
      <c r="D556" t="inlineStr">
        <is>
          <t>KALMAR LÄN</t>
        </is>
      </c>
      <c r="E556" t="inlineStr">
        <is>
          <t>VIMMERBY</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47227-2025</t>
        </is>
      </c>
      <c r="B557" s="1" t="n">
        <v>45930.39769675926</v>
      </c>
      <c r="C557" s="1" t="n">
        <v>46136</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9624-2024</t>
        </is>
      </c>
      <c r="B558" s="1" t="n">
        <v>45361.90282407407</v>
      </c>
      <c r="C558" s="1" t="n">
        <v>46136</v>
      </c>
      <c r="D558" t="inlineStr">
        <is>
          <t>KALMAR LÄN</t>
        </is>
      </c>
      <c r="E558" t="inlineStr">
        <is>
          <t>VIMMERBY</t>
        </is>
      </c>
      <c r="G558" t="n">
        <v>3.8</v>
      </c>
      <c r="H558" t="n">
        <v>0</v>
      </c>
      <c r="I558" t="n">
        <v>0</v>
      </c>
      <c r="J558" t="n">
        <v>0</v>
      </c>
      <c r="K558" t="n">
        <v>0</v>
      </c>
      <c r="L558" t="n">
        <v>0</v>
      </c>
      <c r="M558" t="n">
        <v>0</v>
      </c>
      <c r="N558" t="n">
        <v>0</v>
      </c>
      <c r="O558" t="n">
        <v>0</v>
      </c>
      <c r="P558" t="n">
        <v>0</v>
      </c>
      <c r="Q558" t="n">
        <v>0</v>
      </c>
      <c r="R558" s="2" t="inlineStr"/>
    </row>
    <row r="559" ht="15" customHeight="1">
      <c r="A559" t="inlineStr">
        <is>
          <t>A 52327-2023</t>
        </is>
      </c>
      <c r="B559" s="1" t="n">
        <v>45224.6515162037</v>
      </c>
      <c r="C559" s="1" t="n">
        <v>46136</v>
      </c>
      <c r="D559" t="inlineStr">
        <is>
          <t>KALMAR LÄN</t>
        </is>
      </c>
      <c r="E559" t="inlineStr">
        <is>
          <t>VIMMERBY</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29616-2022</t>
        </is>
      </c>
      <c r="B560" s="1" t="n">
        <v>44754</v>
      </c>
      <c r="C560" s="1" t="n">
        <v>46136</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29348-2023</t>
        </is>
      </c>
      <c r="B561" s="1" t="n">
        <v>45106.25025462963</v>
      </c>
      <c r="C561" s="1" t="n">
        <v>46136</v>
      </c>
      <c r="D561" t="inlineStr">
        <is>
          <t>KALMAR LÄN</t>
        </is>
      </c>
      <c r="E561" t="inlineStr">
        <is>
          <t>VIMMERBY</t>
        </is>
      </c>
      <c r="G561" t="n">
        <v>2.4</v>
      </c>
      <c r="H561" t="n">
        <v>0</v>
      </c>
      <c r="I561" t="n">
        <v>0</v>
      </c>
      <c r="J561" t="n">
        <v>0</v>
      </c>
      <c r="K561" t="n">
        <v>0</v>
      </c>
      <c r="L561" t="n">
        <v>0</v>
      </c>
      <c r="M561" t="n">
        <v>0</v>
      </c>
      <c r="N561" t="n">
        <v>0</v>
      </c>
      <c r="O561" t="n">
        <v>0</v>
      </c>
      <c r="P561" t="n">
        <v>0</v>
      </c>
      <c r="Q561" t="n">
        <v>0</v>
      </c>
      <c r="R561" s="2" t="inlineStr"/>
    </row>
    <row r="562" ht="15" customHeight="1">
      <c r="A562" t="inlineStr">
        <is>
          <t>A 28403-2023</t>
        </is>
      </c>
      <c r="B562" s="1" t="n">
        <v>45100.85270833333</v>
      </c>
      <c r="C562" s="1" t="n">
        <v>46136</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47965-2025</t>
        </is>
      </c>
      <c r="B563" s="1" t="n">
        <v>45932.59597222223</v>
      </c>
      <c r="C563" s="1" t="n">
        <v>46136</v>
      </c>
      <c r="D563" t="inlineStr">
        <is>
          <t>KALMAR LÄN</t>
        </is>
      </c>
      <c r="E563" t="inlineStr">
        <is>
          <t>VIMMERBY</t>
        </is>
      </c>
      <c r="G563" t="n">
        <v>2.2</v>
      </c>
      <c r="H563" t="n">
        <v>0</v>
      </c>
      <c r="I563" t="n">
        <v>0</v>
      </c>
      <c r="J563" t="n">
        <v>0</v>
      </c>
      <c r="K563" t="n">
        <v>0</v>
      </c>
      <c r="L563" t="n">
        <v>0</v>
      </c>
      <c r="M563" t="n">
        <v>0</v>
      </c>
      <c r="N563" t="n">
        <v>0</v>
      </c>
      <c r="O563" t="n">
        <v>0</v>
      </c>
      <c r="P563" t="n">
        <v>0</v>
      </c>
      <c r="Q563" t="n">
        <v>0</v>
      </c>
      <c r="R563" s="2" t="inlineStr"/>
    </row>
    <row r="564" ht="15" customHeight="1">
      <c r="A564" t="inlineStr">
        <is>
          <t>A 47955-2025</t>
        </is>
      </c>
      <c r="B564" s="1" t="n">
        <v>45932.58896990741</v>
      </c>
      <c r="C564" s="1" t="n">
        <v>46136</v>
      </c>
      <c r="D564" t="inlineStr">
        <is>
          <t>KALMAR LÄN</t>
        </is>
      </c>
      <c r="E564" t="inlineStr">
        <is>
          <t>VIMMERBY</t>
        </is>
      </c>
      <c r="G564" t="n">
        <v>3.4</v>
      </c>
      <c r="H564" t="n">
        <v>0</v>
      </c>
      <c r="I564" t="n">
        <v>0</v>
      </c>
      <c r="J564" t="n">
        <v>0</v>
      </c>
      <c r="K564" t="n">
        <v>0</v>
      </c>
      <c r="L564" t="n">
        <v>0</v>
      </c>
      <c r="M564" t="n">
        <v>0</v>
      </c>
      <c r="N564" t="n">
        <v>0</v>
      </c>
      <c r="O564" t="n">
        <v>0</v>
      </c>
      <c r="P564" t="n">
        <v>0</v>
      </c>
      <c r="Q564" t="n">
        <v>0</v>
      </c>
      <c r="R564" s="2" t="inlineStr"/>
    </row>
    <row r="565" ht="15" customHeight="1">
      <c r="A565" t="inlineStr">
        <is>
          <t>A 17511-2024</t>
        </is>
      </c>
      <c r="B565" s="1" t="n">
        <v>45415.57682870371</v>
      </c>
      <c r="C565" s="1" t="n">
        <v>46136</v>
      </c>
      <c r="D565" t="inlineStr">
        <is>
          <t>KALMAR LÄN</t>
        </is>
      </c>
      <c r="E565" t="inlineStr">
        <is>
          <t>VIMMERBY</t>
        </is>
      </c>
      <c r="G565" t="n">
        <v>5.3</v>
      </c>
      <c r="H565" t="n">
        <v>0</v>
      </c>
      <c r="I565" t="n">
        <v>0</v>
      </c>
      <c r="J565" t="n">
        <v>0</v>
      </c>
      <c r="K565" t="n">
        <v>0</v>
      </c>
      <c r="L565" t="n">
        <v>0</v>
      </c>
      <c r="M565" t="n">
        <v>0</v>
      </c>
      <c r="N565" t="n">
        <v>0</v>
      </c>
      <c r="O565" t="n">
        <v>0</v>
      </c>
      <c r="P565" t="n">
        <v>0</v>
      </c>
      <c r="Q565" t="n">
        <v>0</v>
      </c>
      <c r="R565" s="2" t="inlineStr"/>
    </row>
    <row r="566" ht="15" customHeight="1">
      <c r="A566" t="inlineStr">
        <is>
          <t>A 66022-2021</t>
        </is>
      </c>
      <c r="B566" s="1" t="n">
        <v>44517</v>
      </c>
      <c r="C566" s="1" t="n">
        <v>46136</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29973-2023</t>
        </is>
      </c>
      <c r="B567" s="1" t="n">
        <v>45108.703125</v>
      </c>
      <c r="C567" s="1" t="n">
        <v>46136</v>
      </c>
      <c r="D567" t="inlineStr">
        <is>
          <t>KALMAR LÄN</t>
        </is>
      </c>
      <c r="E567" t="inlineStr">
        <is>
          <t>VIMMERBY</t>
        </is>
      </c>
      <c r="G567" t="n">
        <v>4</v>
      </c>
      <c r="H567" t="n">
        <v>0</v>
      </c>
      <c r="I567" t="n">
        <v>0</v>
      </c>
      <c r="J567" t="n">
        <v>0</v>
      </c>
      <c r="K567" t="n">
        <v>0</v>
      </c>
      <c r="L567" t="n">
        <v>0</v>
      </c>
      <c r="M567" t="n">
        <v>0</v>
      </c>
      <c r="N567" t="n">
        <v>0</v>
      </c>
      <c r="O567" t="n">
        <v>0</v>
      </c>
      <c r="P567" t="n">
        <v>0</v>
      </c>
      <c r="Q567" t="n">
        <v>0</v>
      </c>
      <c r="R567" s="2" t="inlineStr"/>
    </row>
    <row r="568" ht="15" customHeight="1">
      <c r="A568" t="inlineStr">
        <is>
          <t>A 48299-2025</t>
        </is>
      </c>
      <c r="B568" s="1" t="n">
        <v>45933.60982638889</v>
      </c>
      <c r="C568" s="1" t="n">
        <v>46136</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30070-2023</t>
        </is>
      </c>
      <c r="B569" s="1" t="n">
        <v>45110.4275</v>
      </c>
      <c r="C569" s="1" t="n">
        <v>46136</v>
      </c>
      <c r="D569" t="inlineStr">
        <is>
          <t>KALMAR LÄN</t>
        </is>
      </c>
      <c r="E569" t="inlineStr">
        <is>
          <t>VIMMERBY</t>
        </is>
      </c>
      <c r="G569" t="n">
        <v>1.6</v>
      </c>
      <c r="H569" t="n">
        <v>0</v>
      </c>
      <c r="I569" t="n">
        <v>0</v>
      </c>
      <c r="J569" t="n">
        <v>0</v>
      </c>
      <c r="K569" t="n">
        <v>0</v>
      </c>
      <c r="L569" t="n">
        <v>0</v>
      </c>
      <c r="M569" t="n">
        <v>0</v>
      </c>
      <c r="N569" t="n">
        <v>0</v>
      </c>
      <c r="O569" t="n">
        <v>0</v>
      </c>
      <c r="P569" t="n">
        <v>0</v>
      </c>
      <c r="Q569" t="n">
        <v>0</v>
      </c>
      <c r="R569" s="2" t="inlineStr"/>
    </row>
    <row r="570" ht="15" customHeight="1">
      <c r="A570" t="inlineStr">
        <is>
          <t>A 48723-2025</t>
        </is>
      </c>
      <c r="B570" s="1" t="n">
        <v>45936.65121527778</v>
      </c>
      <c r="C570" s="1" t="n">
        <v>46136</v>
      </c>
      <c r="D570" t="inlineStr">
        <is>
          <t>KALMAR LÄN</t>
        </is>
      </c>
      <c r="E570" t="inlineStr">
        <is>
          <t>VIMMERBY</t>
        </is>
      </c>
      <c r="G570" t="n">
        <v>3</v>
      </c>
      <c r="H570" t="n">
        <v>0</v>
      </c>
      <c r="I570" t="n">
        <v>0</v>
      </c>
      <c r="J570" t="n">
        <v>0</v>
      </c>
      <c r="K570" t="n">
        <v>0</v>
      </c>
      <c r="L570" t="n">
        <v>0</v>
      </c>
      <c r="M570" t="n">
        <v>0</v>
      </c>
      <c r="N570" t="n">
        <v>0</v>
      </c>
      <c r="O570" t="n">
        <v>0</v>
      </c>
      <c r="P570" t="n">
        <v>0</v>
      </c>
      <c r="Q570" t="n">
        <v>0</v>
      </c>
      <c r="R570" s="2" t="inlineStr"/>
    </row>
    <row r="571" ht="15" customHeight="1">
      <c r="A571" t="inlineStr">
        <is>
          <t>A 48600-2025</t>
        </is>
      </c>
      <c r="B571" s="1" t="n">
        <v>45935</v>
      </c>
      <c r="C571" s="1" t="n">
        <v>46136</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48408-2025</t>
        </is>
      </c>
      <c r="B572" s="1" t="n">
        <v>45934.40527777778</v>
      </c>
      <c r="C572" s="1" t="n">
        <v>46136</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48409-2025</t>
        </is>
      </c>
      <c r="B573" s="1" t="n">
        <v>45934.41387731482</v>
      </c>
      <c r="C573" s="1" t="n">
        <v>46136</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48712-2025</t>
        </is>
      </c>
      <c r="B574" s="1" t="n">
        <v>45936.63373842592</v>
      </c>
      <c r="C574" s="1" t="n">
        <v>46136</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46078-2023</t>
        </is>
      </c>
      <c r="B575" s="1" t="n">
        <v>45196</v>
      </c>
      <c r="C575" s="1" t="n">
        <v>46136</v>
      </c>
      <c r="D575" t="inlineStr">
        <is>
          <t>KALMAR LÄN</t>
        </is>
      </c>
      <c r="E575" t="inlineStr">
        <is>
          <t>VIMMERBY</t>
        </is>
      </c>
      <c r="G575" t="n">
        <v>0.7</v>
      </c>
      <c r="H575" t="n">
        <v>0</v>
      </c>
      <c r="I575" t="n">
        <v>0</v>
      </c>
      <c r="J575" t="n">
        <v>0</v>
      </c>
      <c r="K575" t="n">
        <v>0</v>
      </c>
      <c r="L575" t="n">
        <v>0</v>
      </c>
      <c r="M575" t="n">
        <v>0</v>
      </c>
      <c r="N575" t="n">
        <v>0</v>
      </c>
      <c r="O575" t="n">
        <v>0</v>
      </c>
      <c r="P575" t="n">
        <v>0</v>
      </c>
      <c r="Q575" t="n">
        <v>0</v>
      </c>
      <c r="R575" s="2" t="inlineStr"/>
    </row>
    <row r="576" ht="15" customHeight="1">
      <c r="A576" t="inlineStr">
        <is>
          <t>A 7643-2022</t>
        </is>
      </c>
      <c r="B576" s="1" t="n">
        <v>44607</v>
      </c>
      <c r="C576" s="1" t="n">
        <v>46136</v>
      </c>
      <c r="D576" t="inlineStr">
        <is>
          <t>KALMAR LÄN</t>
        </is>
      </c>
      <c r="E576" t="inlineStr">
        <is>
          <t>VIMMERBY</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3494-2023</t>
        </is>
      </c>
      <c r="B577" s="1" t="n">
        <v>44949</v>
      </c>
      <c r="C577" s="1" t="n">
        <v>46136</v>
      </c>
      <c r="D577" t="inlineStr">
        <is>
          <t>KALMAR LÄN</t>
        </is>
      </c>
      <c r="E577" t="inlineStr">
        <is>
          <t>VIMMERBY</t>
        </is>
      </c>
      <c r="F577" t="inlineStr">
        <is>
          <t>Kyrkan</t>
        </is>
      </c>
      <c r="G577" t="n">
        <v>0.8</v>
      </c>
      <c r="H577" t="n">
        <v>0</v>
      </c>
      <c r="I577" t="n">
        <v>0</v>
      </c>
      <c r="J577" t="n">
        <v>0</v>
      </c>
      <c r="K577" t="n">
        <v>0</v>
      </c>
      <c r="L577" t="n">
        <v>0</v>
      </c>
      <c r="M577" t="n">
        <v>0</v>
      </c>
      <c r="N577" t="n">
        <v>0</v>
      </c>
      <c r="O577" t="n">
        <v>0</v>
      </c>
      <c r="P577" t="n">
        <v>0</v>
      </c>
      <c r="Q577" t="n">
        <v>0</v>
      </c>
      <c r="R577" s="2" t="inlineStr"/>
    </row>
    <row r="578" ht="15" customHeight="1">
      <c r="A578" t="inlineStr">
        <is>
          <t>A 32633-2023</t>
        </is>
      </c>
      <c r="B578" s="1" t="n">
        <v>45121.58699074074</v>
      </c>
      <c r="C578" s="1" t="n">
        <v>46136</v>
      </c>
      <c r="D578" t="inlineStr">
        <is>
          <t>KALMAR LÄN</t>
        </is>
      </c>
      <c r="E578" t="inlineStr">
        <is>
          <t>VIMMERBY</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43601-2024</t>
        </is>
      </c>
      <c r="B579" s="1" t="n">
        <v>45569.44684027778</v>
      </c>
      <c r="C579" s="1" t="n">
        <v>46136</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13813-2024</t>
        </is>
      </c>
      <c r="B580" s="1" t="n">
        <v>45391.41310185185</v>
      </c>
      <c r="C580" s="1" t="n">
        <v>46136</v>
      </c>
      <c r="D580" t="inlineStr">
        <is>
          <t>KALMAR LÄN</t>
        </is>
      </c>
      <c r="E580" t="inlineStr">
        <is>
          <t>VIMMERBY</t>
        </is>
      </c>
      <c r="G580" t="n">
        <v>0.4</v>
      </c>
      <c r="H580" t="n">
        <v>0</v>
      </c>
      <c r="I580" t="n">
        <v>0</v>
      </c>
      <c r="J580" t="n">
        <v>0</v>
      </c>
      <c r="K580" t="n">
        <v>0</v>
      </c>
      <c r="L580" t="n">
        <v>0</v>
      </c>
      <c r="M580" t="n">
        <v>0</v>
      </c>
      <c r="N580" t="n">
        <v>0</v>
      </c>
      <c r="O580" t="n">
        <v>0</v>
      </c>
      <c r="P580" t="n">
        <v>0</v>
      </c>
      <c r="Q580" t="n">
        <v>0</v>
      </c>
      <c r="R580" s="2" t="inlineStr"/>
    </row>
    <row r="581" ht="15" customHeight="1">
      <c r="A581" t="inlineStr">
        <is>
          <t>A 25234-2023</t>
        </is>
      </c>
      <c r="B581" s="1" t="n">
        <v>45086.63194444445</v>
      </c>
      <c r="C581" s="1" t="n">
        <v>46136</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25236-2023</t>
        </is>
      </c>
      <c r="B582" s="1" t="n">
        <v>45086.63334490741</v>
      </c>
      <c r="C582" s="1" t="n">
        <v>46136</v>
      </c>
      <c r="D582" t="inlineStr">
        <is>
          <t>KALMAR LÄN</t>
        </is>
      </c>
      <c r="E582" t="inlineStr">
        <is>
          <t>VIMMERBY</t>
        </is>
      </c>
      <c r="G582" t="n">
        <v>0.9</v>
      </c>
      <c r="H582" t="n">
        <v>0</v>
      </c>
      <c r="I582" t="n">
        <v>0</v>
      </c>
      <c r="J582" t="n">
        <v>0</v>
      </c>
      <c r="K582" t="n">
        <v>0</v>
      </c>
      <c r="L582" t="n">
        <v>0</v>
      </c>
      <c r="M582" t="n">
        <v>0</v>
      </c>
      <c r="N582" t="n">
        <v>0</v>
      </c>
      <c r="O582" t="n">
        <v>0</v>
      </c>
      <c r="P582" t="n">
        <v>0</v>
      </c>
      <c r="Q582" t="n">
        <v>0</v>
      </c>
      <c r="R582" s="2" t="inlineStr"/>
    </row>
    <row r="583" ht="15" customHeight="1">
      <c r="A583" t="inlineStr">
        <is>
          <t>A 25244-2023</t>
        </is>
      </c>
      <c r="B583" s="1" t="n">
        <v>45086</v>
      </c>
      <c r="C583" s="1" t="n">
        <v>46136</v>
      </c>
      <c r="D583" t="inlineStr">
        <is>
          <t>KALMAR LÄN</t>
        </is>
      </c>
      <c r="E583" t="inlineStr">
        <is>
          <t>VIMMERBY</t>
        </is>
      </c>
      <c r="G583" t="n">
        <v>4.7</v>
      </c>
      <c r="H583" t="n">
        <v>0</v>
      </c>
      <c r="I583" t="n">
        <v>0</v>
      </c>
      <c r="J583" t="n">
        <v>0</v>
      </c>
      <c r="K583" t="n">
        <v>0</v>
      </c>
      <c r="L583" t="n">
        <v>0</v>
      </c>
      <c r="M583" t="n">
        <v>0</v>
      </c>
      <c r="N583" t="n">
        <v>0</v>
      </c>
      <c r="O583" t="n">
        <v>0</v>
      </c>
      <c r="P583" t="n">
        <v>0</v>
      </c>
      <c r="Q583" t="n">
        <v>0</v>
      </c>
      <c r="R583" s="2" t="inlineStr"/>
    </row>
    <row r="584" ht="15" customHeight="1">
      <c r="A584" t="inlineStr">
        <is>
          <t>A 49871-2025</t>
        </is>
      </c>
      <c r="B584" s="1" t="n">
        <v>45940.54104166666</v>
      </c>
      <c r="C584" s="1" t="n">
        <v>46136</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23341-2022</t>
        </is>
      </c>
      <c r="B585" s="1" t="n">
        <v>44720.53898148148</v>
      </c>
      <c r="C585" s="1" t="n">
        <v>46136</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71793-2021</t>
        </is>
      </c>
      <c r="B586" s="1" t="n">
        <v>44539</v>
      </c>
      <c r="C586" s="1" t="n">
        <v>46136</v>
      </c>
      <c r="D586" t="inlineStr">
        <is>
          <t>KALMAR LÄN</t>
        </is>
      </c>
      <c r="E586" t="inlineStr">
        <is>
          <t>VIMMERBY</t>
        </is>
      </c>
      <c r="G586" t="n">
        <v>2.7</v>
      </c>
      <c r="H586" t="n">
        <v>0</v>
      </c>
      <c r="I586" t="n">
        <v>0</v>
      </c>
      <c r="J586" t="n">
        <v>0</v>
      </c>
      <c r="K586" t="n">
        <v>0</v>
      </c>
      <c r="L586" t="n">
        <v>0</v>
      </c>
      <c r="M586" t="n">
        <v>0</v>
      </c>
      <c r="N586" t="n">
        <v>0</v>
      </c>
      <c r="O586" t="n">
        <v>0</v>
      </c>
      <c r="P586" t="n">
        <v>0</v>
      </c>
      <c r="Q586" t="n">
        <v>0</v>
      </c>
      <c r="R586" s="2" t="inlineStr"/>
    </row>
    <row r="587" ht="15" customHeight="1">
      <c r="A587" t="inlineStr">
        <is>
          <t>A 73938-2021</t>
        </is>
      </c>
      <c r="B587" s="1" t="n">
        <v>44553</v>
      </c>
      <c r="C587" s="1" t="n">
        <v>46136</v>
      </c>
      <c r="D587" t="inlineStr">
        <is>
          <t>KALMAR LÄN</t>
        </is>
      </c>
      <c r="E587" t="inlineStr">
        <is>
          <t>VIMMERBY</t>
        </is>
      </c>
      <c r="G587" t="n">
        <v>3.2</v>
      </c>
      <c r="H587" t="n">
        <v>0</v>
      </c>
      <c r="I587" t="n">
        <v>0</v>
      </c>
      <c r="J587" t="n">
        <v>0</v>
      </c>
      <c r="K587" t="n">
        <v>0</v>
      </c>
      <c r="L587" t="n">
        <v>0</v>
      </c>
      <c r="M587" t="n">
        <v>0</v>
      </c>
      <c r="N587" t="n">
        <v>0</v>
      </c>
      <c r="O587" t="n">
        <v>0</v>
      </c>
      <c r="P587" t="n">
        <v>0</v>
      </c>
      <c r="Q587" t="n">
        <v>0</v>
      </c>
      <c r="R587" s="2" t="inlineStr"/>
    </row>
    <row r="588" ht="15" customHeight="1">
      <c r="A588" t="inlineStr">
        <is>
          <t>A 6069-2023</t>
        </is>
      </c>
      <c r="B588" s="1" t="n">
        <v>44964.5115162037</v>
      </c>
      <c r="C588" s="1" t="n">
        <v>46136</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50324-2025</t>
        </is>
      </c>
      <c r="B589" s="1" t="n">
        <v>45944.45962962963</v>
      </c>
      <c r="C589" s="1" t="n">
        <v>46136</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50995-2022</t>
        </is>
      </c>
      <c r="B590" s="1" t="n">
        <v>44867</v>
      </c>
      <c r="C590" s="1" t="n">
        <v>46136</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27122-2023</t>
        </is>
      </c>
      <c r="B591" s="1" t="n">
        <v>45096.45247685185</v>
      </c>
      <c r="C591" s="1" t="n">
        <v>46136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30402-2023</t>
        </is>
      </c>
      <c r="B592" s="1" t="n">
        <v>45111.48395833333</v>
      </c>
      <c r="C592" s="1" t="n">
        <v>46136</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50544-2025</t>
        </is>
      </c>
      <c r="B593" s="1" t="n">
        <v>45945.50736111111</v>
      </c>
      <c r="C593" s="1" t="n">
        <v>46136</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47842-2024</t>
        </is>
      </c>
      <c r="B594" s="1" t="n">
        <v>45588.65545138889</v>
      </c>
      <c r="C594" s="1" t="n">
        <v>46136</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6857-2023</t>
        </is>
      </c>
      <c r="B595" s="1" t="n">
        <v>44967.45122685185</v>
      </c>
      <c r="C595" s="1" t="n">
        <v>46136</v>
      </c>
      <c r="D595" t="inlineStr">
        <is>
          <t>KALMAR LÄN</t>
        </is>
      </c>
      <c r="E595" t="inlineStr">
        <is>
          <t>VIMMERBY</t>
        </is>
      </c>
      <c r="G595" t="n">
        <v>2.1</v>
      </c>
      <c r="H595" t="n">
        <v>0</v>
      </c>
      <c r="I595" t="n">
        <v>0</v>
      </c>
      <c r="J595" t="n">
        <v>0</v>
      </c>
      <c r="K595" t="n">
        <v>0</v>
      </c>
      <c r="L595" t="n">
        <v>0</v>
      </c>
      <c r="M595" t="n">
        <v>0</v>
      </c>
      <c r="N595" t="n">
        <v>0</v>
      </c>
      <c r="O595" t="n">
        <v>0</v>
      </c>
      <c r="P595" t="n">
        <v>0</v>
      </c>
      <c r="Q595" t="n">
        <v>0</v>
      </c>
      <c r="R595" s="2" t="inlineStr"/>
    </row>
    <row r="596" ht="15" customHeight="1">
      <c r="A596" t="inlineStr">
        <is>
          <t>A 51062-2025</t>
        </is>
      </c>
      <c r="B596" s="1" t="n">
        <v>45947.44685185186</v>
      </c>
      <c r="C596" s="1" t="n">
        <v>46136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46224-2024</t>
        </is>
      </c>
      <c r="B597" s="1" t="n">
        <v>45581.57016203704</v>
      </c>
      <c r="C597" s="1" t="n">
        <v>46136</v>
      </c>
      <c r="D597" t="inlineStr">
        <is>
          <t>KALMAR LÄN</t>
        </is>
      </c>
      <c r="E597" t="inlineStr">
        <is>
          <t>VIMMERBY</t>
        </is>
      </c>
      <c r="G597" t="n">
        <v>3.1</v>
      </c>
      <c r="H597" t="n">
        <v>0</v>
      </c>
      <c r="I597" t="n">
        <v>0</v>
      </c>
      <c r="J597" t="n">
        <v>0</v>
      </c>
      <c r="K597" t="n">
        <v>0</v>
      </c>
      <c r="L597" t="n">
        <v>0</v>
      </c>
      <c r="M597" t="n">
        <v>0</v>
      </c>
      <c r="N597" t="n">
        <v>0</v>
      </c>
      <c r="O597" t="n">
        <v>0</v>
      </c>
      <c r="P597" t="n">
        <v>0</v>
      </c>
      <c r="Q597" t="n">
        <v>0</v>
      </c>
      <c r="R597" s="2" t="inlineStr"/>
    </row>
    <row r="598" ht="15" customHeight="1">
      <c r="A598" t="inlineStr">
        <is>
          <t>A 29013-2024</t>
        </is>
      </c>
      <c r="B598" s="1" t="n">
        <v>45481.55984953704</v>
      </c>
      <c r="C598" s="1" t="n">
        <v>46136</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37028-2024</t>
        </is>
      </c>
      <c r="B599" s="1" t="n">
        <v>45539.38744212963</v>
      </c>
      <c r="C599" s="1" t="n">
        <v>46136</v>
      </c>
      <c r="D599" t="inlineStr">
        <is>
          <t>KALMAR LÄN</t>
        </is>
      </c>
      <c r="E599" t="inlineStr">
        <is>
          <t>VIMMERBY</t>
        </is>
      </c>
      <c r="G599" t="n">
        <v>5.2</v>
      </c>
      <c r="H599" t="n">
        <v>0</v>
      </c>
      <c r="I599" t="n">
        <v>0</v>
      </c>
      <c r="J599" t="n">
        <v>0</v>
      </c>
      <c r="K599" t="n">
        <v>0</v>
      </c>
      <c r="L599" t="n">
        <v>0</v>
      </c>
      <c r="M599" t="n">
        <v>0</v>
      </c>
      <c r="N599" t="n">
        <v>0</v>
      </c>
      <c r="O599" t="n">
        <v>0</v>
      </c>
      <c r="P599" t="n">
        <v>0</v>
      </c>
      <c r="Q599" t="n">
        <v>0</v>
      </c>
      <c r="R599" s="2" t="inlineStr"/>
    </row>
    <row r="600" ht="15" customHeight="1">
      <c r="A600" t="inlineStr">
        <is>
          <t>A 37187-2024</t>
        </is>
      </c>
      <c r="B600" s="1" t="n">
        <v>45539.65212962963</v>
      </c>
      <c r="C600" s="1" t="n">
        <v>46136</v>
      </c>
      <c r="D600" t="inlineStr">
        <is>
          <t>KALMAR LÄN</t>
        </is>
      </c>
      <c r="E600" t="inlineStr">
        <is>
          <t>VIMMERBY</t>
        </is>
      </c>
      <c r="G600" t="n">
        <v>2.7</v>
      </c>
      <c r="H600" t="n">
        <v>0</v>
      </c>
      <c r="I600" t="n">
        <v>0</v>
      </c>
      <c r="J600" t="n">
        <v>0</v>
      </c>
      <c r="K600" t="n">
        <v>0</v>
      </c>
      <c r="L600" t="n">
        <v>0</v>
      </c>
      <c r="M600" t="n">
        <v>0</v>
      </c>
      <c r="N600" t="n">
        <v>0</v>
      </c>
      <c r="O600" t="n">
        <v>0</v>
      </c>
      <c r="P600" t="n">
        <v>0</v>
      </c>
      <c r="Q600" t="n">
        <v>0</v>
      </c>
      <c r="R600" s="2" t="inlineStr"/>
    </row>
    <row r="601" ht="15" customHeight="1">
      <c r="A601" t="inlineStr">
        <is>
          <t>A 51993-2025</t>
        </is>
      </c>
      <c r="B601" s="1" t="n">
        <v>45952.58194444444</v>
      </c>
      <c r="C601" s="1" t="n">
        <v>46136</v>
      </c>
      <c r="D601" t="inlineStr">
        <is>
          <t>KALMAR LÄN</t>
        </is>
      </c>
      <c r="E601" t="inlineStr">
        <is>
          <t>VIMMERBY</t>
        </is>
      </c>
      <c r="G601" t="n">
        <v>2.8</v>
      </c>
      <c r="H601" t="n">
        <v>0</v>
      </c>
      <c r="I601" t="n">
        <v>0</v>
      </c>
      <c r="J601" t="n">
        <v>0</v>
      </c>
      <c r="K601" t="n">
        <v>0</v>
      </c>
      <c r="L601" t="n">
        <v>0</v>
      </c>
      <c r="M601" t="n">
        <v>0</v>
      </c>
      <c r="N601" t="n">
        <v>0</v>
      </c>
      <c r="O601" t="n">
        <v>0</v>
      </c>
      <c r="P601" t="n">
        <v>0</v>
      </c>
      <c r="Q601" t="n">
        <v>0</v>
      </c>
      <c r="R601" s="2" t="inlineStr"/>
    </row>
    <row r="602" ht="15" customHeight="1">
      <c r="A602" t="inlineStr">
        <is>
          <t>A 12630-2023</t>
        </is>
      </c>
      <c r="B602" s="1" t="n">
        <v>45000.47998842593</v>
      </c>
      <c r="C602" s="1" t="n">
        <v>46136</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39584-2024</t>
        </is>
      </c>
      <c r="B603" s="1" t="n">
        <v>45552.36759259259</v>
      </c>
      <c r="C603" s="1" t="n">
        <v>46136</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27705-2023</t>
        </is>
      </c>
      <c r="B604" s="1" t="n">
        <v>45098.30535879629</v>
      </c>
      <c r="C604" s="1" t="n">
        <v>46136</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51990-2025</t>
        </is>
      </c>
      <c r="B605" s="1" t="n">
        <v>45952.58061342593</v>
      </c>
      <c r="C605" s="1" t="n">
        <v>46136</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52473-2025</t>
        </is>
      </c>
      <c r="B606" s="1" t="n">
        <v>45954.45947916667</v>
      </c>
      <c r="C606" s="1" t="n">
        <v>46136</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52480-2025</t>
        </is>
      </c>
      <c r="B607" s="1" t="n">
        <v>45954.47172453703</v>
      </c>
      <c r="C607" s="1" t="n">
        <v>46136</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31013-2023</t>
        </is>
      </c>
      <c r="B608" s="1" t="n">
        <v>45113.56574074074</v>
      </c>
      <c r="C608" s="1" t="n">
        <v>46136</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52466-2025</t>
        </is>
      </c>
      <c r="B609" s="1" t="n">
        <v>45954.44707175926</v>
      </c>
      <c r="C609" s="1" t="n">
        <v>46136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15388-2025</t>
        </is>
      </c>
      <c r="B610" s="1" t="n">
        <v>45747.42633101852</v>
      </c>
      <c r="C610" s="1" t="n">
        <v>46136</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15391-2025</t>
        </is>
      </c>
      <c r="B611" s="1" t="n">
        <v>45747.42958333333</v>
      </c>
      <c r="C611" s="1" t="n">
        <v>46136</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11303-2025</t>
        </is>
      </c>
      <c r="B612" s="1" t="n">
        <v>45726.44471064815</v>
      </c>
      <c r="C612" s="1" t="n">
        <v>46136</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52516-2025</t>
        </is>
      </c>
      <c r="B613" s="1" t="n">
        <v>45954.51412037037</v>
      </c>
      <c r="C613" s="1" t="n">
        <v>46136</v>
      </c>
      <c r="D613" t="inlineStr">
        <is>
          <t>KALMAR LÄN</t>
        </is>
      </c>
      <c r="E613" t="inlineStr">
        <is>
          <t>VIMMERBY</t>
        </is>
      </c>
      <c r="G613" t="n">
        <v>2.8</v>
      </c>
      <c r="H613" t="n">
        <v>0</v>
      </c>
      <c r="I613" t="n">
        <v>0</v>
      </c>
      <c r="J613" t="n">
        <v>0</v>
      </c>
      <c r="K613" t="n">
        <v>0</v>
      </c>
      <c r="L613" t="n">
        <v>0</v>
      </c>
      <c r="M613" t="n">
        <v>0</v>
      </c>
      <c r="N613" t="n">
        <v>0</v>
      </c>
      <c r="O613" t="n">
        <v>0</v>
      </c>
      <c r="P613" t="n">
        <v>0</v>
      </c>
      <c r="Q613" t="n">
        <v>0</v>
      </c>
      <c r="R613" s="2" t="inlineStr"/>
    </row>
    <row r="614" ht="15" customHeight="1">
      <c r="A614" t="inlineStr">
        <is>
          <t>A 52465-2025</t>
        </is>
      </c>
      <c r="B614" s="1" t="n">
        <v>45954.44543981482</v>
      </c>
      <c r="C614" s="1" t="n">
        <v>46136</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33352-2022</t>
        </is>
      </c>
      <c r="B615" s="1" t="n">
        <v>44788</v>
      </c>
      <c r="C615" s="1" t="n">
        <v>46136</v>
      </c>
      <c r="D615" t="inlineStr">
        <is>
          <t>KALMAR LÄN</t>
        </is>
      </c>
      <c r="E615" t="inlineStr">
        <is>
          <t>VIMMERBY</t>
        </is>
      </c>
      <c r="G615" t="n">
        <v>0.8</v>
      </c>
      <c r="H615" t="n">
        <v>0</v>
      </c>
      <c r="I615" t="n">
        <v>0</v>
      </c>
      <c r="J615" t="n">
        <v>0</v>
      </c>
      <c r="K615" t="n">
        <v>0</v>
      </c>
      <c r="L615" t="n">
        <v>0</v>
      </c>
      <c r="M615" t="n">
        <v>0</v>
      </c>
      <c r="N615" t="n">
        <v>0</v>
      </c>
      <c r="O615" t="n">
        <v>0</v>
      </c>
      <c r="P615" t="n">
        <v>0</v>
      </c>
      <c r="Q615" t="n">
        <v>0</v>
      </c>
      <c r="R615" s="2" t="inlineStr"/>
    </row>
    <row r="616" ht="15" customHeight="1">
      <c r="A616" t="inlineStr">
        <is>
          <t>A 46234-2024</t>
        </is>
      </c>
      <c r="B616" s="1" t="n">
        <v>45581.57958333333</v>
      </c>
      <c r="C616" s="1" t="n">
        <v>46136</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39053-2024</t>
        </is>
      </c>
      <c r="B617" s="1" t="n">
        <v>45548</v>
      </c>
      <c r="C617" s="1" t="n">
        <v>46136</v>
      </c>
      <c r="D617" t="inlineStr">
        <is>
          <t>KALMAR LÄN</t>
        </is>
      </c>
      <c r="E617" t="inlineStr">
        <is>
          <t>VIMMERBY</t>
        </is>
      </c>
      <c r="G617" t="n">
        <v>5</v>
      </c>
      <c r="H617" t="n">
        <v>0</v>
      </c>
      <c r="I617" t="n">
        <v>0</v>
      </c>
      <c r="J617" t="n">
        <v>0</v>
      </c>
      <c r="K617" t="n">
        <v>0</v>
      </c>
      <c r="L617" t="n">
        <v>0</v>
      </c>
      <c r="M617" t="n">
        <v>0</v>
      </c>
      <c r="N617" t="n">
        <v>0</v>
      </c>
      <c r="O617" t="n">
        <v>0</v>
      </c>
      <c r="P617" t="n">
        <v>0</v>
      </c>
      <c r="Q617" t="n">
        <v>0</v>
      </c>
      <c r="R617" s="2" t="inlineStr"/>
    </row>
    <row r="618" ht="15" customHeight="1">
      <c r="A618" t="inlineStr">
        <is>
          <t>A 15449-2023</t>
        </is>
      </c>
      <c r="B618" s="1" t="n">
        <v>45020</v>
      </c>
      <c r="C618" s="1" t="n">
        <v>46136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43594-2024</t>
        </is>
      </c>
      <c r="B619" s="1" t="n">
        <v>45569.44295138889</v>
      </c>
      <c r="C619" s="1" t="n">
        <v>46136</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17486-2024</t>
        </is>
      </c>
      <c r="B620" s="1" t="n">
        <v>45415.48979166667</v>
      </c>
      <c r="C620" s="1" t="n">
        <v>46136</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14248-2023</t>
        </is>
      </c>
      <c r="B621" s="1" t="n">
        <v>45009</v>
      </c>
      <c r="C621" s="1" t="n">
        <v>46136</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52475-2025</t>
        </is>
      </c>
      <c r="B622" s="1" t="n">
        <v>45954.468125</v>
      </c>
      <c r="C622" s="1" t="n">
        <v>46136</v>
      </c>
      <c r="D622" t="inlineStr">
        <is>
          <t>KALMAR LÄN</t>
        </is>
      </c>
      <c r="E622" t="inlineStr">
        <is>
          <t>VIMMERBY</t>
        </is>
      </c>
      <c r="G622" t="n">
        <v>1.5</v>
      </c>
      <c r="H622" t="n">
        <v>0</v>
      </c>
      <c r="I622" t="n">
        <v>0</v>
      </c>
      <c r="J622" t="n">
        <v>0</v>
      </c>
      <c r="K622" t="n">
        <v>0</v>
      </c>
      <c r="L622" t="n">
        <v>0</v>
      </c>
      <c r="M622" t="n">
        <v>0</v>
      </c>
      <c r="N622" t="n">
        <v>0</v>
      </c>
      <c r="O622" t="n">
        <v>0</v>
      </c>
      <c r="P622" t="n">
        <v>0</v>
      </c>
      <c r="Q622" t="n">
        <v>0</v>
      </c>
      <c r="R622" s="2" t="inlineStr"/>
    </row>
    <row r="623" ht="15" customHeight="1">
      <c r="A623" t="inlineStr">
        <is>
          <t>A 53220-2025</t>
        </is>
      </c>
      <c r="B623" s="1" t="n">
        <v>45958.60146990741</v>
      </c>
      <c r="C623" s="1" t="n">
        <v>46136</v>
      </c>
      <c r="D623" t="inlineStr">
        <is>
          <t>KALMAR LÄN</t>
        </is>
      </c>
      <c r="E623" t="inlineStr">
        <is>
          <t>VIMMERBY</t>
        </is>
      </c>
      <c r="G623" t="n">
        <v>2.2</v>
      </c>
      <c r="H623" t="n">
        <v>0</v>
      </c>
      <c r="I623" t="n">
        <v>0</v>
      </c>
      <c r="J623" t="n">
        <v>0</v>
      </c>
      <c r="K623" t="n">
        <v>0</v>
      </c>
      <c r="L623" t="n">
        <v>0</v>
      </c>
      <c r="M623" t="n">
        <v>0</v>
      </c>
      <c r="N623" t="n">
        <v>0</v>
      </c>
      <c r="O623" t="n">
        <v>0</v>
      </c>
      <c r="P623" t="n">
        <v>0</v>
      </c>
      <c r="Q623" t="n">
        <v>0</v>
      </c>
      <c r="R623" s="2" t="inlineStr"/>
    </row>
    <row r="624" ht="15" customHeight="1">
      <c r="A624" t="inlineStr">
        <is>
          <t>A 52451-2025</t>
        </is>
      </c>
      <c r="B624" s="1" t="n">
        <v>45954.42326388889</v>
      </c>
      <c r="C624" s="1" t="n">
        <v>46136</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53393-2025</t>
        </is>
      </c>
      <c r="B625" s="1" t="n">
        <v>45959.55284722222</v>
      </c>
      <c r="C625" s="1" t="n">
        <v>46136</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53398-2025</t>
        </is>
      </c>
      <c r="B626" s="1" t="n">
        <v>45959.56247685185</v>
      </c>
      <c r="C626" s="1" t="n">
        <v>46136</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53397-2025</t>
        </is>
      </c>
      <c r="B627" s="1" t="n">
        <v>45959.55918981481</v>
      </c>
      <c r="C627" s="1" t="n">
        <v>46136</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30400-2023</t>
        </is>
      </c>
      <c r="B628" s="1" t="n">
        <v>45111.48225694444</v>
      </c>
      <c r="C628" s="1" t="n">
        <v>46136</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30404-2023</t>
        </is>
      </c>
      <c r="B629" s="1" t="n">
        <v>45111.48636574074</v>
      </c>
      <c r="C629" s="1" t="n">
        <v>46136</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53416-2025</t>
        </is>
      </c>
      <c r="B630" s="1" t="n">
        <v>45959.58387731481</v>
      </c>
      <c r="C630" s="1" t="n">
        <v>46136</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55123-2024</t>
        </is>
      </c>
      <c r="B631" s="1" t="n">
        <v>45621.46103009259</v>
      </c>
      <c r="C631" s="1" t="n">
        <v>46136</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31405-2023</t>
        </is>
      </c>
      <c r="B632" s="1" t="n">
        <v>45114.58148148148</v>
      </c>
      <c r="C632" s="1" t="n">
        <v>46136</v>
      </c>
      <c r="D632" t="inlineStr">
        <is>
          <t>KALMAR LÄN</t>
        </is>
      </c>
      <c r="E632" t="inlineStr">
        <is>
          <t>VIMMERBY</t>
        </is>
      </c>
      <c r="G632" t="n">
        <v>2.6</v>
      </c>
      <c r="H632" t="n">
        <v>0</v>
      </c>
      <c r="I632" t="n">
        <v>0</v>
      </c>
      <c r="J632" t="n">
        <v>0</v>
      </c>
      <c r="K632" t="n">
        <v>0</v>
      </c>
      <c r="L632" t="n">
        <v>0</v>
      </c>
      <c r="M632" t="n">
        <v>0</v>
      </c>
      <c r="N632" t="n">
        <v>0</v>
      </c>
      <c r="O632" t="n">
        <v>0</v>
      </c>
      <c r="P632" t="n">
        <v>0</v>
      </c>
      <c r="Q632" t="n">
        <v>0</v>
      </c>
      <c r="R632" s="2" t="inlineStr"/>
    </row>
    <row r="633" ht="15" customHeight="1">
      <c r="A633" t="inlineStr">
        <is>
          <t>A 53413-2025</t>
        </is>
      </c>
      <c r="B633" s="1" t="n">
        <v>45959.5787037037</v>
      </c>
      <c r="C633" s="1" t="n">
        <v>46136</v>
      </c>
      <c r="D633" t="inlineStr">
        <is>
          <t>KALMAR LÄN</t>
        </is>
      </c>
      <c r="E633" t="inlineStr">
        <is>
          <t>VIMMERBY</t>
        </is>
      </c>
      <c r="G633" t="n">
        <v>4.3</v>
      </c>
      <c r="H633" t="n">
        <v>0</v>
      </c>
      <c r="I633" t="n">
        <v>0</v>
      </c>
      <c r="J633" t="n">
        <v>0</v>
      </c>
      <c r="K633" t="n">
        <v>0</v>
      </c>
      <c r="L633" t="n">
        <v>0</v>
      </c>
      <c r="M633" t="n">
        <v>0</v>
      </c>
      <c r="N633" t="n">
        <v>0</v>
      </c>
      <c r="O633" t="n">
        <v>0</v>
      </c>
      <c r="P633" t="n">
        <v>0</v>
      </c>
      <c r="Q633" t="n">
        <v>0</v>
      </c>
      <c r="R633" s="2" t="inlineStr"/>
    </row>
    <row r="634" ht="15" customHeight="1">
      <c r="A634" t="inlineStr">
        <is>
          <t>A 24707-2024</t>
        </is>
      </c>
      <c r="B634" s="1" t="n">
        <v>45460.62172453704</v>
      </c>
      <c r="C634" s="1" t="n">
        <v>46136</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53396-2025</t>
        </is>
      </c>
      <c r="B635" s="1" t="n">
        <v>45959.55577546296</v>
      </c>
      <c r="C635" s="1" t="n">
        <v>46136</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53788-2025</t>
        </is>
      </c>
      <c r="B636" s="1" t="n">
        <v>45960</v>
      </c>
      <c r="C636" s="1" t="n">
        <v>46136</v>
      </c>
      <c r="D636" t="inlineStr">
        <is>
          <t>KALMAR LÄN</t>
        </is>
      </c>
      <c r="E636" t="inlineStr">
        <is>
          <t>VIMMERBY</t>
        </is>
      </c>
      <c r="F636" t="inlineStr">
        <is>
          <t>Övriga statliga verk och myndigheter</t>
        </is>
      </c>
      <c r="G636" t="n">
        <v>6.3</v>
      </c>
      <c r="H636" t="n">
        <v>0</v>
      </c>
      <c r="I636" t="n">
        <v>0</v>
      </c>
      <c r="J636" t="n">
        <v>0</v>
      </c>
      <c r="K636" t="n">
        <v>0</v>
      </c>
      <c r="L636" t="n">
        <v>0</v>
      </c>
      <c r="M636" t="n">
        <v>0</v>
      </c>
      <c r="N636" t="n">
        <v>0</v>
      </c>
      <c r="O636" t="n">
        <v>0</v>
      </c>
      <c r="P636" t="n">
        <v>0</v>
      </c>
      <c r="Q636" t="n">
        <v>0</v>
      </c>
      <c r="R636" s="2" t="inlineStr"/>
    </row>
    <row r="637" ht="15" customHeight="1">
      <c r="A637" t="inlineStr">
        <is>
          <t>A 36049-2024</t>
        </is>
      </c>
      <c r="B637" s="1" t="n">
        <v>45533.61996527778</v>
      </c>
      <c r="C637" s="1" t="n">
        <v>46136</v>
      </c>
      <c r="D637" t="inlineStr">
        <is>
          <t>KALMAR LÄN</t>
        </is>
      </c>
      <c r="E637" t="inlineStr">
        <is>
          <t>VIMMERBY</t>
        </is>
      </c>
      <c r="F637" t="inlineStr">
        <is>
          <t>Kommuner</t>
        </is>
      </c>
      <c r="G637" t="n">
        <v>2.6</v>
      </c>
      <c r="H637" t="n">
        <v>0</v>
      </c>
      <c r="I637" t="n">
        <v>0</v>
      </c>
      <c r="J637" t="n">
        <v>0</v>
      </c>
      <c r="K637" t="n">
        <v>0</v>
      </c>
      <c r="L637" t="n">
        <v>0</v>
      </c>
      <c r="M637" t="n">
        <v>0</v>
      </c>
      <c r="N637" t="n">
        <v>0</v>
      </c>
      <c r="O637" t="n">
        <v>0</v>
      </c>
      <c r="P637" t="n">
        <v>0</v>
      </c>
      <c r="Q637" t="n">
        <v>0</v>
      </c>
      <c r="R637" s="2" t="inlineStr"/>
    </row>
    <row r="638" ht="15" customHeight="1">
      <c r="A638" t="inlineStr">
        <is>
          <t>A 53927-2025</t>
        </is>
      </c>
      <c r="B638" s="1" t="n">
        <v>45961.46740740741</v>
      </c>
      <c r="C638" s="1" t="n">
        <v>46136</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53933-2025</t>
        </is>
      </c>
      <c r="B639" s="1" t="n">
        <v>45961.47650462963</v>
      </c>
      <c r="C639" s="1" t="n">
        <v>46136</v>
      </c>
      <c r="D639" t="inlineStr">
        <is>
          <t>KALMAR LÄN</t>
        </is>
      </c>
      <c r="E639" t="inlineStr">
        <is>
          <t>VIMMERBY</t>
        </is>
      </c>
      <c r="G639" t="n">
        <v>0.9</v>
      </c>
      <c r="H639" t="n">
        <v>0</v>
      </c>
      <c r="I639" t="n">
        <v>0</v>
      </c>
      <c r="J639" t="n">
        <v>0</v>
      </c>
      <c r="K639" t="n">
        <v>0</v>
      </c>
      <c r="L639" t="n">
        <v>0</v>
      </c>
      <c r="M639" t="n">
        <v>0</v>
      </c>
      <c r="N639" t="n">
        <v>0</v>
      </c>
      <c r="O639" t="n">
        <v>0</v>
      </c>
      <c r="P639" t="n">
        <v>0</v>
      </c>
      <c r="Q639" t="n">
        <v>0</v>
      </c>
      <c r="R639" s="2" t="inlineStr"/>
    </row>
    <row r="640" ht="15" customHeight="1">
      <c r="A640" t="inlineStr">
        <is>
          <t>A 54236-2025</t>
        </is>
      </c>
      <c r="B640" s="1" t="n">
        <v>45964.62671296296</v>
      </c>
      <c r="C640" s="1" t="n">
        <v>46136</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53923-2025</t>
        </is>
      </c>
      <c r="B641" s="1" t="n">
        <v>45961.4569212963</v>
      </c>
      <c r="C641" s="1" t="n">
        <v>46136</v>
      </c>
      <c r="D641" t="inlineStr">
        <is>
          <t>KALMAR LÄN</t>
        </is>
      </c>
      <c r="E641" t="inlineStr">
        <is>
          <t>VIMMERBY</t>
        </is>
      </c>
      <c r="G641" t="n">
        <v>2.4</v>
      </c>
      <c r="H641" t="n">
        <v>0</v>
      </c>
      <c r="I641" t="n">
        <v>0</v>
      </c>
      <c r="J641" t="n">
        <v>0</v>
      </c>
      <c r="K641" t="n">
        <v>0</v>
      </c>
      <c r="L641" t="n">
        <v>0</v>
      </c>
      <c r="M641" t="n">
        <v>0</v>
      </c>
      <c r="N641" t="n">
        <v>0</v>
      </c>
      <c r="O641" t="n">
        <v>0</v>
      </c>
      <c r="P641" t="n">
        <v>0</v>
      </c>
      <c r="Q641" t="n">
        <v>0</v>
      </c>
      <c r="R641" s="2" t="inlineStr"/>
    </row>
    <row r="642" ht="15" customHeight="1">
      <c r="A642" t="inlineStr">
        <is>
          <t>A 53920-2025</t>
        </is>
      </c>
      <c r="B642" s="1" t="n">
        <v>45961.44951388889</v>
      </c>
      <c r="C642" s="1" t="n">
        <v>46136</v>
      </c>
      <c r="D642" t="inlineStr">
        <is>
          <t>KALMAR LÄN</t>
        </is>
      </c>
      <c r="E642" t="inlineStr">
        <is>
          <t>VIMMERBY</t>
        </is>
      </c>
      <c r="G642" t="n">
        <v>1.4</v>
      </c>
      <c r="H642" t="n">
        <v>0</v>
      </c>
      <c r="I642" t="n">
        <v>0</v>
      </c>
      <c r="J642" t="n">
        <v>0</v>
      </c>
      <c r="K642" t="n">
        <v>0</v>
      </c>
      <c r="L642" t="n">
        <v>0</v>
      </c>
      <c r="M642" t="n">
        <v>0</v>
      </c>
      <c r="N642" t="n">
        <v>0</v>
      </c>
      <c r="O642" t="n">
        <v>0</v>
      </c>
      <c r="P642" t="n">
        <v>0</v>
      </c>
      <c r="Q642" t="n">
        <v>0</v>
      </c>
      <c r="R642" s="2" t="inlineStr"/>
    </row>
    <row r="643" ht="15" customHeight="1">
      <c r="A643" t="inlineStr">
        <is>
          <t>A 54234-2025</t>
        </is>
      </c>
      <c r="B643" s="1" t="n">
        <v>45964.62486111111</v>
      </c>
      <c r="C643" s="1" t="n">
        <v>46136</v>
      </c>
      <c r="D643" t="inlineStr">
        <is>
          <t>KALMAR LÄN</t>
        </is>
      </c>
      <c r="E643" t="inlineStr">
        <is>
          <t>VIMMERBY</t>
        </is>
      </c>
      <c r="G643" t="n">
        <v>4.1</v>
      </c>
      <c r="H643" t="n">
        <v>0</v>
      </c>
      <c r="I643" t="n">
        <v>0</v>
      </c>
      <c r="J643" t="n">
        <v>0</v>
      </c>
      <c r="K643" t="n">
        <v>0</v>
      </c>
      <c r="L643" t="n">
        <v>0</v>
      </c>
      <c r="M643" t="n">
        <v>0</v>
      </c>
      <c r="N643" t="n">
        <v>0</v>
      </c>
      <c r="O643" t="n">
        <v>0</v>
      </c>
      <c r="P643" t="n">
        <v>0</v>
      </c>
      <c r="Q643" t="n">
        <v>0</v>
      </c>
      <c r="R643" s="2" t="inlineStr"/>
    </row>
    <row r="644" ht="15" customHeight="1">
      <c r="A644" t="inlineStr">
        <is>
          <t>A 53789-2025</t>
        </is>
      </c>
      <c r="B644" s="1" t="n">
        <v>45960</v>
      </c>
      <c r="C644" s="1" t="n">
        <v>46136</v>
      </c>
      <c r="D644" t="inlineStr">
        <is>
          <t>KALMAR LÄN</t>
        </is>
      </c>
      <c r="E644" t="inlineStr">
        <is>
          <t>VIMMERBY</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53903-2025</t>
        </is>
      </c>
      <c r="B645" s="1" t="n">
        <v>45961.43738425926</v>
      </c>
      <c r="C645" s="1" t="n">
        <v>46136</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58159-2024</t>
        </is>
      </c>
      <c r="B646" s="1" t="n">
        <v>45632.44886574074</v>
      </c>
      <c r="C646" s="1" t="n">
        <v>46136</v>
      </c>
      <c r="D646" t="inlineStr">
        <is>
          <t>KALMAR LÄN</t>
        </is>
      </c>
      <c r="E646" t="inlineStr">
        <is>
          <t>VIMMERBY</t>
        </is>
      </c>
      <c r="G646" t="n">
        <v>7.5</v>
      </c>
      <c r="H646" t="n">
        <v>0</v>
      </c>
      <c r="I646" t="n">
        <v>0</v>
      </c>
      <c r="J646" t="n">
        <v>0</v>
      </c>
      <c r="K646" t="n">
        <v>0</v>
      </c>
      <c r="L646" t="n">
        <v>0</v>
      </c>
      <c r="M646" t="n">
        <v>0</v>
      </c>
      <c r="N646" t="n">
        <v>0</v>
      </c>
      <c r="O646" t="n">
        <v>0</v>
      </c>
      <c r="P646" t="n">
        <v>0</v>
      </c>
      <c r="Q646" t="n">
        <v>0</v>
      </c>
      <c r="R646" s="2" t="inlineStr"/>
    </row>
    <row r="647" ht="15" customHeight="1">
      <c r="A647" t="inlineStr">
        <is>
          <t>A 54737-2025</t>
        </is>
      </c>
      <c r="B647" s="1" t="n">
        <v>45966.56826388889</v>
      </c>
      <c r="C647" s="1" t="n">
        <v>46136</v>
      </c>
      <c r="D647" t="inlineStr">
        <is>
          <t>KALMAR LÄN</t>
        </is>
      </c>
      <c r="E647" t="inlineStr">
        <is>
          <t>VIMMERBY</t>
        </is>
      </c>
      <c r="G647" t="n">
        <v>2.1</v>
      </c>
      <c r="H647" t="n">
        <v>0</v>
      </c>
      <c r="I647" t="n">
        <v>0</v>
      </c>
      <c r="J647" t="n">
        <v>0</v>
      </c>
      <c r="K647" t="n">
        <v>0</v>
      </c>
      <c r="L647" t="n">
        <v>0</v>
      </c>
      <c r="M647" t="n">
        <v>0</v>
      </c>
      <c r="N647" t="n">
        <v>0</v>
      </c>
      <c r="O647" t="n">
        <v>0</v>
      </c>
      <c r="P647" t="n">
        <v>0</v>
      </c>
      <c r="Q647" t="n">
        <v>0</v>
      </c>
      <c r="R647" s="2" t="inlineStr"/>
    </row>
    <row r="648" ht="15" customHeight="1">
      <c r="A648" t="inlineStr">
        <is>
          <t>A 14359-2025</t>
        </is>
      </c>
      <c r="B648" s="1" t="n">
        <v>45741.37270833334</v>
      </c>
      <c r="C648" s="1" t="n">
        <v>46136</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39578-2024</t>
        </is>
      </c>
      <c r="B649" s="1" t="n">
        <v>45552.36484953704</v>
      </c>
      <c r="C649" s="1" t="n">
        <v>46136</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54813-2025</t>
        </is>
      </c>
      <c r="B650" s="1" t="n">
        <v>45966.64881944445</v>
      </c>
      <c r="C650" s="1" t="n">
        <v>46136</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62779-2023</t>
        </is>
      </c>
      <c r="B651" s="1" t="n">
        <v>45271.66576388889</v>
      </c>
      <c r="C651" s="1" t="n">
        <v>46136</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46399-2024</t>
        </is>
      </c>
      <c r="B652" s="1" t="n">
        <v>45582.41200231481</v>
      </c>
      <c r="C652" s="1" t="n">
        <v>46136</v>
      </c>
      <c r="D652" t="inlineStr">
        <is>
          <t>KALMAR LÄN</t>
        </is>
      </c>
      <c r="E652" t="inlineStr">
        <is>
          <t>VIMMERBY</t>
        </is>
      </c>
      <c r="G652" t="n">
        <v>4.6</v>
      </c>
      <c r="H652" t="n">
        <v>0</v>
      </c>
      <c r="I652" t="n">
        <v>0</v>
      </c>
      <c r="J652" t="n">
        <v>0</v>
      </c>
      <c r="K652" t="n">
        <v>0</v>
      </c>
      <c r="L652" t="n">
        <v>0</v>
      </c>
      <c r="M652" t="n">
        <v>0</v>
      </c>
      <c r="N652" t="n">
        <v>0</v>
      </c>
      <c r="O652" t="n">
        <v>0</v>
      </c>
      <c r="P652" t="n">
        <v>0</v>
      </c>
      <c r="Q652" t="n">
        <v>0</v>
      </c>
      <c r="R652" s="2" t="inlineStr"/>
    </row>
    <row r="653" ht="15" customHeight="1">
      <c r="A653" t="inlineStr">
        <is>
          <t>A 3425-2022</t>
        </is>
      </c>
      <c r="B653" s="1" t="n">
        <v>44585.51060185185</v>
      </c>
      <c r="C653" s="1" t="n">
        <v>46136</v>
      </c>
      <c r="D653" t="inlineStr">
        <is>
          <t>KALMAR LÄN</t>
        </is>
      </c>
      <c r="E653" t="inlineStr">
        <is>
          <t>VIMMERBY</t>
        </is>
      </c>
      <c r="G653" t="n">
        <v>1.3</v>
      </c>
      <c r="H653" t="n">
        <v>0</v>
      </c>
      <c r="I653" t="n">
        <v>0</v>
      </c>
      <c r="J653" t="n">
        <v>0</v>
      </c>
      <c r="K653" t="n">
        <v>0</v>
      </c>
      <c r="L653" t="n">
        <v>0</v>
      </c>
      <c r="M653" t="n">
        <v>0</v>
      </c>
      <c r="N653" t="n">
        <v>0</v>
      </c>
      <c r="O653" t="n">
        <v>0</v>
      </c>
      <c r="P653" t="n">
        <v>0</v>
      </c>
      <c r="Q653" t="n">
        <v>0</v>
      </c>
      <c r="R653" s="2" t="inlineStr"/>
    </row>
    <row r="654" ht="15" customHeight="1">
      <c r="A654" t="inlineStr">
        <is>
          <t>A 43962-2024</t>
        </is>
      </c>
      <c r="B654" s="1" t="n">
        <v>45572.48293981481</v>
      </c>
      <c r="C654" s="1" t="n">
        <v>46136</v>
      </c>
      <c r="D654" t="inlineStr">
        <is>
          <t>KALMAR LÄN</t>
        </is>
      </c>
      <c r="E654" t="inlineStr">
        <is>
          <t>VIMMERBY</t>
        </is>
      </c>
      <c r="G654" t="n">
        <v>0.6</v>
      </c>
      <c r="H654" t="n">
        <v>0</v>
      </c>
      <c r="I654" t="n">
        <v>0</v>
      </c>
      <c r="J654" t="n">
        <v>0</v>
      </c>
      <c r="K654" t="n">
        <v>0</v>
      </c>
      <c r="L654" t="n">
        <v>0</v>
      </c>
      <c r="M654" t="n">
        <v>0</v>
      </c>
      <c r="N654" t="n">
        <v>0</v>
      </c>
      <c r="O654" t="n">
        <v>0</v>
      </c>
      <c r="P654" t="n">
        <v>0</v>
      </c>
      <c r="Q654" t="n">
        <v>0</v>
      </c>
      <c r="R654" s="2" t="inlineStr"/>
    </row>
    <row r="655" ht="15" customHeight="1">
      <c r="A655" t="inlineStr">
        <is>
          <t>A 12810-2023</t>
        </is>
      </c>
      <c r="B655" s="1" t="n">
        <v>45001.43854166667</v>
      </c>
      <c r="C655" s="1" t="n">
        <v>46136</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55385-2025</t>
        </is>
      </c>
      <c r="B656" s="1" t="n">
        <v>45971.43350694444</v>
      </c>
      <c r="C656" s="1" t="n">
        <v>46136</v>
      </c>
      <c r="D656" t="inlineStr">
        <is>
          <t>KALMAR LÄN</t>
        </is>
      </c>
      <c r="E656" t="inlineStr">
        <is>
          <t>VIMMERBY</t>
        </is>
      </c>
      <c r="G656" t="n">
        <v>5</v>
      </c>
      <c r="H656" t="n">
        <v>0</v>
      </c>
      <c r="I656" t="n">
        <v>0</v>
      </c>
      <c r="J656" t="n">
        <v>0</v>
      </c>
      <c r="K656" t="n">
        <v>0</v>
      </c>
      <c r="L656" t="n">
        <v>0</v>
      </c>
      <c r="M656" t="n">
        <v>0</v>
      </c>
      <c r="N656" t="n">
        <v>0</v>
      </c>
      <c r="O656" t="n">
        <v>0</v>
      </c>
      <c r="P656" t="n">
        <v>0</v>
      </c>
      <c r="Q656" t="n">
        <v>0</v>
      </c>
      <c r="R656" s="2" t="inlineStr"/>
    </row>
    <row r="657" ht="15" customHeight="1">
      <c r="A657" t="inlineStr">
        <is>
          <t>A 43068-2023</t>
        </is>
      </c>
      <c r="B657" s="1" t="n">
        <v>45182.78834490741</v>
      </c>
      <c r="C657" s="1" t="n">
        <v>46136</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55602-2025</t>
        </is>
      </c>
      <c r="B658" s="1" t="n">
        <v>45971</v>
      </c>
      <c r="C658" s="1" t="n">
        <v>46136</v>
      </c>
      <c r="D658" t="inlineStr">
        <is>
          <t>KALMAR LÄN</t>
        </is>
      </c>
      <c r="E658" t="inlineStr">
        <is>
          <t>VIMMERBY</t>
        </is>
      </c>
      <c r="G658" t="n">
        <v>2.7</v>
      </c>
      <c r="H658" t="n">
        <v>0</v>
      </c>
      <c r="I658" t="n">
        <v>0</v>
      </c>
      <c r="J658" t="n">
        <v>0</v>
      </c>
      <c r="K658" t="n">
        <v>0</v>
      </c>
      <c r="L658" t="n">
        <v>0</v>
      </c>
      <c r="M658" t="n">
        <v>0</v>
      </c>
      <c r="N658" t="n">
        <v>0</v>
      </c>
      <c r="O658" t="n">
        <v>0</v>
      </c>
      <c r="P658" t="n">
        <v>0</v>
      </c>
      <c r="Q658" t="n">
        <v>0</v>
      </c>
      <c r="R658" s="2" t="inlineStr"/>
    </row>
    <row r="659" ht="15" customHeight="1">
      <c r="A659" t="inlineStr">
        <is>
          <t>A 55603-2025</t>
        </is>
      </c>
      <c r="B659" s="1" t="n">
        <v>45971</v>
      </c>
      <c r="C659" s="1" t="n">
        <v>46136</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55605-2025</t>
        </is>
      </c>
      <c r="B660" s="1" t="n">
        <v>45971</v>
      </c>
      <c r="C660" s="1" t="n">
        <v>46136</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12075-2024</t>
        </is>
      </c>
      <c r="B661" s="1" t="n">
        <v>45377</v>
      </c>
      <c r="C661" s="1" t="n">
        <v>46136</v>
      </c>
      <c r="D661" t="inlineStr">
        <is>
          <t>KALMAR LÄN</t>
        </is>
      </c>
      <c r="E661" t="inlineStr">
        <is>
          <t>VIMMERBY</t>
        </is>
      </c>
      <c r="G661" t="n">
        <v>3.7</v>
      </c>
      <c r="H661" t="n">
        <v>0</v>
      </c>
      <c r="I661" t="n">
        <v>0</v>
      </c>
      <c r="J661" t="n">
        <v>0</v>
      </c>
      <c r="K661" t="n">
        <v>0</v>
      </c>
      <c r="L661" t="n">
        <v>0</v>
      </c>
      <c r="M661" t="n">
        <v>0</v>
      </c>
      <c r="N661" t="n">
        <v>0</v>
      </c>
      <c r="O661" t="n">
        <v>0</v>
      </c>
      <c r="P661" t="n">
        <v>0</v>
      </c>
      <c r="Q661" t="n">
        <v>0</v>
      </c>
      <c r="R661" s="2" t="inlineStr"/>
    </row>
    <row r="662" ht="15" customHeight="1">
      <c r="A662" t="inlineStr">
        <is>
          <t>A 1799-2025</t>
        </is>
      </c>
      <c r="B662" s="1" t="n">
        <v>45671.46746527778</v>
      </c>
      <c r="C662" s="1" t="n">
        <v>46136</v>
      </c>
      <c r="D662" t="inlineStr">
        <is>
          <t>KALMAR LÄN</t>
        </is>
      </c>
      <c r="E662" t="inlineStr">
        <is>
          <t>VIMMERBY</t>
        </is>
      </c>
      <c r="G662" t="n">
        <v>3.3</v>
      </c>
      <c r="H662" t="n">
        <v>0</v>
      </c>
      <c r="I662" t="n">
        <v>0</v>
      </c>
      <c r="J662" t="n">
        <v>0</v>
      </c>
      <c r="K662" t="n">
        <v>0</v>
      </c>
      <c r="L662" t="n">
        <v>0</v>
      </c>
      <c r="M662" t="n">
        <v>0</v>
      </c>
      <c r="N662" t="n">
        <v>0</v>
      </c>
      <c r="O662" t="n">
        <v>0</v>
      </c>
      <c r="P662" t="n">
        <v>0</v>
      </c>
      <c r="Q662" t="n">
        <v>0</v>
      </c>
      <c r="R662" s="2" t="inlineStr"/>
    </row>
    <row r="663" ht="15" customHeight="1">
      <c r="A663" t="inlineStr">
        <is>
          <t>A 2462-2022</t>
        </is>
      </c>
      <c r="B663" s="1" t="n">
        <v>44579.62225694444</v>
      </c>
      <c r="C663" s="1" t="n">
        <v>46136</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13015-2022</t>
        </is>
      </c>
      <c r="B664" s="1" t="n">
        <v>44643</v>
      </c>
      <c r="C664" s="1" t="n">
        <v>46136</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4624-2024</t>
        </is>
      </c>
      <c r="B665" s="1" t="n">
        <v>45328.38755787037</v>
      </c>
      <c r="C665" s="1" t="n">
        <v>46136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9129-2025</t>
        </is>
      </c>
      <c r="B666" s="1" t="n">
        <v>45713.92412037037</v>
      </c>
      <c r="C666" s="1" t="n">
        <v>46136</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22643-2023</t>
        </is>
      </c>
      <c r="B667" s="1" t="n">
        <v>45071</v>
      </c>
      <c r="C667" s="1" t="n">
        <v>46136</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46136</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40079-2023</t>
        </is>
      </c>
      <c r="B669" s="1" t="n">
        <v>45168.89298611111</v>
      </c>
      <c r="C669" s="1" t="n">
        <v>46136</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19833-2023</t>
        </is>
      </c>
      <c r="B670" s="1" t="n">
        <v>45052</v>
      </c>
      <c r="C670" s="1" t="n">
        <v>46136</v>
      </c>
      <c r="D670" t="inlineStr">
        <is>
          <t>KALMAR LÄN</t>
        </is>
      </c>
      <c r="E670" t="inlineStr">
        <is>
          <t>VIMMERBY</t>
        </is>
      </c>
      <c r="G670" t="n">
        <v>6.7</v>
      </c>
      <c r="H670" t="n">
        <v>0</v>
      </c>
      <c r="I670" t="n">
        <v>0</v>
      </c>
      <c r="J670" t="n">
        <v>0</v>
      </c>
      <c r="K670" t="n">
        <v>0</v>
      </c>
      <c r="L670" t="n">
        <v>0</v>
      </c>
      <c r="M670" t="n">
        <v>0</v>
      </c>
      <c r="N670" t="n">
        <v>0</v>
      </c>
      <c r="O670" t="n">
        <v>0</v>
      </c>
      <c r="P670" t="n">
        <v>0</v>
      </c>
      <c r="Q670" t="n">
        <v>0</v>
      </c>
      <c r="R670" s="2" t="inlineStr"/>
    </row>
    <row r="671" ht="15" customHeight="1">
      <c r="A671" t="inlineStr">
        <is>
          <t>A 57728-2025</t>
        </is>
      </c>
      <c r="B671" s="1" t="n">
        <v>45981</v>
      </c>
      <c r="C671" s="1" t="n">
        <v>46136</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58442-2025</t>
        </is>
      </c>
      <c r="B672" s="1" t="n">
        <v>45985.61635416667</v>
      </c>
      <c r="C672" s="1" t="n">
        <v>46136</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58498-2025</t>
        </is>
      </c>
      <c r="B673" s="1" t="n">
        <v>45985.68671296296</v>
      </c>
      <c r="C673" s="1" t="n">
        <v>46136</v>
      </c>
      <c r="D673" t="inlineStr">
        <is>
          <t>KALMAR LÄN</t>
        </is>
      </c>
      <c r="E673" t="inlineStr">
        <is>
          <t>VIMMERBY</t>
        </is>
      </c>
      <c r="G673" t="n">
        <v>2.1</v>
      </c>
      <c r="H673" t="n">
        <v>0</v>
      </c>
      <c r="I673" t="n">
        <v>0</v>
      </c>
      <c r="J673" t="n">
        <v>0</v>
      </c>
      <c r="K673" t="n">
        <v>0</v>
      </c>
      <c r="L673" t="n">
        <v>0</v>
      </c>
      <c r="M673" t="n">
        <v>0</v>
      </c>
      <c r="N673" t="n">
        <v>0</v>
      </c>
      <c r="O673" t="n">
        <v>0</v>
      </c>
      <c r="P673" t="n">
        <v>0</v>
      </c>
      <c r="Q673" t="n">
        <v>0</v>
      </c>
      <c r="R673" s="2" t="inlineStr"/>
    </row>
    <row r="674" ht="15" customHeight="1">
      <c r="A674" t="inlineStr">
        <is>
          <t>A 58501-2025</t>
        </is>
      </c>
      <c r="B674" s="1" t="n">
        <v>45985.69153935185</v>
      </c>
      <c r="C674" s="1" t="n">
        <v>46136</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58514-2025</t>
        </is>
      </c>
      <c r="B675" s="1" t="n">
        <v>45985.70513888889</v>
      </c>
      <c r="C675" s="1" t="n">
        <v>46136</v>
      </c>
      <c r="D675" t="inlineStr">
        <is>
          <t>KALMAR LÄN</t>
        </is>
      </c>
      <c r="E675" t="inlineStr">
        <is>
          <t>VIMMERBY</t>
        </is>
      </c>
      <c r="G675" t="n">
        <v>3.7</v>
      </c>
      <c r="H675" t="n">
        <v>0</v>
      </c>
      <c r="I675" t="n">
        <v>0</v>
      </c>
      <c r="J675" t="n">
        <v>0</v>
      </c>
      <c r="K675" t="n">
        <v>0</v>
      </c>
      <c r="L675" t="n">
        <v>0</v>
      </c>
      <c r="M675" t="n">
        <v>0</v>
      </c>
      <c r="N675" t="n">
        <v>0</v>
      </c>
      <c r="O675" t="n">
        <v>0</v>
      </c>
      <c r="P675" t="n">
        <v>0</v>
      </c>
      <c r="Q675" t="n">
        <v>0</v>
      </c>
      <c r="R675" s="2" t="inlineStr"/>
    </row>
    <row r="676" ht="15" customHeight="1">
      <c r="A676" t="inlineStr">
        <is>
          <t>A 17084-2025</t>
        </is>
      </c>
      <c r="B676" s="1" t="n">
        <v>45755.64450231481</v>
      </c>
      <c r="C676" s="1" t="n">
        <v>46136</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58503-2025</t>
        </is>
      </c>
      <c r="B677" s="1" t="n">
        <v>45985.69509259259</v>
      </c>
      <c r="C677" s="1" t="n">
        <v>46136</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58446-2025</t>
        </is>
      </c>
      <c r="B678" s="1" t="n">
        <v>45985.62168981481</v>
      </c>
      <c r="C678" s="1" t="n">
        <v>46136</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56022-2024</t>
        </is>
      </c>
      <c r="B679" s="1" t="n">
        <v>45623.95947916667</v>
      </c>
      <c r="C679" s="1" t="n">
        <v>46136</v>
      </c>
      <c r="D679" t="inlineStr">
        <is>
          <t>KALMAR LÄN</t>
        </is>
      </c>
      <c r="E679" t="inlineStr">
        <is>
          <t>VIMMERBY</t>
        </is>
      </c>
      <c r="G679" t="n">
        <v>0.3</v>
      </c>
      <c r="H679" t="n">
        <v>0</v>
      </c>
      <c r="I679" t="n">
        <v>0</v>
      </c>
      <c r="J679" t="n">
        <v>0</v>
      </c>
      <c r="K679" t="n">
        <v>0</v>
      </c>
      <c r="L679" t="n">
        <v>0</v>
      </c>
      <c r="M679" t="n">
        <v>0</v>
      </c>
      <c r="N679" t="n">
        <v>0</v>
      </c>
      <c r="O679" t="n">
        <v>0</v>
      </c>
      <c r="P679" t="n">
        <v>0</v>
      </c>
      <c r="Q679" t="n">
        <v>0</v>
      </c>
      <c r="R679" s="2" t="inlineStr"/>
    </row>
    <row r="680" ht="15" customHeight="1">
      <c r="A680" t="inlineStr">
        <is>
          <t>A 58500-2025</t>
        </is>
      </c>
      <c r="B680" s="1" t="n">
        <v>45985.69008101852</v>
      </c>
      <c r="C680" s="1" t="n">
        <v>46136</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11928-2022</t>
        </is>
      </c>
      <c r="B681" s="1" t="n">
        <v>44635</v>
      </c>
      <c r="C681" s="1" t="n">
        <v>46136</v>
      </c>
      <c r="D681" t="inlineStr">
        <is>
          <t>KALMAR LÄN</t>
        </is>
      </c>
      <c r="E681" t="inlineStr">
        <is>
          <t>VIMMERBY</t>
        </is>
      </c>
      <c r="G681" t="n">
        <v>2.8</v>
      </c>
      <c r="H681" t="n">
        <v>0</v>
      </c>
      <c r="I681" t="n">
        <v>0</v>
      </c>
      <c r="J681" t="n">
        <v>0</v>
      </c>
      <c r="K681" t="n">
        <v>0</v>
      </c>
      <c r="L681" t="n">
        <v>0</v>
      </c>
      <c r="M681" t="n">
        <v>0</v>
      </c>
      <c r="N681" t="n">
        <v>0</v>
      </c>
      <c r="O681" t="n">
        <v>0</v>
      </c>
      <c r="P681" t="n">
        <v>0</v>
      </c>
      <c r="Q681" t="n">
        <v>0</v>
      </c>
      <c r="R681" s="2" t="inlineStr"/>
    </row>
    <row r="682" ht="15" customHeight="1">
      <c r="A682" t="inlineStr">
        <is>
          <t>A 58435-2025</t>
        </is>
      </c>
      <c r="B682" s="1" t="n">
        <v>45985.61501157407</v>
      </c>
      <c r="C682" s="1" t="n">
        <v>46136</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5527-2022</t>
        </is>
      </c>
      <c r="B683" s="1" t="n">
        <v>44595.583125</v>
      </c>
      <c r="C683" s="1" t="n">
        <v>46136</v>
      </c>
      <c r="D683" t="inlineStr">
        <is>
          <t>KALMAR LÄN</t>
        </is>
      </c>
      <c r="E683" t="inlineStr">
        <is>
          <t>VIMMERBY</t>
        </is>
      </c>
      <c r="G683" t="n">
        <v>3.6</v>
      </c>
      <c r="H683" t="n">
        <v>0</v>
      </c>
      <c r="I683" t="n">
        <v>0</v>
      </c>
      <c r="J683" t="n">
        <v>0</v>
      </c>
      <c r="K683" t="n">
        <v>0</v>
      </c>
      <c r="L683" t="n">
        <v>0</v>
      </c>
      <c r="M683" t="n">
        <v>0</v>
      </c>
      <c r="N683" t="n">
        <v>0</v>
      </c>
      <c r="O683" t="n">
        <v>0</v>
      </c>
      <c r="P683" t="n">
        <v>0</v>
      </c>
      <c r="Q683" t="n">
        <v>0</v>
      </c>
      <c r="R683" s="2" t="inlineStr"/>
    </row>
    <row r="684" ht="15" customHeight="1">
      <c r="A684" t="inlineStr">
        <is>
          <t>A 59037-2025</t>
        </is>
      </c>
      <c r="B684" s="1" t="n">
        <v>45988.36508101852</v>
      </c>
      <c r="C684" s="1" t="n">
        <v>46136</v>
      </c>
      <c r="D684" t="inlineStr">
        <is>
          <t>KALMAR LÄN</t>
        </is>
      </c>
      <c r="E684" t="inlineStr">
        <is>
          <t>VIMMERBY</t>
        </is>
      </c>
      <c r="F684" t="inlineStr">
        <is>
          <t>Sveaskog</t>
        </is>
      </c>
      <c r="G684" t="n">
        <v>4</v>
      </c>
      <c r="H684" t="n">
        <v>0</v>
      </c>
      <c r="I684" t="n">
        <v>0</v>
      </c>
      <c r="J684" t="n">
        <v>0</v>
      </c>
      <c r="K684" t="n">
        <v>0</v>
      </c>
      <c r="L684" t="n">
        <v>0</v>
      </c>
      <c r="M684" t="n">
        <v>0</v>
      </c>
      <c r="N684" t="n">
        <v>0</v>
      </c>
      <c r="O684" t="n">
        <v>0</v>
      </c>
      <c r="P684" t="n">
        <v>0</v>
      </c>
      <c r="Q684" t="n">
        <v>0</v>
      </c>
      <c r="R684" s="2" t="inlineStr"/>
    </row>
    <row r="685" ht="15" customHeight="1">
      <c r="A685" t="inlineStr">
        <is>
          <t>A 59034-2025</t>
        </is>
      </c>
      <c r="B685" s="1" t="n">
        <v>45988.36243055556</v>
      </c>
      <c r="C685" s="1" t="n">
        <v>46136</v>
      </c>
      <c r="D685" t="inlineStr">
        <is>
          <t>KALMAR LÄN</t>
        </is>
      </c>
      <c r="E685" t="inlineStr">
        <is>
          <t>VIMMERBY</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59068-2025</t>
        </is>
      </c>
      <c r="B686" s="1" t="n">
        <v>45988.41725694444</v>
      </c>
      <c r="C686" s="1" t="n">
        <v>46136</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58858-2025</t>
        </is>
      </c>
      <c r="B687" s="1" t="n">
        <v>45987.4243287037</v>
      </c>
      <c r="C687" s="1" t="n">
        <v>46136</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59039-2025</t>
        </is>
      </c>
      <c r="B688" s="1" t="n">
        <v>45988.36790509259</v>
      </c>
      <c r="C688" s="1" t="n">
        <v>46136</v>
      </c>
      <c r="D688" t="inlineStr">
        <is>
          <t>KALMAR LÄN</t>
        </is>
      </c>
      <c r="E688" t="inlineStr">
        <is>
          <t>VIMMERBY</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49461-2023</t>
        </is>
      </c>
      <c r="B689" s="1" t="n">
        <v>45211.52642361111</v>
      </c>
      <c r="C689" s="1" t="n">
        <v>46136</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49474-2023</t>
        </is>
      </c>
      <c r="B690" s="1" t="n">
        <v>45211.541875</v>
      </c>
      <c r="C690" s="1" t="n">
        <v>46136</v>
      </c>
      <c r="D690" t="inlineStr">
        <is>
          <t>KALMAR LÄN</t>
        </is>
      </c>
      <c r="E690" t="inlineStr">
        <is>
          <t>VIMMERBY</t>
        </is>
      </c>
      <c r="G690" t="n">
        <v>3.6</v>
      </c>
      <c r="H690" t="n">
        <v>0</v>
      </c>
      <c r="I690" t="n">
        <v>0</v>
      </c>
      <c r="J690" t="n">
        <v>0</v>
      </c>
      <c r="K690" t="n">
        <v>0</v>
      </c>
      <c r="L690" t="n">
        <v>0</v>
      </c>
      <c r="M690" t="n">
        <v>0</v>
      </c>
      <c r="N690" t="n">
        <v>0</v>
      </c>
      <c r="O690" t="n">
        <v>0</v>
      </c>
      <c r="P690" t="n">
        <v>0</v>
      </c>
      <c r="Q690" t="n">
        <v>0</v>
      </c>
      <c r="R690" s="2" t="inlineStr"/>
    </row>
    <row r="691" ht="15" customHeight="1">
      <c r="A691" t="inlineStr">
        <is>
          <t>A 61861-2024</t>
        </is>
      </c>
      <c r="B691" s="1" t="n">
        <v>45650.37370370371</v>
      </c>
      <c r="C691" s="1" t="n">
        <v>46136</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58841-2025</t>
        </is>
      </c>
      <c r="B692" s="1" t="n">
        <v>45987.36275462963</v>
      </c>
      <c r="C692" s="1" t="n">
        <v>46136</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45846-2023</t>
        </is>
      </c>
      <c r="B693" s="1" t="n">
        <v>45195.58452546296</v>
      </c>
      <c r="C693" s="1" t="n">
        <v>46136</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8167-2024</t>
        </is>
      </c>
      <c r="B694" s="1" t="n">
        <v>45351.6062962963</v>
      </c>
      <c r="C694" s="1" t="n">
        <v>46136</v>
      </c>
      <c r="D694" t="inlineStr">
        <is>
          <t>KALMAR LÄN</t>
        </is>
      </c>
      <c r="E694" t="inlineStr">
        <is>
          <t>VIMMERBY</t>
        </is>
      </c>
      <c r="G694" t="n">
        <v>3.8</v>
      </c>
      <c r="H694" t="n">
        <v>0</v>
      </c>
      <c r="I694" t="n">
        <v>0</v>
      </c>
      <c r="J694" t="n">
        <v>0</v>
      </c>
      <c r="K694" t="n">
        <v>0</v>
      </c>
      <c r="L694" t="n">
        <v>0</v>
      </c>
      <c r="M694" t="n">
        <v>0</v>
      </c>
      <c r="N694" t="n">
        <v>0</v>
      </c>
      <c r="O694" t="n">
        <v>0</v>
      </c>
      <c r="P694" t="n">
        <v>0</v>
      </c>
      <c r="Q694" t="n">
        <v>0</v>
      </c>
      <c r="R694" s="2" t="inlineStr"/>
    </row>
    <row r="695" ht="15" customHeight="1">
      <c r="A695" t="inlineStr">
        <is>
          <t>A 49382-2023</t>
        </is>
      </c>
      <c r="B695" s="1" t="n">
        <v>45208</v>
      </c>
      <c r="C695" s="1" t="n">
        <v>46136</v>
      </c>
      <c r="D695" t="inlineStr">
        <is>
          <t>KALMAR LÄN</t>
        </is>
      </c>
      <c r="E695" t="inlineStr">
        <is>
          <t>VIMMERBY</t>
        </is>
      </c>
      <c r="G695" t="n">
        <v>2.2</v>
      </c>
      <c r="H695" t="n">
        <v>0</v>
      </c>
      <c r="I695" t="n">
        <v>0</v>
      </c>
      <c r="J695" t="n">
        <v>0</v>
      </c>
      <c r="K695" t="n">
        <v>0</v>
      </c>
      <c r="L695" t="n">
        <v>0</v>
      </c>
      <c r="M695" t="n">
        <v>0</v>
      </c>
      <c r="N695" t="n">
        <v>0</v>
      </c>
      <c r="O695" t="n">
        <v>0</v>
      </c>
      <c r="P695" t="n">
        <v>0</v>
      </c>
      <c r="Q695" t="n">
        <v>0</v>
      </c>
      <c r="R695" s="2" t="inlineStr"/>
    </row>
    <row r="696" ht="15" customHeight="1">
      <c r="A696" t="inlineStr">
        <is>
          <t>A 12121-2025</t>
        </is>
      </c>
      <c r="B696" s="1" t="n">
        <v>45729.36868055556</v>
      </c>
      <c r="C696" s="1" t="n">
        <v>46136</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35846-2023</t>
        </is>
      </c>
      <c r="B697" s="1" t="n">
        <v>45148</v>
      </c>
      <c r="C697" s="1" t="n">
        <v>46136</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46136</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38757-2023</t>
        </is>
      </c>
      <c r="B699" s="1" t="n">
        <v>45163.41376157408</v>
      </c>
      <c r="C699" s="1" t="n">
        <v>46136</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20136-2024</t>
        </is>
      </c>
      <c r="B700" s="1" t="n">
        <v>45434.56291666667</v>
      </c>
      <c r="C700" s="1" t="n">
        <v>46136</v>
      </c>
      <c r="D700" t="inlineStr">
        <is>
          <t>KALMAR LÄN</t>
        </is>
      </c>
      <c r="E700" t="inlineStr">
        <is>
          <t>VIMMERBY</t>
        </is>
      </c>
      <c r="F700" t="inlineStr">
        <is>
          <t>Sveaskog</t>
        </is>
      </c>
      <c r="G700" t="n">
        <v>8.4</v>
      </c>
      <c r="H700" t="n">
        <v>0</v>
      </c>
      <c r="I700" t="n">
        <v>0</v>
      </c>
      <c r="J700" t="n">
        <v>0</v>
      </c>
      <c r="K700" t="n">
        <v>0</v>
      </c>
      <c r="L700" t="n">
        <v>0</v>
      </c>
      <c r="M700" t="n">
        <v>0</v>
      </c>
      <c r="N700" t="n">
        <v>0</v>
      </c>
      <c r="O700" t="n">
        <v>0</v>
      </c>
      <c r="P700" t="n">
        <v>0</v>
      </c>
      <c r="Q700" t="n">
        <v>0</v>
      </c>
      <c r="R700" s="2" t="inlineStr"/>
    </row>
    <row r="701" ht="15" customHeight="1">
      <c r="A701" t="inlineStr">
        <is>
          <t>A 24283-2023</t>
        </is>
      </c>
      <c r="B701" s="1" t="n">
        <v>45079.87827546296</v>
      </c>
      <c r="C701" s="1" t="n">
        <v>46136</v>
      </c>
      <c r="D701" t="inlineStr">
        <is>
          <t>KALMAR LÄN</t>
        </is>
      </c>
      <c r="E701" t="inlineStr">
        <is>
          <t>VIMMERBY</t>
        </is>
      </c>
      <c r="G701" t="n">
        <v>2</v>
      </c>
      <c r="H701" t="n">
        <v>0</v>
      </c>
      <c r="I701" t="n">
        <v>0</v>
      </c>
      <c r="J701" t="n">
        <v>0</v>
      </c>
      <c r="K701" t="n">
        <v>0</v>
      </c>
      <c r="L701" t="n">
        <v>0</v>
      </c>
      <c r="M701" t="n">
        <v>0</v>
      </c>
      <c r="N701" t="n">
        <v>0</v>
      </c>
      <c r="O701" t="n">
        <v>0</v>
      </c>
      <c r="P701" t="n">
        <v>0</v>
      </c>
      <c r="Q701" t="n">
        <v>0</v>
      </c>
      <c r="R701" s="2" t="inlineStr"/>
    </row>
    <row r="702" ht="15" customHeight="1">
      <c r="A702" t="inlineStr">
        <is>
          <t>A 59579-2025</t>
        </is>
      </c>
      <c r="B702" s="1" t="n">
        <v>45992.30569444445</v>
      </c>
      <c r="C702" s="1" t="n">
        <v>46136</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60180-2025</t>
        </is>
      </c>
      <c r="B703" s="1" t="n">
        <v>45994.46428240741</v>
      </c>
      <c r="C703" s="1" t="n">
        <v>46136</v>
      </c>
      <c r="D703" t="inlineStr">
        <is>
          <t>KALMAR LÄN</t>
        </is>
      </c>
      <c r="E703" t="inlineStr">
        <is>
          <t>VIMMERBY</t>
        </is>
      </c>
      <c r="G703" t="n">
        <v>6.8</v>
      </c>
      <c r="H703" t="n">
        <v>0</v>
      </c>
      <c r="I703" t="n">
        <v>0</v>
      </c>
      <c r="J703" t="n">
        <v>0</v>
      </c>
      <c r="K703" t="n">
        <v>0</v>
      </c>
      <c r="L703" t="n">
        <v>0</v>
      </c>
      <c r="M703" t="n">
        <v>0</v>
      </c>
      <c r="N703" t="n">
        <v>0</v>
      </c>
      <c r="O703" t="n">
        <v>0</v>
      </c>
      <c r="P703" t="n">
        <v>0</v>
      </c>
      <c r="Q703" t="n">
        <v>0</v>
      </c>
      <c r="R703" s="2" t="inlineStr"/>
    </row>
    <row r="704" ht="15" customHeight="1">
      <c r="A704" t="inlineStr">
        <is>
          <t>A 59598-2023</t>
        </is>
      </c>
      <c r="B704" s="1" t="n">
        <v>45254.62489583333</v>
      </c>
      <c r="C704" s="1" t="n">
        <v>46136</v>
      </c>
      <c r="D704" t="inlineStr">
        <is>
          <t>KALMAR LÄN</t>
        </is>
      </c>
      <c r="E704" t="inlineStr">
        <is>
          <t>VIMMERBY</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30920-2023</t>
        </is>
      </c>
      <c r="B705" s="1" t="n">
        <v>45113.43921296296</v>
      </c>
      <c r="C705" s="1" t="n">
        <v>46136</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60297-2025</t>
        </is>
      </c>
      <c r="B706" s="1" t="n">
        <v>45994</v>
      </c>
      <c r="C706" s="1" t="n">
        <v>46136</v>
      </c>
      <c r="D706" t="inlineStr">
        <is>
          <t>KALMAR LÄN</t>
        </is>
      </c>
      <c r="E706" t="inlineStr">
        <is>
          <t>VIMMERBY</t>
        </is>
      </c>
      <c r="G706" t="n">
        <v>4.2</v>
      </c>
      <c r="H706" t="n">
        <v>0</v>
      </c>
      <c r="I706" t="n">
        <v>0</v>
      </c>
      <c r="J706" t="n">
        <v>0</v>
      </c>
      <c r="K706" t="n">
        <v>0</v>
      </c>
      <c r="L706" t="n">
        <v>0</v>
      </c>
      <c r="M706" t="n">
        <v>0</v>
      </c>
      <c r="N706" t="n">
        <v>0</v>
      </c>
      <c r="O706" t="n">
        <v>0</v>
      </c>
      <c r="P706" t="n">
        <v>0</v>
      </c>
      <c r="Q706" t="n">
        <v>0</v>
      </c>
      <c r="R706" s="2" t="inlineStr"/>
    </row>
    <row r="707" ht="15" customHeight="1">
      <c r="A707" t="inlineStr">
        <is>
          <t>A 40929-2022</t>
        </is>
      </c>
      <c r="B707" s="1" t="n">
        <v>44825.4336574074</v>
      </c>
      <c r="C707" s="1" t="n">
        <v>46136</v>
      </c>
      <c r="D707" t="inlineStr">
        <is>
          <t>KALMAR LÄN</t>
        </is>
      </c>
      <c r="E707" t="inlineStr">
        <is>
          <t>VIMMERBY</t>
        </is>
      </c>
      <c r="G707" t="n">
        <v>2.5</v>
      </c>
      <c r="H707" t="n">
        <v>0</v>
      </c>
      <c r="I707" t="n">
        <v>0</v>
      </c>
      <c r="J707" t="n">
        <v>0</v>
      </c>
      <c r="K707" t="n">
        <v>0</v>
      </c>
      <c r="L707" t="n">
        <v>0</v>
      </c>
      <c r="M707" t="n">
        <v>0</v>
      </c>
      <c r="N707" t="n">
        <v>0</v>
      </c>
      <c r="O707" t="n">
        <v>0</v>
      </c>
      <c r="P707" t="n">
        <v>0</v>
      </c>
      <c r="Q707" t="n">
        <v>0</v>
      </c>
      <c r="R707" s="2" t="inlineStr"/>
    </row>
    <row r="708" ht="15" customHeight="1">
      <c r="A708" t="inlineStr">
        <is>
          <t>A 33380-2023</t>
        </is>
      </c>
      <c r="B708" s="1" t="n">
        <v>45128</v>
      </c>
      <c r="C708" s="1" t="n">
        <v>46136</v>
      </c>
      <c r="D708" t="inlineStr">
        <is>
          <t>KALMAR LÄN</t>
        </is>
      </c>
      <c r="E708" t="inlineStr">
        <is>
          <t>VIMMERBY</t>
        </is>
      </c>
      <c r="G708" t="n">
        <v>5.2</v>
      </c>
      <c r="H708" t="n">
        <v>0</v>
      </c>
      <c r="I708" t="n">
        <v>0</v>
      </c>
      <c r="J708" t="n">
        <v>0</v>
      </c>
      <c r="K708" t="n">
        <v>0</v>
      </c>
      <c r="L708" t="n">
        <v>0</v>
      </c>
      <c r="M708" t="n">
        <v>0</v>
      </c>
      <c r="N708" t="n">
        <v>0</v>
      </c>
      <c r="O708" t="n">
        <v>0</v>
      </c>
      <c r="P708" t="n">
        <v>0</v>
      </c>
      <c r="Q708" t="n">
        <v>0</v>
      </c>
      <c r="R708" s="2" t="inlineStr"/>
    </row>
    <row r="709" ht="15" customHeight="1">
      <c r="A709" t="inlineStr">
        <is>
          <t>A 46144-2023</t>
        </is>
      </c>
      <c r="B709" s="1" t="n">
        <v>45196.57247685185</v>
      </c>
      <c r="C709" s="1" t="n">
        <v>46136</v>
      </c>
      <c r="D709" t="inlineStr">
        <is>
          <t>KALMAR LÄN</t>
        </is>
      </c>
      <c r="E709" t="inlineStr">
        <is>
          <t>VIMMERBY</t>
        </is>
      </c>
      <c r="G709" t="n">
        <v>6.5</v>
      </c>
      <c r="H709" t="n">
        <v>0</v>
      </c>
      <c r="I709" t="n">
        <v>0</v>
      </c>
      <c r="J709" t="n">
        <v>0</v>
      </c>
      <c r="K709" t="n">
        <v>0</v>
      </c>
      <c r="L709" t="n">
        <v>0</v>
      </c>
      <c r="M709" t="n">
        <v>0</v>
      </c>
      <c r="N709" t="n">
        <v>0</v>
      </c>
      <c r="O709" t="n">
        <v>0</v>
      </c>
      <c r="P709" t="n">
        <v>0</v>
      </c>
      <c r="Q709" t="n">
        <v>0</v>
      </c>
      <c r="R709" s="2" t="inlineStr"/>
    </row>
    <row r="710" ht="15" customHeight="1">
      <c r="A710" t="inlineStr">
        <is>
          <t>A 54787-2023</t>
        </is>
      </c>
      <c r="B710" s="1" t="n">
        <v>45236</v>
      </c>
      <c r="C710" s="1" t="n">
        <v>46136</v>
      </c>
      <c r="D710" t="inlineStr">
        <is>
          <t>KALMAR LÄN</t>
        </is>
      </c>
      <c r="E710" t="inlineStr">
        <is>
          <t>VIMMERBY</t>
        </is>
      </c>
      <c r="G710" t="n">
        <v>1</v>
      </c>
      <c r="H710" t="n">
        <v>0</v>
      </c>
      <c r="I710" t="n">
        <v>0</v>
      </c>
      <c r="J710" t="n">
        <v>0</v>
      </c>
      <c r="K710" t="n">
        <v>0</v>
      </c>
      <c r="L710" t="n">
        <v>0</v>
      </c>
      <c r="M710" t="n">
        <v>0</v>
      </c>
      <c r="N710" t="n">
        <v>0</v>
      </c>
      <c r="O710" t="n">
        <v>0</v>
      </c>
      <c r="P710" t="n">
        <v>0</v>
      </c>
      <c r="Q710" t="n">
        <v>0</v>
      </c>
      <c r="R710" s="2" t="inlineStr"/>
    </row>
    <row r="711" ht="15" customHeight="1">
      <c r="A711" t="inlineStr">
        <is>
          <t>A 15715-2022</t>
        </is>
      </c>
      <c r="B711" s="1" t="n">
        <v>44663</v>
      </c>
      <c r="C711" s="1" t="n">
        <v>46136</v>
      </c>
      <c r="D711" t="inlineStr">
        <is>
          <t>KALMAR LÄN</t>
        </is>
      </c>
      <c r="E711" t="inlineStr">
        <is>
          <t>VIMMERBY</t>
        </is>
      </c>
      <c r="G711" t="n">
        <v>2.3</v>
      </c>
      <c r="H711" t="n">
        <v>0</v>
      </c>
      <c r="I711" t="n">
        <v>0</v>
      </c>
      <c r="J711" t="n">
        <v>0</v>
      </c>
      <c r="K711" t="n">
        <v>0</v>
      </c>
      <c r="L711" t="n">
        <v>0</v>
      </c>
      <c r="M711" t="n">
        <v>0</v>
      </c>
      <c r="N711" t="n">
        <v>0</v>
      </c>
      <c r="O711" t="n">
        <v>0</v>
      </c>
      <c r="P711" t="n">
        <v>0</v>
      </c>
      <c r="Q711" t="n">
        <v>0</v>
      </c>
      <c r="R711" s="2" t="inlineStr"/>
    </row>
    <row r="712" ht="15" customHeight="1">
      <c r="A712" t="inlineStr">
        <is>
          <t>A 43774-2023</t>
        </is>
      </c>
      <c r="B712" s="1" t="n">
        <v>45187</v>
      </c>
      <c r="C712" s="1" t="n">
        <v>46136</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43705-2023</t>
        </is>
      </c>
      <c r="B713" s="1" t="n">
        <v>45187.42854166667</v>
      </c>
      <c r="C713" s="1" t="n">
        <v>46136</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7932-2025</t>
        </is>
      </c>
      <c r="B714" s="1" t="n">
        <v>45707.3793287037</v>
      </c>
      <c r="C714" s="1" t="n">
        <v>46136</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13532-2025</t>
        </is>
      </c>
      <c r="B715" s="1" t="n">
        <v>45736.50743055555</v>
      </c>
      <c r="C715" s="1" t="n">
        <v>46136</v>
      </c>
      <c r="D715" t="inlineStr">
        <is>
          <t>KALMAR LÄN</t>
        </is>
      </c>
      <c r="E715" t="inlineStr">
        <is>
          <t>VIMMERBY</t>
        </is>
      </c>
      <c r="G715" t="n">
        <v>3.6</v>
      </c>
      <c r="H715" t="n">
        <v>0</v>
      </c>
      <c r="I715" t="n">
        <v>0</v>
      </c>
      <c r="J715" t="n">
        <v>0</v>
      </c>
      <c r="K715" t="n">
        <v>0</v>
      </c>
      <c r="L715" t="n">
        <v>0</v>
      </c>
      <c r="M715" t="n">
        <v>0</v>
      </c>
      <c r="N715" t="n">
        <v>0</v>
      </c>
      <c r="O715" t="n">
        <v>0</v>
      </c>
      <c r="P715" t="n">
        <v>0</v>
      </c>
      <c r="Q715" t="n">
        <v>0</v>
      </c>
      <c r="R715" s="2" t="inlineStr"/>
    </row>
    <row r="716" ht="15" customHeight="1">
      <c r="A716" t="inlineStr">
        <is>
          <t>A 61790-2025</t>
        </is>
      </c>
      <c r="B716" s="1" t="n">
        <v>46002.68768518518</v>
      </c>
      <c r="C716" s="1" t="n">
        <v>46136</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61726-2025</t>
        </is>
      </c>
      <c r="B717" s="1" t="n">
        <v>46002.58822916666</v>
      </c>
      <c r="C717" s="1" t="n">
        <v>46136</v>
      </c>
      <c r="D717" t="inlineStr">
        <is>
          <t>KALMAR LÄN</t>
        </is>
      </c>
      <c r="E717" t="inlineStr">
        <is>
          <t>VIMMERBY</t>
        </is>
      </c>
      <c r="F717" t="inlineStr">
        <is>
          <t>Sveaskog</t>
        </is>
      </c>
      <c r="G717" t="n">
        <v>0.2</v>
      </c>
      <c r="H717" t="n">
        <v>0</v>
      </c>
      <c r="I717" t="n">
        <v>0</v>
      </c>
      <c r="J717" t="n">
        <v>0</v>
      </c>
      <c r="K717" t="n">
        <v>0</v>
      </c>
      <c r="L717" t="n">
        <v>0</v>
      </c>
      <c r="M717" t="n">
        <v>0</v>
      </c>
      <c r="N717" t="n">
        <v>0</v>
      </c>
      <c r="O717" t="n">
        <v>0</v>
      </c>
      <c r="P717" t="n">
        <v>0</v>
      </c>
      <c r="Q717" t="n">
        <v>0</v>
      </c>
      <c r="R717" s="2" t="inlineStr"/>
    </row>
    <row r="718" ht="15" customHeight="1">
      <c r="A718" t="inlineStr">
        <is>
          <t>A 61725-2025</t>
        </is>
      </c>
      <c r="B718" s="1" t="n">
        <v>46002.58680555555</v>
      </c>
      <c r="C718" s="1" t="n">
        <v>46136</v>
      </c>
      <c r="D718" t="inlineStr">
        <is>
          <t>KALMAR LÄN</t>
        </is>
      </c>
      <c r="E718" t="inlineStr">
        <is>
          <t>VIMMERBY</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1978-2024</t>
        </is>
      </c>
      <c r="B719" s="1" t="n">
        <v>45308.59001157407</v>
      </c>
      <c r="C719" s="1" t="n">
        <v>46136</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6399-2025</t>
        </is>
      </c>
      <c r="B720" s="1" t="n">
        <v>45699.44291666667</v>
      </c>
      <c r="C720" s="1" t="n">
        <v>46136</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41311-2023</t>
        </is>
      </c>
      <c r="B721" s="1" t="n">
        <v>45174</v>
      </c>
      <c r="C721" s="1" t="n">
        <v>46136</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10785-2025</t>
        </is>
      </c>
      <c r="B722" s="1" t="n">
        <v>45722.48634259259</v>
      </c>
      <c r="C722" s="1" t="n">
        <v>46136</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18020-2025</t>
        </is>
      </c>
      <c r="B723" s="1" t="n">
        <v>45761.4437962963</v>
      </c>
      <c r="C723" s="1" t="n">
        <v>46136</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585-2024</t>
        </is>
      </c>
      <c r="B724" s="1" t="n">
        <v>45299.62576388889</v>
      </c>
      <c r="C724" s="1" t="n">
        <v>46136</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6802-2025</t>
        </is>
      </c>
      <c r="B725" s="1" t="n">
        <v>45700.68289351852</v>
      </c>
      <c r="C725" s="1" t="n">
        <v>46136</v>
      </c>
      <c r="D725" t="inlineStr">
        <is>
          <t>KALMAR LÄN</t>
        </is>
      </c>
      <c r="E725" t="inlineStr">
        <is>
          <t>VIMMERBY</t>
        </is>
      </c>
      <c r="G725" t="n">
        <v>1.3</v>
      </c>
      <c r="H725" t="n">
        <v>0</v>
      </c>
      <c r="I725" t="n">
        <v>0</v>
      </c>
      <c r="J725" t="n">
        <v>0</v>
      </c>
      <c r="K725" t="n">
        <v>0</v>
      </c>
      <c r="L725" t="n">
        <v>0</v>
      </c>
      <c r="M725" t="n">
        <v>0</v>
      </c>
      <c r="N725" t="n">
        <v>0</v>
      </c>
      <c r="O725" t="n">
        <v>0</v>
      </c>
      <c r="P725" t="n">
        <v>0</v>
      </c>
      <c r="Q725" t="n">
        <v>0</v>
      </c>
      <c r="R725" s="2" t="inlineStr"/>
    </row>
    <row r="726" ht="15" customHeight="1">
      <c r="A726" t="inlineStr">
        <is>
          <t>A 56020-2024</t>
        </is>
      </c>
      <c r="B726" s="1" t="n">
        <v>45623.9525462963</v>
      </c>
      <c r="C726" s="1" t="n">
        <v>46136</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33842-2022</t>
        </is>
      </c>
      <c r="B727" s="1" t="n">
        <v>44790.49523148148</v>
      </c>
      <c r="C727" s="1" t="n">
        <v>46136</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60675-2023</t>
        </is>
      </c>
      <c r="B728" s="1" t="n">
        <v>45260.4716550926</v>
      </c>
      <c r="C728" s="1" t="n">
        <v>46136</v>
      </c>
      <c r="D728" t="inlineStr">
        <is>
          <t>KALMAR LÄN</t>
        </is>
      </c>
      <c r="E728" t="inlineStr">
        <is>
          <t>VIMMERBY</t>
        </is>
      </c>
      <c r="G728" t="n">
        <v>1.2</v>
      </c>
      <c r="H728" t="n">
        <v>0</v>
      </c>
      <c r="I728" t="n">
        <v>0</v>
      </c>
      <c r="J728" t="n">
        <v>0</v>
      </c>
      <c r="K728" t="n">
        <v>0</v>
      </c>
      <c r="L728" t="n">
        <v>0</v>
      </c>
      <c r="M728" t="n">
        <v>0</v>
      </c>
      <c r="N728" t="n">
        <v>0</v>
      </c>
      <c r="O728" t="n">
        <v>0</v>
      </c>
      <c r="P728" t="n">
        <v>0</v>
      </c>
      <c r="Q728" t="n">
        <v>0</v>
      </c>
      <c r="R728" s="2" t="inlineStr"/>
    </row>
    <row r="729" ht="15" customHeight="1">
      <c r="A729" t="inlineStr">
        <is>
          <t>A 40095-2022</t>
        </is>
      </c>
      <c r="B729" s="1" t="n">
        <v>44820</v>
      </c>
      <c r="C729" s="1" t="n">
        <v>46136</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19537-2022</t>
        </is>
      </c>
      <c r="B730" s="1" t="n">
        <v>44693.62822916666</v>
      </c>
      <c r="C730" s="1" t="n">
        <v>46136</v>
      </c>
      <c r="D730" t="inlineStr">
        <is>
          <t>KALMAR LÄN</t>
        </is>
      </c>
      <c r="E730" t="inlineStr">
        <is>
          <t>VIMMERBY</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57311-2023</t>
        </is>
      </c>
      <c r="B731" s="1" t="n">
        <v>45245.63574074074</v>
      </c>
      <c r="C731" s="1" t="n">
        <v>46136</v>
      </c>
      <c r="D731" t="inlineStr">
        <is>
          <t>KALMAR LÄN</t>
        </is>
      </c>
      <c r="E731" t="inlineStr">
        <is>
          <t>VIMMERBY</t>
        </is>
      </c>
      <c r="G731" t="n">
        <v>1.6</v>
      </c>
      <c r="H731" t="n">
        <v>0</v>
      </c>
      <c r="I731" t="n">
        <v>0</v>
      </c>
      <c r="J731" t="n">
        <v>0</v>
      </c>
      <c r="K731" t="n">
        <v>0</v>
      </c>
      <c r="L731" t="n">
        <v>0</v>
      </c>
      <c r="M731" t="n">
        <v>0</v>
      </c>
      <c r="N731" t="n">
        <v>0</v>
      </c>
      <c r="O731" t="n">
        <v>0</v>
      </c>
      <c r="P731" t="n">
        <v>0</v>
      </c>
      <c r="Q731" t="n">
        <v>0</v>
      </c>
      <c r="R731" s="2" t="inlineStr"/>
    </row>
    <row r="732" ht="15" customHeight="1">
      <c r="A732" t="inlineStr">
        <is>
          <t>A 64428-2023</t>
        </is>
      </c>
      <c r="B732" s="1" t="n">
        <v>45280.66769675926</v>
      </c>
      <c r="C732" s="1" t="n">
        <v>46136</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4527-2023</t>
        </is>
      </c>
      <c r="B733" s="1" t="n">
        <v>44956</v>
      </c>
      <c r="C733" s="1" t="n">
        <v>46136</v>
      </c>
      <c r="D733" t="inlineStr">
        <is>
          <t>KALMAR LÄN</t>
        </is>
      </c>
      <c r="E733" t="inlineStr">
        <is>
          <t>VIMMERBY</t>
        </is>
      </c>
      <c r="F733" t="inlineStr">
        <is>
          <t>Kommuner</t>
        </is>
      </c>
      <c r="G733" t="n">
        <v>8.5</v>
      </c>
      <c r="H733" t="n">
        <v>0</v>
      </c>
      <c r="I733" t="n">
        <v>0</v>
      </c>
      <c r="J733" t="n">
        <v>0</v>
      </c>
      <c r="K733" t="n">
        <v>0</v>
      </c>
      <c r="L733" t="n">
        <v>0</v>
      </c>
      <c r="M733" t="n">
        <v>0</v>
      </c>
      <c r="N733" t="n">
        <v>0</v>
      </c>
      <c r="O733" t="n">
        <v>0</v>
      </c>
      <c r="P733" t="n">
        <v>0</v>
      </c>
      <c r="Q733" t="n">
        <v>0</v>
      </c>
      <c r="R733" s="2" t="inlineStr"/>
    </row>
    <row r="734" ht="15" customHeight="1">
      <c r="A734" t="inlineStr">
        <is>
          <t>A 3268-2024</t>
        </is>
      </c>
      <c r="B734" s="1" t="n">
        <v>45317</v>
      </c>
      <c r="C734" s="1" t="n">
        <v>46136</v>
      </c>
      <c r="D734" t="inlineStr">
        <is>
          <t>KALMAR LÄN</t>
        </is>
      </c>
      <c r="E734" t="inlineStr">
        <is>
          <t>VIMMERBY</t>
        </is>
      </c>
      <c r="F734" t="inlineStr">
        <is>
          <t>Övriga Aktiebolag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51408-2023</t>
        </is>
      </c>
      <c r="B735" s="1" t="n">
        <v>45219.69356481481</v>
      </c>
      <c r="C735" s="1" t="n">
        <v>46136</v>
      </c>
      <c r="D735" t="inlineStr">
        <is>
          <t>KALMAR LÄN</t>
        </is>
      </c>
      <c r="E735" t="inlineStr">
        <is>
          <t>VIMMERBY</t>
        </is>
      </c>
      <c r="G735" t="n">
        <v>0.7</v>
      </c>
      <c r="H735" t="n">
        <v>0</v>
      </c>
      <c r="I735" t="n">
        <v>0</v>
      </c>
      <c r="J735" t="n">
        <v>0</v>
      </c>
      <c r="K735" t="n">
        <v>0</v>
      </c>
      <c r="L735" t="n">
        <v>0</v>
      </c>
      <c r="M735" t="n">
        <v>0</v>
      </c>
      <c r="N735" t="n">
        <v>0</v>
      </c>
      <c r="O735" t="n">
        <v>0</v>
      </c>
      <c r="P735" t="n">
        <v>0</v>
      </c>
      <c r="Q735" t="n">
        <v>0</v>
      </c>
      <c r="R735" s="2" t="inlineStr"/>
    </row>
    <row r="736" ht="15" customHeight="1">
      <c r="A736" t="inlineStr">
        <is>
          <t>A 61937-2025</t>
        </is>
      </c>
      <c r="B736" s="1" t="n">
        <v>46003</v>
      </c>
      <c r="C736" s="1" t="n">
        <v>46136</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12480-2024</t>
        </is>
      </c>
      <c r="B737" s="1" t="n">
        <v>45379</v>
      </c>
      <c r="C737" s="1" t="n">
        <v>46136</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52588-2023</t>
        </is>
      </c>
      <c r="B738" s="1" t="n">
        <v>45225.60192129629</v>
      </c>
      <c r="C738" s="1" t="n">
        <v>46136</v>
      </c>
      <c r="D738" t="inlineStr">
        <is>
          <t>KALMAR LÄN</t>
        </is>
      </c>
      <c r="E738" t="inlineStr">
        <is>
          <t>VIMMERBY</t>
        </is>
      </c>
      <c r="G738" t="n">
        <v>2.9</v>
      </c>
      <c r="H738" t="n">
        <v>0</v>
      </c>
      <c r="I738" t="n">
        <v>0</v>
      </c>
      <c r="J738" t="n">
        <v>0</v>
      </c>
      <c r="K738" t="n">
        <v>0</v>
      </c>
      <c r="L738" t="n">
        <v>0</v>
      </c>
      <c r="M738" t="n">
        <v>0</v>
      </c>
      <c r="N738" t="n">
        <v>0</v>
      </c>
      <c r="O738" t="n">
        <v>0</v>
      </c>
      <c r="P738" t="n">
        <v>0</v>
      </c>
      <c r="Q738" t="n">
        <v>0</v>
      </c>
      <c r="R738" s="2" t="inlineStr"/>
    </row>
    <row r="739" ht="15" customHeight="1">
      <c r="A739" t="inlineStr">
        <is>
          <t>A 63711-2025</t>
        </is>
      </c>
      <c r="B739" s="1" t="n">
        <v>46014.62724537037</v>
      </c>
      <c r="C739" s="1" t="n">
        <v>46136</v>
      </c>
      <c r="D739" t="inlineStr">
        <is>
          <t>KALMAR LÄN</t>
        </is>
      </c>
      <c r="E739" t="inlineStr">
        <is>
          <t>VIMMERBY</t>
        </is>
      </c>
      <c r="G739" t="n">
        <v>2.1</v>
      </c>
      <c r="H739" t="n">
        <v>0</v>
      </c>
      <c r="I739" t="n">
        <v>0</v>
      </c>
      <c r="J739" t="n">
        <v>0</v>
      </c>
      <c r="K739" t="n">
        <v>0</v>
      </c>
      <c r="L739" t="n">
        <v>0</v>
      </c>
      <c r="M739" t="n">
        <v>0</v>
      </c>
      <c r="N739" t="n">
        <v>0</v>
      </c>
      <c r="O739" t="n">
        <v>0</v>
      </c>
      <c r="P739" t="n">
        <v>0</v>
      </c>
      <c r="Q739" t="n">
        <v>0</v>
      </c>
      <c r="R739" s="2" t="inlineStr"/>
    </row>
    <row r="740" ht="15" customHeight="1">
      <c r="A740" t="inlineStr">
        <is>
          <t>A 55236-2023</t>
        </is>
      </c>
      <c r="B740" s="1" t="n">
        <v>45237.63225694445</v>
      </c>
      <c r="C740" s="1" t="n">
        <v>46136</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55245-2023</t>
        </is>
      </c>
      <c r="B741" s="1" t="n">
        <v>45237.64408564815</v>
      </c>
      <c r="C741" s="1" t="n">
        <v>46136</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19111-2025</t>
        </is>
      </c>
      <c r="B742" s="1" t="n">
        <v>45768.65611111111</v>
      </c>
      <c r="C742" s="1" t="n">
        <v>46136</v>
      </c>
      <c r="D742" t="inlineStr">
        <is>
          <t>KALMAR LÄN</t>
        </is>
      </c>
      <c r="E742" t="inlineStr">
        <is>
          <t>VIMMERBY</t>
        </is>
      </c>
      <c r="G742" t="n">
        <v>6.2</v>
      </c>
      <c r="H742" t="n">
        <v>0</v>
      </c>
      <c r="I742" t="n">
        <v>0</v>
      </c>
      <c r="J742" t="n">
        <v>0</v>
      </c>
      <c r="K742" t="n">
        <v>0</v>
      </c>
      <c r="L742" t="n">
        <v>0</v>
      </c>
      <c r="M742" t="n">
        <v>0</v>
      </c>
      <c r="N742" t="n">
        <v>0</v>
      </c>
      <c r="O742" t="n">
        <v>0</v>
      </c>
      <c r="P742" t="n">
        <v>0</v>
      </c>
      <c r="Q742" t="n">
        <v>0</v>
      </c>
      <c r="R742" s="2" t="inlineStr"/>
    </row>
    <row r="743" ht="15" customHeight="1">
      <c r="A743" t="inlineStr">
        <is>
          <t>A 25370-2022</t>
        </is>
      </c>
      <c r="B743" s="1" t="n">
        <v>44732.3659837963</v>
      </c>
      <c r="C743" s="1" t="n">
        <v>46136</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63845-2025</t>
        </is>
      </c>
      <c r="B744" s="1" t="n">
        <v>46020.43715277778</v>
      </c>
      <c r="C744" s="1" t="n">
        <v>46136</v>
      </c>
      <c r="D744" t="inlineStr">
        <is>
          <t>KALMAR LÄN</t>
        </is>
      </c>
      <c r="E744" t="inlineStr">
        <is>
          <t>VIMMERBY</t>
        </is>
      </c>
      <c r="G744" t="n">
        <v>3.8</v>
      </c>
      <c r="H744" t="n">
        <v>0</v>
      </c>
      <c r="I744" t="n">
        <v>0</v>
      </c>
      <c r="J744" t="n">
        <v>0</v>
      </c>
      <c r="K744" t="n">
        <v>0</v>
      </c>
      <c r="L744" t="n">
        <v>0</v>
      </c>
      <c r="M744" t="n">
        <v>0</v>
      </c>
      <c r="N744" t="n">
        <v>0</v>
      </c>
      <c r="O744" t="n">
        <v>0</v>
      </c>
      <c r="P744" t="n">
        <v>0</v>
      </c>
      <c r="Q744" t="n">
        <v>0</v>
      </c>
      <c r="R744" s="2" t="inlineStr"/>
    </row>
    <row r="745" ht="15" customHeight="1">
      <c r="A745" t="inlineStr">
        <is>
          <t>A 63848-2025</t>
        </is>
      </c>
      <c r="B745" s="1" t="n">
        <v>46020.44902777778</v>
      </c>
      <c r="C745" s="1" t="n">
        <v>46136</v>
      </c>
      <c r="D745" t="inlineStr">
        <is>
          <t>KALMAR LÄN</t>
        </is>
      </c>
      <c r="E745" t="inlineStr">
        <is>
          <t>VIMMERBY</t>
        </is>
      </c>
      <c r="G745" t="n">
        <v>3.4</v>
      </c>
      <c r="H745" t="n">
        <v>0</v>
      </c>
      <c r="I745" t="n">
        <v>0</v>
      </c>
      <c r="J745" t="n">
        <v>0</v>
      </c>
      <c r="K745" t="n">
        <v>0</v>
      </c>
      <c r="L745" t="n">
        <v>0</v>
      </c>
      <c r="M745" t="n">
        <v>0</v>
      </c>
      <c r="N745" t="n">
        <v>0</v>
      </c>
      <c r="O745" t="n">
        <v>0</v>
      </c>
      <c r="P745" t="n">
        <v>0</v>
      </c>
      <c r="Q745" t="n">
        <v>0</v>
      </c>
      <c r="R745" s="2" t="inlineStr"/>
    </row>
    <row r="746" ht="15" customHeight="1">
      <c r="A746" t="inlineStr">
        <is>
          <t>A 63758-2025</t>
        </is>
      </c>
      <c r="B746" s="1" t="n">
        <v>46018.46483796297</v>
      </c>
      <c r="C746" s="1" t="n">
        <v>46136</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63839-2025</t>
        </is>
      </c>
      <c r="B747" s="1" t="n">
        <v>46020.41998842593</v>
      </c>
      <c r="C747" s="1" t="n">
        <v>46136</v>
      </c>
      <c r="D747" t="inlineStr">
        <is>
          <t>KALMAR LÄN</t>
        </is>
      </c>
      <c r="E747" t="inlineStr">
        <is>
          <t>VIMMERBY</t>
        </is>
      </c>
      <c r="G747" t="n">
        <v>2.9</v>
      </c>
      <c r="H747" t="n">
        <v>0</v>
      </c>
      <c r="I747" t="n">
        <v>0</v>
      </c>
      <c r="J747" t="n">
        <v>0</v>
      </c>
      <c r="K747" t="n">
        <v>0</v>
      </c>
      <c r="L747" t="n">
        <v>0</v>
      </c>
      <c r="M747" t="n">
        <v>0</v>
      </c>
      <c r="N747" t="n">
        <v>0</v>
      </c>
      <c r="O747" t="n">
        <v>0</v>
      </c>
      <c r="P747" t="n">
        <v>0</v>
      </c>
      <c r="Q747" t="n">
        <v>0</v>
      </c>
      <c r="R747" s="2" t="inlineStr"/>
    </row>
    <row r="748" ht="15" customHeight="1">
      <c r="A748" t="inlineStr">
        <is>
          <t>A 63762-2025</t>
        </is>
      </c>
      <c r="B748" s="1" t="n">
        <v>46018.67197916667</v>
      </c>
      <c r="C748" s="1" t="n">
        <v>46136</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33838-2022</t>
        </is>
      </c>
      <c r="B749" s="1" t="n">
        <v>44790.49040509259</v>
      </c>
      <c r="C749" s="1" t="n">
        <v>46136</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4058-2024</t>
        </is>
      </c>
      <c r="B750" s="1" t="n">
        <v>45323.53744212963</v>
      </c>
      <c r="C750" s="1" t="n">
        <v>46136</v>
      </c>
      <c r="D750" t="inlineStr">
        <is>
          <t>KALMAR LÄN</t>
        </is>
      </c>
      <c r="E750" t="inlineStr">
        <is>
          <t>VIMMERBY</t>
        </is>
      </c>
      <c r="G750" t="n">
        <v>6.5</v>
      </c>
      <c r="H750" t="n">
        <v>0</v>
      </c>
      <c r="I750" t="n">
        <v>0</v>
      </c>
      <c r="J750" t="n">
        <v>0</v>
      </c>
      <c r="K750" t="n">
        <v>0</v>
      </c>
      <c r="L750" t="n">
        <v>0</v>
      </c>
      <c r="M750" t="n">
        <v>0</v>
      </c>
      <c r="N750" t="n">
        <v>0</v>
      </c>
      <c r="O750" t="n">
        <v>0</v>
      </c>
      <c r="P750" t="n">
        <v>0</v>
      </c>
      <c r="Q750" t="n">
        <v>0</v>
      </c>
      <c r="R750" s="2" t="inlineStr"/>
    </row>
    <row r="751" ht="15" customHeight="1">
      <c r="A751" t="inlineStr">
        <is>
          <t>A 36008-2024</t>
        </is>
      </c>
      <c r="B751" s="1" t="n">
        <v>45533.55362268518</v>
      </c>
      <c r="C751" s="1" t="n">
        <v>46136</v>
      </c>
      <c r="D751" t="inlineStr">
        <is>
          <t>KALMAR LÄN</t>
        </is>
      </c>
      <c r="E751" t="inlineStr">
        <is>
          <t>VIMMERBY</t>
        </is>
      </c>
      <c r="G751" t="n">
        <v>3.7</v>
      </c>
      <c r="H751" t="n">
        <v>0</v>
      </c>
      <c r="I751" t="n">
        <v>0</v>
      </c>
      <c r="J751" t="n">
        <v>0</v>
      </c>
      <c r="K751" t="n">
        <v>0</v>
      </c>
      <c r="L751" t="n">
        <v>0</v>
      </c>
      <c r="M751" t="n">
        <v>0</v>
      </c>
      <c r="N751" t="n">
        <v>0</v>
      </c>
      <c r="O751" t="n">
        <v>0</v>
      </c>
      <c r="P751" t="n">
        <v>0</v>
      </c>
      <c r="Q751" t="n">
        <v>0</v>
      </c>
      <c r="R751" s="2" t="inlineStr"/>
    </row>
    <row r="752" ht="15" customHeight="1">
      <c r="A752" t="inlineStr">
        <is>
          <t>A 18669-2025</t>
        </is>
      </c>
      <c r="B752" s="1" t="n">
        <v>45763.59436342592</v>
      </c>
      <c r="C752" s="1" t="n">
        <v>46136</v>
      </c>
      <c r="D752" t="inlineStr">
        <is>
          <t>KALMAR LÄN</t>
        </is>
      </c>
      <c r="E752" t="inlineStr">
        <is>
          <t>VIMMERBY</t>
        </is>
      </c>
      <c r="G752" t="n">
        <v>2.7</v>
      </c>
      <c r="H752" t="n">
        <v>0</v>
      </c>
      <c r="I752" t="n">
        <v>0</v>
      </c>
      <c r="J752" t="n">
        <v>0</v>
      </c>
      <c r="K752" t="n">
        <v>0</v>
      </c>
      <c r="L752" t="n">
        <v>0</v>
      </c>
      <c r="M752" t="n">
        <v>0</v>
      </c>
      <c r="N752" t="n">
        <v>0</v>
      </c>
      <c r="O752" t="n">
        <v>0</v>
      </c>
      <c r="P752" t="n">
        <v>0</v>
      </c>
      <c r="Q752" t="n">
        <v>0</v>
      </c>
      <c r="R752" s="2" t="inlineStr"/>
    </row>
    <row r="753" ht="15" customHeight="1">
      <c r="A753" t="inlineStr">
        <is>
          <t>A 8540-2024</t>
        </is>
      </c>
      <c r="B753" s="1" t="n">
        <v>45355.54138888889</v>
      </c>
      <c r="C753" s="1" t="n">
        <v>46136</v>
      </c>
      <c r="D753" t="inlineStr">
        <is>
          <t>KALMAR LÄN</t>
        </is>
      </c>
      <c r="E753" t="inlineStr">
        <is>
          <t>VIMMERBY</t>
        </is>
      </c>
      <c r="G753" t="n">
        <v>1.9</v>
      </c>
      <c r="H753" t="n">
        <v>0</v>
      </c>
      <c r="I753" t="n">
        <v>0</v>
      </c>
      <c r="J753" t="n">
        <v>0</v>
      </c>
      <c r="K753" t="n">
        <v>0</v>
      </c>
      <c r="L753" t="n">
        <v>0</v>
      </c>
      <c r="M753" t="n">
        <v>0</v>
      </c>
      <c r="N753" t="n">
        <v>0</v>
      </c>
      <c r="O753" t="n">
        <v>0</v>
      </c>
      <c r="P753" t="n">
        <v>0</v>
      </c>
      <c r="Q753" t="n">
        <v>0</v>
      </c>
      <c r="R753" s="2" t="inlineStr"/>
    </row>
    <row r="754" ht="15" customHeight="1">
      <c r="A754" t="inlineStr">
        <is>
          <t>A 9623-2024</t>
        </is>
      </c>
      <c r="B754" s="1" t="n">
        <v>45361.87975694444</v>
      </c>
      <c r="C754" s="1" t="n">
        <v>46136</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5146-2024</t>
        </is>
      </c>
      <c r="B755" s="1" t="n">
        <v>45330</v>
      </c>
      <c r="C755" s="1" t="n">
        <v>46136</v>
      </c>
      <c r="D755" t="inlineStr">
        <is>
          <t>KALMAR LÄN</t>
        </is>
      </c>
      <c r="E755" t="inlineStr">
        <is>
          <t>VIMMERBY</t>
        </is>
      </c>
      <c r="G755" t="n">
        <v>5.3</v>
      </c>
      <c r="H755" t="n">
        <v>0</v>
      </c>
      <c r="I755" t="n">
        <v>0</v>
      </c>
      <c r="J755" t="n">
        <v>0</v>
      </c>
      <c r="K755" t="n">
        <v>0</v>
      </c>
      <c r="L755" t="n">
        <v>0</v>
      </c>
      <c r="M755" t="n">
        <v>0</v>
      </c>
      <c r="N755" t="n">
        <v>0</v>
      </c>
      <c r="O755" t="n">
        <v>0</v>
      </c>
      <c r="P755" t="n">
        <v>0</v>
      </c>
      <c r="Q755" t="n">
        <v>0</v>
      </c>
      <c r="R755" s="2" t="inlineStr"/>
    </row>
    <row r="756" ht="15" customHeight="1">
      <c r="A756" t="inlineStr">
        <is>
          <t>A 5148-2024</t>
        </is>
      </c>
      <c r="B756" s="1" t="n">
        <v>45330</v>
      </c>
      <c r="C756" s="1" t="n">
        <v>46136</v>
      </c>
      <c r="D756" t="inlineStr">
        <is>
          <t>KALMAR LÄN</t>
        </is>
      </c>
      <c r="E756" t="inlineStr">
        <is>
          <t>VIMMERBY</t>
        </is>
      </c>
      <c r="G756" t="n">
        <v>5.6</v>
      </c>
      <c r="H756" t="n">
        <v>0</v>
      </c>
      <c r="I756" t="n">
        <v>0</v>
      </c>
      <c r="J756" t="n">
        <v>0</v>
      </c>
      <c r="K756" t="n">
        <v>0</v>
      </c>
      <c r="L756" t="n">
        <v>0</v>
      </c>
      <c r="M756" t="n">
        <v>0</v>
      </c>
      <c r="N756" t="n">
        <v>0</v>
      </c>
      <c r="O756" t="n">
        <v>0</v>
      </c>
      <c r="P756" t="n">
        <v>0</v>
      </c>
      <c r="Q756" t="n">
        <v>0</v>
      </c>
      <c r="R756" s="2" t="inlineStr"/>
    </row>
    <row r="757" ht="15" customHeight="1">
      <c r="A757" t="inlineStr">
        <is>
          <t>A 44179-2022</t>
        </is>
      </c>
      <c r="B757" s="1" t="n">
        <v>44839.4528125</v>
      </c>
      <c r="C757" s="1" t="n">
        <v>46136</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50648-2023</t>
        </is>
      </c>
      <c r="B758" s="1" t="n">
        <v>45217.47834490741</v>
      </c>
      <c r="C758" s="1" t="n">
        <v>46136</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2121-2022</t>
        </is>
      </c>
      <c r="B759" s="1" t="n">
        <v>44578.32717592592</v>
      </c>
      <c r="C759" s="1" t="n">
        <v>46136</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57799-2022</t>
        </is>
      </c>
      <c r="B760" s="1" t="n">
        <v>44897</v>
      </c>
      <c r="C760" s="1" t="n">
        <v>46136</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15394-2025</t>
        </is>
      </c>
      <c r="B761" s="1" t="n">
        <v>45747.43196759259</v>
      </c>
      <c r="C761" s="1" t="n">
        <v>46136</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26318-2023</t>
        </is>
      </c>
      <c r="B762" s="1" t="n">
        <v>45091.67936342592</v>
      </c>
      <c r="C762" s="1" t="n">
        <v>46136</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60437-2023</t>
        </is>
      </c>
      <c r="B763" s="1" t="n">
        <v>45259.51916666667</v>
      </c>
      <c r="C763" s="1" t="n">
        <v>46136</v>
      </c>
      <c r="D763" t="inlineStr">
        <is>
          <t>KALMAR LÄN</t>
        </is>
      </c>
      <c r="E763" t="inlineStr">
        <is>
          <t>VIMMERBY</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60438-2023</t>
        </is>
      </c>
      <c r="B764" s="1" t="n">
        <v>45259.52020833334</v>
      </c>
      <c r="C764" s="1" t="n">
        <v>46136</v>
      </c>
      <c r="D764" t="inlineStr">
        <is>
          <t>KALMAR LÄN</t>
        </is>
      </c>
      <c r="E764" t="inlineStr">
        <is>
          <t>VIMMERBY</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7758-2024</t>
        </is>
      </c>
      <c r="B765" s="1" t="n">
        <v>45349.54434027777</v>
      </c>
      <c r="C765" s="1" t="n">
        <v>46136</v>
      </c>
      <c r="D765" t="inlineStr">
        <is>
          <t>KALMAR LÄN</t>
        </is>
      </c>
      <c r="E765" t="inlineStr">
        <is>
          <t>VIMMERBY</t>
        </is>
      </c>
      <c r="G765" t="n">
        <v>3.5</v>
      </c>
      <c r="H765" t="n">
        <v>0</v>
      </c>
      <c r="I765" t="n">
        <v>0</v>
      </c>
      <c r="J765" t="n">
        <v>0</v>
      </c>
      <c r="K765" t="n">
        <v>0</v>
      </c>
      <c r="L765" t="n">
        <v>0</v>
      </c>
      <c r="M765" t="n">
        <v>0</v>
      </c>
      <c r="N765" t="n">
        <v>0</v>
      </c>
      <c r="O765" t="n">
        <v>0</v>
      </c>
      <c r="P765" t="n">
        <v>0</v>
      </c>
      <c r="Q765" t="n">
        <v>0</v>
      </c>
      <c r="R765" s="2" t="inlineStr"/>
    </row>
    <row r="766" ht="15" customHeight="1">
      <c r="A766" t="inlineStr">
        <is>
          <t>A 7456-2024</t>
        </is>
      </c>
      <c r="B766" s="1" t="n">
        <v>45345.83557870371</v>
      </c>
      <c r="C766" s="1" t="n">
        <v>46136</v>
      </c>
      <c r="D766" t="inlineStr">
        <is>
          <t>KALMAR LÄN</t>
        </is>
      </c>
      <c r="E766" t="inlineStr">
        <is>
          <t>VIMMERBY</t>
        </is>
      </c>
      <c r="G766" t="n">
        <v>4.1</v>
      </c>
      <c r="H766" t="n">
        <v>0</v>
      </c>
      <c r="I766" t="n">
        <v>0</v>
      </c>
      <c r="J766" t="n">
        <v>0</v>
      </c>
      <c r="K766" t="n">
        <v>0</v>
      </c>
      <c r="L766" t="n">
        <v>0</v>
      </c>
      <c r="M766" t="n">
        <v>0</v>
      </c>
      <c r="N766" t="n">
        <v>0</v>
      </c>
      <c r="O766" t="n">
        <v>0</v>
      </c>
      <c r="P766" t="n">
        <v>0</v>
      </c>
      <c r="Q766" t="n">
        <v>0</v>
      </c>
      <c r="R766" s="2" t="inlineStr"/>
    </row>
    <row r="767" ht="15" customHeight="1">
      <c r="A767" t="inlineStr">
        <is>
          <t>A 6082-2022</t>
        </is>
      </c>
      <c r="B767" s="1" t="n">
        <v>44599</v>
      </c>
      <c r="C767" s="1" t="n">
        <v>46136</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46979-2023</t>
        </is>
      </c>
      <c r="B768" s="1" t="n">
        <v>45201</v>
      </c>
      <c r="C768" s="1" t="n">
        <v>46136</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2596-2025</t>
        </is>
      </c>
      <c r="B769" s="1" t="n">
        <v>45674.71810185185</v>
      </c>
      <c r="C769" s="1" t="n">
        <v>46136</v>
      </c>
      <c r="D769" t="inlineStr">
        <is>
          <t>KALMAR LÄN</t>
        </is>
      </c>
      <c r="E769" t="inlineStr">
        <is>
          <t>VIMMERBY</t>
        </is>
      </c>
      <c r="G769" t="n">
        <v>9</v>
      </c>
      <c r="H769" t="n">
        <v>0</v>
      </c>
      <c r="I769" t="n">
        <v>0</v>
      </c>
      <c r="J769" t="n">
        <v>0</v>
      </c>
      <c r="K769" t="n">
        <v>0</v>
      </c>
      <c r="L769" t="n">
        <v>0</v>
      </c>
      <c r="M769" t="n">
        <v>0</v>
      </c>
      <c r="N769" t="n">
        <v>0</v>
      </c>
      <c r="O769" t="n">
        <v>0</v>
      </c>
      <c r="P769" t="n">
        <v>0</v>
      </c>
      <c r="Q769" t="n">
        <v>0</v>
      </c>
      <c r="R769" s="2" t="inlineStr"/>
    </row>
    <row r="770" ht="15" customHeight="1">
      <c r="A770" t="inlineStr">
        <is>
          <t>A 47855-2024</t>
        </is>
      </c>
      <c r="B770" s="1" t="n">
        <v>45588.66457175926</v>
      </c>
      <c r="C770" s="1" t="n">
        <v>46136</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63583-2023</t>
        </is>
      </c>
      <c r="B771" s="1" t="n">
        <v>45275.41833333333</v>
      </c>
      <c r="C771" s="1" t="n">
        <v>46136</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60228-2021</t>
        </is>
      </c>
      <c r="B772" s="1" t="n">
        <v>44495</v>
      </c>
      <c r="C772" s="1" t="n">
        <v>46136</v>
      </c>
      <c r="D772" t="inlineStr">
        <is>
          <t>KALMAR LÄN</t>
        </is>
      </c>
      <c r="E772" t="inlineStr">
        <is>
          <t>VIMMERBY</t>
        </is>
      </c>
      <c r="G772" t="n">
        <v>4.1</v>
      </c>
      <c r="H772" t="n">
        <v>0</v>
      </c>
      <c r="I772" t="n">
        <v>0</v>
      </c>
      <c r="J772" t="n">
        <v>0</v>
      </c>
      <c r="K772" t="n">
        <v>0</v>
      </c>
      <c r="L772" t="n">
        <v>0</v>
      </c>
      <c r="M772" t="n">
        <v>0</v>
      </c>
      <c r="N772" t="n">
        <v>0</v>
      </c>
      <c r="O772" t="n">
        <v>0</v>
      </c>
      <c r="P772" t="n">
        <v>0</v>
      </c>
      <c r="Q772" t="n">
        <v>0</v>
      </c>
      <c r="R772" s="2" t="inlineStr"/>
    </row>
    <row r="773" ht="15" customHeight="1">
      <c r="A773" t="inlineStr">
        <is>
          <t>A 46522-2022</t>
        </is>
      </c>
      <c r="B773" s="1" t="n">
        <v>44848.59133101852</v>
      </c>
      <c r="C773" s="1" t="n">
        <v>46136</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21109-2024</t>
        </is>
      </c>
      <c r="B774" s="1" t="n">
        <v>45440.28329861111</v>
      </c>
      <c r="C774" s="1" t="n">
        <v>46136</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33815-2022</t>
        </is>
      </c>
      <c r="B775" s="1" t="n">
        <v>44790.45876157407</v>
      </c>
      <c r="C775" s="1" t="n">
        <v>46136</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49461-2022</t>
        </is>
      </c>
      <c r="B776" s="1" t="n">
        <v>44861</v>
      </c>
      <c r="C776" s="1" t="n">
        <v>46136</v>
      </c>
      <c r="D776" t="inlineStr">
        <is>
          <t>KALMAR LÄN</t>
        </is>
      </c>
      <c r="E776" t="inlineStr">
        <is>
          <t>VIMMERBY</t>
        </is>
      </c>
      <c r="G776" t="n">
        <v>3.2</v>
      </c>
      <c r="H776" t="n">
        <v>0</v>
      </c>
      <c r="I776" t="n">
        <v>0</v>
      </c>
      <c r="J776" t="n">
        <v>0</v>
      </c>
      <c r="K776" t="n">
        <v>0</v>
      </c>
      <c r="L776" t="n">
        <v>0</v>
      </c>
      <c r="M776" t="n">
        <v>0</v>
      </c>
      <c r="N776" t="n">
        <v>0</v>
      </c>
      <c r="O776" t="n">
        <v>0</v>
      </c>
      <c r="P776" t="n">
        <v>0</v>
      </c>
      <c r="Q776" t="n">
        <v>0</v>
      </c>
      <c r="R776" s="2" t="inlineStr"/>
    </row>
    <row r="777" ht="15" customHeight="1">
      <c r="A777" t="inlineStr">
        <is>
          <t>A 53542-2022</t>
        </is>
      </c>
      <c r="B777" s="1" t="n">
        <v>44879.62173611111</v>
      </c>
      <c r="C777" s="1" t="n">
        <v>46136</v>
      </c>
      <c r="D777" t="inlineStr">
        <is>
          <t>KALMAR LÄN</t>
        </is>
      </c>
      <c r="E777" t="inlineStr">
        <is>
          <t>VIMMERBY</t>
        </is>
      </c>
      <c r="G777" t="n">
        <v>2.6</v>
      </c>
      <c r="H777" t="n">
        <v>0</v>
      </c>
      <c r="I777" t="n">
        <v>0</v>
      </c>
      <c r="J777" t="n">
        <v>0</v>
      </c>
      <c r="K777" t="n">
        <v>0</v>
      </c>
      <c r="L777" t="n">
        <v>0</v>
      </c>
      <c r="M777" t="n">
        <v>0</v>
      </c>
      <c r="N777" t="n">
        <v>0</v>
      </c>
      <c r="O777" t="n">
        <v>0</v>
      </c>
      <c r="P777" t="n">
        <v>0</v>
      </c>
      <c r="Q777" t="n">
        <v>0</v>
      </c>
      <c r="R777" s="2" t="inlineStr"/>
    </row>
    <row r="778" ht="15" customHeight="1">
      <c r="A778" t="inlineStr">
        <is>
          <t>A 35713-2023</t>
        </is>
      </c>
      <c r="B778" s="1" t="n">
        <v>45147</v>
      </c>
      <c r="C778" s="1" t="n">
        <v>46136</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10424-2023</t>
        </is>
      </c>
      <c r="B779" s="1" t="n">
        <v>44987.54104166666</v>
      </c>
      <c r="C779" s="1" t="n">
        <v>46136</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33340-2023</t>
        </is>
      </c>
      <c r="B780" s="1" t="n">
        <v>45128.37305555555</v>
      </c>
      <c r="C780" s="1" t="n">
        <v>46136</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29017-2024</t>
        </is>
      </c>
      <c r="B781" s="1" t="n">
        <v>45481.56722222222</v>
      </c>
      <c r="C781" s="1" t="n">
        <v>46136</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58046-2022</t>
        </is>
      </c>
      <c r="B782" s="1" t="n">
        <v>44900.57393518519</v>
      </c>
      <c r="C782" s="1" t="n">
        <v>46136</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14548-2024</t>
        </is>
      </c>
      <c r="B783" s="1" t="n">
        <v>45394.66887731481</v>
      </c>
      <c r="C783" s="1" t="n">
        <v>46136</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48120-2022</t>
        </is>
      </c>
      <c r="B784" s="1" t="n">
        <v>44857.65989583333</v>
      </c>
      <c r="C784" s="1" t="n">
        <v>46136</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3423-2022</t>
        </is>
      </c>
      <c r="B785" s="1" t="n">
        <v>44585.50431712963</v>
      </c>
      <c r="C785" s="1" t="n">
        <v>46136</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11074-2023</t>
        </is>
      </c>
      <c r="B786" s="1" t="n">
        <v>44992.34151620371</v>
      </c>
      <c r="C786" s="1" t="n">
        <v>46136</v>
      </c>
      <c r="D786" t="inlineStr">
        <is>
          <t>KALMAR LÄN</t>
        </is>
      </c>
      <c r="E786" t="inlineStr">
        <is>
          <t>VIMMERBY</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71631-2021</t>
        </is>
      </c>
      <c r="B787" s="1" t="n">
        <v>44542.90072916666</v>
      </c>
      <c r="C787" s="1" t="n">
        <v>46136</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49039-2021</t>
        </is>
      </c>
      <c r="B788" s="1" t="n">
        <v>44453.56578703703</v>
      </c>
      <c r="C788" s="1" t="n">
        <v>46136</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42918-2021</t>
        </is>
      </c>
      <c r="B789" s="1" t="n">
        <v>44431</v>
      </c>
      <c r="C789" s="1" t="n">
        <v>46136</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529-2022</t>
        </is>
      </c>
      <c r="B790" s="1" t="n">
        <v>44566</v>
      </c>
      <c r="C790" s="1" t="n">
        <v>46136</v>
      </c>
      <c r="D790" t="inlineStr">
        <is>
          <t>KALMAR LÄN</t>
        </is>
      </c>
      <c r="E790" t="inlineStr">
        <is>
          <t>VIMMERBY</t>
        </is>
      </c>
      <c r="G790" t="n">
        <v>1.5</v>
      </c>
      <c r="H790" t="n">
        <v>0</v>
      </c>
      <c r="I790" t="n">
        <v>0</v>
      </c>
      <c r="J790" t="n">
        <v>0</v>
      </c>
      <c r="K790" t="n">
        <v>0</v>
      </c>
      <c r="L790" t="n">
        <v>0</v>
      </c>
      <c r="M790" t="n">
        <v>0</v>
      </c>
      <c r="N790" t="n">
        <v>0</v>
      </c>
      <c r="O790" t="n">
        <v>0</v>
      </c>
      <c r="P790" t="n">
        <v>0</v>
      </c>
      <c r="Q790" t="n">
        <v>0</v>
      </c>
      <c r="R790" s="2" t="inlineStr"/>
    </row>
    <row r="791" ht="15" customHeight="1">
      <c r="A791" t="inlineStr">
        <is>
          <t>A 14855-2025</t>
        </is>
      </c>
      <c r="B791" s="1" t="n">
        <v>45743.41148148148</v>
      </c>
      <c r="C791" s="1" t="n">
        <v>46136</v>
      </c>
      <c r="D791" t="inlineStr">
        <is>
          <t>KALMAR LÄN</t>
        </is>
      </c>
      <c r="E791" t="inlineStr">
        <is>
          <t>VIMMERBY</t>
        </is>
      </c>
      <c r="G791" t="n">
        <v>1.2</v>
      </c>
      <c r="H791" t="n">
        <v>0</v>
      </c>
      <c r="I791" t="n">
        <v>0</v>
      </c>
      <c r="J791" t="n">
        <v>0</v>
      </c>
      <c r="K791" t="n">
        <v>0</v>
      </c>
      <c r="L791" t="n">
        <v>0</v>
      </c>
      <c r="M791" t="n">
        <v>0</v>
      </c>
      <c r="N791" t="n">
        <v>0</v>
      </c>
      <c r="O791" t="n">
        <v>0</v>
      </c>
      <c r="P791" t="n">
        <v>0</v>
      </c>
      <c r="Q791" t="n">
        <v>0</v>
      </c>
      <c r="R791" s="2" t="inlineStr"/>
    </row>
    <row r="792" ht="15" customHeight="1">
      <c r="A792" t="inlineStr">
        <is>
          <t>A 60951-2023</t>
        </is>
      </c>
      <c r="B792" s="1" t="n">
        <v>45261.44914351852</v>
      </c>
      <c r="C792" s="1" t="n">
        <v>46136</v>
      </c>
      <c r="D792" t="inlineStr">
        <is>
          <t>KALMAR LÄN</t>
        </is>
      </c>
      <c r="E792" t="inlineStr">
        <is>
          <t>VIMMERBY</t>
        </is>
      </c>
      <c r="G792" t="n">
        <v>4.3</v>
      </c>
      <c r="H792" t="n">
        <v>0</v>
      </c>
      <c r="I792" t="n">
        <v>0</v>
      </c>
      <c r="J792" t="n">
        <v>0</v>
      </c>
      <c r="K792" t="n">
        <v>0</v>
      </c>
      <c r="L792" t="n">
        <v>0</v>
      </c>
      <c r="M792" t="n">
        <v>0</v>
      </c>
      <c r="N792" t="n">
        <v>0</v>
      </c>
      <c r="O792" t="n">
        <v>0</v>
      </c>
      <c r="P792" t="n">
        <v>0</v>
      </c>
      <c r="Q792" t="n">
        <v>0</v>
      </c>
      <c r="R792" s="2" t="inlineStr"/>
    </row>
    <row r="793" ht="15" customHeight="1">
      <c r="A793" t="inlineStr">
        <is>
          <t>A 19162-2023</t>
        </is>
      </c>
      <c r="B793" s="1" t="n">
        <v>45048.59699074074</v>
      </c>
      <c r="C793" s="1" t="n">
        <v>46136</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31209-2024</t>
        </is>
      </c>
      <c r="B794" s="1" t="n">
        <v>45503.5658912037</v>
      </c>
      <c r="C794" s="1" t="n">
        <v>46136</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5864-2022</t>
        </is>
      </c>
      <c r="B795" s="1" t="n">
        <v>44596</v>
      </c>
      <c r="C795" s="1" t="n">
        <v>46136</v>
      </c>
      <c r="D795" t="inlineStr">
        <is>
          <t>KALMAR LÄN</t>
        </is>
      </c>
      <c r="E795" t="inlineStr">
        <is>
          <t>VIMMERBY</t>
        </is>
      </c>
      <c r="G795" t="n">
        <v>0.7</v>
      </c>
      <c r="H795" t="n">
        <v>0</v>
      </c>
      <c r="I795" t="n">
        <v>0</v>
      </c>
      <c r="J795" t="n">
        <v>0</v>
      </c>
      <c r="K795" t="n">
        <v>0</v>
      </c>
      <c r="L795" t="n">
        <v>0</v>
      </c>
      <c r="M795" t="n">
        <v>0</v>
      </c>
      <c r="N795" t="n">
        <v>0</v>
      </c>
      <c r="O795" t="n">
        <v>0</v>
      </c>
      <c r="P795" t="n">
        <v>0</v>
      </c>
      <c r="Q795" t="n">
        <v>0</v>
      </c>
      <c r="R795" s="2" t="inlineStr"/>
    </row>
    <row r="796" ht="15" customHeight="1">
      <c r="A796" t="inlineStr">
        <is>
          <t>A 3938-2023</t>
        </is>
      </c>
      <c r="B796" s="1" t="n">
        <v>44952.35775462963</v>
      </c>
      <c r="C796" s="1" t="n">
        <v>46136</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26937-2023</t>
        </is>
      </c>
      <c r="B797" s="1" t="n">
        <v>45093.62777777778</v>
      </c>
      <c r="C797" s="1" t="n">
        <v>46136</v>
      </c>
      <c r="D797" t="inlineStr">
        <is>
          <t>KALMAR LÄN</t>
        </is>
      </c>
      <c r="E797" t="inlineStr">
        <is>
          <t>VIMMERBY</t>
        </is>
      </c>
      <c r="F797" t="inlineStr">
        <is>
          <t>Sveaskog</t>
        </is>
      </c>
      <c r="G797" t="n">
        <v>14.5</v>
      </c>
      <c r="H797" t="n">
        <v>0</v>
      </c>
      <c r="I797" t="n">
        <v>0</v>
      </c>
      <c r="J797" t="n">
        <v>0</v>
      </c>
      <c r="K797" t="n">
        <v>0</v>
      </c>
      <c r="L797" t="n">
        <v>0</v>
      </c>
      <c r="M797" t="n">
        <v>0</v>
      </c>
      <c r="N797" t="n">
        <v>0</v>
      </c>
      <c r="O797" t="n">
        <v>0</v>
      </c>
      <c r="P797" t="n">
        <v>0</v>
      </c>
      <c r="Q797" t="n">
        <v>0</v>
      </c>
      <c r="R797" s="2" t="inlineStr"/>
    </row>
    <row r="798" ht="15" customHeight="1">
      <c r="A798" t="inlineStr">
        <is>
          <t>A 50085-2023</t>
        </is>
      </c>
      <c r="B798" s="1" t="n">
        <v>45215.5959375</v>
      </c>
      <c r="C798" s="1" t="n">
        <v>46136</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11219-2023</t>
        </is>
      </c>
      <c r="B799" s="1" t="n">
        <v>44992.62498842592</v>
      </c>
      <c r="C799" s="1" t="n">
        <v>46136</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6850-2023</t>
        </is>
      </c>
      <c r="B800" s="1" t="n">
        <v>44967.44255787037</v>
      </c>
      <c r="C800" s="1" t="n">
        <v>46136</v>
      </c>
      <c r="D800" t="inlineStr">
        <is>
          <t>KALMAR LÄN</t>
        </is>
      </c>
      <c r="E800" t="inlineStr">
        <is>
          <t>VIMMERBY</t>
        </is>
      </c>
      <c r="G800" t="n">
        <v>0.6</v>
      </c>
      <c r="H800" t="n">
        <v>0</v>
      </c>
      <c r="I800" t="n">
        <v>0</v>
      </c>
      <c r="J800" t="n">
        <v>0</v>
      </c>
      <c r="K800" t="n">
        <v>0</v>
      </c>
      <c r="L800" t="n">
        <v>0</v>
      </c>
      <c r="M800" t="n">
        <v>0</v>
      </c>
      <c r="N800" t="n">
        <v>0</v>
      </c>
      <c r="O800" t="n">
        <v>0</v>
      </c>
      <c r="P800" t="n">
        <v>0</v>
      </c>
      <c r="Q800" t="n">
        <v>0</v>
      </c>
      <c r="R800" s="2" t="inlineStr"/>
    </row>
    <row r="801" ht="15" customHeight="1">
      <c r="A801" t="inlineStr">
        <is>
          <t>A 6358-2022</t>
        </is>
      </c>
      <c r="B801" s="1" t="n">
        <v>44600</v>
      </c>
      <c r="C801" s="1" t="n">
        <v>46136</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43853-2023</t>
        </is>
      </c>
      <c r="B802" s="1" t="n">
        <v>45187.60813657408</v>
      </c>
      <c r="C802" s="1" t="n">
        <v>46136</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48673-2021</t>
        </is>
      </c>
      <c r="B803" s="1" t="n">
        <v>44452</v>
      </c>
      <c r="C803" s="1" t="n">
        <v>46136</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14137-2023</t>
        </is>
      </c>
      <c r="B804" s="1" t="n">
        <v>45009.4671875</v>
      </c>
      <c r="C804" s="1" t="n">
        <v>46136</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7630-2025</t>
        </is>
      </c>
      <c r="B805" s="1" t="n">
        <v>45705.74418981482</v>
      </c>
      <c r="C805" s="1" t="n">
        <v>46136</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38780-2021</t>
        </is>
      </c>
      <c r="B806" s="1" t="n">
        <v>44410</v>
      </c>
      <c r="C806" s="1" t="n">
        <v>46136</v>
      </c>
      <c r="D806" t="inlineStr">
        <is>
          <t>KALMAR LÄN</t>
        </is>
      </c>
      <c r="E806" t="inlineStr">
        <is>
          <t>VIMMERBY</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30503-2023</t>
        </is>
      </c>
      <c r="B807" s="1" t="n">
        <v>45111</v>
      </c>
      <c r="C807" s="1" t="n">
        <v>46136</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60110-2022</t>
        </is>
      </c>
      <c r="B808" s="1" t="n">
        <v>44909</v>
      </c>
      <c r="C808" s="1" t="n">
        <v>46136</v>
      </c>
      <c r="D808" t="inlineStr">
        <is>
          <t>KALMAR LÄN</t>
        </is>
      </c>
      <c r="E808" t="inlineStr">
        <is>
          <t>VIMMERBY</t>
        </is>
      </c>
      <c r="G808" t="n">
        <v>1.7</v>
      </c>
      <c r="H808" t="n">
        <v>0</v>
      </c>
      <c r="I808" t="n">
        <v>0</v>
      </c>
      <c r="J808" t="n">
        <v>0</v>
      </c>
      <c r="K808" t="n">
        <v>0</v>
      </c>
      <c r="L808" t="n">
        <v>0</v>
      </c>
      <c r="M808" t="n">
        <v>0</v>
      </c>
      <c r="N808" t="n">
        <v>0</v>
      </c>
      <c r="O808" t="n">
        <v>0</v>
      </c>
      <c r="P808" t="n">
        <v>0</v>
      </c>
      <c r="Q808" t="n">
        <v>0</v>
      </c>
      <c r="R808" s="2" t="inlineStr"/>
    </row>
    <row r="809" ht="15" customHeight="1">
      <c r="A809" t="inlineStr">
        <is>
          <t>A 59300-2024</t>
        </is>
      </c>
      <c r="B809" s="1" t="n">
        <v>45637.66542824074</v>
      </c>
      <c r="C809" s="1" t="n">
        <v>46136</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19445-2021</t>
        </is>
      </c>
      <c r="B810" s="1" t="n">
        <v>44310</v>
      </c>
      <c r="C810" s="1" t="n">
        <v>46136</v>
      </c>
      <c r="D810" t="inlineStr">
        <is>
          <t>KALMAR LÄN</t>
        </is>
      </c>
      <c r="E810" t="inlineStr">
        <is>
          <t>VIMMERBY</t>
        </is>
      </c>
      <c r="G810" t="n">
        <v>6.8</v>
      </c>
      <c r="H810" t="n">
        <v>0</v>
      </c>
      <c r="I810" t="n">
        <v>0</v>
      </c>
      <c r="J810" t="n">
        <v>0</v>
      </c>
      <c r="K810" t="n">
        <v>0</v>
      </c>
      <c r="L810" t="n">
        <v>0</v>
      </c>
      <c r="M810" t="n">
        <v>0</v>
      </c>
      <c r="N810" t="n">
        <v>0</v>
      </c>
      <c r="O810" t="n">
        <v>0</v>
      </c>
      <c r="P810" t="n">
        <v>0</v>
      </c>
      <c r="Q810" t="n">
        <v>0</v>
      </c>
      <c r="R810" s="2" t="inlineStr"/>
    </row>
    <row r="811" ht="15" customHeight="1">
      <c r="A811" t="inlineStr">
        <is>
          <t>A 18329-2023</t>
        </is>
      </c>
      <c r="B811" s="1" t="n">
        <v>45041.63380787037</v>
      </c>
      <c r="C811" s="1" t="n">
        <v>46136</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5720-2023</t>
        </is>
      </c>
      <c r="B812" s="1" t="n">
        <v>44961</v>
      </c>
      <c r="C812" s="1" t="n">
        <v>46136</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61538-2022</t>
        </is>
      </c>
      <c r="B813" s="1" t="n">
        <v>44916.55414351852</v>
      </c>
      <c r="C813" s="1" t="n">
        <v>46136</v>
      </c>
      <c r="D813" t="inlineStr">
        <is>
          <t>KALMAR LÄN</t>
        </is>
      </c>
      <c r="E813" t="inlineStr">
        <is>
          <t>VIMMERBY</t>
        </is>
      </c>
      <c r="G813" t="n">
        <v>1.5</v>
      </c>
      <c r="H813" t="n">
        <v>0</v>
      </c>
      <c r="I813" t="n">
        <v>0</v>
      </c>
      <c r="J813" t="n">
        <v>0</v>
      </c>
      <c r="K813" t="n">
        <v>0</v>
      </c>
      <c r="L813" t="n">
        <v>0</v>
      </c>
      <c r="M813" t="n">
        <v>0</v>
      </c>
      <c r="N813" t="n">
        <v>0</v>
      </c>
      <c r="O813" t="n">
        <v>0</v>
      </c>
      <c r="P813" t="n">
        <v>0</v>
      </c>
      <c r="Q813" t="n">
        <v>0</v>
      </c>
      <c r="R813" s="2" t="inlineStr"/>
    </row>
    <row r="814" ht="15" customHeight="1">
      <c r="A814" t="inlineStr">
        <is>
          <t>A 694-2024</t>
        </is>
      </c>
      <c r="B814" s="1" t="n">
        <v>45300.3794212963</v>
      </c>
      <c r="C814" s="1" t="n">
        <v>46136</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57114-2023</t>
        </is>
      </c>
      <c r="B815" s="1" t="n">
        <v>45245.36174768519</v>
      </c>
      <c r="C815" s="1" t="n">
        <v>46136</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12327-2023</t>
        </is>
      </c>
      <c r="B816" s="1" t="n">
        <v>44999.36081018519</v>
      </c>
      <c r="C816" s="1" t="n">
        <v>46136</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30633-2024</t>
        </is>
      </c>
      <c r="B817" s="1" t="n">
        <v>45495</v>
      </c>
      <c r="C817" s="1" t="n">
        <v>46136</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33424-2023</t>
        </is>
      </c>
      <c r="B818" s="1" t="n">
        <v>45128.9325</v>
      </c>
      <c r="C818" s="1" t="n">
        <v>46136</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33425-2023</t>
        </is>
      </c>
      <c r="B819" s="1" t="n">
        <v>45128.93540509259</v>
      </c>
      <c r="C819" s="1" t="n">
        <v>46136</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3609-2024</t>
        </is>
      </c>
      <c r="B820" s="1" t="n">
        <v>45320.89128472222</v>
      </c>
      <c r="C820" s="1" t="n">
        <v>46136</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8650-2022</t>
        </is>
      </c>
      <c r="B821" s="1" t="n">
        <v>44613</v>
      </c>
      <c r="C821" s="1" t="n">
        <v>46136</v>
      </c>
      <c r="D821" t="inlineStr">
        <is>
          <t>KALMAR LÄN</t>
        </is>
      </c>
      <c r="E821" t="inlineStr">
        <is>
          <t>VIMMERBY</t>
        </is>
      </c>
      <c r="G821" t="n">
        <v>1.4</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46136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16676-2023</t>
        </is>
      </c>
      <c r="B823" s="1" t="n">
        <v>45028</v>
      </c>
      <c r="C823" s="1" t="n">
        <v>46136</v>
      </c>
      <c r="D823" t="inlineStr">
        <is>
          <t>KALMAR LÄN</t>
        </is>
      </c>
      <c r="E823" t="inlineStr">
        <is>
          <t>VIMMERBY</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23263-2024</t>
        </is>
      </c>
      <c r="B824" s="1" t="n">
        <v>45453.36854166666</v>
      </c>
      <c r="C824" s="1" t="n">
        <v>46136</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49488-2023</t>
        </is>
      </c>
      <c r="B825" s="1" t="n">
        <v>45211.55472222222</v>
      </c>
      <c r="C825" s="1" t="n">
        <v>46136</v>
      </c>
      <c r="D825" t="inlineStr">
        <is>
          <t>KALMAR LÄN</t>
        </is>
      </c>
      <c r="E825" t="inlineStr">
        <is>
          <t>VIMMERBY</t>
        </is>
      </c>
      <c r="F825" t="inlineStr">
        <is>
          <t>Sveaskog</t>
        </is>
      </c>
      <c r="G825" t="n">
        <v>6.2</v>
      </c>
      <c r="H825" t="n">
        <v>0</v>
      </c>
      <c r="I825" t="n">
        <v>0</v>
      </c>
      <c r="J825" t="n">
        <v>0</v>
      </c>
      <c r="K825" t="n">
        <v>0</v>
      </c>
      <c r="L825" t="n">
        <v>0</v>
      </c>
      <c r="M825" t="n">
        <v>0</v>
      </c>
      <c r="N825" t="n">
        <v>0</v>
      </c>
      <c r="O825" t="n">
        <v>0</v>
      </c>
      <c r="P825" t="n">
        <v>0</v>
      </c>
      <c r="Q825" t="n">
        <v>0</v>
      </c>
      <c r="R825" s="2" t="inlineStr"/>
    </row>
    <row r="826" ht="15" customHeight="1">
      <c r="A826" t="inlineStr">
        <is>
          <t>A 59768-2024</t>
        </is>
      </c>
      <c r="B826" s="1" t="n">
        <v>45639.56185185185</v>
      </c>
      <c r="C826" s="1" t="n">
        <v>46136</v>
      </c>
      <c r="D826" t="inlineStr">
        <is>
          <t>KALMAR LÄN</t>
        </is>
      </c>
      <c r="E826" t="inlineStr">
        <is>
          <t>VIMMERBY</t>
        </is>
      </c>
      <c r="G826" t="n">
        <v>5.9</v>
      </c>
      <c r="H826" t="n">
        <v>0</v>
      </c>
      <c r="I826" t="n">
        <v>0</v>
      </c>
      <c r="J826" t="n">
        <v>0</v>
      </c>
      <c r="K826" t="n">
        <v>0</v>
      </c>
      <c r="L826" t="n">
        <v>0</v>
      </c>
      <c r="M826" t="n">
        <v>0</v>
      </c>
      <c r="N826" t="n">
        <v>0</v>
      </c>
      <c r="O826" t="n">
        <v>0</v>
      </c>
      <c r="P826" t="n">
        <v>0</v>
      </c>
      <c r="Q826" t="n">
        <v>0</v>
      </c>
      <c r="R826" s="2" t="inlineStr"/>
    </row>
    <row r="827" ht="15" customHeight="1">
      <c r="A827" t="inlineStr">
        <is>
          <t>A 72067-2021</t>
        </is>
      </c>
      <c r="B827" s="1" t="n">
        <v>44540</v>
      </c>
      <c r="C827" s="1" t="n">
        <v>46136</v>
      </c>
      <c r="D827" t="inlineStr">
        <is>
          <t>KALMAR LÄN</t>
        </is>
      </c>
      <c r="E827" t="inlineStr">
        <is>
          <t>VIMMERBY</t>
        </is>
      </c>
      <c r="G827" t="n">
        <v>1.6</v>
      </c>
      <c r="H827" t="n">
        <v>0</v>
      </c>
      <c r="I827" t="n">
        <v>0</v>
      </c>
      <c r="J827" t="n">
        <v>0</v>
      </c>
      <c r="K827" t="n">
        <v>0</v>
      </c>
      <c r="L827" t="n">
        <v>0</v>
      </c>
      <c r="M827" t="n">
        <v>0</v>
      </c>
      <c r="N827" t="n">
        <v>0</v>
      </c>
      <c r="O827" t="n">
        <v>0</v>
      </c>
      <c r="P827" t="n">
        <v>0</v>
      </c>
      <c r="Q827" t="n">
        <v>0</v>
      </c>
      <c r="R827" s="2" t="inlineStr"/>
    </row>
    <row r="828" ht="15" customHeight="1">
      <c r="A828" t="inlineStr">
        <is>
          <t>A 41158-2023</t>
        </is>
      </c>
      <c r="B828" s="1" t="n">
        <v>45174.31395833333</v>
      </c>
      <c r="C828" s="1" t="n">
        <v>46136</v>
      </c>
      <c r="D828" t="inlineStr">
        <is>
          <t>KALMAR LÄN</t>
        </is>
      </c>
      <c r="E828" t="inlineStr">
        <is>
          <t>VIMMERBY</t>
        </is>
      </c>
      <c r="G828" t="n">
        <v>1.4</v>
      </c>
      <c r="H828" t="n">
        <v>0</v>
      </c>
      <c r="I828" t="n">
        <v>0</v>
      </c>
      <c r="J828" t="n">
        <v>0</v>
      </c>
      <c r="K828" t="n">
        <v>0</v>
      </c>
      <c r="L828" t="n">
        <v>0</v>
      </c>
      <c r="M828" t="n">
        <v>0</v>
      </c>
      <c r="N828" t="n">
        <v>0</v>
      </c>
      <c r="O828" t="n">
        <v>0</v>
      </c>
      <c r="P828" t="n">
        <v>0</v>
      </c>
      <c r="Q828" t="n">
        <v>0</v>
      </c>
      <c r="R828" s="2" t="inlineStr"/>
    </row>
    <row r="829" ht="15" customHeight="1">
      <c r="A829" t="inlineStr">
        <is>
          <t>A 22198-2024</t>
        </is>
      </c>
      <c r="B829" s="1" t="n">
        <v>45446.36865740741</v>
      </c>
      <c r="C829" s="1" t="n">
        <v>46136</v>
      </c>
      <c r="D829" t="inlineStr">
        <is>
          <t>KALMAR LÄN</t>
        </is>
      </c>
      <c r="E829" t="inlineStr">
        <is>
          <t>VIMMERBY</t>
        </is>
      </c>
      <c r="F829" t="inlineStr">
        <is>
          <t>Sveaskog</t>
        </is>
      </c>
      <c r="G829" t="n">
        <v>2.3</v>
      </c>
      <c r="H829" t="n">
        <v>0</v>
      </c>
      <c r="I829" t="n">
        <v>0</v>
      </c>
      <c r="J829" t="n">
        <v>0</v>
      </c>
      <c r="K829" t="n">
        <v>0</v>
      </c>
      <c r="L829" t="n">
        <v>0</v>
      </c>
      <c r="M829" t="n">
        <v>0</v>
      </c>
      <c r="N829" t="n">
        <v>0</v>
      </c>
      <c r="O829" t="n">
        <v>0</v>
      </c>
      <c r="P829" t="n">
        <v>0</v>
      </c>
      <c r="Q829" t="n">
        <v>0</v>
      </c>
      <c r="R829" s="2" t="inlineStr"/>
    </row>
    <row r="830" ht="15" customHeight="1">
      <c r="A830" t="inlineStr">
        <is>
          <t>A 9511-2023</t>
        </is>
      </c>
      <c r="B830" s="1" t="n">
        <v>44981.64725694444</v>
      </c>
      <c r="C830" s="1" t="n">
        <v>46136</v>
      </c>
      <c r="D830" t="inlineStr">
        <is>
          <t>KALMAR LÄN</t>
        </is>
      </c>
      <c r="E830" t="inlineStr">
        <is>
          <t>VIMMERBY</t>
        </is>
      </c>
      <c r="G830" t="n">
        <v>3.5</v>
      </c>
      <c r="H830" t="n">
        <v>0</v>
      </c>
      <c r="I830" t="n">
        <v>0</v>
      </c>
      <c r="J830" t="n">
        <v>0</v>
      </c>
      <c r="K830" t="n">
        <v>0</v>
      </c>
      <c r="L830" t="n">
        <v>0</v>
      </c>
      <c r="M830" t="n">
        <v>0</v>
      </c>
      <c r="N830" t="n">
        <v>0</v>
      </c>
      <c r="O830" t="n">
        <v>0</v>
      </c>
      <c r="P830" t="n">
        <v>0</v>
      </c>
      <c r="Q830" t="n">
        <v>0</v>
      </c>
      <c r="R830" s="2" t="inlineStr"/>
    </row>
    <row r="831" ht="15" customHeight="1">
      <c r="A831" t="inlineStr">
        <is>
          <t>A 34205-2023</t>
        </is>
      </c>
      <c r="B831" s="1" t="n">
        <v>45138</v>
      </c>
      <c r="C831" s="1" t="n">
        <v>46136</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57091-2022</t>
        </is>
      </c>
      <c r="B832" s="1" t="n">
        <v>44895.46524305556</v>
      </c>
      <c r="C832" s="1" t="n">
        <v>46136</v>
      </c>
      <c r="D832" t="inlineStr">
        <is>
          <t>KALMAR LÄN</t>
        </is>
      </c>
      <c r="E832" t="inlineStr">
        <is>
          <t>VIMMERBY</t>
        </is>
      </c>
      <c r="G832" t="n">
        <v>2.6</v>
      </c>
      <c r="H832" t="n">
        <v>0</v>
      </c>
      <c r="I832" t="n">
        <v>0</v>
      </c>
      <c r="J832" t="n">
        <v>0</v>
      </c>
      <c r="K832" t="n">
        <v>0</v>
      </c>
      <c r="L832" t="n">
        <v>0</v>
      </c>
      <c r="M832" t="n">
        <v>0</v>
      </c>
      <c r="N832" t="n">
        <v>0</v>
      </c>
      <c r="O832" t="n">
        <v>0</v>
      </c>
      <c r="P832" t="n">
        <v>0</v>
      </c>
      <c r="Q832" t="n">
        <v>0</v>
      </c>
      <c r="R832" s="2" t="inlineStr"/>
    </row>
    <row r="833" ht="15" customHeight="1">
      <c r="A833" t="inlineStr">
        <is>
          <t>A 2604-2025</t>
        </is>
      </c>
      <c r="B833" s="1" t="n">
        <v>45674.74094907408</v>
      </c>
      <c r="C833" s="1" t="n">
        <v>46136</v>
      </c>
      <c r="D833" t="inlineStr">
        <is>
          <t>KALMAR LÄN</t>
        </is>
      </c>
      <c r="E833" t="inlineStr">
        <is>
          <t>VIMMERBY</t>
        </is>
      </c>
      <c r="G833" t="n">
        <v>7.6</v>
      </c>
      <c r="H833" t="n">
        <v>0</v>
      </c>
      <c r="I833" t="n">
        <v>0</v>
      </c>
      <c r="J833" t="n">
        <v>0</v>
      </c>
      <c r="K833" t="n">
        <v>0</v>
      </c>
      <c r="L833" t="n">
        <v>0</v>
      </c>
      <c r="M833" t="n">
        <v>0</v>
      </c>
      <c r="N833" t="n">
        <v>0</v>
      </c>
      <c r="O833" t="n">
        <v>0</v>
      </c>
      <c r="P833" t="n">
        <v>0</v>
      </c>
      <c r="Q833" t="n">
        <v>0</v>
      </c>
      <c r="R833" s="2" t="inlineStr"/>
    </row>
    <row r="834" ht="15" customHeight="1">
      <c r="A834" t="inlineStr">
        <is>
          <t>A 6807-2025</t>
        </is>
      </c>
      <c r="B834" s="1" t="n">
        <v>45700.68672453704</v>
      </c>
      <c r="C834" s="1" t="n">
        <v>46136</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38851-2023</t>
        </is>
      </c>
      <c r="B835" s="1" t="n">
        <v>45163</v>
      </c>
      <c r="C835" s="1" t="n">
        <v>46136</v>
      </c>
      <c r="D835" t="inlineStr">
        <is>
          <t>KALMAR LÄN</t>
        </is>
      </c>
      <c r="E835" t="inlineStr">
        <is>
          <t>VIMMERBY</t>
        </is>
      </c>
      <c r="G835" t="n">
        <v>4.3</v>
      </c>
      <c r="H835" t="n">
        <v>0</v>
      </c>
      <c r="I835" t="n">
        <v>0</v>
      </c>
      <c r="J835" t="n">
        <v>0</v>
      </c>
      <c r="K835" t="n">
        <v>0</v>
      </c>
      <c r="L835" t="n">
        <v>0</v>
      </c>
      <c r="M835" t="n">
        <v>0</v>
      </c>
      <c r="N835" t="n">
        <v>0</v>
      </c>
      <c r="O835" t="n">
        <v>0</v>
      </c>
      <c r="P835" t="n">
        <v>0</v>
      </c>
      <c r="Q835" t="n">
        <v>0</v>
      </c>
      <c r="R835" s="2" t="inlineStr"/>
    </row>
    <row r="836" ht="15" customHeight="1">
      <c r="A836" t="inlineStr">
        <is>
          <t>A 23252-2024</t>
        </is>
      </c>
      <c r="B836" s="1" t="n">
        <v>45453.36067129629</v>
      </c>
      <c r="C836" s="1" t="n">
        <v>46136</v>
      </c>
      <c r="D836" t="inlineStr">
        <is>
          <t>KALMAR LÄN</t>
        </is>
      </c>
      <c r="E836" t="inlineStr">
        <is>
          <t>VIMMERBY</t>
        </is>
      </c>
      <c r="G836" t="n">
        <v>0.7</v>
      </c>
      <c r="H836" t="n">
        <v>0</v>
      </c>
      <c r="I836" t="n">
        <v>0</v>
      </c>
      <c r="J836" t="n">
        <v>0</v>
      </c>
      <c r="K836" t="n">
        <v>0</v>
      </c>
      <c r="L836" t="n">
        <v>0</v>
      </c>
      <c r="M836" t="n">
        <v>0</v>
      </c>
      <c r="N836" t="n">
        <v>0</v>
      </c>
      <c r="O836" t="n">
        <v>0</v>
      </c>
      <c r="P836" t="n">
        <v>0</v>
      </c>
      <c r="Q836" t="n">
        <v>0</v>
      </c>
      <c r="R836" s="2" t="inlineStr"/>
    </row>
    <row r="837" ht="15" customHeight="1">
      <c r="A837" t="inlineStr">
        <is>
          <t>A 5792-2023</t>
        </is>
      </c>
      <c r="B837" s="1" t="n">
        <v>44963.44769675926</v>
      </c>
      <c r="C837" s="1" t="n">
        <v>46136</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2797-2023</t>
        </is>
      </c>
      <c r="B838" s="1" t="n">
        <v>44944.71386574074</v>
      </c>
      <c r="C838" s="1" t="n">
        <v>46136</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2799-2023</t>
        </is>
      </c>
      <c r="B839" s="1" t="n">
        <v>44944.72100694444</v>
      </c>
      <c r="C839" s="1" t="n">
        <v>46136</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6220-2025</t>
        </is>
      </c>
      <c r="B840" s="1" t="n">
        <v>45698.53725694444</v>
      </c>
      <c r="C840" s="1" t="n">
        <v>46136</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58278-2023</t>
        </is>
      </c>
      <c r="B841" s="1" t="n">
        <v>45250.5278587963</v>
      </c>
      <c r="C841" s="1" t="n">
        <v>46136</v>
      </c>
      <c r="D841" t="inlineStr">
        <is>
          <t>KALMAR LÄN</t>
        </is>
      </c>
      <c r="E841" t="inlineStr">
        <is>
          <t>VIMMERBY</t>
        </is>
      </c>
      <c r="G841" t="n">
        <v>1.8</v>
      </c>
      <c r="H841" t="n">
        <v>0</v>
      </c>
      <c r="I841" t="n">
        <v>0</v>
      </c>
      <c r="J841" t="n">
        <v>0</v>
      </c>
      <c r="K841" t="n">
        <v>0</v>
      </c>
      <c r="L841" t="n">
        <v>0</v>
      </c>
      <c r="M841" t="n">
        <v>0</v>
      </c>
      <c r="N841" t="n">
        <v>0</v>
      </c>
      <c r="O841" t="n">
        <v>0</v>
      </c>
      <c r="P841" t="n">
        <v>0</v>
      </c>
      <c r="Q841" t="n">
        <v>0</v>
      </c>
      <c r="R841" s="2" t="inlineStr"/>
    </row>
    <row r="842" ht="15" customHeight="1">
      <c r="A842" t="inlineStr">
        <is>
          <t>A 36259-2022</t>
        </is>
      </c>
      <c r="B842" s="1" t="n">
        <v>44803.59118055556</v>
      </c>
      <c r="C842" s="1" t="n">
        <v>46136</v>
      </c>
      <c r="D842" t="inlineStr">
        <is>
          <t>KALMAR LÄN</t>
        </is>
      </c>
      <c r="E842" t="inlineStr">
        <is>
          <t>VIMMERBY</t>
        </is>
      </c>
      <c r="G842" t="n">
        <v>3.9</v>
      </c>
      <c r="H842" t="n">
        <v>0</v>
      </c>
      <c r="I842" t="n">
        <v>0</v>
      </c>
      <c r="J842" t="n">
        <v>0</v>
      </c>
      <c r="K842" t="n">
        <v>0</v>
      </c>
      <c r="L842" t="n">
        <v>0</v>
      </c>
      <c r="M842" t="n">
        <v>0</v>
      </c>
      <c r="N842" t="n">
        <v>0</v>
      </c>
      <c r="O842" t="n">
        <v>0</v>
      </c>
      <c r="P842" t="n">
        <v>0</v>
      </c>
      <c r="Q842" t="n">
        <v>0</v>
      </c>
      <c r="R842" s="2" t="inlineStr"/>
    </row>
    <row r="843" ht="15" customHeight="1">
      <c r="A843" t="inlineStr">
        <is>
          <t>A 36526-2023</t>
        </is>
      </c>
      <c r="B843" s="1" t="n">
        <v>45153.32778935185</v>
      </c>
      <c r="C843" s="1" t="n">
        <v>46136</v>
      </c>
      <c r="D843" t="inlineStr">
        <is>
          <t>KALMAR LÄN</t>
        </is>
      </c>
      <c r="E843" t="inlineStr">
        <is>
          <t>VIMMERBY</t>
        </is>
      </c>
      <c r="G843" t="n">
        <v>2.7</v>
      </c>
      <c r="H843" t="n">
        <v>0</v>
      </c>
      <c r="I843" t="n">
        <v>0</v>
      </c>
      <c r="J843" t="n">
        <v>0</v>
      </c>
      <c r="K843" t="n">
        <v>0</v>
      </c>
      <c r="L843" t="n">
        <v>0</v>
      </c>
      <c r="M843" t="n">
        <v>0</v>
      </c>
      <c r="N843" t="n">
        <v>0</v>
      </c>
      <c r="O843" t="n">
        <v>0</v>
      </c>
      <c r="P843" t="n">
        <v>0</v>
      </c>
      <c r="Q843" t="n">
        <v>0</v>
      </c>
      <c r="R843" s="2" t="inlineStr"/>
    </row>
    <row r="844" ht="15" customHeight="1">
      <c r="A844" t="inlineStr">
        <is>
          <t>A 17988-2025</t>
        </is>
      </c>
      <c r="B844" s="1" t="n">
        <v>45761.39600694444</v>
      </c>
      <c r="C844" s="1" t="n">
        <v>46136</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29350-2023</t>
        </is>
      </c>
      <c r="B845" s="1" t="n">
        <v>45106</v>
      </c>
      <c r="C845" s="1" t="n">
        <v>46136</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29351-2023</t>
        </is>
      </c>
      <c r="B846" s="1" t="n">
        <v>45106.2610300926</v>
      </c>
      <c r="C846" s="1" t="n">
        <v>46136</v>
      </c>
      <c r="D846" t="inlineStr">
        <is>
          <t>KALMAR LÄN</t>
        </is>
      </c>
      <c r="E846" t="inlineStr">
        <is>
          <t>VIMMERBY</t>
        </is>
      </c>
      <c r="G846" t="n">
        <v>0.4</v>
      </c>
      <c r="H846" t="n">
        <v>0</v>
      </c>
      <c r="I846" t="n">
        <v>0</v>
      </c>
      <c r="J846" t="n">
        <v>0</v>
      </c>
      <c r="K846" t="n">
        <v>0</v>
      </c>
      <c r="L846" t="n">
        <v>0</v>
      </c>
      <c r="M846" t="n">
        <v>0</v>
      </c>
      <c r="N846" t="n">
        <v>0</v>
      </c>
      <c r="O846" t="n">
        <v>0</v>
      </c>
      <c r="P846" t="n">
        <v>0</v>
      </c>
      <c r="Q846" t="n">
        <v>0</v>
      </c>
      <c r="R846" s="2" t="inlineStr"/>
    </row>
    <row r="847" ht="15" customHeight="1">
      <c r="A847" t="inlineStr">
        <is>
          <t>A 6474-2025</t>
        </is>
      </c>
      <c r="B847" s="1" t="n">
        <v>45699.60055555555</v>
      </c>
      <c r="C847" s="1" t="n">
        <v>46136</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17-2025</t>
        </is>
      </c>
      <c r="B848" s="1" t="n">
        <v>45658.78774305555</v>
      </c>
      <c r="C848" s="1" t="n">
        <v>46136</v>
      </c>
      <c r="D848" t="inlineStr">
        <is>
          <t>KALMAR LÄN</t>
        </is>
      </c>
      <c r="E848" t="inlineStr">
        <is>
          <t>VIMMERBY</t>
        </is>
      </c>
      <c r="G848" t="n">
        <v>4.4</v>
      </c>
      <c r="H848" t="n">
        <v>0</v>
      </c>
      <c r="I848" t="n">
        <v>0</v>
      </c>
      <c r="J848" t="n">
        <v>0</v>
      </c>
      <c r="K848" t="n">
        <v>0</v>
      </c>
      <c r="L848" t="n">
        <v>0</v>
      </c>
      <c r="M848" t="n">
        <v>0</v>
      </c>
      <c r="N848" t="n">
        <v>0</v>
      </c>
      <c r="O848" t="n">
        <v>0</v>
      </c>
      <c r="P848" t="n">
        <v>0</v>
      </c>
      <c r="Q848" t="n">
        <v>0</v>
      </c>
      <c r="R848" s="2" t="inlineStr"/>
    </row>
    <row r="849" ht="15" customHeight="1">
      <c r="A849" t="inlineStr">
        <is>
          <t>A 57555-2024</t>
        </is>
      </c>
      <c r="B849" s="1" t="n">
        <v>45630.45069444444</v>
      </c>
      <c r="C849" s="1" t="n">
        <v>46136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52279-2023</t>
        </is>
      </c>
      <c r="B850" s="1" t="n">
        <v>45224</v>
      </c>
      <c r="C850" s="1" t="n">
        <v>46136</v>
      </c>
      <c r="D850" t="inlineStr">
        <is>
          <t>KALMAR LÄN</t>
        </is>
      </c>
      <c r="E850" t="inlineStr">
        <is>
          <t>VIMMERBY</t>
        </is>
      </c>
      <c r="G850" t="n">
        <v>1.8</v>
      </c>
      <c r="H850" t="n">
        <v>0</v>
      </c>
      <c r="I850" t="n">
        <v>0</v>
      </c>
      <c r="J850" t="n">
        <v>0</v>
      </c>
      <c r="K850" t="n">
        <v>0</v>
      </c>
      <c r="L850" t="n">
        <v>0</v>
      </c>
      <c r="M850" t="n">
        <v>0</v>
      </c>
      <c r="N850" t="n">
        <v>0</v>
      </c>
      <c r="O850" t="n">
        <v>0</v>
      </c>
      <c r="P850" t="n">
        <v>0</v>
      </c>
      <c r="Q850" t="n">
        <v>0</v>
      </c>
      <c r="R850" s="2" t="inlineStr"/>
    </row>
    <row r="851" ht="15" customHeight="1">
      <c r="A851" t="inlineStr">
        <is>
          <t>A 52324-2023</t>
        </is>
      </c>
      <c r="B851" s="1" t="n">
        <v>45224.64659722222</v>
      </c>
      <c r="C851" s="1" t="n">
        <v>46136</v>
      </c>
      <c r="D851" t="inlineStr">
        <is>
          <t>KALMAR LÄN</t>
        </is>
      </c>
      <c r="E851" t="inlineStr">
        <is>
          <t>VIMMERBY</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32639-2023</t>
        </is>
      </c>
      <c r="B852" s="1" t="n">
        <v>45121.5965162037</v>
      </c>
      <c r="C852" s="1" t="n">
        <v>46136</v>
      </c>
      <c r="D852" t="inlineStr">
        <is>
          <t>KALMAR LÄN</t>
        </is>
      </c>
      <c r="E852" t="inlineStr">
        <is>
          <t>VIMMERBY</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32642-2023</t>
        </is>
      </c>
      <c r="B853" s="1" t="n">
        <v>45121.59954861111</v>
      </c>
      <c r="C853" s="1" t="n">
        <v>46136</v>
      </c>
      <c r="D853" t="inlineStr">
        <is>
          <t>KALMAR LÄN</t>
        </is>
      </c>
      <c r="E853" t="inlineStr">
        <is>
          <t>VIMMERBY</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32651-2023</t>
        </is>
      </c>
      <c r="B854" s="1" t="n">
        <v>45121.6096875</v>
      </c>
      <c r="C854" s="1" t="n">
        <v>46136</v>
      </c>
      <c r="D854" t="inlineStr">
        <is>
          <t>KALMAR LÄN</t>
        </is>
      </c>
      <c r="E854" t="inlineStr">
        <is>
          <t>VIMMERBY</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40730-2024</t>
        </is>
      </c>
      <c r="B855" s="1" t="n">
        <v>45558.44914351852</v>
      </c>
      <c r="C855" s="1" t="n">
        <v>46136</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9643-2023</t>
        </is>
      </c>
      <c r="B856" s="1" t="n">
        <v>44984</v>
      </c>
      <c r="C856" s="1" t="n">
        <v>46136</v>
      </c>
      <c r="D856" t="inlineStr">
        <is>
          <t>KALMAR LÄN</t>
        </is>
      </c>
      <c r="E856" t="inlineStr">
        <is>
          <t>VIMMERBY</t>
        </is>
      </c>
      <c r="G856" t="n">
        <v>2</v>
      </c>
      <c r="H856" t="n">
        <v>0</v>
      </c>
      <c r="I856" t="n">
        <v>0</v>
      </c>
      <c r="J856" t="n">
        <v>0</v>
      </c>
      <c r="K856" t="n">
        <v>0</v>
      </c>
      <c r="L856" t="n">
        <v>0</v>
      </c>
      <c r="M856" t="n">
        <v>0</v>
      </c>
      <c r="N856" t="n">
        <v>0</v>
      </c>
      <c r="O856" t="n">
        <v>0</v>
      </c>
      <c r="P856" t="n">
        <v>0</v>
      </c>
      <c r="Q856" t="n">
        <v>0</v>
      </c>
      <c r="R856" s="2" t="inlineStr"/>
    </row>
    <row r="857" ht="15" customHeight="1">
      <c r="A857" t="inlineStr">
        <is>
          <t>A 56213-2024</t>
        </is>
      </c>
      <c r="B857" s="1" t="n">
        <v>45624.60141203704</v>
      </c>
      <c r="C857" s="1" t="n">
        <v>46136</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20126-2024</t>
        </is>
      </c>
      <c r="B858" s="1" t="n">
        <v>45434.55471064815</v>
      </c>
      <c r="C858" s="1" t="n">
        <v>46136</v>
      </c>
      <c r="D858" t="inlineStr">
        <is>
          <t>KALMAR LÄN</t>
        </is>
      </c>
      <c r="E858" t="inlineStr">
        <is>
          <t>VIMMERBY</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19865-2021</t>
        </is>
      </c>
      <c r="B859" s="1" t="n">
        <v>44312</v>
      </c>
      <c r="C859" s="1" t="n">
        <v>46136</v>
      </c>
      <c r="D859" t="inlineStr">
        <is>
          <t>KALMAR LÄN</t>
        </is>
      </c>
      <c r="E859" t="inlineStr">
        <is>
          <t>VIMMERBY</t>
        </is>
      </c>
      <c r="G859" t="n">
        <v>8.6</v>
      </c>
      <c r="H859" t="n">
        <v>0</v>
      </c>
      <c r="I859" t="n">
        <v>0</v>
      </c>
      <c r="J859" t="n">
        <v>0</v>
      </c>
      <c r="K859" t="n">
        <v>0</v>
      </c>
      <c r="L859" t="n">
        <v>0</v>
      </c>
      <c r="M859" t="n">
        <v>0</v>
      </c>
      <c r="N859" t="n">
        <v>0</v>
      </c>
      <c r="O859" t="n">
        <v>0</v>
      </c>
      <c r="P859" t="n">
        <v>0</v>
      </c>
      <c r="Q859" t="n">
        <v>0</v>
      </c>
      <c r="R859" s="2" t="inlineStr"/>
    </row>
    <row r="860" ht="15" customHeight="1">
      <c r="A860" t="inlineStr">
        <is>
          <t>A 9694-2023</t>
        </is>
      </c>
      <c r="B860" s="1" t="n">
        <v>44984.45895833334</v>
      </c>
      <c r="C860" s="1" t="n">
        <v>46136</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9710-2023</t>
        </is>
      </c>
      <c r="B861" s="1" t="n">
        <v>44984</v>
      </c>
      <c r="C861" s="1" t="n">
        <v>46136</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46136</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7944-2024</t>
        </is>
      </c>
      <c r="B863" s="1" t="n">
        <v>45350.53306712963</v>
      </c>
      <c r="C863" s="1" t="n">
        <v>46136</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598-2025</t>
        </is>
      </c>
      <c r="B864" s="1" t="n">
        <v>45660</v>
      </c>
      <c r="C864" s="1" t="n">
        <v>46136</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10807-2024</t>
        </is>
      </c>
      <c r="B865" s="1" t="n">
        <v>45369.62780092593</v>
      </c>
      <c r="C865" s="1" t="n">
        <v>46136</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40260-2024</t>
        </is>
      </c>
      <c r="B866" s="1" t="n">
        <v>45554.63225694445</v>
      </c>
      <c r="C866" s="1" t="n">
        <v>46136</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10787-2025</t>
        </is>
      </c>
      <c r="B867" s="1" t="n">
        <v>45722.48915509259</v>
      </c>
      <c r="C867" s="1" t="n">
        <v>46136</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58577-2024</t>
        </is>
      </c>
      <c r="B868" s="1" t="n">
        <v>45635.4874537037</v>
      </c>
      <c r="C868" s="1" t="n">
        <v>46136</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38198-2024</t>
        </is>
      </c>
      <c r="B869" s="1" t="n">
        <v>45545.49508101852</v>
      </c>
      <c r="C869" s="1" t="n">
        <v>46136</v>
      </c>
      <c r="D869" t="inlineStr">
        <is>
          <t>KALMAR LÄN</t>
        </is>
      </c>
      <c r="E869" t="inlineStr">
        <is>
          <t>VIMMERBY</t>
        </is>
      </c>
      <c r="G869" t="n">
        <v>7.9</v>
      </c>
      <c r="H869" t="n">
        <v>0</v>
      </c>
      <c r="I869" t="n">
        <v>0</v>
      </c>
      <c r="J869" t="n">
        <v>0</v>
      </c>
      <c r="K869" t="n">
        <v>0</v>
      </c>
      <c r="L869" t="n">
        <v>0</v>
      </c>
      <c r="M869" t="n">
        <v>0</v>
      </c>
      <c r="N869" t="n">
        <v>0</v>
      </c>
      <c r="O869" t="n">
        <v>0</v>
      </c>
      <c r="P869" t="n">
        <v>0</v>
      </c>
      <c r="Q869" t="n">
        <v>0</v>
      </c>
      <c r="R869" s="2" t="inlineStr"/>
    </row>
    <row r="870" ht="15" customHeight="1">
      <c r="A870" t="inlineStr">
        <is>
          <t>A 43617-2024</t>
        </is>
      </c>
      <c r="B870" s="1" t="n">
        <v>45569.47494212963</v>
      </c>
      <c r="C870" s="1" t="n">
        <v>46136</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45070.3665625</v>
      </c>
      <c r="C871" s="1" t="n">
        <v>46136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22266-2023</t>
        </is>
      </c>
      <c r="B872" s="1" t="n">
        <v>45070</v>
      </c>
      <c r="C872" s="1" t="n">
        <v>46136</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50091-2023</t>
        </is>
      </c>
      <c r="B873" s="1" t="n">
        <v>45215.60199074074</v>
      </c>
      <c r="C873" s="1" t="n">
        <v>46136</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10303-2025</t>
        </is>
      </c>
      <c r="B874" s="1" t="n">
        <v>45720.44217592593</v>
      </c>
      <c r="C874" s="1" t="n">
        <v>46136</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11027-2023</t>
        </is>
      </c>
      <c r="B875" s="1" t="n">
        <v>44991.89657407408</v>
      </c>
      <c r="C875" s="1" t="n">
        <v>46136</v>
      </c>
      <c r="D875" t="inlineStr">
        <is>
          <t>KALMAR LÄN</t>
        </is>
      </c>
      <c r="E875" t="inlineStr">
        <is>
          <t>VIMMERBY</t>
        </is>
      </c>
      <c r="G875" t="n">
        <v>0.8</v>
      </c>
      <c r="H875" t="n">
        <v>0</v>
      </c>
      <c r="I875" t="n">
        <v>0</v>
      </c>
      <c r="J875" t="n">
        <v>0</v>
      </c>
      <c r="K875" t="n">
        <v>0</v>
      </c>
      <c r="L875" t="n">
        <v>0</v>
      </c>
      <c r="M875" t="n">
        <v>0</v>
      </c>
      <c r="N875" t="n">
        <v>0</v>
      </c>
      <c r="O875" t="n">
        <v>0</v>
      </c>
      <c r="P875" t="n">
        <v>0</v>
      </c>
      <c r="Q875" t="n">
        <v>0</v>
      </c>
      <c r="R875" s="2" t="inlineStr"/>
    </row>
    <row r="876" ht="15" customHeight="1">
      <c r="A876" t="inlineStr">
        <is>
          <t>A 11661-2023</t>
        </is>
      </c>
      <c r="B876" s="1" t="n">
        <v>44994.46908564815</v>
      </c>
      <c r="C876" s="1" t="n">
        <v>46136</v>
      </c>
      <c r="D876" t="inlineStr">
        <is>
          <t>KALMAR LÄN</t>
        </is>
      </c>
      <c r="E876" t="inlineStr">
        <is>
          <t>VIMMERBY</t>
        </is>
      </c>
      <c r="G876" t="n">
        <v>2.7</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46136</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46136</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63950-2023</t>
        </is>
      </c>
      <c r="B879" s="1" t="n">
        <v>45278</v>
      </c>
      <c r="C879" s="1" t="n">
        <v>46136</v>
      </c>
      <c r="D879" t="inlineStr">
        <is>
          <t>KALMAR LÄN</t>
        </is>
      </c>
      <c r="E879" t="inlineStr">
        <is>
          <t>VIMMERBY</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24096-2024</t>
        </is>
      </c>
      <c r="B880" s="1" t="n">
        <v>45456.59289351852</v>
      </c>
      <c r="C880" s="1" t="n">
        <v>46136</v>
      </c>
      <c r="D880" t="inlineStr">
        <is>
          <t>KALMAR LÄN</t>
        </is>
      </c>
      <c r="E880" t="inlineStr">
        <is>
          <t>VIMMERBY</t>
        </is>
      </c>
      <c r="G880" t="n">
        <v>2.3</v>
      </c>
      <c r="H880" t="n">
        <v>0</v>
      </c>
      <c r="I880" t="n">
        <v>0</v>
      </c>
      <c r="J880" t="n">
        <v>0</v>
      </c>
      <c r="K880" t="n">
        <v>0</v>
      </c>
      <c r="L880" t="n">
        <v>0</v>
      </c>
      <c r="M880" t="n">
        <v>0</v>
      </c>
      <c r="N880" t="n">
        <v>0</v>
      </c>
      <c r="O880" t="n">
        <v>0</v>
      </c>
      <c r="P880" t="n">
        <v>0</v>
      </c>
      <c r="Q880" t="n">
        <v>0</v>
      </c>
      <c r="R880" s="2" t="inlineStr"/>
    </row>
    <row r="881" ht="15" customHeight="1">
      <c r="A881" t="inlineStr">
        <is>
          <t>A 13015-2023</t>
        </is>
      </c>
      <c r="B881" s="1" t="n">
        <v>45002</v>
      </c>
      <c r="C881" s="1" t="n">
        <v>46136</v>
      </c>
      <c r="D881" t="inlineStr">
        <is>
          <t>KALMAR LÄN</t>
        </is>
      </c>
      <c r="E881" t="inlineStr">
        <is>
          <t>VIMMERBY</t>
        </is>
      </c>
      <c r="G881" t="n">
        <v>3.2</v>
      </c>
      <c r="H881" t="n">
        <v>0</v>
      </c>
      <c r="I881" t="n">
        <v>0</v>
      </c>
      <c r="J881" t="n">
        <v>0</v>
      </c>
      <c r="K881" t="n">
        <v>0</v>
      </c>
      <c r="L881" t="n">
        <v>0</v>
      </c>
      <c r="M881" t="n">
        <v>0</v>
      </c>
      <c r="N881" t="n">
        <v>0</v>
      </c>
      <c r="O881" t="n">
        <v>0</v>
      </c>
      <c r="P881" t="n">
        <v>0</v>
      </c>
      <c r="Q881" t="n">
        <v>0</v>
      </c>
      <c r="R881" s="2" t="inlineStr"/>
    </row>
    <row r="882" ht="15" customHeight="1">
      <c r="A882" t="inlineStr">
        <is>
          <t>A 41199-2023</t>
        </is>
      </c>
      <c r="B882" s="1" t="n">
        <v>45174.40454861111</v>
      </c>
      <c r="C882" s="1" t="n">
        <v>46136</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46136</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46136</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6321-2023</t>
        </is>
      </c>
      <c r="B885" s="1" t="n">
        <v>44965.4815162037</v>
      </c>
      <c r="C885" s="1" t="n">
        <v>46136</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52755-2022</t>
        </is>
      </c>
      <c r="B886" s="1" t="n">
        <v>44875.27736111111</v>
      </c>
      <c r="C886" s="1" t="n">
        <v>46136</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40823-2023</t>
        </is>
      </c>
      <c r="B887" s="1" t="n">
        <v>45171.77335648148</v>
      </c>
      <c r="C887" s="1" t="n">
        <v>46136</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27761-2024</t>
        </is>
      </c>
      <c r="B888" s="1" t="n">
        <v>45475.49018518518</v>
      </c>
      <c r="C888" s="1" t="n">
        <v>46136</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46136</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64203-2021</t>
        </is>
      </c>
      <c r="B890" s="1" t="n">
        <v>44510.60921296296</v>
      </c>
      <c r="C890" s="1" t="n">
        <v>46136</v>
      </c>
      <c r="D890" t="inlineStr">
        <is>
          <t>KALMAR LÄN</t>
        </is>
      </c>
      <c r="E890" t="inlineStr">
        <is>
          <t>VIMMERBY</t>
        </is>
      </c>
      <c r="F890" t="inlineStr">
        <is>
          <t>Övriga Aktiebolag</t>
        </is>
      </c>
      <c r="G890" t="n">
        <v>5.4</v>
      </c>
      <c r="H890" t="n">
        <v>0</v>
      </c>
      <c r="I890" t="n">
        <v>0</v>
      </c>
      <c r="J890" t="n">
        <v>0</v>
      </c>
      <c r="K890" t="n">
        <v>0</v>
      </c>
      <c r="L890" t="n">
        <v>0</v>
      </c>
      <c r="M890" t="n">
        <v>0</v>
      </c>
      <c r="N890" t="n">
        <v>0</v>
      </c>
      <c r="O890" t="n">
        <v>0</v>
      </c>
      <c r="P890" t="n">
        <v>0</v>
      </c>
      <c r="Q890" t="n">
        <v>0</v>
      </c>
      <c r="R890" s="2" t="inlineStr"/>
    </row>
    <row r="891" ht="15" customHeight="1">
      <c r="A891" t="inlineStr">
        <is>
          <t>A 1016-2024</t>
        </is>
      </c>
      <c r="B891" s="1" t="n">
        <v>45301</v>
      </c>
      <c r="C891" s="1" t="n">
        <v>46136</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1024-2024</t>
        </is>
      </c>
      <c r="B892" s="1" t="n">
        <v>45301.68237268519</v>
      </c>
      <c r="C892" s="1" t="n">
        <v>46136</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27758-2024</t>
        </is>
      </c>
      <c r="B893" s="1" t="n">
        <v>45475.48303240741</v>
      </c>
      <c r="C893" s="1" t="n">
        <v>46136</v>
      </c>
      <c r="D893" t="inlineStr">
        <is>
          <t>KALMAR LÄN</t>
        </is>
      </c>
      <c r="E893" t="inlineStr">
        <is>
          <t>VIMMERBY</t>
        </is>
      </c>
      <c r="G893" t="n">
        <v>2.6</v>
      </c>
      <c r="H893" t="n">
        <v>0</v>
      </c>
      <c r="I893" t="n">
        <v>0</v>
      </c>
      <c r="J893" t="n">
        <v>0</v>
      </c>
      <c r="K893" t="n">
        <v>0</v>
      </c>
      <c r="L893" t="n">
        <v>0</v>
      </c>
      <c r="M893" t="n">
        <v>0</v>
      </c>
      <c r="N893" t="n">
        <v>0</v>
      </c>
      <c r="O893" t="n">
        <v>0</v>
      </c>
      <c r="P893" t="n">
        <v>0</v>
      </c>
      <c r="Q893" t="n">
        <v>0</v>
      </c>
      <c r="R893" s="2" t="inlineStr"/>
    </row>
    <row r="894" ht="15" customHeight="1">
      <c r="A894" t="inlineStr">
        <is>
          <t>A 32865-2023</t>
        </is>
      </c>
      <c r="B894" s="1" t="n">
        <v>45124</v>
      </c>
      <c r="C894" s="1" t="n">
        <v>46136</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22194-2024</t>
        </is>
      </c>
      <c r="B895" s="1" t="n">
        <v>45446.36482638889</v>
      </c>
      <c r="C895" s="1" t="n">
        <v>46136</v>
      </c>
      <c r="D895" t="inlineStr">
        <is>
          <t>KALMAR LÄN</t>
        </is>
      </c>
      <c r="E895" t="inlineStr">
        <is>
          <t>VIMMERBY</t>
        </is>
      </c>
      <c r="F895" t="inlineStr">
        <is>
          <t>Sveaskog</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17926-2025</t>
        </is>
      </c>
      <c r="B896" s="1" t="n">
        <v>45759.38987268518</v>
      </c>
      <c r="C896" s="1" t="n">
        <v>46136</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35127-2024</t>
        </is>
      </c>
      <c r="B897" s="1" t="n">
        <v>45530.33202546297</v>
      </c>
      <c r="C897" s="1" t="n">
        <v>46136</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33383-2023</t>
        </is>
      </c>
      <c r="B898" s="1" t="n">
        <v>45128.58414351852</v>
      </c>
      <c r="C898" s="1" t="n">
        <v>46136</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4297-2022</t>
        </is>
      </c>
      <c r="B899" s="1" t="n">
        <v>44588</v>
      </c>
      <c r="C899" s="1" t="n">
        <v>46136</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55716-2023</t>
        </is>
      </c>
      <c r="B900" s="1" t="n">
        <v>45232</v>
      </c>
      <c r="C900" s="1" t="n">
        <v>46136</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34386-2024</t>
        </is>
      </c>
      <c r="B901" s="1" t="n">
        <v>45525.41762731481</v>
      </c>
      <c r="C901" s="1" t="n">
        <v>46136</v>
      </c>
      <c r="D901" t="inlineStr">
        <is>
          <t>KALMAR LÄN</t>
        </is>
      </c>
      <c r="E901" t="inlineStr">
        <is>
          <t>VIMMERBY</t>
        </is>
      </c>
      <c r="G901" t="n">
        <v>0.3</v>
      </c>
      <c r="H901" t="n">
        <v>0</v>
      </c>
      <c r="I901" t="n">
        <v>0</v>
      </c>
      <c r="J901" t="n">
        <v>0</v>
      </c>
      <c r="K901" t="n">
        <v>0</v>
      </c>
      <c r="L901" t="n">
        <v>0</v>
      </c>
      <c r="M901" t="n">
        <v>0</v>
      </c>
      <c r="N901" t="n">
        <v>0</v>
      </c>
      <c r="O901" t="n">
        <v>0</v>
      </c>
      <c r="P901" t="n">
        <v>0</v>
      </c>
      <c r="Q901" t="n">
        <v>0</v>
      </c>
      <c r="R901" s="2" t="inlineStr"/>
    </row>
    <row r="902" ht="15" customHeight="1">
      <c r="A902" t="inlineStr">
        <is>
          <t>A 42429-2024</t>
        </is>
      </c>
      <c r="B902" s="1" t="n">
        <v>45565.40657407408</v>
      </c>
      <c r="C902" s="1" t="n">
        <v>46136</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11946-2025</t>
        </is>
      </c>
      <c r="B903" s="1" t="n">
        <v>45728.54832175926</v>
      </c>
      <c r="C903" s="1" t="n">
        <v>46136</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59943-2023</t>
        </is>
      </c>
      <c r="B904" s="1" t="n">
        <v>45257.67958333333</v>
      </c>
      <c r="C904" s="1" t="n">
        <v>46136</v>
      </c>
      <c r="D904" t="inlineStr">
        <is>
          <t>KALMAR LÄN</t>
        </is>
      </c>
      <c r="E904" t="inlineStr">
        <is>
          <t>VIMMERBY</t>
        </is>
      </c>
      <c r="G904" t="n">
        <v>6.4</v>
      </c>
      <c r="H904" t="n">
        <v>0</v>
      </c>
      <c r="I904" t="n">
        <v>0</v>
      </c>
      <c r="J904" t="n">
        <v>0</v>
      </c>
      <c r="K904" t="n">
        <v>0</v>
      </c>
      <c r="L904" t="n">
        <v>0</v>
      </c>
      <c r="M904" t="n">
        <v>0</v>
      </c>
      <c r="N904" t="n">
        <v>0</v>
      </c>
      <c r="O904" t="n">
        <v>0</v>
      </c>
      <c r="P904" t="n">
        <v>0</v>
      </c>
      <c r="Q904" t="n">
        <v>0</v>
      </c>
      <c r="R904" s="2" t="inlineStr"/>
    </row>
    <row r="905" ht="15" customHeight="1">
      <c r="A905" t="inlineStr">
        <is>
          <t>A 15493-2023</t>
        </is>
      </c>
      <c r="B905" s="1" t="n">
        <v>45018</v>
      </c>
      <c r="C905" s="1" t="n">
        <v>46136</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51881-2024</t>
        </is>
      </c>
      <c r="B906" s="1" t="n">
        <v>45607.56773148148</v>
      </c>
      <c r="C906" s="1" t="n">
        <v>46136</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1021-2024</t>
        </is>
      </c>
      <c r="B907" s="1" t="n">
        <v>45301.67736111111</v>
      </c>
      <c r="C907" s="1" t="n">
        <v>46136</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32569-2024</t>
        </is>
      </c>
      <c r="B908" s="1" t="n">
        <v>45513.55840277778</v>
      </c>
      <c r="C908" s="1" t="n">
        <v>46136</v>
      </c>
      <c r="D908" t="inlineStr">
        <is>
          <t>KALMAR LÄN</t>
        </is>
      </c>
      <c r="E908" t="inlineStr">
        <is>
          <t>VIMMERBY</t>
        </is>
      </c>
      <c r="G908" t="n">
        <v>3.7</v>
      </c>
      <c r="H908" t="n">
        <v>0</v>
      </c>
      <c r="I908" t="n">
        <v>0</v>
      </c>
      <c r="J908" t="n">
        <v>0</v>
      </c>
      <c r="K908" t="n">
        <v>0</v>
      </c>
      <c r="L908" t="n">
        <v>0</v>
      </c>
      <c r="M908" t="n">
        <v>0</v>
      </c>
      <c r="N908" t="n">
        <v>0</v>
      </c>
      <c r="O908" t="n">
        <v>0</v>
      </c>
      <c r="P908" t="n">
        <v>0</v>
      </c>
      <c r="Q908" t="n">
        <v>0</v>
      </c>
      <c r="R908" s="2" t="inlineStr"/>
    </row>
    <row r="909" ht="15" customHeight="1">
      <c r="A909" t="inlineStr">
        <is>
          <t>A 32575-2024</t>
        </is>
      </c>
      <c r="B909" s="1" t="n">
        <v>45513.56527777778</v>
      </c>
      <c r="C909" s="1" t="n">
        <v>46136</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30063-2023</t>
        </is>
      </c>
      <c r="B910" s="1" t="n">
        <v>45110.4184375</v>
      </c>
      <c r="C910" s="1" t="n">
        <v>46136</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17482-2024</t>
        </is>
      </c>
      <c r="B911" s="1" t="n">
        <v>45415.47848379629</v>
      </c>
      <c r="C911" s="1" t="n">
        <v>46136</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13817-2024</t>
        </is>
      </c>
      <c r="B912" s="1" t="n">
        <v>45391.41976851852</v>
      </c>
      <c r="C912" s="1" t="n">
        <v>46136</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30406-2023</t>
        </is>
      </c>
      <c r="B913" s="1" t="n">
        <v>45111.48787037037</v>
      </c>
      <c r="C913" s="1" t="n">
        <v>46136</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29020-2024</t>
        </is>
      </c>
      <c r="B914" s="1" t="n">
        <v>45481.58048611111</v>
      </c>
      <c r="C914" s="1" t="n">
        <v>46136</v>
      </c>
      <c r="D914" t="inlineStr">
        <is>
          <t>KALMAR LÄN</t>
        </is>
      </c>
      <c r="E914" t="inlineStr">
        <is>
          <t>VIMMERBY</t>
        </is>
      </c>
      <c r="G914" t="n">
        <v>2.3</v>
      </c>
      <c r="H914" t="n">
        <v>0</v>
      </c>
      <c r="I914" t="n">
        <v>0</v>
      </c>
      <c r="J914" t="n">
        <v>0</v>
      </c>
      <c r="K914" t="n">
        <v>0</v>
      </c>
      <c r="L914" t="n">
        <v>0</v>
      </c>
      <c r="M914" t="n">
        <v>0</v>
      </c>
      <c r="N914" t="n">
        <v>0</v>
      </c>
      <c r="O914" t="n">
        <v>0</v>
      </c>
      <c r="P914" t="n">
        <v>0</v>
      </c>
      <c r="Q914" t="n">
        <v>0</v>
      </c>
      <c r="R914" s="2" t="inlineStr"/>
    </row>
    <row r="915" ht="15" customHeight="1">
      <c r="A915" t="inlineStr">
        <is>
          <t>A 25582-2024</t>
        </is>
      </c>
      <c r="B915" s="1" t="n">
        <v>45463</v>
      </c>
      <c r="C915" s="1" t="n">
        <v>46136</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57578-2024</t>
        </is>
      </c>
      <c r="B916" s="1" t="n">
        <v>45630.47564814815</v>
      </c>
      <c r="C916" s="1" t="n">
        <v>46136</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22399-2025</t>
        </is>
      </c>
      <c r="B917" s="1" t="n">
        <v>45786.52996527778</v>
      </c>
      <c r="C917" s="1" t="n">
        <v>46136</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22397-2025</t>
        </is>
      </c>
      <c r="B918" s="1" t="n">
        <v>45786.52878472222</v>
      </c>
      <c r="C918" s="1" t="n">
        <v>46136</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11442-2025</t>
        </is>
      </c>
      <c r="B919" s="1" t="n">
        <v>45726.62721064815</v>
      </c>
      <c r="C919" s="1" t="n">
        <v>46136</v>
      </c>
      <c r="D919" t="inlineStr">
        <is>
          <t>KALMAR LÄN</t>
        </is>
      </c>
      <c r="E919" t="inlineStr">
        <is>
          <t>VIMMERBY</t>
        </is>
      </c>
      <c r="G919" t="n">
        <v>2.6</v>
      </c>
      <c r="H919" t="n">
        <v>0</v>
      </c>
      <c r="I919" t="n">
        <v>0</v>
      </c>
      <c r="J919" t="n">
        <v>0</v>
      </c>
      <c r="K919" t="n">
        <v>0</v>
      </c>
      <c r="L919" t="n">
        <v>0</v>
      </c>
      <c r="M919" t="n">
        <v>0</v>
      </c>
      <c r="N919" t="n">
        <v>0</v>
      </c>
      <c r="O919" t="n">
        <v>0</v>
      </c>
      <c r="P919" t="n">
        <v>0</v>
      </c>
      <c r="Q919" t="n">
        <v>0</v>
      </c>
      <c r="R919" s="2" t="inlineStr"/>
    </row>
    <row r="920" ht="15" customHeight="1">
      <c r="A920" t="inlineStr">
        <is>
          <t>A 6307-2025</t>
        </is>
      </c>
      <c r="B920" s="1" t="n">
        <v>45698.69016203703</v>
      </c>
      <c r="C920" s="1" t="n">
        <v>46136</v>
      </c>
      <c r="D920" t="inlineStr">
        <is>
          <t>KALMAR LÄN</t>
        </is>
      </c>
      <c r="E920" t="inlineStr">
        <is>
          <t>VIMMERBY</t>
        </is>
      </c>
      <c r="G920" t="n">
        <v>3</v>
      </c>
      <c r="H920" t="n">
        <v>0</v>
      </c>
      <c r="I920" t="n">
        <v>0</v>
      </c>
      <c r="J920" t="n">
        <v>0</v>
      </c>
      <c r="K920" t="n">
        <v>0</v>
      </c>
      <c r="L920" t="n">
        <v>0</v>
      </c>
      <c r="M920" t="n">
        <v>0</v>
      </c>
      <c r="N920" t="n">
        <v>0</v>
      </c>
      <c r="O920" t="n">
        <v>0</v>
      </c>
      <c r="P920" t="n">
        <v>0</v>
      </c>
      <c r="Q920" t="n">
        <v>0</v>
      </c>
      <c r="R920" s="2" t="inlineStr"/>
    </row>
    <row r="921" ht="15" customHeight="1">
      <c r="A921" t="inlineStr">
        <is>
          <t>A 23394-2025</t>
        </is>
      </c>
      <c r="B921" s="1" t="n">
        <v>45791.89865740741</v>
      </c>
      <c r="C921" s="1" t="n">
        <v>46136</v>
      </c>
      <c r="D921" t="inlineStr">
        <is>
          <t>KALMAR LÄN</t>
        </is>
      </c>
      <c r="E921" t="inlineStr">
        <is>
          <t>VIMMERBY</t>
        </is>
      </c>
      <c r="G921" t="n">
        <v>3.1</v>
      </c>
      <c r="H921" t="n">
        <v>0</v>
      </c>
      <c r="I921" t="n">
        <v>0</v>
      </c>
      <c r="J921" t="n">
        <v>0</v>
      </c>
      <c r="K921" t="n">
        <v>0</v>
      </c>
      <c r="L921" t="n">
        <v>0</v>
      </c>
      <c r="M921" t="n">
        <v>0</v>
      </c>
      <c r="N921" t="n">
        <v>0</v>
      </c>
      <c r="O921" t="n">
        <v>0</v>
      </c>
      <c r="P921" t="n">
        <v>0</v>
      </c>
      <c r="Q921" t="n">
        <v>0</v>
      </c>
      <c r="R921" s="2" t="inlineStr"/>
    </row>
    <row r="922">
      <c r="A922" t="inlineStr">
        <is>
          <t>A 23984-2025</t>
        </is>
      </c>
      <c r="B922" s="1" t="n">
        <v>45796</v>
      </c>
      <c r="C922" s="1" t="n">
        <v>46136</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2026-04-24T10:50:29Z</dcterms:created>
  <dcterms:modified xmlns:dcterms="http://purl.org/dc/terms/" xmlns:xsi="http://www.w3.org/2001/XMLSchema-instance" xsi:type="dcterms:W3CDTF">2026-04-24T10:50:30Z</dcterms:modified>
</cp:coreProperties>
</file>