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45964</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45964</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45964</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45964</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45964</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45964</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45964</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45964</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45964</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45964</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37667-2025</t>
        </is>
      </c>
      <c r="B18" s="1" t="n">
        <v>45880.51413194444</v>
      </c>
      <c r="C18" s="1" t="n">
        <v>45964</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14584-2025</t>
        </is>
      </c>
      <c r="B19" s="1" t="n">
        <v>45742</v>
      </c>
      <c r="C19" s="1" t="n">
        <v>45964</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45964</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45964</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45964</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45964</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45964</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19158-2023</t>
        </is>
      </c>
      <c r="B25" s="1" t="n">
        <v>45048</v>
      </c>
      <c r="C25" s="1" t="n">
        <v>45964</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22396-2025</t>
        </is>
      </c>
      <c r="B26" s="1" t="n">
        <v>45786.52827546297</v>
      </c>
      <c r="C26" s="1" t="n">
        <v>45964</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22825-2023</t>
        </is>
      </c>
      <c r="B27" s="1" t="n">
        <v>45072</v>
      </c>
      <c r="C27" s="1" t="n">
        <v>45964</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40684-2025</t>
        </is>
      </c>
      <c r="B28" s="1" t="n">
        <v>45896.86820601852</v>
      </c>
      <c r="C28" s="1" t="n">
        <v>45964</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14024-2023</t>
        </is>
      </c>
      <c r="B29" s="1" t="n">
        <v>45008.60878472222</v>
      </c>
      <c r="C29" s="1" t="n">
        <v>45964</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42802-2025</t>
        </is>
      </c>
      <c r="B30" s="1" t="n">
        <v>45908</v>
      </c>
      <c r="C30" s="1" t="n">
        <v>45964</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53787-2025</t>
        </is>
      </c>
      <c r="B31" s="1" t="n">
        <v>45960</v>
      </c>
      <c r="C31" s="1" t="n">
        <v>45964</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45964</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45964</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44515-2024</t>
        </is>
      </c>
      <c r="B34" s="1" t="n">
        <v>45574.42767361111</v>
      </c>
      <c r="C34" s="1" t="n">
        <v>45964</v>
      </c>
      <c r="D34" t="inlineStr">
        <is>
          <t>KALMAR LÄN</t>
        </is>
      </c>
      <c r="E34" t="inlineStr">
        <is>
          <t>VIMMERBY</t>
        </is>
      </c>
      <c r="G34" t="n">
        <v>1.4</v>
      </c>
      <c r="H34" t="n">
        <v>1</v>
      </c>
      <c r="I34" t="n">
        <v>0</v>
      </c>
      <c r="J34" t="n">
        <v>0</v>
      </c>
      <c r="K34" t="n">
        <v>1</v>
      </c>
      <c r="L34" t="n">
        <v>0</v>
      </c>
      <c r="M34" t="n">
        <v>0</v>
      </c>
      <c r="N34" t="n">
        <v>0</v>
      </c>
      <c r="O34" t="n">
        <v>1</v>
      </c>
      <c r="P34" t="n">
        <v>1</v>
      </c>
      <c r="Q34" t="n">
        <v>1</v>
      </c>
      <c r="R34" s="2" t="inlineStr">
        <is>
          <t>Knärot</t>
        </is>
      </c>
      <c r="S34">
        <f>HYPERLINK("https://klasma.github.io/Logging_0884/artfynd/A 44515-2024 artfynd.xlsx", "A 44515-2024")</f>
        <v/>
      </c>
      <c r="T34">
        <f>HYPERLINK("https://klasma.github.io/Logging_0884/kartor/A 44515-2024 karta.png", "A 44515-2024")</f>
        <v/>
      </c>
      <c r="U34">
        <f>HYPERLINK("https://klasma.github.io/Logging_0884/knärot/A 44515-2024 karta knärot.png", "A 44515-2024")</f>
        <v/>
      </c>
      <c r="V34">
        <f>HYPERLINK("https://klasma.github.io/Logging_0884/klagomål/A 44515-2024 FSC-klagomål.docx", "A 44515-2024")</f>
        <v/>
      </c>
      <c r="W34">
        <f>HYPERLINK("https://klasma.github.io/Logging_0884/klagomålsmail/A 44515-2024 FSC-klagomål mail.docx", "A 44515-2024")</f>
        <v/>
      </c>
      <c r="X34">
        <f>HYPERLINK("https://klasma.github.io/Logging_0884/tillsyn/A 44515-2024 tillsynsbegäran.docx", "A 44515-2024")</f>
        <v/>
      </c>
      <c r="Y34">
        <f>HYPERLINK("https://klasma.github.io/Logging_0884/tillsynsmail/A 44515-2024 tillsynsbegäran mail.docx", "A 44515-2024")</f>
        <v/>
      </c>
    </row>
    <row r="35" ht="15" customHeight="1">
      <c r="A35" t="inlineStr">
        <is>
          <t>A 32985-2023</t>
        </is>
      </c>
      <c r="B35" s="1" t="n">
        <v>45125</v>
      </c>
      <c r="C35" s="1" t="n">
        <v>45964</v>
      </c>
      <c r="D35" t="inlineStr">
        <is>
          <t>KALMAR LÄN</t>
        </is>
      </c>
      <c r="E35" t="inlineStr">
        <is>
          <t>VIMMERBY</t>
        </is>
      </c>
      <c r="G35" t="n">
        <v>1.9</v>
      </c>
      <c r="H35" t="n">
        <v>0</v>
      </c>
      <c r="I35" t="n">
        <v>0</v>
      </c>
      <c r="J35" t="n">
        <v>0</v>
      </c>
      <c r="K35" t="n">
        <v>0</v>
      </c>
      <c r="L35" t="n">
        <v>1</v>
      </c>
      <c r="M35" t="n">
        <v>0</v>
      </c>
      <c r="N35" t="n">
        <v>0</v>
      </c>
      <c r="O35" t="n">
        <v>1</v>
      </c>
      <c r="P35" t="n">
        <v>1</v>
      </c>
      <c r="Q35" t="n">
        <v>1</v>
      </c>
      <c r="R35" s="2" t="inlineStr">
        <is>
          <t>Ryl</t>
        </is>
      </c>
      <c r="S35">
        <f>HYPERLINK("https://klasma.github.io/Logging_0884/artfynd/A 32985-2023 artfynd.xlsx", "A 32985-2023")</f>
        <v/>
      </c>
      <c r="T35">
        <f>HYPERLINK("https://klasma.github.io/Logging_0884/kartor/A 32985-2023 karta.png", "A 32985-2023")</f>
        <v/>
      </c>
      <c r="V35">
        <f>HYPERLINK("https://klasma.github.io/Logging_0884/klagomål/A 32985-2023 FSC-klagomål.docx", "A 32985-2023")</f>
        <v/>
      </c>
      <c r="W35">
        <f>HYPERLINK("https://klasma.github.io/Logging_0884/klagomålsmail/A 32985-2023 FSC-klagomål mail.docx", "A 32985-2023")</f>
        <v/>
      </c>
      <c r="X35">
        <f>HYPERLINK("https://klasma.github.io/Logging_0884/tillsyn/A 32985-2023 tillsynsbegäran.docx", "A 32985-2023")</f>
        <v/>
      </c>
      <c r="Y35">
        <f>HYPERLINK("https://klasma.github.io/Logging_0884/tillsynsmail/A 32985-2023 tillsynsbegäran mail.docx", "A 32985-2023")</f>
        <v/>
      </c>
    </row>
    <row r="36" ht="15" customHeight="1">
      <c r="A36" t="inlineStr">
        <is>
          <t>A 15122-2024</t>
        </is>
      </c>
      <c r="B36" s="1" t="n">
        <v>45399.71412037037</v>
      </c>
      <c r="C36" s="1" t="n">
        <v>45964</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28852-2023</t>
        </is>
      </c>
      <c r="B37" s="1" t="n">
        <v>45104</v>
      </c>
      <c r="C37" s="1" t="n">
        <v>45964</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45964</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40083-2023</t>
        </is>
      </c>
      <c r="B39" s="1" t="n">
        <v>45168</v>
      </c>
      <c r="C39" s="1" t="n">
        <v>45964</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45964</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1201-2025</t>
        </is>
      </c>
      <c r="B41" s="1" t="n">
        <v>45667</v>
      </c>
      <c r="C41" s="1" t="n">
        <v>45964</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29183-2025</t>
        </is>
      </c>
      <c r="B42" s="1" t="n">
        <v>45821</v>
      </c>
      <c r="C42" s="1" t="n">
        <v>45964</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37930-2021</t>
        </is>
      </c>
      <c r="B43" s="1" t="n">
        <v>44403</v>
      </c>
      <c r="C43" s="1" t="n">
        <v>45964</v>
      </c>
      <c r="D43" t="inlineStr">
        <is>
          <t>KALMAR LÄN</t>
        </is>
      </c>
      <c r="E43" t="inlineStr">
        <is>
          <t>VIMMERBY</t>
        </is>
      </c>
      <c r="G43" t="n">
        <v>4.4</v>
      </c>
      <c r="H43" t="n">
        <v>0</v>
      </c>
      <c r="I43" t="n">
        <v>0</v>
      </c>
      <c r="J43" t="n">
        <v>1</v>
      </c>
      <c r="K43" t="n">
        <v>0</v>
      </c>
      <c r="L43" t="n">
        <v>0</v>
      </c>
      <c r="M43" t="n">
        <v>0</v>
      </c>
      <c r="N43" t="n">
        <v>0</v>
      </c>
      <c r="O43" t="n">
        <v>1</v>
      </c>
      <c r="P43" t="n">
        <v>0</v>
      </c>
      <c r="Q43" t="n">
        <v>1</v>
      </c>
      <c r="R43" s="2" t="inlineStr">
        <is>
          <t>Spindelört</t>
        </is>
      </c>
      <c r="S43">
        <f>HYPERLINK("https://klasma.github.io/Logging_0884/artfynd/A 37930-2021 artfynd.xlsx", "A 37930-2021")</f>
        <v/>
      </c>
      <c r="T43">
        <f>HYPERLINK("https://klasma.github.io/Logging_0884/kartor/A 37930-2021 karta.png", "A 37930-2021")</f>
        <v/>
      </c>
      <c r="V43">
        <f>HYPERLINK("https://klasma.github.io/Logging_0884/klagomål/A 37930-2021 FSC-klagomål.docx", "A 37930-2021")</f>
        <v/>
      </c>
      <c r="W43">
        <f>HYPERLINK("https://klasma.github.io/Logging_0884/klagomålsmail/A 37930-2021 FSC-klagomål mail.docx", "A 37930-2021")</f>
        <v/>
      </c>
      <c r="X43">
        <f>HYPERLINK("https://klasma.github.io/Logging_0884/tillsyn/A 37930-2021 tillsynsbegäran.docx", "A 37930-2021")</f>
        <v/>
      </c>
      <c r="Y43">
        <f>HYPERLINK("https://klasma.github.io/Logging_0884/tillsynsmail/A 37930-2021 tillsynsbegäran mail.docx", "A 37930-2021")</f>
        <v/>
      </c>
    </row>
    <row r="44" ht="15" customHeight="1">
      <c r="A44" t="inlineStr">
        <is>
          <t>A 23602-2023</t>
        </is>
      </c>
      <c r="B44" s="1" t="n">
        <v>45077</v>
      </c>
      <c r="C44" s="1" t="n">
        <v>45964</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33436-2021</t>
        </is>
      </c>
      <c r="B45" s="1" t="n">
        <v>44377.61104166666</v>
      </c>
      <c r="C45" s="1" t="n">
        <v>45964</v>
      </c>
      <c r="D45" t="inlineStr">
        <is>
          <t>KALMAR LÄN</t>
        </is>
      </c>
      <c r="E45" t="inlineStr">
        <is>
          <t>VIMMERBY</t>
        </is>
      </c>
      <c r="G45" t="n">
        <v>11.8</v>
      </c>
      <c r="H45" t="n">
        <v>1</v>
      </c>
      <c r="I45" t="n">
        <v>0</v>
      </c>
      <c r="J45" t="n">
        <v>0</v>
      </c>
      <c r="K45" t="n">
        <v>1</v>
      </c>
      <c r="L45" t="n">
        <v>0</v>
      </c>
      <c r="M45" t="n">
        <v>0</v>
      </c>
      <c r="N45" t="n">
        <v>0</v>
      </c>
      <c r="O45" t="n">
        <v>1</v>
      </c>
      <c r="P45" t="n">
        <v>1</v>
      </c>
      <c r="Q45" t="n">
        <v>1</v>
      </c>
      <c r="R45" s="2" t="inlineStr">
        <is>
          <t>Knärot</t>
        </is>
      </c>
      <c r="S45">
        <f>HYPERLINK("https://klasma.github.io/Logging_0884/artfynd/A 33436-2021 artfynd.xlsx", "A 33436-2021")</f>
        <v/>
      </c>
      <c r="T45">
        <f>HYPERLINK("https://klasma.github.io/Logging_0884/kartor/A 33436-2021 karta.png", "A 33436-2021")</f>
        <v/>
      </c>
      <c r="U45">
        <f>HYPERLINK("https://klasma.github.io/Logging_0884/knärot/A 33436-2021 karta knärot.png", "A 33436-2021")</f>
        <v/>
      </c>
      <c r="V45">
        <f>HYPERLINK("https://klasma.github.io/Logging_0884/klagomål/A 33436-2021 FSC-klagomål.docx", "A 33436-2021")</f>
        <v/>
      </c>
      <c r="W45">
        <f>HYPERLINK("https://klasma.github.io/Logging_0884/klagomålsmail/A 33436-2021 FSC-klagomål mail.docx", "A 33436-2021")</f>
        <v/>
      </c>
      <c r="X45">
        <f>HYPERLINK("https://klasma.github.io/Logging_0884/tillsyn/A 33436-2021 tillsynsbegäran.docx", "A 33436-2021")</f>
        <v/>
      </c>
      <c r="Y45">
        <f>HYPERLINK("https://klasma.github.io/Logging_0884/tillsynsmail/A 33436-2021 tillsynsbegäran mail.docx", "A 33436-2021")</f>
        <v/>
      </c>
    </row>
    <row r="46" ht="15" customHeight="1">
      <c r="A46" t="inlineStr">
        <is>
          <t>A 6841-2021</t>
        </is>
      </c>
      <c r="B46" s="1" t="n">
        <v>44236</v>
      </c>
      <c r="C46" s="1" t="n">
        <v>45964</v>
      </c>
      <c r="D46" t="inlineStr">
        <is>
          <t>KALMAR LÄN</t>
        </is>
      </c>
      <c r="E46" t="inlineStr">
        <is>
          <t>VIMMERBY</t>
        </is>
      </c>
      <c r="G46" t="n">
        <v>25</v>
      </c>
      <c r="H46" t="n">
        <v>0</v>
      </c>
      <c r="I46" t="n">
        <v>0</v>
      </c>
      <c r="J46" t="n">
        <v>1</v>
      </c>
      <c r="K46" t="n">
        <v>0</v>
      </c>
      <c r="L46" t="n">
        <v>0</v>
      </c>
      <c r="M46" t="n">
        <v>0</v>
      </c>
      <c r="N46" t="n">
        <v>0</v>
      </c>
      <c r="O46" t="n">
        <v>1</v>
      </c>
      <c r="P46" t="n">
        <v>0</v>
      </c>
      <c r="Q46" t="n">
        <v>1</v>
      </c>
      <c r="R46" s="2" t="inlineStr">
        <is>
          <t>Bredbrämad bastardsvärmare</t>
        </is>
      </c>
      <c r="S46">
        <f>HYPERLINK("https://klasma.github.io/Logging_0884/artfynd/A 6841-2021 artfynd.xlsx", "A 6841-2021")</f>
        <v/>
      </c>
      <c r="T46">
        <f>HYPERLINK("https://klasma.github.io/Logging_0884/kartor/A 6841-2021 karta.png", "A 6841-2021")</f>
        <v/>
      </c>
      <c r="V46">
        <f>HYPERLINK("https://klasma.github.io/Logging_0884/klagomål/A 6841-2021 FSC-klagomål.docx", "A 6841-2021")</f>
        <v/>
      </c>
      <c r="W46">
        <f>HYPERLINK("https://klasma.github.io/Logging_0884/klagomålsmail/A 6841-2021 FSC-klagomål mail.docx", "A 6841-2021")</f>
        <v/>
      </c>
      <c r="X46">
        <f>HYPERLINK("https://klasma.github.io/Logging_0884/tillsyn/A 6841-2021 tillsynsbegäran.docx", "A 6841-2021")</f>
        <v/>
      </c>
      <c r="Y46">
        <f>HYPERLINK("https://klasma.github.io/Logging_0884/tillsynsmail/A 6841-2021 tillsynsbegäran mail.docx", "A 6841-2021")</f>
        <v/>
      </c>
    </row>
    <row r="47" ht="15" customHeight="1">
      <c r="A47" t="inlineStr">
        <is>
          <t>A 38602-2025</t>
        </is>
      </c>
      <c r="B47" s="1" t="n">
        <v>45884.50331018519</v>
      </c>
      <c r="C47" s="1" t="n">
        <v>45964</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38602-2025 artfynd.xlsx", "A 38602-2025")</f>
        <v/>
      </c>
      <c r="T47">
        <f>HYPERLINK("https://klasma.github.io/Logging_0884/kartor/A 38602-2025 karta.png", "A 38602-2025")</f>
        <v/>
      </c>
      <c r="U47">
        <f>HYPERLINK("https://klasma.github.io/Logging_0884/knärot/A 38602-2025 karta knärot.png", "A 38602-2025")</f>
        <v/>
      </c>
      <c r="V47">
        <f>HYPERLINK("https://klasma.github.io/Logging_0884/klagomål/A 38602-2025 FSC-klagomål.docx", "A 38602-2025")</f>
        <v/>
      </c>
      <c r="W47">
        <f>HYPERLINK("https://klasma.github.io/Logging_0884/klagomålsmail/A 38602-2025 FSC-klagomål mail.docx", "A 38602-2025")</f>
        <v/>
      </c>
      <c r="X47">
        <f>HYPERLINK("https://klasma.github.io/Logging_0884/tillsyn/A 38602-2025 tillsynsbegäran.docx", "A 38602-2025")</f>
        <v/>
      </c>
      <c r="Y47">
        <f>HYPERLINK("https://klasma.github.io/Logging_0884/tillsynsmail/A 38602-2025 tillsynsbegäran mail.docx", "A 38602-2025")</f>
        <v/>
      </c>
    </row>
    <row r="48" ht="15" customHeight="1">
      <c r="A48" t="inlineStr">
        <is>
          <t>A 61860-2024</t>
        </is>
      </c>
      <c r="B48" s="1" t="n">
        <v>45649</v>
      </c>
      <c r="C48" s="1" t="n">
        <v>45964</v>
      </c>
      <c r="D48" t="inlineStr">
        <is>
          <t>KALMAR LÄN</t>
        </is>
      </c>
      <c r="E48" t="inlineStr">
        <is>
          <t>VIMMERBY</t>
        </is>
      </c>
      <c r="G48" t="n">
        <v>4.4</v>
      </c>
      <c r="H48" t="n">
        <v>1</v>
      </c>
      <c r="I48" t="n">
        <v>0</v>
      </c>
      <c r="J48" t="n">
        <v>0</v>
      </c>
      <c r="K48" t="n">
        <v>1</v>
      </c>
      <c r="L48" t="n">
        <v>0</v>
      </c>
      <c r="M48" t="n">
        <v>0</v>
      </c>
      <c r="N48" t="n">
        <v>0</v>
      </c>
      <c r="O48" t="n">
        <v>1</v>
      </c>
      <c r="P48" t="n">
        <v>1</v>
      </c>
      <c r="Q48" t="n">
        <v>1</v>
      </c>
      <c r="R48" s="2" t="inlineStr">
        <is>
          <t>Knärot</t>
        </is>
      </c>
      <c r="S48">
        <f>HYPERLINK("https://klasma.github.io/Logging_0884/artfynd/A 61860-2024 artfynd.xlsx", "A 61860-2024")</f>
        <v/>
      </c>
      <c r="T48">
        <f>HYPERLINK("https://klasma.github.io/Logging_0884/kartor/A 61860-2024 karta.png", "A 61860-2024")</f>
        <v/>
      </c>
      <c r="U48">
        <f>HYPERLINK("https://klasma.github.io/Logging_0884/knärot/A 61860-2024 karta knärot.png", "A 61860-2024")</f>
        <v/>
      </c>
      <c r="V48">
        <f>HYPERLINK("https://klasma.github.io/Logging_0884/klagomål/A 61860-2024 FSC-klagomål.docx", "A 61860-2024")</f>
        <v/>
      </c>
      <c r="W48">
        <f>HYPERLINK("https://klasma.github.io/Logging_0884/klagomålsmail/A 61860-2024 FSC-klagomål mail.docx", "A 61860-2024")</f>
        <v/>
      </c>
      <c r="X48">
        <f>HYPERLINK("https://klasma.github.io/Logging_0884/tillsyn/A 61860-2024 tillsynsbegäran.docx", "A 61860-2024")</f>
        <v/>
      </c>
      <c r="Y48">
        <f>HYPERLINK("https://klasma.github.io/Logging_0884/tillsynsmail/A 61860-2024 tillsynsbegäran mail.docx", "A 61860-2024")</f>
        <v/>
      </c>
    </row>
    <row r="49" ht="15" customHeight="1">
      <c r="A49" t="inlineStr">
        <is>
          <t>A 15903-2021</t>
        </is>
      </c>
      <c r="B49" s="1" t="n">
        <v>44287.33261574074</v>
      </c>
      <c r="C49" s="1" t="n">
        <v>45964</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45964</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1929-2021</t>
        </is>
      </c>
      <c r="B51" s="1" t="n">
        <v>44210</v>
      </c>
      <c r="C51" s="1" t="n">
        <v>45964</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59070-2021</t>
        </is>
      </c>
      <c r="B52" s="1" t="n">
        <v>44490.38613425926</v>
      </c>
      <c r="C52" s="1" t="n">
        <v>45964</v>
      </c>
      <c r="D52" t="inlineStr">
        <is>
          <t>KALMAR LÄN</t>
        </is>
      </c>
      <c r="E52" t="inlineStr">
        <is>
          <t>VIMMERBY</t>
        </is>
      </c>
      <c r="G52" t="n">
        <v>1.7</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45964</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45964</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45964</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45964</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45964</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45964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45964</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45964</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45964</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45964</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45964</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45964</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45964</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45964</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45964</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45964</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45964</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45964</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45964</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45964</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45964</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45964</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45964</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45964</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45964</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45964</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45964</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45964</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45964</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45964</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45964</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45964</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45964</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45964</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45964</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45964</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45964</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45964</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45964</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45964</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45964</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65952-2020</t>
        </is>
      </c>
      <c r="B94" s="1" t="n">
        <v>44175.3815625</v>
      </c>
      <c r="C94" s="1" t="n">
        <v>45964</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65973-2020</t>
        </is>
      </c>
      <c r="B95" s="1" t="n">
        <v>44175.40881944444</v>
      </c>
      <c r="C95" s="1" t="n">
        <v>45964</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45964</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45964</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45964</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45964</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45964</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14347-2021</t>
        </is>
      </c>
      <c r="B101" s="1" t="n">
        <v>44279.33400462963</v>
      </c>
      <c r="C101" s="1" t="n">
        <v>45964</v>
      </c>
      <c r="D101" t="inlineStr">
        <is>
          <t>KALMAR LÄN</t>
        </is>
      </c>
      <c r="E101" t="inlineStr">
        <is>
          <t>VIMMERBY</t>
        </is>
      </c>
      <c r="G101" t="n">
        <v>6.4</v>
      </c>
      <c r="H101" t="n">
        <v>0</v>
      </c>
      <c r="I101" t="n">
        <v>0</v>
      </c>
      <c r="J101" t="n">
        <v>0</v>
      </c>
      <c r="K101" t="n">
        <v>0</v>
      </c>
      <c r="L101" t="n">
        <v>0</v>
      </c>
      <c r="M101" t="n">
        <v>0</v>
      </c>
      <c r="N101" t="n">
        <v>0</v>
      </c>
      <c r="O101" t="n">
        <v>0</v>
      </c>
      <c r="P101" t="n">
        <v>0</v>
      </c>
      <c r="Q101" t="n">
        <v>0</v>
      </c>
      <c r="R101" s="2" t="inlineStr"/>
    </row>
    <row r="102" ht="15" customHeight="1">
      <c r="A102" t="inlineStr">
        <is>
          <t>A 66913-2020</t>
        </is>
      </c>
      <c r="B102" s="1" t="n">
        <v>44175</v>
      </c>
      <c r="C102" s="1" t="n">
        <v>45964</v>
      </c>
      <c r="D102" t="inlineStr">
        <is>
          <t>KALMAR LÄN</t>
        </is>
      </c>
      <c r="E102" t="inlineStr">
        <is>
          <t>VIMMERBY</t>
        </is>
      </c>
      <c r="G102" t="n">
        <v>5.6</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45964</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3621-2021</t>
        </is>
      </c>
      <c r="B104" s="1" t="n">
        <v>44221.39408564815</v>
      </c>
      <c r="C104" s="1" t="n">
        <v>45964</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45964</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45964</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45964</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45964</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45964</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45964</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45964</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45964</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45964</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45964</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45964</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45964</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35633-2021</t>
        </is>
      </c>
      <c r="B117" s="1" t="n">
        <v>44386.40783564815</v>
      </c>
      <c r="C117" s="1" t="n">
        <v>45964</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56343-2021</t>
        </is>
      </c>
      <c r="B118" s="1" t="n">
        <v>44480</v>
      </c>
      <c r="C118" s="1" t="n">
        <v>45964</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8415-2021</t>
        </is>
      </c>
      <c r="B119" s="1" t="n">
        <v>44245</v>
      </c>
      <c r="C119" s="1" t="n">
        <v>45964</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45964</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45964</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45964</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45964</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45964</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45964</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45964</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45964</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23825-2022</t>
        </is>
      </c>
      <c r="B128" s="1" t="n">
        <v>44722.48768518519</v>
      </c>
      <c r="C128" s="1" t="n">
        <v>45964</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12107-2022</t>
        </is>
      </c>
      <c r="B129" s="1" t="n">
        <v>44636</v>
      </c>
      <c r="C129" s="1" t="n">
        <v>45964</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39225-2022</t>
        </is>
      </c>
      <c r="B130" s="1" t="n">
        <v>44817.57988425926</v>
      </c>
      <c r="C130" s="1" t="n">
        <v>45964</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16602-2021</t>
        </is>
      </c>
      <c r="B131" s="1" t="n">
        <v>44294</v>
      </c>
      <c r="C131" s="1" t="n">
        <v>45964</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16607-2021</t>
        </is>
      </c>
      <c r="B132" s="1" t="n">
        <v>44294</v>
      </c>
      <c r="C132" s="1" t="n">
        <v>45964</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17029-2022</t>
        </is>
      </c>
      <c r="B133" s="1" t="n">
        <v>44676.85248842592</v>
      </c>
      <c r="C133" s="1" t="n">
        <v>45964</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7167-2022</t>
        </is>
      </c>
      <c r="B134" s="1" t="n">
        <v>44604</v>
      </c>
      <c r="C134" s="1" t="n">
        <v>45964</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45964</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18356-2021</t>
        </is>
      </c>
      <c r="B136" s="1" t="n">
        <v>44305</v>
      </c>
      <c r="C136" s="1" t="n">
        <v>45964</v>
      </c>
      <c r="D136" t="inlineStr">
        <is>
          <t>KALMAR LÄN</t>
        </is>
      </c>
      <c r="E136" t="inlineStr">
        <is>
          <t>VIMMERBY</t>
        </is>
      </c>
      <c r="G136" t="n">
        <v>3.4</v>
      </c>
      <c r="H136" t="n">
        <v>0</v>
      </c>
      <c r="I136" t="n">
        <v>0</v>
      </c>
      <c r="J136" t="n">
        <v>0</v>
      </c>
      <c r="K136" t="n">
        <v>0</v>
      </c>
      <c r="L136" t="n">
        <v>0</v>
      </c>
      <c r="M136" t="n">
        <v>0</v>
      </c>
      <c r="N136" t="n">
        <v>0</v>
      </c>
      <c r="O136" t="n">
        <v>0</v>
      </c>
      <c r="P136" t="n">
        <v>0</v>
      </c>
      <c r="Q136" t="n">
        <v>0</v>
      </c>
      <c r="R136" s="2" t="inlineStr"/>
    </row>
    <row r="137" ht="15" customHeight="1">
      <c r="A137" t="inlineStr">
        <is>
          <t>A 56385-2021</t>
        </is>
      </c>
      <c r="B137" s="1" t="n">
        <v>44480</v>
      </c>
      <c r="C137" s="1" t="n">
        <v>45964</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57948-2020</t>
        </is>
      </c>
      <c r="B138" s="1" t="n">
        <v>44142</v>
      </c>
      <c r="C138" s="1" t="n">
        <v>45964</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31053-2022</t>
        </is>
      </c>
      <c r="B139" s="1" t="n">
        <v>44769.45422453704</v>
      </c>
      <c r="C139" s="1" t="n">
        <v>45964</v>
      </c>
      <c r="D139" t="inlineStr">
        <is>
          <t>KALMAR LÄN</t>
        </is>
      </c>
      <c r="E139" t="inlineStr">
        <is>
          <t>VIMMERBY</t>
        </is>
      </c>
      <c r="G139" t="n">
        <v>1.9</v>
      </c>
      <c r="H139" t="n">
        <v>0</v>
      </c>
      <c r="I139" t="n">
        <v>0</v>
      </c>
      <c r="J139" t="n">
        <v>0</v>
      </c>
      <c r="K139" t="n">
        <v>0</v>
      </c>
      <c r="L139" t="n">
        <v>0</v>
      </c>
      <c r="M139" t="n">
        <v>0</v>
      </c>
      <c r="N139" t="n">
        <v>0</v>
      </c>
      <c r="O139" t="n">
        <v>0</v>
      </c>
      <c r="P139" t="n">
        <v>0</v>
      </c>
      <c r="Q139" t="n">
        <v>0</v>
      </c>
      <c r="R139" s="2" t="inlineStr"/>
    </row>
    <row r="140" ht="15" customHeight="1">
      <c r="A140" t="inlineStr">
        <is>
          <t>A 24738-2021</t>
        </is>
      </c>
      <c r="B140" s="1" t="n">
        <v>44340.58002314815</v>
      </c>
      <c r="C140" s="1" t="n">
        <v>45964</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18276-2021</t>
        </is>
      </c>
      <c r="B141" s="1" t="n">
        <v>44305.40046296296</v>
      </c>
      <c r="C141" s="1" t="n">
        <v>45964</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47473-2021</t>
        </is>
      </c>
      <c r="B142" s="1" t="n">
        <v>44447</v>
      </c>
      <c r="C142" s="1" t="n">
        <v>45964</v>
      </c>
      <c r="D142" t="inlineStr">
        <is>
          <t>KALMAR LÄN</t>
        </is>
      </c>
      <c r="E142" t="inlineStr">
        <is>
          <t>VIMMERBY</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8454-2022</t>
        </is>
      </c>
      <c r="B143" s="1" t="n">
        <v>44612.86762731482</v>
      </c>
      <c r="C143" s="1" t="n">
        <v>45964</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35001-2021</t>
        </is>
      </c>
      <c r="B144" s="1" t="n">
        <v>44383</v>
      </c>
      <c r="C144" s="1" t="n">
        <v>45964</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45964</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41056-2022</t>
        </is>
      </c>
      <c r="B146" s="1" t="n">
        <v>44824</v>
      </c>
      <c r="C146" s="1" t="n">
        <v>45964</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45964</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31660-2021</t>
        </is>
      </c>
      <c r="B148" s="1" t="n">
        <v>44369</v>
      </c>
      <c r="C148" s="1" t="n">
        <v>45964</v>
      </c>
      <c r="D148" t="inlineStr">
        <is>
          <t>KALMAR LÄN</t>
        </is>
      </c>
      <c r="E148" t="inlineStr">
        <is>
          <t>VIMMERBY</t>
        </is>
      </c>
      <c r="G148" t="n">
        <v>4.2</v>
      </c>
      <c r="H148" t="n">
        <v>0</v>
      </c>
      <c r="I148" t="n">
        <v>0</v>
      </c>
      <c r="J148" t="n">
        <v>0</v>
      </c>
      <c r="K148" t="n">
        <v>0</v>
      </c>
      <c r="L148" t="n">
        <v>0</v>
      </c>
      <c r="M148" t="n">
        <v>0</v>
      </c>
      <c r="N148" t="n">
        <v>0</v>
      </c>
      <c r="O148" t="n">
        <v>0</v>
      </c>
      <c r="P148" t="n">
        <v>0</v>
      </c>
      <c r="Q148" t="n">
        <v>0</v>
      </c>
      <c r="R148" s="2" t="inlineStr"/>
    </row>
    <row r="149" ht="15" customHeight="1">
      <c r="A149" t="inlineStr">
        <is>
          <t>A 27455-2022</t>
        </is>
      </c>
      <c r="B149" s="1" t="n">
        <v>44742</v>
      </c>
      <c r="C149" s="1" t="n">
        <v>45964</v>
      </c>
      <c r="D149" t="inlineStr">
        <is>
          <t>KALMAR LÄN</t>
        </is>
      </c>
      <c r="E149" t="inlineStr">
        <is>
          <t>VIMMERBY</t>
        </is>
      </c>
      <c r="G149" t="n">
        <v>1.6</v>
      </c>
      <c r="H149" t="n">
        <v>0</v>
      </c>
      <c r="I149" t="n">
        <v>0</v>
      </c>
      <c r="J149" t="n">
        <v>0</v>
      </c>
      <c r="K149" t="n">
        <v>0</v>
      </c>
      <c r="L149" t="n">
        <v>0</v>
      </c>
      <c r="M149" t="n">
        <v>0</v>
      </c>
      <c r="N149" t="n">
        <v>0</v>
      </c>
      <c r="O149" t="n">
        <v>0</v>
      </c>
      <c r="P149" t="n">
        <v>0</v>
      </c>
      <c r="Q149" t="n">
        <v>0</v>
      </c>
      <c r="R149" s="2" t="inlineStr"/>
    </row>
    <row r="150" ht="15" customHeight="1">
      <c r="A150" t="inlineStr">
        <is>
          <t>A 65887-2021</t>
        </is>
      </c>
      <c r="B150" s="1" t="n">
        <v>44517</v>
      </c>
      <c r="C150" s="1" t="n">
        <v>45964</v>
      </c>
      <c r="D150" t="inlineStr">
        <is>
          <t>KALMAR LÄN</t>
        </is>
      </c>
      <c r="E150" t="inlineStr">
        <is>
          <t>VIMMERBY</t>
        </is>
      </c>
      <c r="G150" t="n">
        <v>1.4</v>
      </c>
      <c r="H150" t="n">
        <v>0</v>
      </c>
      <c r="I150" t="n">
        <v>0</v>
      </c>
      <c r="J150" t="n">
        <v>0</v>
      </c>
      <c r="K150" t="n">
        <v>0</v>
      </c>
      <c r="L150" t="n">
        <v>0</v>
      </c>
      <c r="M150" t="n">
        <v>0</v>
      </c>
      <c r="N150" t="n">
        <v>0</v>
      </c>
      <c r="O150" t="n">
        <v>0</v>
      </c>
      <c r="P150" t="n">
        <v>0</v>
      </c>
      <c r="Q150" t="n">
        <v>0</v>
      </c>
      <c r="R150" s="2" t="inlineStr"/>
    </row>
    <row r="151" ht="15" customHeight="1">
      <c r="A151" t="inlineStr">
        <is>
          <t>A 47769-2022</t>
        </is>
      </c>
      <c r="B151" s="1" t="n">
        <v>44854</v>
      </c>
      <c r="C151" s="1" t="n">
        <v>45964</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39959-2022</t>
        </is>
      </c>
      <c r="B152" s="1" t="n">
        <v>44819</v>
      </c>
      <c r="C152" s="1" t="n">
        <v>45964</v>
      </c>
      <c r="D152" t="inlineStr">
        <is>
          <t>KALMAR LÄN</t>
        </is>
      </c>
      <c r="E152" t="inlineStr">
        <is>
          <t>VIMMERBY</t>
        </is>
      </c>
      <c r="G152" t="n">
        <v>0.9</v>
      </c>
      <c r="H152" t="n">
        <v>0</v>
      </c>
      <c r="I152" t="n">
        <v>0</v>
      </c>
      <c r="J152" t="n">
        <v>0</v>
      </c>
      <c r="K152" t="n">
        <v>0</v>
      </c>
      <c r="L152" t="n">
        <v>0</v>
      </c>
      <c r="M152" t="n">
        <v>0</v>
      </c>
      <c r="N152" t="n">
        <v>0</v>
      </c>
      <c r="O152" t="n">
        <v>0</v>
      </c>
      <c r="P152" t="n">
        <v>0</v>
      </c>
      <c r="Q152" t="n">
        <v>0</v>
      </c>
      <c r="R152" s="2" t="inlineStr"/>
    </row>
    <row r="153" ht="15" customHeight="1">
      <c r="A153" t="inlineStr">
        <is>
          <t>A 3330-2021</t>
        </is>
      </c>
      <c r="B153" s="1" t="n">
        <v>44217.79856481482</v>
      </c>
      <c r="C153" s="1" t="n">
        <v>45964</v>
      </c>
      <c r="D153" t="inlineStr">
        <is>
          <t>KALMAR LÄN</t>
        </is>
      </c>
      <c r="E153" t="inlineStr">
        <is>
          <t>VIMMERBY</t>
        </is>
      </c>
      <c r="G153" t="n">
        <v>11.1</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45964</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45964</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12661-2021</t>
        </is>
      </c>
      <c r="B156" s="1" t="n">
        <v>44270</v>
      </c>
      <c r="C156" s="1" t="n">
        <v>45964</v>
      </c>
      <c r="D156" t="inlineStr">
        <is>
          <t>KALMAR LÄN</t>
        </is>
      </c>
      <c r="E156" t="inlineStr">
        <is>
          <t>VIMMERBY</t>
        </is>
      </c>
      <c r="G156" t="n">
        <v>1.8</v>
      </c>
      <c r="H156" t="n">
        <v>0</v>
      </c>
      <c r="I156" t="n">
        <v>0</v>
      </c>
      <c r="J156" t="n">
        <v>0</v>
      </c>
      <c r="K156" t="n">
        <v>0</v>
      </c>
      <c r="L156" t="n">
        <v>0</v>
      </c>
      <c r="M156" t="n">
        <v>0</v>
      </c>
      <c r="N156" t="n">
        <v>0</v>
      </c>
      <c r="O156" t="n">
        <v>0</v>
      </c>
      <c r="P156" t="n">
        <v>0</v>
      </c>
      <c r="Q156" t="n">
        <v>0</v>
      </c>
      <c r="R156" s="2" t="inlineStr"/>
    </row>
    <row r="157" ht="15" customHeight="1">
      <c r="A157" t="inlineStr">
        <is>
          <t>A 24999-2021</t>
        </is>
      </c>
      <c r="B157" s="1" t="n">
        <v>44341</v>
      </c>
      <c r="C157" s="1" t="n">
        <v>45964</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35316-2021</t>
        </is>
      </c>
      <c r="B158" s="1" t="n">
        <v>44384</v>
      </c>
      <c r="C158" s="1" t="n">
        <v>45964</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7917-2022</t>
        </is>
      </c>
      <c r="B159" s="1" t="n">
        <v>44608</v>
      </c>
      <c r="C159" s="1" t="n">
        <v>45964</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33831-2022</t>
        </is>
      </c>
      <c r="B160" s="1" t="n">
        <v>44790.48503472222</v>
      </c>
      <c r="C160" s="1" t="n">
        <v>45964</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47208-2021</t>
        </is>
      </c>
      <c r="B161" s="1" t="n">
        <v>44447.34237268518</v>
      </c>
      <c r="C161" s="1" t="n">
        <v>45964</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45964</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16705-2021</t>
        </is>
      </c>
      <c r="B163" s="1" t="n">
        <v>44294</v>
      </c>
      <c r="C163" s="1" t="n">
        <v>45964</v>
      </c>
      <c r="D163" t="inlineStr">
        <is>
          <t>KALMAR LÄN</t>
        </is>
      </c>
      <c r="E163" t="inlineStr">
        <is>
          <t>VIMMERBY</t>
        </is>
      </c>
      <c r="G163" t="n">
        <v>2.6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45964</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32603-2021</t>
        </is>
      </c>
      <c r="B165" s="1" t="n">
        <v>44375.38789351852</v>
      </c>
      <c r="C165" s="1" t="n">
        <v>45964</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56389-2021</t>
        </is>
      </c>
      <c r="B166" s="1" t="n">
        <v>44480</v>
      </c>
      <c r="C166" s="1" t="n">
        <v>45964</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8453-2022</t>
        </is>
      </c>
      <c r="B167" s="1" t="n">
        <v>44612.86554398148</v>
      </c>
      <c r="C167" s="1" t="n">
        <v>45964</v>
      </c>
      <c r="D167" t="inlineStr">
        <is>
          <t>KALMAR LÄN</t>
        </is>
      </c>
      <c r="E167" t="inlineStr">
        <is>
          <t>VIMMERBY</t>
        </is>
      </c>
      <c r="G167" t="n">
        <v>1.7</v>
      </c>
      <c r="H167" t="n">
        <v>0</v>
      </c>
      <c r="I167" t="n">
        <v>0</v>
      </c>
      <c r="J167" t="n">
        <v>0</v>
      </c>
      <c r="K167" t="n">
        <v>0</v>
      </c>
      <c r="L167" t="n">
        <v>0</v>
      </c>
      <c r="M167" t="n">
        <v>0</v>
      </c>
      <c r="N167" t="n">
        <v>0</v>
      </c>
      <c r="O167" t="n">
        <v>0</v>
      </c>
      <c r="P167" t="n">
        <v>0</v>
      </c>
      <c r="Q167" t="n">
        <v>0</v>
      </c>
      <c r="R167" s="2" t="inlineStr"/>
    </row>
    <row r="168" ht="15" customHeight="1">
      <c r="A168" t="inlineStr">
        <is>
          <t>A 52433-2021</t>
        </is>
      </c>
      <c r="B168" s="1" t="n">
        <v>44466.34726851852</v>
      </c>
      <c r="C168" s="1" t="n">
        <v>45964</v>
      </c>
      <c r="D168" t="inlineStr">
        <is>
          <t>KALMAR LÄN</t>
        </is>
      </c>
      <c r="E168" t="inlineStr">
        <is>
          <t>VIMMERBY</t>
        </is>
      </c>
      <c r="G168" t="n">
        <v>3.5</v>
      </c>
      <c r="H168" t="n">
        <v>0</v>
      </c>
      <c r="I168" t="n">
        <v>0</v>
      </c>
      <c r="J168" t="n">
        <v>0</v>
      </c>
      <c r="K168" t="n">
        <v>0</v>
      </c>
      <c r="L168" t="n">
        <v>0</v>
      </c>
      <c r="M168" t="n">
        <v>0</v>
      </c>
      <c r="N168" t="n">
        <v>0</v>
      </c>
      <c r="O168" t="n">
        <v>0</v>
      </c>
      <c r="P168" t="n">
        <v>0</v>
      </c>
      <c r="Q168" t="n">
        <v>0</v>
      </c>
      <c r="R168" s="2" t="inlineStr"/>
    </row>
    <row r="169" ht="15" customHeight="1">
      <c r="A169" t="inlineStr">
        <is>
          <t>A 50621-2022</t>
        </is>
      </c>
      <c r="B169" s="1" t="n">
        <v>44866.81100694444</v>
      </c>
      <c r="C169" s="1" t="n">
        <v>45964</v>
      </c>
      <c r="D169" t="inlineStr">
        <is>
          <t>KALMAR LÄN</t>
        </is>
      </c>
      <c r="E169" t="inlineStr">
        <is>
          <t>VIMMERBY</t>
        </is>
      </c>
      <c r="F169" t="inlineStr">
        <is>
          <t>Övriga Aktiebolag</t>
        </is>
      </c>
      <c r="G169" t="n">
        <v>5.1</v>
      </c>
      <c r="H169" t="n">
        <v>0</v>
      </c>
      <c r="I169" t="n">
        <v>0</v>
      </c>
      <c r="J169" t="n">
        <v>0</v>
      </c>
      <c r="K169" t="n">
        <v>0</v>
      </c>
      <c r="L169" t="n">
        <v>0</v>
      </c>
      <c r="M169" t="n">
        <v>0</v>
      </c>
      <c r="N169" t="n">
        <v>0</v>
      </c>
      <c r="O169" t="n">
        <v>0</v>
      </c>
      <c r="P169" t="n">
        <v>0</v>
      </c>
      <c r="Q169" t="n">
        <v>0</v>
      </c>
      <c r="R169" s="2" t="inlineStr"/>
    </row>
    <row r="170" ht="15" customHeight="1">
      <c r="A170" t="inlineStr">
        <is>
          <t>A 54065-2021</t>
        </is>
      </c>
      <c r="B170" s="1" t="n">
        <v>44470.44232638889</v>
      </c>
      <c r="C170" s="1" t="n">
        <v>45964</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31824-2022</t>
        </is>
      </c>
      <c r="B171" s="1" t="n">
        <v>44776</v>
      </c>
      <c r="C171" s="1" t="n">
        <v>45964</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36117-2021</t>
        </is>
      </c>
      <c r="B172" s="1" t="n">
        <v>44386</v>
      </c>
      <c r="C172" s="1" t="n">
        <v>45964</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42521-2021</t>
        </is>
      </c>
      <c r="B173" s="1" t="n">
        <v>44427</v>
      </c>
      <c r="C173" s="1" t="n">
        <v>45964</v>
      </c>
      <c r="D173" t="inlineStr">
        <is>
          <t>KALMAR LÄN</t>
        </is>
      </c>
      <c r="E173" t="inlineStr">
        <is>
          <t>VIMMERBY</t>
        </is>
      </c>
      <c r="G173" t="n">
        <v>5.4</v>
      </c>
      <c r="H173" t="n">
        <v>0</v>
      </c>
      <c r="I173" t="n">
        <v>0</v>
      </c>
      <c r="J173" t="n">
        <v>0</v>
      </c>
      <c r="K173" t="n">
        <v>0</v>
      </c>
      <c r="L173" t="n">
        <v>0</v>
      </c>
      <c r="M173" t="n">
        <v>0</v>
      </c>
      <c r="N173" t="n">
        <v>0</v>
      </c>
      <c r="O173" t="n">
        <v>0</v>
      </c>
      <c r="P173" t="n">
        <v>0</v>
      </c>
      <c r="Q173" t="n">
        <v>0</v>
      </c>
      <c r="R173" s="2" t="inlineStr"/>
    </row>
    <row r="174" ht="15" customHeight="1">
      <c r="A174" t="inlineStr">
        <is>
          <t>A 11733-2022</t>
        </is>
      </c>
      <c r="B174" s="1" t="n">
        <v>44634</v>
      </c>
      <c r="C174" s="1" t="n">
        <v>45964</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618-2021</t>
        </is>
      </c>
      <c r="B175" s="1" t="n">
        <v>44203</v>
      </c>
      <c r="C175" s="1" t="n">
        <v>45964</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7804-2022</t>
        </is>
      </c>
      <c r="B176" s="1" t="n">
        <v>44608.50458333334</v>
      </c>
      <c r="C176" s="1" t="n">
        <v>45964</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39042-2022</t>
        </is>
      </c>
      <c r="B177" s="1" t="n">
        <v>44817</v>
      </c>
      <c r="C177" s="1" t="n">
        <v>45964</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67952-2021</t>
        </is>
      </c>
      <c r="B178" s="1" t="n">
        <v>44525.63913194444</v>
      </c>
      <c r="C178" s="1" t="n">
        <v>45964</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12241-2021</t>
        </is>
      </c>
      <c r="B179" s="1" t="n">
        <v>44266.7240625</v>
      </c>
      <c r="C179" s="1" t="n">
        <v>45964</v>
      </c>
      <c r="D179" t="inlineStr">
        <is>
          <t>KALMAR LÄN</t>
        </is>
      </c>
      <c r="E179" t="inlineStr">
        <is>
          <t>VIMMERBY</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14521-2021</t>
        </is>
      </c>
      <c r="B180" s="1" t="n">
        <v>44279.64934027778</v>
      </c>
      <c r="C180" s="1" t="n">
        <v>45964</v>
      </c>
      <c r="D180" t="inlineStr">
        <is>
          <t>KALMAR LÄN</t>
        </is>
      </c>
      <c r="E180" t="inlineStr">
        <is>
          <t>VIMMERBY</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12662-2021</t>
        </is>
      </c>
      <c r="B181" s="1" t="n">
        <v>44270.49743055556</v>
      </c>
      <c r="C181" s="1" t="n">
        <v>45964</v>
      </c>
      <c r="D181" t="inlineStr">
        <is>
          <t>KALMAR LÄN</t>
        </is>
      </c>
      <c r="E181" t="inlineStr">
        <is>
          <t>VIMMERBY</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15533-2022</t>
        </is>
      </c>
      <c r="B182" s="1" t="n">
        <v>44662</v>
      </c>
      <c r="C182" s="1" t="n">
        <v>45964</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16288-2021</t>
        </is>
      </c>
      <c r="B183" s="1" t="n">
        <v>44292</v>
      </c>
      <c r="C183" s="1" t="n">
        <v>45964</v>
      </c>
      <c r="D183" t="inlineStr">
        <is>
          <t>KALMAR LÄN</t>
        </is>
      </c>
      <c r="E183" t="inlineStr">
        <is>
          <t>VIMMERBY</t>
        </is>
      </c>
      <c r="F183" t="inlineStr">
        <is>
          <t>Övriga Aktiebolag</t>
        </is>
      </c>
      <c r="G183" t="n">
        <v>27.6</v>
      </c>
      <c r="H183" t="n">
        <v>0</v>
      </c>
      <c r="I183" t="n">
        <v>0</v>
      </c>
      <c r="J183" t="n">
        <v>0</v>
      </c>
      <c r="K183" t="n">
        <v>0</v>
      </c>
      <c r="L183" t="n">
        <v>0</v>
      </c>
      <c r="M183" t="n">
        <v>0</v>
      </c>
      <c r="N183" t="n">
        <v>0</v>
      </c>
      <c r="O183" t="n">
        <v>0</v>
      </c>
      <c r="P183" t="n">
        <v>0</v>
      </c>
      <c r="Q183" t="n">
        <v>0</v>
      </c>
      <c r="R183" s="2" t="inlineStr"/>
    </row>
    <row r="184" ht="15" customHeight="1">
      <c r="A184" t="inlineStr">
        <is>
          <t>A 4076-2022</t>
        </is>
      </c>
      <c r="B184" s="1" t="n">
        <v>44588.37998842593</v>
      </c>
      <c r="C184" s="1" t="n">
        <v>45964</v>
      </c>
      <c r="D184" t="inlineStr">
        <is>
          <t>KALMAR LÄN</t>
        </is>
      </c>
      <c r="E184" t="inlineStr">
        <is>
          <t>VIMMERBY</t>
        </is>
      </c>
      <c r="G184" t="n">
        <v>3</v>
      </c>
      <c r="H184" t="n">
        <v>0</v>
      </c>
      <c r="I184" t="n">
        <v>0</v>
      </c>
      <c r="J184" t="n">
        <v>0</v>
      </c>
      <c r="K184" t="n">
        <v>0</v>
      </c>
      <c r="L184" t="n">
        <v>0</v>
      </c>
      <c r="M184" t="n">
        <v>0</v>
      </c>
      <c r="N184" t="n">
        <v>0</v>
      </c>
      <c r="O184" t="n">
        <v>0</v>
      </c>
      <c r="P184" t="n">
        <v>0</v>
      </c>
      <c r="Q184" t="n">
        <v>0</v>
      </c>
      <c r="R184" s="2" t="inlineStr"/>
    </row>
    <row r="185" ht="15" customHeight="1">
      <c r="A185" t="inlineStr">
        <is>
          <t>A 165-2022</t>
        </is>
      </c>
      <c r="B185" s="1" t="n">
        <v>44564</v>
      </c>
      <c r="C185" s="1" t="n">
        <v>45964</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4122-2022</t>
        </is>
      </c>
      <c r="B186" s="1" t="n">
        <v>44588</v>
      </c>
      <c r="C186" s="1" t="n">
        <v>45964</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58374-2024</t>
        </is>
      </c>
      <c r="B187" s="1" t="n">
        <v>45632.72635416667</v>
      </c>
      <c r="C187" s="1" t="n">
        <v>45964</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29093-2023</t>
        </is>
      </c>
      <c r="B188" s="1" t="n">
        <v>45105</v>
      </c>
      <c r="C188" s="1" t="n">
        <v>45964</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33352-2022</t>
        </is>
      </c>
      <c r="B189" s="1" t="n">
        <v>44788</v>
      </c>
      <c r="C189" s="1" t="n">
        <v>45964</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34040-2021</t>
        </is>
      </c>
      <c r="B190" s="1" t="n">
        <v>44379</v>
      </c>
      <c r="C190" s="1" t="n">
        <v>45964</v>
      </c>
      <c r="D190" t="inlineStr">
        <is>
          <t>KALMAR LÄN</t>
        </is>
      </c>
      <c r="E190" t="inlineStr">
        <is>
          <t>VIMMERBY</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15200-2021</t>
        </is>
      </c>
      <c r="B191" s="1" t="n">
        <v>44284.44574074074</v>
      </c>
      <c r="C191" s="1" t="n">
        <v>45964</v>
      </c>
      <c r="D191" t="inlineStr">
        <is>
          <t>KALMAR LÄN</t>
        </is>
      </c>
      <c r="E191" t="inlineStr">
        <is>
          <t>VIMMERBY</t>
        </is>
      </c>
      <c r="G191" t="n">
        <v>1.2</v>
      </c>
      <c r="H191" t="n">
        <v>0</v>
      </c>
      <c r="I191" t="n">
        <v>0</v>
      </c>
      <c r="J191" t="n">
        <v>0</v>
      </c>
      <c r="K191" t="n">
        <v>0</v>
      </c>
      <c r="L191" t="n">
        <v>0</v>
      </c>
      <c r="M191" t="n">
        <v>0</v>
      </c>
      <c r="N191" t="n">
        <v>0</v>
      </c>
      <c r="O191" t="n">
        <v>0</v>
      </c>
      <c r="P191" t="n">
        <v>0</v>
      </c>
      <c r="Q191" t="n">
        <v>0</v>
      </c>
      <c r="R191" s="2" t="inlineStr"/>
    </row>
    <row r="192" ht="15" customHeight="1">
      <c r="A192" t="inlineStr">
        <is>
          <t>A 10674-2021</t>
        </is>
      </c>
      <c r="B192" s="1" t="n">
        <v>44258</v>
      </c>
      <c r="C192" s="1" t="n">
        <v>45964</v>
      </c>
      <c r="D192" t="inlineStr">
        <is>
          <t>KALMAR LÄN</t>
        </is>
      </c>
      <c r="E192" t="inlineStr">
        <is>
          <t>VIMMERBY</t>
        </is>
      </c>
      <c r="G192" t="n">
        <v>8.4</v>
      </c>
      <c r="H192" t="n">
        <v>0</v>
      </c>
      <c r="I192" t="n">
        <v>0</v>
      </c>
      <c r="J192" t="n">
        <v>0</v>
      </c>
      <c r="K192" t="n">
        <v>0</v>
      </c>
      <c r="L192" t="n">
        <v>0</v>
      </c>
      <c r="M192" t="n">
        <v>0</v>
      </c>
      <c r="N192" t="n">
        <v>0</v>
      </c>
      <c r="O192" t="n">
        <v>0</v>
      </c>
      <c r="P192" t="n">
        <v>0</v>
      </c>
      <c r="Q192" t="n">
        <v>0</v>
      </c>
      <c r="R192" s="2" t="inlineStr"/>
    </row>
    <row r="193" ht="15" customHeight="1">
      <c r="A193" t="inlineStr">
        <is>
          <t>A 22264-2023</t>
        </is>
      </c>
      <c r="B193" s="1" t="n">
        <v>45070.3665625</v>
      </c>
      <c r="C193" s="1" t="n">
        <v>45964</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11619-2023</t>
        </is>
      </c>
      <c r="B194" s="1" t="n">
        <v>44994.42113425926</v>
      </c>
      <c r="C194" s="1" t="n">
        <v>45964</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16676-2023</t>
        </is>
      </c>
      <c r="B195" s="1" t="n">
        <v>45028</v>
      </c>
      <c r="C195" s="1" t="n">
        <v>45964</v>
      </c>
      <c r="D195" t="inlineStr">
        <is>
          <t>KALMAR LÄN</t>
        </is>
      </c>
      <c r="E195" t="inlineStr">
        <is>
          <t>VIMMERBY</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6220-2025</t>
        </is>
      </c>
      <c r="B196" s="1" t="n">
        <v>45698.53725694444</v>
      </c>
      <c r="C196" s="1" t="n">
        <v>45964</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41896-2023</t>
        </is>
      </c>
      <c r="B197" s="1" t="n">
        <v>45176.72427083334</v>
      </c>
      <c r="C197" s="1" t="n">
        <v>45964</v>
      </c>
      <c r="D197" t="inlineStr">
        <is>
          <t>KALMAR LÄN</t>
        </is>
      </c>
      <c r="E197" t="inlineStr">
        <is>
          <t>VIMMERBY</t>
        </is>
      </c>
      <c r="G197" t="n">
        <v>1.3</v>
      </c>
      <c r="H197" t="n">
        <v>0</v>
      </c>
      <c r="I197" t="n">
        <v>0</v>
      </c>
      <c r="J197" t="n">
        <v>0</v>
      </c>
      <c r="K197" t="n">
        <v>0</v>
      </c>
      <c r="L197" t="n">
        <v>0</v>
      </c>
      <c r="M197" t="n">
        <v>0</v>
      </c>
      <c r="N197" t="n">
        <v>0</v>
      </c>
      <c r="O197" t="n">
        <v>0</v>
      </c>
      <c r="P197" t="n">
        <v>0</v>
      </c>
      <c r="Q197" t="n">
        <v>0</v>
      </c>
      <c r="R197" s="2" t="inlineStr"/>
    </row>
    <row r="198" ht="15" customHeight="1">
      <c r="A198" t="inlineStr">
        <is>
          <t>A 30402-2023</t>
        </is>
      </c>
      <c r="B198" s="1" t="n">
        <v>45111.48395833333</v>
      </c>
      <c r="C198" s="1" t="n">
        <v>45964</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24096-2024</t>
        </is>
      </c>
      <c r="B199" s="1" t="n">
        <v>45456.59289351852</v>
      </c>
      <c r="C199" s="1" t="n">
        <v>45964</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29013-2024</t>
        </is>
      </c>
      <c r="B200" s="1" t="n">
        <v>45481.55984953704</v>
      </c>
      <c r="C200" s="1" t="n">
        <v>45964</v>
      </c>
      <c r="D200" t="inlineStr">
        <is>
          <t>KALMAR LÄN</t>
        </is>
      </c>
      <c r="E200" t="inlineStr">
        <is>
          <t>VIMMERBY</t>
        </is>
      </c>
      <c r="G200" t="n">
        <v>3.4</v>
      </c>
      <c r="H200" t="n">
        <v>0</v>
      </c>
      <c r="I200" t="n">
        <v>0</v>
      </c>
      <c r="J200" t="n">
        <v>0</v>
      </c>
      <c r="K200" t="n">
        <v>0</v>
      </c>
      <c r="L200" t="n">
        <v>0</v>
      </c>
      <c r="M200" t="n">
        <v>0</v>
      </c>
      <c r="N200" t="n">
        <v>0</v>
      </c>
      <c r="O200" t="n">
        <v>0</v>
      </c>
      <c r="P200" t="n">
        <v>0</v>
      </c>
      <c r="Q200" t="n">
        <v>0</v>
      </c>
      <c r="R200" s="2" t="inlineStr"/>
    </row>
    <row r="201" ht="15" customHeight="1">
      <c r="A201" t="inlineStr">
        <is>
          <t>A 17926-2025</t>
        </is>
      </c>
      <c r="B201" s="1" t="n">
        <v>45759.38987268518</v>
      </c>
      <c r="C201" s="1" t="n">
        <v>45964</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6066-2023</t>
        </is>
      </c>
      <c r="B202" s="1" t="n">
        <v>44964.50894675926</v>
      </c>
      <c r="C202" s="1" t="n">
        <v>45964</v>
      </c>
      <c r="D202" t="inlineStr">
        <is>
          <t>KALMAR LÄN</t>
        </is>
      </c>
      <c r="E202" t="inlineStr">
        <is>
          <t>VIMMERBY</t>
        </is>
      </c>
      <c r="G202" t="n">
        <v>2.8</v>
      </c>
      <c r="H202" t="n">
        <v>0</v>
      </c>
      <c r="I202" t="n">
        <v>0</v>
      </c>
      <c r="J202" t="n">
        <v>0</v>
      </c>
      <c r="K202" t="n">
        <v>0</v>
      </c>
      <c r="L202" t="n">
        <v>0</v>
      </c>
      <c r="M202" t="n">
        <v>0</v>
      </c>
      <c r="N202" t="n">
        <v>0</v>
      </c>
      <c r="O202" t="n">
        <v>0</v>
      </c>
      <c r="P202" t="n">
        <v>0</v>
      </c>
      <c r="Q202" t="n">
        <v>0</v>
      </c>
      <c r="R202" s="2" t="inlineStr"/>
    </row>
    <row r="203" ht="15" customHeight="1">
      <c r="A203" t="inlineStr">
        <is>
          <t>A 59955-2023</t>
        </is>
      </c>
      <c r="B203" s="1" t="n">
        <v>45257.70313657408</v>
      </c>
      <c r="C203" s="1" t="n">
        <v>45964</v>
      </c>
      <c r="D203" t="inlineStr">
        <is>
          <t>KALMAR LÄN</t>
        </is>
      </c>
      <c r="E203" t="inlineStr">
        <is>
          <t>VIMMERBY</t>
        </is>
      </c>
      <c r="G203" t="n">
        <v>13.8</v>
      </c>
      <c r="H203" t="n">
        <v>0</v>
      </c>
      <c r="I203" t="n">
        <v>0</v>
      </c>
      <c r="J203" t="n">
        <v>0</v>
      </c>
      <c r="K203" t="n">
        <v>0</v>
      </c>
      <c r="L203" t="n">
        <v>0</v>
      </c>
      <c r="M203" t="n">
        <v>0</v>
      </c>
      <c r="N203" t="n">
        <v>0</v>
      </c>
      <c r="O203" t="n">
        <v>0</v>
      </c>
      <c r="P203" t="n">
        <v>0</v>
      </c>
      <c r="Q203" t="n">
        <v>0</v>
      </c>
      <c r="R203" s="2" t="inlineStr"/>
    </row>
    <row r="204" ht="15" customHeight="1">
      <c r="A204" t="inlineStr">
        <is>
          <t>A 36040-2024</t>
        </is>
      </c>
      <c r="B204" s="1" t="n">
        <v>45533.60232638889</v>
      </c>
      <c r="C204" s="1" t="n">
        <v>45964</v>
      </c>
      <c r="D204" t="inlineStr">
        <is>
          <t>KALMAR LÄN</t>
        </is>
      </c>
      <c r="E204" t="inlineStr">
        <is>
          <t>VIMMERBY</t>
        </is>
      </c>
      <c r="F204" t="inlineStr">
        <is>
          <t>Kommuner</t>
        </is>
      </c>
      <c r="G204" t="n">
        <v>3.6</v>
      </c>
      <c r="H204" t="n">
        <v>0</v>
      </c>
      <c r="I204" t="n">
        <v>0</v>
      </c>
      <c r="J204" t="n">
        <v>0</v>
      </c>
      <c r="K204" t="n">
        <v>0</v>
      </c>
      <c r="L204" t="n">
        <v>0</v>
      </c>
      <c r="M204" t="n">
        <v>0</v>
      </c>
      <c r="N204" t="n">
        <v>0</v>
      </c>
      <c r="O204" t="n">
        <v>0</v>
      </c>
      <c r="P204" t="n">
        <v>0</v>
      </c>
      <c r="Q204" t="n">
        <v>0</v>
      </c>
      <c r="R204" s="2" t="inlineStr"/>
    </row>
    <row r="205" ht="15" customHeight="1">
      <c r="A205" t="inlineStr">
        <is>
          <t>A 36043-2024</t>
        </is>
      </c>
      <c r="B205" s="1" t="n">
        <v>45533.60770833334</v>
      </c>
      <c r="C205" s="1" t="n">
        <v>45964</v>
      </c>
      <c r="D205" t="inlineStr">
        <is>
          <t>KALMAR LÄN</t>
        </is>
      </c>
      <c r="E205" t="inlineStr">
        <is>
          <t>VIMMERBY</t>
        </is>
      </c>
      <c r="F205" t="inlineStr">
        <is>
          <t>Kommuner</t>
        </is>
      </c>
      <c r="G205" t="n">
        <v>1.5</v>
      </c>
      <c r="H205" t="n">
        <v>0</v>
      </c>
      <c r="I205" t="n">
        <v>0</v>
      </c>
      <c r="J205" t="n">
        <v>0</v>
      </c>
      <c r="K205" t="n">
        <v>0</v>
      </c>
      <c r="L205" t="n">
        <v>0</v>
      </c>
      <c r="M205" t="n">
        <v>0</v>
      </c>
      <c r="N205" t="n">
        <v>0</v>
      </c>
      <c r="O205" t="n">
        <v>0</v>
      </c>
      <c r="P205" t="n">
        <v>0</v>
      </c>
      <c r="Q205" t="n">
        <v>0</v>
      </c>
      <c r="R205" s="2" t="inlineStr"/>
    </row>
    <row r="206" ht="15" customHeight="1">
      <c r="A206" t="inlineStr">
        <is>
          <t>A 12890-2023</t>
        </is>
      </c>
      <c r="B206" s="1" t="n">
        <v>45001.59209490741</v>
      </c>
      <c r="C206" s="1" t="n">
        <v>45964</v>
      </c>
      <c r="D206" t="inlineStr">
        <is>
          <t>KALMAR LÄN</t>
        </is>
      </c>
      <c r="E206" t="inlineStr">
        <is>
          <t>VIMMERBY</t>
        </is>
      </c>
      <c r="G206" t="n">
        <v>2.8</v>
      </c>
      <c r="H206" t="n">
        <v>0</v>
      </c>
      <c r="I206" t="n">
        <v>0</v>
      </c>
      <c r="J206" t="n">
        <v>0</v>
      </c>
      <c r="K206" t="n">
        <v>0</v>
      </c>
      <c r="L206" t="n">
        <v>0</v>
      </c>
      <c r="M206" t="n">
        <v>0</v>
      </c>
      <c r="N206" t="n">
        <v>0</v>
      </c>
      <c r="O206" t="n">
        <v>0</v>
      </c>
      <c r="P206" t="n">
        <v>0</v>
      </c>
      <c r="Q206" t="n">
        <v>0</v>
      </c>
      <c r="R206" s="2" t="inlineStr"/>
    </row>
    <row r="207" ht="15" customHeight="1">
      <c r="A207" t="inlineStr">
        <is>
          <t>A 21028-2023</t>
        </is>
      </c>
      <c r="B207" s="1" t="n">
        <v>45061</v>
      </c>
      <c r="C207" s="1" t="n">
        <v>45964</v>
      </c>
      <c r="D207" t="inlineStr">
        <is>
          <t>KALMAR LÄN</t>
        </is>
      </c>
      <c r="E207" t="inlineStr">
        <is>
          <t>VIMMERBY</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43594-2024</t>
        </is>
      </c>
      <c r="B208" s="1" t="n">
        <v>45569.44295138889</v>
      </c>
      <c r="C208" s="1" t="n">
        <v>45964</v>
      </c>
      <c r="D208" t="inlineStr">
        <is>
          <t>KALMAR LÄN</t>
        </is>
      </c>
      <c r="E208" t="inlineStr">
        <is>
          <t>VIMMERBY</t>
        </is>
      </c>
      <c r="G208" t="n">
        <v>3.9</v>
      </c>
      <c r="H208" t="n">
        <v>0</v>
      </c>
      <c r="I208" t="n">
        <v>0</v>
      </c>
      <c r="J208" t="n">
        <v>0</v>
      </c>
      <c r="K208" t="n">
        <v>0</v>
      </c>
      <c r="L208" t="n">
        <v>0</v>
      </c>
      <c r="M208" t="n">
        <v>0</v>
      </c>
      <c r="N208" t="n">
        <v>0</v>
      </c>
      <c r="O208" t="n">
        <v>0</v>
      </c>
      <c r="P208" t="n">
        <v>0</v>
      </c>
      <c r="Q208" t="n">
        <v>0</v>
      </c>
      <c r="R208" s="2" t="inlineStr"/>
    </row>
    <row r="209" ht="15" customHeight="1">
      <c r="A209" t="inlineStr">
        <is>
          <t>A 53482-2022</t>
        </is>
      </c>
      <c r="B209" s="1" t="n">
        <v>44879</v>
      </c>
      <c r="C209" s="1" t="n">
        <v>45964</v>
      </c>
      <c r="D209" t="inlineStr">
        <is>
          <t>KALMAR LÄN</t>
        </is>
      </c>
      <c r="E209" t="inlineStr">
        <is>
          <t>VIMMERBY</t>
        </is>
      </c>
      <c r="G209" t="n">
        <v>10.1</v>
      </c>
      <c r="H209" t="n">
        <v>0</v>
      </c>
      <c r="I209" t="n">
        <v>0</v>
      </c>
      <c r="J209" t="n">
        <v>0</v>
      </c>
      <c r="K209" t="n">
        <v>0</v>
      </c>
      <c r="L209" t="n">
        <v>0</v>
      </c>
      <c r="M209" t="n">
        <v>0</v>
      </c>
      <c r="N209" t="n">
        <v>0</v>
      </c>
      <c r="O209" t="n">
        <v>0</v>
      </c>
      <c r="P209" t="n">
        <v>0</v>
      </c>
      <c r="Q209" t="n">
        <v>0</v>
      </c>
      <c r="R209" s="2" t="inlineStr"/>
    </row>
    <row r="210" ht="15" customHeight="1">
      <c r="A210" t="inlineStr">
        <is>
          <t>A 11609-2023</t>
        </is>
      </c>
      <c r="B210" s="1" t="n">
        <v>44994.40635416667</v>
      </c>
      <c r="C210" s="1" t="n">
        <v>45964</v>
      </c>
      <c r="D210" t="inlineStr">
        <is>
          <t>KALMAR LÄN</t>
        </is>
      </c>
      <c r="E210" t="inlineStr">
        <is>
          <t>VIMMERBY</t>
        </is>
      </c>
      <c r="G210" t="n">
        <v>4.9</v>
      </c>
      <c r="H210" t="n">
        <v>0</v>
      </c>
      <c r="I210" t="n">
        <v>0</v>
      </c>
      <c r="J210" t="n">
        <v>0</v>
      </c>
      <c r="K210" t="n">
        <v>0</v>
      </c>
      <c r="L210" t="n">
        <v>0</v>
      </c>
      <c r="M210" t="n">
        <v>0</v>
      </c>
      <c r="N210" t="n">
        <v>0</v>
      </c>
      <c r="O210" t="n">
        <v>0</v>
      </c>
      <c r="P210" t="n">
        <v>0</v>
      </c>
      <c r="Q210" t="n">
        <v>0</v>
      </c>
      <c r="R210" s="2" t="inlineStr"/>
    </row>
    <row r="211" ht="15" customHeight="1">
      <c r="A211" t="inlineStr">
        <is>
          <t>A 65961-2020</t>
        </is>
      </c>
      <c r="B211" s="1" t="n">
        <v>44175.39748842592</v>
      </c>
      <c r="C211" s="1" t="n">
        <v>45964</v>
      </c>
      <c r="D211" t="inlineStr">
        <is>
          <t>KALMAR LÄN</t>
        </is>
      </c>
      <c r="E211" t="inlineStr">
        <is>
          <t>VIMMERBY</t>
        </is>
      </c>
      <c r="G211" t="n">
        <v>2.6</v>
      </c>
      <c r="H211" t="n">
        <v>0</v>
      </c>
      <c r="I211" t="n">
        <v>0</v>
      </c>
      <c r="J211" t="n">
        <v>0</v>
      </c>
      <c r="K211" t="n">
        <v>0</v>
      </c>
      <c r="L211" t="n">
        <v>0</v>
      </c>
      <c r="M211" t="n">
        <v>0</v>
      </c>
      <c r="N211" t="n">
        <v>0</v>
      </c>
      <c r="O211" t="n">
        <v>0</v>
      </c>
      <c r="P211" t="n">
        <v>0</v>
      </c>
      <c r="Q211" t="n">
        <v>0</v>
      </c>
      <c r="R211" s="2" t="inlineStr"/>
    </row>
    <row r="212" ht="15" customHeight="1">
      <c r="A212" t="inlineStr">
        <is>
          <t>A 19445-2021</t>
        </is>
      </c>
      <c r="B212" s="1" t="n">
        <v>44310</v>
      </c>
      <c r="C212" s="1" t="n">
        <v>45964</v>
      </c>
      <c r="D212" t="inlineStr">
        <is>
          <t>KALMAR LÄN</t>
        </is>
      </c>
      <c r="E212" t="inlineStr">
        <is>
          <t>VIMMERBY</t>
        </is>
      </c>
      <c r="G212" t="n">
        <v>6.8</v>
      </c>
      <c r="H212" t="n">
        <v>0</v>
      </c>
      <c r="I212" t="n">
        <v>0</v>
      </c>
      <c r="J212" t="n">
        <v>0</v>
      </c>
      <c r="K212" t="n">
        <v>0</v>
      </c>
      <c r="L212" t="n">
        <v>0</v>
      </c>
      <c r="M212" t="n">
        <v>0</v>
      </c>
      <c r="N212" t="n">
        <v>0</v>
      </c>
      <c r="O212" t="n">
        <v>0</v>
      </c>
      <c r="P212" t="n">
        <v>0</v>
      </c>
      <c r="Q212" t="n">
        <v>0</v>
      </c>
      <c r="R212" s="2" t="inlineStr"/>
    </row>
    <row r="213" ht="15" customHeight="1">
      <c r="A213" t="inlineStr">
        <is>
          <t>A 27122-2023</t>
        </is>
      </c>
      <c r="B213" s="1" t="n">
        <v>45096.45247685185</v>
      </c>
      <c r="C213" s="1" t="n">
        <v>45964</v>
      </c>
      <c r="D213" t="inlineStr">
        <is>
          <t>KALMAR LÄN</t>
        </is>
      </c>
      <c r="E213" t="inlineStr">
        <is>
          <t>VIMMERBY</t>
        </is>
      </c>
      <c r="G213" t="n">
        <v>1.7</v>
      </c>
      <c r="H213" t="n">
        <v>0</v>
      </c>
      <c r="I213" t="n">
        <v>0</v>
      </c>
      <c r="J213" t="n">
        <v>0</v>
      </c>
      <c r="K213" t="n">
        <v>0</v>
      </c>
      <c r="L213" t="n">
        <v>0</v>
      </c>
      <c r="M213" t="n">
        <v>0</v>
      </c>
      <c r="N213" t="n">
        <v>0</v>
      </c>
      <c r="O213" t="n">
        <v>0</v>
      </c>
      <c r="P213" t="n">
        <v>0</v>
      </c>
      <c r="Q213" t="n">
        <v>0</v>
      </c>
      <c r="R213" s="2" t="inlineStr"/>
    </row>
    <row r="214" ht="15" customHeight="1">
      <c r="A214" t="inlineStr">
        <is>
          <t>A 16983-2023</t>
        </is>
      </c>
      <c r="B214" s="1" t="n">
        <v>45033.76043981482</v>
      </c>
      <c r="C214" s="1" t="n">
        <v>45964</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27761-2024</t>
        </is>
      </c>
      <c r="B215" s="1" t="n">
        <v>45475.49018518518</v>
      </c>
      <c r="C215" s="1" t="n">
        <v>45964</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64203-2021</t>
        </is>
      </c>
      <c r="B216" s="1" t="n">
        <v>44510.60921296296</v>
      </c>
      <c r="C216" s="1" t="n">
        <v>45964</v>
      </c>
      <c r="D216" t="inlineStr">
        <is>
          <t>KALMAR LÄN</t>
        </is>
      </c>
      <c r="E216" t="inlineStr">
        <is>
          <t>VIMMERBY</t>
        </is>
      </c>
      <c r="F216" t="inlineStr">
        <is>
          <t>Övriga Aktiebolag</t>
        </is>
      </c>
      <c r="G216" t="n">
        <v>5.4</v>
      </c>
      <c r="H216" t="n">
        <v>0</v>
      </c>
      <c r="I216" t="n">
        <v>0</v>
      </c>
      <c r="J216" t="n">
        <v>0</v>
      </c>
      <c r="K216" t="n">
        <v>0</v>
      </c>
      <c r="L216" t="n">
        <v>0</v>
      </c>
      <c r="M216" t="n">
        <v>0</v>
      </c>
      <c r="N216" t="n">
        <v>0</v>
      </c>
      <c r="O216" t="n">
        <v>0</v>
      </c>
      <c r="P216" t="n">
        <v>0</v>
      </c>
      <c r="Q216" t="n">
        <v>0</v>
      </c>
      <c r="R216" s="2" t="inlineStr"/>
    </row>
    <row r="217" ht="15" customHeight="1">
      <c r="A217" t="inlineStr">
        <is>
          <t>A 13813-2024</t>
        </is>
      </c>
      <c r="B217" s="1" t="n">
        <v>45391.41310185185</v>
      </c>
      <c r="C217" s="1" t="n">
        <v>45964</v>
      </c>
      <c r="D217" t="inlineStr">
        <is>
          <t>KALMAR LÄN</t>
        </is>
      </c>
      <c r="E217" t="inlineStr">
        <is>
          <t>VIMMERBY</t>
        </is>
      </c>
      <c r="G217" t="n">
        <v>0.4</v>
      </c>
      <c r="H217" t="n">
        <v>0</v>
      </c>
      <c r="I217" t="n">
        <v>0</v>
      </c>
      <c r="J217" t="n">
        <v>0</v>
      </c>
      <c r="K217" t="n">
        <v>0</v>
      </c>
      <c r="L217" t="n">
        <v>0</v>
      </c>
      <c r="M217" t="n">
        <v>0</v>
      </c>
      <c r="N217" t="n">
        <v>0</v>
      </c>
      <c r="O217" t="n">
        <v>0</v>
      </c>
      <c r="P217" t="n">
        <v>0</v>
      </c>
      <c r="Q217" t="n">
        <v>0</v>
      </c>
      <c r="R217" s="2" t="inlineStr"/>
    </row>
    <row r="218" ht="15" customHeight="1">
      <c r="A218" t="inlineStr">
        <is>
          <t>A 38969-2023</t>
        </is>
      </c>
      <c r="B218" s="1" t="n">
        <v>45163.63621527778</v>
      </c>
      <c r="C218" s="1" t="n">
        <v>45964</v>
      </c>
      <c r="D218" t="inlineStr">
        <is>
          <t>KALMAR LÄN</t>
        </is>
      </c>
      <c r="E218" t="inlineStr">
        <is>
          <t>VIMMERBY</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46144-2023</t>
        </is>
      </c>
      <c r="B219" s="1" t="n">
        <v>45196.57247685185</v>
      </c>
      <c r="C219" s="1" t="n">
        <v>45964</v>
      </c>
      <c r="D219" t="inlineStr">
        <is>
          <t>KALMAR LÄN</t>
        </is>
      </c>
      <c r="E219" t="inlineStr">
        <is>
          <t>VIMMERBY</t>
        </is>
      </c>
      <c r="G219" t="n">
        <v>6.5</v>
      </c>
      <c r="H219" t="n">
        <v>0</v>
      </c>
      <c r="I219" t="n">
        <v>0</v>
      </c>
      <c r="J219" t="n">
        <v>0</v>
      </c>
      <c r="K219" t="n">
        <v>0</v>
      </c>
      <c r="L219" t="n">
        <v>0</v>
      </c>
      <c r="M219" t="n">
        <v>0</v>
      </c>
      <c r="N219" t="n">
        <v>0</v>
      </c>
      <c r="O219" t="n">
        <v>0</v>
      </c>
      <c r="P219" t="n">
        <v>0</v>
      </c>
      <c r="Q219" t="n">
        <v>0</v>
      </c>
      <c r="R219" s="2" t="inlineStr"/>
    </row>
    <row r="220" ht="15" customHeight="1">
      <c r="A220" t="inlineStr">
        <is>
          <t>A 5720-2023</t>
        </is>
      </c>
      <c r="B220" s="1" t="n">
        <v>44961</v>
      </c>
      <c r="C220" s="1" t="n">
        <v>45964</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9643-2023</t>
        </is>
      </c>
      <c r="B221" s="1" t="n">
        <v>44984</v>
      </c>
      <c r="C221" s="1" t="n">
        <v>45964</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25728-2023</t>
        </is>
      </c>
      <c r="B222" s="1" t="n">
        <v>45090.38012731481</v>
      </c>
      <c r="C222" s="1" t="n">
        <v>45964</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26937-2023</t>
        </is>
      </c>
      <c r="B223" s="1" t="n">
        <v>45093.62777777778</v>
      </c>
      <c r="C223" s="1" t="n">
        <v>45964</v>
      </c>
      <c r="D223" t="inlineStr">
        <is>
          <t>KALMAR LÄN</t>
        </is>
      </c>
      <c r="E223" t="inlineStr">
        <is>
          <t>VIMMERBY</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57486-2024</t>
        </is>
      </c>
      <c r="B224" s="1" t="n">
        <v>45630.35827546296</v>
      </c>
      <c r="C224" s="1" t="n">
        <v>45964</v>
      </c>
      <c r="D224" t="inlineStr">
        <is>
          <t>KALMAR LÄN</t>
        </is>
      </c>
      <c r="E224" t="inlineStr">
        <is>
          <t>VIMMERBY</t>
        </is>
      </c>
      <c r="G224" t="n">
        <v>0.4</v>
      </c>
      <c r="H224" t="n">
        <v>0</v>
      </c>
      <c r="I224" t="n">
        <v>0</v>
      </c>
      <c r="J224" t="n">
        <v>0</v>
      </c>
      <c r="K224" t="n">
        <v>0</v>
      </c>
      <c r="L224" t="n">
        <v>0</v>
      </c>
      <c r="M224" t="n">
        <v>0</v>
      </c>
      <c r="N224" t="n">
        <v>0</v>
      </c>
      <c r="O224" t="n">
        <v>0</v>
      </c>
      <c r="P224" t="n">
        <v>0</v>
      </c>
      <c r="Q224" t="n">
        <v>0</v>
      </c>
      <c r="R224" s="2" t="inlineStr"/>
    </row>
    <row r="225" ht="15" customHeight="1">
      <c r="A225" t="inlineStr">
        <is>
          <t>A 43186-2021</t>
        </is>
      </c>
      <c r="B225" s="1" t="n">
        <v>44431.84840277778</v>
      </c>
      <c r="C225" s="1" t="n">
        <v>45964</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1799-2025</t>
        </is>
      </c>
      <c r="B226" s="1" t="n">
        <v>45671.46746527778</v>
      </c>
      <c r="C226" s="1" t="n">
        <v>45964</v>
      </c>
      <c r="D226" t="inlineStr">
        <is>
          <t>KALMAR LÄN</t>
        </is>
      </c>
      <c r="E226" t="inlineStr">
        <is>
          <t>VIMMERBY</t>
        </is>
      </c>
      <c r="G226" t="n">
        <v>3.3</v>
      </c>
      <c r="H226" t="n">
        <v>0</v>
      </c>
      <c r="I226" t="n">
        <v>0</v>
      </c>
      <c r="J226" t="n">
        <v>0</v>
      </c>
      <c r="K226" t="n">
        <v>0</v>
      </c>
      <c r="L226" t="n">
        <v>0</v>
      </c>
      <c r="M226" t="n">
        <v>0</v>
      </c>
      <c r="N226" t="n">
        <v>0</v>
      </c>
      <c r="O226" t="n">
        <v>0</v>
      </c>
      <c r="P226" t="n">
        <v>0</v>
      </c>
      <c r="Q226" t="n">
        <v>0</v>
      </c>
      <c r="R226" s="2" t="inlineStr"/>
    </row>
    <row r="227" ht="15" customHeight="1">
      <c r="A227" t="inlineStr">
        <is>
          <t>A 30063-2023</t>
        </is>
      </c>
      <c r="B227" s="1" t="n">
        <v>45110.4184375</v>
      </c>
      <c r="C227" s="1" t="n">
        <v>45964</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31382-2023</t>
        </is>
      </c>
      <c r="B228" s="1" t="n">
        <v>45114.55136574074</v>
      </c>
      <c r="C228" s="1" t="n">
        <v>45964</v>
      </c>
      <c r="D228" t="inlineStr">
        <is>
          <t>KALMAR LÄN</t>
        </is>
      </c>
      <c r="E228" t="inlineStr">
        <is>
          <t>VIMMERBY</t>
        </is>
      </c>
      <c r="G228" t="n">
        <v>3.7</v>
      </c>
      <c r="H228" t="n">
        <v>0</v>
      </c>
      <c r="I228" t="n">
        <v>0</v>
      </c>
      <c r="J228" t="n">
        <v>0</v>
      </c>
      <c r="K228" t="n">
        <v>0</v>
      </c>
      <c r="L228" t="n">
        <v>0</v>
      </c>
      <c r="M228" t="n">
        <v>0</v>
      </c>
      <c r="N228" t="n">
        <v>0</v>
      </c>
      <c r="O228" t="n">
        <v>0</v>
      </c>
      <c r="P228" t="n">
        <v>0</v>
      </c>
      <c r="Q228" t="n">
        <v>0</v>
      </c>
      <c r="R228" s="2" t="inlineStr"/>
    </row>
    <row r="229" ht="15" customHeight="1">
      <c r="A229" t="inlineStr">
        <is>
          <t>A 56213-2024</t>
        </is>
      </c>
      <c r="B229" s="1" t="n">
        <v>45624.60141203704</v>
      </c>
      <c r="C229" s="1" t="n">
        <v>45964</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43068-2023</t>
        </is>
      </c>
      <c r="B230" s="1" t="n">
        <v>45182.78834490741</v>
      </c>
      <c r="C230" s="1" t="n">
        <v>45964</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54409-2024</t>
        </is>
      </c>
      <c r="B231" s="1" t="n">
        <v>45617.47570601852</v>
      </c>
      <c r="C231" s="1" t="n">
        <v>45964</v>
      </c>
      <c r="D231" t="inlineStr">
        <is>
          <t>KALMAR LÄN</t>
        </is>
      </c>
      <c r="E231" t="inlineStr">
        <is>
          <t>VIMMERBY</t>
        </is>
      </c>
      <c r="G231" t="n">
        <v>4.3</v>
      </c>
      <c r="H231" t="n">
        <v>0</v>
      </c>
      <c r="I231" t="n">
        <v>0</v>
      </c>
      <c r="J231" t="n">
        <v>0</v>
      </c>
      <c r="K231" t="n">
        <v>0</v>
      </c>
      <c r="L231" t="n">
        <v>0</v>
      </c>
      <c r="M231" t="n">
        <v>0</v>
      </c>
      <c r="N231" t="n">
        <v>0</v>
      </c>
      <c r="O231" t="n">
        <v>0</v>
      </c>
      <c r="P231" t="n">
        <v>0</v>
      </c>
      <c r="Q231" t="n">
        <v>0</v>
      </c>
      <c r="R231" s="2" t="inlineStr"/>
    </row>
    <row r="232" ht="15" customHeight="1">
      <c r="A232" t="inlineStr">
        <is>
          <t>A 41311-2023</t>
        </is>
      </c>
      <c r="B232" s="1" t="n">
        <v>45174</v>
      </c>
      <c r="C232" s="1" t="n">
        <v>45964</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16825-2024</t>
        </is>
      </c>
      <c r="B233" s="1" t="n">
        <v>45411.47335648148</v>
      </c>
      <c r="C233" s="1" t="n">
        <v>45964</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26318-2023</t>
        </is>
      </c>
      <c r="B234" s="1" t="n">
        <v>45091.67936342592</v>
      </c>
      <c r="C234" s="1" t="n">
        <v>45964</v>
      </c>
      <c r="D234" t="inlineStr">
        <is>
          <t>KALMAR LÄN</t>
        </is>
      </c>
      <c r="E234" t="inlineStr">
        <is>
          <t>VIMMERBY</t>
        </is>
      </c>
      <c r="G234" t="n">
        <v>3.8</v>
      </c>
      <c r="H234" t="n">
        <v>0</v>
      </c>
      <c r="I234" t="n">
        <v>0</v>
      </c>
      <c r="J234" t="n">
        <v>0</v>
      </c>
      <c r="K234" t="n">
        <v>0</v>
      </c>
      <c r="L234" t="n">
        <v>0</v>
      </c>
      <c r="M234" t="n">
        <v>0</v>
      </c>
      <c r="N234" t="n">
        <v>0</v>
      </c>
      <c r="O234" t="n">
        <v>0</v>
      </c>
      <c r="P234" t="n">
        <v>0</v>
      </c>
      <c r="Q234" t="n">
        <v>0</v>
      </c>
      <c r="R234" s="2" t="inlineStr"/>
    </row>
    <row r="235" ht="15" customHeight="1">
      <c r="A235" t="inlineStr">
        <is>
          <t>A 7643-2022</t>
        </is>
      </c>
      <c r="B235" s="1" t="n">
        <v>44607</v>
      </c>
      <c r="C235" s="1" t="n">
        <v>45964</v>
      </c>
      <c r="D235" t="inlineStr">
        <is>
          <t>KALMAR LÄN</t>
        </is>
      </c>
      <c r="E235" t="inlineStr">
        <is>
          <t>VIMMERBY</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18020-2025</t>
        </is>
      </c>
      <c r="B236" s="1" t="n">
        <v>45761.4437962963</v>
      </c>
      <c r="C236" s="1" t="n">
        <v>45964</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33424-2023</t>
        </is>
      </c>
      <c r="B237" s="1" t="n">
        <v>45128.9325</v>
      </c>
      <c r="C237" s="1" t="n">
        <v>45964</v>
      </c>
      <c r="D237" t="inlineStr">
        <is>
          <t>KALMAR LÄN</t>
        </is>
      </c>
      <c r="E237" t="inlineStr">
        <is>
          <t>VIMMERBY</t>
        </is>
      </c>
      <c r="G237" t="n">
        <v>2.4</v>
      </c>
      <c r="H237" t="n">
        <v>0</v>
      </c>
      <c r="I237" t="n">
        <v>0</v>
      </c>
      <c r="J237" t="n">
        <v>0</v>
      </c>
      <c r="K237" t="n">
        <v>0</v>
      </c>
      <c r="L237" t="n">
        <v>0</v>
      </c>
      <c r="M237" t="n">
        <v>0</v>
      </c>
      <c r="N237" t="n">
        <v>0</v>
      </c>
      <c r="O237" t="n">
        <v>0</v>
      </c>
      <c r="P237" t="n">
        <v>0</v>
      </c>
      <c r="Q237" t="n">
        <v>0</v>
      </c>
      <c r="R237" s="2" t="inlineStr"/>
    </row>
    <row r="238" ht="15" customHeight="1">
      <c r="A238" t="inlineStr">
        <is>
          <t>A 33425-2023</t>
        </is>
      </c>
      <c r="B238" s="1" t="n">
        <v>45128.93540509259</v>
      </c>
      <c r="C238" s="1" t="n">
        <v>45964</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11027-2023</t>
        </is>
      </c>
      <c r="B239" s="1" t="n">
        <v>44991.89657407408</v>
      </c>
      <c r="C239" s="1" t="n">
        <v>45964</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12327-2023</t>
        </is>
      </c>
      <c r="B240" s="1" t="n">
        <v>44999.36081018519</v>
      </c>
      <c r="C240" s="1" t="n">
        <v>45964</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43092-2024</t>
        </is>
      </c>
      <c r="B241" s="1" t="n">
        <v>45567</v>
      </c>
      <c r="C241" s="1" t="n">
        <v>45964</v>
      </c>
      <c r="D241" t="inlineStr">
        <is>
          <t>KALMAR LÄN</t>
        </is>
      </c>
      <c r="E241" t="inlineStr">
        <is>
          <t>VIMMERBY</t>
        </is>
      </c>
      <c r="G241" t="n">
        <v>2.7</v>
      </c>
      <c r="H241" t="n">
        <v>0</v>
      </c>
      <c r="I241" t="n">
        <v>0</v>
      </c>
      <c r="J241" t="n">
        <v>0</v>
      </c>
      <c r="K241" t="n">
        <v>0</v>
      </c>
      <c r="L241" t="n">
        <v>0</v>
      </c>
      <c r="M241" t="n">
        <v>0</v>
      </c>
      <c r="N241" t="n">
        <v>0</v>
      </c>
      <c r="O241" t="n">
        <v>0</v>
      </c>
      <c r="P241" t="n">
        <v>0</v>
      </c>
      <c r="Q241" t="n">
        <v>0</v>
      </c>
      <c r="R241" s="2" t="inlineStr"/>
    </row>
    <row r="242" ht="15" customHeight="1">
      <c r="A242" t="inlineStr">
        <is>
          <t>A 53483-2022</t>
        </is>
      </c>
      <c r="B242" s="1" t="n">
        <v>44879.55940972222</v>
      </c>
      <c r="C242" s="1" t="n">
        <v>45964</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18899-2025</t>
        </is>
      </c>
      <c r="B243" s="1" t="n">
        <v>45764.44931712963</v>
      </c>
      <c r="C243" s="1" t="n">
        <v>45964</v>
      </c>
      <c r="D243" t="inlineStr">
        <is>
          <t>KALMAR LÄN</t>
        </is>
      </c>
      <c r="E243" t="inlineStr">
        <is>
          <t>VIMMERBY</t>
        </is>
      </c>
      <c r="F243" t="inlineStr">
        <is>
          <t>Kommuner</t>
        </is>
      </c>
      <c r="G243" t="n">
        <v>4</v>
      </c>
      <c r="H243" t="n">
        <v>0</v>
      </c>
      <c r="I243" t="n">
        <v>0</v>
      </c>
      <c r="J243" t="n">
        <v>0</v>
      </c>
      <c r="K243" t="n">
        <v>0</v>
      </c>
      <c r="L243" t="n">
        <v>0</v>
      </c>
      <c r="M243" t="n">
        <v>0</v>
      </c>
      <c r="N243" t="n">
        <v>0</v>
      </c>
      <c r="O243" t="n">
        <v>0</v>
      </c>
      <c r="P243" t="n">
        <v>0</v>
      </c>
      <c r="Q243" t="n">
        <v>0</v>
      </c>
      <c r="R243" s="2" t="inlineStr"/>
    </row>
    <row r="244" ht="15" customHeight="1">
      <c r="A244" t="inlineStr">
        <is>
          <t>A 52435-2021</t>
        </is>
      </c>
      <c r="B244" s="1" t="n">
        <v>44466.34962962963</v>
      </c>
      <c r="C244" s="1" t="n">
        <v>45964</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20054-2023</t>
        </is>
      </c>
      <c r="B245" s="1" t="n">
        <v>45054.6750462963</v>
      </c>
      <c r="C245" s="1" t="n">
        <v>45964</v>
      </c>
      <c r="D245" t="inlineStr">
        <is>
          <t>KALMAR LÄN</t>
        </is>
      </c>
      <c r="E245" t="inlineStr">
        <is>
          <t>VIMMERBY</t>
        </is>
      </c>
      <c r="G245" t="n">
        <v>2.4</v>
      </c>
      <c r="H245" t="n">
        <v>0</v>
      </c>
      <c r="I245" t="n">
        <v>0</v>
      </c>
      <c r="J245" t="n">
        <v>0</v>
      </c>
      <c r="K245" t="n">
        <v>0</v>
      </c>
      <c r="L245" t="n">
        <v>0</v>
      </c>
      <c r="M245" t="n">
        <v>0</v>
      </c>
      <c r="N245" t="n">
        <v>0</v>
      </c>
      <c r="O245" t="n">
        <v>0</v>
      </c>
      <c r="P245" t="n">
        <v>0</v>
      </c>
      <c r="Q245" t="n">
        <v>0</v>
      </c>
      <c r="R245" s="2" t="inlineStr"/>
    </row>
    <row r="246" ht="15" customHeight="1">
      <c r="A246" t="inlineStr">
        <is>
          <t>A 58962-2022</t>
        </is>
      </c>
      <c r="B246" s="1" t="n">
        <v>44903</v>
      </c>
      <c r="C246" s="1" t="n">
        <v>45964</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61355-2024</t>
        </is>
      </c>
      <c r="B247" s="1" t="n">
        <v>45646.38200231481</v>
      </c>
      <c r="C247" s="1" t="n">
        <v>45964</v>
      </c>
      <c r="D247" t="inlineStr">
        <is>
          <t>KALMAR LÄN</t>
        </is>
      </c>
      <c r="E247" t="inlineStr">
        <is>
          <t>VIMMERBY</t>
        </is>
      </c>
      <c r="G247" t="n">
        <v>2.7</v>
      </c>
      <c r="H247" t="n">
        <v>0</v>
      </c>
      <c r="I247" t="n">
        <v>0</v>
      </c>
      <c r="J247" t="n">
        <v>0</v>
      </c>
      <c r="K247" t="n">
        <v>0</v>
      </c>
      <c r="L247" t="n">
        <v>0</v>
      </c>
      <c r="M247" t="n">
        <v>0</v>
      </c>
      <c r="N247" t="n">
        <v>0</v>
      </c>
      <c r="O247" t="n">
        <v>0</v>
      </c>
      <c r="P247" t="n">
        <v>0</v>
      </c>
      <c r="Q247" t="n">
        <v>0</v>
      </c>
      <c r="R247" s="2" t="inlineStr"/>
    </row>
    <row r="248" ht="15" customHeight="1">
      <c r="A248" t="inlineStr">
        <is>
          <t>A 10837-2023</t>
        </is>
      </c>
      <c r="B248" s="1" t="n">
        <v>44991.30547453704</v>
      </c>
      <c r="C248" s="1" t="n">
        <v>45964</v>
      </c>
      <c r="D248" t="inlineStr">
        <is>
          <t>KALMAR LÄN</t>
        </is>
      </c>
      <c r="E248" t="inlineStr">
        <is>
          <t>VIMMERBY</t>
        </is>
      </c>
      <c r="G248" t="n">
        <v>7.3</v>
      </c>
      <c r="H248" t="n">
        <v>0</v>
      </c>
      <c r="I248" t="n">
        <v>0</v>
      </c>
      <c r="J248" t="n">
        <v>0</v>
      </c>
      <c r="K248" t="n">
        <v>0</v>
      </c>
      <c r="L248" t="n">
        <v>0</v>
      </c>
      <c r="M248" t="n">
        <v>0</v>
      </c>
      <c r="N248" t="n">
        <v>0</v>
      </c>
      <c r="O248" t="n">
        <v>0</v>
      </c>
      <c r="P248" t="n">
        <v>0</v>
      </c>
      <c r="Q248" t="n">
        <v>0</v>
      </c>
      <c r="R248" s="2" t="inlineStr"/>
    </row>
    <row r="249" ht="15" customHeight="1">
      <c r="A249" t="inlineStr">
        <is>
          <t>A 10838-2023</t>
        </is>
      </c>
      <c r="B249" s="1" t="n">
        <v>44991</v>
      </c>
      <c r="C249" s="1" t="n">
        <v>45964</v>
      </c>
      <c r="D249" t="inlineStr">
        <is>
          <t>KALMAR LÄN</t>
        </is>
      </c>
      <c r="E249" t="inlineStr">
        <is>
          <t>VIMMERBY</t>
        </is>
      </c>
      <c r="G249" t="n">
        <v>5.1</v>
      </c>
      <c r="H249" t="n">
        <v>0</v>
      </c>
      <c r="I249" t="n">
        <v>0</v>
      </c>
      <c r="J249" t="n">
        <v>0</v>
      </c>
      <c r="K249" t="n">
        <v>0</v>
      </c>
      <c r="L249" t="n">
        <v>0</v>
      </c>
      <c r="M249" t="n">
        <v>0</v>
      </c>
      <c r="N249" t="n">
        <v>0</v>
      </c>
      <c r="O249" t="n">
        <v>0</v>
      </c>
      <c r="P249" t="n">
        <v>0</v>
      </c>
      <c r="Q249" t="n">
        <v>0</v>
      </c>
      <c r="R249" s="2" t="inlineStr"/>
    </row>
    <row r="250" ht="15" customHeight="1">
      <c r="A250" t="inlineStr">
        <is>
          <t>A 35127-2024</t>
        </is>
      </c>
      <c r="B250" s="1" t="n">
        <v>45530.33202546297</v>
      </c>
      <c r="C250" s="1" t="n">
        <v>45964</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36802-2021</t>
        </is>
      </c>
      <c r="B251" s="1" t="n">
        <v>44392</v>
      </c>
      <c r="C251" s="1" t="n">
        <v>45964</v>
      </c>
      <c r="D251" t="inlineStr">
        <is>
          <t>KALMAR LÄN</t>
        </is>
      </c>
      <c r="E251" t="inlineStr">
        <is>
          <t>VIMMERBY</t>
        </is>
      </c>
      <c r="F251" t="inlineStr">
        <is>
          <t>Sveaskog</t>
        </is>
      </c>
      <c r="G251" t="n">
        <v>4.6</v>
      </c>
      <c r="H251" t="n">
        <v>0</v>
      </c>
      <c r="I251" t="n">
        <v>0</v>
      </c>
      <c r="J251" t="n">
        <v>0</v>
      </c>
      <c r="K251" t="n">
        <v>0</v>
      </c>
      <c r="L251" t="n">
        <v>0</v>
      </c>
      <c r="M251" t="n">
        <v>0</v>
      </c>
      <c r="N251" t="n">
        <v>0</v>
      </c>
      <c r="O251" t="n">
        <v>0</v>
      </c>
      <c r="P251" t="n">
        <v>0</v>
      </c>
      <c r="Q251" t="n">
        <v>0</v>
      </c>
      <c r="R251" s="2" t="inlineStr"/>
    </row>
    <row r="252" ht="15" customHeight="1">
      <c r="A252" t="inlineStr">
        <is>
          <t>A 60215-2022</t>
        </is>
      </c>
      <c r="B252" s="1" t="n">
        <v>44910.41346064815</v>
      </c>
      <c r="C252" s="1" t="n">
        <v>45964</v>
      </c>
      <c r="D252" t="inlineStr">
        <is>
          <t>KALMAR LÄN</t>
        </is>
      </c>
      <c r="E252" t="inlineStr">
        <is>
          <t>VIMMERBY</t>
        </is>
      </c>
      <c r="G252" t="n">
        <v>1.1</v>
      </c>
      <c r="H252" t="n">
        <v>0</v>
      </c>
      <c r="I252" t="n">
        <v>0</v>
      </c>
      <c r="J252" t="n">
        <v>0</v>
      </c>
      <c r="K252" t="n">
        <v>0</v>
      </c>
      <c r="L252" t="n">
        <v>0</v>
      </c>
      <c r="M252" t="n">
        <v>0</v>
      </c>
      <c r="N252" t="n">
        <v>0</v>
      </c>
      <c r="O252" t="n">
        <v>0</v>
      </c>
      <c r="P252" t="n">
        <v>0</v>
      </c>
      <c r="Q252" t="n">
        <v>0</v>
      </c>
      <c r="R252" s="2" t="inlineStr"/>
    </row>
    <row r="253" ht="15" customHeight="1">
      <c r="A253" t="inlineStr">
        <is>
          <t>A 29441-2024</t>
        </is>
      </c>
      <c r="B253" s="1" t="n">
        <v>45483.82834490741</v>
      </c>
      <c r="C253" s="1" t="n">
        <v>45964</v>
      </c>
      <c r="D253" t="inlineStr">
        <is>
          <t>KALMAR LÄN</t>
        </is>
      </c>
      <c r="E253" t="inlineStr">
        <is>
          <t>VIMMERBY</t>
        </is>
      </c>
      <c r="G253" t="n">
        <v>1.3</v>
      </c>
      <c r="H253" t="n">
        <v>0</v>
      </c>
      <c r="I253" t="n">
        <v>0</v>
      </c>
      <c r="J253" t="n">
        <v>0</v>
      </c>
      <c r="K253" t="n">
        <v>0</v>
      </c>
      <c r="L253" t="n">
        <v>0</v>
      </c>
      <c r="M253" t="n">
        <v>0</v>
      </c>
      <c r="N253" t="n">
        <v>0</v>
      </c>
      <c r="O253" t="n">
        <v>0</v>
      </c>
      <c r="P253" t="n">
        <v>0</v>
      </c>
      <c r="Q253" t="n">
        <v>0</v>
      </c>
      <c r="R253" s="2" t="inlineStr"/>
    </row>
    <row r="254" ht="15" customHeight="1">
      <c r="A254" t="inlineStr">
        <is>
          <t>A 13290-2025</t>
        </is>
      </c>
      <c r="B254" s="1" t="n">
        <v>45735.56751157407</v>
      </c>
      <c r="C254" s="1" t="n">
        <v>45964</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6216-2025</t>
        </is>
      </c>
      <c r="B255" s="1" t="n">
        <v>45698.52806712963</v>
      </c>
      <c r="C255" s="1" t="n">
        <v>45964</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62779-2023</t>
        </is>
      </c>
      <c r="B256" s="1" t="n">
        <v>45271.66576388889</v>
      </c>
      <c r="C256" s="1" t="n">
        <v>45964</v>
      </c>
      <c r="D256" t="inlineStr">
        <is>
          <t>KALMAR LÄN</t>
        </is>
      </c>
      <c r="E256" t="inlineStr">
        <is>
          <t>VIMMERBY</t>
        </is>
      </c>
      <c r="G256" t="n">
        <v>1.1</v>
      </c>
      <c r="H256" t="n">
        <v>0</v>
      </c>
      <c r="I256" t="n">
        <v>0</v>
      </c>
      <c r="J256" t="n">
        <v>0</v>
      </c>
      <c r="K256" t="n">
        <v>0</v>
      </c>
      <c r="L256" t="n">
        <v>0</v>
      </c>
      <c r="M256" t="n">
        <v>0</v>
      </c>
      <c r="N256" t="n">
        <v>0</v>
      </c>
      <c r="O256" t="n">
        <v>0</v>
      </c>
      <c r="P256" t="n">
        <v>0</v>
      </c>
      <c r="Q256" t="n">
        <v>0</v>
      </c>
      <c r="R256" s="2" t="inlineStr"/>
    </row>
    <row r="257" ht="15" customHeight="1">
      <c r="A257" t="inlineStr">
        <is>
          <t>A 19162-2023</t>
        </is>
      </c>
      <c r="B257" s="1" t="n">
        <v>45048.59699074074</v>
      </c>
      <c r="C257" s="1" t="n">
        <v>45964</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52294-2023</t>
        </is>
      </c>
      <c r="B258" s="1" t="n">
        <v>45224.60075231481</v>
      </c>
      <c r="C258" s="1" t="n">
        <v>45964</v>
      </c>
      <c r="D258" t="inlineStr">
        <is>
          <t>KALMAR LÄN</t>
        </is>
      </c>
      <c r="E258" t="inlineStr">
        <is>
          <t>VIMMERBY</t>
        </is>
      </c>
      <c r="F258" t="inlineStr">
        <is>
          <t>Sveaskog</t>
        </is>
      </c>
      <c r="G258" t="n">
        <v>2.5</v>
      </c>
      <c r="H258" t="n">
        <v>0</v>
      </c>
      <c r="I258" t="n">
        <v>0</v>
      </c>
      <c r="J258" t="n">
        <v>0</v>
      </c>
      <c r="K258" t="n">
        <v>0</v>
      </c>
      <c r="L258" t="n">
        <v>0</v>
      </c>
      <c r="M258" t="n">
        <v>0</v>
      </c>
      <c r="N258" t="n">
        <v>0</v>
      </c>
      <c r="O258" t="n">
        <v>0</v>
      </c>
      <c r="P258" t="n">
        <v>0</v>
      </c>
      <c r="Q258" t="n">
        <v>0</v>
      </c>
      <c r="R258" s="2" t="inlineStr"/>
    </row>
    <row r="259" ht="15" customHeight="1">
      <c r="A259" t="inlineStr">
        <is>
          <t>A 9475-2023</t>
        </is>
      </c>
      <c r="B259" s="1" t="n">
        <v>44981.58834490741</v>
      </c>
      <c r="C259" s="1" t="n">
        <v>45964</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38198-2024</t>
        </is>
      </c>
      <c r="B260" s="1" t="n">
        <v>45545.49508101852</v>
      </c>
      <c r="C260" s="1" t="n">
        <v>45964</v>
      </c>
      <c r="D260" t="inlineStr">
        <is>
          <t>KALMAR LÄN</t>
        </is>
      </c>
      <c r="E260" t="inlineStr">
        <is>
          <t>VIMMERBY</t>
        </is>
      </c>
      <c r="G260" t="n">
        <v>7.9</v>
      </c>
      <c r="H260" t="n">
        <v>0</v>
      </c>
      <c r="I260" t="n">
        <v>0</v>
      </c>
      <c r="J260" t="n">
        <v>0</v>
      </c>
      <c r="K260" t="n">
        <v>0</v>
      </c>
      <c r="L260" t="n">
        <v>0</v>
      </c>
      <c r="M260" t="n">
        <v>0</v>
      </c>
      <c r="N260" t="n">
        <v>0</v>
      </c>
      <c r="O260" t="n">
        <v>0</v>
      </c>
      <c r="P260" t="n">
        <v>0</v>
      </c>
      <c r="Q260" t="n">
        <v>0</v>
      </c>
      <c r="R260" s="2" t="inlineStr"/>
    </row>
    <row r="261" ht="15" customHeight="1">
      <c r="A261" t="inlineStr">
        <is>
          <t>A 9623-2024</t>
        </is>
      </c>
      <c r="B261" s="1" t="n">
        <v>45361.87975694444</v>
      </c>
      <c r="C261" s="1" t="n">
        <v>45964</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31013-2023</t>
        </is>
      </c>
      <c r="B262" s="1" t="n">
        <v>45113.56574074074</v>
      </c>
      <c r="C262" s="1" t="n">
        <v>45964</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11946-2025</t>
        </is>
      </c>
      <c r="B263" s="1" t="n">
        <v>45728.54832175926</v>
      </c>
      <c r="C263" s="1" t="n">
        <v>45964</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19537-2022</t>
        </is>
      </c>
      <c r="B264" s="1" t="n">
        <v>44693.62822916666</v>
      </c>
      <c r="C264" s="1" t="n">
        <v>45964</v>
      </c>
      <c r="D264" t="inlineStr">
        <is>
          <t>KALMAR LÄN</t>
        </is>
      </c>
      <c r="E264" t="inlineStr">
        <is>
          <t>VIMMERBY</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58967-2022</t>
        </is>
      </c>
      <c r="B265" s="1" t="n">
        <v>44896</v>
      </c>
      <c r="C265" s="1" t="n">
        <v>45964</v>
      </c>
      <c r="D265" t="inlineStr">
        <is>
          <t>KALMAR LÄN</t>
        </is>
      </c>
      <c r="E265" t="inlineStr">
        <is>
          <t>VIMMERBY</t>
        </is>
      </c>
      <c r="G265" t="n">
        <v>5</v>
      </c>
      <c r="H265" t="n">
        <v>0</v>
      </c>
      <c r="I265" t="n">
        <v>0</v>
      </c>
      <c r="J265" t="n">
        <v>0</v>
      </c>
      <c r="K265" t="n">
        <v>0</v>
      </c>
      <c r="L265" t="n">
        <v>0</v>
      </c>
      <c r="M265" t="n">
        <v>0</v>
      </c>
      <c r="N265" t="n">
        <v>0</v>
      </c>
      <c r="O265" t="n">
        <v>0</v>
      </c>
      <c r="P265" t="n">
        <v>0</v>
      </c>
      <c r="Q265" t="n">
        <v>0</v>
      </c>
      <c r="R265" s="2" t="inlineStr"/>
    </row>
    <row r="266" ht="15" customHeight="1">
      <c r="A266" t="inlineStr">
        <is>
          <t>A 72067-2021</t>
        </is>
      </c>
      <c r="B266" s="1" t="n">
        <v>44540</v>
      </c>
      <c r="C266" s="1" t="n">
        <v>45964</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61538-2022</t>
        </is>
      </c>
      <c r="B267" s="1" t="n">
        <v>44916.55414351852</v>
      </c>
      <c r="C267" s="1" t="n">
        <v>45964</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46964-2022</t>
        </is>
      </c>
      <c r="B268" s="1" t="n">
        <v>44851.95016203704</v>
      </c>
      <c r="C268" s="1" t="n">
        <v>45964</v>
      </c>
      <c r="D268" t="inlineStr">
        <is>
          <t>KALMAR LÄN</t>
        </is>
      </c>
      <c r="E268" t="inlineStr">
        <is>
          <t>VIMMERBY</t>
        </is>
      </c>
      <c r="G268" t="n">
        <v>0.2</v>
      </c>
      <c r="H268" t="n">
        <v>0</v>
      </c>
      <c r="I268" t="n">
        <v>0</v>
      </c>
      <c r="J268" t="n">
        <v>0</v>
      </c>
      <c r="K268" t="n">
        <v>0</v>
      </c>
      <c r="L268" t="n">
        <v>0</v>
      </c>
      <c r="M268" t="n">
        <v>0</v>
      </c>
      <c r="N268" t="n">
        <v>0</v>
      </c>
      <c r="O268" t="n">
        <v>0</v>
      </c>
      <c r="P268" t="n">
        <v>0</v>
      </c>
      <c r="Q268" t="n">
        <v>0</v>
      </c>
      <c r="R268" s="2" t="inlineStr"/>
    </row>
    <row r="269" ht="15" customHeight="1">
      <c r="A269" t="inlineStr">
        <is>
          <t>A 6399-2025</t>
        </is>
      </c>
      <c r="B269" s="1" t="n">
        <v>45699.44291666667</v>
      </c>
      <c r="C269" s="1" t="n">
        <v>45964</v>
      </c>
      <c r="D269" t="inlineStr">
        <is>
          <t>KALMAR LÄN</t>
        </is>
      </c>
      <c r="E269" t="inlineStr">
        <is>
          <t>VIMMERBY</t>
        </is>
      </c>
      <c r="G269" t="n">
        <v>3.1</v>
      </c>
      <c r="H269" t="n">
        <v>0</v>
      </c>
      <c r="I269" t="n">
        <v>0</v>
      </c>
      <c r="J269" t="n">
        <v>0</v>
      </c>
      <c r="K269" t="n">
        <v>0</v>
      </c>
      <c r="L269" t="n">
        <v>0</v>
      </c>
      <c r="M269" t="n">
        <v>0</v>
      </c>
      <c r="N269" t="n">
        <v>0</v>
      </c>
      <c r="O269" t="n">
        <v>0</v>
      </c>
      <c r="P269" t="n">
        <v>0</v>
      </c>
      <c r="Q269" t="n">
        <v>0</v>
      </c>
      <c r="R269" s="2" t="inlineStr"/>
    </row>
    <row r="270" ht="15" customHeight="1">
      <c r="A270" t="inlineStr">
        <is>
          <t>A 31355-2023</t>
        </is>
      </c>
      <c r="B270" s="1" t="n">
        <v>45114.49505787037</v>
      </c>
      <c r="C270" s="1" t="n">
        <v>45964</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36155-2023</t>
        </is>
      </c>
      <c r="B271" s="1" t="n">
        <v>45149.60917824074</v>
      </c>
      <c r="C271" s="1" t="n">
        <v>45964</v>
      </c>
      <c r="D271" t="inlineStr">
        <is>
          <t>KALMAR LÄN</t>
        </is>
      </c>
      <c r="E271" t="inlineStr">
        <is>
          <t>VIMMERBY</t>
        </is>
      </c>
      <c r="G271" t="n">
        <v>5</v>
      </c>
      <c r="H271" t="n">
        <v>0</v>
      </c>
      <c r="I271" t="n">
        <v>0</v>
      </c>
      <c r="J271" t="n">
        <v>0</v>
      </c>
      <c r="K271" t="n">
        <v>0</v>
      </c>
      <c r="L271" t="n">
        <v>0</v>
      </c>
      <c r="M271" t="n">
        <v>0</v>
      </c>
      <c r="N271" t="n">
        <v>0</v>
      </c>
      <c r="O271" t="n">
        <v>0</v>
      </c>
      <c r="P271" t="n">
        <v>0</v>
      </c>
      <c r="Q271" t="n">
        <v>0</v>
      </c>
      <c r="R271" s="2" t="inlineStr"/>
    </row>
    <row r="272" ht="15" customHeight="1">
      <c r="A272" t="inlineStr">
        <is>
          <t>A 66295-2020</t>
        </is>
      </c>
      <c r="B272" s="1" t="n">
        <v>44176</v>
      </c>
      <c r="C272" s="1" t="n">
        <v>45964</v>
      </c>
      <c r="D272" t="inlineStr">
        <is>
          <t>KALMAR LÄN</t>
        </is>
      </c>
      <c r="E272" t="inlineStr">
        <is>
          <t>VIMMERBY</t>
        </is>
      </c>
      <c r="G272" t="n">
        <v>4.1</v>
      </c>
      <c r="H272" t="n">
        <v>0</v>
      </c>
      <c r="I272" t="n">
        <v>0</v>
      </c>
      <c r="J272" t="n">
        <v>0</v>
      </c>
      <c r="K272" t="n">
        <v>0</v>
      </c>
      <c r="L272" t="n">
        <v>0</v>
      </c>
      <c r="M272" t="n">
        <v>0</v>
      </c>
      <c r="N272" t="n">
        <v>0</v>
      </c>
      <c r="O272" t="n">
        <v>0</v>
      </c>
      <c r="P272" t="n">
        <v>0</v>
      </c>
      <c r="Q272" t="n">
        <v>0</v>
      </c>
      <c r="R272" s="2" t="inlineStr"/>
    </row>
    <row r="273" ht="15" customHeight="1">
      <c r="A273" t="inlineStr">
        <is>
          <t>A 29173-2024</t>
        </is>
      </c>
      <c r="B273" s="1" t="n">
        <v>45482.52887731481</v>
      </c>
      <c r="C273" s="1" t="n">
        <v>45964</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30400-2023</t>
        </is>
      </c>
      <c r="B274" s="1" t="n">
        <v>45111.48225694444</v>
      </c>
      <c r="C274" s="1" t="n">
        <v>45964</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30404-2023</t>
        </is>
      </c>
      <c r="B275" s="1" t="n">
        <v>45111.48636574074</v>
      </c>
      <c r="C275" s="1" t="n">
        <v>45964</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53542-2022</t>
        </is>
      </c>
      <c r="B276" s="1" t="n">
        <v>44879.62173611111</v>
      </c>
      <c r="C276" s="1" t="n">
        <v>45964</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60951-2023</t>
        </is>
      </c>
      <c r="B277" s="1" t="n">
        <v>45261.44914351852</v>
      </c>
      <c r="C277" s="1" t="n">
        <v>45964</v>
      </c>
      <c r="D277" t="inlineStr">
        <is>
          <t>KALMAR LÄN</t>
        </is>
      </c>
      <c r="E277" t="inlineStr">
        <is>
          <t>VIMMERBY</t>
        </is>
      </c>
      <c r="G277" t="n">
        <v>4.3</v>
      </c>
      <c r="H277" t="n">
        <v>0</v>
      </c>
      <c r="I277" t="n">
        <v>0</v>
      </c>
      <c r="J277" t="n">
        <v>0</v>
      </c>
      <c r="K277" t="n">
        <v>0</v>
      </c>
      <c r="L277" t="n">
        <v>0</v>
      </c>
      <c r="M277" t="n">
        <v>0</v>
      </c>
      <c r="N277" t="n">
        <v>0</v>
      </c>
      <c r="O277" t="n">
        <v>0</v>
      </c>
      <c r="P277" t="n">
        <v>0</v>
      </c>
      <c r="Q277" t="n">
        <v>0</v>
      </c>
      <c r="R277" s="2" t="inlineStr"/>
    </row>
    <row r="278" ht="15" customHeight="1">
      <c r="A278" t="inlineStr">
        <is>
          <t>A 60292-2022</t>
        </is>
      </c>
      <c r="B278" s="1" t="n">
        <v>44910.54231481482</v>
      </c>
      <c r="C278" s="1" t="n">
        <v>45964</v>
      </c>
      <c r="D278" t="inlineStr">
        <is>
          <t>KALMAR LÄN</t>
        </is>
      </c>
      <c r="E278" t="inlineStr">
        <is>
          <t>VIMMERBY</t>
        </is>
      </c>
      <c r="G278" t="n">
        <v>4.4</v>
      </c>
      <c r="H278" t="n">
        <v>0</v>
      </c>
      <c r="I278" t="n">
        <v>0</v>
      </c>
      <c r="J278" t="n">
        <v>0</v>
      </c>
      <c r="K278" t="n">
        <v>0</v>
      </c>
      <c r="L278" t="n">
        <v>0</v>
      </c>
      <c r="M278" t="n">
        <v>0</v>
      </c>
      <c r="N278" t="n">
        <v>0</v>
      </c>
      <c r="O278" t="n">
        <v>0</v>
      </c>
      <c r="P278" t="n">
        <v>0</v>
      </c>
      <c r="Q278" t="n">
        <v>0</v>
      </c>
      <c r="R278" s="2" t="inlineStr"/>
    </row>
    <row r="279" ht="15" customHeight="1">
      <c r="A279" t="inlineStr">
        <is>
          <t>A 27705-2023</t>
        </is>
      </c>
      <c r="B279" s="1" t="n">
        <v>45098.30535879629</v>
      </c>
      <c r="C279" s="1" t="n">
        <v>45964</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7485-2024</t>
        </is>
      </c>
      <c r="B280" s="1" t="n">
        <v>45346.67184027778</v>
      </c>
      <c r="C280" s="1" t="n">
        <v>45964</v>
      </c>
      <c r="D280" t="inlineStr">
        <is>
          <t>KALMAR LÄN</t>
        </is>
      </c>
      <c r="E280" t="inlineStr">
        <is>
          <t>VIMMERBY</t>
        </is>
      </c>
      <c r="G280" t="n">
        <v>1.9</v>
      </c>
      <c r="H280" t="n">
        <v>0</v>
      </c>
      <c r="I280" t="n">
        <v>0</v>
      </c>
      <c r="J280" t="n">
        <v>0</v>
      </c>
      <c r="K280" t="n">
        <v>0</v>
      </c>
      <c r="L280" t="n">
        <v>0</v>
      </c>
      <c r="M280" t="n">
        <v>0</v>
      </c>
      <c r="N280" t="n">
        <v>0</v>
      </c>
      <c r="O280" t="n">
        <v>0</v>
      </c>
      <c r="P280" t="n">
        <v>0</v>
      </c>
      <c r="Q280" t="n">
        <v>0</v>
      </c>
      <c r="R280" s="2" t="inlineStr"/>
    </row>
    <row r="281" ht="15" customHeight="1">
      <c r="A281" t="inlineStr">
        <is>
          <t>A 12590-2025</t>
        </is>
      </c>
      <c r="B281" s="1" t="n">
        <v>45732.79925925926</v>
      </c>
      <c r="C281" s="1" t="n">
        <v>45964</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35710-2023</t>
        </is>
      </c>
      <c r="B282" s="1" t="n">
        <v>45147.67096064815</v>
      </c>
      <c r="C282" s="1" t="n">
        <v>45964</v>
      </c>
      <c r="D282" t="inlineStr">
        <is>
          <t>KALMAR LÄN</t>
        </is>
      </c>
      <c r="E282" t="inlineStr">
        <is>
          <t>VIMMERBY</t>
        </is>
      </c>
      <c r="G282" t="n">
        <v>3.1</v>
      </c>
      <c r="H282" t="n">
        <v>0</v>
      </c>
      <c r="I282" t="n">
        <v>0</v>
      </c>
      <c r="J282" t="n">
        <v>0</v>
      </c>
      <c r="K282" t="n">
        <v>0</v>
      </c>
      <c r="L282" t="n">
        <v>0</v>
      </c>
      <c r="M282" t="n">
        <v>0</v>
      </c>
      <c r="N282" t="n">
        <v>0</v>
      </c>
      <c r="O282" t="n">
        <v>0</v>
      </c>
      <c r="P282" t="n">
        <v>0</v>
      </c>
      <c r="Q282" t="n">
        <v>0</v>
      </c>
      <c r="R282" s="2" t="inlineStr"/>
    </row>
    <row r="283" ht="15" customHeight="1">
      <c r="A283" t="inlineStr">
        <is>
          <t>A 52823-2024</t>
        </is>
      </c>
      <c r="B283" s="1" t="n">
        <v>45610.59094907407</v>
      </c>
      <c r="C283" s="1" t="n">
        <v>45964</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36843-2023</t>
        </is>
      </c>
      <c r="B284" s="1" t="n">
        <v>45154.49831018518</v>
      </c>
      <c r="C284" s="1" t="n">
        <v>45964</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6807-2025</t>
        </is>
      </c>
      <c r="B285" s="1" t="n">
        <v>45700.68672453704</v>
      </c>
      <c r="C285" s="1" t="n">
        <v>45964</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7047-2022</t>
        </is>
      </c>
      <c r="B286" s="1" t="n">
        <v>44603</v>
      </c>
      <c r="C286" s="1" t="n">
        <v>45964</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10785-2025</t>
        </is>
      </c>
      <c r="B287" s="1" t="n">
        <v>45722.48634259259</v>
      </c>
      <c r="C287" s="1" t="n">
        <v>45964</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29017-2024</t>
        </is>
      </c>
      <c r="B288" s="1" t="n">
        <v>45481.56722222222</v>
      </c>
      <c r="C288" s="1" t="n">
        <v>45964</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11147-2023</t>
        </is>
      </c>
      <c r="B289" s="1" t="n">
        <v>44992</v>
      </c>
      <c r="C289" s="1" t="n">
        <v>45964</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35711-2023</t>
        </is>
      </c>
      <c r="B290" s="1" t="n">
        <v>45147.67172453704</v>
      </c>
      <c r="C290" s="1" t="n">
        <v>45964</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23263-2024</t>
        </is>
      </c>
      <c r="B291" s="1" t="n">
        <v>45453.36854166666</v>
      </c>
      <c r="C291" s="1" t="n">
        <v>45964</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5382-2023</t>
        </is>
      </c>
      <c r="B292" s="1" t="n">
        <v>44959.66407407408</v>
      </c>
      <c r="C292" s="1" t="n">
        <v>45964</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11074-2023</t>
        </is>
      </c>
      <c r="B293" s="1" t="n">
        <v>44992.34151620371</v>
      </c>
      <c r="C293" s="1" t="n">
        <v>45964</v>
      </c>
      <c r="D293" t="inlineStr">
        <is>
          <t>KALMAR LÄN</t>
        </is>
      </c>
      <c r="E293" t="inlineStr">
        <is>
          <t>VIMMERBY</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19833-2023</t>
        </is>
      </c>
      <c r="B294" s="1" t="n">
        <v>45052</v>
      </c>
      <c r="C294" s="1" t="n">
        <v>45964</v>
      </c>
      <c r="D294" t="inlineStr">
        <is>
          <t>KALMAR LÄN</t>
        </is>
      </c>
      <c r="E294" t="inlineStr">
        <is>
          <t>VIMMERBY</t>
        </is>
      </c>
      <c r="G294" t="n">
        <v>6.7</v>
      </c>
      <c r="H294" t="n">
        <v>0</v>
      </c>
      <c r="I294" t="n">
        <v>0</v>
      </c>
      <c r="J294" t="n">
        <v>0</v>
      </c>
      <c r="K294" t="n">
        <v>0</v>
      </c>
      <c r="L294" t="n">
        <v>0</v>
      </c>
      <c r="M294" t="n">
        <v>0</v>
      </c>
      <c r="N294" t="n">
        <v>0</v>
      </c>
      <c r="O294" t="n">
        <v>0</v>
      </c>
      <c r="P294" t="n">
        <v>0</v>
      </c>
      <c r="Q294" t="n">
        <v>0</v>
      </c>
      <c r="R294" s="2" t="inlineStr"/>
    </row>
    <row r="295" ht="15" customHeight="1">
      <c r="A295" t="inlineStr">
        <is>
          <t>A 61939-2021</t>
        </is>
      </c>
      <c r="B295" s="1" t="n">
        <v>44502</v>
      </c>
      <c r="C295" s="1" t="n">
        <v>45964</v>
      </c>
      <c r="D295" t="inlineStr">
        <is>
          <t>KALMAR LÄN</t>
        </is>
      </c>
      <c r="E295" t="inlineStr">
        <is>
          <t>VIMMERBY</t>
        </is>
      </c>
      <c r="G295" t="n">
        <v>2.7</v>
      </c>
      <c r="H295" t="n">
        <v>0</v>
      </c>
      <c r="I295" t="n">
        <v>0</v>
      </c>
      <c r="J295" t="n">
        <v>0</v>
      </c>
      <c r="K295" t="n">
        <v>0</v>
      </c>
      <c r="L295" t="n">
        <v>0</v>
      </c>
      <c r="M295" t="n">
        <v>0</v>
      </c>
      <c r="N295" t="n">
        <v>0</v>
      </c>
      <c r="O295" t="n">
        <v>0</v>
      </c>
      <c r="P295" t="n">
        <v>0</v>
      </c>
      <c r="Q295" t="n">
        <v>0</v>
      </c>
      <c r="R295" s="2" t="inlineStr"/>
    </row>
    <row r="296" ht="15" customHeight="1">
      <c r="A296" t="inlineStr">
        <is>
          <t>A 12215-2024</t>
        </is>
      </c>
      <c r="B296" s="1" t="n">
        <v>45378.32185185186</v>
      </c>
      <c r="C296" s="1" t="n">
        <v>45964</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40823-2023</t>
        </is>
      </c>
      <c r="B297" s="1" t="n">
        <v>45171.77335648148</v>
      </c>
      <c r="C297" s="1" t="n">
        <v>45964</v>
      </c>
      <c r="D297" t="inlineStr">
        <is>
          <t>KALMAR LÄN</t>
        </is>
      </c>
      <c r="E297" t="inlineStr">
        <is>
          <t>VIMMERBY</t>
        </is>
      </c>
      <c r="G297" t="n">
        <v>2.7</v>
      </c>
      <c r="H297" t="n">
        <v>0</v>
      </c>
      <c r="I297" t="n">
        <v>0</v>
      </c>
      <c r="J297" t="n">
        <v>0</v>
      </c>
      <c r="K297" t="n">
        <v>0</v>
      </c>
      <c r="L297" t="n">
        <v>0</v>
      </c>
      <c r="M297" t="n">
        <v>0</v>
      </c>
      <c r="N297" t="n">
        <v>0</v>
      </c>
      <c r="O297" t="n">
        <v>0</v>
      </c>
      <c r="P297" t="n">
        <v>0</v>
      </c>
      <c r="Q297" t="n">
        <v>0</v>
      </c>
      <c r="R297" s="2" t="inlineStr"/>
    </row>
    <row r="298" ht="15" customHeight="1">
      <c r="A298" t="inlineStr">
        <is>
          <t>A 14548-2024</t>
        </is>
      </c>
      <c r="B298" s="1" t="n">
        <v>45394.66887731481</v>
      </c>
      <c r="C298" s="1" t="n">
        <v>45964</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11303-2025</t>
        </is>
      </c>
      <c r="B299" s="1" t="n">
        <v>45726.44471064815</v>
      </c>
      <c r="C299" s="1" t="n">
        <v>45964</v>
      </c>
      <c r="D299" t="inlineStr">
        <is>
          <t>KALMAR LÄN</t>
        </is>
      </c>
      <c r="E299" t="inlineStr">
        <is>
          <t>VIMMERBY</t>
        </is>
      </c>
      <c r="G299" t="n">
        <v>2.1</v>
      </c>
      <c r="H299" t="n">
        <v>0</v>
      </c>
      <c r="I299" t="n">
        <v>0</v>
      </c>
      <c r="J299" t="n">
        <v>0</v>
      </c>
      <c r="K299" t="n">
        <v>0</v>
      </c>
      <c r="L299" t="n">
        <v>0</v>
      </c>
      <c r="M299" t="n">
        <v>0</v>
      </c>
      <c r="N299" t="n">
        <v>0</v>
      </c>
      <c r="O299" t="n">
        <v>0</v>
      </c>
      <c r="P299" t="n">
        <v>0</v>
      </c>
      <c r="Q299" t="n">
        <v>0</v>
      </c>
      <c r="R299" s="2" t="inlineStr"/>
    </row>
    <row r="300" ht="15" customHeight="1">
      <c r="A300" t="inlineStr">
        <is>
          <t>A 6218-2025</t>
        </is>
      </c>
      <c r="B300" s="1" t="n">
        <v>45698.53336805556</v>
      </c>
      <c r="C300" s="1" t="n">
        <v>45964</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585-2024</t>
        </is>
      </c>
      <c r="B301" s="1" t="n">
        <v>45299.62576388889</v>
      </c>
      <c r="C301" s="1" t="n">
        <v>45964</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12033-2024</t>
        </is>
      </c>
      <c r="B302" s="1" t="n">
        <v>45377.40043981482</v>
      </c>
      <c r="C302" s="1" t="n">
        <v>45964</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56020-2024</t>
        </is>
      </c>
      <c r="B303" s="1" t="n">
        <v>45623.9525462963</v>
      </c>
      <c r="C303" s="1" t="n">
        <v>45964</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51408-2023</t>
        </is>
      </c>
      <c r="B304" s="1" t="n">
        <v>45219.69356481481</v>
      </c>
      <c r="C304" s="1" t="n">
        <v>45964</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30920-2023</t>
        </is>
      </c>
      <c r="B305" s="1" t="n">
        <v>45113.43921296296</v>
      </c>
      <c r="C305" s="1" t="n">
        <v>45964</v>
      </c>
      <c r="D305" t="inlineStr">
        <is>
          <t>KALMAR LÄN</t>
        </is>
      </c>
      <c r="E305" t="inlineStr">
        <is>
          <t>VIMMERBY</t>
        </is>
      </c>
      <c r="G305" t="n">
        <v>3.1</v>
      </c>
      <c r="H305" t="n">
        <v>0</v>
      </c>
      <c r="I305" t="n">
        <v>0</v>
      </c>
      <c r="J305" t="n">
        <v>0</v>
      </c>
      <c r="K305" t="n">
        <v>0</v>
      </c>
      <c r="L305" t="n">
        <v>0</v>
      </c>
      <c r="M305" t="n">
        <v>0</v>
      </c>
      <c r="N305" t="n">
        <v>0</v>
      </c>
      <c r="O305" t="n">
        <v>0</v>
      </c>
      <c r="P305" t="n">
        <v>0</v>
      </c>
      <c r="Q305" t="n">
        <v>0</v>
      </c>
      <c r="R305" s="2" t="inlineStr"/>
    </row>
    <row r="306" ht="15" customHeight="1">
      <c r="A306" t="inlineStr">
        <is>
          <t>A 23252-2024</t>
        </is>
      </c>
      <c r="B306" s="1" t="n">
        <v>45453.36067129629</v>
      </c>
      <c r="C306" s="1" t="n">
        <v>45964</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49488-2023</t>
        </is>
      </c>
      <c r="B307" s="1" t="n">
        <v>45211.55472222222</v>
      </c>
      <c r="C307" s="1" t="n">
        <v>45964</v>
      </c>
      <c r="D307" t="inlineStr">
        <is>
          <t>KALMAR LÄN</t>
        </is>
      </c>
      <c r="E307" t="inlineStr">
        <is>
          <t>VIMMERBY</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6857-2023</t>
        </is>
      </c>
      <c r="B308" s="1" t="n">
        <v>44967.45122685185</v>
      </c>
      <c r="C308" s="1" t="n">
        <v>45964</v>
      </c>
      <c r="D308" t="inlineStr">
        <is>
          <t>KALMAR LÄN</t>
        </is>
      </c>
      <c r="E308" t="inlineStr">
        <is>
          <t>VIMMERBY</t>
        </is>
      </c>
      <c r="G308" t="n">
        <v>2.1</v>
      </c>
      <c r="H308" t="n">
        <v>0</v>
      </c>
      <c r="I308" t="n">
        <v>0</v>
      </c>
      <c r="J308" t="n">
        <v>0</v>
      </c>
      <c r="K308" t="n">
        <v>0</v>
      </c>
      <c r="L308" t="n">
        <v>0</v>
      </c>
      <c r="M308" t="n">
        <v>0</v>
      </c>
      <c r="N308" t="n">
        <v>0</v>
      </c>
      <c r="O308" t="n">
        <v>0</v>
      </c>
      <c r="P308" t="n">
        <v>0</v>
      </c>
      <c r="Q308" t="n">
        <v>0</v>
      </c>
      <c r="R308" s="2" t="inlineStr"/>
    </row>
    <row r="309" ht="15" customHeight="1">
      <c r="A309" t="inlineStr">
        <is>
          <t>A 15550-2023</t>
        </is>
      </c>
      <c r="B309" s="1" t="n">
        <v>45020</v>
      </c>
      <c r="C309" s="1" t="n">
        <v>45964</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11219-2023</t>
        </is>
      </c>
      <c r="B310" s="1" t="n">
        <v>44992.62498842592</v>
      </c>
      <c r="C310" s="1" t="n">
        <v>45964</v>
      </c>
      <c r="D310" t="inlineStr">
        <is>
          <t>KALMAR LÄN</t>
        </is>
      </c>
      <c r="E310" t="inlineStr">
        <is>
          <t>VIMMERBY</t>
        </is>
      </c>
      <c r="G310" t="n">
        <v>2.5</v>
      </c>
      <c r="H310" t="n">
        <v>0</v>
      </c>
      <c r="I310" t="n">
        <v>0</v>
      </c>
      <c r="J310" t="n">
        <v>0</v>
      </c>
      <c r="K310" t="n">
        <v>0</v>
      </c>
      <c r="L310" t="n">
        <v>0</v>
      </c>
      <c r="M310" t="n">
        <v>0</v>
      </c>
      <c r="N310" t="n">
        <v>0</v>
      </c>
      <c r="O310" t="n">
        <v>0</v>
      </c>
      <c r="P310" t="n">
        <v>0</v>
      </c>
      <c r="Q310" t="n">
        <v>0</v>
      </c>
      <c r="R310" s="2" t="inlineStr"/>
    </row>
    <row r="311" ht="15" customHeight="1">
      <c r="A311" t="inlineStr">
        <is>
          <t>A 18411-2021</t>
        </is>
      </c>
      <c r="B311" s="1" t="n">
        <v>44302</v>
      </c>
      <c r="C311" s="1" t="n">
        <v>45964</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13180-2022</t>
        </is>
      </c>
      <c r="B312" s="1" t="n">
        <v>44644</v>
      </c>
      <c r="C312" s="1" t="n">
        <v>45964</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47855-2024</t>
        </is>
      </c>
      <c r="B313" s="1" t="n">
        <v>45588.66457175926</v>
      </c>
      <c r="C313" s="1" t="n">
        <v>45964</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8410-2023</t>
        </is>
      </c>
      <c r="B314" s="1" t="n">
        <v>44977</v>
      </c>
      <c r="C314" s="1" t="n">
        <v>45964</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172-2022</t>
        </is>
      </c>
      <c r="B315" s="1" t="n">
        <v>44564.62598379629</v>
      </c>
      <c r="C315" s="1" t="n">
        <v>45964</v>
      </c>
      <c r="D315" t="inlineStr">
        <is>
          <t>KALMAR LÄN</t>
        </is>
      </c>
      <c r="E315" t="inlineStr">
        <is>
          <t>VIMMERBY</t>
        </is>
      </c>
      <c r="G315" t="n">
        <v>2.1</v>
      </c>
      <c r="H315" t="n">
        <v>0</v>
      </c>
      <c r="I315" t="n">
        <v>0</v>
      </c>
      <c r="J315" t="n">
        <v>0</v>
      </c>
      <c r="K315" t="n">
        <v>0</v>
      </c>
      <c r="L315" t="n">
        <v>0</v>
      </c>
      <c r="M315" t="n">
        <v>0</v>
      </c>
      <c r="N315" t="n">
        <v>0</v>
      </c>
      <c r="O315" t="n">
        <v>0</v>
      </c>
      <c r="P315" t="n">
        <v>0</v>
      </c>
      <c r="Q315" t="n">
        <v>0</v>
      </c>
      <c r="R315" s="2" t="inlineStr"/>
    </row>
    <row r="316" ht="15" customHeight="1">
      <c r="A316" t="inlineStr">
        <is>
          <t>A 39584-2024</t>
        </is>
      </c>
      <c r="B316" s="1" t="n">
        <v>45552.36759259259</v>
      </c>
      <c r="C316" s="1" t="n">
        <v>45964</v>
      </c>
      <c r="D316" t="inlineStr">
        <is>
          <t>KALMAR LÄN</t>
        </is>
      </c>
      <c r="E316" t="inlineStr">
        <is>
          <t>VIMMERBY</t>
        </is>
      </c>
      <c r="G316" t="n">
        <v>1.9</v>
      </c>
      <c r="H316" t="n">
        <v>0</v>
      </c>
      <c r="I316" t="n">
        <v>0</v>
      </c>
      <c r="J316" t="n">
        <v>0</v>
      </c>
      <c r="K316" t="n">
        <v>0</v>
      </c>
      <c r="L316" t="n">
        <v>0</v>
      </c>
      <c r="M316" t="n">
        <v>0</v>
      </c>
      <c r="N316" t="n">
        <v>0</v>
      </c>
      <c r="O316" t="n">
        <v>0</v>
      </c>
      <c r="P316" t="n">
        <v>0</v>
      </c>
      <c r="Q316" t="n">
        <v>0</v>
      </c>
      <c r="R316" s="2" t="inlineStr"/>
    </row>
    <row r="317" ht="15" customHeight="1">
      <c r="A317" t="inlineStr">
        <is>
          <t>A 30920-2024</t>
        </is>
      </c>
      <c r="B317" s="1" t="n">
        <v>45498.673125</v>
      </c>
      <c r="C317" s="1" t="n">
        <v>45964</v>
      </c>
      <c r="D317" t="inlineStr">
        <is>
          <t>KALMAR LÄN</t>
        </is>
      </c>
      <c r="E317" t="inlineStr">
        <is>
          <t>VIMMERBY</t>
        </is>
      </c>
      <c r="G317" t="n">
        <v>1.3</v>
      </c>
      <c r="H317" t="n">
        <v>0</v>
      </c>
      <c r="I317" t="n">
        <v>0</v>
      </c>
      <c r="J317" t="n">
        <v>0</v>
      </c>
      <c r="K317" t="n">
        <v>0</v>
      </c>
      <c r="L317" t="n">
        <v>0</v>
      </c>
      <c r="M317" t="n">
        <v>0</v>
      </c>
      <c r="N317" t="n">
        <v>0</v>
      </c>
      <c r="O317" t="n">
        <v>0</v>
      </c>
      <c r="P317" t="n">
        <v>0</v>
      </c>
      <c r="Q317" t="n">
        <v>0</v>
      </c>
      <c r="R317" s="2" t="inlineStr"/>
    </row>
    <row r="318" ht="15" customHeight="1">
      <c r="A318" t="inlineStr">
        <is>
          <t>A 5792-2023</t>
        </is>
      </c>
      <c r="B318" s="1" t="n">
        <v>44963.44769675926</v>
      </c>
      <c r="C318" s="1" t="n">
        <v>45964</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10303-2025</t>
        </is>
      </c>
      <c r="B319" s="1" t="n">
        <v>45720.44217592593</v>
      </c>
      <c r="C319" s="1" t="n">
        <v>45964</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51881-2024</t>
        </is>
      </c>
      <c r="B320" s="1" t="n">
        <v>45607.56773148148</v>
      </c>
      <c r="C320" s="1" t="n">
        <v>45964</v>
      </c>
      <c r="D320" t="inlineStr">
        <is>
          <t>KALMAR LÄN</t>
        </is>
      </c>
      <c r="E320" t="inlineStr">
        <is>
          <t>VIMMERBY</t>
        </is>
      </c>
      <c r="G320" t="n">
        <v>3.4</v>
      </c>
      <c r="H320" t="n">
        <v>0</v>
      </c>
      <c r="I320" t="n">
        <v>0</v>
      </c>
      <c r="J320" t="n">
        <v>0</v>
      </c>
      <c r="K320" t="n">
        <v>0</v>
      </c>
      <c r="L320" t="n">
        <v>0</v>
      </c>
      <c r="M320" t="n">
        <v>0</v>
      </c>
      <c r="N320" t="n">
        <v>0</v>
      </c>
      <c r="O320" t="n">
        <v>0</v>
      </c>
      <c r="P320" t="n">
        <v>0</v>
      </c>
      <c r="Q320" t="n">
        <v>0</v>
      </c>
      <c r="R320" s="2" t="inlineStr"/>
    </row>
    <row r="321" ht="15" customHeight="1">
      <c r="A321" t="inlineStr">
        <is>
          <t>A 2596-2025</t>
        </is>
      </c>
      <c r="B321" s="1" t="n">
        <v>45674.71810185185</v>
      </c>
      <c r="C321" s="1" t="n">
        <v>45964</v>
      </c>
      <c r="D321" t="inlineStr">
        <is>
          <t>KALMAR LÄN</t>
        </is>
      </c>
      <c r="E321" t="inlineStr">
        <is>
          <t>VIMMERBY</t>
        </is>
      </c>
      <c r="G321" t="n">
        <v>9</v>
      </c>
      <c r="H321" t="n">
        <v>0</v>
      </c>
      <c r="I321" t="n">
        <v>0</v>
      </c>
      <c r="J321" t="n">
        <v>0</v>
      </c>
      <c r="K321" t="n">
        <v>0</v>
      </c>
      <c r="L321" t="n">
        <v>0</v>
      </c>
      <c r="M321" t="n">
        <v>0</v>
      </c>
      <c r="N321" t="n">
        <v>0</v>
      </c>
      <c r="O321" t="n">
        <v>0</v>
      </c>
      <c r="P321" t="n">
        <v>0</v>
      </c>
      <c r="Q321" t="n">
        <v>0</v>
      </c>
      <c r="R321" s="2" t="inlineStr"/>
    </row>
    <row r="322" ht="15" customHeight="1">
      <c r="A322" t="inlineStr">
        <is>
          <t>A 60110-2022</t>
        </is>
      </c>
      <c r="B322" s="1" t="n">
        <v>44909</v>
      </c>
      <c r="C322" s="1" t="n">
        <v>45964</v>
      </c>
      <c r="D322" t="inlineStr">
        <is>
          <t>KALMAR LÄN</t>
        </is>
      </c>
      <c r="E322" t="inlineStr">
        <is>
          <t>VIMMERBY</t>
        </is>
      </c>
      <c r="G322" t="n">
        <v>1.7</v>
      </c>
      <c r="H322" t="n">
        <v>0</v>
      </c>
      <c r="I322" t="n">
        <v>0</v>
      </c>
      <c r="J322" t="n">
        <v>0</v>
      </c>
      <c r="K322" t="n">
        <v>0</v>
      </c>
      <c r="L322" t="n">
        <v>0</v>
      </c>
      <c r="M322" t="n">
        <v>0</v>
      </c>
      <c r="N322" t="n">
        <v>0</v>
      </c>
      <c r="O322" t="n">
        <v>0</v>
      </c>
      <c r="P322" t="n">
        <v>0</v>
      </c>
      <c r="Q322" t="n">
        <v>0</v>
      </c>
      <c r="R322" s="2" t="inlineStr"/>
    </row>
    <row r="323" ht="15" customHeight="1">
      <c r="A323" t="inlineStr">
        <is>
          <t>A 15394-2025</t>
        </is>
      </c>
      <c r="B323" s="1" t="n">
        <v>45747.43196759259</v>
      </c>
      <c r="C323" s="1" t="n">
        <v>45964</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15388-2025</t>
        </is>
      </c>
      <c r="B324" s="1" t="n">
        <v>45747.42633101852</v>
      </c>
      <c r="C324" s="1" t="n">
        <v>45964</v>
      </c>
      <c r="D324" t="inlineStr">
        <is>
          <t>KALMAR LÄN</t>
        </is>
      </c>
      <c r="E324" t="inlineStr">
        <is>
          <t>VIMMERBY</t>
        </is>
      </c>
      <c r="G324" t="n">
        <v>1.3</v>
      </c>
      <c r="H324" t="n">
        <v>0</v>
      </c>
      <c r="I324" t="n">
        <v>0</v>
      </c>
      <c r="J324" t="n">
        <v>0</v>
      </c>
      <c r="K324" t="n">
        <v>0</v>
      </c>
      <c r="L324" t="n">
        <v>0</v>
      </c>
      <c r="M324" t="n">
        <v>0</v>
      </c>
      <c r="N324" t="n">
        <v>0</v>
      </c>
      <c r="O324" t="n">
        <v>0</v>
      </c>
      <c r="P324" t="n">
        <v>0</v>
      </c>
      <c r="Q324" t="n">
        <v>0</v>
      </c>
      <c r="R324" s="2" t="inlineStr"/>
    </row>
    <row r="325" ht="15" customHeight="1">
      <c r="A325" t="inlineStr">
        <is>
          <t>A 15391-2025</t>
        </is>
      </c>
      <c r="B325" s="1" t="n">
        <v>45747.42958333333</v>
      </c>
      <c r="C325" s="1" t="n">
        <v>45964</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6474-2025</t>
        </is>
      </c>
      <c r="B326" s="1" t="n">
        <v>45699.60055555555</v>
      </c>
      <c r="C326" s="1" t="n">
        <v>45964</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16734-2023</t>
        </is>
      </c>
      <c r="B327" s="1" t="n">
        <v>45030.71012731481</v>
      </c>
      <c r="C327" s="1" t="n">
        <v>45964</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32919-2022</t>
        </is>
      </c>
      <c r="B328" s="1" t="n">
        <v>44784.62724537037</v>
      </c>
      <c r="C328" s="1" t="n">
        <v>45964</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40929-2022</t>
        </is>
      </c>
      <c r="B329" s="1" t="n">
        <v>44825.4336574074</v>
      </c>
      <c r="C329" s="1" t="n">
        <v>45964</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50091-2023</t>
        </is>
      </c>
      <c r="B330" s="1" t="n">
        <v>45215.60199074074</v>
      </c>
      <c r="C330" s="1" t="n">
        <v>45964</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36008-2024</t>
        </is>
      </c>
      <c r="B331" s="1" t="n">
        <v>45533.55362268518</v>
      </c>
      <c r="C331" s="1" t="n">
        <v>45964</v>
      </c>
      <c r="D331" t="inlineStr">
        <is>
          <t>KALMAR LÄN</t>
        </is>
      </c>
      <c r="E331" t="inlineStr">
        <is>
          <t>VIMMERBY</t>
        </is>
      </c>
      <c r="G331" t="n">
        <v>3.7</v>
      </c>
      <c r="H331" t="n">
        <v>0</v>
      </c>
      <c r="I331" t="n">
        <v>0</v>
      </c>
      <c r="J331" t="n">
        <v>0</v>
      </c>
      <c r="K331" t="n">
        <v>0</v>
      </c>
      <c r="L331" t="n">
        <v>0</v>
      </c>
      <c r="M331" t="n">
        <v>0</v>
      </c>
      <c r="N331" t="n">
        <v>0</v>
      </c>
      <c r="O331" t="n">
        <v>0</v>
      </c>
      <c r="P331" t="n">
        <v>0</v>
      </c>
      <c r="Q331" t="n">
        <v>0</v>
      </c>
      <c r="R331" s="2" t="inlineStr"/>
    </row>
    <row r="332" ht="15" customHeight="1">
      <c r="A332" t="inlineStr">
        <is>
          <t>A 20129-2024</t>
        </is>
      </c>
      <c r="B332" s="1" t="n">
        <v>45434.55831018519</v>
      </c>
      <c r="C332" s="1" t="n">
        <v>45964</v>
      </c>
      <c r="D332" t="inlineStr">
        <is>
          <t>KALMAR LÄN</t>
        </is>
      </c>
      <c r="E332" t="inlineStr">
        <is>
          <t>VIMMERBY</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20137-2024</t>
        </is>
      </c>
      <c r="B333" s="1" t="n">
        <v>45434.56398148148</v>
      </c>
      <c r="C333" s="1" t="n">
        <v>45964</v>
      </c>
      <c r="D333" t="inlineStr">
        <is>
          <t>KALMAR LÄN</t>
        </is>
      </c>
      <c r="E333" t="inlineStr">
        <is>
          <t>VIMMERBY</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16622-2025</t>
        </is>
      </c>
      <c r="B334" s="1" t="n">
        <v>45754.33641203704</v>
      </c>
      <c r="C334" s="1" t="n">
        <v>45964</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7456-2024</t>
        </is>
      </c>
      <c r="B335" s="1" t="n">
        <v>45345.83557870371</v>
      </c>
      <c r="C335" s="1" t="n">
        <v>45964</v>
      </c>
      <c r="D335" t="inlineStr">
        <is>
          <t>KALMAR LÄN</t>
        </is>
      </c>
      <c r="E335" t="inlineStr">
        <is>
          <t>VIMMERBY</t>
        </is>
      </c>
      <c r="G335" t="n">
        <v>4.1</v>
      </c>
      <c r="H335" t="n">
        <v>0</v>
      </c>
      <c r="I335" t="n">
        <v>0</v>
      </c>
      <c r="J335" t="n">
        <v>0</v>
      </c>
      <c r="K335" t="n">
        <v>0</v>
      </c>
      <c r="L335" t="n">
        <v>0</v>
      </c>
      <c r="M335" t="n">
        <v>0</v>
      </c>
      <c r="N335" t="n">
        <v>0</v>
      </c>
      <c r="O335" t="n">
        <v>0</v>
      </c>
      <c r="P335" t="n">
        <v>0</v>
      </c>
      <c r="Q335" t="n">
        <v>0</v>
      </c>
      <c r="R335" s="2" t="inlineStr"/>
    </row>
    <row r="336" ht="15" customHeight="1">
      <c r="A336" t="inlineStr">
        <is>
          <t>A 17511-2024</t>
        </is>
      </c>
      <c r="B336" s="1" t="n">
        <v>45415.57682870371</v>
      </c>
      <c r="C336" s="1" t="n">
        <v>45964</v>
      </c>
      <c r="D336" t="inlineStr">
        <is>
          <t>KALMAR LÄN</t>
        </is>
      </c>
      <c r="E336" t="inlineStr">
        <is>
          <t>VIMMERBY</t>
        </is>
      </c>
      <c r="G336" t="n">
        <v>5.3</v>
      </c>
      <c r="H336" t="n">
        <v>0</v>
      </c>
      <c r="I336" t="n">
        <v>0</v>
      </c>
      <c r="J336" t="n">
        <v>0</v>
      </c>
      <c r="K336" t="n">
        <v>0</v>
      </c>
      <c r="L336" t="n">
        <v>0</v>
      </c>
      <c r="M336" t="n">
        <v>0</v>
      </c>
      <c r="N336" t="n">
        <v>0</v>
      </c>
      <c r="O336" t="n">
        <v>0</v>
      </c>
      <c r="P336" t="n">
        <v>0</v>
      </c>
      <c r="Q336" t="n">
        <v>0</v>
      </c>
      <c r="R336" s="2" t="inlineStr"/>
    </row>
    <row r="337" ht="15" customHeight="1">
      <c r="A337" t="inlineStr">
        <is>
          <t>A 43705-2023</t>
        </is>
      </c>
      <c r="B337" s="1" t="n">
        <v>45187.42854166667</v>
      </c>
      <c r="C337" s="1" t="n">
        <v>45964</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56659-2023</t>
        </is>
      </c>
      <c r="B338" s="1" t="n">
        <v>45243.84869212963</v>
      </c>
      <c r="C338" s="1" t="n">
        <v>45964</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13015-2022</t>
        </is>
      </c>
      <c r="B339" s="1" t="n">
        <v>44643</v>
      </c>
      <c r="C339" s="1" t="n">
        <v>45964</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52324-2023</t>
        </is>
      </c>
      <c r="B340" s="1" t="n">
        <v>45224.64659722222</v>
      </c>
      <c r="C340" s="1" t="n">
        <v>45964</v>
      </c>
      <c r="D340" t="inlineStr">
        <is>
          <t>KALMAR LÄN</t>
        </is>
      </c>
      <c r="E340" t="inlineStr">
        <is>
          <t>VIMMERBY</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17988-2025</t>
        </is>
      </c>
      <c r="B341" s="1" t="n">
        <v>45761.39600694444</v>
      </c>
      <c r="C341" s="1" t="n">
        <v>45964</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55300-2021</t>
        </is>
      </c>
      <c r="B342" s="1" t="n">
        <v>44475</v>
      </c>
      <c r="C342" s="1" t="n">
        <v>45964</v>
      </c>
      <c r="D342" t="inlineStr">
        <is>
          <t>KALMAR LÄN</t>
        </is>
      </c>
      <c r="E342" t="inlineStr">
        <is>
          <t>VIMMERBY</t>
        </is>
      </c>
      <c r="G342" t="n">
        <v>3.4</v>
      </c>
      <c r="H342" t="n">
        <v>0</v>
      </c>
      <c r="I342" t="n">
        <v>0</v>
      </c>
      <c r="J342" t="n">
        <v>0</v>
      </c>
      <c r="K342" t="n">
        <v>0</v>
      </c>
      <c r="L342" t="n">
        <v>0</v>
      </c>
      <c r="M342" t="n">
        <v>0</v>
      </c>
      <c r="N342" t="n">
        <v>0</v>
      </c>
      <c r="O342" t="n">
        <v>0</v>
      </c>
      <c r="P342" t="n">
        <v>0</v>
      </c>
      <c r="Q342" t="n">
        <v>0</v>
      </c>
      <c r="R342" s="2" t="inlineStr"/>
    </row>
    <row r="343" ht="15" customHeight="1">
      <c r="A343" t="inlineStr">
        <is>
          <t>A 17968-2025</t>
        </is>
      </c>
      <c r="B343" s="1" t="n">
        <v>45761.35990740741</v>
      </c>
      <c r="C343" s="1" t="n">
        <v>45964</v>
      </c>
      <c r="D343" t="inlineStr">
        <is>
          <t>KALMAR LÄN</t>
        </is>
      </c>
      <c r="E343" t="inlineStr">
        <is>
          <t>VIMMERBY</t>
        </is>
      </c>
      <c r="G343" t="n">
        <v>3.3</v>
      </c>
      <c r="H343" t="n">
        <v>0</v>
      </c>
      <c r="I343" t="n">
        <v>0</v>
      </c>
      <c r="J343" t="n">
        <v>0</v>
      </c>
      <c r="K343" t="n">
        <v>0</v>
      </c>
      <c r="L343" t="n">
        <v>0</v>
      </c>
      <c r="M343" t="n">
        <v>0</v>
      </c>
      <c r="N343" t="n">
        <v>0</v>
      </c>
      <c r="O343" t="n">
        <v>0</v>
      </c>
      <c r="P343" t="n">
        <v>0</v>
      </c>
      <c r="Q343" t="n">
        <v>0</v>
      </c>
      <c r="R343" s="2" t="inlineStr"/>
    </row>
    <row r="344" ht="15" customHeight="1">
      <c r="A344" t="inlineStr">
        <is>
          <t>A 23341-2022</t>
        </is>
      </c>
      <c r="B344" s="1" t="n">
        <v>44720.53898148148</v>
      </c>
      <c r="C344" s="1" t="n">
        <v>45964</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44179-2022</t>
        </is>
      </c>
      <c r="B345" s="1" t="n">
        <v>44839.4528125</v>
      </c>
      <c r="C345" s="1" t="n">
        <v>45964</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6028-2023</t>
        </is>
      </c>
      <c r="B346" s="1" t="n">
        <v>44964.44356481481</v>
      </c>
      <c r="C346" s="1" t="n">
        <v>45964</v>
      </c>
      <c r="D346" t="inlineStr">
        <is>
          <t>KALMAR LÄN</t>
        </is>
      </c>
      <c r="E346" t="inlineStr">
        <is>
          <t>VIMMERBY</t>
        </is>
      </c>
      <c r="G346" t="n">
        <v>2.5</v>
      </c>
      <c r="H346" t="n">
        <v>0</v>
      </c>
      <c r="I346" t="n">
        <v>0</v>
      </c>
      <c r="J346" t="n">
        <v>0</v>
      </c>
      <c r="K346" t="n">
        <v>0</v>
      </c>
      <c r="L346" t="n">
        <v>0</v>
      </c>
      <c r="M346" t="n">
        <v>0</v>
      </c>
      <c r="N346" t="n">
        <v>0</v>
      </c>
      <c r="O346" t="n">
        <v>0</v>
      </c>
      <c r="P346" t="n">
        <v>0</v>
      </c>
      <c r="Q346" t="n">
        <v>0</v>
      </c>
      <c r="R346" s="2" t="inlineStr"/>
    </row>
    <row r="347" ht="15" customHeight="1">
      <c r="A347" t="inlineStr">
        <is>
          <t>A 55436-2023</t>
        </is>
      </c>
      <c r="B347" s="1" t="n">
        <v>45238.4328587963</v>
      </c>
      <c r="C347" s="1" t="n">
        <v>45964</v>
      </c>
      <c r="D347" t="inlineStr">
        <is>
          <t>KALMAR LÄN</t>
        </is>
      </c>
      <c r="E347" t="inlineStr">
        <is>
          <t>VIMMERBY</t>
        </is>
      </c>
      <c r="G347" t="n">
        <v>5.6</v>
      </c>
      <c r="H347" t="n">
        <v>0</v>
      </c>
      <c r="I347" t="n">
        <v>0</v>
      </c>
      <c r="J347" t="n">
        <v>0</v>
      </c>
      <c r="K347" t="n">
        <v>0</v>
      </c>
      <c r="L347" t="n">
        <v>0</v>
      </c>
      <c r="M347" t="n">
        <v>0</v>
      </c>
      <c r="N347" t="n">
        <v>0</v>
      </c>
      <c r="O347" t="n">
        <v>0</v>
      </c>
      <c r="P347" t="n">
        <v>0</v>
      </c>
      <c r="Q347" t="n">
        <v>0</v>
      </c>
      <c r="R347" s="2" t="inlineStr"/>
    </row>
    <row r="348" ht="15" customHeight="1">
      <c r="A348" t="inlineStr">
        <is>
          <t>A 37028-2024</t>
        </is>
      </c>
      <c r="B348" s="1" t="n">
        <v>45539.38744212963</v>
      </c>
      <c r="C348" s="1" t="n">
        <v>45964</v>
      </c>
      <c r="D348" t="inlineStr">
        <is>
          <t>KALMAR LÄN</t>
        </is>
      </c>
      <c r="E348" t="inlineStr">
        <is>
          <t>VIMMERBY</t>
        </is>
      </c>
      <c r="G348" t="n">
        <v>5.2</v>
      </c>
      <c r="H348" t="n">
        <v>0</v>
      </c>
      <c r="I348" t="n">
        <v>0</v>
      </c>
      <c r="J348" t="n">
        <v>0</v>
      </c>
      <c r="K348" t="n">
        <v>0</v>
      </c>
      <c r="L348" t="n">
        <v>0</v>
      </c>
      <c r="M348" t="n">
        <v>0</v>
      </c>
      <c r="N348" t="n">
        <v>0</v>
      </c>
      <c r="O348" t="n">
        <v>0</v>
      </c>
      <c r="P348" t="n">
        <v>0</v>
      </c>
      <c r="Q348" t="n">
        <v>0</v>
      </c>
      <c r="R348" s="2" t="inlineStr"/>
    </row>
    <row r="349" ht="15" customHeight="1">
      <c r="A349" t="inlineStr">
        <is>
          <t>A 52755-2022</t>
        </is>
      </c>
      <c r="B349" s="1" t="n">
        <v>44875.27736111111</v>
      </c>
      <c r="C349" s="1" t="n">
        <v>45964</v>
      </c>
      <c r="D349" t="inlineStr">
        <is>
          <t>KALMAR LÄN</t>
        </is>
      </c>
      <c r="E349" t="inlineStr">
        <is>
          <t>VIMMERBY</t>
        </is>
      </c>
      <c r="G349" t="n">
        <v>1.1</v>
      </c>
      <c r="H349" t="n">
        <v>0</v>
      </c>
      <c r="I349" t="n">
        <v>0</v>
      </c>
      <c r="J349" t="n">
        <v>0</v>
      </c>
      <c r="K349" t="n">
        <v>0</v>
      </c>
      <c r="L349" t="n">
        <v>0</v>
      </c>
      <c r="M349" t="n">
        <v>0</v>
      </c>
      <c r="N349" t="n">
        <v>0</v>
      </c>
      <c r="O349" t="n">
        <v>0</v>
      </c>
      <c r="P349" t="n">
        <v>0</v>
      </c>
      <c r="Q349" t="n">
        <v>0</v>
      </c>
      <c r="R349" s="2" t="inlineStr"/>
    </row>
    <row r="350" ht="15" customHeight="1">
      <c r="A350" t="inlineStr">
        <is>
          <t>A 35998-2024</t>
        </is>
      </c>
      <c r="B350" s="1" t="n">
        <v>45533.54429398148</v>
      </c>
      <c r="C350" s="1" t="n">
        <v>45964</v>
      </c>
      <c r="D350" t="inlineStr">
        <is>
          <t>KALMAR LÄN</t>
        </is>
      </c>
      <c r="E350" t="inlineStr">
        <is>
          <t>VIMMERBY</t>
        </is>
      </c>
      <c r="G350" t="n">
        <v>8.6</v>
      </c>
      <c r="H350" t="n">
        <v>0</v>
      </c>
      <c r="I350" t="n">
        <v>0</v>
      </c>
      <c r="J350" t="n">
        <v>0</v>
      </c>
      <c r="K350" t="n">
        <v>0</v>
      </c>
      <c r="L350" t="n">
        <v>0</v>
      </c>
      <c r="M350" t="n">
        <v>0</v>
      </c>
      <c r="N350" t="n">
        <v>0</v>
      </c>
      <c r="O350" t="n">
        <v>0</v>
      </c>
      <c r="P350" t="n">
        <v>0</v>
      </c>
      <c r="Q350" t="n">
        <v>0</v>
      </c>
      <c r="R350" s="2" t="inlineStr"/>
    </row>
    <row r="351" ht="15" customHeight="1">
      <c r="A351" t="inlineStr">
        <is>
          <t>A 7797-2023</t>
        </is>
      </c>
      <c r="B351" s="1" t="n">
        <v>44973.43075231482</v>
      </c>
      <c r="C351" s="1" t="n">
        <v>45964</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56582-2022</t>
        </is>
      </c>
      <c r="B352" s="1" t="n">
        <v>44893</v>
      </c>
      <c r="C352" s="1" t="n">
        <v>45964</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20-2025</t>
        </is>
      </c>
      <c r="B353" s="1" t="n">
        <v>45658.80232638889</v>
      </c>
      <c r="C353" s="1" t="n">
        <v>45964</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23-2025</t>
        </is>
      </c>
      <c r="B354" s="1" t="n">
        <v>45658.80827546296</v>
      </c>
      <c r="C354" s="1" t="n">
        <v>45964</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6668-2023</t>
        </is>
      </c>
      <c r="B355" s="1" t="n">
        <v>44966</v>
      </c>
      <c r="C355" s="1" t="n">
        <v>45964</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43962-2024</t>
        </is>
      </c>
      <c r="B356" s="1" t="n">
        <v>45572.48293981481</v>
      </c>
      <c r="C356" s="1" t="n">
        <v>45964</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29168-2024</t>
        </is>
      </c>
      <c r="B357" s="1" t="n">
        <v>45482.49870370371</v>
      </c>
      <c r="C357" s="1" t="n">
        <v>45964</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8086-2021</t>
        </is>
      </c>
      <c r="B358" s="1" t="n">
        <v>44243</v>
      </c>
      <c r="C358" s="1" t="n">
        <v>45964</v>
      </c>
      <c r="D358" t="inlineStr">
        <is>
          <t>KALMAR LÄN</t>
        </is>
      </c>
      <c r="E358" t="inlineStr">
        <is>
          <t>VIMMERBY</t>
        </is>
      </c>
      <c r="G358" t="n">
        <v>4.1</v>
      </c>
      <c r="H358" t="n">
        <v>0</v>
      </c>
      <c r="I358" t="n">
        <v>0</v>
      </c>
      <c r="J358" t="n">
        <v>0</v>
      </c>
      <c r="K358" t="n">
        <v>0</v>
      </c>
      <c r="L358" t="n">
        <v>0</v>
      </c>
      <c r="M358" t="n">
        <v>0</v>
      </c>
      <c r="N358" t="n">
        <v>0</v>
      </c>
      <c r="O358" t="n">
        <v>0</v>
      </c>
      <c r="P358" t="n">
        <v>0</v>
      </c>
      <c r="Q358" t="n">
        <v>0</v>
      </c>
      <c r="R358" s="2" t="inlineStr"/>
    </row>
    <row r="359" ht="15" customHeight="1">
      <c r="A359" t="inlineStr">
        <is>
          <t>A 55236-2023</t>
        </is>
      </c>
      <c r="B359" s="1" t="n">
        <v>45237.63225694445</v>
      </c>
      <c r="C359" s="1" t="n">
        <v>45964</v>
      </c>
      <c r="D359" t="inlineStr">
        <is>
          <t>KALMAR LÄN</t>
        </is>
      </c>
      <c r="E359" t="inlineStr">
        <is>
          <t>VIMMERBY</t>
        </is>
      </c>
      <c r="G359" t="n">
        <v>1.1</v>
      </c>
      <c r="H359" t="n">
        <v>0</v>
      </c>
      <c r="I359" t="n">
        <v>0</v>
      </c>
      <c r="J359" t="n">
        <v>0</v>
      </c>
      <c r="K359" t="n">
        <v>0</v>
      </c>
      <c r="L359" t="n">
        <v>0</v>
      </c>
      <c r="M359" t="n">
        <v>0</v>
      </c>
      <c r="N359" t="n">
        <v>0</v>
      </c>
      <c r="O359" t="n">
        <v>0</v>
      </c>
      <c r="P359" t="n">
        <v>0</v>
      </c>
      <c r="Q359" t="n">
        <v>0</v>
      </c>
      <c r="R359" s="2" t="inlineStr"/>
    </row>
    <row r="360" ht="15" customHeight="1">
      <c r="A360" t="inlineStr">
        <is>
          <t>A 55245-2023</t>
        </is>
      </c>
      <c r="B360" s="1" t="n">
        <v>45237.64408564815</v>
      </c>
      <c r="C360" s="1" t="n">
        <v>45964</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35713-2023</t>
        </is>
      </c>
      <c r="B361" s="1" t="n">
        <v>45147</v>
      </c>
      <c r="C361" s="1" t="n">
        <v>45964</v>
      </c>
      <c r="D361" t="inlineStr">
        <is>
          <t>KALMAR LÄN</t>
        </is>
      </c>
      <c r="E361" t="inlineStr">
        <is>
          <t>VIMMERBY</t>
        </is>
      </c>
      <c r="G361" t="n">
        <v>1.6</v>
      </c>
      <c r="H361" t="n">
        <v>0</v>
      </c>
      <c r="I361" t="n">
        <v>0</v>
      </c>
      <c r="J361" t="n">
        <v>0</v>
      </c>
      <c r="K361" t="n">
        <v>0</v>
      </c>
      <c r="L361" t="n">
        <v>0</v>
      </c>
      <c r="M361" t="n">
        <v>0</v>
      </c>
      <c r="N361" t="n">
        <v>0</v>
      </c>
      <c r="O361" t="n">
        <v>0</v>
      </c>
      <c r="P361" t="n">
        <v>0</v>
      </c>
      <c r="Q361" t="n">
        <v>0</v>
      </c>
      <c r="R361" s="2" t="inlineStr"/>
    </row>
    <row r="362" ht="15" customHeight="1">
      <c r="A362" t="inlineStr">
        <is>
          <t>A 29351-2023</t>
        </is>
      </c>
      <c r="B362" s="1" t="n">
        <v>45106.2610300926</v>
      </c>
      <c r="C362" s="1" t="n">
        <v>45964</v>
      </c>
      <c r="D362" t="inlineStr">
        <is>
          <t>KALMAR LÄN</t>
        </is>
      </c>
      <c r="E362" t="inlineStr">
        <is>
          <t>VIMMERBY</t>
        </is>
      </c>
      <c r="G362" t="n">
        <v>0.4</v>
      </c>
      <c r="H362" t="n">
        <v>0</v>
      </c>
      <c r="I362" t="n">
        <v>0</v>
      </c>
      <c r="J362" t="n">
        <v>0</v>
      </c>
      <c r="K362" t="n">
        <v>0</v>
      </c>
      <c r="L362" t="n">
        <v>0</v>
      </c>
      <c r="M362" t="n">
        <v>0</v>
      </c>
      <c r="N362" t="n">
        <v>0</v>
      </c>
      <c r="O362" t="n">
        <v>0</v>
      </c>
      <c r="P362" t="n">
        <v>0</v>
      </c>
      <c r="Q362" t="n">
        <v>0</v>
      </c>
      <c r="R362" s="2" t="inlineStr"/>
    </row>
    <row r="363" ht="15" customHeight="1">
      <c r="A363" t="inlineStr">
        <is>
          <t>A 7630-2025</t>
        </is>
      </c>
      <c r="B363" s="1" t="n">
        <v>45705.74418981482</v>
      </c>
      <c r="C363" s="1" t="n">
        <v>45964</v>
      </c>
      <c r="D363" t="inlineStr">
        <is>
          <t>KALMAR LÄN</t>
        </is>
      </c>
      <c r="E363" t="inlineStr">
        <is>
          <t>VIMMERBY</t>
        </is>
      </c>
      <c r="G363" t="n">
        <v>2.5</v>
      </c>
      <c r="H363" t="n">
        <v>0</v>
      </c>
      <c r="I363" t="n">
        <v>0</v>
      </c>
      <c r="J363" t="n">
        <v>0</v>
      </c>
      <c r="K363" t="n">
        <v>0</v>
      </c>
      <c r="L363" t="n">
        <v>0</v>
      </c>
      <c r="M363" t="n">
        <v>0</v>
      </c>
      <c r="N363" t="n">
        <v>0</v>
      </c>
      <c r="O363" t="n">
        <v>0</v>
      </c>
      <c r="P363" t="n">
        <v>0</v>
      </c>
      <c r="Q363" t="n">
        <v>0</v>
      </c>
      <c r="R363" s="2" t="inlineStr"/>
    </row>
    <row r="364" ht="15" customHeight="1">
      <c r="A364" t="inlineStr">
        <is>
          <t>A 36055-2024</t>
        </is>
      </c>
      <c r="B364" s="1" t="n">
        <v>45533.63056712963</v>
      </c>
      <c r="C364" s="1" t="n">
        <v>45964</v>
      </c>
      <c r="D364" t="inlineStr">
        <is>
          <t>KALMAR LÄN</t>
        </is>
      </c>
      <c r="E364" t="inlineStr">
        <is>
          <t>VIMMERBY</t>
        </is>
      </c>
      <c r="F364" t="inlineStr">
        <is>
          <t>Kommuner</t>
        </is>
      </c>
      <c r="G364" t="n">
        <v>1.9</v>
      </c>
      <c r="H364" t="n">
        <v>0</v>
      </c>
      <c r="I364" t="n">
        <v>0</v>
      </c>
      <c r="J364" t="n">
        <v>0</v>
      </c>
      <c r="K364" t="n">
        <v>0</v>
      </c>
      <c r="L364" t="n">
        <v>0</v>
      </c>
      <c r="M364" t="n">
        <v>0</v>
      </c>
      <c r="N364" t="n">
        <v>0</v>
      </c>
      <c r="O364" t="n">
        <v>0</v>
      </c>
      <c r="P364" t="n">
        <v>0</v>
      </c>
      <c r="Q364" t="n">
        <v>0</v>
      </c>
      <c r="R364" s="2" t="inlineStr"/>
    </row>
    <row r="365" ht="15" customHeight="1">
      <c r="A365" t="inlineStr">
        <is>
          <t>A 1024-2024</t>
        </is>
      </c>
      <c r="B365" s="1" t="n">
        <v>45301.68237268519</v>
      </c>
      <c r="C365" s="1" t="n">
        <v>45964</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10787-2025</t>
        </is>
      </c>
      <c r="B366" s="1" t="n">
        <v>45722.48915509259</v>
      </c>
      <c r="C366" s="1" t="n">
        <v>45964</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29350-2023</t>
        </is>
      </c>
      <c r="B367" s="1" t="n">
        <v>45106</v>
      </c>
      <c r="C367" s="1" t="n">
        <v>45964</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40147-2023</t>
        </is>
      </c>
      <c r="B368" s="1" t="n">
        <v>45169</v>
      </c>
      <c r="C368" s="1" t="n">
        <v>45964</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27443-2023</t>
        </is>
      </c>
      <c r="B369" s="1" t="n">
        <v>45097.40524305555</v>
      </c>
      <c r="C369" s="1" t="n">
        <v>45964</v>
      </c>
      <c r="D369" t="inlineStr">
        <is>
          <t>KALMAR LÄN</t>
        </is>
      </c>
      <c r="E369" t="inlineStr">
        <is>
          <t>VIMMERBY</t>
        </is>
      </c>
      <c r="F369" t="inlineStr">
        <is>
          <t>Övriga Aktiebolag</t>
        </is>
      </c>
      <c r="G369" t="n">
        <v>2.3</v>
      </c>
      <c r="H369" t="n">
        <v>0</v>
      </c>
      <c r="I369" t="n">
        <v>0</v>
      </c>
      <c r="J369" t="n">
        <v>0</v>
      </c>
      <c r="K369" t="n">
        <v>0</v>
      </c>
      <c r="L369" t="n">
        <v>0</v>
      </c>
      <c r="M369" t="n">
        <v>0</v>
      </c>
      <c r="N369" t="n">
        <v>0</v>
      </c>
      <c r="O369" t="n">
        <v>0</v>
      </c>
      <c r="P369" t="n">
        <v>0</v>
      </c>
      <c r="Q369" t="n">
        <v>0</v>
      </c>
      <c r="R369" s="2" t="inlineStr"/>
    </row>
    <row r="370" ht="15" customHeight="1">
      <c r="A370" t="inlineStr">
        <is>
          <t>A 14855-2025</t>
        </is>
      </c>
      <c r="B370" s="1" t="n">
        <v>45743.41148148148</v>
      </c>
      <c r="C370" s="1" t="n">
        <v>45964</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845-2023</t>
        </is>
      </c>
      <c r="B371" s="1" t="n">
        <v>44931</v>
      </c>
      <c r="C371" s="1" t="n">
        <v>45964</v>
      </c>
      <c r="D371" t="inlineStr">
        <is>
          <t>KALMAR LÄN</t>
        </is>
      </c>
      <c r="E371" t="inlineStr">
        <is>
          <t>VIMMERBY</t>
        </is>
      </c>
      <c r="F371" t="inlineStr">
        <is>
          <t>Övriga Aktiebolag</t>
        </is>
      </c>
      <c r="G371" t="n">
        <v>19</v>
      </c>
      <c r="H371" t="n">
        <v>0</v>
      </c>
      <c r="I371" t="n">
        <v>0</v>
      </c>
      <c r="J371" t="n">
        <v>0</v>
      </c>
      <c r="K371" t="n">
        <v>0</v>
      </c>
      <c r="L371" t="n">
        <v>0</v>
      </c>
      <c r="M371" t="n">
        <v>0</v>
      </c>
      <c r="N371" t="n">
        <v>0</v>
      </c>
      <c r="O371" t="n">
        <v>0</v>
      </c>
      <c r="P371" t="n">
        <v>0</v>
      </c>
      <c r="Q371" t="n">
        <v>0</v>
      </c>
      <c r="R371" s="2" t="inlineStr"/>
    </row>
    <row r="372" ht="15" customHeight="1">
      <c r="A372" t="inlineStr">
        <is>
          <t>A 43601-2024</t>
        </is>
      </c>
      <c r="B372" s="1" t="n">
        <v>45569.44684027778</v>
      </c>
      <c r="C372" s="1" t="n">
        <v>45964</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50995-2022</t>
        </is>
      </c>
      <c r="B373" s="1" t="n">
        <v>44867</v>
      </c>
      <c r="C373" s="1" t="n">
        <v>45964</v>
      </c>
      <c r="D373" t="inlineStr">
        <is>
          <t>KALMAR LÄN</t>
        </is>
      </c>
      <c r="E373" t="inlineStr">
        <is>
          <t>VIMMERBY</t>
        </is>
      </c>
      <c r="G373" t="n">
        <v>2.4</v>
      </c>
      <c r="H373" t="n">
        <v>0</v>
      </c>
      <c r="I373" t="n">
        <v>0</v>
      </c>
      <c r="J373" t="n">
        <v>0</v>
      </c>
      <c r="K373" t="n">
        <v>0</v>
      </c>
      <c r="L373" t="n">
        <v>0</v>
      </c>
      <c r="M373" t="n">
        <v>0</v>
      </c>
      <c r="N373" t="n">
        <v>0</v>
      </c>
      <c r="O373" t="n">
        <v>0</v>
      </c>
      <c r="P373" t="n">
        <v>0</v>
      </c>
      <c r="Q373" t="n">
        <v>0</v>
      </c>
      <c r="R373" s="2" t="inlineStr"/>
    </row>
    <row r="374" ht="15" customHeight="1">
      <c r="A374" t="inlineStr">
        <is>
          <t>A 35913-2023</t>
        </is>
      </c>
      <c r="B374" s="1" t="n">
        <v>45148</v>
      </c>
      <c r="C374" s="1" t="n">
        <v>45964</v>
      </c>
      <c r="D374" t="inlineStr">
        <is>
          <t>KALMAR LÄN</t>
        </is>
      </c>
      <c r="E374" t="inlineStr">
        <is>
          <t>VIMMERBY</t>
        </is>
      </c>
      <c r="G374" t="n">
        <v>6.9</v>
      </c>
      <c r="H374" t="n">
        <v>0</v>
      </c>
      <c r="I374" t="n">
        <v>0</v>
      </c>
      <c r="J374" t="n">
        <v>0</v>
      </c>
      <c r="K374" t="n">
        <v>0</v>
      </c>
      <c r="L374" t="n">
        <v>0</v>
      </c>
      <c r="M374" t="n">
        <v>0</v>
      </c>
      <c r="N374" t="n">
        <v>0</v>
      </c>
      <c r="O374" t="n">
        <v>0</v>
      </c>
      <c r="P374" t="n">
        <v>0</v>
      </c>
      <c r="Q374" t="n">
        <v>0</v>
      </c>
      <c r="R374" s="2" t="inlineStr"/>
    </row>
    <row r="375" ht="15" customHeight="1">
      <c r="A375" t="inlineStr">
        <is>
          <t>A 9624-2024</t>
        </is>
      </c>
      <c r="B375" s="1" t="n">
        <v>45361.90282407407</v>
      </c>
      <c r="C375" s="1" t="n">
        <v>45964</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3938-2023</t>
        </is>
      </c>
      <c r="B376" s="1" t="n">
        <v>44952.35775462963</v>
      </c>
      <c r="C376" s="1" t="n">
        <v>45964</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39053-2024</t>
        </is>
      </c>
      <c r="B377" s="1" t="n">
        <v>45548</v>
      </c>
      <c r="C377" s="1" t="n">
        <v>45964</v>
      </c>
      <c r="D377" t="inlineStr">
        <is>
          <t>KALMAR LÄN</t>
        </is>
      </c>
      <c r="E377" t="inlineStr">
        <is>
          <t>VIMMERBY</t>
        </is>
      </c>
      <c r="G377" t="n">
        <v>5</v>
      </c>
      <c r="H377" t="n">
        <v>0</v>
      </c>
      <c r="I377" t="n">
        <v>0</v>
      </c>
      <c r="J377" t="n">
        <v>0</v>
      </c>
      <c r="K377" t="n">
        <v>0</v>
      </c>
      <c r="L377" t="n">
        <v>0</v>
      </c>
      <c r="M377" t="n">
        <v>0</v>
      </c>
      <c r="N377" t="n">
        <v>0</v>
      </c>
      <c r="O377" t="n">
        <v>0</v>
      </c>
      <c r="P377" t="n">
        <v>0</v>
      </c>
      <c r="Q377" t="n">
        <v>0</v>
      </c>
      <c r="R377" s="2" t="inlineStr"/>
    </row>
    <row r="378" ht="15" customHeight="1">
      <c r="A378" t="inlineStr">
        <is>
          <t>A 14451-2024</t>
        </is>
      </c>
      <c r="B378" s="1" t="n">
        <v>45394.50028935185</v>
      </c>
      <c r="C378" s="1" t="n">
        <v>45964</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27993-2022</t>
        </is>
      </c>
      <c r="B379" s="1" t="n">
        <v>44745.84396990741</v>
      </c>
      <c r="C379" s="1" t="n">
        <v>45964</v>
      </c>
      <c r="D379" t="inlineStr">
        <is>
          <t>KALMAR LÄN</t>
        </is>
      </c>
      <c r="E379" t="inlineStr">
        <is>
          <t>VIMMERBY</t>
        </is>
      </c>
      <c r="G379" t="n">
        <v>2.8</v>
      </c>
      <c r="H379" t="n">
        <v>0</v>
      </c>
      <c r="I379" t="n">
        <v>0</v>
      </c>
      <c r="J379" t="n">
        <v>0</v>
      </c>
      <c r="K379" t="n">
        <v>0</v>
      </c>
      <c r="L379" t="n">
        <v>0</v>
      </c>
      <c r="M379" t="n">
        <v>0</v>
      </c>
      <c r="N379" t="n">
        <v>0</v>
      </c>
      <c r="O379" t="n">
        <v>0</v>
      </c>
      <c r="P379" t="n">
        <v>0</v>
      </c>
      <c r="Q379" t="n">
        <v>0</v>
      </c>
      <c r="R379" s="2" t="inlineStr"/>
    </row>
    <row r="380" ht="15" customHeight="1">
      <c r="A380" t="inlineStr">
        <is>
          <t>A 34205-2023</t>
        </is>
      </c>
      <c r="B380" s="1" t="n">
        <v>45138</v>
      </c>
      <c r="C380" s="1" t="n">
        <v>45964</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6321-2023</t>
        </is>
      </c>
      <c r="B381" s="1" t="n">
        <v>44965.4815162037</v>
      </c>
      <c r="C381" s="1" t="n">
        <v>45964</v>
      </c>
      <c r="D381" t="inlineStr">
        <is>
          <t>KALMAR LÄN</t>
        </is>
      </c>
      <c r="E381" t="inlineStr">
        <is>
          <t>VIMMERBY</t>
        </is>
      </c>
      <c r="G381" t="n">
        <v>1.8</v>
      </c>
      <c r="H381" t="n">
        <v>0</v>
      </c>
      <c r="I381" t="n">
        <v>0</v>
      </c>
      <c r="J381" t="n">
        <v>0</v>
      </c>
      <c r="K381" t="n">
        <v>0</v>
      </c>
      <c r="L381" t="n">
        <v>0</v>
      </c>
      <c r="M381" t="n">
        <v>0</v>
      </c>
      <c r="N381" t="n">
        <v>0</v>
      </c>
      <c r="O381" t="n">
        <v>0</v>
      </c>
      <c r="P381" t="n">
        <v>0</v>
      </c>
      <c r="Q381" t="n">
        <v>0</v>
      </c>
      <c r="R381" s="2" t="inlineStr"/>
    </row>
    <row r="382" ht="15" customHeight="1">
      <c r="A382" t="inlineStr">
        <is>
          <t>A 4624-2024</t>
        </is>
      </c>
      <c r="B382" s="1" t="n">
        <v>45328.38755787037</v>
      </c>
      <c r="C382" s="1" t="n">
        <v>45964</v>
      </c>
      <c r="D382" t="inlineStr">
        <is>
          <t>KALMAR LÄN</t>
        </is>
      </c>
      <c r="E382" t="inlineStr">
        <is>
          <t>VIMMERBY</t>
        </is>
      </c>
      <c r="G382" t="n">
        <v>1.7</v>
      </c>
      <c r="H382" t="n">
        <v>0</v>
      </c>
      <c r="I382" t="n">
        <v>0</v>
      </c>
      <c r="J382" t="n">
        <v>0</v>
      </c>
      <c r="K382" t="n">
        <v>0</v>
      </c>
      <c r="L382" t="n">
        <v>0</v>
      </c>
      <c r="M382" t="n">
        <v>0</v>
      </c>
      <c r="N382" t="n">
        <v>0</v>
      </c>
      <c r="O382" t="n">
        <v>0</v>
      </c>
      <c r="P382" t="n">
        <v>0</v>
      </c>
      <c r="Q382" t="n">
        <v>0</v>
      </c>
      <c r="R382" s="2" t="inlineStr"/>
    </row>
    <row r="383" ht="15" customHeight="1">
      <c r="A383" t="inlineStr">
        <is>
          <t>A 57555-2024</t>
        </is>
      </c>
      <c r="B383" s="1" t="n">
        <v>45630.45069444444</v>
      </c>
      <c r="C383" s="1" t="n">
        <v>45964</v>
      </c>
      <c r="D383" t="inlineStr">
        <is>
          <t>KALMAR LÄN</t>
        </is>
      </c>
      <c r="E383" t="inlineStr">
        <is>
          <t>VIMMERBY</t>
        </is>
      </c>
      <c r="G383" t="n">
        <v>1.1</v>
      </c>
      <c r="H383" t="n">
        <v>0</v>
      </c>
      <c r="I383" t="n">
        <v>0</v>
      </c>
      <c r="J383" t="n">
        <v>0</v>
      </c>
      <c r="K383" t="n">
        <v>0</v>
      </c>
      <c r="L383" t="n">
        <v>0</v>
      </c>
      <c r="M383" t="n">
        <v>0</v>
      </c>
      <c r="N383" t="n">
        <v>0</v>
      </c>
      <c r="O383" t="n">
        <v>0</v>
      </c>
      <c r="P383" t="n">
        <v>0</v>
      </c>
      <c r="Q383" t="n">
        <v>0</v>
      </c>
      <c r="R383" s="2" t="inlineStr"/>
    </row>
    <row r="384" ht="15" customHeight="1">
      <c r="A384" t="inlineStr">
        <is>
          <t>A 40730-2024</t>
        </is>
      </c>
      <c r="B384" s="1" t="n">
        <v>45558.44914351852</v>
      </c>
      <c r="C384" s="1" t="n">
        <v>45964</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2157-2024</t>
        </is>
      </c>
      <c r="B385" s="1" t="n">
        <v>45309.59487268519</v>
      </c>
      <c r="C385" s="1" t="n">
        <v>45964</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36014-2024</t>
        </is>
      </c>
      <c r="B386" s="1" t="n">
        <v>45533.56108796296</v>
      </c>
      <c r="C386" s="1" t="n">
        <v>45964</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36030-2024</t>
        </is>
      </c>
      <c r="B387" s="1" t="n">
        <v>45533.58302083334</v>
      </c>
      <c r="C387" s="1" t="n">
        <v>45964</v>
      </c>
      <c r="D387" t="inlineStr">
        <is>
          <t>KALMAR LÄN</t>
        </is>
      </c>
      <c r="E387" t="inlineStr">
        <is>
          <t>VIMMERBY</t>
        </is>
      </c>
      <c r="F387" t="inlineStr">
        <is>
          <t>Kommuner</t>
        </is>
      </c>
      <c r="G387" t="n">
        <v>4</v>
      </c>
      <c r="H387" t="n">
        <v>0</v>
      </c>
      <c r="I387" t="n">
        <v>0</v>
      </c>
      <c r="J387" t="n">
        <v>0</v>
      </c>
      <c r="K387" t="n">
        <v>0</v>
      </c>
      <c r="L387" t="n">
        <v>0</v>
      </c>
      <c r="M387" t="n">
        <v>0</v>
      </c>
      <c r="N387" t="n">
        <v>0</v>
      </c>
      <c r="O387" t="n">
        <v>0</v>
      </c>
      <c r="P387" t="n">
        <v>0</v>
      </c>
      <c r="Q387" t="n">
        <v>0</v>
      </c>
      <c r="R387" s="2" t="inlineStr"/>
    </row>
    <row r="388" ht="15" customHeight="1">
      <c r="A388" t="inlineStr">
        <is>
          <t>A 49461-2022</t>
        </is>
      </c>
      <c r="B388" s="1" t="n">
        <v>44861</v>
      </c>
      <c r="C388" s="1" t="n">
        <v>45964</v>
      </c>
      <c r="D388" t="inlineStr">
        <is>
          <t>KALMAR LÄN</t>
        </is>
      </c>
      <c r="E388" t="inlineStr">
        <is>
          <t>VIMMERBY</t>
        </is>
      </c>
      <c r="G388" t="n">
        <v>3.2</v>
      </c>
      <c r="H388" t="n">
        <v>0</v>
      </c>
      <c r="I388" t="n">
        <v>0</v>
      </c>
      <c r="J388" t="n">
        <v>0</v>
      </c>
      <c r="K388" t="n">
        <v>0</v>
      </c>
      <c r="L388" t="n">
        <v>0</v>
      </c>
      <c r="M388" t="n">
        <v>0</v>
      </c>
      <c r="N388" t="n">
        <v>0</v>
      </c>
      <c r="O388" t="n">
        <v>0</v>
      </c>
      <c r="P388" t="n">
        <v>0</v>
      </c>
      <c r="Q388" t="n">
        <v>0</v>
      </c>
      <c r="R388" s="2" t="inlineStr"/>
    </row>
    <row r="389" ht="15" customHeight="1">
      <c r="A389" t="inlineStr">
        <is>
          <t>A 32865-2023</t>
        </is>
      </c>
      <c r="B389" s="1" t="n">
        <v>45124</v>
      </c>
      <c r="C389" s="1" t="n">
        <v>45964</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694-2024</t>
        </is>
      </c>
      <c r="B390" s="1" t="n">
        <v>45300.3794212963</v>
      </c>
      <c r="C390" s="1" t="n">
        <v>45964</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3268-2024</t>
        </is>
      </c>
      <c r="B391" s="1" t="n">
        <v>45317</v>
      </c>
      <c r="C391" s="1" t="n">
        <v>45964</v>
      </c>
      <c r="D391" t="inlineStr">
        <is>
          <t>KALMAR LÄN</t>
        </is>
      </c>
      <c r="E391" t="inlineStr">
        <is>
          <t>VIMMERBY</t>
        </is>
      </c>
      <c r="F391" t="inlineStr">
        <is>
          <t>Övriga Aktiebolag</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12819-2024</t>
        </is>
      </c>
      <c r="B392" s="1" t="n">
        <v>45384.66917824074</v>
      </c>
      <c r="C392" s="1" t="n">
        <v>45964</v>
      </c>
      <c r="D392" t="inlineStr">
        <is>
          <t>KALMAR LÄN</t>
        </is>
      </c>
      <c r="E392" t="inlineStr">
        <is>
          <t>VIMMERBY</t>
        </is>
      </c>
      <c r="G392" t="n">
        <v>5.1</v>
      </c>
      <c r="H392" t="n">
        <v>0</v>
      </c>
      <c r="I392" t="n">
        <v>0</v>
      </c>
      <c r="J392" t="n">
        <v>0</v>
      </c>
      <c r="K392" t="n">
        <v>0</v>
      </c>
      <c r="L392" t="n">
        <v>0</v>
      </c>
      <c r="M392" t="n">
        <v>0</v>
      </c>
      <c r="N392" t="n">
        <v>0</v>
      </c>
      <c r="O392" t="n">
        <v>0</v>
      </c>
      <c r="P392" t="n">
        <v>0</v>
      </c>
      <c r="Q392" t="n">
        <v>0</v>
      </c>
      <c r="R392" s="2" t="inlineStr"/>
    </row>
    <row r="393" ht="15" customHeight="1">
      <c r="A393" t="inlineStr">
        <is>
          <t>A 59598-2023</t>
        </is>
      </c>
      <c r="B393" s="1" t="n">
        <v>45254.62489583333</v>
      </c>
      <c r="C393" s="1" t="n">
        <v>45964</v>
      </c>
      <c r="D393" t="inlineStr">
        <is>
          <t>KALMAR LÄN</t>
        </is>
      </c>
      <c r="E393" t="inlineStr">
        <is>
          <t>VIMMERBY</t>
        </is>
      </c>
      <c r="F393" t="inlineStr">
        <is>
          <t>Övriga Aktiebolag</t>
        </is>
      </c>
      <c r="G393" t="n">
        <v>4</v>
      </c>
      <c r="H393" t="n">
        <v>0</v>
      </c>
      <c r="I393" t="n">
        <v>0</v>
      </c>
      <c r="J393" t="n">
        <v>0</v>
      </c>
      <c r="K393" t="n">
        <v>0</v>
      </c>
      <c r="L393" t="n">
        <v>0</v>
      </c>
      <c r="M393" t="n">
        <v>0</v>
      </c>
      <c r="N393" t="n">
        <v>0</v>
      </c>
      <c r="O393" t="n">
        <v>0</v>
      </c>
      <c r="P393" t="n">
        <v>0</v>
      </c>
      <c r="Q393" t="n">
        <v>0</v>
      </c>
      <c r="R393" s="2" t="inlineStr"/>
    </row>
    <row r="394" ht="15" customHeight="1">
      <c r="A394" t="inlineStr">
        <is>
          <t>A 7944-2024</t>
        </is>
      </c>
      <c r="B394" s="1" t="n">
        <v>45350.53306712963</v>
      </c>
      <c r="C394" s="1" t="n">
        <v>45964</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21496-2023</t>
        </is>
      </c>
      <c r="B395" s="1" t="n">
        <v>45063.49936342592</v>
      </c>
      <c r="C395" s="1" t="n">
        <v>45964</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6214-2025</t>
        </is>
      </c>
      <c r="B396" s="1" t="n">
        <v>45698.51711805556</v>
      </c>
      <c r="C396" s="1" t="n">
        <v>45964</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32569-2024</t>
        </is>
      </c>
      <c r="B397" s="1" t="n">
        <v>45513.55840277778</v>
      </c>
      <c r="C397" s="1" t="n">
        <v>45964</v>
      </c>
      <c r="D397" t="inlineStr">
        <is>
          <t>KALMAR LÄN</t>
        </is>
      </c>
      <c r="E397" t="inlineStr">
        <is>
          <t>VIMMERBY</t>
        </is>
      </c>
      <c r="G397" t="n">
        <v>3.7</v>
      </c>
      <c r="H397" t="n">
        <v>0</v>
      </c>
      <c r="I397" t="n">
        <v>0</v>
      </c>
      <c r="J397" t="n">
        <v>0</v>
      </c>
      <c r="K397" t="n">
        <v>0</v>
      </c>
      <c r="L397" t="n">
        <v>0</v>
      </c>
      <c r="M397" t="n">
        <v>0</v>
      </c>
      <c r="N397" t="n">
        <v>0</v>
      </c>
      <c r="O397" t="n">
        <v>0</v>
      </c>
      <c r="P397" t="n">
        <v>0</v>
      </c>
      <c r="Q397" t="n">
        <v>0</v>
      </c>
      <c r="R397" s="2" t="inlineStr"/>
    </row>
    <row r="398" ht="15" customHeight="1">
      <c r="A398" t="inlineStr">
        <is>
          <t>A 32575-2024</t>
        </is>
      </c>
      <c r="B398" s="1" t="n">
        <v>45513.56527777778</v>
      </c>
      <c r="C398" s="1" t="n">
        <v>45964</v>
      </c>
      <c r="D398" t="inlineStr">
        <is>
          <t>KALMAR LÄN</t>
        </is>
      </c>
      <c r="E398" t="inlineStr">
        <is>
          <t>VIMMERBY</t>
        </is>
      </c>
      <c r="G398" t="n">
        <v>1.5</v>
      </c>
      <c r="H398" t="n">
        <v>0</v>
      </c>
      <c r="I398" t="n">
        <v>0</v>
      </c>
      <c r="J398" t="n">
        <v>0</v>
      </c>
      <c r="K398" t="n">
        <v>0</v>
      </c>
      <c r="L398" t="n">
        <v>0</v>
      </c>
      <c r="M398" t="n">
        <v>0</v>
      </c>
      <c r="N398" t="n">
        <v>0</v>
      </c>
      <c r="O398" t="n">
        <v>0</v>
      </c>
      <c r="P398" t="n">
        <v>0</v>
      </c>
      <c r="Q398" t="n">
        <v>0</v>
      </c>
      <c r="R398" s="2" t="inlineStr"/>
    </row>
    <row r="399" ht="15" customHeight="1">
      <c r="A399" t="inlineStr">
        <is>
          <t>A 42918-2021</t>
        </is>
      </c>
      <c r="B399" s="1" t="n">
        <v>44431</v>
      </c>
      <c r="C399" s="1" t="n">
        <v>45964</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22643-2023</t>
        </is>
      </c>
      <c r="B400" s="1" t="n">
        <v>45071</v>
      </c>
      <c r="C400" s="1" t="n">
        <v>45964</v>
      </c>
      <c r="D400" t="inlineStr">
        <is>
          <t>KALMAR LÄN</t>
        </is>
      </c>
      <c r="E400" t="inlineStr">
        <is>
          <t>VIMMERBY</t>
        </is>
      </c>
      <c r="G400" t="n">
        <v>3.9</v>
      </c>
      <c r="H400" t="n">
        <v>0</v>
      </c>
      <c r="I400" t="n">
        <v>0</v>
      </c>
      <c r="J400" t="n">
        <v>0</v>
      </c>
      <c r="K400" t="n">
        <v>0</v>
      </c>
      <c r="L400" t="n">
        <v>0</v>
      </c>
      <c r="M400" t="n">
        <v>0</v>
      </c>
      <c r="N400" t="n">
        <v>0</v>
      </c>
      <c r="O400" t="n">
        <v>0</v>
      </c>
      <c r="P400" t="n">
        <v>0</v>
      </c>
      <c r="Q400" t="n">
        <v>0</v>
      </c>
      <c r="R400" s="2" t="inlineStr"/>
    </row>
    <row r="401" ht="15" customHeight="1">
      <c r="A401" t="inlineStr">
        <is>
          <t>A 29783-2024</t>
        </is>
      </c>
      <c r="B401" s="1" t="n">
        <v>45485.45778935185</v>
      </c>
      <c r="C401" s="1" t="n">
        <v>45964</v>
      </c>
      <c r="D401" t="inlineStr">
        <is>
          <t>KALMAR LÄN</t>
        </is>
      </c>
      <c r="E401" t="inlineStr">
        <is>
          <t>VIMMERBY</t>
        </is>
      </c>
      <c r="G401" t="n">
        <v>3.1</v>
      </c>
      <c r="H401" t="n">
        <v>0</v>
      </c>
      <c r="I401" t="n">
        <v>0</v>
      </c>
      <c r="J401" t="n">
        <v>0</v>
      </c>
      <c r="K401" t="n">
        <v>0</v>
      </c>
      <c r="L401" t="n">
        <v>0</v>
      </c>
      <c r="M401" t="n">
        <v>0</v>
      </c>
      <c r="N401" t="n">
        <v>0</v>
      </c>
      <c r="O401" t="n">
        <v>0</v>
      </c>
      <c r="P401" t="n">
        <v>0</v>
      </c>
      <c r="Q401" t="n">
        <v>0</v>
      </c>
      <c r="R401" s="2" t="inlineStr"/>
    </row>
    <row r="402" ht="15" customHeight="1">
      <c r="A402" t="inlineStr">
        <is>
          <t>A 18669-2025</t>
        </is>
      </c>
      <c r="B402" s="1" t="n">
        <v>45763.59436342592</v>
      </c>
      <c r="C402" s="1" t="n">
        <v>45964</v>
      </c>
      <c r="D402" t="inlineStr">
        <is>
          <t>KALMAR LÄN</t>
        </is>
      </c>
      <c r="E402" t="inlineStr">
        <is>
          <t>VIMMERBY</t>
        </is>
      </c>
      <c r="G402" t="n">
        <v>2.7</v>
      </c>
      <c r="H402" t="n">
        <v>0</v>
      </c>
      <c r="I402" t="n">
        <v>0</v>
      </c>
      <c r="J402" t="n">
        <v>0</v>
      </c>
      <c r="K402" t="n">
        <v>0</v>
      </c>
      <c r="L402" t="n">
        <v>0</v>
      </c>
      <c r="M402" t="n">
        <v>0</v>
      </c>
      <c r="N402" t="n">
        <v>0</v>
      </c>
      <c r="O402" t="n">
        <v>0</v>
      </c>
      <c r="P402" t="n">
        <v>0</v>
      </c>
      <c r="Q402" t="n">
        <v>0</v>
      </c>
      <c r="R402" s="2" t="inlineStr"/>
    </row>
    <row r="403" ht="15" customHeight="1">
      <c r="A403" t="inlineStr">
        <is>
          <t>A 38780-2021</t>
        </is>
      </c>
      <c r="B403" s="1" t="n">
        <v>44410</v>
      </c>
      <c r="C403" s="1" t="n">
        <v>45964</v>
      </c>
      <c r="D403" t="inlineStr">
        <is>
          <t>KALMAR LÄN</t>
        </is>
      </c>
      <c r="E403" t="inlineStr">
        <is>
          <t>VIMMERBY</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59300-2024</t>
        </is>
      </c>
      <c r="B404" s="1" t="n">
        <v>45637.66542824074</v>
      </c>
      <c r="C404" s="1" t="n">
        <v>45964</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59768-2024</t>
        </is>
      </c>
      <c r="B405" s="1" t="n">
        <v>45639.56185185185</v>
      </c>
      <c r="C405" s="1" t="n">
        <v>45964</v>
      </c>
      <c r="D405" t="inlineStr">
        <is>
          <t>KALMAR LÄN</t>
        </is>
      </c>
      <c r="E405" t="inlineStr">
        <is>
          <t>VIMMERBY</t>
        </is>
      </c>
      <c r="G405" t="n">
        <v>5.9</v>
      </c>
      <c r="H405" t="n">
        <v>0</v>
      </c>
      <c r="I405" t="n">
        <v>0</v>
      </c>
      <c r="J405" t="n">
        <v>0</v>
      </c>
      <c r="K405" t="n">
        <v>0</v>
      </c>
      <c r="L405" t="n">
        <v>0</v>
      </c>
      <c r="M405" t="n">
        <v>0</v>
      </c>
      <c r="N405" t="n">
        <v>0</v>
      </c>
      <c r="O405" t="n">
        <v>0</v>
      </c>
      <c r="P405" t="n">
        <v>0</v>
      </c>
      <c r="Q405" t="n">
        <v>0</v>
      </c>
      <c r="R405" s="2" t="inlineStr"/>
    </row>
    <row r="406" ht="15" customHeight="1">
      <c r="A406" t="inlineStr">
        <is>
          <t>A 29020-2024</t>
        </is>
      </c>
      <c r="B406" s="1" t="n">
        <v>45481.58048611111</v>
      </c>
      <c r="C406" s="1" t="n">
        <v>45964</v>
      </c>
      <c r="D406" t="inlineStr">
        <is>
          <t>KALMAR LÄN</t>
        </is>
      </c>
      <c r="E406" t="inlineStr">
        <is>
          <t>VIMMERBY</t>
        </is>
      </c>
      <c r="G406" t="n">
        <v>2.3</v>
      </c>
      <c r="H406" t="n">
        <v>0</v>
      </c>
      <c r="I406" t="n">
        <v>0</v>
      </c>
      <c r="J406" t="n">
        <v>0</v>
      </c>
      <c r="K406" t="n">
        <v>0</v>
      </c>
      <c r="L406" t="n">
        <v>0</v>
      </c>
      <c r="M406" t="n">
        <v>0</v>
      </c>
      <c r="N406" t="n">
        <v>0</v>
      </c>
      <c r="O406" t="n">
        <v>0</v>
      </c>
      <c r="P406" t="n">
        <v>0</v>
      </c>
      <c r="Q406" t="n">
        <v>0</v>
      </c>
      <c r="R406" s="2" t="inlineStr"/>
    </row>
    <row r="407" ht="15" customHeight="1">
      <c r="A407" t="inlineStr">
        <is>
          <t>A 36526-2023</t>
        </is>
      </c>
      <c r="B407" s="1" t="n">
        <v>45153.32778935185</v>
      </c>
      <c r="C407" s="1" t="n">
        <v>45964</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30406-2023</t>
        </is>
      </c>
      <c r="B408" s="1" t="n">
        <v>45111.48787037037</v>
      </c>
      <c r="C408" s="1" t="n">
        <v>45964</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13817-2024</t>
        </is>
      </c>
      <c r="B409" s="1" t="n">
        <v>45391.41976851852</v>
      </c>
      <c r="C409" s="1" t="n">
        <v>45964</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35198-2023</t>
        </is>
      </c>
      <c r="B410" s="1" t="n">
        <v>45145</v>
      </c>
      <c r="C410" s="1" t="n">
        <v>45964</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43853-2023</t>
        </is>
      </c>
      <c r="B411" s="1" t="n">
        <v>45187.60813657408</v>
      </c>
      <c r="C411" s="1" t="n">
        <v>45964</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58728-2024</t>
        </is>
      </c>
      <c r="B412" s="1" t="n">
        <v>45635.66695601852</v>
      </c>
      <c r="C412" s="1" t="n">
        <v>45964</v>
      </c>
      <c r="D412" t="inlineStr">
        <is>
          <t>KALMAR LÄN</t>
        </is>
      </c>
      <c r="E412" t="inlineStr">
        <is>
          <t>VIMMERBY</t>
        </is>
      </c>
      <c r="G412" t="n">
        <v>0.4</v>
      </c>
      <c r="H412" t="n">
        <v>0</v>
      </c>
      <c r="I412" t="n">
        <v>0</v>
      </c>
      <c r="J412" t="n">
        <v>0</v>
      </c>
      <c r="K412" t="n">
        <v>0</v>
      </c>
      <c r="L412" t="n">
        <v>0</v>
      </c>
      <c r="M412" t="n">
        <v>0</v>
      </c>
      <c r="N412" t="n">
        <v>0</v>
      </c>
      <c r="O412" t="n">
        <v>0</v>
      </c>
      <c r="P412" t="n">
        <v>0</v>
      </c>
      <c r="Q412" t="n">
        <v>0</v>
      </c>
      <c r="R412" s="2" t="inlineStr"/>
    </row>
    <row r="413" ht="15" customHeight="1">
      <c r="A413" t="inlineStr">
        <is>
          <t>A 49474-2023</t>
        </is>
      </c>
      <c r="B413" s="1" t="n">
        <v>45211.541875</v>
      </c>
      <c r="C413" s="1" t="n">
        <v>45964</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57682-2022</t>
        </is>
      </c>
      <c r="B414" s="1" t="n">
        <v>44890</v>
      </c>
      <c r="C414" s="1" t="n">
        <v>45964</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14220-2021</t>
        </is>
      </c>
      <c r="B415" s="1" t="n">
        <v>44278.54855324074</v>
      </c>
      <c r="C415" s="1" t="n">
        <v>45964</v>
      </c>
      <c r="D415" t="inlineStr">
        <is>
          <t>KALMAR LÄN</t>
        </is>
      </c>
      <c r="E415" t="inlineStr">
        <is>
          <t>VIMMERBY</t>
        </is>
      </c>
      <c r="G415" t="n">
        <v>0.3</v>
      </c>
      <c r="H415" t="n">
        <v>0</v>
      </c>
      <c r="I415" t="n">
        <v>0</v>
      </c>
      <c r="J415" t="n">
        <v>0</v>
      </c>
      <c r="K415" t="n">
        <v>0</v>
      </c>
      <c r="L415" t="n">
        <v>0</v>
      </c>
      <c r="M415" t="n">
        <v>0</v>
      </c>
      <c r="N415" t="n">
        <v>0</v>
      </c>
      <c r="O415" t="n">
        <v>0</v>
      </c>
      <c r="P415" t="n">
        <v>0</v>
      </c>
      <c r="Q415" t="n">
        <v>0</v>
      </c>
      <c r="R415" s="2" t="inlineStr"/>
    </row>
    <row r="416" ht="15" customHeight="1">
      <c r="A416" t="inlineStr">
        <is>
          <t>A 42850-2022</t>
        </is>
      </c>
      <c r="B416" s="1" t="n">
        <v>44832.67608796297</v>
      </c>
      <c r="C416" s="1" t="n">
        <v>45964</v>
      </c>
      <c r="D416" t="inlineStr">
        <is>
          <t>KALMAR LÄN</t>
        </is>
      </c>
      <c r="E416" t="inlineStr">
        <is>
          <t>VIMMERBY</t>
        </is>
      </c>
      <c r="G416" t="n">
        <v>5.9</v>
      </c>
      <c r="H416" t="n">
        <v>0</v>
      </c>
      <c r="I416" t="n">
        <v>0</v>
      </c>
      <c r="J416" t="n">
        <v>0</v>
      </c>
      <c r="K416" t="n">
        <v>0</v>
      </c>
      <c r="L416" t="n">
        <v>0</v>
      </c>
      <c r="M416" t="n">
        <v>0</v>
      </c>
      <c r="N416" t="n">
        <v>0</v>
      </c>
      <c r="O416" t="n">
        <v>0</v>
      </c>
      <c r="P416" t="n">
        <v>0</v>
      </c>
      <c r="Q416" t="n">
        <v>0</v>
      </c>
      <c r="R416" s="2" t="inlineStr"/>
    </row>
    <row r="417" ht="15" customHeight="1">
      <c r="A417" t="inlineStr">
        <is>
          <t>A 63950-2023</t>
        </is>
      </c>
      <c r="B417" s="1" t="n">
        <v>45278</v>
      </c>
      <c r="C417" s="1" t="n">
        <v>45964</v>
      </c>
      <c r="D417" t="inlineStr">
        <is>
          <t>KALMAR LÄN</t>
        </is>
      </c>
      <c r="E417" t="inlineStr">
        <is>
          <t>VIMMERBY</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9511-2023</t>
        </is>
      </c>
      <c r="B418" s="1" t="n">
        <v>44981.64725694444</v>
      </c>
      <c r="C418" s="1" t="n">
        <v>45964</v>
      </c>
      <c r="D418" t="inlineStr">
        <is>
          <t>KALMAR LÄN</t>
        </is>
      </c>
      <c r="E418" t="inlineStr">
        <is>
          <t>VIMMERBY</t>
        </is>
      </c>
      <c r="G418" t="n">
        <v>3.5</v>
      </c>
      <c r="H418" t="n">
        <v>0</v>
      </c>
      <c r="I418" t="n">
        <v>0</v>
      </c>
      <c r="J418" t="n">
        <v>0</v>
      </c>
      <c r="K418" t="n">
        <v>0</v>
      </c>
      <c r="L418" t="n">
        <v>0</v>
      </c>
      <c r="M418" t="n">
        <v>0</v>
      </c>
      <c r="N418" t="n">
        <v>0</v>
      </c>
      <c r="O418" t="n">
        <v>0</v>
      </c>
      <c r="P418" t="n">
        <v>0</v>
      </c>
      <c r="Q418" t="n">
        <v>0</v>
      </c>
      <c r="R418" s="2" t="inlineStr"/>
    </row>
    <row r="419" ht="15" customHeight="1">
      <c r="A419" t="inlineStr">
        <is>
          <t>A 38757-2023</t>
        </is>
      </c>
      <c r="B419" s="1" t="n">
        <v>45163.41376157408</v>
      </c>
      <c r="C419" s="1" t="n">
        <v>45964</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16516-2023</t>
        </is>
      </c>
      <c r="B420" s="1" t="n">
        <v>45029</v>
      </c>
      <c r="C420" s="1" t="n">
        <v>45964</v>
      </c>
      <c r="D420" t="inlineStr">
        <is>
          <t>KALMAR LÄN</t>
        </is>
      </c>
      <c r="E420" t="inlineStr">
        <is>
          <t>VIMMERBY</t>
        </is>
      </c>
      <c r="G420" t="n">
        <v>4.3</v>
      </c>
      <c r="H420" t="n">
        <v>0</v>
      </c>
      <c r="I420" t="n">
        <v>0</v>
      </c>
      <c r="J420" t="n">
        <v>0</v>
      </c>
      <c r="K420" t="n">
        <v>0</v>
      </c>
      <c r="L420" t="n">
        <v>0</v>
      </c>
      <c r="M420" t="n">
        <v>0</v>
      </c>
      <c r="N420" t="n">
        <v>0</v>
      </c>
      <c r="O420" t="n">
        <v>0</v>
      </c>
      <c r="P420" t="n">
        <v>0</v>
      </c>
      <c r="Q420" t="n">
        <v>0</v>
      </c>
      <c r="R420" s="2" t="inlineStr"/>
    </row>
    <row r="421" ht="15" customHeight="1">
      <c r="A421" t="inlineStr">
        <is>
          <t>A 29973-2023</t>
        </is>
      </c>
      <c r="B421" s="1" t="n">
        <v>45108.703125</v>
      </c>
      <c r="C421" s="1" t="n">
        <v>45964</v>
      </c>
      <c r="D421" t="inlineStr">
        <is>
          <t>KALMAR LÄN</t>
        </is>
      </c>
      <c r="E421" t="inlineStr">
        <is>
          <t>VIMMERBY</t>
        </is>
      </c>
      <c r="G421" t="n">
        <v>4</v>
      </c>
      <c r="H421" t="n">
        <v>0</v>
      </c>
      <c r="I421" t="n">
        <v>0</v>
      </c>
      <c r="J421" t="n">
        <v>0</v>
      </c>
      <c r="K421" t="n">
        <v>0</v>
      </c>
      <c r="L421" t="n">
        <v>0</v>
      </c>
      <c r="M421" t="n">
        <v>0</v>
      </c>
      <c r="N421" t="n">
        <v>0</v>
      </c>
      <c r="O421" t="n">
        <v>0</v>
      </c>
      <c r="P421" t="n">
        <v>0</v>
      </c>
      <c r="Q421" t="n">
        <v>0</v>
      </c>
      <c r="R421" s="2" t="inlineStr"/>
    </row>
    <row r="422" ht="15" customHeight="1">
      <c r="A422" t="inlineStr">
        <is>
          <t>A 47842-2024</t>
        </is>
      </c>
      <c r="B422" s="1" t="n">
        <v>45588.65545138889</v>
      </c>
      <c r="C422" s="1" t="n">
        <v>45964</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64143-2021</t>
        </is>
      </c>
      <c r="B423" s="1" t="n">
        <v>44510.52157407408</v>
      </c>
      <c r="C423" s="1" t="n">
        <v>45964</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73938-2021</t>
        </is>
      </c>
      <c r="B424" s="1" t="n">
        <v>44553</v>
      </c>
      <c r="C424" s="1" t="n">
        <v>45964</v>
      </c>
      <c r="D424" t="inlineStr">
        <is>
          <t>KALMAR LÄN</t>
        </is>
      </c>
      <c r="E424" t="inlineStr">
        <is>
          <t>VIMMERBY</t>
        </is>
      </c>
      <c r="G424" t="n">
        <v>3.2</v>
      </c>
      <c r="H424" t="n">
        <v>0</v>
      </c>
      <c r="I424" t="n">
        <v>0</v>
      </c>
      <c r="J424" t="n">
        <v>0</v>
      </c>
      <c r="K424" t="n">
        <v>0</v>
      </c>
      <c r="L424" t="n">
        <v>0</v>
      </c>
      <c r="M424" t="n">
        <v>0</v>
      </c>
      <c r="N424" t="n">
        <v>0</v>
      </c>
      <c r="O424" t="n">
        <v>0</v>
      </c>
      <c r="P424" t="n">
        <v>0</v>
      </c>
      <c r="Q424" t="n">
        <v>0</v>
      </c>
      <c r="R424" s="2" t="inlineStr"/>
    </row>
    <row r="425" ht="15" customHeight="1">
      <c r="A425" t="inlineStr">
        <is>
          <t>A 6408-2025</t>
        </is>
      </c>
      <c r="B425" s="1" t="n">
        <v>45699.45671296296</v>
      </c>
      <c r="C425" s="1" t="n">
        <v>45964</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25109-2023</t>
        </is>
      </c>
      <c r="B426" s="1" t="n">
        <v>45086</v>
      </c>
      <c r="C426" s="1" t="n">
        <v>45964</v>
      </c>
      <c r="D426" t="inlineStr">
        <is>
          <t>KALMAR LÄN</t>
        </is>
      </c>
      <c r="E426" t="inlineStr">
        <is>
          <t>VIMMERBY</t>
        </is>
      </c>
      <c r="G426" t="n">
        <v>1.5</v>
      </c>
      <c r="H426" t="n">
        <v>0</v>
      </c>
      <c r="I426" t="n">
        <v>0</v>
      </c>
      <c r="J426" t="n">
        <v>0</v>
      </c>
      <c r="K426" t="n">
        <v>0</v>
      </c>
      <c r="L426" t="n">
        <v>0</v>
      </c>
      <c r="M426" t="n">
        <v>0</v>
      </c>
      <c r="N426" t="n">
        <v>0</v>
      </c>
      <c r="O426" t="n">
        <v>0</v>
      </c>
      <c r="P426" t="n">
        <v>0</v>
      </c>
      <c r="Q426" t="n">
        <v>0</v>
      </c>
      <c r="R426" s="2" t="inlineStr"/>
    </row>
    <row r="427" ht="15" customHeight="1">
      <c r="A427" t="inlineStr">
        <is>
          <t>A 33380-2023</t>
        </is>
      </c>
      <c r="B427" s="1" t="n">
        <v>45128</v>
      </c>
      <c r="C427" s="1" t="n">
        <v>45964</v>
      </c>
      <c r="D427" t="inlineStr">
        <is>
          <t>KALMAR LÄN</t>
        </is>
      </c>
      <c r="E427" t="inlineStr">
        <is>
          <t>VIMMERBY</t>
        </is>
      </c>
      <c r="G427" t="n">
        <v>5.2</v>
      </c>
      <c r="H427" t="n">
        <v>0</v>
      </c>
      <c r="I427" t="n">
        <v>0</v>
      </c>
      <c r="J427" t="n">
        <v>0</v>
      </c>
      <c r="K427" t="n">
        <v>0</v>
      </c>
      <c r="L427" t="n">
        <v>0</v>
      </c>
      <c r="M427" t="n">
        <v>0</v>
      </c>
      <c r="N427" t="n">
        <v>0</v>
      </c>
      <c r="O427" t="n">
        <v>0</v>
      </c>
      <c r="P427" t="n">
        <v>0</v>
      </c>
      <c r="Q427" t="n">
        <v>0</v>
      </c>
      <c r="R427" s="2" t="inlineStr"/>
    </row>
    <row r="428" ht="15" customHeight="1">
      <c r="A428" t="inlineStr">
        <is>
          <t>A 40076-2021</t>
        </is>
      </c>
      <c r="B428" s="1" t="n">
        <v>44418</v>
      </c>
      <c r="C428" s="1" t="n">
        <v>45964</v>
      </c>
      <c r="D428" t="inlineStr">
        <is>
          <t>KALMAR LÄN</t>
        </is>
      </c>
      <c r="E428" t="inlineStr">
        <is>
          <t>VIMMERBY</t>
        </is>
      </c>
      <c r="G428" t="n">
        <v>2</v>
      </c>
      <c r="H428" t="n">
        <v>0</v>
      </c>
      <c r="I428" t="n">
        <v>0</v>
      </c>
      <c r="J428" t="n">
        <v>0</v>
      </c>
      <c r="K428" t="n">
        <v>0</v>
      </c>
      <c r="L428" t="n">
        <v>0</v>
      </c>
      <c r="M428" t="n">
        <v>0</v>
      </c>
      <c r="N428" t="n">
        <v>0</v>
      </c>
      <c r="O428" t="n">
        <v>0</v>
      </c>
      <c r="P428" t="n">
        <v>0</v>
      </c>
      <c r="Q428" t="n">
        <v>0</v>
      </c>
      <c r="R428" s="2" t="inlineStr"/>
    </row>
    <row r="429" ht="15" customHeight="1">
      <c r="A429" t="inlineStr">
        <is>
          <t>A 32639-2023</t>
        </is>
      </c>
      <c r="B429" s="1" t="n">
        <v>45121.5965162037</v>
      </c>
      <c r="C429" s="1" t="n">
        <v>45964</v>
      </c>
      <c r="D429" t="inlineStr">
        <is>
          <t>KALMAR LÄN</t>
        </is>
      </c>
      <c r="E429" t="inlineStr">
        <is>
          <t>VIMMERBY</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32642-2023</t>
        </is>
      </c>
      <c r="B430" s="1" t="n">
        <v>45121.59954861111</v>
      </c>
      <c r="C430" s="1" t="n">
        <v>45964</v>
      </c>
      <c r="D430" t="inlineStr">
        <is>
          <t>KALMAR LÄN</t>
        </is>
      </c>
      <c r="E430" t="inlineStr">
        <is>
          <t>VIMMERBY</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32651-2023</t>
        </is>
      </c>
      <c r="B431" s="1" t="n">
        <v>45121.6096875</v>
      </c>
      <c r="C431" s="1" t="n">
        <v>45964</v>
      </c>
      <c r="D431" t="inlineStr">
        <is>
          <t>KALMAR LÄN</t>
        </is>
      </c>
      <c r="E431" t="inlineStr">
        <is>
          <t>VIMMERBY</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11928-2022</t>
        </is>
      </c>
      <c r="B432" s="1" t="n">
        <v>44635</v>
      </c>
      <c r="C432" s="1" t="n">
        <v>45964</v>
      </c>
      <c r="D432" t="inlineStr">
        <is>
          <t>KALMAR LÄN</t>
        </is>
      </c>
      <c r="E432" t="inlineStr">
        <is>
          <t>VIMMERBY</t>
        </is>
      </c>
      <c r="G432" t="n">
        <v>2.8</v>
      </c>
      <c r="H432" t="n">
        <v>0</v>
      </c>
      <c r="I432" t="n">
        <v>0</v>
      </c>
      <c r="J432" t="n">
        <v>0</v>
      </c>
      <c r="K432" t="n">
        <v>0</v>
      </c>
      <c r="L432" t="n">
        <v>0</v>
      </c>
      <c r="M432" t="n">
        <v>0</v>
      </c>
      <c r="N432" t="n">
        <v>0</v>
      </c>
      <c r="O432" t="n">
        <v>0</v>
      </c>
      <c r="P432" t="n">
        <v>0</v>
      </c>
      <c r="Q432" t="n">
        <v>0</v>
      </c>
      <c r="R432" s="2" t="inlineStr"/>
    </row>
    <row r="433" ht="15" customHeight="1">
      <c r="A433" t="inlineStr">
        <is>
          <t>A 50648-2023</t>
        </is>
      </c>
      <c r="B433" s="1" t="n">
        <v>45217.47834490741</v>
      </c>
      <c r="C433" s="1" t="n">
        <v>45964</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529-2022</t>
        </is>
      </c>
      <c r="B434" s="1" t="n">
        <v>44566</v>
      </c>
      <c r="C434" s="1" t="n">
        <v>45964</v>
      </c>
      <c r="D434" t="inlineStr">
        <is>
          <t>KALMAR LÄN</t>
        </is>
      </c>
      <c r="E434" t="inlineStr">
        <is>
          <t>VIMMERBY</t>
        </is>
      </c>
      <c r="G434" t="n">
        <v>1.5</v>
      </c>
      <c r="H434" t="n">
        <v>0</v>
      </c>
      <c r="I434" t="n">
        <v>0</v>
      </c>
      <c r="J434" t="n">
        <v>0</v>
      </c>
      <c r="K434" t="n">
        <v>0</v>
      </c>
      <c r="L434" t="n">
        <v>0</v>
      </c>
      <c r="M434" t="n">
        <v>0</v>
      </c>
      <c r="N434" t="n">
        <v>0</v>
      </c>
      <c r="O434" t="n">
        <v>0</v>
      </c>
      <c r="P434" t="n">
        <v>0</v>
      </c>
      <c r="Q434" t="n">
        <v>0</v>
      </c>
      <c r="R434" s="2" t="inlineStr"/>
    </row>
    <row r="435" ht="15" customHeight="1">
      <c r="A435" t="inlineStr">
        <is>
          <t>A 58318-2021</t>
        </is>
      </c>
      <c r="B435" s="1" t="n">
        <v>44488.35878472222</v>
      </c>
      <c r="C435" s="1" t="n">
        <v>45964</v>
      </c>
      <c r="D435" t="inlineStr">
        <is>
          <t>KALMAR LÄN</t>
        </is>
      </c>
      <c r="E435" t="inlineStr">
        <is>
          <t>VIMMERBY</t>
        </is>
      </c>
      <c r="G435" t="n">
        <v>4</v>
      </c>
      <c r="H435" t="n">
        <v>0</v>
      </c>
      <c r="I435" t="n">
        <v>0</v>
      </c>
      <c r="J435" t="n">
        <v>0</v>
      </c>
      <c r="K435" t="n">
        <v>0</v>
      </c>
      <c r="L435" t="n">
        <v>0</v>
      </c>
      <c r="M435" t="n">
        <v>0</v>
      </c>
      <c r="N435" t="n">
        <v>0</v>
      </c>
      <c r="O435" t="n">
        <v>0</v>
      </c>
      <c r="P435" t="n">
        <v>0</v>
      </c>
      <c r="Q435" t="n">
        <v>0</v>
      </c>
      <c r="R435" s="2" t="inlineStr"/>
    </row>
    <row r="436" ht="15" customHeight="1">
      <c r="A436" t="inlineStr">
        <is>
          <t>A 89-2023</t>
        </is>
      </c>
      <c r="B436" s="1" t="n">
        <v>44918</v>
      </c>
      <c r="C436" s="1" t="n">
        <v>45964</v>
      </c>
      <c r="D436" t="inlineStr">
        <is>
          <t>KALMAR LÄN</t>
        </is>
      </c>
      <c r="E436" t="inlineStr">
        <is>
          <t>VIMMERBY</t>
        </is>
      </c>
      <c r="G436" t="n">
        <v>16.1</v>
      </c>
      <c r="H436" t="n">
        <v>0</v>
      </c>
      <c r="I436" t="n">
        <v>0</v>
      </c>
      <c r="J436" t="n">
        <v>0</v>
      </c>
      <c r="K436" t="n">
        <v>0</v>
      </c>
      <c r="L436" t="n">
        <v>0</v>
      </c>
      <c r="M436" t="n">
        <v>0</v>
      </c>
      <c r="N436" t="n">
        <v>0</v>
      </c>
      <c r="O436" t="n">
        <v>0</v>
      </c>
      <c r="P436" t="n">
        <v>0</v>
      </c>
      <c r="Q436" t="n">
        <v>0</v>
      </c>
      <c r="R436" s="2" t="inlineStr"/>
    </row>
    <row r="437" ht="15" customHeight="1">
      <c r="A437" t="inlineStr">
        <is>
          <t>A 10086-2022</t>
        </is>
      </c>
      <c r="B437" s="1" t="n">
        <v>44621</v>
      </c>
      <c r="C437" s="1" t="n">
        <v>45964</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23088-2024</t>
        </is>
      </c>
      <c r="B438" s="1" t="n">
        <v>45450.51092592593</v>
      </c>
      <c r="C438" s="1" t="n">
        <v>45964</v>
      </c>
      <c r="D438" t="inlineStr">
        <is>
          <t>KALMAR LÄN</t>
        </is>
      </c>
      <c r="E438" t="inlineStr">
        <is>
          <t>VIMMERBY</t>
        </is>
      </c>
      <c r="G438" t="n">
        <v>1.9</v>
      </c>
      <c r="H438" t="n">
        <v>0</v>
      </c>
      <c r="I438" t="n">
        <v>0</v>
      </c>
      <c r="J438" t="n">
        <v>0</v>
      </c>
      <c r="K438" t="n">
        <v>0</v>
      </c>
      <c r="L438" t="n">
        <v>0</v>
      </c>
      <c r="M438" t="n">
        <v>0</v>
      </c>
      <c r="N438" t="n">
        <v>0</v>
      </c>
      <c r="O438" t="n">
        <v>0</v>
      </c>
      <c r="P438" t="n">
        <v>0</v>
      </c>
      <c r="Q438" t="n">
        <v>0</v>
      </c>
      <c r="R438" s="2" t="inlineStr"/>
    </row>
    <row r="439" ht="15" customHeight="1">
      <c r="A439" t="inlineStr">
        <is>
          <t>A 38851-2023</t>
        </is>
      </c>
      <c r="B439" s="1" t="n">
        <v>45163</v>
      </c>
      <c r="C439" s="1" t="n">
        <v>45964</v>
      </c>
      <c r="D439" t="inlineStr">
        <is>
          <t>KALMAR LÄN</t>
        </is>
      </c>
      <c r="E439" t="inlineStr">
        <is>
          <t>VIMMERBY</t>
        </is>
      </c>
      <c r="G439" t="n">
        <v>4.3</v>
      </c>
      <c r="H439" t="n">
        <v>0</v>
      </c>
      <c r="I439" t="n">
        <v>0</v>
      </c>
      <c r="J439" t="n">
        <v>0</v>
      </c>
      <c r="K439" t="n">
        <v>0</v>
      </c>
      <c r="L439" t="n">
        <v>0</v>
      </c>
      <c r="M439" t="n">
        <v>0</v>
      </c>
      <c r="N439" t="n">
        <v>0</v>
      </c>
      <c r="O439" t="n">
        <v>0</v>
      </c>
      <c r="P439" t="n">
        <v>0</v>
      </c>
      <c r="Q439" t="n">
        <v>0</v>
      </c>
      <c r="R439" s="2" t="inlineStr"/>
    </row>
    <row r="440" ht="15" customHeight="1">
      <c r="A440" t="inlineStr">
        <is>
          <t>A 10759-2023</t>
        </is>
      </c>
      <c r="B440" s="1" t="n">
        <v>44988</v>
      </c>
      <c r="C440" s="1" t="n">
        <v>45964</v>
      </c>
      <c r="D440" t="inlineStr">
        <is>
          <t>KALMAR LÄN</t>
        </is>
      </c>
      <c r="E440" t="inlineStr">
        <is>
          <t>VIMMERBY</t>
        </is>
      </c>
      <c r="G440" t="n">
        <v>0.4</v>
      </c>
      <c r="H440" t="n">
        <v>0</v>
      </c>
      <c r="I440" t="n">
        <v>0</v>
      </c>
      <c r="J440" t="n">
        <v>0</v>
      </c>
      <c r="K440" t="n">
        <v>0</v>
      </c>
      <c r="L440" t="n">
        <v>0</v>
      </c>
      <c r="M440" t="n">
        <v>0</v>
      </c>
      <c r="N440" t="n">
        <v>0</v>
      </c>
      <c r="O440" t="n">
        <v>0</v>
      </c>
      <c r="P440" t="n">
        <v>0</v>
      </c>
      <c r="Q440" t="n">
        <v>0</v>
      </c>
      <c r="R440" s="2" t="inlineStr"/>
    </row>
    <row r="441" ht="15" customHeight="1">
      <c r="A441" t="inlineStr">
        <is>
          <t>A 63583-2023</t>
        </is>
      </c>
      <c r="B441" s="1" t="n">
        <v>45275.41833333333</v>
      </c>
      <c r="C441" s="1" t="n">
        <v>45964</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40079-2023</t>
        </is>
      </c>
      <c r="B442" s="1" t="n">
        <v>45168.89298611111</v>
      </c>
      <c r="C442" s="1" t="n">
        <v>45964</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7068-2024</t>
        </is>
      </c>
      <c r="B443" s="1" t="n">
        <v>45343.68038194445</v>
      </c>
      <c r="C443" s="1" t="n">
        <v>45964</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43774-2023</t>
        </is>
      </c>
      <c r="B444" s="1" t="n">
        <v>45187</v>
      </c>
      <c r="C444" s="1" t="n">
        <v>45964</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46234-2024</t>
        </is>
      </c>
      <c r="B445" s="1" t="n">
        <v>45581.57958333333</v>
      </c>
      <c r="C445" s="1" t="n">
        <v>45964</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29616-2022</t>
        </is>
      </c>
      <c r="B446" s="1" t="n">
        <v>44754</v>
      </c>
      <c r="C446" s="1" t="n">
        <v>45964</v>
      </c>
      <c r="D446" t="inlineStr">
        <is>
          <t>KALMAR LÄN</t>
        </is>
      </c>
      <c r="E446" t="inlineStr">
        <is>
          <t>VIMMERBY</t>
        </is>
      </c>
      <c r="G446" t="n">
        <v>1.1</v>
      </c>
      <c r="H446" t="n">
        <v>0</v>
      </c>
      <c r="I446" t="n">
        <v>0</v>
      </c>
      <c r="J446" t="n">
        <v>0</v>
      </c>
      <c r="K446" t="n">
        <v>0</v>
      </c>
      <c r="L446" t="n">
        <v>0</v>
      </c>
      <c r="M446" t="n">
        <v>0</v>
      </c>
      <c r="N446" t="n">
        <v>0</v>
      </c>
      <c r="O446" t="n">
        <v>0</v>
      </c>
      <c r="P446" t="n">
        <v>0</v>
      </c>
      <c r="Q446" t="n">
        <v>0</v>
      </c>
      <c r="R446" s="2" t="inlineStr"/>
    </row>
    <row r="447" ht="15" customHeight="1">
      <c r="A447" t="inlineStr">
        <is>
          <t>A 37187-2024</t>
        </is>
      </c>
      <c r="B447" s="1" t="n">
        <v>45539.65212962963</v>
      </c>
      <c r="C447" s="1" t="n">
        <v>45964</v>
      </c>
      <c r="D447" t="inlineStr">
        <is>
          <t>KALMAR LÄN</t>
        </is>
      </c>
      <c r="E447" t="inlineStr">
        <is>
          <t>VIMMERBY</t>
        </is>
      </c>
      <c r="G447" t="n">
        <v>2.7</v>
      </c>
      <c r="H447" t="n">
        <v>0</v>
      </c>
      <c r="I447" t="n">
        <v>0</v>
      </c>
      <c r="J447" t="n">
        <v>0</v>
      </c>
      <c r="K447" t="n">
        <v>0</v>
      </c>
      <c r="L447" t="n">
        <v>0</v>
      </c>
      <c r="M447" t="n">
        <v>0</v>
      </c>
      <c r="N447" t="n">
        <v>0</v>
      </c>
      <c r="O447" t="n">
        <v>0</v>
      </c>
      <c r="P447" t="n">
        <v>0</v>
      </c>
      <c r="Q447" t="n">
        <v>0</v>
      </c>
      <c r="R447" s="2" t="inlineStr"/>
    </row>
    <row r="448" ht="15" customHeight="1">
      <c r="A448" t="inlineStr">
        <is>
          <t>A 1021-2024</t>
        </is>
      </c>
      <c r="B448" s="1" t="n">
        <v>45301.67736111111</v>
      </c>
      <c r="C448" s="1" t="n">
        <v>45964</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22399-2025</t>
        </is>
      </c>
      <c r="B449" s="1" t="n">
        <v>45786.52996527778</v>
      </c>
      <c r="C449" s="1" t="n">
        <v>45964</v>
      </c>
      <c r="D449" t="inlineStr">
        <is>
          <t>KALMAR LÄN</t>
        </is>
      </c>
      <c r="E449" t="inlineStr">
        <is>
          <t>VIMMERBY</t>
        </is>
      </c>
      <c r="G449" t="n">
        <v>2.1</v>
      </c>
      <c r="H449" t="n">
        <v>0</v>
      </c>
      <c r="I449" t="n">
        <v>0</v>
      </c>
      <c r="J449" t="n">
        <v>0</v>
      </c>
      <c r="K449" t="n">
        <v>0</v>
      </c>
      <c r="L449" t="n">
        <v>0</v>
      </c>
      <c r="M449" t="n">
        <v>0</v>
      </c>
      <c r="N449" t="n">
        <v>0</v>
      </c>
      <c r="O449" t="n">
        <v>0</v>
      </c>
      <c r="P449" t="n">
        <v>0</v>
      </c>
      <c r="Q449" t="n">
        <v>0</v>
      </c>
      <c r="R449" s="2" t="inlineStr"/>
    </row>
    <row r="450" ht="15" customHeight="1">
      <c r="A450" t="inlineStr">
        <is>
          <t>A 39578-2024</t>
        </is>
      </c>
      <c r="B450" s="1" t="n">
        <v>45552.36484953704</v>
      </c>
      <c r="C450" s="1" t="n">
        <v>45964</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24707-2024</t>
        </is>
      </c>
      <c r="B451" s="1" t="n">
        <v>45460.62172453704</v>
      </c>
      <c r="C451" s="1" t="n">
        <v>45964</v>
      </c>
      <c r="D451" t="inlineStr">
        <is>
          <t>KALMAR LÄN</t>
        </is>
      </c>
      <c r="E451" t="inlineStr">
        <is>
          <t>VIMMERBY</t>
        </is>
      </c>
      <c r="G451" t="n">
        <v>1.7</v>
      </c>
      <c r="H451" t="n">
        <v>0</v>
      </c>
      <c r="I451" t="n">
        <v>0</v>
      </c>
      <c r="J451" t="n">
        <v>0</v>
      </c>
      <c r="K451" t="n">
        <v>0</v>
      </c>
      <c r="L451" t="n">
        <v>0</v>
      </c>
      <c r="M451" t="n">
        <v>0</v>
      </c>
      <c r="N451" t="n">
        <v>0</v>
      </c>
      <c r="O451" t="n">
        <v>0</v>
      </c>
      <c r="P451" t="n">
        <v>0</v>
      </c>
      <c r="Q451" t="n">
        <v>0</v>
      </c>
      <c r="R451" s="2" t="inlineStr"/>
    </row>
    <row r="452" ht="15" customHeight="1">
      <c r="A452" t="inlineStr">
        <is>
          <t>A 22397-2025</t>
        </is>
      </c>
      <c r="B452" s="1" t="n">
        <v>45786.52878472222</v>
      </c>
      <c r="C452" s="1" t="n">
        <v>45964</v>
      </c>
      <c r="D452" t="inlineStr">
        <is>
          <t>KALMAR LÄN</t>
        </is>
      </c>
      <c r="E452" t="inlineStr">
        <is>
          <t>VIMMERBY</t>
        </is>
      </c>
      <c r="G452" t="n">
        <v>0.8</v>
      </c>
      <c r="H452" t="n">
        <v>0</v>
      </c>
      <c r="I452" t="n">
        <v>0</v>
      </c>
      <c r="J452" t="n">
        <v>0</v>
      </c>
      <c r="K452" t="n">
        <v>0</v>
      </c>
      <c r="L452" t="n">
        <v>0</v>
      </c>
      <c r="M452" t="n">
        <v>0</v>
      </c>
      <c r="N452" t="n">
        <v>0</v>
      </c>
      <c r="O452" t="n">
        <v>0</v>
      </c>
      <c r="P452" t="n">
        <v>0</v>
      </c>
      <c r="Q452" t="n">
        <v>0</v>
      </c>
      <c r="R452" s="2" t="inlineStr"/>
    </row>
    <row r="453" ht="15" customHeight="1">
      <c r="A453" t="inlineStr">
        <is>
          <t>A 25582-2024</t>
        </is>
      </c>
      <c r="B453" s="1" t="n">
        <v>45463</v>
      </c>
      <c r="C453" s="1" t="n">
        <v>45964</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72701-2021</t>
        </is>
      </c>
      <c r="B454" s="1" t="n">
        <v>44546</v>
      </c>
      <c r="C454" s="1" t="n">
        <v>45964</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19111-2025</t>
        </is>
      </c>
      <c r="B455" s="1" t="n">
        <v>45768.65611111111</v>
      </c>
      <c r="C455" s="1" t="n">
        <v>45964</v>
      </c>
      <c r="D455" t="inlineStr">
        <is>
          <t>KALMAR LÄN</t>
        </is>
      </c>
      <c r="E455" t="inlineStr">
        <is>
          <t>VIMMERBY</t>
        </is>
      </c>
      <c r="G455" t="n">
        <v>6.2</v>
      </c>
      <c r="H455" t="n">
        <v>0</v>
      </c>
      <c r="I455" t="n">
        <v>0</v>
      </c>
      <c r="J455" t="n">
        <v>0</v>
      </c>
      <c r="K455" t="n">
        <v>0</v>
      </c>
      <c r="L455" t="n">
        <v>0</v>
      </c>
      <c r="M455" t="n">
        <v>0</v>
      </c>
      <c r="N455" t="n">
        <v>0</v>
      </c>
      <c r="O455" t="n">
        <v>0</v>
      </c>
      <c r="P455" t="n">
        <v>0</v>
      </c>
      <c r="Q455" t="n">
        <v>0</v>
      </c>
      <c r="R455" s="2" t="inlineStr"/>
    </row>
    <row r="456" ht="15" customHeight="1">
      <c r="A456" t="inlineStr">
        <is>
          <t>A 31056-2022</t>
        </is>
      </c>
      <c r="B456" s="1" t="n">
        <v>44769.45805555556</v>
      </c>
      <c r="C456" s="1" t="n">
        <v>45964</v>
      </c>
      <c r="D456" t="inlineStr">
        <is>
          <t>KALMAR LÄN</t>
        </is>
      </c>
      <c r="E456" t="inlineStr">
        <is>
          <t>VIMMERBY</t>
        </is>
      </c>
      <c r="G456" t="n">
        <v>2</v>
      </c>
      <c r="H456" t="n">
        <v>0</v>
      </c>
      <c r="I456" t="n">
        <v>0</v>
      </c>
      <c r="J456" t="n">
        <v>0</v>
      </c>
      <c r="K456" t="n">
        <v>0</v>
      </c>
      <c r="L456" t="n">
        <v>0</v>
      </c>
      <c r="M456" t="n">
        <v>0</v>
      </c>
      <c r="N456" t="n">
        <v>0</v>
      </c>
      <c r="O456" t="n">
        <v>0</v>
      </c>
      <c r="P456" t="n">
        <v>0</v>
      </c>
      <c r="Q456" t="n">
        <v>0</v>
      </c>
      <c r="R456" s="2" t="inlineStr"/>
    </row>
    <row r="457" ht="15" customHeight="1">
      <c r="A457" t="inlineStr">
        <is>
          <t>A 33374-2021</t>
        </is>
      </c>
      <c r="B457" s="1" t="n">
        <v>44377</v>
      </c>
      <c r="C457" s="1" t="n">
        <v>45964</v>
      </c>
      <c r="D457" t="inlineStr">
        <is>
          <t>KALMAR LÄN</t>
        </is>
      </c>
      <c r="E457" t="inlineStr">
        <is>
          <t>VIMMERBY</t>
        </is>
      </c>
      <c r="G457" t="n">
        <v>3.3</v>
      </c>
      <c r="H457" t="n">
        <v>0</v>
      </c>
      <c r="I457" t="n">
        <v>0</v>
      </c>
      <c r="J457" t="n">
        <v>0</v>
      </c>
      <c r="K457" t="n">
        <v>0</v>
      </c>
      <c r="L457" t="n">
        <v>0</v>
      </c>
      <c r="M457" t="n">
        <v>0</v>
      </c>
      <c r="N457" t="n">
        <v>0</v>
      </c>
      <c r="O457" t="n">
        <v>0</v>
      </c>
      <c r="P457" t="n">
        <v>0</v>
      </c>
      <c r="Q457" t="n">
        <v>0</v>
      </c>
      <c r="R457" s="2" t="inlineStr"/>
    </row>
    <row r="458" ht="15" customHeight="1">
      <c r="A458" t="inlineStr">
        <is>
          <t>A 10807-2024</t>
        </is>
      </c>
      <c r="B458" s="1" t="n">
        <v>45369.62780092593</v>
      </c>
      <c r="C458" s="1" t="n">
        <v>45964</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33383-2023</t>
        </is>
      </c>
      <c r="B459" s="1" t="n">
        <v>45128.58414351852</v>
      </c>
      <c r="C459" s="1" t="n">
        <v>45964</v>
      </c>
      <c r="D459" t="inlineStr">
        <is>
          <t>KALMAR LÄN</t>
        </is>
      </c>
      <c r="E459" t="inlineStr">
        <is>
          <t>VIMMERBY</t>
        </is>
      </c>
      <c r="G459" t="n">
        <v>2.3</v>
      </c>
      <c r="H459" t="n">
        <v>0</v>
      </c>
      <c r="I459" t="n">
        <v>0</v>
      </c>
      <c r="J459" t="n">
        <v>0</v>
      </c>
      <c r="K459" t="n">
        <v>0</v>
      </c>
      <c r="L459" t="n">
        <v>0</v>
      </c>
      <c r="M459" t="n">
        <v>0</v>
      </c>
      <c r="N459" t="n">
        <v>0</v>
      </c>
      <c r="O459" t="n">
        <v>0</v>
      </c>
      <c r="P459" t="n">
        <v>0</v>
      </c>
      <c r="Q459" t="n">
        <v>0</v>
      </c>
      <c r="R459" s="2" t="inlineStr"/>
    </row>
    <row r="460" ht="15" customHeight="1">
      <c r="A460" t="inlineStr">
        <is>
          <t>A 65564-2020</t>
        </is>
      </c>
      <c r="B460" s="1" t="n">
        <v>44172</v>
      </c>
      <c r="C460" s="1" t="n">
        <v>45964</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40828-2023</t>
        </is>
      </c>
      <c r="B461" s="1" t="n">
        <v>45171.96248842592</v>
      </c>
      <c r="C461" s="1" t="n">
        <v>45964</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57578-2024</t>
        </is>
      </c>
      <c r="B462" s="1" t="n">
        <v>45630.47564814815</v>
      </c>
      <c r="C462" s="1" t="n">
        <v>45964</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33359-2021</t>
        </is>
      </c>
      <c r="B463" s="1" t="n">
        <v>44377.49684027778</v>
      </c>
      <c r="C463" s="1" t="n">
        <v>45964</v>
      </c>
      <c r="D463" t="inlineStr">
        <is>
          <t>KALMAR LÄN</t>
        </is>
      </c>
      <c r="E463" t="inlineStr">
        <is>
          <t>VIMMERBY</t>
        </is>
      </c>
      <c r="F463" t="inlineStr">
        <is>
          <t>Kommuner</t>
        </is>
      </c>
      <c r="G463" t="n">
        <v>8</v>
      </c>
      <c r="H463" t="n">
        <v>0</v>
      </c>
      <c r="I463" t="n">
        <v>0</v>
      </c>
      <c r="J463" t="n">
        <v>0</v>
      </c>
      <c r="K463" t="n">
        <v>0</v>
      </c>
      <c r="L463" t="n">
        <v>0</v>
      </c>
      <c r="M463" t="n">
        <v>0</v>
      </c>
      <c r="N463" t="n">
        <v>0</v>
      </c>
      <c r="O463" t="n">
        <v>0</v>
      </c>
      <c r="P463" t="n">
        <v>0</v>
      </c>
      <c r="Q463" t="n">
        <v>0</v>
      </c>
      <c r="R463" s="2" t="inlineStr"/>
    </row>
    <row r="464" ht="15" customHeight="1">
      <c r="A464" t="inlineStr">
        <is>
          <t>A 61861-2024</t>
        </is>
      </c>
      <c r="B464" s="1" t="n">
        <v>45650.37370370371</v>
      </c>
      <c r="C464" s="1" t="n">
        <v>45964</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6307-2025</t>
        </is>
      </c>
      <c r="B465" s="1" t="n">
        <v>45698.69016203703</v>
      </c>
      <c r="C465" s="1" t="n">
        <v>45964</v>
      </c>
      <c r="D465" t="inlineStr">
        <is>
          <t>KALMAR LÄN</t>
        </is>
      </c>
      <c r="E465" t="inlineStr">
        <is>
          <t>VIMMERBY</t>
        </is>
      </c>
      <c r="G465" t="n">
        <v>3</v>
      </c>
      <c r="H465" t="n">
        <v>0</v>
      </c>
      <c r="I465" t="n">
        <v>0</v>
      </c>
      <c r="J465" t="n">
        <v>0</v>
      </c>
      <c r="K465" t="n">
        <v>0</v>
      </c>
      <c r="L465" t="n">
        <v>0</v>
      </c>
      <c r="M465" t="n">
        <v>0</v>
      </c>
      <c r="N465" t="n">
        <v>0</v>
      </c>
      <c r="O465" t="n">
        <v>0</v>
      </c>
      <c r="P465" t="n">
        <v>0</v>
      </c>
      <c r="Q465" t="n">
        <v>0</v>
      </c>
      <c r="R465" s="2" t="inlineStr"/>
    </row>
    <row r="466" ht="15" customHeight="1">
      <c r="A466" t="inlineStr">
        <is>
          <t>A 34588-2024</t>
        </is>
      </c>
      <c r="B466" s="1" t="n">
        <v>45526.3865625</v>
      </c>
      <c r="C466" s="1" t="n">
        <v>45964</v>
      </c>
      <c r="D466" t="inlineStr">
        <is>
          <t>KALMAR LÄN</t>
        </is>
      </c>
      <c r="E466" t="inlineStr">
        <is>
          <t>VIMMERBY</t>
        </is>
      </c>
      <c r="F466" t="inlineStr">
        <is>
          <t>Övriga Aktiebolag</t>
        </is>
      </c>
      <c r="G466" t="n">
        <v>3.3</v>
      </c>
      <c r="H466" t="n">
        <v>0</v>
      </c>
      <c r="I466" t="n">
        <v>0</v>
      </c>
      <c r="J466" t="n">
        <v>0</v>
      </c>
      <c r="K466" t="n">
        <v>0</v>
      </c>
      <c r="L466" t="n">
        <v>0</v>
      </c>
      <c r="M466" t="n">
        <v>0</v>
      </c>
      <c r="N466" t="n">
        <v>0</v>
      </c>
      <c r="O466" t="n">
        <v>0</v>
      </c>
      <c r="P466" t="n">
        <v>0</v>
      </c>
      <c r="Q466" t="n">
        <v>0</v>
      </c>
      <c r="R466" s="2" t="inlineStr"/>
    </row>
    <row r="467" ht="15" customHeight="1">
      <c r="A467" t="inlineStr">
        <is>
          <t>A 17084-2025</t>
        </is>
      </c>
      <c r="B467" s="1" t="n">
        <v>45755.64450231481</v>
      </c>
      <c r="C467" s="1" t="n">
        <v>45964</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8650-2022</t>
        </is>
      </c>
      <c r="B468" s="1" t="n">
        <v>44613</v>
      </c>
      <c r="C468" s="1" t="n">
        <v>45964</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11442-2025</t>
        </is>
      </c>
      <c r="B469" s="1" t="n">
        <v>45726.62721064815</v>
      </c>
      <c r="C469" s="1" t="n">
        <v>45964</v>
      </c>
      <c r="D469" t="inlineStr">
        <is>
          <t>KALMAR LÄN</t>
        </is>
      </c>
      <c r="E469" t="inlineStr">
        <is>
          <t>VIMMERBY</t>
        </is>
      </c>
      <c r="G469" t="n">
        <v>2.6</v>
      </c>
      <c r="H469" t="n">
        <v>0</v>
      </c>
      <c r="I469" t="n">
        <v>0</v>
      </c>
      <c r="J469" t="n">
        <v>0</v>
      </c>
      <c r="K469" t="n">
        <v>0</v>
      </c>
      <c r="L469" t="n">
        <v>0</v>
      </c>
      <c r="M469" t="n">
        <v>0</v>
      </c>
      <c r="N469" t="n">
        <v>0</v>
      </c>
      <c r="O469" t="n">
        <v>0</v>
      </c>
      <c r="P469" t="n">
        <v>0</v>
      </c>
      <c r="Q469" t="n">
        <v>0</v>
      </c>
      <c r="R469" s="2" t="inlineStr"/>
    </row>
    <row r="470" ht="15" customHeight="1">
      <c r="A470" t="inlineStr">
        <is>
          <t>A 33340-2023</t>
        </is>
      </c>
      <c r="B470" s="1" t="n">
        <v>45128.37305555555</v>
      </c>
      <c r="C470" s="1" t="n">
        <v>45964</v>
      </c>
      <c r="D470" t="inlineStr">
        <is>
          <t>KALMAR LÄN</t>
        </is>
      </c>
      <c r="E470" t="inlineStr">
        <is>
          <t>VIMMERBY</t>
        </is>
      </c>
      <c r="G470" t="n">
        <v>1.5</v>
      </c>
      <c r="H470" t="n">
        <v>0</v>
      </c>
      <c r="I470" t="n">
        <v>0</v>
      </c>
      <c r="J470" t="n">
        <v>0</v>
      </c>
      <c r="K470" t="n">
        <v>0</v>
      </c>
      <c r="L470" t="n">
        <v>0</v>
      </c>
      <c r="M470" t="n">
        <v>0</v>
      </c>
      <c r="N470" t="n">
        <v>0</v>
      </c>
      <c r="O470" t="n">
        <v>0</v>
      </c>
      <c r="P470" t="n">
        <v>0</v>
      </c>
      <c r="Q470" t="n">
        <v>0</v>
      </c>
      <c r="R470" s="2" t="inlineStr"/>
    </row>
    <row r="471" ht="15" customHeight="1">
      <c r="A471" t="inlineStr">
        <is>
          <t>A 44423-2023</t>
        </is>
      </c>
      <c r="B471" s="1" t="n">
        <v>45189</v>
      </c>
      <c r="C471" s="1" t="n">
        <v>45964</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33161-2024</t>
        </is>
      </c>
      <c r="B472" s="1" t="n">
        <v>45518.40657407408</v>
      </c>
      <c r="C472" s="1" t="n">
        <v>45964</v>
      </c>
      <c r="D472" t="inlineStr">
        <is>
          <t>KALMAR LÄN</t>
        </is>
      </c>
      <c r="E472" t="inlineStr">
        <is>
          <t>VIMMERBY</t>
        </is>
      </c>
      <c r="G472" t="n">
        <v>4.7</v>
      </c>
      <c r="H472" t="n">
        <v>0</v>
      </c>
      <c r="I472" t="n">
        <v>0</v>
      </c>
      <c r="J472" t="n">
        <v>0</v>
      </c>
      <c r="K472" t="n">
        <v>0</v>
      </c>
      <c r="L472" t="n">
        <v>0</v>
      </c>
      <c r="M472" t="n">
        <v>0</v>
      </c>
      <c r="N472" t="n">
        <v>0</v>
      </c>
      <c r="O472" t="n">
        <v>0</v>
      </c>
      <c r="P472" t="n">
        <v>0</v>
      </c>
      <c r="Q472" t="n">
        <v>0</v>
      </c>
      <c r="R472" s="2" t="inlineStr"/>
    </row>
    <row r="473" ht="15" customHeight="1">
      <c r="A473" t="inlineStr">
        <is>
          <t>A 37323-2024</t>
        </is>
      </c>
      <c r="B473" s="1" t="n">
        <v>45540.50098379629</v>
      </c>
      <c r="C473" s="1" t="n">
        <v>45964</v>
      </c>
      <c r="D473" t="inlineStr">
        <is>
          <t>KALMAR LÄN</t>
        </is>
      </c>
      <c r="E473" t="inlineStr">
        <is>
          <t>VIMMERBY</t>
        </is>
      </c>
      <c r="G473" t="n">
        <v>1.2</v>
      </c>
      <c r="H473" t="n">
        <v>0</v>
      </c>
      <c r="I473" t="n">
        <v>0</v>
      </c>
      <c r="J473" t="n">
        <v>0</v>
      </c>
      <c r="K473" t="n">
        <v>0</v>
      </c>
      <c r="L473" t="n">
        <v>0</v>
      </c>
      <c r="M473" t="n">
        <v>0</v>
      </c>
      <c r="N473" t="n">
        <v>0</v>
      </c>
      <c r="O473" t="n">
        <v>0</v>
      </c>
      <c r="P473" t="n">
        <v>0</v>
      </c>
      <c r="Q473" t="n">
        <v>0</v>
      </c>
      <c r="R473" s="2" t="inlineStr"/>
    </row>
    <row r="474" ht="15" customHeight="1">
      <c r="A474" t="inlineStr">
        <is>
          <t>A 14359-2025</t>
        </is>
      </c>
      <c r="B474" s="1" t="n">
        <v>45741.37270833334</v>
      </c>
      <c r="C474" s="1" t="n">
        <v>45964</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7075-2021</t>
        </is>
      </c>
      <c r="B475" s="1" t="n">
        <v>44237</v>
      </c>
      <c r="C475" s="1" t="n">
        <v>45964</v>
      </c>
      <c r="D475" t="inlineStr">
        <is>
          <t>KALMAR LÄN</t>
        </is>
      </c>
      <c r="E475" t="inlineStr">
        <is>
          <t>VIMMERBY</t>
        </is>
      </c>
      <c r="G475" t="n">
        <v>3.6</v>
      </c>
      <c r="H475" t="n">
        <v>0</v>
      </c>
      <c r="I475" t="n">
        <v>0</v>
      </c>
      <c r="J475" t="n">
        <v>0</v>
      </c>
      <c r="K475" t="n">
        <v>0</v>
      </c>
      <c r="L475" t="n">
        <v>0</v>
      </c>
      <c r="M475" t="n">
        <v>0</v>
      </c>
      <c r="N475" t="n">
        <v>0</v>
      </c>
      <c r="O475" t="n">
        <v>0</v>
      </c>
      <c r="P475" t="n">
        <v>0</v>
      </c>
      <c r="Q475" t="n">
        <v>0</v>
      </c>
      <c r="R475" s="2" t="inlineStr"/>
    </row>
    <row r="476" ht="15" customHeight="1">
      <c r="A476" t="inlineStr">
        <is>
          <t>A 18501-2024</t>
        </is>
      </c>
      <c r="B476" s="1" t="n">
        <v>45425.57538194444</v>
      </c>
      <c r="C476" s="1" t="n">
        <v>45964</v>
      </c>
      <c r="D476" t="inlineStr">
        <is>
          <t>KALMAR LÄN</t>
        </is>
      </c>
      <c r="E476" t="inlineStr">
        <is>
          <t>VIMMERBY</t>
        </is>
      </c>
      <c r="G476" t="n">
        <v>2</v>
      </c>
      <c r="H476" t="n">
        <v>0</v>
      </c>
      <c r="I476" t="n">
        <v>0</v>
      </c>
      <c r="J476" t="n">
        <v>0</v>
      </c>
      <c r="K476" t="n">
        <v>0</v>
      </c>
      <c r="L476" t="n">
        <v>0</v>
      </c>
      <c r="M476" t="n">
        <v>0</v>
      </c>
      <c r="N476" t="n">
        <v>0</v>
      </c>
      <c r="O476" t="n">
        <v>0</v>
      </c>
      <c r="P476" t="n">
        <v>0</v>
      </c>
      <c r="Q476" t="n">
        <v>0</v>
      </c>
      <c r="R476" s="2" t="inlineStr"/>
    </row>
    <row r="477" ht="15" customHeight="1">
      <c r="A477" t="inlineStr">
        <is>
          <t>A 55605-2024</t>
        </is>
      </c>
      <c r="B477" s="1" t="n">
        <v>45622</v>
      </c>
      <c r="C477" s="1" t="n">
        <v>45964</v>
      </c>
      <c r="D477" t="inlineStr">
        <is>
          <t>KALMAR LÄN</t>
        </is>
      </c>
      <c r="E477" t="inlineStr">
        <is>
          <t>VIMMERBY</t>
        </is>
      </c>
      <c r="G477" t="n">
        <v>1.1</v>
      </c>
      <c r="H477" t="n">
        <v>0</v>
      </c>
      <c r="I477" t="n">
        <v>0</v>
      </c>
      <c r="J477" t="n">
        <v>0</v>
      </c>
      <c r="K477" t="n">
        <v>0</v>
      </c>
      <c r="L477" t="n">
        <v>0</v>
      </c>
      <c r="M477" t="n">
        <v>0</v>
      </c>
      <c r="N477" t="n">
        <v>0</v>
      </c>
      <c r="O477" t="n">
        <v>0</v>
      </c>
      <c r="P477" t="n">
        <v>0</v>
      </c>
      <c r="Q477" t="n">
        <v>0</v>
      </c>
      <c r="R477" s="2" t="inlineStr"/>
    </row>
    <row r="478" ht="15" customHeight="1">
      <c r="A478" t="inlineStr">
        <is>
          <t>A 44464-2024</t>
        </is>
      </c>
      <c r="B478" s="1" t="n">
        <v>45574.35809027778</v>
      </c>
      <c r="C478" s="1" t="n">
        <v>45964</v>
      </c>
      <c r="D478" t="inlineStr">
        <is>
          <t>KALMAR LÄN</t>
        </is>
      </c>
      <c r="E478" t="inlineStr">
        <is>
          <t>VIMMERBY</t>
        </is>
      </c>
      <c r="G478" t="n">
        <v>0.7</v>
      </c>
      <c r="H478" t="n">
        <v>0</v>
      </c>
      <c r="I478" t="n">
        <v>0</v>
      </c>
      <c r="J478" t="n">
        <v>0</v>
      </c>
      <c r="K478" t="n">
        <v>0</v>
      </c>
      <c r="L478" t="n">
        <v>0</v>
      </c>
      <c r="M478" t="n">
        <v>0</v>
      </c>
      <c r="N478" t="n">
        <v>0</v>
      </c>
      <c r="O478" t="n">
        <v>0</v>
      </c>
      <c r="P478" t="n">
        <v>0</v>
      </c>
      <c r="Q478" t="n">
        <v>0</v>
      </c>
      <c r="R478" s="2" t="inlineStr"/>
    </row>
    <row r="479" ht="15" customHeight="1">
      <c r="A479" t="inlineStr">
        <is>
          <t>A 36049-2024</t>
        </is>
      </c>
      <c r="B479" s="1" t="n">
        <v>45533.61996527778</v>
      </c>
      <c r="C479" s="1" t="n">
        <v>45964</v>
      </c>
      <c r="D479" t="inlineStr">
        <is>
          <t>KALMAR LÄN</t>
        </is>
      </c>
      <c r="E479" t="inlineStr">
        <is>
          <t>VIMMERBY</t>
        </is>
      </c>
      <c r="F479" t="inlineStr">
        <is>
          <t>Kommuner</t>
        </is>
      </c>
      <c r="G479" t="n">
        <v>2.6</v>
      </c>
      <c r="H479" t="n">
        <v>0</v>
      </c>
      <c r="I479" t="n">
        <v>0</v>
      </c>
      <c r="J479" t="n">
        <v>0</v>
      </c>
      <c r="K479" t="n">
        <v>0</v>
      </c>
      <c r="L479" t="n">
        <v>0</v>
      </c>
      <c r="M479" t="n">
        <v>0</v>
      </c>
      <c r="N479" t="n">
        <v>0</v>
      </c>
      <c r="O479" t="n">
        <v>0</v>
      </c>
      <c r="P479" t="n">
        <v>0</v>
      </c>
      <c r="Q479" t="n">
        <v>0</v>
      </c>
      <c r="R479" s="2" t="inlineStr"/>
    </row>
    <row r="480" ht="15" customHeight="1">
      <c r="A480" t="inlineStr">
        <is>
          <t>A 53145-2022</t>
        </is>
      </c>
      <c r="B480" s="1" t="n">
        <v>44876.48346064815</v>
      </c>
      <c r="C480" s="1" t="n">
        <v>45964</v>
      </c>
      <c r="D480" t="inlineStr">
        <is>
          <t>KALMAR LÄN</t>
        </is>
      </c>
      <c r="E480" t="inlineStr">
        <is>
          <t>VIMMERBY</t>
        </is>
      </c>
      <c r="G480" t="n">
        <v>0.4</v>
      </c>
      <c r="H480" t="n">
        <v>0</v>
      </c>
      <c r="I480" t="n">
        <v>0</v>
      </c>
      <c r="J480" t="n">
        <v>0</v>
      </c>
      <c r="K480" t="n">
        <v>0</v>
      </c>
      <c r="L480" t="n">
        <v>0</v>
      </c>
      <c r="M480" t="n">
        <v>0</v>
      </c>
      <c r="N480" t="n">
        <v>0</v>
      </c>
      <c r="O480" t="n">
        <v>0</v>
      </c>
      <c r="P480" t="n">
        <v>0</v>
      </c>
      <c r="Q480" t="n">
        <v>0</v>
      </c>
      <c r="R480" s="2" t="inlineStr"/>
    </row>
    <row r="481" ht="15" customHeight="1">
      <c r="A481" t="inlineStr">
        <is>
          <t>A 25738-2022</t>
        </is>
      </c>
      <c r="B481" s="1" t="n">
        <v>44733.43092592592</v>
      </c>
      <c r="C481" s="1" t="n">
        <v>45964</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4297-2022</t>
        </is>
      </c>
      <c r="B482" s="1" t="n">
        <v>44588</v>
      </c>
      <c r="C482" s="1" t="n">
        <v>45964</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27758-2024</t>
        </is>
      </c>
      <c r="B483" s="1" t="n">
        <v>45475.48303240741</v>
      </c>
      <c r="C483" s="1" t="n">
        <v>45964</v>
      </c>
      <c r="D483" t="inlineStr">
        <is>
          <t>KALMAR LÄN</t>
        </is>
      </c>
      <c r="E483" t="inlineStr">
        <is>
          <t>VIMMERBY</t>
        </is>
      </c>
      <c r="G483" t="n">
        <v>2.6</v>
      </c>
      <c r="H483" t="n">
        <v>0</v>
      </c>
      <c r="I483" t="n">
        <v>0</v>
      </c>
      <c r="J483" t="n">
        <v>0</v>
      </c>
      <c r="K483" t="n">
        <v>0</v>
      </c>
      <c r="L483" t="n">
        <v>0</v>
      </c>
      <c r="M483" t="n">
        <v>0</v>
      </c>
      <c r="N483" t="n">
        <v>0</v>
      </c>
      <c r="O483" t="n">
        <v>0</v>
      </c>
      <c r="P483" t="n">
        <v>0</v>
      </c>
      <c r="Q483" t="n">
        <v>0</v>
      </c>
      <c r="R483" s="2" t="inlineStr"/>
    </row>
    <row r="484" ht="15" customHeight="1">
      <c r="A484" t="inlineStr">
        <is>
          <t>A 13307-2025</t>
        </is>
      </c>
      <c r="B484" s="1" t="n">
        <v>45735.58024305556</v>
      </c>
      <c r="C484" s="1" t="n">
        <v>45964</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23394-2025</t>
        </is>
      </c>
      <c r="B485" s="1" t="n">
        <v>45791.89865740741</v>
      </c>
      <c r="C485" s="1" t="n">
        <v>45964</v>
      </c>
      <c r="D485" t="inlineStr">
        <is>
          <t>KALMAR LÄN</t>
        </is>
      </c>
      <c r="E485" t="inlineStr">
        <is>
          <t>VIMMERBY</t>
        </is>
      </c>
      <c r="G485" t="n">
        <v>3.1</v>
      </c>
      <c r="H485" t="n">
        <v>0</v>
      </c>
      <c r="I485" t="n">
        <v>0</v>
      </c>
      <c r="J485" t="n">
        <v>0</v>
      </c>
      <c r="K485" t="n">
        <v>0</v>
      </c>
      <c r="L485" t="n">
        <v>0</v>
      </c>
      <c r="M485" t="n">
        <v>0</v>
      </c>
      <c r="N485" t="n">
        <v>0</v>
      </c>
      <c r="O485" t="n">
        <v>0</v>
      </c>
      <c r="P485" t="n">
        <v>0</v>
      </c>
      <c r="Q485" t="n">
        <v>0</v>
      </c>
      <c r="R485" s="2" t="inlineStr"/>
    </row>
    <row r="486" ht="15" customHeight="1">
      <c r="A486" t="inlineStr">
        <is>
          <t>A 46399-2024</t>
        </is>
      </c>
      <c r="B486" s="1" t="n">
        <v>45582.41200231481</v>
      </c>
      <c r="C486" s="1" t="n">
        <v>45964</v>
      </c>
      <c r="D486" t="inlineStr">
        <is>
          <t>KALMAR LÄN</t>
        </is>
      </c>
      <c r="E486" t="inlineStr">
        <is>
          <t>VIMMERBY</t>
        </is>
      </c>
      <c r="G486" t="n">
        <v>4.6</v>
      </c>
      <c r="H486" t="n">
        <v>0</v>
      </c>
      <c r="I486" t="n">
        <v>0</v>
      </c>
      <c r="J486" t="n">
        <v>0</v>
      </c>
      <c r="K486" t="n">
        <v>0</v>
      </c>
      <c r="L486" t="n">
        <v>0</v>
      </c>
      <c r="M486" t="n">
        <v>0</v>
      </c>
      <c r="N486" t="n">
        <v>0</v>
      </c>
      <c r="O486" t="n">
        <v>0</v>
      </c>
      <c r="P486" t="n">
        <v>0</v>
      </c>
      <c r="Q486" t="n">
        <v>0</v>
      </c>
      <c r="R486" s="2" t="inlineStr"/>
    </row>
    <row r="487" ht="15" customHeight="1">
      <c r="A487" t="inlineStr">
        <is>
          <t>A 55716-2023</t>
        </is>
      </c>
      <c r="B487" s="1" t="n">
        <v>45232</v>
      </c>
      <c r="C487" s="1" t="n">
        <v>45964</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18329-2023</t>
        </is>
      </c>
      <c r="B488" s="1" t="n">
        <v>45041.63380787037</v>
      </c>
      <c r="C488" s="1" t="n">
        <v>45964</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23984-2025</t>
        </is>
      </c>
      <c r="B489" s="1" t="n">
        <v>45796</v>
      </c>
      <c r="C489" s="1" t="n">
        <v>45964</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13532-2025</t>
        </is>
      </c>
      <c r="B490" s="1" t="n">
        <v>45736.50743055555</v>
      </c>
      <c r="C490" s="1" t="n">
        <v>45964</v>
      </c>
      <c r="D490" t="inlineStr">
        <is>
          <t>KALMAR LÄN</t>
        </is>
      </c>
      <c r="E490" t="inlineStr">
        <is>
          <t>VIMMERBY</t>
        </is>
      </c>
      <c r="G490" t="n">
        <v>3.6</v>
      </c>
      <c r="H490" t="n">
        <v>0</v>
      </c>
      <c r="I490" t="n">
        <v>0</v>
      </c>
      <c r="J490" t="n">
        <v>0</v>
      </c>
      <c r="K490" t="n">
        <v>0</v>
      </c>
      <c r="L490" t="n">
        <v>0</v>
      </c>
      <c r="M490" t="n">
        <v>0</v>
      </c>
      <c r="N490" t="n">
        <v>0</v>
      </c>
      <c r="O490" t="n">
        <v>0</v>
      </c>
      <c r="P490" t="n">
        <v>0</v>
      </c>
      <c r="Q490" t="n">
        <v>0</v>
      </c>
      <c r="R490" s="2" t="inlineStr"/>
    </row>
    <row r="491" ht="15" customHeight="1">
      <c r="A491" t="inlineStr">
        <is>
          <t>A 43038-2022</t>
        </is>
      </c>
      <c r="B491" s="1" t="n">
        <v>44833.60123842592</v>
      </c>
      <c r="C491" s="1" t="n">
        <v>45964</v>
      </c>
      <c r="D491" t="inlineStr">
        <is>
          <t>KALMAR LÄN</t>
        </is>
      </c>
      <c r="E491" t="inlineStr">
        <is>
          <t>VIMMERBY</t>
        </is>
      </c>
      <c r="G491" t="n">
        <v>4.2</v>
      </c>
      <c r="H491" t="n">
        <v>0</v>
      </c>
      <c r="I491" t="n">
        <v>0</v>
      </c>
      <c r="J491" t="n">
        <v>0</v>
      </c>
      <c r="K491" t="n">
        <v>0</v>
      </c>
      <c r="L491" t="n">
        <v>0</v>
      </c>
      <c r="M491" t="n">
        <v>0</v>
      </c>
      <c r="N491" t="n">
        <v>0</v>
      </c>
      <c r="O491" t="n">
        <v>0</v>
      </c>
      <c r="P491" t="n">
        <v>0</v>
      </c>
      <c r="Q491" t="n">
        <v>0</v>
      </c>
      <c r="R491" s="2" t="inlineStr"/>
    </row>
    <row r="492" ht="15" customHeight="1">
      <c r="A492" t="inlineStr">
        <is>
          <t>A 13015-2023</t>
        </is>
      </c>
      <c r="B492" s="1" t="n">
        <v>45002</v>
      </c>
      <c r="C492" s="1" t="n">
        <v>45964</v>
      </c>
      <c r="D492" t="inlineStr">
        <is>
          <t>KALMAR LÄN</t>
        </is>
      </c>
      <c r="E492" t="inlineStr">
        <is>
          <t>VIMMERBY</t>
        </is>
      </c>
      <c r="G492" t="n">
        <v>3.2</v>
      </c>
      <c r="H492" t="n">
        <v>0</v>
      </c>
      <c r="I492" t="n">
        <v>0</v>
      </c>
      <c r="J492" t="n">
        <v>0</v>
      </c>
      <c r="K492" t="n">
        <v>0</v>
      </c>
      <c r="L492" t="n">
        <v>0</v>
      </c>
      <c r="M492" t="n">
        <v>0</v>
      </c>
      <c r="N492" t="n">
        <v>0</v>
      </c>
      <c r="O492" t="n">
        <v>0</v>
      </c>
      <c r="P492" t="n">
        <v>0</v>
      </c>
      <c r="Q492" t="n">
        <v>0</v>
      </c>
      <c r="R492" s="2" t="inlineStr"/>
    </row>
    <row r="493" ht="15" customHeight="1">
      <c r="A493" t="inlineStr">
        <is>
          <t>A 12596-2021</t>
        </is>
      </c>
      <c r="B493" s="1" t="n">
        <v>44270.39765046296</v>
      </c>
      <c r="C493" s="1" t="n">
        <v>45964</v>
      </c>
      <c r="D493" t="inlineStr">
        <is>
          <t>KALMAR LÄN</t>
        </is>
      </c>
      <c r="E493" t="inlineStr">
        <is>
          <t>VIMMERBY</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29186-2024</t>
        </is>
      </c>
      <c r="B494" s="1" t="n">
        <v>45482.54844907407</v>
      </c>
      <c r="C494" s="1" t="n">
        <v>45964</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50993-2022</t>
        </is>
      </c>
      <c r="B495" s="1" t="n">
        <v>44867</v>
      </c>
      <c r="C495" s="1" t="n">
        <v>45964</v>
      </c>
      <c r="D495" t="inlineStr">
        <is>
          <t>KALMAR LÄN</t>
        </is>
      </c>
      <c r="E495" t="inlineStr">
        <is>
          <t>VIMMERBY</t>
        </is>
      </c>
      <c r="G495" t="n">
        <v>1.7</v>
      </c>
      <c r="H495" t="n">
        <v>0</v>
      </c>
      <c r="I495" t="n">
        <v>0</v>
      </c>
      <c r="J495" t="n">
        <v>0</v>
      </c>
      <c r="K495" t="n">
        <v>0</v>
      </c>
      <c r="L495" t="n">
        <v>0</v>
      </c>
      <c r="M495" t="n">
        <v>0</v>
      </c>
      <c r="N495" t="n">
        <v>0</v>
      </c>
      <c r="O495" t="n">
        <v>0</v>
      </c>
      <c r="P495" t="n">
        <v>0</v>
      </c>
      <c r="Q495" t="n">
        <v>0</v>
      </c>
      <c r="R495" s="2" t="inlineStr"/>
    </row>
    <row r="496" ht="15" customHeight="1">
      <c r="A496" t="inlineStr">
        <is>
          <t>A 57799-2022</t>
        </is>
      </c>
      <c r="B496" s="1" t="n">
        <v>44897</v>
      </c>
      <c r="C496" s="1" t="n">
        <v>45964</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30921-2024</t>
        </is>
      </c>
      <c r="B497" s="1" t="n">
        <v>45498</v>
      </c>
      <c r="C497" s="1" t="n">
        <v>45964</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54787-2023</t>
        </is>
      </c>
      <c r="B498" s="1" t="n">
        <v>45236</v>
      </c>
      <c r="C498" s="1" t="n">
        <v>45964</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35082-2024</t>
        </is>
      </c>
      <c r="B499" s="1" t="n">
        <v>45527.68784722222</v>
      </c>
      <c r="C499" s="1" t="n">
        <v>45964</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32614-2023</t>
        </is>
      </c>
      <c r="B500" s="1" t="n">
        <v>45121</v>
      </c>
      <c r="C500" s="1" t="n">
        <v>45964</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8194-2022</t>
        </is>
      </c>
      <c r="B501" s="1" t="n">
        <v>44609</v>
      </c>
      <c r="C501" s="1" t="n">
        <v>45964</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6850-2023</t>
        </is>
      </c>
      <c r="B502" s="1" t="n">
        <v>44967.44255787037</v>
      </c>
      <c r="C502" s="1" t="n">
        <v>45964</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15191-2021</t>
        </is>
      </c>
      <c r="B503" s="1" t="n">
        <v>44284.42348379629</v>
      </c>
      <c r="C503" s="1" t="n">
        <v>45964</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58750-2022</t>
        </is>
      </c>
      <c r="B504" s="1" t="n">
        <v>44903.33363425926</v>
      </c>
      <c r="C504" s="1" t="n">
        <v>45964</v>
      </c>
      <c r="D504" t="inlineStr">
        <is>
          <t>KALMAR LÄN</t>
        </is>
      </c>
      <c r="E504" t="inlineStr">
        <is>
          <t>VIMMERBY</t>
        </is>
      </c>
      <c r="G504" t="n">
        <v>3.3</v>
      </c>
      <c r="H504" t="n">
        <v>0</v>
      </c>
      <c r="I504" t="n">
        <v>0</v>
      </c>
      <c r="J504" t="n">
        <v>0</v>
      </c>
      <c r="K504" t="n">
        <v>0</v>
      </c>
      <c r="L504" t="n">
        <v>0</v>
      </c>
      <c r="M504" t="n">
        <v>0</v>
      </c>
      <c r="N504" t="n">
        <v>0</v>
      </c>
      <c r="O504" t="n">
        <v>0</v>
      </c>
      <c r="P504" t="n">
        <v>0</v>
      </c>
      <c r="Q504" t="n">
        <v>0</v>
      </c>
      <c r="R504" s="2" t="inlineStr"/>
    </row>
    <row r="505" ht="15" customHeight="1">
      <c r="A505" t="inlineStr">
        <is>
          <t>A 40971-2021</t>
        </is>
      </c>
      <c r="B505" s="1" t="n">
        <v>44421</v>
      </c>
      <c r="C505" s="1" t="n">
        <v>45964</v>
      </c>
      <c r="D505" t="inlineStr">
        <is>
          <t>KALMAR LÄN</t>
        </is>
      </c>
      <c r="E505" t="inlineStr">
        <is>
          <t>VIMMERBY</t>
        </is>
      </c>
      <c r="G505" t="n">
        <v>1.1</v>
      </c>
      <c r="H505" t="n">
        <v>0</v>
      </c>
      <c r="I505" t="n">
        <v>0</v>
      </c>
      <c r="J505" t="n">
        <v>0</v>
      </c>
      <c r="K505" t="n">
        <v>0</v>
      </c>
      <c r="L505" t="n">
        <v>0</v>
      </c>
      <c r="M505" t="n">
        <v>0</v>
      </c>
      <c r="N505" t="n">
        <v>0</v>
      </c>
      <c r="O505" t="n">
        <v>0</v>
      </c>
      <c r="P505" t="n">
        <v>0</v>
      </c>
      <c r="Q505" t="n">
        <v>0</v>
      </c>
      <c r="R505" s="2" t="inlineStr"/>
    </row>
    <row r="506" ht="15" customHeight="1">
      <c r="A506" t="inlineStr">
        <is>
          <t>A 41158-2023</t>
        </is>
      </c>
      <c r="B506" s="1" t="n">
        <v>45174.31395833333</v>
      </c>
      <c r="C506" s="1" t="n">
        <v>45964</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51278-2024</t>
        </is>
      </c>
      <c r="B507" s="1" t="n">
        <v>45603.74959490741</v>
      </c>
      <c r="C507" s="1" t="n">
        <v>45964</v>
      </c>
      <c r="D507" t="inlineStr">
        <is>
          <t>KALMAR LÄN</t>
        </is>
      </c>
      <c r="E507" t="inlineStr">
        <is>
          <t>VIMMERBY</t>
        </is>
      </c>
      <c r="G507" t="n">
        <v>3.4</v>
      </c>
      <c r="H507" t="n">
        <v>0</v>
      </c>
      <c r="I507" t="n">
        <v>0</v>
      </c>
      <c r="J507" t="n">
        <v>0</v>
      </c>
      <c r="K507" t="n">
        <v>0</v>
      </c>
      <c r="L507" t="n">
        <v>0</v>
      </c>
      <c r="M507" t="n">
        <v>0</v>
      </c>
      <c r="N507" t="n">
        <v>0</v>
      </c>
      <c r="O507" t="n">
        <v>0</v>
      </c>
      <c r="P507" t="n">
        <v>0</v>
      </c>
      <c r="Q507" t="n">
        <v>0</v>
      </c>
      <c r="R507" s="2" t="inlineStr"/>
    </row>
    <row r="508" ht="15" customHeight="1">
      <c r="A508" t="inlineStr">
        <is>
          <t>A 2510-2023</t>
        </is>
      </c>
      <c r="B508" s="1" t="n">
        <v>44943.57309027778</v>
      </c>
      <c r="C508" s="1" t="n">
        <v>45964</v>
      </c>
      <c r="D508" t="inlineStr">
        <is>
          <t>KALMAR LÄN</t>
        </is>
      </c>
      <c r="E508" t="inlineStr">
        <is>
          <t>VIMMERBY</t>
        </is>
      </c>
      <c r="G508" t="n">
        <v>8.6</v>
      </c>
      <c r="H508" t="n">
        <v>0</v>
      </c>
      <c r="I508" t="n">
        <v>0</v>
      </c>
      <c r="J508" t="n">
        <v>0</v>
      </c>
      <c r="K508" t="n">
        <v>0</v>
      </c>
      <c r="L508" t="n">
        <v>0</v>
      </c>
      <c r="M508" t="n">
        <v>0</v>
      </c>
      <c r="N508" t="n">
        <v>0</v>
      </c>
      <c r="O508" t="n">
        <v>0</v>
      </c>
      <c r="P508" t="n">
        <v>0</v>
      </c>
      <c r="Q508" t="n">
        <v>0</v>
      </c>
      <c r="R508" s="2" t="inlineStr"/>
    </row>
    <row r="509" ht="15" customHeight="1">
      <c r="A509" t="inlineStr">
        <is>
          <t>A 9456-2025</t>
        </is>
      </c>
      <c r="B509" s="1" t="n">
        <v>45715.44159722222</v>
      </c>
      <c r="C509" s="1" t="n">
        <v>45964</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14137-2023</t>
        </is>
      </c>
      <c r="B510" s="1" t="n">
        <v>45009.4671875</v>
      </c>
      <c r="C510" s="1" t="n">
        <v>45964</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11111-2023</t>
        </is>
      </c>
      <c r="B511" s="1" t="n">
        <v>44992.4255787037</v>
      </c>
      <c r="C511" s="1" t="n">
        <v>45964</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68744-2020</t>
        </is>
      </c>
      <c r="B512" s="1" t="n">
        <v>44186</v>
      </c>
      <c r="C512" s="1" t="n">
        <v>45964</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3269-2024</t>
        </is>
      </c>
      <c r="B513" s="1" t="n">
        <v>45317.40372685185</v>
      </c>
      <c r="C513" s="1" t="n">
        <v>45964</v>
      </c>
      <c r="D513" t="inlineStr">
        <is>
          <t>KALMAR LÄN</t>
        </is>
      </c>
      <c r="E513" t="inlineStr">
        <is>
          <t>VIMMERBY</t>
        </is>
      </c>
      <c r="F513" t="inlineStr">
        <is>
          <t>Övriga Aktiebolag</t>
        </is>
      </c>
      <c r="G513" t="n">
        <v>1.7</v>
      </c>
      <c r="H513" t="n">
        <v>0</v>
      </c>
      <c r="I513" t="n">
        <v>0</v>
      </c>
      <c r="J513" t="n">
        <v>0</v>
      </c>
      <c r="K513" t="n">
        <v>0</v>
      </c>
      <c r="L513" t="n">
        <v>0</v>
      </c>
      <c r="M513" t="n">
        <v>0</v>
      </c>
      <c r="N513" t="n">
        <v>0</v>
      </c>
      <c r="O513" t="n">
        <v>0</v>
      </c>
      <c r="P513" t="n">
        <v>0</v>
      </c>
      <c r="Q513" t="n">
        <v>0</v>
      </c>
      <c r="R513" s="2" t="inlineStr"/>
    </row>
    <row r="514" ht="15" customHeight="1">
      <c r="A514" t="inlineStr">
        <is>
          <t>A 48120-2022</t>
        </is>
      </c>
      <c r="B514" s="1" t="n">
        <v>44857.65989583333</v>
      </c>
      <c r="C514" s="1" t="n">
        <v>45964</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11152-2023</t>
        </is>
      </c>
      <c r="B515" s="1" t="n">
        <v>44992</v>
      </c>
      <c r="C515" s="1" t="n">
        <v>45964</v>
      </c>
      <c r="D515" t="inlineStr">
        <is>
          <t>KALMAR LÄN</t>
        </is>
      </c>
      <c r="E515" t="inlineStr">
        <is>
          <t>VIMMERBY</t>
        </is>
      </c>
      <c r="G515" t="n">
        <v>10.6</v>
      </c>
      <c r="H515" t="n">
        <v>0</v>
      </c>
      <c r="I515" t="n">
        <v>0</v>
      </c>
      <c r="J515" t="n">
        <v>0</v>
      </c>
      <c r="K515" t="n">
        <v>0</v>
      </c>
      <c r="L515" t="n">
        <v>0</v>
      </c>
      <c r="M515" t="n">
        <v>0</v>
      </c>
      <c r="N515" t="n">
        <v>0</v>
      </c>
      <c r="O515" t="n">
        <v>0</v>
      </c>
      <c r="P515" t="n">
        <v>0</v>
      </c>
      <c r="Q515" t="n">
        <v>0</v>
      </c>
      <c r="R515" s="2" t="inlineStr"/>
    </row>
    <row r="516" ht="15" customHeight="1">
      <c r="A516" t="inlineStr">
        <is>
          <t>A 6368-2023</t>
        </is>
      </c>
      <c r="B516" s="1" t="n">
        <v>44965</v>
      </c>
      <c r="C516" s="1" t="n">
        <v>45964</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9416-2024</t>
        </is>
      </c>
      <c r="B517" s="1" t="n">
        <v>45359.44837962963</v>
      </c>
      <c r="C517" s="1" t="n">
        <v>45964</v>
      </c>
      <c r="D517" t="inlineStr">
        <is>
          <t>KALMAR LÄN</t>
        </is>
      </c>
      <c r="E517" t="inlineStr">
        <is>
          <t>VIMMERBY</t>
        </is>
      </c>
      <c r="G517" t="n">
        <v>3.2</v>
      </c>
      <c r="H517" t="n">
        <v>0</v>
      </c>
      <c r="I517" t="n">
        <v>0</v>
      </c>
      <c r="J517" t="n">
        <v>0</v>
      </c>
      <c r="K517" t="n">
        <v>0</v>
      </c>
      <c r="L517" t="n">
        <v>0</v>
      </c>
      <c r="M517" t="n">
        <v>0</v>
      </c>
      <c r="N517" t="n">
        <v>0</v>
      </c>
      <c r="O517" t="n">
        <v>0</v>
      </c>
      <c r="P517" t="n">
        <v>0</v>
      </c>
      <c r="Q517" t="n">
        <v>0</v>
      </c>
      <c r="R517" s="2" t="inlineStr"/>
    </row>
    <row r="518" ht="15" customHeight="1">
      <c r="A518" t="inlineStr">
        <is>
          <t>A 44582-2024</t>
        </is>
      </c>
      <c r="B518" s="1" t="n">
        <v>45574.49298611111</v>
      </c>
      <c r="C518" s="1" t="n">
        <v>45964</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12499-2023</t>
        </is>
      </c>
      <c r="B519" s="1" t="n">
        <v>44999.86172453704</v>
      </c>
      <c r="C519" s="1" t="n">
        <v>45964</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12500-2023</t>
        </is>
      </c>
      <c r="B520" s="1" t="n">
        <v>44999.8625</v>
      </c>
      <c r="C520" s="1" t="n">
        <v>45964</v>
      </c>
      <c r="D520" t="inlineStr">
        <is>
          <t>KALMAR LÄN</t>
        </is>
      </c>
      <c r="E520" t="inlineStr">
        <is>
          <t>VIMMERBY</t>
        </is>
      </c>
      <c r="G520" t="n">
        <v>0.5</v>
      </c>
      <c r="H520" t="n">
        <v>0</v>
      </c>
      <c r="I520" t="n">
        <v>0</v>
      </c>
      <c r="J520" t="n">
        <v>0</v>
      </c>
      <c r="K520" t="n">
        <v>0</v>
      </c>
      <c r="L520" t="n">
        <v>0</v>
      </c>
      <c r="M520" t="n">
        <v>0</v>
      </c>
      <c r="N520" t="n">
        <v>0</v>
      </c>
      <c r="O520" t="n">
        <v>0</v>
      </c>
      <c r="P520" t="n">
        <v>0</v>
      </c>
      <c r="Q520" t="n">
        <v>0</v>
      </c>
      <c r="R520" s="2" t="inlineStr"/>
    </row>
    <row r="521" ht="15" customHeight="1">
      <c r="A521" t="inlineStr">
        <is>
          <t>A 35846-2023</t>
        </is>
      </c>
      <c r="B521" s="1" t="n">
        <v>45148</v>
      </c>
      <c r="C521" s="1" t="n">
        <v>45964</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44453.56578703703</v>
      </c>
      <c r="C522" s="1" t="n">
        <v>45964</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2797-2023</t>
        </is>
      </c>
      <c r="B523" s="1" t="n">
        <v>44944.71386574074</v>
      </c>
      <c r="C523" s="1" t="n">
        <v>45964</v>
      </c>
      <c r="D523" t="inlineStr">
        <is>
          <t>KALMAR LÄN</t>
        </is>
      </c>
      <c r="E523" t="inlineStr">
        <is>
          <t>VIMMERBY</t>
        </is>
      </c>
      <c r="G523" t="n">
        <v>3.4</v>
      </c>
      <c r="H523" t="n">
        <v>0</v>
      </c>
      <c r="I523" t="n">
        <v>0</v>
      </c>
      <c r="J523" t="n">
        <v>0</v>
      </c>
      <c r="K523" t="n">
        <v>0</v>
      </c>
      <c r="L523" t="n">
        <v>0</v>
      </c>
      <c r="M523" t="n">
        <v>0</v>
      </c>
      <c r="N523" t="n">
        <v>0</v>
      </c>
      <c r="O523" t="n">
        <v>0</v>
      </c>
      <c r="P523" t="n">
        <v>0</v>
      </c>
      <c r="Q523" t="n">
        <v>0</v>
      </c>
      <c r="R523" s="2" t="inlineStr"/>
    </row>
    <row r="524" ht="15" customHeight="1">
      <c r="A524" t="inlineStr">
        <is>
          <t>A 2799-2023</t>
        </is>
      </c>
      <c r="B524" s="1" t="n">
        <v>44944.72100694444</v>
      </c>
      <c r="C524" s="1" t="n">
        <v>45964</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15494-2024</t>
        </is>
      </c>
      <c r="B525" s="1" t="n">
        <v>45401.53033564815</v>
      </c>
      <c r="C525" s="1" t="n">
        <v>45964</v>
      </c>
      <c r="D525" t="inlineStr">
        <is>
          <t>KALMAR LÄN</t>
        </is>
      </c>
      <c r="E525" t="inlineStr">
        <is>
          <t>VIMMERBY</t>
        </is>
      </c>
      <c r="G525" t="n">
        <v>3.2</v>
      </c>
      <c r="H525" t="n">
        <v>0</v>
      </c>
      <c r="I525" t="n">
        <v>0</v>
      </c>
      <c r="J525" t="n">
        <v>0</v>
      </c>
      <c r="K525" t="n">
        <v>0</v>
      </c>
      <c r="L525" t="n">
        <v>0</v>
      </c>
      <c r="M525" t="n">
        <v>0</v>
      </c>
      <c r="N525" t="n">
        <v>0</v>
      </c>
      <c r="O525" t="n">
        <v>0</v>
      </c>
      <c r="P525" t="n">
        <v>0</v>
      </c>
      <c r="Q525" t="n">
        <v>0</v>
      </c>
      <c r="R525" s="2" t="inlineStr"/>
    </row>
    <row r="526" ht="15" customHeight="1">
      <c r="A526" t="inlineStr">
        <is>
          <t>A 25987-2024</t>
        </is>
      </c>
      <c r="B526" s="1" t="n">
        <v>45467.74417824074</v>
      </c>
      <c r="C526" s="1" t="n">
        <v>45964</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22194-2024</t>
        </is>
      </c>
      <c r="B527" s="1" t="n">
        <v>45446.36482638889</v>
      </c>
      <c r="C527" s="1" t="n">
        <v>45964</v>
      </c>
      <c r="D527" t="inlineStr">
        <is>
          <t>KALMAR LÄN</t>
        </is>
      </c>
      <c r="E527" t="inlineStr">
        <is>
          <t>VIMMERBY</t>
        </is>
      </c>
      <c r="F527" t="inlineStr">
        <is>
          <t>Sveaskog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19865-2021</t>
        </is>
      </c>
      <c r="B528" s="1" t="n">
        <v>44312</v>
      </c>
      <c r="C528" s="1" t="n">
        <v>45964</v>
      </c>
      <c r="D528" t="inlineStr">
        <is>
          <t>KALMAR LÄN</t>
        </is>
      </c>
      <c r="E528" t="inlineStr">
        <is>
          <t>VIMMERBY</t>
        </is>
      </c>
      <c r="G528" t="n">
        <v>8.6</v>
      </c>
      <c r="H528" t="n">
        <v>0</v>
      </c>
      <c r="I528" t="n">
        <v>0</v>
      </c>
      <c r="J528" t="n">
        <v>0</v>
      </c>
      <c r="K528" t="n">
        <v>0</v>
      </c>
      <c r="L528" t="n">
        <v>0</v>
      </c>
      <c r="M528" t="n">
        <v>0</v>
      </c>
      <c r="N528" t="n">
        <v>0</v>
      </c>
      <c r="O528" t="n">
        <v>0</v>
      </c>
      <c r="P528" t="n">
        <v>0</v>
      </c>
      <c r="Q528" t="n">
        <v>0</v>
      </c>
      <c r="R528" s="2" t="inlineStr"/>
    </row>
    <row r="529" ht="15" customHeight="1">
      <c r="A529" t="inlineStr">
        <is>
          <t>A 12630-2023</t>
        </is>
      </c>
      <c r="B529" s="1" t="n">
        <v>45000.47998842593</v>
      </c>
      <c r="C529" s="1" t="n">
        <v>45964</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21109-2024</t>
        </is>
      </c>
      <c r="B530" s="1" t="n">
        <v>45440.28329861111</v>
      </c>
      <c r="C530" s="1" t="n">
        <v>45964</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46224-2024</t>
        </is>
      </c>
      <c r="B531" s="1" t="n">
        <v>45581.57016203704</v>
      </c>
      <c r="C531" s="1" t="n">
        <v>45964</v>
      </c>
      <c r="D531" t="inlineStr">
        <is>
          <t>KALMAR LÄN</t>
        </is>
      </c>
      <c r="E531" t="inlineStr">
        <is>
          <t>VIMMERBY</t>
        </is>
      </c>
      <c r="G531" t="n">
        <v>3.1</v>
      </c>
      <c r="H531" t="n">
        <v>0</v>
      </c>
      <c r="I531" t="n">
        <v>0</v>
      </c>
      <c r="J531" t="n">
        <v>0</v>
      </c>
      <c r="K531" t="n">
        <v>0</v>
      </c>
      <c r="L531" t="n">
        <v>0</v>
      </c>
      <c r="M531" t="n">
        <v>0</v>
      </c>
      <c r="N531" t="n">
        <v>0</v>
      </c>
      <c r="O531" t="n">
        <v>0</v>
      </c>
      <c r="P531" t="n">
        <v>0</v>
      </c>
      <c r="Q531" t="n">
        <v>0</v>
      </c>
      <c r="R531" s="2" t="inlineStr"/>
    </row>
    <row r="532" ht="15" customHeight="1">
      <c r="A532" t="inlineStr">
        <is>
          <t>A 46238-2024</t>
        </is>
      </c>
      <c r="B532" s="1" t="n">
        <v>45581.58418981481</v>
      </c>
      <c r="C532" s="1" t="n">
        <v>45964</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30633-2024</t>
        </is>
      </c>
      <c r="B533" s="1" t="n">
        <v>45495</v>
      </c>
      <c r="C533" s="1" t="n">
        <v>45964</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58724-2024</t>
        </is>
      </c>
      <c r="B534" s="1" t="n">
        <v>45635.66409722222</v>
      </c>
      <c r="C534" s="1" t="n">
        <v>45964</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30634-2024</t>
        </is>
      </c>
      <c r="B535" s="1" t="n">
        <v>45495</v>
      </c>
      <c r="C535" s="1" t="n">
        <v>45964</v>
      </c>
      <c r="D535" t="inlineStr">
        <is>
          <t>KALMAR LÄN</t>
        </is>
      </c>
      <c r="E535" t="inlineStr">
        <is>
          <t>VIMMERBY</t>
        </is>
      </c>
      <c r="G535" t="n">
        <v>1.2</v>
      </c>
      <c r="H535" t="n">
        <v>0</v>
      </c>
      <c r="I535" t="n">
        <v>0</v>
      </c>
      <c r="J535" t="n">
        <v>0</v>
      </c>
      <c r="K535" t="n">
        <v>0</v>
      </c>
      <c r="L535" t="n">
        <v>0</v>
      </c>
      <c r="M535" t="n">
        <v>0</v>
      </c>
      <c r="N535" t="n">
        <v>0</v>
      </c>
      <c r="O535" t="n">
        <v>0</v>
      </c>
      <c r="P535" t="n">
        <v>0</v>
      </c>
      <c r="Q535" t="n">
        <v>0</v>
      </c>
      <c r="R535" s="2" t="inlineStr"/>
    </row>
    <row r="536" ht="15" customHeight="1">
      <c r="A536" t="inlineStr">
        <is>
          <t>A 54838-2024</t>
        </is>
      </c>
      <c r="B536" s="1" t="n">
        <v>45618.56787037037</v>
      </c>
      <c r="C536" s="1" t="n">
        <v>45964</v>
      </c>
      <c r="D536" t="inlineStr">
        <is>
          <t>KALMAR LÄN</t>
        </is>
      </c>
      <c r="E536" t="inlineStr">
        <is>
          <t>VIMMERBY</t>
        </is>
      </c>
      <c r="G536" t="n">
        <v>3.3</v>
      </c>
      <c r="H536" t="n">
        <v>0</v>
      </c>
      <c r="I536" t="n">
        <v>0</v>
      </c>
      <c r="J536" t="n">
        <v>0</v>
      </c>
      <c r="K536" t="n">
        <v>0</v>
      </c>
      <c r="L536" t="n">
        <v>0</v>
      </c>
      <c r="M536" t="n">
        <v>0</v>
      </c>
      <c r="N536" t="n">
        <v>0</v>
      </c>
      <c r="O536" t="n">
        <v>0</v>
      </c>
      <c r="P536" t="n">
        <v>0</v>
      </c>
      <c r="Q536" t="n">
        <v>0</v>
      </c>
      <c r="R536" s="2" t="inlineStr"/>
    </row>
    <row r="537" ht="15" customHeight="1">
      <c r="A537" t="inlineStr">
        <is>
          <t>A 40260-2024</t>
        </is>
      </c>
      <c r="B537" s="1" t="n">
        <v>45554.63225694445</v>
      </c>
      <c r="C537" s="1" t="n">
        <v>45964</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6405-2025</t>
        </is>
      </c>
      <c r="B538" s="1" t="n">
        <v>45699.45392361111</v>
      </c>
      <c r="C538" s="1" t="n">
        <v>45964</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25792-2025</t>
        </is>
      </c>
      <c r="B539" s="1" t="n">
        <v>45804.39141203704</v>
      </c>
      <c r="C539" s="1" t="n">
        <v>45964</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26039-2025</t>
        </is>
      </c>
      <c r="B540" s="1" t="n">
        <v>45804.6953587963</v>
      </c>
      <c r="C540" s="1" t="n">
        <v>45964</v>
      </c>
      <c r="D540" t="inlineStr">
        <is>
          <t>KALMAR LÄN</t>
        </is>
      </c>
      <c r="E540" t="inlineStr">
        <is>
          <t>VIMMERBY</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59943-2023</t>
        </is>
      </c>
      <c r="B541" s="1" t="n">
        <v>45257.67958333333</v>
      </c>
      <c r="C541" s="1" t="n">
        <v>45964</v>
      </c>
      <c r="D541" t="inlineStr">
        <is>
          <t>KALMAR LÄN</t>
        </is>
      </c>
      <c r="E541" t="inlineStr">
        <is>
          <t>VIMMERBY</t>
        </is>
      </c>
      <c r="G541" t="n">
        <v>6.4</v>
      </c>
      <c r="H541" t="n">
        <v>0</v>
      </c>
      <c r="I541" t="n">
        <v>0</v>
      </c>
      <c r="J541" t="n">
        <v>0</v>
      </c>
      <c r="K541" t="n">
        <v>0</v>
      </c>
      <c r="L541" t="n">
        <v>0</v>
      </c>
      <c r="M541" t="n">
        <v>0</v>
      </c>
      <c r="N541" t="n">
        <v>0</v>
      </c>
      <c r="O541" t="n">
        <v>0</v>
      </c>
      <c r="P541" t="n">
        <v>0</v>
      </c>
      <c r="Q541" t="n">
        <v>0</v>
      </c>
      <c r="R541" s="2" t="inlineStr"/>
    </row>
    <row r="542" ht="15" customHeight="1">
      <c r="A542" t="inlineStr">
        <is>
          <t>A 26046-2025</t>
        </is>
      </c>
      <c r="B542" s="1" t="n">
        <v>45804.708125</v>
      </c>
      <c r="C542" s="1" t="n">
        <v>45964</v>
      </c>
      <c r="D542" t="inlineStr">
        <is>
          <t>KALMAR LÄN</t>
        </is>
      </c>
      <c r="E542" t="inlineStr">
        <is>
          <t>VIMMERBY</t>
        </is>
      </c>
      <c r="F542" t="inlineStr">
        <is>
          <t>Sveaskog</t>
        </is>
      </c>
      <c r="G542" t="n">
        <v>5.1</v>
      </c>
      <c r="H542" t="n">
        <v>0</v>
      </c>
      <c r="I542" t="n">
        <v>0</v>
      </c>
      <c r="J542" t="n">
        <v>0</v>
      </c>
      <c r="K542" t="n">
        <v>0</v>
      </c>
      <c r="L542" t="n">
        <v>0</v>
      </c>
      <c r="M542" t="n">
        <v>0</v>
      </c>
      <c r="N542" t="n">
        <v>0</v>
      </c>
      <c r="O542" t="n">
        <v>0</v>
      </c>
      <c r="P542" t="n">
        <v>0</v>
      </c>
      <c r="Q542" t="n">
        <v>0</v>
      </c>
      <c r="R542" s="2" t="inlineStr"/>
    </row>
    <row r="543" ht="15" customHeight="1">
      <c r="A543" t="inlineStr">
        <is>
          <t>A 13457-2021</t>
        </is>
      </c>
      <c r="B543" s="1" t="n">
        <v>44273</v>
      </c>
      <c r="C543" s="1" t="n">
        <v>45964</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60437-2023</t>
        </is>
      </c>
      <c r="B544" s="1" t="n">
        <v>45259.51916666667</v>
      </c>
      <c r="C544" s="1" t="n">
        <v>45964</v>
      </c>
      <c r="D544" t="inlineStr">
        <is>
          <t>KALMAR LÄN</t>
        </is>
      </c>
      <c r="E544" t="inlineStr">
        <is>
          <t>VIMMERBY</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60438-2023</t>
        </is>
      </c>
      <c r="B545" s="1" t="n">
        <v>45259.52020833334</v>
      </c>
      <c r="C545" s="1" t="n">
        <v>45964</v>
      </c>
      <c r="D545" t="inlineStr">
        <is>
          <t>KALMAR LÄN</t>
        </is>
      </c>
      <c r="E545" t="inlineStr">
        <is>
          <t>VIMMERBY</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26124-2025</t>
        </is>
      </c>
      <c r="B546" s="1" t="n">
        <v>45805.39247685186</v>
      </c>
      <c r="C546" s="1" t="n">
        <v>45964</v>
      </c>
      <c r="D546" t="inlineStr">
        <is>
          <t>KALMAR LÄN</t>
        </is>
      </c>
      <c r="E546" t="inlineStr">
        <is>
          <t>VIMMERBY</t>
        </is>
      </c>
      <c r="G546" t="n">
        <v>6.6</v>
      </c>
      <c r="H546" t="n">
        <v>0</v>
      </c>
      <c r="I546" t="n">
        <v>0</v>
      </c>
      <c r="J546" t="n">
        <v>0</v>
      </c>
      <c r="K546" t="n">
        <v>0</v>
      </c>
      <c r="L546" t="n">
        <v>0</v>
      </c>
      <c r="M546" t="n">
        <v>0</v>
      </c>
      <c r="N546" t="n">
        <v>0</v>
      </c>
      <c r="O546" t="n">
        <v>0</v>
      </c>
      <c r="P546" t="n">
        <v>0</v>
      </c>
      <c r="Q546" t="n">
        <v>0</v>
      </c>
      <c r="R546" s="2" t="inlineStr"/>
    </row>
    <row r="547" ht="15" customHeight="1">
      <c r="A547" t="inlineStr">
        <is>
          <t>A 5527-2022</t>
        </is>
      </c>
      <c r="B547" s="1" t="n">
        <v>44595.583125</v>
      </c>
      <c r="C547" s="1" t="n">
        <v>45964</v>
      </c>
      <c r="D547" t="inlineStr">
        <is>
          <t>KALMAR LÄN</t>
        </is>
      </c>
      <c r="E547" t="inlineStr">
        <is>
          <t>VIMMERBY</t>
        </is>
      </c>
      <c r="G547" t="n">
        <v>3.6</v>
      </c>
      <c r="H547" t="n">
        <v>0</v>
      </c>
      <c r="I547" t="n">
        <v>0</v>
      </c>
      <c r="J547" t="n">
        <v>0</v>
      </c>
      <c r="K547" t="n">
        <v>0</v>
      </c>
      <c r="L547" t="n">
        <v>0</v>
      </c>
      <c r="M547" t="n">
        <v>0</v>
      </c>
      <c r="N547" t="n">
        <v>0</v>
      </c>
      <c r="O547" t="n">
        <v>0</v>
      </c>
      <c r="P547" t="n">
        <v>0</v>
      </c>
      <c r="Q547" t="n">
        <v>0</v>
      </c>
      <c r="R547" s="2" t="inlineStr"/>
    </row>
    <row r="548" ht="15" customHeight="1">
      <c r="A548" t="inlineStr">
        <is>
          <t>A 42165-2024</t>
        </is>
      </c>
      <c r="B548" s="1" t="n">
        <v>45562.46342592593</v>
      </c>
      <c r="C548" s="1" t="n">
        <v>45964</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12325-2023</t>
        </is>
      </c>
      <c r="B549" s="1" t="n">
        <v>44999.35858796296</v>
      </c>
      <c r="C549" s="1" t="n">
        <v>45964</v>
      </c>
      <c r="D549" t="inlineStr">
        <is>
          <t>KALMAR LÄN</t>
        </is>
      </c>
      <c r="E549" t="inlineStr">
        <is>
          <t>VIMMERBY</t>
        </is>
      </c>
      <c r="G549" t="n">
        <v>3.4</v>
      </c>
      <c r="H549" t="n">
        <v>0</v>
      </c>
      <c r="I549" t="n">
        <v>0</v>
      </c>
      <c r="J549" t="n">
        <v>0</v>
      </c>
      <c r="K549" t="n">
        <v>0</v>
      </c>
      <c r="L549" t="n">
        <v>0</v>
      </c>
      <c r="M549" t="n">
        <v>0</v>
      </c>
      <c r="N549" t="n">
        <v>0</v>
      </c>
      <c r="O549" t="n">
        <v>0</v>
      </c>
      <c r="P549" t="n">
        <v>0</v>
      </c>
      <c r="Q549" t="n">
        <v>0</v>
      </c>
      <c r="R549" s="2" t="inlineStr"/>
    </row>
    <row r="550" ht="15" customHeight="1">
      <c r="A550" t="inlineStr">
        <is>
          <t>A 26207-2025</t>
        </is>
      </c>
      <c r="B550" s="1" t="n">
        <v>45805.52983796296</v>
      </c>
      <c r="C550" s="1" t="n">
        <v>45964</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1016-2024</t>
        </is>
      </c>
      <c r="B551" s="1" t="n">
        <v>45301</v>
      </c>
      <c r="C551" s="1" t="n">
        <v>45964</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25830-2025</t>
        </is>
      </c>
      <c r="B552" s="1" t="n">
        <v>45804.44519675926</v>
      </c>
      <c r="C552" s="1" t="n">
        <v>45964</v>
      </c>
      <c r="D552" t="inlineStr">
        <is>
          <t>KALMAR LÄN</t>
        </is>
      </c>
      <c r="E552" t="inlineStr">
        <is>
          <t>VIMMERBY</t>
        </is>
      </c>
      <c r="G552" t="n">
        <v>4.9</v>
      </c>
      <c r="H552" t="n">
        <v>0</v>
      </c>
      <c r="I552" t="n">
        <v>0</v>
      </c>
      <c r="J552" t="n">
        <v>0</v>
      </c>
      <c r="K552" t="n">
        <v>0</v>
      </c>
      <c r="L552" t="n">
        <v>0</v>
      </c>
      <c r="M552" t="n">
        <v>0</v>
      </c>
      <c r="N552" t="n">
        <v>0</v>
      </c>
      <c r="O552" t="n">
        <v>0</v>
      </c>
      <c r="P552" t="n">
        <v>0</v>
      </c>
      <c r="Q552" t="n">
        <v>0</v>
      </c>
      <c r="R552" s="2" t="inlineStr"/>
    </row>
    <row r="553" ht="15" customHeight="1">
      <c r="A553" t="inlineStr">
        <is>
          <t>A 26254-2025</t>
        </is>
      </c>
      <c r="B553" s="1" t="n">
        <v>45805</v>
      </c>
      <c r="C553" s="1" t="n">
        <v>45964</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25244-2023</t>
        </is>
      </c>
      <c r="B554" s="1" t="n">
        <v>45086</v>
      </c>
      <c r="C554" s="1" t="n">
        <v>45964</v>
      </c>
      <c r="D554" t="inlineStr">
        <is>
          <t>KALMAR LÄN</t>
        </is>
      </c>
      <c r="E554" t="inlineStr">
        <is>
          <t>VIMMERBY</t>
        </is>
      </c>
      <c r="G554" t="n">
        <v>4.7</v>
      </c>
      <c r="H554" t="n">
        <v>0</v>
      </c>
      <c r="I554" t="n">
        <v>0</v>
      </c>
      <c r="J554" t="n">
        <v>0</v>
      </c>
      <c r="K554" t="n">
        <v>0</v>
      </c>
      <c r="L554" t="n">
        <v>0</v>
      </c>
      <c r="M554" t="n">
        <v>0</v>
      </c>
      <c r="N554" t="n">
        <v>0</v>
      </c>
      <c r="O554" t="n">
        <v>0</v>
      </c>
      <c r="P554" t="n">
        <v>0</v>
      </c>
      <c r="Q554" t="n">
        <v>0</v>
      </c>
      <c r="R554" s="2" t="inlineStr"/>
    </row>
    <row r="555" ht="15" customHeight="1">
      <c r="A555" t="inlineStr">
        <is>
          <t>A 33681-2022</t>
        </is>
      </c>
      <c r="B555" s="1" t="n">
        <v>44789</v>
      </c>
      <c r="C555" s="1" t="n">
        <v>45964</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45964</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35895-2024</t>
        </is>
      </c>
      <c r="B557" s="1" t="n">
        <v>45533.38870370371</v>
      </c>
      <c r="C557" s="1" t="n">
        <v>45964</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11073-2023</t>
        </is>
      </c>
      <c r="B558" s="1" t="n">
        <v>44992</v>
      </c>
      <c r="C558" s="1" t="n">
        <v>45964</v>
      </c>
      <c r="D558" t="inlineStr">
        <is>
          <t>KALMAR LÄN</t>
        </is>
      </c>
      <c r="E558" t="inlineStr">
        <is>
          <t>VIMMERBY</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14278-2021</t>
        </is>
      </c>
      <c r="B559" s="1" t="n">
        <v>44278.63479166666</v>
      </c>
      <c r="C559" s="1" t="n">
        <v>45964</v>
      </c>
      <c r="D559" t="inlineStr">
        <is>
          <t>KALMAR LÄN</t>
        </is>
      </c>
      <c r="E559" t="inlineStr">
        <is>
          <t>VIMMERBY</t>
        </is>
      </c>
      <c r="F559" t="inlineStr">
        <is>
          <t>Övriga statliga verk och myndigheter</t>
        </is>
      </c>
      <c r="G559" t="n">
        <v>0.8</v>
      </c>
      <c r="H559" t="n">
        <v>0</v>
      </c>
      <c r="I559" t="n">
        <v>0</v>
      </c>
      <c r="J559" t="n">
        <v>0</v>
      </c>
      <c r="K559" t="n">
        <v>0</v>
      </c>
      <c r="L559" t="n">
        <v>0</v>
      </c>
      <c r="M559" t="n">
        <v>0</v>
      </c>
      <c r="N559" t="n">
        <v>0</v>
      </c>
      <c r="O559" t="n">
        <v>0</v>
      </c>
      <c r="P559" t="n">
        <v>0</v>
      </c>
      <c r="Q559" t="n">
        <v>0</v>
      </c>
      <c r="R559" s="2" t="inlineStr"/>
    </row>
    <row r="560" ht="15" customHeight="1">
      <c r="A560" t="inlineStr">
        <is>
          <t>A 17-2025</t>
        </is>
      </c>
      <c r="B560" s="1" t="n">
        <v>45658.78774305555</v>
      </c>
      <c r="C560" s="1" t="n">
        <v>45964</v>
      </c>
      <c r="D560" t="inlineStr">
        <is>
          <t>KALMAR LÄN</t>
        </is>
      </c>
      <c r="E560" t="inlineStr">
        <is>
          <t>VIMMERBY</t>
        </is>
      </c>
      <c r="G560" t="n">
        <v>4.4</v>
      </c>
      <c r="H560" t="n">
        <v>0</v>
      </c>
      <c r="I560" t="n">
        <v>0</v>
      </c>
      <c r="J560" t="n">
        <v>0</v>
      </c>
      <c r="K560" t="n">
        <v>0</v>
      </c>
      <c r="L560" t="n">
        <v>0</v>
      </c>
      <c r="M560" t="n">
        <v>0</v>
      </c>
      <c r="N560" t="n">
        <v>0</v>
      </c>
      <c r="O560" t="n">
        <v>0</v>
      </c>
      <c r="P560" t="n">
        <v>0</v>
      </c>
      <c r="Q560" t="n">
        <v>0</v>
      </c>
      <c r="R560" s="2" t="inlineStr"/>
    </row>
    <row r="561" ht="15" customHeight="1">
      <c r="A561" t="inlineStr">
        <is>
          <t>A 32655-2023</t>
        </is>
      </c>
      <c r="B561" s="1" t="n">
        <v>45121.61318287037</v>
      </c>
      <c r="C561" s="1" t="n">
        <v>45964</v>
      </c>
      <c r="D561" t="inlineStr">
        <is>
          <t>KALMAR LÄN</t>
        </is>
      </c>
      <c r="E561" t="inlineStr">
        <is>
          <t>VIMMERBY</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63541-2023</t>
        </is>
      </c>
      <c r="B562" s="1" t="n">
        <v>45275.32266203704</v>
      </c>
      <c r="C562" s="1" t="n">
        <v>45964</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5074-2023</t>
        </is>
      </c>
      <c r="B563" s="1" t="n">
        <v>44958.61047453704</v>
      </c>
      <c r="C563" s="1" t="n">
        <v>45964</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51187-2023</t>
        </is>
      </c>
      <c r="B564" s="1" t="n">
        <v>45219.40528935185</v>
      </c>
      <c r="C564" s="1" t="n">
        <v>45964</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28034-2022</t>
        </is>
      </c>
      <c r="B565" s="1" t="n">
        <v>44746.38834490741</v>
      </c>
      <c r="C565" s="1" t="n">
        <v>45964</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15715-2022</t>
        </is>
      </c>
      <c r="B566" s="1" t="n">
        <v>44663</v>
      </c>
      <c r="C566" s="1" t="n">
        <v>45964</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5938-2022</t>
        </is>
      </c>
      <c r="B567" s="1" t="n">
        <v>44598</v>
      </c>
      <c r="C567" s="1" t="n">
        <v>45964</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43093-2024</t>
        </is>
      </c>
      <c r="B568" s="1" t="n">
        <v>45567</v>
      </c>
      <c r="C568" s="1" t="n">
        <v>45964</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56022-2024</t>
        </is>
      </c>
      <c r="B569" s="1" t="n">
        <v>45623.95947916667</v>
      </c>
      <c r="C569" s="1" t="n">
        <v>45964</v>
      </c>
      <c r="D569" t="inlineStr">
        <is>
          <t>KALMAR LÄN</t>
        </is>
      </c>
      <c r="E569" t="inlineStr">
        <is>
          <t>VIMMERBY</t>
        </is>
      </c>
      <c r="G569" t="n">
        <v>0.3</v>
      </c>
      <c r="H569" t="n">
        <v>0</v>
      </c>
      <c r="I569" t="n">
        <v>0</v>
      </c>
      <c r="J569" t="n">
        <v>0</v>
      </c>
      <c r="K569" t="n">
        <v>0</v>
      </c>
      <c r="L569" t="n">
        <v>0</v>
      </c>
      <c r="M569" t="n">
        <v>0</v>
      </c>
      <c r="N569" t="n">
        <v>0</v>
      </c>
      <c r="O569" t="n">
        <v>0</v>
      </c>
      <c r="P569" t="n">
        <v>0</v>
      </c>
      <c r="Q569" t="n">
        <v>0</v>
      </c>
      <c r="R569" s="2" t="inlineStr"/>
    </row>
    <row r="570" ht="15" customHeight="1">
      <c r="A570" t="inlineStr">
        <is>
          <t>A 24283-2023</t>
        </is>
      </c>
      <c r="B570" s="1" t="n">
        <v>45079.87827546296</v>
      </c>
      <c r="C570" s="1" t="n">
        <v>45964</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18330-2023</t>
        </is>
      </c>
      <c r="B571" s="1" t="n">
        <v>45041</v>
      </c>
      <c r="C571" s="1" t="n">
        <v>45964</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44579.62225694444</v>
      </c>
      <c r="C572" s="1" t="n">
        <v>45964</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60228-2021</t>
        </is>
      </c>
      <c r="B573" s="1" t="n">
        <v>44495</v>
      </c>
      <c r="C573" s="1" t="n">
        <v>45964</v>
      </c>
      <c r="D573" t="inlineStr">
        <is>
          <t>KALMAR LÄN</t>
        </is>
      </c>
      <c r="E573" t="inlineStr">
        <is>
          <t>VIMMERBY</t>
        </is>
      </c>
      <c r="G573" t="n">
        <v>4.1</v>
      </c>
      <c r="H573" t="n">
        <v>0</v>
      </c>
      <c r="I573" t="n">
        <v>0</v>
      </c>
      <c r="J573" t="n">
        <v>0</v>
      </c>
      <c r="K573" t="n">
        <v>0</v>
      </c>
      <c r="L573" t="n">
        <v>0</v>
      </c>
      <c r="M573" t="n">
        <v>0</v>
      </c>
      <c r="N573" t="n">
        <v>0</v>
      </c>
      <c r="O573" t="n">
        <v>0</v>
      </c>
      <c r="P573" t="n">
        <v>0</v>
      </c>
      <c r="Q573" t="n">
        <v>0</v>
      </c>
      <c r="R573" s="2" t="inlineStr"/>
    </row>
    <row r="574" ht="15" customHeight="1">
      <c r="A574" t="inlineStr">
        <is>
          <t>A 20126-2024</t>
        </is>
      </c>
      <c r="B574" s="1" t="n">
        <v>45434.55471064815</v>
      </c>
      <c r="C574" s="1" t="n">
        <v>45964</v>
      </c>
      <c r="D574" t="inlineStr">
        <is>
          <t>KALMAR LÄN</t>
        </is>
      </c>
      <c r="E574" t="inlineStr">
        <is>
          <t>VIMMERBY</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20136-2024</t>
        </is>
      </c>
      <c r="B575" s="1" t="n">
        <v>45434.56291666667</v>
      </c>
      <c r="C575" s="1" t="n">
        <v>45964</v>
      </c>
      <c r="D575" t="inlineStr">
        <is>
          <t>KALMAR LÄN</t>
        </is>
      </c>
      <c r="E575" t="inlineStr">
        <is>
          <t>VIMMERBY</t>
        </is>
      </c>
      <c r="F575" t="inlineStr">
        <is>
          <t>Sveaskog</t>
        </is>
      </c>
      <c r="G575" t="n">
        <v>8.4</v>
      </c>
      <c r="H575" t="n">
        <v>0</v>
      </c>
      <c r="I575" t="n">
        <v>0</v>
      </c>
      <c r="J575" t="n">
        <v>0</v>
      </c>
      <c r="K575" t="n">
        <v>0</v>
      </c>
      <c r="L575" t="n">
        <v>0</v>
      </c>
      <c r="M575" t="n">
        <v>0</v>
      </c>
      <c r="N575" t="n">
        <v>0</v>
      </c>
      <c r="O575" t="n">
        <v>0</v>
      </c>
      <c r="P575" t="n">
        <v>0</v>
      </c>
      <c r="Q575" t="n">
        <v>0</v>
      </c>
      <c r="R575" s="2" t="inlineStr"/>
    </row>
    <row r="576" ht="15" customHeight="1">
      <c r="A576" t="inlineStr">
        <is>
          <t>A 25979-2023</t>
        </is>
      </c>
      <c r="B576" s="1" t="n">
        <v>45090.89653935185</v>
      </c>
      <c r="C576" s="1" t="n">
        <v>45964</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25980-2023</t>
        </is>
      </c>
      <c r="B577" s="1" t="n">
        <v>45090.89880787037</v>
      </c>
      <c r="C577" s="1" t="n">
        <v>45964</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12510-2022</t>
        </is>
      </c>
      <c r="B578" s="1" t="n">
        <v>44638.55256944444</v>
      </c>
      <c r="C578" s="1" t="n">
        <v>45964</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45964</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46921-2023</t>
        </is>
      </c>
      <c r="B580" s="1" t="n">
        <v>45201.39996527778</v>
      </c>
      <c r="C580" s="1" t="n">
        <v>45964</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25236-2023</t>
        </is>
      </c>
      <c r="B581" s="1" t="n">
        <v>45086.63334490741</v>
      </c>
      <c r="C581" s="1" t="n">
        <v>45964</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48373-2021</t>
        </is>
      </c>
      <c r="B582" s="1" t="n">
        <v>44451</v>
      </c>
      <c r="C582" s="1" t="n">
        <v>45964</v>
      </c>
      <c r="D582" t="inlineStr">
        <is>
          <t>KALMAR LÄN</t>
        </is>
      </c>
      <c r="E582" t="inlineStr">
        <is>
          <t>VIMMERBY</t>
        </is>
      </c>
      <c r="G582" t="n">
        <v>2.2</v>
      </c>
      <c r="H582" t="n">
        <v>0</v>
      </c>
      <c r="I582" t="n">
        <v>0</v>
      </c>
      <c r="J582" t="n">
        <v>0</v>
      </c>
      <c r="K582" t="n">
        <v>0</v>
      </c>
      <c r="L582" t="n">
        <v>0</v>
      </c>
      <c r="M582" t="n">
        <v>0</v>
      </c>
      <c r="N582" t="n">
        <v>0</v>
      </c>
      <c r="O582" t="n">
        <v>0</v>
      </c>
      <c r="P582" t="n">
        <v>0</v>
      </c>
      <c r="Q582" t="n">
        <v>0</v>
      </c>
      <c r="R582" s="2" t="inlineStr"/>
    </row>
    <row r="583" ht="15" customHeight="1">
      <c r="A583" t="inlineStr">
        <is>
          <t>A 6082-2022</t>
        </is>
      </c>
      <c r="B583" s="1" t="n">
        <v>44599</v>
      </c>
      <c r="C583" s="1" t="n">
        <v>45964</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2801-2023</t>
        </is>
      </c>
      <c r="B584" s="1" t="n">
        <v>44944.73487268519</v>
      </c>
      <c r="C584" s="1" t="n">
        <v>45964</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28286-2025</t>
        </is>
      </c>
      <c r="B585" s="1" t="n">
        <v>45818.58993055556</v>
      </c>
      <c r="C585" s="1" t="n">
        <v>45964</v>
      </c>
      <c r="D585" t="inlineStr">
        <is>
          <t>KALMAR LÄN</t>
        </is>
      </c>
      <c r="E585" t="inlineStr">
        <is>
          <t>VIMMERBY</t>
        </is>
      </c>
      <c r="F585" t="inlineStr">
        <is>
          <t>Sveaskog</t>
        </is>
      </c>
      <c r="G585" t="n">
        <v>8</v>
      </c>
      <c r="H585" t="n">
        <v>0</v>
      </c>
      <c r="I585" t="n">
        <v>0</v>
      </c>
      <c r="J585" t="n">
        <v>0</v>
      </c>
      <c r="K585" t="n">
        <v>0</v>
      </c>
      <c r="L585" t="n">
        <v>0</v>
      </c>
      <c r="M585" t="n">
        <v>0</v>
      </c>
      <c r="N585" t="n">
        <v>0</v>
      </c>
      <c r="O585" t="n">
        <v>0</v>
      </c>
      <c r="P585" t="n">
        <v>0</v>
      </c>
      <c r="Q585" t="n">
        <v>0</v>
      </c>
      <c r="R585" s="2" t="inlineStr"/>
    </row>
    <row r="586" ht="15" customHeight="1">
      <c r="A586" t="inlineStr">
        <is>
          <t>A 28282-2025</t>
        </is>
      </c>
      <c r="B586" s="1" t="n">
        <v>45818.58769675926</v>
      </c>
      <c r="C586" s="1" t="n">
        <v>45964</v>
      </c>
      <c r="D586" t="inlineStr">
        <is>
          <t>KALMAR LÄN</t>
        </is>
      </c>
      <c r="E586" t="inlineStr">
        <is>
          <t>VIMMERBY</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28294-2025</t>
        </is>
      </c>
      <c r="B587" s="1" t="n">
        <v>45818.595625</v>
      </c>
      <c r="C587" s="1" t="n">
        <v>45964</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5146-2024</t>
        </is>
      </c>
      <c r="B588" s="1" t="n">
        <v>45330</v>
      </c>
      <c r="C588" s="1" t="n">
        <v>45964</v>
      </c>
      <c r="D588" t="inlineStr">
        <is>
          <t>KALMAR LÄN</t>
        </is>
      </c>
      <c r="E588" t="inlineStr">
        <is>
          <t>VIMMERBY</t>
        </is>
      </c>
      <c r="G588" t="n">
        <v>5.3</v>
      </c>
      <c r="H588" t="n">
        <v>0</v>
      </c>
      <c r="I588" t="n">
        <v>0</v>
      </c>
      <c r="J588" t="n">
        <v>0</v>
      </c>
      <c r="K588" t="n">
        <v>0</v>
      </c>
      <c r="L588" t="n">
        <v>0</v>
      </c>
      <c r="M588" t="n">
        <v>0</v>
      </c>
      <c r="N588" t="n">
        <v>0</v>
      </c>
      <c r="O588" t="n">
        <v>0</v>
      </c>
      <c r="P588" t="n">
        <v>0</v>
      </c>
      <c r="Q588" t="n">
        <v>0</v>
      </c>
      <c r="R588" s="2" t="inlineStr"/>
    </row>
    <row r="589" ht="15" customHeight="1">
      <c r="A589" t="inlineStr">
        <is>
          <t>A 5148-2024</t>
        </is>
      </c>
      <c r="B589" s="1" t="n">
        <v>45330</v>
      </c>
      <c r="C589" s="1" t="n">
        <v>45964</v>
      </c>
      <c r="D589" t="inlineStr">
        <is>
          <t>KALMAR LÄN</t>
        </is>
      </c>
      <c r="E589" t="inlineStr">
        <is>
          <t>VIMMERBY</t>
        </is>
      </c>
      <c r="G589" t="n">
        <v>5.6</v>
      </c>
      <c r="H589" t="n">
        <v>0</v>
      </c>
      <c r="I589" t="n">
        <v>0</v>
      </c>
      <c r="J589" t="n">
        <v>0</v>
      </c>
      <c r="K589" t="n">
        <v>0</v>
      </c>
      <c r="L589" t="n">
        <v>0</v>
      </c>
      <c r="M589" t="n">
        <v>0</v>
      </c>
      <c r="N589" t="n">
        <v>0</v>
      </c>
      <c r="O589" t="n">
        <v>0</v>
      </c>
      <c r="P589" t="n">
        <v>0</v>
      </c>
      <c r="Q589" t="n">
        <v>0</v>
      </c>
      <c r="R589" s="2" t="inlineStr"/>
    </row>
    <row r="590" ht="15" customHeight="1">
      <c r="A590" t="inlineStr">
        <is>
          <t>A 28290-2025</t>
        </is>
      </c>
      <c r="B590" s="1" t="n">
        <v>45818.59261574074</v>
      </c>
      <c r="C590" s="1" t="n">
        <v>45964</v>
      </c>
      <c r="D590" t="inlineStr">
        <is>
          <t>KALMAR LÄN</t>
        </is>
      </c>
      <c r="E590" t="inlineStr">
        <is>
          <t>VIMMERBY</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28280-2025</t>
        </is>
      </c>
      <c r="B591" s="1" t="n">
        <v>45818.5862037037</v>
      </c>
      <c r="C591" s="1" t="n">
        <v>45964</v>
      </c>
      <c r="D591" t="inlineStr">
        <is>
          <t>KALMAR LÄN</t>
        </is>
      </c>
      <c r="E591" t="inlineStr">
        <is>
          <t>VIMMERBY</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57256-2023</t>
        </is>
      </c>
      <c r="B592" s="1" t="n">
        <v>45245.5735300926</v>
      </c>
      <c r="C592" s="1" t="n">
        <v>45964</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17482-2024</t>
        </is>
      </c>
      <c r="B593" s="1" t="n">
        <v>45415.47848379629</v>
      </c>
      <c r="C593" s="1" t="n">
        <v>45964</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28620-2025</t>
        </is>
      </c>
      <c r="B594" s="1" t="n">
        <v>45819.61060185185</v>
      </c>
      <c r="C594" s="1" t="n">
        <v>45964</v>
      </c>
      <c r="D594" t="inlineStr">
        <is>
          <t>KALMAR LÄN</t>
        </is>
      </c>
      <c r="E594" t="inlineStr">
        <is>
          <t>VIMMERBY</t>
        </is>
      </c>
      <c r="G594" t="n">
        <v>5.6</v>
      </c>
      <c r="H594" t="n">
        <v>0</v>
      </c>
      <c r="I594" t="n">
        <v>0</v>
      </c>
      <c r="J594" t="n">
        <v>0</v>
      </c>
      <c r="K594" t="n">
        <v>0</v>
      </c>
      <c r="L594" t="n">
        <v>0</v>
      </c>
      <c r="M594" t="n">
        <v>0</v>
      </c>
      <c r="N594" t="n">
        <v>0</v>
      </c>
      <c r="O594" t="n">
        <v>0</v>
      </c>
      <c r="P594" t="n">
        <v>0</v>
      </c>
      <c r="Q594" t="n">
        <v>0</v>
      </c>
      <c r="R594" s="2" t="inlineStr"/>
    </row>
    <row r="595" ht="15" customHeight="1">
      <c r="A595" t="inlineStr">
        <is>
          <t>A 58278-2023</t>
        </is>
      </c>
      <c r="B595" s="1" t="n">
        <v>45250.5278587963</v>
      </c>
      <c r="C595" s="1" t="n">
        <v>45964</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22266-2023</t>
        </is>
      </c>
      <c r="B596" s="1" t="n">
        <v>45070</v>
      </c>
      <c r="C596" s="1" t="n">
        <v>45964</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52588-2023</t>
        </is>
      </c>
      <c r="B597" s="1" t="n">
        <v>45225.60192129629</v>
      </c>
      <c r="C597" s="1" t="n">
        <v>45964</v>
      </c>
      <c r="D597" t="inlineStr">
        <is>
          <t>KALMAR LÄN</t>
        </is>
      </c>
      <c r="E597" t="inlineStr">
        <is>
          <t>VIMMERBY</t>
        </is>
      </c>
      <c r="G597" t="n">
        <v>2.9</v>
      </c>
      <c r="H597" t="n">
        <v>0</v>
      </c>
      <c r="I597" t="n">
        <v>0</v>
      </c>
      <c r="J597" t="n">
        <v>0</v>
      </c>
      <c r="K597" t="n">
        <v>0</v>
      </c>
      <c r="L597" t="n">
        <v>0</v>
      </c>
      <c r="M597" t="n">
        <v>0</v>
      </c>
      <c r="N597" t="n">
        <v>0</v>
      </c>
      <c r="O597" t="n">
        <v>0</v>
      </c>
      <c r="P597" t="n">
        <v>0</v>
      </c>
      <c r="Q597" t="n">
        <v>0</v>
      </c>
      <c r="R597" s="2" t="inlineStr"/>
    </row>
    <row r="598" ht="15" customHeight="1">
      <c r="A598" t="inlineStr">
        <is>
          <t>A 55123-2024</t>
        </is>
      </c>
      <c r="B598" s="1" t="n">
        <v>45621.46103009259</v>
      </c>
      <c r="C598" s="1" t="n">
        <v>45964</v>
      </c>
      <c r="D598" t="inlineStr">
        <is>
          <t>KALMAR LÄN</t>
        </is>
      </c>
      <c r="E598" t="inlineStr">
        <is>
          <t>VIMMERBY</t>
        </is>
      </c>
      <c r="G598" t="n">
        <v>3.1</v>
      </c>
      <c r="H598" t="n">
        <v>0</v>
      </c>
      <c r="I598" t="n">
        <v>0</v>
      </c>
      <c r="J598" t="n">
        <v>0</v>
      </c>
      <c r="K598" t="n">
        <v>0</v>
      </c>
      <c r="L598" t="n">
        <v>0</v>
      </c>
      <c r="M598" t="n">
        <v>0</v>
      </c>
      <c r="N598" t="n">
        <v>0</v>
      </c>
      <c r="O598" t="n">
        <v>0</v>
      </c>
      <c r="P598" t="n">
        <v>0</v>
      </c>
      <c r="Q598" t="n">
        <v>0</v>
      </c>
      <c r="R598" s="2" t="inlineStr"/>
    </row>
    <row r="599" ht="15" customHeight="1">
      <c r="A599" t="inlineStr">
        <is>
          <t>A 6802-2025</t>
        </is>
      </c>
      <c r="B599" s="1" t="n">
        <v>45700.68289351852</v>
      </c>
      <c r="C599" s="1" t="n">
        <v>45964</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49313-2022</t>
        </is>
      </c>
      <c r="B600" s="1" t="n">
        <v>44861.52505787037</v>
      </c>
      <c r="C600" s="1" t="n">
        <v>45964</v>
      </c>
      <c r="D600" t="inlineStr">
        <is>
          <t>KALMAR LÄN</t>
        </is>
      </c>
      <c r="E600" t="inlineStr">
        <is>
          <t>VIMMERBY</t>
        </is>
      </c>
      <c r="G600" t="n">
        <v>1.9</v>
      </c>
      <c r="H600" t="n">
        <v>0</v>
      </c>
      <c r="I600" t="n">
        <v>0</v>
      </c>
      <c r="J600" t="n">
        <v>0</v>
      </c>
      <c r="K600" t="n">
        <v>0</v>
      </c>
      <c r="L600" t="n">
        <v>0</v>
      </c>
      <c r="M600" t="n">
        <v>0</v>
      </c>
      <c r="N600" t="n">
        <v>0</v>
      </c>
      <c r="O600" t="n">
        <v>0</v>
      </c>
      <c r="P600" t="n">
        <v>0</v>
      </c>
      <c r="Q600" t="n">
        <v>0</v>
      </c>
      <c r="R600" s="2" t="inlineStr"/>
    </row>
    <row r="601" ht="15" customHeight="1">
      <c r="A601" t="inlineStr">
        <is>
          <t>A 71793-2021</t>
        </is>
      </c>
      <c r="B601" s="1" t="n">
        <v>44539</v>
      </c>
      <c r="C601" s="1" t="n">
        <v>45964</v>
      </c>
      <c r="D601" t="inlineStr">
        <is>
          <t>KALMAR LÄN</t>
        </is>
      </c>
      <c r="E601" t="inlineStr">
        <is>
          <t>VIMMERBY</t>
        </is>
      </c>
      <c r="G601" t="n">
        <v>2.7</v>
      </c>
      <c r="H601" t="n">
        <v>0</v>
      </c>
      <c r="I601" t="n">
        <v>0</v>
      </c>
      <c r="J601" t="n">
        <v>0</v>
      </c>
      <c r="K601" t="n">
        <v>0</v>
      </c>
      <c r="L601" t="n">
        <v>0</v>
      </c>
      <c r="M601" t="n">
        <v>0</v>
      </c>
      <c r="N601" t="n">
        <v>0</v>
      </c>
      <c r="O601" t="n">
        <v>0</v>
      </c>
      <c r="P601" t="n">
        <v>0</v>
      </c>
      <c r="Q601" t="n">
        <v>0</v>
      </c>
      <c r="R601" s="2" t="inlineStr"/>
    </row>
    <row r="602" ht="15" customHeight="1">
      <c r="A602" t="inlineStr">
        <is>
          <t>A 1987-2024</t>
        </is>
      </c>
      <c r="B602" s="1" t="n">
        <v>45308.61152777778</v>
      </c>
      <c r="C602" s="1" t="n">
        <v>45964</v>
      </c>
      <c r="D602" t="inlineStr">
        <is>
          <t>KALMAR LÄN</t>
        </is>
      </c>
      <c r="E602" t="inlineStr">
        <is>
          <t>VIMMERBY</t>
        </is>
      </c>
      <c r="G602" t="n">
        <v>3</v>
      </c>
      <c r="H602" t="n">
        <v>0</v>
      </c>
      <c r="I602" t="n">
        <v>0</v>
      </c>
      <c r="J602" t="n">
        <v>0</v>
      </c>
      <c r="K602" t="n">
        <v>0</v>
      </c>
      <c r="L602" t="n">
        <v>0</v>
      </c>
      <c r="M602" t="n">
        <v>0</v>
      </c>
      <c r="N602" t="n">
        <v>0</v>
      </c>
      <c r="O602" t="n">
        <v>0</v>
      </c>
      <c r="P602" t="n">
        <v>0</v>
      </c>
      <c r="Q602" t="n">
        <v>0</v>
      </c>
      <c r="R602" s="2" t="inlineStr"/>
    </row>
    <row r="603" ht="15" customHeight="1">
      <c r="A603" t="inlineStr">
        <is>
          <t>A 28712-2025</t>
        </is>
      </c>
      <c r="B603" s="1" t="n">
        <v>45820.33708333333</v>
      </c>
      <c r="C603" s="1" t="n">
        <v>45964</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28714-2025</t>
        </is>
      </c>
      <c r="B604" s="1" t="n">
        <v>45820.34128472222</v>
      </c>
      <c r="C604" s="1" t="n">
        <v>45964</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527-2024</t>
        </is>
      </c>
      <c r="B605" s="1" t="n">
        <v>45299.47513888889</v>
      </c>
      <c r="C605" s="1" t="n">
        <v>45964</v>
      </c>
      <c r="D605" t="inlineStr">
        <is>
          <t>KALMAR LÄN</t>
        </is>
      </c>
      <c r="E605" t="inlineStr">
        <is>
          <t>VIMMERBY</t>
        </is>
      </c>
      <c r="G605" t="n">
        <v>2.2</v>
      </c>
      <c r="H605" t="n">
        <v>0</v>
      </c>
      <c r="I605" t="n">
        <v>0</v>
      </c>
      <c r="J605" t="n">
        <v>0</v>
      </c>
      <c r="K605" t="n">
        <v>0</v>
      </c>
      <c r="L605" t="n">
        <v>0</v>
      </c>
      <c r="M605" t="n">
        <v>0</v>
      </c>
      <c r="N605" t="n">
        <v>0</v>
      </c>
      <c r="O605" t="n">
        <v>0</v>
      </c>
      <c r="P605" t="n">
        <v>0</v>
      </c>
      <c r="Q605" t="n">
        <v>0</v>
      </c>
      <c r="R605" s="2" t="inlineStr"/>
    </row>
    <row r="606" ht="15" customHeight="1">
      <c r="A606" t="inlineStr">
        <is>
          <t>A 21507-2023</t>
        </is>
      </c>
      <c r="B606" s="1" t="n">
        <v>45063.508125</v>
      </c>
      <c r="C606" s="1" t="n">
        <v>45964</v>
      </c>
      <c r="D606" t="inlineStr">
        <is>
          <t>KALMAR LÄN</t>
        </is>
      </c>
      <c r="E606" t="inlineStr">
        <is>
          <t>VIMMERBY</t>
        </is>
      </c>
      <c r="G606" t="n">
        <v>2.8</v>
      </c>
      <c r="H606" t="n">
        <v>0</v>
      </c>
      <c r="I606" t="n">
        <v>0</v>
      </c>
      <c r="J606" t="n">
        <v>0</v>
      </c>
      <c r="K606" t="n">
        <v>0</v>
      </c>
      <c r="L606" t="n">
        <v>0</v>
      </c>
      <c r="M606" t="n">
        <v>0</v>
      </c>
      <c r="N606" t="n">
        <v>0</v>
      </c>
      <c r="O606" t="n">
        <v>0</v>
      </c>
      <c r="P606" t="n">
        <v>0</v>
      </c>
      <c r="Q606" t="n">
        <v>0</v>
      </c>
      <c r="R606" s="2" t="inlineStr"/>
    </row>
    <row r="607" ht="15" customHeight="1">
      <c r="A607" t="inlineStr">
        <is>
          <t>A 57189-2022</t>
        </is>
      </c>
      <c r="B607" s="1" t="n">
        <v>44895.62296296296</v>
      </c>
      <c r="C607" s="1" t="n">
        <v>45964</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60230-2022</t>
        </is>
      </c>
      <c r="B608" s="1" t="n">
        <v>44910</v>
      </c>
      <c r="C608" s="1" t="n">
        <v>45964</v>
      </c>
      <c r="D608" t="inlineStr">
        <is>
          <t>KALMAR LÄN</t>
        </is>
      </c>
      <c r="E608" t="inlineStr">
        <is>
          <t>VIMMERBY</t>
        </is>
      </c>
      <c r="G608" t="n">
        <v>11.3</v>
      </c>
      <c r="H608" t="n">
        <v>0</v>
      </c>
      <c r="I608" t="n">
        <v>0</v>
      </c>
      <c r="J608" t="n">
        <v>0</v>
      </c>
      <c r="K608" t="n">
        <v>0</v>
      </c>
      <c r="L608" t="n">
        <v>0</v>
      </c>
      <c r="M608" t="n">
        <v>0</v>
      </c>
      <c r="N608" t="n">
        <v>0</v>
      </c>
      <c r="O608" t="n">
        <v>0</v>
      </c>
      <c r="P608" t="n">
        <v>0</v>
      </c>
      <c r="Q608" t="n">
        <v>0</v>
      </c>
      <c r="R608" s="2" t="inlineStr"/>
    </row>
    <row r="609" ht="15" customHeight="1">
      <c r="A609" t="inlineStr">
        <is>
          <t>A 48673-2021</t>
        </is>
      </c>
      <c r="B609" s="1" t="n">
        <v>44452</v>
      </c>
      <c r="C609" s="1" t="n">
        <v>45964</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28713-2025</t>
        </is>
      </c>
      <c r="B610" s="1" t="n">
        <v>45820.33930555556</v>
      </c>
      <c r="C610" s="1" t="n">
        <v>45964</v>
      </c>
      <c r="D610" t="inlineStr">
        <is>
          <t>KALMAR LÄN</t>
        </is>
      </c>
      <c r="E610" t="inlineStr">
        <is>
          <t>VIMMERBY</t>
        </is>
      </c>
      <c r="G610" t="n">
        <v>2.3</v>
      </c>
      <c r="H610" t="n">
        <v>0</v>
      </c>
      <c r="I610" t="n">
        <v>0</v>
      </c>
      <c r="J610" t="n">
        <v>0</v>
      </c>
      <c r="K610" t="n">
        <v>0</v>
      </c>
      <c r="L610" t="n">
        <v>0</v>
      </c>
      <c r="M610" t="n">
        <v>0</v>
      </c>
      <c r="N610" t="n">
        <v>0</v>
      </c>
      <c r="O610" t="n">
        <v>0</v>
      </c>
      <c r="P610" t="n">
        <v>0</v>
      </c>
      <c r="Q610" t="n">
        <v>0</v>
      </c>
      <c r="R610" s="2" t="inlineStr"/>
    </row>
    <row r="611" ht="15" customHeight="1">
      <c r="A611" t="inlineStr">
        <is>
          <t>A 14248-2023</t>
        </is>
      </c>
      <c r="B611" s="1" t="n">
        <v>45009</v>
      </c>
      <c r="C611" s="1" t="n">
        <v>45964</v>
      </c>
      <c r="D611" t="inlineStr">
        <is>
          <t>KALMAR LÄN</t>
        </is>
      </c>
      <c r="E611" t="inlineStr">
        <is>
          <t>VIMMERBY</t>
        </is>
      </c>
      <c r="G611" t="n">
        <v>2.6</v>
      </c>
      <c r="H611" t="n">
        <v>0</v>
      </c>
      <c r="I611" t="n">
        <v>0</v>
      </c>
      <c r="J611" t="n">
        <v>0</v>
      </c>
      <c r="K611" t="n">
        <v>0</v>
      </c>
      <c r="L611" t="n">
        <v>0</v>
      </c>
      <c r="M611" t="n">
        <v>0</v>
      </c>
      <c r="N611" t="n">
        <v>0</v>
      </c>
      <c r="O611" t="n">
        <v>0</v>
      </c>
      <c r="P611" t="n">
        <v>0</v>
      </c>
      <c r="Q611" t="n">
        <v>0</v>
      </c>
      <c r="R611" s="2" t="inlineStr"/>
    </row>
    <row r="612" ht="15" customHeight="1">
      <c r="A612" t="inlineStr">
        <is>
          <t>A 12480-2024</t>
        </is>
      </c>
      <c r="B612" s="1" t="n">
        <v>45379</v>
      </c>
      <c r="C612" s="1" t="n">
        <v>45964</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5925-2022</t>
        </is>
      </c>
      <c r="B613" s="1" t="n">
        <v>44598.7384837963</v>
      </c>
      <c r="C613" s="1" t="n">
        <v>45964</v>
      </c>
      <c r="D613" t="inlineStr">
        <is>
          <t>KALMAR LÄN</t>
        </is>
      </c>
      <c r="E613" t="inlineStr">
        <is>
          <t>VIMMERBY</t>
        </is>
      </c>
      <c r="G613" t="n">
        <v>2.1</v>
      </c>
      <c r="H613" t="n">
        <v>0</v>
      </c>
      <c r="I613" t="n">
        <v>0</v>
      </c>
      <c r="J613" t="n">
        <v>0</v>
      </c>
      <c r="K613" t="n">
        <v>0</v>
      </c>
      <c r="L613" t="n">
        <v>0</v>
      </c>
      <c r="M613" t="n">
        <v>0</v>
      </c>
      <c r="N613" t="n">
        <v>0</v>
      </c>
      <c r="O613" t="n">
        <v>0</v>
      </c>
      <c r="P613" t="n">
        <v>0</v>
      </c>
      <c r="Q613" t="n">
        <v>0</v>
      </c>
      <c r="R613" s="2" t="inlineStr"/>
    </row>
    <row r="614" ht="15" customHeight="1">
      <c r="A614" t="inlineStr">
        <is>
          <t>A 29737-2025</t>
        </is>
      </c>
      <c r="B614" s="1" t="n">
        <v>45825.58672453704</v>
      </c>
      <c r="C614" s="1" t="n">
        <v>45964</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46522-2022</t>
        </is>
      </c>
      <c r="B615" s="1" t="n">
        <v>44848.59133101852</v>
      </c>
      <c r="C615" s="1" t="n">
        <v>45964</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38964-2025</t>
        </is>
      </c>
      <c r="B616" s="1" t="n">
        <v>45887.68759259259</v>
      </c>
      <c r="C616" s="1" t="n">
        <v>45964</v>
      </c>
      <c r="D616" t="inlineStr">
        <is>
          <t>KALMAR LÄN</t>
        </is>
      </c>
      <c r="E616" t="inlineStr">
        <is>
          <t>VIMMERBY</t>
        </is>
      </c>
      <c r="G616" t="n">
        <v>7.5</v>
      </c>
      <c r="H616" t="n">
        <v>0</v>
      </c>
      <c r="I616" t="n">
        <v>0</v>
      </c>
      <c r="J616" t="n">
        <v>0</v>
      </c>
      <c r="K616" t="n">
        <v>0</v>
      </c>
      <c r="L616" t="n">
        <v>0</v>
      </c>
      <c r="M616" t="n">
        <v>0</v>
      </c>
      <c r="N616" t="n">
        <v>0</v>
      </c>
      <c r="O616" t="n">
        <v>0</v>
      </c>
      <c r="P616" t="n">
        <v>0</v>
      </c>
      <c r="Q616" t="n">
        <v>0</v>
      </c>
      <c r="R616" s="2" t="inlineStr"/>
    </row>
    <row r="617" ht="15" customHeight="1">
      <c r="A617" t="inlineStr">
        <is>
          <t>A 29727-2025</t>
        </is>
      </c>
      <c r="B617" s="1" t="n">
        <v>45825.5796875</v>
      </c>
      <c r="C617" s="1" t="n">
        <v>45964</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40095-2022</t>
        </is>
      </c>
      <c r="B618" s="1" t="n">
        <v>44820</v>
      </c>
      <c r="C618" s="1" t="n">
        <v>45964</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41066-2024</t>
        </is>
      </c>
      <c r="B619" s="1" t="n">
        <v>45559.38876157408</v>
      </c>
      <c r="C619" s="1" t="n">
        <v>45964</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45856-2025</t>
        </is>
      </c>
      <c r="B620" s="1" t="n">
        <v>45923</v>
      </c>
      <c r="C620" s="1" t="n">
        <v>45964</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50085-2023</t>
        </is>
      </c>
      <c r="B621" s="1" t="n">
        <v>45215.5959375</v>
      </c>
      <c r="C621" s="1" t="n">
        <v>45964</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50087-2023</t>
        </is>
      </c>
      <c r="B622" s="1" t="n">
        <v>45215.59743055556</v>
      </c>
      <c r="C622" s="1" t="n">
        <v>45964</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8167-2024</t>
        </is>
      </c>
      <c r="B623" s="1" t="n">
        <v>45351.6062962963</v>
      </c>
      <c r="C623" s="1" t="n">
        <v>45964</v>
      </c>
      <c r="D623" t="inlineStr">
        <is>
          <t>KALMAR LÄN</t>
        </is>
      </c>
      <c r="E623" t="inlineStr">
        <is>
          <t>VIMMERBY</t>
        </is>
      </c>
      <c r="G623" t="n">
        <v>3.8</v>
      </c>
      <c r="H623" t="n">
        <v>0</v>
      </c>
      <c r="I623" t="n">
        <v>0</v>
      </c>
      <c r="J623" t="n">
        <v>0</v>
      </c>
      <c r="K623" t="n">
        <v>0</v>
      </c>
      <c r="L623" t="n">
        <v>0</v>
      </c>
      <c r="M623" t="n">
        <v>0</v>
      </c>
      <c r="N623" t="n">
        <v>0</v>
      </c>
      <c r="O623" t="n">
        <v>0</v>
      </c>
      <c r="P623" t="n">
        <v>0</v>
      </c>
      <c r="Q623" t="n">
        <v>0</v>
      </c>
      <c r="R623" s="2" t="inlineStr"/>
    </row>
    <row r="624" ht="15" customHeight="1">
      <c r="A624" t="inlineStr">
        <is>
          <t>A 52279-2023</t>
        </is>
      </c>
      <c r="B624" s="1" t="n">
        <v>45224</v>
      </c>
      <c r="C624" s="1" t="n">
        <v>45964</v>
      </c>
      <c r="D624" t="inlineStr">
        <is>
          <t>KALMAR LÄN</t>
        </is>
      </c>
      <c r="E624" t="inlineStr">
        <is>
          <t>VIMMERBY</t>
        </is>
      </c>
      <c r="G624" t="n">
        <v>1.8</v>
      </c>
      <c r="H624" t="n">
        <v>0</v>
      </c>
      <c r="I624" t="n">
        <v>0</v>
      </c>
      <c r="J624" t="n">
        <v>0</v>
      </c>
      <c r="K624" t="n">
        <v>0</v>
      </c>
      <c r="L624" t="n">
        <v>0</v>
      </c>
      <c r="M624" t="n">
        <v>0</v>
      </c>
      <c r="N624" t="n">
        <v>0</v>
      </c>
      <c r="O624" t="n">
        <v>0</v>
      </c>
      <c r="P624" t="n">
        <v>0</v>
      </c>
      <c r="Q624" t="n">
        <v>0</v>
      </c>
      <c r="R624" s="2" t="inlineStr"/>
    </row>
    <row r="625" ht="15" customHeight="1">
      <c r="A625" t="inlineStr">
        <is>
          <t>A 17486-2024</t>
        </is>
      </c>
      <c r="B625" s="1" t="n">
        <v>45415.48979166667</v>
      </c>
      <c r="C625" s="1" t="n">
        <v>45964</v>
      </c>
      <c r="D625" t="inlineStr">
        <is>
          <t>KALMAR LÄN</t>
        </is>
      </c>
      <c r="E625" t="inlineStr">
        <is>
          <t>VIMMERBY</t>
        </is>
      </c>
      <c r="G625" t="n">
        <v>2.6</v>
      </c>
      <c r="H625" t="n">
        <v>0</v>
      </c>
      <c r="I625" t="n">
        <v>0</v>
      </c>
      <c r="J625" t="n">
        <v>0</v>
      </c>
      <c r="K625" t="n">
        <v>0</v>
      </c>
      <c r="L625" t="n">
        <v>0</v>
      </c>
      <c r="M625" t="n">
        <v>0</v>
      </c>
      <c r="N625" t="n">
        <v>0</v>
      </c>
      <c r="O625" t="n">
        <v>0</v>
      </c>
      <c r="P625" t="n">
        <v>0</v>
      </c>
      <c r="Q625" t="n">
        <v>0</v>
      </c>
      <c r="R625" s="2" t="inlineStr"/>
    </row>
    <row r="626" ht="15" customHeight="1">
      <c r="A626" t="inlineStr">
        <is>
          <t>A 71631-2021</t>
        </is>
      </c>
      <c r="B626" s="1" t="n">
        <v>44542.90072916666</v>
      </c>
      <c r="C626" s="1" t="n">
        <v>45964</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30293-2025</t>
        </is>
      </c>
      <c r="B627" s="1" t="n">
        <v>45827</v>
      </c>
      <c r="C627" s="1" t="n">
        <v>45964</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30290-2025</t>
        </is>
      </c>
      <c r="B628" s="1" t="n">
        <v>45827</v>
      </c>
      <c r="C628" s="1" t="n">
        <v>45964</v>
      </c>
      <c r="D628" t="inlineStr">
        <is>
          <t>KALMAR LÄN</t>
        </is>
      </c>
      <c r="E628" t="inlineStr">
        <is>
          <t>VIMMERBY</t>
        </is>
      </c>
      <c r="G628" t="n">
        <v>1</v>
      </c>
      <c r="H628" t="n">
        <v>0</v>
      </c>
      <c r="I628" t="n">
        <v>0</v>
      </c>
      <c r="J628" t="n">
        <v>0</v>
      </c>
      <c r="K628" t="n">
        <v>0</v>
      </c>
      <c r="L628" t="n">
        <v>0</v>
      </c>
      <c r="M628" t="n">
        <v>0</v>
      </c>
      <c r="N628" t="n">
        <v>0</v>
      </c>
      <c r="O628" t="n">
        <v>0</v>
      </c>
      <c r="P628" t="n">
        <v>0</v>
      </c>
      <c r="Q628" t="n">
        <v>0</v>
      </c>
      <c r="R628" s="2" t="inlineStr"/>
    </row>
    <row r="629" ht="15" customHeight="1">
      <c r="A629" t="inlineStr">
        <is>
          <t>A 2604-2025</t>
        </is>
      </c>
      <c r="B629" s="1" t="n">
        <v>45674.74094907408</v>
      </c>
      <c r="C629" s="1" t="n">
        <v>45964</v>
      </c>
      <c r="D629" t="inlineStr">
        <is>
          <t>KALMAR LÄN</t>
        </is>
      </c>
      <c r="E629" t="inlineStr">
        <is>
          <t>VIMMERBY</t>
        </is>
      </c>
      <c r="G629" t="n">
        <v>7.6</v>
      </c>
      <c r="H629" t="n">
        <v>0</v>
      </c>
      <c r="I629" t="n">
        <v>0</v>
      </c>
      <c r="J629" t="n">
        <v>0</v>
      </c>
      <c r="K629" t="n">
        <v>0</v>
      </c>
      <c r="L629" t="n">
        <v>0</v>
      </c>
      <c r="M629" t="n">
        <v>0</v>
      </c>
      <c r="N629" t="n">
        <v>0</v>
      </c>
      <c r="O629" t="n">
        <v>0</v>
      </c>
      <c r="P629" t="n">
        <v>0</v>
      </c>
      <c r="Q629" t="n">
        <v>0</v>
      </c>
      <c r="R629" s="2" t="inlineStr"/>
    </row>
    <row r="630" ht="15" customHeight="1">
      <c r="A630" t="inlineStr">
        <is>
          <t>A 16015-2025</t>
        </is>
      </c>
      <c r="B630" s="1" t="n">
        <v>45749.60487268519</v>
      </c>
      <c r="C630" s="1" t="n">
        <v>45964</v>
      </c>
      <c r="D630" t="inlineStr">
        <is>
          <t>KALMAR LÄN</t>
        </is>
      </c>
      <c r="E630" t="inlineStr">
        <is>
          <t>VIMMERBY</t>
        </is>
      </c>
      <c r="F630" t="inlineStr">
        <is>
          <t>Kyrkan</t>
        </is>
      </c>
      <c r="G630" t="n">
        <v>2.7</v>
      </c>
      <c r="H630" t="n">
        <v>0</v>
      </c>
      <c r="I630" t="n">
        <v>0</v>
      </c>
      <c r="J630" t="n">
        <v>0</v>
      </c>
      <c r="K630" t="n">
        <v>0</v>
      </c>
      <c r="L630" t="n">
        <v>0</v>
      </c>
      <c r="M630" t="n">
        <v>0</v>
      </c>
      <c r="N630" t="n">
        <v>0</v>
      </c>
      <c r="O630" t="n">
        <v>0</v>
      </c>
      <c r="P630" t="n">
        <v>0</v>
      </c>
      <c r="Q630" t="n">
        <v>0</v>
      </c>
      <c r="R630" s="2" t="inlineStr"/>
    </row>
    <row r="631" ht="15" customHeight="1">
      <c r="A631" t="inlineStr">
        <is>
          <t>A 9694-2023</t>
        </is>
      </c>
      <c r="B631" s="1" t="n">
        <v>44984.45895833334</v>
      </c>
      <c r="C631" s="1" t="n">
        <v>45964</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37192-2024</t>
        </is>
      </c>
      <c r="B632" s="1" t="n">
        <v>45539.66027777778</v>
      </c>
      <c r="C632" s="1" t="n">
        <v>45964</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30850-2025</t>
        </is>
      </c>
      <c r="B633" s="1" t="n">
        <v>45831</v>
      </c>
      <c r="C633" s="1" t="n">
        <v>45964</v>
      </c>
      <c r="D633" t="inlineStr">
        <is>
          <t>KALMAR LÄN</t>
        </is>
      </c>
      <c r="E633" t="inlineStr">
        <is>
          <t>VIMMERBY</t>
        </is>
      </c>
      <c r="G633" t="n">
        <v>2.7</v>
      </c>
      <c r="H633" t="n">
        <v>0</v>
      </c>
      <c r="I633" t="n">
        <v>0</v>
      </c>
      <c r="J633" t="n">
        <v>0</v>
      </c>
      <c r="K633" t="n">
        <v>0</v>
      </c>
      <c r="L633" t="n">
        <v>0</v>
      </c>
      <c r="M633" t="n">
        <v>0</v>
      </c>
      <c r="N633" t="n">
        <v>0</v>
      </c>
      <c r="O633" t="n">
        <v>0</v>
      </c>
      <c r="P633" t="n">
        <v>0</v>
      </c>
      <c r="Q633" t="n">
        <v>0</v>
      </c>
      <c r="R633" s="2" t="inlineStr"/>
    </row>
    <row r="634" ht="15" customHeight="1">
      <c r="A634" t="inlineStr">
        <is>
          <t>A 22198-2024</t>
        </is>
      </c>
      <c r="B634" s="1" t="n">
        <v>45446.36865740741</v>
      </c>
      <c r="C634" s="1" t="n">
        <v>45964</v>
      </c>
      <c r="D634" t="inlineStr">
        <is>
          <t>KALMAR LÄN</t>
        </is>
      </c>
      <c r="E634" t="inlineStr">
        <is>
          <t>VIMMERBY</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42429-2024</t>
        </is>
      </c>
      <c r="B635" s="1" t="n">
        <v>45565.40657407408</v>
      </c>
      <c r="C635" s="1" t="n">
        <v>45964</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57311-2023</t>
        </is>
      </c>
      <c r="B636" s="1" t="n">
        <v>45245.63574074074</v>
      </c>
      <c r="C636" s="1" t="n">
        <v>45964</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12588-2025</t>
        </is>
      </c>
      <c r="B637" s="1" t="n">
        <v>45732.76936342593</v>
      </c>
      <c r="C637" s="1" t="n">
        <v>45964</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29180-2024</t>
        </is>
      </c>
      <c r="B638" s="1" t="n">
        <v>45482.54108796296</v>
      </c>
      <c r="C638" s="1" t="n">
        <v>45964</v>
      </c>
      <c r="D638" t="inlineStr">
        <is>
          <t>KALMAR LÄN</t>
        </is>
      </c>
      <c r="E638" t="inlineStr">
        <is>
          <t>VIMMERBY</t>
        </is>
      </c>
      <c r="G638" t="n">
        <v>3.8</v>
      </c>
      <c r="H638" t="n">
        <v>0</v>
      </c>
      <c r="I638" t="n">
        <v>0</v>
      </c>
      <c r="J638" t="n">
        <v>0</v>
      </c>
      <c r="K638" t="n">
        <v>0</v>
      </c>
      <c r="L638" t="n">
        <v>0</v>
      </c>
      <c r="M638" t="n">
        <v>0</v>
      </c>
      <c r="N638" t="n">
        <v>0</v>
      </c>
      <c r="O638" t="n">
        <v>0</v>
      </c>
      <c r="P638" t="n">
        <v>0</v>
      </c>
      <c r="Q638" t="n">
        <v>0</v>
      </c>
      <c r="R638" s="2" t="inlineStr"/>
    </row>
    <row r="639" ht="15" customHeight="1">
      <c r="A639" t="inlineStr">
        <is>
          <t>A 7932-2025</t>
        </is>
      </c>
      <c r="B639" s="1" t="n">
        <v>45707.3793287037</v>
      </c>
      <c r="C639" s="1" t="n">
        <v>45964</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45846-2023</t>
        </is>
      </c>
      <c r="B640" s="1" t="n">
        <v>45195.58452546296</v>
      </c>
      <c r="C640" s="1" t="n">
        <v>45964</v>
      </c>
      <c r="D640" t="inlineStr">
        <is>
          <t>KALMAR LÄN</t>
        </is>
      </c>
      <c r="E640" t="inlineStr">
        <is>
          <t>VIMMERBY</t>
        </is>
      </c>
      <c r="G640" t="n">
        <v>0.7</v>
      </c>
      <c r="H640" t="n">
        <v>0</v>
      </c>
      <c r="I640" t="n">
        <v>0</v>
      </c>
      <c r="J640" t="n">
        <v>0</v>
      </c>
      <c r="K640" t="n">
        <v>0</v>
      </c>
      <c r="L640" t="n">
        <v>0</v>
      </c>
      <c r="M640" t="n">
        <v>0</v>
      </c>
      <c r="N640" t="n">
        <v>0</v>
      </c>
      <c r="O640" t="n">
        <v>0</v>
      </c>
      <c r="P640" t="n">
        <v>0</v>
      </c>
      <c r="Q640" t="n">
        <v>0</v>
      </c>
      <c r="R640" s="2" t="inlineStr"/>
    </row>
    <row r="641" ht="15" customHeight="1">
      <c r="A641" t="inlineStr">
        <is>
          <t>A 31552-2025</t>
        </is>
      </c>
      <c r="B641" s="1" t="n">
        <v>45833.64563657407</v>
      </c>
      <c r="C641" s="1" t="n">
        <v>45964</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31555-2025</t>
        </is>
      </c>
      <c r="B642" s="1" t="n">
        <v>45833.64814814815</v>
      </c>
      <c r="C642" s="1" t="n">
        <v>45964</v>
      </c>
      <c r="D642" t="inlineStr">
        <is>
          <t>KALMAR LÄN</t>
        </is>
      </c>
      <c r="E642" t="inlineStr">
        <is>
          <t>VIMMERBY</t>
        </is>
      </c>
      <c r="G642" t="n">
        <v>1.8</v>
      </c>
      <c r="H642" t="n">
        <v>0</v>
      </c>
      <c r="I642" t="n">
        <v>0</v>
      </c>
      <c r="J642" t="n">
        <v>0</v>
      </c>
      <c r="K642" t="n">
        <v>0</v>
      </c>
      <c r="L642" t="n">
        <v>0</v>
      </c>
      <c r="M642" t="n">
        <v>0</v>
      </c>
      <c r="N642" t="n">
        <v>0</v>
      </c>
      <c r="O642" t="n">
        <v>0</v>
      </c>
      <c r="P642" t="n">
        <v>0</v>
      </c>
      <c r="Q642" t="n">
        <v>0</v>
      </c>
      <c r="R642" s="2" t="inlineStr"/>
    </row>
    <row r="643" ht="15" customHeight="1">
      <c r="A643" t="inlineStr">
        <is>
          <t>A 16020-2023</t>
        </is>
      </c>
      <c r="B643" s="1" t="n">
        <v>45026.82216435186</v>
      </c>
      <c r="C643" s="1" t="n">
        <v>45964</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30971-2025</t>
        </is>
      </c>
      <c r="B644" s="1" t="n">
        <v>45832.46146990741</v>
      </c>
      <c r="C644" s="1" t="n">
        <v>45964</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31551-2025</t>
        </is>
      </c>
      <c r="B645" s="1" t="n">
        <v>45833.64237268519</v>
      </c>
      <c r="C645" s="1" t="n">
        <v>45964</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61820-2023</t>
        </is>
      </c>
      <c r="B646" s="1" t="n">
        <v>45266.32614583334</v>
      </c>
      <c r="C646" s="1" t="n">
        <v>45964</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30882-2025</t>
        </is>
      </c>
      <c r="B647" s="1" t="n">
        <v>45832.34540509259</v>
      </c>
      <c r="C647" s="1" t="n">
        <v>45964</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2121-2022</t>
        </is>
      </c>
      <c r="B648" s="1" t="n">
        <v>44578.32717592592</v>
      </c>
      <c r="C648" s="1" t="n">
        <v>45964</v>
      </c>
      <c r="D648" t="inlineStr">
        <is>
          <t>KALMAR LÄN</t>
        </is>
      </c>
      <c r="E648" t="inlineStr">
        <is>
          <t>VIMMERBY</t>
        </is>
      </c>
      <c r="G648" t="n">
        <v>2</v>
      </c>
      <c r="H648" t="n">
        <v>0</v>
      </c>
      <c r="I648" t="n">
        <v>0</v>
      </c>
      <c r="J648" t="n">
        <v>0</v>
      </c>
      <c r="K648" t="n">
        <v>0</v>
      </c>
      <c r="L648" t="n">
        <v>0</v>
      </c>
      <c r="M648" t="n">
        <v>0</v>
      </c>
      <c r="N648" t="n">
        <v>0</v>
      </c>
      <c r="O648" t="n">
        <v>0</v>
      </c>
      <c r="P648" t="n">
        <v>0</v>
      </c>
      <c r="Q648" t="n">
        <v>0</v>
      </c>
      <c r="R648" s="2" t="inlineStr"/>
    </row>
    <row r="649" ht="15" customHeight="1">
      <c r="A649" t="inlineStr">
        <is>
          <t>A 34386-2024</t>
        </is>
      </c>
      <c r="B649" s="1" t="n">
        <v>45525.41762731481</v>
      </c>
      <c r="C649" s="1" t="n">
        <v>45964</v>
      </c>
      <c r="D649" t="inlineStr">
        <is>
          <t>KALMAR LÄN</t>
        </is>
      </c>
      <c r="E649" t="inlineStr">
        <is>
          <t>VIMMERBY</t>
        </is>
      </c>
      <c r="G649" t="n">
        <v>0.3</v>
      </c>
      <c r="H649" t="n">
        <v>0</v>
      </c>
      <c r="I649" t="n">
        <v>0</v>
      </c>
      <c r="J649" t="n">
        <v>0</v>
      </c>
      <c r="K649" t="n">
        <v>0</v>
      </c>
      <c r="L649" t="n">
        <v>0</v>
      </c>
      <c r="M649" t="n">
        <v>0</v>
      </c>
      <c r="N649" t="n">
        <v>0</v>
      </c>
      <c r="O649" t="n">
        <v>0</v>
      </c>
      <c r="P649" t="n">
        <v>0</v>
      </c>
      <c r="Q649" t="n">
        <v>0</v>
      </c>
      <c r="R649" s="2" t="inlineStr"/>
    </row>
    <row r="650" ht="15" customHeight="1">
      <c r="A650" t="inlineStr">
        <is>
          <t>A 31872-2025</t>
        </is>
      </c>
      <c r="B650" s="1" t="n">
        <v>45834.65040509259</v>
      </c>
      <c r="C650" s="1" t="n">
        <v>45964</v>
      </c>
      <c r="D650" t="inlineStr">
        <is>
          <t>KALMAR LÄN</t>
        </is>
      </c>
      <c r="E650" t="inlineStr">
        <is>
          <t>VIMMERBY</t>
        </is>
      </c>
      <c r="F650" t="inlineStr">
        <is>
          <t>Sveaskog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6069-2023</t>
        </is>
      </c>
      <c r="B651" s="1" t="n">
        <v>44964.5115162037</v>
      </c>
      <c r="C651" s="1" t="n">
        <v>45964</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8559-2025</t>
        </is>
      </c>
      <c r="B652" s="1" t="n">
        <v>45709.62280092593</v>
      </c>
      <c r="C652" s="1" t="n">
        <v>45964</v>
      </c>
      <c r="D652" t="inlineStr">
        <is>
          <t>KALMAR LÄN</t>
        </is>
      </c>
      <c r="E652" t="inlineStr">
        <is>
          <t>VIMMERBY</t>
        </is>
      </c>
      <c r="G652" t="n">
        <v>8.9</v>
      </c>
      <c r="H652" t="n">
        <v>0</v>
      </c>
      <c r="I652" t="n">
        <v>0</v>
      </c>
      <c r="J652" t="n">
        <v>0</v>
      </c>
      <c r="K652" t="n">
        <v>0</v>
      </c>
      <c r="L652" t="n">
        <v>0</v>
      </c>
      <c r="M652" t="n">
        <v>0</v>
      </c>
      <c r="N652" t="n">
        <v>0</v>
      </c>
      <c r="O652" t="n">
        <v>0</v>
      </c>
      <c r="P652" t="n">
        <v>0</v>
      </c>
      <c r="Q652" t="n">
        <v>0</v>
      </c>
      <c r="R652" s="2" t="inlineStr"/>
    </row>
    <row r="653" ht="15" customHeight="1">
      <c r="A653" t="inlineStr">
        <is>
          <t>A 32064-2025</t>
        </is>
      </c>
      <c r="B653" s="1" t="n">
        <v>45835.44709490741</v>
      </c>
      <c r="C653" s="1" t="n">
        <v>45964</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32109-2025</t>
        </is>
      </c>
      <c r="B654" s="1" t="n">
        <v>45835.48267361111</v>
      </c>
      <c r="C654" s="1" t="n">
        <v>45964</v>
      </c>
      <c r="D654" t="inlineStr">
        <is>
          <t>KALMAR LÄN</t>
        </is>
      </c>
      <c r="E654" t="inlineStr">
        <is>
          <t>VIMMERBY</t>
        </is>
      </c>
      <c r="G654" t="n">
        <v>2.5</v>
      </c>
      <c r="H654" t="n">
        <v>0</v>
      </c>
      <c r="I654" t="n">
        <v>0</v>
      </c>
      <c r="J654" t="n">
        <v>0</v>
      </c>
      <c r="K654" t="n">
        <v>0</v>
      </c>
      <c r="L654" t="n">
        <v>0</v>
      </c>
      <c r="M654" t="n">
        <v>0</v>
      </c>
      <c r="N654" t="n">
        <v>0</v>
      </c>
      <c r="O654" t="n">
        <v>0</v>
      </c>
      <c r="P654" t="n">
        <v>0</v>
      </c>
      <c r="Q654" t="n">
        <v>0</v>
      </c>
      <c r="R654" s="2" t="inlineStr"/>
    </row>
    <row r="655" ht="15" customHeight="1">
      <c r="A655" t="inlineStr">
        <is>
          <t>A 32113-2025</t>
        </is>
      </c>
      <c r="B655" s="1" t="n">
        <v>45835.48445601852</v>
      </c>
      <c r="C655" s="1" t="n">
        <v>45964</v>
      </c>
      <c r="D655" t="inlineStr">
        <is>
          <t>KALMAR LÄN</t>
        </is>
      </c>
      <c r="E655" t="inlineStr">
        <is>
          <t>VIMMERBY</t>
        </is>
      </c>
      <c r="G655" t="n">
        <v>3.5</v>
      </c>
      <c r="H655" t="n">
        <v>0</v>
      </c>
      <c r="I655" t="n">
        <v>0</v>
      </c>
      <c r="J655" t="n">
        <v>0</v>
      </c>
      <c r="K655" t="n">
        <v>0</v>
      </c>
      <c r="L655" t="n">
        <v>0</v>
      </c>
      <c r="M655" t="n">
        <v>0</v>
      </c>
      <c r="N655" t="n">
        <v>0</v>
      </c>
      <c r="O655" t="n">
        <v>0</v>
      </c>
      <c r="P655" t="n">
        <v>0</v>
      </c>
      <c r="Q655" t="n">
        <v>0</v>
      </c>
      <c r="R655" s="2" t="inlineStr"/>
    </row>
    <row r="656" ht="15" customHeight="1">
      <c r="A656" t="inlineStr">
        <is>
          <t>A 32116-2025</t>
        </is>
      </c>
      <c r="B656" s="1" t="n">
        <v>45835.48862268519</v>
      </c>
      <c r="C656" s="1" t="n">
        <v>45964</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31870-2025</t>
        </is>
      </c>
      <c r="B657" s="1" t="n">
        <v>45834.64667824074</v>
      </c>
      <c r="C657" s="1" t="n">
        <v>45964</v>
      </c>
      <c r="D657" t="inlineStr">
        <is>
          <t>KALMAR LÄN</t>
        </is>
      </c>
      <c r="E657" t="inlineStr">
        <is>
          <t>VIMMERBY</t>
        </is>
      </c>
      <c r="F657" t="inlineStr">
        <is>
          <t>Sveaskog</t>
        </is>
      </c>
      <c r="G657" t="n">
        <v>3.5</v>
      </c>
      <c r="H657" t="n">
        <v>0</v>
      </c>
      <c r="I657" t="n">
        <v>0</v>
      </c>
      <c r="J657" t="n">
        <v>0</v>
      </c>
      <c r="K657" t="n">
        <v>0</v>
      </c>
      <c r="L657" t="n">
        <v>0</v>
      </c>
      <c r="M657" t="n">
        <v>0</v>
      </c>
      <c r="N657" t="n">
        <v>0</v>
      </c>
      <c r="O657" t="n">
        <v>0</v>
      </c>
      <c r="P657" t="n">
        <v>0</v>
      </c>
      <c r="Q657" t="n">
        <v>0</v>
      </c>
      <c r="R657" s="2" t="inlineStr"/>
    </row>
    <row r="658" ht="15" customHeight="1">
      <c r="A658" t="inlineStr">
        <is>
          <t>A 32065-2025</t>
        </is>
      </c>
      <c r="B658" s="1" t="n">
        <v>45835.44732638889</v>
      </c>
      <c r="C658" s="1" t="n">
        <v>45964</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32633-2023</t>
        </is>
      </c>
      <c r="B659" s="1" t="n">
        <v>45121.58699074074</v>
      </c>
      <c r="C659" s="1" t="n">
        <v>45964</v>
      </c>
      <c r="D659" t="inlineStr">
        <is>
          <t>KALMAR LÄN</t>
        </is>
      </c>
      <c r="E659" t="inlineStr">
        <is>
          <t>VIMMERBY</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45560-2021</t>
        </is>
      </c>
      <c r="B660" s="1" t="n">
        <v>44440</v>
      </c>
      <c r="C660" s="1" t="n">
        <v>45964</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31987-2025</t>
        </is>
      </c>
      <c r="B661" s="1" t="n">
        <v>45835.36229166666</v>
      </c>
      <c r="C661" s="1" t="n">
        <v>45964</v>
      </c>
      <c r="D661" t="inlineStr">
        <is>
          <t>KALMAR LÄN</t>
        </is>
      </c>
      <c r="E661" t="inlineStr">
        <is>
          <t>VIMMERBY</t>
        </is>
      </c>
      <c r="F661" t="inlineStr">
        <is>
          <t>Kyrkan</t>
        </is>
      </c>
      <c r="G661" t="n">
        <v>1.2</v>
      </c>
      <c r="H661" t="n">
        <v>0</v>
      </c>
      <c r="I661" t="n">
        <v>0</v>
      </c>
      <c r="J661" t="n">
        <v>0</v>
      </c>
      <c r="K661" t="n">
        <v>0</v>
      </c>
      <c r="L661" t="n">
        <v>0</v>
      </c>
      <c r="M661" t="n">
        <v>0</v>
      </c>
      <c r="N661" t="n">
        <v>0</v>
      </c>
      <c r="O661" t="n">
        <v>0</v>
      </c>
      <c r="P661" t="n">
        <v>0</v>
      </c>
      <c r="Q661" t="n">
        <v>0</v>
      </c>
      <c r="R661" s="2" t="inlineStr"/>
    </row>
    <row r="662" ht="15" customHeight="1">
      <c r="A662" t="inlineStr">
        <is>
          <t>A 32077-2025</t>
        </is>
      </c>
      <c r="B662" s="1" t="n">
        <v>45835.45099537037</v>
      </c>
      <c r="C662" s="1" t="n">
        <v>45964</v>
      </c>
      <c r="D662" t="inlineStr">
        <is>
          <t>KALMAR LÄN</t>
        </is>
      </c>
      <c r="E662" t="inlineStr">
        <is>
          <t>VIMMERBY</t>
        </is>
      </c>
      <c r="G662" t="n">
        <v>1.8</v>
      </c>
      <c r="H662" t="n">
        <v>0</v>
      </c>
      <c r="I662" t="n">
        <v>0</v>
      </c>
      <c r="J662" t="n">
        <v>0</v>
      </c>
      <c r="K662" t="n">
        <v>0</v>
      </c>
      <c r="L662" t="n">
        <v>0</v>
      </c>
      <c r="M662" t="n">
        <v>0</v>
      </c>
      <c r="N662" t="n">
        <v>0</v>
      </c>
      <c r="O662" t="n">
        <v>0</v>
      </c>
      <c r="P662" t="n">
        <v>0</v>
      </c>
      <c r="Q662" t="n">
        <v>0</v>
      </c>
      <c r="R662" s="2" t="inlineStr"/>
    </row>
    <row r="663" ht="15" customHeight="1">
      <c r="A663" t="inlineStr">
        <is>
          <t>A 32120-2025</t>
        </is>
      </c>
      <c r="B663" s="1" t="n">
        <v>45835.4924537037</v>
      </c>
      <c r="C663" s="1" t="n">
        <v>45964</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31876-2025</t>
        </is>
      </c>
      <c r="B664" s="1" t="n">
        <v>45834.65197916667</v>
      </c>
      <c r="C664" s="1" t="n">
        <v>45964</v>
      </c>
      <c r="D664" t="inlineStr">
        <is>
          <t>KALMAR LÄN</t>
        </is>
      </c>
      <c r="E664" t="inlineStr">
        <is>
          <t>VIMMERBY</t>
        </is>
      </c>
      <c r="F664" t="inlineStr">
        <is>
          <t>Sveaskog</t>
        </is>
      </c>
      <c r="G664" t="n">
        <v>3.3</v>
      </c>
      <c r="H664" t="n">
        <v>0</v>
      </c>
      <c r="I664" t="n">
        <v>0</v>
      </c>
      <c r="J664" t="n">
        <v>0</v>
      </c>
      <c r="K664" t="n">
        <v>0</v>
      </c>
      <c r="L664" t="n">
        <v>0</v>
      </c>
      <c r="M664" t="n">
        <v>0</v>
      </c>
      <c r="N664" t="n">
        <v>0</v>
      </c>
      <c r="O664" t="n">
        <v>0</v>
      </c>
      <c r="P664" t="n">
        <v>0</v>
      </c>
      <c r="Q664" t="n">
        <v>0</v>
      </c>
      <c r="R664" s="2" t="inlineStr"/>
    </row>
    <row r="665" ht="15" customHeight="1">
      <c r="A665" t="inlineStr">
        <is>
          <t>A 49461-2023</t>
        </is>
      </c>
      <c r="B665" s="1" t="n">
        <v>45211.52642361111</v>
      </c>
      <c r="C665" s="1" t="n">
        <v>45964</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40256-2024</t>
        </is>
      </c>
      <c r="B666" s="1" t="n">
        <v>45554.62944444444</v>
      </c>
      <c r="C666" s="1" t="n">
        <v>45964</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23095-2023</t>
        </is>
      </c>
      <c r="B667" s="1" t="n">
        <v>45075.43059027778</v>
      </c>
      <c r="C667" s="1" t="n">
        <v>45964</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11429-2022</t>
        </is>
      </c>
      <c r="B668" s="1" t="n">
        <v>44630</v>
      </c>
      <c r="C668" s="1" t="n">
        <v>45964</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58104-2024</t>
        </is>
      </c>
      <c r="B669" s="1" t="n">
        <v>45632.37459490741</v>
      </c>
      <c r="C669" s="1" t="n">
        <v>45964</v>
      </c>
      <c r="D669" t="inlineStr">
        <is>
          <t>KALMAR LÄN</t>
        </is>
      </c>
      <c r="E669" t="inlineStr">
        <is>
          <t>VIMMERBY</t>
        </is>
      </c>
      <c r="G669" t="n">
        <v>5</v>
      </c>
      <c r="H669" t="n">
        <v>0</v>
      </c>
      <c r="I669" t="n">
        <v>0</v>
      </c>
      <c r="J669" t="n">
        <v>0</v>
      </c>
      <c r="K669" t="n">
        <v>0</v>
      </c>
      <c r="L669" t="n">
        <v>0</v>
      </c>
      <c r="M669" t="n">
        <v>0</v>
      </c>
      <c r="N669" t="n">
        <v>0</v>
      </c>
      <c r="O669" t="n">
        <v>0</v>
      </c>
      <c r="P669" t="n">
        <v>0</v>
      </c>
      <c r="Q669" t="n">
        <v>0</v>
      </c>
      <c r="R669" s="2" t="inlineStr"/>
    </row>
    <row r="670" ht="15" customHeight="1">
      <c r="A670" t="inlineStr">
        <is>
          <t>A 36259-2022</t>
        </is>
      </c>
      <c r="B670" s="1" t="n">
        <v>44803.59118055556</v>
      </c>
      <c r="C670" s="1" t="n">
        <v>45964</v>
      </c>
      <c r="D670" t="inlineStr">
        <is>
          <t>KALMAR LÄN</t>
        </is>
      </c>
      <c r="E670" t="inlineStr">
        <is>
          <t>VIMMERBY</t>
        </is>
      </c>
      <c r="G670" t="n">
        <v>3.9</v>
      </c>
      <c r="H670" t="n">
        <v>0</v>
      </c>
      <c r="I670" t="n">
        <v>0</v>
      </c>
      <c r="J670" t="n">
        <v>0</v>
      </c>
      <c r="K670" t="n">
        <v>0</v>
      </c>
      <c r="L670" t="n">
        <v>0</v>
      </c>
      <c r="M670" t="n">
        <v>0</v>
      </c>
      <c r="N670" t="n">
        <v>0</v>
      </c>
      <c r="O670" t="n">
        <v>0</v>
      </c>
      <c r="P670" t="n">
        <v>0</v>
      </c>
      <c r="Q670" t="n">
        <v>0</v>
      </c>
      <c r="R670" s="2" t="inlineStr"/>
    </row>
    <row r="671" ht="15" customHeight="1">
      <c r="A671" t="inlineStr">
        <is>
          <t>A 43034-2024</t>
        </is>
      </c>
      <c r="B671" s="1" t="n">
        <v>45567.42011574074</v>
      </c>
      <c r="C671" s="1" t="n">
        <v>45964</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11141-2024</t>
        </is>
      </c>
      <c r="B672" s="1" t="n">
        <v>45371.45865740741</v>
      </c>
      <c r="C672" s="1" t="n">
        <v>45964</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28395-2023</t>
        </is>
      </c>
      <c r="B673" s="1" t="n">
        <v>45100.4062962963</v>
      </c>
      <c r="C673" s="1" t="n">
        <v>45964</v>
      </c>
      <c r="D673" t="inlineStr">
        <is>
          <t>KALMAR LÄN</t>
        </is>
      </c>
      <c r="E673" t="inlineStr">
        <is>
          <t>VIMMERBY</t>
        </is>
      </c>
      <c r="G673" t="n">
        <v>1.4</v>
      </c>
      <c r="H673" t="n">
        <v>0</v>
      </c>
      <c r="I673" t="n">
        <v>0</v>
      </c>
      <c r="J673" t="n">
        <v>0</v>
      </c>
      <c r="K673" t="n">
        <v>0</v>
      </c>
      <c r="L673" t="n">
        <v>0</v>
      </c>
      <c r="M673" t="n">
        <v>0</v>
      </c>
      <c r="N673" t="n">
        <v>0</v>
      </c>
      <c r="O673" t="n">
        <v>0</v>
      </c>
      <c r="P673" t="n">
        <v>0</v>
      </c>
      <c r="Q673" t="n">
        <v>0</v>
      </c>
      <c r="R673" s="2" t="inlineStr"/>
    </row>
    <row r="674" ht="15" customHeight="1">
      <c r="A674" t="inlineStr">
        <is>
          <t>A 3902-2022</t>
        </is>
      </c>
      <c r="B674" s="1" t="n">
        <v>44587.48847222222</v>
      </c>
      <c r="C674" s="1" t="n">
        <v>45964</v>
      </c>
      <c r="D674" t="inlineStr">
        <is>
          <t>KALMAR LÄN</t>
        </is>
      </c>
      <c r="E674" t="inlineStr">
        <is>
          <t>VIMMERBY</t>
        </is>
      </c>
      <c r="G674" t="n">
        <v>2.6</v>
      </c>
      <c r="H674" t="n">
        <v>0</v>
      </c>
      <c r="I674" t="n">
        <v>0</v>
      </c>
      <c r="J674" t="n">
        <v>0</v>
      </c>
      <c r="K674" t="n">
        <v>0</v>
      </c>
      <c r="L674" t="n">
        <v>0</v>
      </c>
      <c r="M674" t="n">
        <v>0</v>
      </c>
      <c r="N674" t="n">
        <v>0</v>
      </c>
      <c r="O674" t="n">
        <v>0</v>
      </c>
      <c r="P674" t="n">
        <v>0</v>
      </c>
      <c r="Q674" t="n">
        <v>0</v>
      </c>
      <c r="R674" s="2" t="inlineStr"/>
    </row>
    <row r="675" ht="15" customHeight="1">
      <c r="A675" t="inlineStr">
        <is>
          <t>A 34597-2022</t>
        </is>
      </c>
      <c r="B675" s="1" t="n">
        <v>44795</v>
      </c>
      <c r="C675" s="1" t="n">
        <v>45964</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30070-2023</t>
        </is>
      </c>
      <c r="B676" s="1" t="n">
        <v>45110.4275</v>
      </c>
      <c r="C676" s="1" t="n">
        <v>45964</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32380-2025</t>
        </is>
      </c>
      <c r="B677" s="1" t="n">
        <v>45837.77701388889</v>
      </c>
      <c r="C677" s="1" t="n">
        <v>45964</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33186-2025</t>
        </is>
      </c>
      <c r="B678" s="1" t="n">
        <v>45840.59474537037</v>
      </c>
      <c r="C678" s="1" t="n">
        <v>45964</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64428-2023</t>
        </is>
      </c>
      <c r="B679" s="1" t="n">
        <v>45280.66769675926</v>
      </c>
      <c r="C679" s="1" t="n">
        <v>45964</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33695-2025</t>
        </is>
      </c>
      <c r="B680" s="1" t="n">
        <v>45841.70569444444</v>
      </c>
      <c r="C680" s="1" t="n">
        <v>45964</v>
      </c>
      <c r="D680" t="inlineStr">
        <is>
          <t>KALMAR LÄN</t>
        </is>
      </c>
      <c r="E680" t="inlineStr">
        <is>
          <t>VIMMERBY</t>
        </is>
      </c>
      <c r="G680" t="n">
        <v>2.7</v>
      </c>
      <c r="H680" t="n">
        <v>0</v>
      </c>
      <c r="I680" t="n">
        <v>0</v>
      </c>
      <c r="J680" t="n">
        <v>0</v>
      </c>
      <c r="K680" t="n">
        <v>0</v>
      </c>
      <c r="L680" t="n">
        <v>0</v>
      </c>
      <c r="M680" t="n">
        <v>0</v>
      </c>
      <c r="N680" t="n">
        <v>0</v>
      </c>
      <c r="O680" t="n">
        <v>0</v>
      </c>
      <c r="P680" t="n">
        <v>0</v>
      </c>
      <c r="Q680" t="n">
        <v>0</v>
      </c>
      <c r="R680" s="2" t="inlineStr"/>
    </row>
    <row r="681" ht="15" customHeight="1">
      <c r="A681" t="inlineStr">
        <is>
          <t>A 33698-2025</t>
        </is>
      </c>
      <c r="B681" s="1" t="n">
        <v>45841.70868055556</v>
      </c>
      <c r="C681" s="1" t="n">
        <v>45964</v>
      </c>
      <c r="D681" t="inlineStr">
        <is>
          <t>KALMAR LÄN</t>
        </is>
      </c>
      <c r="E681" t="inlineStr">
        <is>
          <t>VIMMERBY</t>
        </is>
      </c>
      <c r="G681" t="n">
        <v>3.7</v>
      </c>
      <c r="H681" t="n">
        <v>0</v>
      </c>
      <c r="I681" t="n">
        <v>0</v>
      </c>
      <c r="J681" t="n">
        <v>0</v>
      </c>
      <c r="K681" t="n">
        <v>0</v>
      </c>
      <c r="L681" t="n">
        <v>0</v>
      </c>
      <c r="M681" t="n">
        <v>0</v>
      </c>
      <c r="N681" t="n">
        <v>0</v>
      </c>
      <c r="O681" t="n">
        <v>0</v>
      </c>
      <c r="P681" t="n">
        <v>0</v>
      </c>
      <c r="Q681" t="n">
        <v>0</v>
      </c>
      <c r="R681" s="2" t="inlineStr"/>
    </row>
    <row r="682" ht="15" customHeight="1">
      <c r="A682" t="inlineStr">
        <is>
          <t>A 30588-2023</t>
        </is>
      </c>
      <c r="B682" s="1" t="n">
        <v>45112.33599537037</v>
      </c>
      <c r="C682" s="1" t="n">
        <v>45964</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30503-2023</t>
        </is>
      </c>
      <c r="B683" s="1" t="n">
        <v>45111</v>
      </c>
      <c r="C683" s="1" t="n">
        <v>45964</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31209-2024</t>
        </is>
      </c>
      <c r="B684" s="1" t="n">
        <v>45503.5658912037</v>
      </c>
      <c r="C684" s="1" t="n">
        <v>45964</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30977-2025</t>
        </is>
      </c>
      <c r="B685" s="1" t="n">
        <v>45832.46649305556</v>
      </c>
      <c r="C685" s="1" t="n">
        <v>45964</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4527-2023</t>
        </is>
      </c>
      <c r="B686" s="1" t="n">
        <v>44956</v>
      </c>
      <c r="C686" s="1" t="n">
        <v>45964</v>
      </c>
      <c r="D686" t="inlineStr">
        <is>
          <t>KALMAR LÄN</t>
        </is>
      </c>
      <c r="E686" t="inlineStr">
        <is>
          <t>VIMMERBY</t>
        </is>
      </c>
      <c r="F686" t="inlineStr">
        <is>
          <t>Kommuner</t>
        </is>
      </c>
      <c r="G686" t="n">
        <v>8.5</v>
      </c>
      <c r="H686" t="n">
        <v>0</v>
      </c>
      <c r="I686" t="n">
        <v>0</v>
      </c>
      <c r="J686" t="n">
        <v>0</v>
      </c>
      <c r="K686" t="n">
        <v>0</v>
      </c>
      <c r="L686" t="n">
        <v>0</v>
      </c>
      <c r="M686" t="n">
        <v>0</v>
      </c>
      <c r="N686" t="n">
        <v>0</v>
      </c>
      <c r="O686" t="n">
        <v>0</v>
      </c>
      <c r="P686" t="n">
        <v>0</v>
      </c>
      <c r="Q686" t="n">
        <v>0</v>
      </c>
      <c r="R686" s="2" t="inlineStr"/>
    </row>
    <row r="687" ht="15" customHeight="1">
      <c r="A687" t="inlineStr">
        <is>
          <t>A 12586-2021</t>
        </is>
      </c>
      <c r="B687" s="1" t="n">
        <v>44270.38002314815</v>
      </c>
      <c r="C687" s="1" t="n">
        <v>45964</v>
      </c>
      <c r="D687" t="inlineStr">
        <is>
          <t>KALMAR LÄN</t>
        </is>
      </c>
      <c r="E687" t="inlineStr">
        <is>
          <t>VIMMERBY</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33696-2025</t>
        </is>
      </c>
      <c r="B688" s="1" t="n">
        <v>45841.7072337963</v>
      </c>
      <c r="C688" s="1" t="n">
        <v>45964</v>
      </c>
      <c r="D688" t="inlineStr">
        <is>
          <t>KALMAR LÄN</t>
        </is>
      </c>
      <c r="E688" t="inlineStr">
        <is>
          <t>VIMMERBY</t>
        </is>
      </c>
      <c r="G688" t="n">
        <v>1.1</v>
      </c>
      <c r="H688" t="n">
        <v>0</v>
      </c>
      <c r="I688" t="n">
        <v>0</v>
      </c>
      <c r="J688" t="n">
        <v>0</v>
      </c>
      <c r="K688" t="n">
        <v>0</v>
      </c>
      <c r="L688" t="n">
        <v>0</v>
      </c>
      <c r="M688" t="n">
        <v>0</v>
      </c>
      <c r="N688" t="n">
        <v>0</v>
      </c>
      <c r="O688" t="n">
        <v>0</v>
      </c>
      <c r="P688" t="n">
        <v>0</v>
      </c>
      <c r="Q688" t="n">
        <v>0</v>
      </c>
      <c r="R688" s="2" t="inlineStr"/>
    </row>
    <row r="689" ht="15" customHeight="1">
      <c r="A689" t="inlineStr">
        <is>
          <t>A 5864-2022</t>
        </is>
      </c>
      <c r="B689" s="1" t="n">
        <v>44596</v>
      </c>
      <c r="C689" s="1" t="n">
        <v>45964</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30912-2023</t>
        </is>
      </c>
      <c r="B690" s="1" t="n">
        <v>45113.41633101852</v>
      </c>
      <c r="C690" s="1" t="n">
        <v>45964</v>
      </c>
      <c r="D690" t="inlineStr">
        <is>
          <t>KALMAR LÄN</t>
        </is>
      </c>
      <c r="E690" t="inlineStr">
        <is>
          <t>VIMMERBY</t>
        </is>
      </c>
      <c r="G690" t="n">
        <v>5</v>
      </c>
      <c r="H690" t="n">
        <v>0</v>
      </c>
      <c r="I690" t="n">
        <v>0</v>
      </c>
      <c r="J690" t="n">
        <v>0</v>
      </c>
      <c r="K690" t="n">
        <v>0</v>
      </c>
      <c r="L690" t="n">
        <v>0</v>
      </c>
      <c r="M690" t="n">
        <v>0</v>
      </c>
      <c r="N690" t="n">
        <v>0</v>
      </c>
      <c r="O690" t="n">
        <v>0</v>
      </c>
      <c r="P690" t="n">
        <v>0</v>
      </c>
      <c r="Q690" t="n">
        <v>0</v>
      </c>
      <c r="R690" s="2" t="inlineStr"/>
    </row>
    <row r="691" ht="15" customHeight="1">
      <c r="A691" t="inlineStr">
        <is>
          <t>A 47263-2023</t>
        </is>
      </c>
      <c r="B691" s="1" t="n">
        <v>45202.4209837963</v>
      </c>
      <c r="C691" s="1" t="n">
        <v>45964</v>
      </c>
      <c r="D691" t="inlineStr">
        <is>
          <t>KALMAR LÄN</t>
        </is>
      </c>
      <c r="E691" t="inlineStr">
        <is>
          <t>VIMMERBY</t>
        </is>
      </c>
      <c r="G691" t="n">
        <v>1.8</v>
      </c>
      <c r="H691" t="n">
        <v>0</v>
      </c>
      <c r="I691" t="n">
        <v>0</v>
      </c>
      <c r="J691" t="n">
        <v>0</v>
      </c>
      <c r="K691" t="n">
        <v>0</v>
      </c>
      <c r="L691" t="n">
        <v>0</v>
      </c>
      <c r="M691" t="n">
        <v>0</v>
      </c>
      <c r="N691" t="n">
        <v>0</v>
      </c>
      <c r="O691" t="n">
        <v>0</v>
      </c>
      <c r="P691" t="n">
        <v>0</v>
      </c>
      <c r="Q691" t="n">
        <v>0</v>
      </c>
      <c r="R691" s="2" t="inlineStr"/>
    </row>
    <row r="692" ht="15" customHeight="1">
      <c r="A692" t="inlineStr">
        <is>
          <t>A 26956-2025</t>
        </is>
      </c>
      <c r="B692" s="1" t="n">
        <v>45811.45460648148</v>
      </c>
      <c r="C692" s="1" t="n">
        <v>45964</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58100-2024</t>
        </is>
      </c>
      <c r="B693" s="1" t="n">
        <v>45632.36706018518</v>
      </c>
      <c r="C693" s="1" t="n">
        <v>45964</v>
      </c>
      <c r="D693" t="inlineStr">
        <is>
          <t>KALMAR LÄN</t>
        </is>
      </c>
      <c r="E693" t="inlineStr">
        <is>
          <t>VIMMERBY</t>
        </is>
      </c>
      <c r="G693" t="n">
        <v>0.9</v>
      </c>
      <c r="H693" t="n">
        <v>0</v>
      </c>
      <c r="I693" t="n">
        <v>0</v>
      </c>
      <c r="J693" t="n">
        <v>0</v>
      </c>
      <c r="K693" t="n">
        <v>0</v>
      </c>
      <c r="L693" t="n">
        <v>0</v>
      </c>
      <c r="M693" t="n">
        <v>0</v>
      </c>
      <c r="N693" t="n">
        <v>0</v>
      </c>
      <c r="O693" t="n">
        <v>0</v>
      </c>
      <c r="P693" t="n">
        <v>0</v>
      </c>
      <c r="Q693" t="n">
        <v>0</v>
      </c>
      <c r="R693" s="2" t="inlineStr"/>
    </row>
    <row r="694" ht="15" customHeight="1">
      <c r="A694" t="inlineStr">
        <is>
          <t>A 1146-2025</t>
        </is>
      </c>
      <c r="B694" s="1" t="n">
        <v>45666</v>
      </c>
      <c r="C694" s="1" t="n">
        <v>45964</v>
      </c>
      <c r="D694" t="inlineStr">
        <is>
          <t>KALMAR LÄN</t>
        </is>
      </c>
      <c r="E694" t="inlineStr">
        <is>
          <t>VIMMERBY</t>
        </is>
      </c>
      <c r="G694" t="n">
        <v>4</v>
      </c>
      <c r="H694" t="n">
        <v>0</v>
      </c>
      <c r="I694" t="n">
        <v>0</v>
      </c>
      <c r="J694" t="n">
        <v>0</v>
      </c>
      <c r="K694" t="n">
        <v>0</v>
      </c>
      <c r="L694" t="n">
        <v>0</v>
      </c>
      <c r="M694" t="n">
        <v>0</v>
      </c>
      <c r="N694" t="n">
        <v>0</v>
      </c>
      <c r="O694" t="n">
        <v>0</v>
      </c>
      <c r="P694" t="n">
        <v>0</v>
      </c>
      <c r="Q694" t="n">
        <v>0</v>
      </c>
      <c r="R694" s="2" t="inlineStr"/>
    </row>
    <row r="695" ht="15" customHeight="1">
      <c r="A695" t="inlineStr">
        <is>
          <t>A 58159-2024</t>
        </is>
      </c>
      <c r="B695" s="1" t="n">
        <v>45632.44886574074</v>
      </c>
      <c r="C695" s="1" t="n">
        <v>45964</v>
      </c>
      <c r="D695" t="inlineStr">
        <is>
          <t>KALMAR LÄN</t>
        </is>
      </c>
      <c r="E695" t="inlineStr">
        <is>
          <t>VIMMERBY</t>
        </is>
      </c>
      <c r="G695" t="n">
        <v>7.5</v>
      </c>
      <c r="H695" t="n">
        <v>0</v>
      </c>
      <c r="I695" t="n">
        <v>0</v>
      </c>
      <c r="J695" t="n">
        <v>0</v>
      </c>
      <c r="K695" t="n">
        <v>0</v>
      </c>
      <c r="L695" t="n">
        <v>0</v>
      </c>
      <c r="M695" t="n">
        <v>0</v>
      </c>
      <c r="N695" t="n">
        <v>0</v>
      </c>
      <c r="O695" t="n">
        <v>0</v>
      </c>
      <c r="P695" t="n">
        <v>0</v>
      </c>
      <c r="Q695" t="n">
        <v>0</v>
      </c>
      <c r="R695" s="2" t="inlineStr"/>
    </row>
    <row r="696" ht="15" customHeight="1">
      <c r="A696" t="inlineStr">
        <is>
          <t>A 57114-2023</t>
        </is>
      </c>
      <c r="B696" s="1" t="n">
        <v>45245.36174768519</v>
      </c>
      <c r="C696" s="1" t="n">
        <v>45964</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3423-2022</t>
        </is>
      </c>
      <c r="B697" s="1" t="n">
        <v>44585.50431712963</v>
      </c>
      <c r="C697" s="1" t="n">
        <v>45964</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62023-2022</t>
        </is>
      </c>
      <c r="B698" s="1" t="n">
        <v>44918.50106481482</v>
      </c>
      <c r="C698" s="1" t="n">
        <v>45964</v>
      </c>
      <c r="D698" t="inlineStr">
        <is>
          <t>KALMAR LÄN</t>
        </is>
      </c>
      <c r="E698" t="inlineStr">
        <is>
          <t>VIMMERBY</t>
        </is>
      </c>
      <c r="G698" t="n">
        <v>0.3</v>
      </c>
      <c r="H698" t="n">
        <v>0</v>
      </c>
      <c r="I698" t="n">
        <v>0</v>
      </c>
      <c r="J698" t="n">
        <v>0</v>
      </c>
      <c r="K698" t="n">
        <v>0</v>
      </c>
      <c r="L698" t="n">
        <v>0</v>
      </c>
      <c r="M698" t="n">
        <v>0</v>
      </c>
      <c r="N698" t="n">
        <v>0</v>
      </c>
      <c r="O698" t="n">
        <v>0</v>
      </c>
      <c r="P698" t="n">
        <v>0</v>
      </c>
      <c r="Q698" t="n">
        <v>0</v>
      </c>
      <c r="R698" s="2" t="inlineStr"/>
    </row>
    <row r="699" ht="15" customHeight="1">
      <c r="A699" t="inlineStr">
        <is>
          <t>A 34071-2025</t>
        </is>
      </c>
      <c r="B699" s="1" t="n">
        <v>45845.43803240741</v>
      </c>
      <c r="C699" s="1" t="n">
        <v>45964</v>
      </c>
      <c r="D699" t="inlineStr">
        <is>
          <t>KALMAR LÄN</t>
        </is>
      </c>
      <c r="E699" t="inlineStr">
        <is>
          <t>VIMMERBY</t>
        </is>
      </c>
      <c r="G699" t="n">
        <v>6.8</v>
      </c>
      <c r="H699" t="n">
        <v>0</v>
      </c>
      <c r="I699" t="n">
        <v>0</v>
      </c>
      <c r="J699" t="n">
        <v>0</v>
      </c>
      <c r="K699" t="n">
        <v>0</v>
      </c>
      <c r="L699" t="n">
        <v>0</v>
      </c>
      <c r="M699" t="n">
        <v>0</v>
      </c>
      <c r="N699" t="n">
        <v>0</v>
      </c>
      <c r="O699" t="n">
        <v>0</v>
      </c>
      <c r="P699" t="n">
        <v>0</v>
      </c>
      <c r="Q699" t="n">
        <v>0</v>
      </c>
      <c r="R699" s="2" t="inlineStr"/>
    </row>
    <row r="700" ht="15" customHeight="1">
      <c r="A700" t="inlineStr">
        <is>
          <t>A 34106-2025</t>
        </is>
      </c>
      <c r="B700" s="1" t="n">
        <v>45845.49414351852</v>
      </c>
      <c r="C700" s="1" t="n">
        <v>45964</v>
      </c>
      <c r="D700" t="inlineStr">
        <is>
          <t>KALMAR LÄN</t>
        </is>
      </c>
      <c r="E700" t="inlineStr">
        <is>
          <t>VIMMERBY</t>
        </is>
      </c>
      <c r="G700" t="n">
        <v>6</v>
      </c>
      <c r="H700" t="n">
        <v>0</v>
      </c>
      <c r="I700" t="n">
        <v>0</v>
      </c>
      <c r="J700" t="n">
        <v>0</v>
      </c>
      <c r="K700" t="n">
        <v>0</v>
      </c>
      <c r="L700" t="n">
        <v>0</v>
      </c>
      <c r="M700" t="n">
        <v>0</v>
      </c>
      <c r="N700" t="n">
        <v>0</v>
      </c>
      <c r="O700" t="n">
        <v>0</v>
      </c>
      <c r="P700" t="n">
        <v>0</v>
      </c>
      <c r="Q700" t="n">
        <v>0</v>
      </c>
      <c r="R700" s="2" t="inlineStr"/>
    </row>
    <row r="701" ht="15" customHeight="1">
      <c r="A701" t="inlineStr">
        <is>
          <t>A 28702-2025</t>
        </is>
      </c>
      <c r="B701" s="1" t="n">
        <v>45820.03976851852</v>
      </c>
      <c r="C701" s="1" t="n">
        <v>45964</v>
      </c>
      <c r="D701" t="inlineStr">
        <is>
          <t>KALMAR LÄN</t>
        </is>
      </c>
      <c r="E701" t="inlineStr">
        <is>
          <t>VIMMERBY</t>
        </is>
      </c>
      <c r="G701" t="n">
        <v>2.1</v>
      </c>
      <c r="H701" t="n">
        <v>0</v>
      </c>
      <c r="I701" t="n">
        <v>0</v>
      </c>
      <c r="J701" t="n">
        <v>0</v>
      </c>
      <c r="K701" t="n">
        <v>0</v>
      </c>
      <c r="L701" t="n">
        <v>0</v>
      </c>
      <c r="M701" t="n">
        <v>0</v>
      </c>
      <c r="N701" t="n">
        <v>0</v>
      </c>
      <c r="O701" t="n">
        <v>0</v>
      </c>
      <c r="P701" t="n">
        <v>0</v>
      </c>
      <c r="Q701" t="n">
        <v>0</v>
      </c>
      <c r="R701" s="2" t="inlineStr"/>
    </row>
    <row r="702" ht="15" customHeight="1">
      <c r="A702" t="inlineStr">
        <is>
          <t>A 40665-2023</t>
        </is>
      </c>
      <c r="B702" s="1" t="n">
        <v>45170</v>
      </c>
      <c r="C702" s="1" t="n">
        <v>45964</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16119-2023</t>
        </is>
      </c>
      <c r="B703" s="1" t="n">
        <v>45027.59450231482</v>
      </c>
      <c r="C703" s="1" t="n">
        <v>45964</v>
      </c>
      <c r="D703" t="inlineStr">
        <is>
          <t>KALMAR LÄN</t>
        </is>
      </c>
      <c r="E703" t="inlineStr">
        <is>
          <t>VIMMERBY</t>
        </is>
      </c>
      <c r="F703" t="inlineStr">
        <is>
          <t>Kommuner</t>
        </is>
      </c>
      <c r="G703" t="n">
        <v>4.4</v>
      </c>
      <c r="H703" t="n">
        <v>0</v>
      </c>
      <c r="I703" t="n">
        <v>0</v>
      </c>
      <c r="J703" t="n">
        <v>0</v>
      </c>
      <c r="K703" t="n">
        <v>0</v>
      </c>
      <c r="L703" t="n">
        <v>0</v>
      </c>
      <c r="M703" t="n">
        <v>0</v>
      </c>
      <c r="N703" t="n">
        <v>0</v>
      </c>
      <c r="O703" t="n">
        <v>0</v>
      </c>
      <c r="P703" t="n">
        <v>0</v>
      </c>
      <c r="Q703" t="n">
        <v>0</v>
      </c>
      <c r="R703" s="2" t="inlineStr"/>
    </row>
    <row r="704" ht="15" customHeight="1">
      <c r="A704" t="inlineStr">
        <is>
          <t>A 52327-2023</t>
        </is>
      </c>
      <c r="B704" s="1" t="n">
        <v>45224.6515162037</v>
      </c>
      <c r="C704" s="1" t="n">
        <v>45964</v>
      </c>
      <c r="D704" t="inlineStr">
        <is>
          <t>KALMAR LÄN</t>
        </is>
      </c>
      <c r="E704" t="inlineStr">
        <is>
          <t>VIMMERBY</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12075-2024</t>
        </is>
      </c>
      <c r="B705" s="1" t="n">
        <v>45377</v>
      </c>
      <c r="C705" s="1" t="n">
        <v>45964</v>
      </c>
      <c r="D705" t="inlineStr">
        <is>
          <t>KALMAR LÄN</t>
        </is>
      </c>
      <c r="E705" t="inlineStr">
        <is>
          <t>VIMMERBY</t>
        </is>
      </c>
      <c r="G705" t="n">
        <v>3.7</v>
      </c>
      <c r="H705" t="n">
        <v>0</v>
      </c>
      <c r="I705" t="n">
        <v>0</v>
      </c>
      <c r="J705" t="n">
        <v>0</v>
      </c>
      <c r="K705" t="n">
        <v>0</v>
      </c>
      <c r="L705" t="n">
        <v>0</v>
      </c>
      <c r="M705" t="n">
        <v>0</v>
      </c>
      <c r="N705" t="n">
        <v>0</v>
      </c>
      <c r="O705" t="n">
        <v>0</v>
      </c>
      <c r="P705" t="n">
        <v>0</v>
      </c>
      <c r="Q705" t="n">
        <v>0</v>
      </c>
      <c r="R705" s="2" t="inlineStr"/>
    </row>
    <row r="706" ht="15" customHeight="1">
      <c r="A706" t="inlineStr">
        <is>
          <t>A 29348-2023</t>
        </is>
      </c>
      <c r="B706" s="1" t="n">
        <v>45106.25025462963</v>
      </c>
      <c r="C706" s="1" t="n">
        <v>45964</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31340-2023</t>
        </is>
      </c>
      <c r="B707" s="1" t="n">
        <v>45114.47895833333</v>
      </c>
      <c r="C707" s="1" t="n">
        <v>45964</v>
      </c>
      <c r="D707" t="inlineStr">
        <is>
          <t>KALMAR LÄN</t>
        </is>
      </c>
      <c r="E707" t="inlineStr">
        <is>
          <t>VIMMERBY</t>
        </is>
      </c>
      <c r="G707" t="n">
        <v>1.8</v>
      </c>
      <c r="H707" t="n">
        <v>0</v>
      </c>
      <c r="I707" t="n">
        <v>0</v>
      </c>
      <c r="J707" t="n">
        <v>0</v>
      </c>
      <c r="K707" t="n">
        <v>0</v>
      </c>
      <c r="L707" t="n">
        <v>0</v>
      </c>
      <c r="M707" t="n">
        <v>0</v>
      </c>
      <c r="N707" t="n">
        <v>0</v>
      </c>
      <c r="O707" t="n">
        <v>0</v>
      </c>
      <c r="P707" t="n">
        <v>0</v>
      </c>
      <c r="Q707" t="n">
        <v>0</v>
      </c>
      <c r="R707" s="2" t="inlineStr"/>
    </row>
    <row r="708" ht="15" customHeight="1">
      <c r="A708" t="inlineStr">
        <is>
          <t>A 50860-2022</t>
        </is>
      </c>
      <c r="B708" s="1" t="n">
        <v>44867</v>
      </c>
      <c r="C708" s="1" t="n">
        <v>45964</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25370-2022</t>
        </is>
      </c>
      <c r="B709" s="1" t="n">
        <v>44732.3659837963</v>
      </c>
      <c r="C709" s="1" t="n">
        <v>45964</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34628-2025</t>
        </is>
      </c>
      <c r="B710" s="1" t="n">
        <v>45847.91280092593</v>
      </c>
      <c r="C710" s="1" t="n">
        <v>45964</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58577-2024</t>
        </is>
      </c>
      <c r="B711" s="1" t="n">
        <v>45635.4874537037</v>
      </c>
      <c r="C711" s="1" t="n">
        <v>45964</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29440-2024</t>
        </is>
      </c>
      <c r="B712" s="1" t="n">
        <v>45483.82479166667</v>
      </c>
      <c r="C712" s="1" t="n">
        <v>45964</v>
      </c>
      <c r="D712" t="inlineStr">
        <is>
          <t>KALMAR LÄN</t>
        </is>
      </c>
      <c r="E712" t="inlineStr">
        <is>
          <t>VIMMERBY</t>
        </is>
      </c>
      <c r="G712" t="n">
        <v>4.5</v>
      </c>
      <c r="H712" t="n">
        <v>0</v>
      </c>
      <c r="I712" t="n">
        <v>0</v>
      </c>
      <c r="J712" t="n">
        <v>0</v>
      </c>
      <c r="K712" t="n">
        <v>0</v>
      </c>
      <c r="L712" t="n">
        <v>0</v>
      </c>
      <c r="M712" t="n">
        <v>0</v>
      </c>
      <c r="N712" t="n">
        <v>0</v>
      </c>
      <c r="O712" t="n">
        <v>0</v>
      </c>
      <c r="P712" t="n">
        <v>0</v>
      </c>
      <c r="Q712" t="n">
        <v>0</v>
      </c>
      <c r="R712" s="2" t="inlineStr"/>
    </row>
    <row r="713" ht="15" customHeight="1">
      <c r="A713" t="inlineStr">
        <is>
          <t>A 9129-2025</t>
        </is>
      </c>
      <c r="B713" s="1" t="n">
        <v>45713.92412037037</v>
      </c>
      <c r="C713" s="1" t="n">
        <v>45964</v>
      </c>
      <c r="D713" t="inlineStr">
        <is>
          <t>KALMAR LÄN</t>
        </is>
      </c>
      <c r="E713" t="inlineStr">
        <is>
          <t>VIMMERBY</t>
        </is>
      </c>
      <c r="G713" t="n">
        <v>2.8</v>
      </c>
      <c r="H713" t="n">
        <v>0</v>
      </c>
      <c r="I713" t="n">
        <v>0</v>
      </c>
      <c r="J713" t="n">
        <v>0</v>
      </c>
      <c r="K713" t="n">
        <v>0</v>
      </c>
      <c r="L713" t="n">
        <v>0</v>
      </c>
      <c r="M713" t="n">
        <v>0</v>
      </c>
      <c r="N713" t="n">
        <v>0</v>
      </c>
      <c r="O713" t="n">
        <v>0</v>
      </c>
      <c r="P713" t="n">
        <v>0</v>
      </c>
      <c r="Q713" t="n">
        <v>0</v>
      </c>
      <c r="R713" s="2" t="inlineStr"/>
    </row>
    <row r="714" ht="15" customHeight="1">
      <c r="A714" t="inlineStr">
        <is>
          <t>A 22197-2024</t>
        </is>
      </c>
      <c r="B714" s="1" t="n">
        <v>45446.36774305555</v>
      </c>
      <c r="C714" s="1" t="n">
        <v>45964</v>
      </c>
      <c r="D714" t="inlineStr">
        <is>
          <t>KALMAR LÄN</t>
        </is>
      </c>
      <c r="E714" t="inlineStr">
        <is>
          <t>VIMMERBY</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53752-2024</t>
        </is>
      </c>
      <c r="B715" s="1" t="n">
        <v>45615.48927083334</v>
      </c>
      <c r="C715" s="1" t="n">
        <v>45964</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7758-2024</t>
        </is>
      </c>
      <c r="B716" s="1" t="n">
        <v>45349.54434027777</v>
      </c>
      <c r="C716" s="1" t="n">
        <v>45964</v>
      </c>
      <c r="D716" t="inlineStr">
        <is>
          <t>KALMAR LÄN</t>
        </is>
      </c>
      <c r="E716" t="inlineStr">
        <is>
          <t>VIMMERBY</t>
        </is>
      </c>
      <c r="G716" t="n">
        <v>3.5</v>
      </c>
      <c r="H716" t="n">
        <v>0</v>
      </c>
      <c r="I716" t="n">
        <v>0</v>
      </c>
      <c r="J716" t="n">
        <v>0</v>
      </c>
      <c r="K716" t="n">
        <v>0</v>
      </c>
      <c r="L716" t="n">
        <v>0</v>
      </c>
      <c r="M716" t="n">
        <v>0</v>
      </c>
      <c r="N716" t="n">
        <v>0</v>
      </c>
      <c r="O716" t="n">
        <v>0</v>
      </c>
      <c r="P716" t="n">
        <v>0</v>
      </c>
      <c r="Q716" t="n">
        <v>0</v>
      </c>
      <c r="R716" s="2" t="inlineStr"/>
    </row>
    <row r="717" ht="15" customHeight="1">
      <c r="A717" t="inlineStr">
        <is>
          <t>A 5701-2024</t>
        </is>
      </c>
      <c r="B717" s="1" t="n">
        <v>45334.78826388889</v>
      </c>
      <c r="C717" s="1" t="n">
        <v>45964</v>
      </c>
      <c r="D717" t="inlineStr">
        <is>
          <t>KALMAR LÄN</t>
        </is>
      </c>
      <c r="E717" t="inlineStr">
        <is>
          <t>VIMMERBY</t>
        </is>
      </c>
      <c r="G717" t="n">
        <v>2.3</v>
      </c>
      <c r="H717" t="n">
        <v>0</v>
      </c>
      <c r="I717" t="n">
        <v>0</v>
      </c>
      <c r="J717" t="n">
        <v>0</v>
      </c>
      <c r="K717" t="n">
        <v>0</v>
      </c>
      <c r="L717" t="n">
        <v>0</v>
      </c>
      <c r="M717" t="n">
        <v>0</v>
      </c>
      <c r="N717" t="n">
        <v>0</v>
      </c>
      <c r="O717" t="n">
        <v>0</v>
      </c>
      <c r="P717" t="n">
        <v>0</v>
      </c>
      <c r="Q717" t="n">
        <v>0</v>
      </c>
      <c r="R717" s="2" t="inlineStr"/>
    </row>
    <row r="718" ht="15" customHeight="1">
      <c r="A718" t="inlineStr">
        <is>
          <t>A 31405-2023</t>
        </is>
      </c>
      <c r="B718" s="1" t="n">
        <v>45114.58148148148</v>
      </c>
      <c r="C718" s="1" t="n">
        <v>45964</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35270-2025</t>
        </is>
      </c>
      <c r="B719" s="1" t="n">
        <v>45853.87112268519</v>
      </c>
      <c r="C719" s="1" t="n">
        <v>45964</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35271-2025</t>
        </is>
      </c>
      <c r="B720" s="1" t="n">
        <v>45853.87599537037</v>
      </c>
      <c r="C720" s="1" t="n">
        <v>45964</v>
      </c>
      <c r="D720" t="inlineStr">
        <is>
          <t>KALMAR LÄN</t>
        </is>
      </c>
      <c r="E720" t="inlineStr">
        <is>
          <t>VIMMERBY</t>
        </is>
      </c>
      <c r="G720" t="n">
        <v>0.4</v>
      </c>
      <c r="H720" t="n">
        <v>0</v>
      </c>
      <c r="I720" t="n">
        <v>0</v>
      </c>
      <c r="J720" t="n">
        <v>0</v>
      </c>
      <c r="K720" t="n">
        <v>0</v>
      </c>
      <c r="L720" t="n">
        <v>0</v>
      </c>
      <c r="M720" t="n">
        <v>0</v>
      </c>
      <c r="N720" t="n">
        <v>0</v>
      </c>
      <c r="O720" t="n">
        <v>0</v>
      </c>
      <c r="P720" t="n">
        <v>0</v>
      </c>
      <c r="Q720" t="n">
        <v>0</v>
      </c>
      <c r="R720" s="2" t="inlineStr"/>
    </row>
    <row r="721" ht="15" customHeight="1">
      <c r="A721" t="inlineStr">
        <is>
          <t>A 35272-2025</t>
        </is>
      </c>
      <c r="B721" s="1" t="n">
        <v>45853.88070601852</v>
      </c>
      <c r="C721" s="1" t="n">
        <v>45964</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6355-2022</t>
        </is>
      </c>
      <c r="B722" s="1" t="n">
        <v>44600</v>
      </c>
      <c r="C722" s="1" t="n">
        <v>45964</v>
      </c>
      <c r="D722" t="inlineStr">
        <is>
          <t>KALMAR LÄN</t>
        </is>
      </c>
      <c r="E722" t="inlineStr">
        <is>
          <t>VIMMERBY</t>
        </is>
      </c>
      <c r="G722" t="n">
        <v>4.9</v>
      </c>
      <c r="H722" t="n">
        <v>0</v>
      </c>
      <c r="I722" t="n">
        <v>0</v>
      </c>
      <c r="J722" t="n">
        <v>0</v>
      </c>
      <c r="K722" t="n">
        <v>0</v>
      </c>
      <c r="L722" t="n">
        <v>0</v>
      </c>
      <c r="M722" t="n">
        <v>0</v>
      </c>
      <c r="N722" t="n">
        <v>0</v>
      </c>
      <c r="O722" t="n">
        <v>0</v>
      </c>
      <c r="P722" t="n">
        <v>0</v>
      </c>
      <c r="Q722" t="n">
        <v>0</v>
      </c>
      <c r="R722" s="2" t="inlineStr"/>
    </row>
    <row r="723" ht="15" customHeight="1">
      <c r="A723" t="inlineStr">
        <is>
          <t>A 46225-2024</t>
        </is>
      </c>
      <c r="B723" s="1" t="n">
        <v>45581.57333333333</v>
      </c>
      <c r="C723" s="1" t="n">
        <v>45964</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16953-2025</t>
        </is>
      </c>
      <c r="B724" s="1" t="n">
        <v>45755.44333333334</v>
      </c>
      <c r="C724" s="1" t="n">
        <v>45964</v>
      </c>
      <c r="D724" t="inlineStr">
        <is>
          <t>KALMAR LÄN</t>
        </is>
      </c>
      <c r="E724" t="inlineStr">
        <is>
          <t>VIMMERBY</t>
        </is>
      </c>
      <c r="G724" t="n">
        <v>2</v>
      </c>
      <c r="H724" t="n">
        <v>0</v>
      </c>
      <c r="I724" t="n">
        <v>0</v>
      </c>
      <c r="J724" t="n">
        <v>0</v>
      </c>
      <c r="K724" t="n">
        <v>0</v>
      </c>
      <c r="L724" t="n">
        <v>0</v>
      </c>
      <c r="M724" t="n">
        <v>0</v>
      </c>
      <c r="N724" t="n">
        <v>0</v>
      </c>
      <c r="O724" t="n">
        <v>0</v>
      </c>
      <c r="P724" t="n">
        <v>0</v>
      </c>
      <c r="Q724" t="n">
        <v>0</v>
      </c>
      <c r="R724" s="2" t="inlineStr"/>
    </row>
    <row r="725" ht="15" customHeight="1">
      <c r="A725" t="inlineStr">
        <is>
          <t>A 35596-2025</t>
        </is>
      </c>
      <c r="B725" s="1" t="n">
        <v>45858.60641203704</v>
      </c>
      <c r="C725" s="1" t="n">
        <v>45964</v>
      </c>
      <c r="D725" t="inlineStr">
        <is>
          <t>KALMAR LÄN</t>
        </is>
      </c>
      <c r="E725" t="inlineStr">
        <is>
          <t>VIMMERBY</t>
        </is>
      </c>
      <c r="G725" t="n">
        <v>2.8</v>
      </c>
      <c r="H725" t="n">
        <v>0</v>
      </c>
      <c r="I725" t="n">
        <v>0</v>
      </c>
      <c r="J725" t="n">
        <v>0</v>
      </c>
      <c r="K725" t="n">
        <v>0</v>
      </c>
      <c r="L725" t="n">
        <v>0</v>
      </c>
      <c r="M725" t="n">
        <v>0</v>
      </c>
      <c r="N725" t="n">
        <v>0</v>
      </c>
      <c r="O725" t="n">
        <v>0</v>
      </c>
      <c r="P725" t="n">
        <v>0</v>
      </c>
      <c r="Q725" t="n">
        <v>0</v>
      </c>
      <c r="R725" s="2" t="inlineStr"/>
    </row>
    <row r="726" ht="15" customHeight="1">
      <c r="A726" t="inlineStr">
        <is>
          <t>A 12121-2025</t>
        </is>
      </c>
      <c r="B726" s="1" t="n">
        <v>45729.36868055556</v>
      </c>
      <c r="C726" s="1" t="n">
        <v>45964</v>
      </c>
      <c r="D726" t="inlineStr">
        <is>
          <t>KALMAR LÄN</t>
        </is>
      </c>
      <c r="E726" t="inlineStr">
        <is>
          <t>VIMMERBY</t>
        </is>
      </c>
      <c r="G726" t="n">
        <v>4.3</v>
      </c>
      <c r="H726" t="n">
        <v>0</v>
      </c>
      <c r="I726" t="n">
        <v>0</v>
      </c>
      <c r="J726" t="n">
        <v>0</v>
      </c>
      <c r="K726" t="n">
        <v>0</v>
      </c>
      <c r="L726" t="n">
        <v>0</v>
      </c>
      <c r="M726" t="n">
        <v>0</v>
      </c>
      <c r="N726" t="n">
        <v>0</v>
      </c>
      <c r="O726" t="n">
        <v>0</v>
      </c>
      <c r="P726" t="n">
        <v>0</v>
      </c>
      <c r="Q726" t="n">
        <v>0</v>
      </c>
      <c r="R726" s="2" t="inlineStr"/>
    </row>
    <row r="727" ht="15" customHeight="1">
      <c r="A727" t="inlineStr">
        <is>
          <t>A 35597-2025</t>
        </is>
      </c>
      <c r="B727" s="1" t="n">
        <v>45858.66019675926</v>
      </c>
      <c r="C727" s="1" t="n">
        <v>45964</v>
      </c>
      <c r="D727" t="inlineStr">
        <is>
          <t>KALMAR LÄN</t>
        </is>
      </c>
      <c r="E727" t="inlineStr">
        <is>
          <t>VIMMERBY</t>
        </is>
      </c>
      <c r="G727" t="n">
        <v>6.4</v>
      </c>
      <c r="H727" t="n">
        <v>0</v>
      </c>
      <c r="I727" t="n">
        <v>0</v>
      </c>
      <c r="J727" t="n">
        <v>0</v>
      </c>
      <c r="K727" t="n">
        <v>0</v>
      </c>
      <c r="L727" t="n">
        <v>0</v>
      </c>
      <c r="M727" t="n">
        <v>0</v>
      </c>
      <c r="N727" t="n">
        <v>0</v>
      </c>
      <c r="O727" t="n">
        <v>0</v>
      </c>
      <c r="P727" t="n">
        <v>0</v>
      </c>
      <c r="Q727" t="n">
        <v>0</v>
      </c>
      <c r="R727" s="2" t="inlineStr"/>
    </row>
    <row r="728" ht="15" customHeight="1">
      <c r="A728" t="inlineStr">
        <is>
          <t>A 9418-2024</t>
        </is>
      </c>
      <c r="B728" s="1" t="n">
        <v>45359.45038194444</v>
      </c>
      <c r="C728" s="1" t="n">
        <v>45964</v>
      </c>
      <c r="D728" t="inlineStr">
        <is>
          <t>KALMAR LÄN</t>
        </is>
      </c>
      <c r="E728" t="inlineStr">
        <is>
          <t>VIMMERBY</t>
        </is>
      </c>
      <c r="G728" t="n">
        <v>1.9</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44895.46524305556</v>
      </c>
      <c r="C729" s="1" t="n">
        <v>45964</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3816-2022</t>
        </is>
      </c>
      <c r="B730" s="1" t="n">
        <v>44587</v>
      </c>
      <c r="C730" s="1" t="n">
        <v>45964</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9710-2023</t>
        </is>
      </c>
      <c r="B731" s="1" t="n">
        <v>44984</v>
      </c>
      <c r="C731" s="1" t="n">
        <v>45964</v>
      </c>
      <c r="D731" t="inlineStr">
        <is>
          <t>KALMAR LÄN</t>
        </is>
      </c>
      <c r="E731" t="inlineStr">
        <is>
          <t>VIMMERBY</t>
        </is>
      </c>
      <c r="G731" t="n">
        <v>3.7</v>
      </c>
      <c r="H731" t="n">
        <v>0</v>
      </c>
      <c r="I731" t="n">
        <v>0</v>
      </c>
      <c r="J731" t="n">
        <v>0</v>
      </c>
      <c r="K731" t="n">
        <v>0</v>
      </c>
      <c r="L731" t="n">
        <v>0</v>
      </c>
      <c r="M731" t="n">
        <v>0</v>
      </c>
      <c r="N731" t="n">
        <v>0</v>
      </c>
      <c r="O731" t="n">
        <v>0</v>
      </c>
      <c r="P731" t="n">
        <v>0</v>
      </c>
      <c r="Q731" t="n">
        <v>0</v>
      </c>
      <c r="R731" s="2" t="inlineStr"/>
    </row>
    <row r="732" ht="15" customHeight="1">
      <c r="A732" t="inlineStr">
        <is>
          <t>A 9720-2023</t>
        </is>
      </c>
      <c r="B732" s="1" t="n">
        <v>44984</v>
      </c>
      <c r="C732" s="1" t="n">
        <v>45964</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15493-2023</t>
        </is>
      </c>
      <c r="B733" s="1" t="n">
        <v>45018</v>
      </c>
      <c r="C733" s="1" t="n">
        <v>45964</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43606-2024</t>
        </is>
      </c>
      <c r="B734" s="1" t="n">
        <v>45569.45017361111</v>
      </c>
      <c r="C734" s="1" t="n">
        <v>45964</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43617-2024</t>
        </is>
      </c>
      <c r="B735" s="1" t="n">
        <v>45569.47494212963</v>
      </c>
      <c r="C735" s="1" t="n">
        <v>45964</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47859-2024</t>
        </is>
      </c>
      <c r="B736" s="1" t="n">
        <v>45588.67070601852</v>
      </c>
      <c r="C736" s="1" t="n">
        <v>45964</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8540-2024</t>
        </is>
      </c>
      <c r="B737" s="1" t="n">
        <v>45355.54138888889</v>
      </c>
      <c r="C737" s="1" t="n">
        <v>45964</v>
      </c>
      <c r="D737" t="inlineStr">
        <is>
          <t>KALMAR LÄN</t>
        </is>
      </c>
      <c r="E737" t="inlineStr">
        <is>
          <t>VIMMERBY</t>
        </is>
      </c>
      <c r="G737" t="n">
        <v>1.9</v>
      </c>
      <c r="H737" t="n">
        <v>0</v>
      </c>
      <c r="I737" t="n">
        <v>0</v>
      </c>
      <c r="J737" t="n">
        <v>0</v>
      </c>
      <c r="K737" t="n">
        <v>0</v>
      </c>
      <c r="L737" t="n">
        <v>0</v>
      </c>
      <c r="M737" t="n">
        <v>0</v>
      </c>
      <c r="N737" t="n">
        <v>0</v>
      </c>
      <c r="O737" t="n">
        <v>0</v>
      </c>
      <c r="P737" t="n">
        <v>0</v>
      </c>
      <c r="Q737" t="n">
        <v>0</v>
      </c>
      <c r="R737" s="2" t="inlineStr"/>
    </row>
    <row r="738" ht="15" customHeight="1">
      <c r="A738" t="inlineStr">
        <is>
          <t>A 3331-2023</t>
        </is>
      </c>
      <c r="B738" s="1" t="n">
        <v>44949</v>
      </c>
      <c r="C738" s="1" t="n">
        <v>45964</v>
      </c>
      <c r="D738" t="inlineStr">
        <is>
          <t>KALMAR LÄN</t>
        </is>
      </c>
      <c r="E738" t="inlineStr">
        <is>
          <t>VIMMERBY</t>
        </is>
      </c>
      <c r="G738" t="n">
        <v>6.2</v>
      </c>
      <c r="H738" t="n">
        <v>0</v>
      </c>
      <c r="I738" t="n">
        <v>0</v>
      </c>
      <c r="J738" t="n">
        <v>0</v>
      </c>
      <c r="K738" t="n">
        <v>0</v>
      </c>
      <c r="L738" t="n">
        <v>0</v>
      </c>
      <c r="M738" t="n">
        <v>0</v>
      </c>
      <c r="N738" t="n">
        <v>0</v>
      </c>
      <c r="O738" t="n">
        <v>0</v>
      </c>
      <c r="P738" t="n">
        <v>0</v>
      </c>
      <c r="Q738" t="n">
        <v>0</v>
      </c>
      <c r="R738" s="2" t="inlineStr"/>
    </row>
    <row r="739" ht="15" customHeight="1">
      <c r="A739" t="inlineStr">
        <is>
          <t>A 598-2025</t>
        </is>
      </c>
      <c r="B739" s="1" t="n">
        <v>45660</v>
      </c>
      <c r="C739" s="1" t="n">
        <v>45964</v>
      </c>
      <c r="D739" t="inlineStr">
        <is>
          <t>KALMAR LÄN</t>
        </is>
      </c>
      <c r="E739" t="inlineStr">
        <is>
          <t>VIMMERBY</t>
        </is>
      </c>
      <c r="G739" t="n">
        <v>12</v>
      </c>
      <c r="H739" t="n">
        <v>0</v>
      </c>
      <c r="I739" t="n">
        <v>0</v>
      </c>
      <c r="J739" t="n">
        <v>0</v>
      </c>
      <c r="K739" t="n">
        <v>0</v>
      </c>
      <c r="L739" t="n">
        <v>0</v>
      </c>
      <c r="M739" t="n">
        <v>0</v>
      </c>
      <c r="N739" t="n">
        <v>0</v>
      </c>
      <c r="O739" t="n">
        <v>0</v>
      </c>
      <c r="P739" t="n">
        <v>0</v>
      </c>
      <c r="Q739" t="n">
        <v>0</v>
      </c>
      <c r="R739" s="2" t="inlineStr"/>
    </row>
    <row r="740" ht="15" customHeight="1">
      <c r="A740" t="inlineStr">
        <is>
          <t>A 36226-2025</t>
        </is>
      </c>
      <c r="B740" s="1" t="n">
        <v>45867.51630787037</v>
      </c>
      <c r="C740" s="1" t="n">
        <v>45964</v>
      </c>
      <c r="D740" t="inlineStr">
        <is>
          <t>KALMAR LÄN</t>
        </is>
      </c>
      <c r="E740" t="inlineStr">
        <is>
          <t>VIMMERBY</t>
        </is>
      </c>
      <c r="G740" t="n">
        <v>3.1</v>
      </c>
      <c r="H740" t="n">
        <v>0</v>
      </c>
      <c r="I740" t="n">
        <v>0</v>
      </c>
      <c r="J740" t="n">
        <v>0</v>
      </c>
      <c r="K740" t="n">
        <v>0</v>
      </c>
      <c r="L740" t="n">
        <v>0</v>
      </c>
      <c r="M740" t="n">
        <v>0</v>
      </c>
      <c r="N740" t="n">
        <v>0</v>
      </c>
      <c r="O740" t="n">
        <v>0</v>
      </c>
      <c r="P740" t="n">
        <v>0</v>
      </c>
      <c r="Q740" t="n">
        <v>0</v>
      </c>
      <c r="R740" s="2" t="inlineStr"/>
    </row>
    <row r="741" ht="15" customHeight="1">
      <c r="A741" t="inlineStr">
        <is>
          <t>A 36273-2025</t>
        </is>
      </c>
      <c r="B741" s="1" t="n">
        <v>45867.63094907408</v>
      </c>
      <c r="C741" s="1" t="n">
        <v>45964</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36282-2025</t>
        </is>
      </c>
      <c r="B742" s="1" t="n">
        <v>45867.64663194444</v>
      </c>
      <c r="C742" s="1" t="n">
        <v>45964</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25799-2023</t>
        </is>
      </c>
      <c r="B743" s="1" t="n">
        <v>45090</v>
      </c>
      <c r="C743" s="1" t="n">
        <v>45964</v>
      </c>
      <c r="D743" t="inlineStr">
        <is>
          <t>KALMAR LÄN</t>
        </is>
      </c>
      <c r="E743" t="inlineStr">
        <is>
          <t>VIMMERBY</t>
        </is>
      </c>
      <c r="G743" t="n">
        <v>7.7</v>
      </c>
      <c r="H743" t="n">
        <v>0</v>
      </c>
      <c r="I743" t="n">
        <v>0</v>
      </c>
      <c r="J743" t="n">
        <v>0</v>
      </c>
      <c r="K743" t="n">
        <v>0</v>
      </c>
      <c r="L743" t="n">
        <v>0</v>
      </c>
      <c r="M743" t="n">
        <v>0</v>
      </c>
      <c r="N743" t="n">
        <v>0</v>
      </c>
      <c r="O743" t="n">
        <v>0</v>
      </c>
      <c r="P743" t="n">
        <v>0</v>
      </c>
      <c r="Q743" t="n">
        <v>0</v>
      </c>
      <c r="R743" s="2" t="inlineStr"/>
    </row>
    <row r="744" ht="15" customHeight="1">
      <c r="A744" t="inlineStr">
        <is>
          <t>A 53083-2021</t>
        </is>
      </c>
      <c r="B744" s="1" t="n">
        <v>44467.83386574074</v>
      </c>
      <c r="C744" s="1" t="n">
        <v>45964</v>
      </c>
      <c r="D744" t="inlineStr">
        <is>
          <t>KALMAR LÄN</t>
        </is>
      </c>
      <c r="E744" t="inlineStr">
        <is>
          <t>VIMMERBY</t>
        </is>
      </c>
      <c r="G744" t="n">
        <v>6.8</v>
      </c>
      <c r="H744" t="n">
        <v>0</v>
      </c>
      <c r="I744" t="n">
        <v>0</v>
      </c>
      <c r="J744" t="n">
        <v>0</v>
      </c>
      <c r="K744" t="n">
        <v>0</v>
      </c>
      <c r="L744" t="n">
        <v>0</v>
      </c>
      <c r="M744" t="n">
        <v>0</v>
      </c>
      <c r="N744" t="n">
        <v>0</v>
      </c>
      <c r="O744" t="n">
        <v>0</v>
      </c>
      <c r="P744" t="n">
        <v>0</v>
      </c>
      <c r="Q744" t="n">
        <v>0</v>
      </c>
      <c r="R744" s="2" t="inlineStr"/>
    </row>
    <row r="745" ht="15" customHeight="1">
      <c r="A745" t="inlineStr">
        <is>
          <t>A 36246-2025</t>
        </is>
      </c>
      <c r="B745" s="1" t="n">
        <v>45867.56320601852</v>
      </c>
      <c r="C745" s="1" t="n">
        <v>45964</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36297-2025</t>
        </is>
      </c>
      <c r="B746" s="1" t="n">
        <v>45867.68625</v>
      </c>
      <c r="C746" s="1" t="n">
        <v>45964</v>
      </c>
      <c r="D746" t="inlineStr">
        <is>
          <t>KALMAR LÄN</t>
        </is>
      </c>
      <c r="E746" t="inlineStr">
        <is>
          <t>VIMMERBY</t>
        </is>
      </c>
      <c r="G746" t="n">
        <v>4.9</v>
      </c>
      <c r="H746" t="n">
        <v>0</v>
      </c>
      <c r="I746" t="n">
        <v>0</v>
      </c>
      <c r="J746" t="n">
        <v>0</v>
      </c>
      <c r="K746" t="n">
        <v>0</v>
      </c>
      <c r="L746" t="n">
        <v>0</v>
      </c>
      <c r="M746" t="n">
        <v>0</v>
      </c>
      <c r="N746" t="n">
        <v>0</v>
      </c>
      <c r="O746" t="n">
        <v>0</v>
      </c>
      <c r="P746" t="n">
        <v>0</v>
      </c>
      <c r="Q746" t="n">
        <v>0</v>
      </c>
      <c r="R746" s="2" t="inlineStr"/>
    </row>
    <row r="747" ht="15" customHeight="1">
      <c r="A747" t="inlineStr">
        <is>
          <t>A 24655-2021</t>
        </is>
      </c>
      <c r="B747" s="1" t="n">
        <v>44340</v>
      </c>
      <c r="C747" s="1" t="n">
        <v>45964</v>
      </c>
      <c r="D747" t="inlineStr">
        <is>
          <t>KALMAR LÄN</t>
        </is>
      </c>
      <c r="E747" t="inlineStr">
        <is>
          <t>VIMMERBY</t>
        </is>
      </c>
      <c r="G747" t="n">
        <v>14.9</v>
      </c>
      <c r="H747" t="n">
        <v>0</v>
      </c>
      <c r="I747" t="n">
        <v>0</v>
      </c>
      <c r="J747" t="n">
        <v>0</v>
      </c>
      <c r="K747" t="n">
        <v>0</v>
      </c>
      <c r="L747" t="n">
        <v>0</v>
      </c>
      <c r="M747" t="n">
        <v>0</v>
      </c>
      <c r="N747" t="n">
        <v>0</v>
      </c>
      <c r="O747" t="n">
        <v>0</v>
      </c>
      <c r="P747" t="n">
        <v>0</v>
      </c>
      <c r="Q747" t="n">
        <v>0</v>
      </c>
      <c r="R747" s="2" t="inlineStr"/>
    </row>
    <row r="748" ht="15" customHeight="1">
      <c r="A748" t="inlineStr">
        <is>
          <t>A 36221-2025</t>
        </is>
      </c>
      <c r="B748" s="1" t="n">
        <v>45867.50792824074</v>
      </c>
      <c r="C748" s="1" t="n">
        <v>45964</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19502-2025</t>
        </is>
      </c>
      <c r="B749" s="1" t="n">
        <v>45769</v>
      </c>
      <c r="C749" s="1" t="n">
        <v>45964</v>
      </c>
      <c r="D749" t="inlineStr">
        <is>
          <t>KALMAR LÄN</t>
        </is>
      </c>
      <c r="E749" t="inlineStr">
        <is>
          <t>VIMMERBY</t>
        </is>
      </c>
      <c r="G749" t="n">
        <v>1.9</v>
      </c>
      <c r="H749" t="n">
        <v>0</v>
      </c>
      <c r="I749" t="n">
        <v>0</v>
      </c>
      <c r="J749" t="n">
        <v>0</v>
      </c>
      <c r="K749" t="n">
        <v>0</v>
      </c>
      <c r="L749" t="n">
        <v>0</v>
      </c>
      <c r="M749" t="n">
        <v>0</v>
      </c>
      <c r="N749" t="n">
        <v>0</v>
      </c>
      <c r="O749" t="n">
        <v>0</v>
      </c>
      <c r="P749" t="n">
        <v>0</v>
      </c>
      <c r="Q749" t="n">
        <v>0</v>
      </c>
      <c r="R749" s="2" t="inlineStr"/>
    </row>
    <row r="750" ht="15" customHeight="1">
      <c r="A750" t="inlineStr">
        <is>
          <t>A 38604-2025</t>
        </is>
      </c>
      <c r="B750" s="1" t="n">
        <v>45884.50613425926</v>
      </c>
      <c r="C750" s="1" t="n">
        <v>45964</v>
      </c>
      <c r="D750" t="inlineStr">
        <is>
          <t>KALMAR LÄN</t>
        </is>
      </c>
      <c r="E750" t="inlineStr">
        <is>
          <t>VIMMERBY</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36299-2025</t>
        </is>
      </c>
      <c r="B751" s="1" t="n">
        <v>45867.69346064814</v>
      </c>
      <c r="C751" s="1" t="n">
        <v>45964</v>
      </c>
      <c r="D751" t="inlineStr">
        <is>
          <t>KALMAR LÄN</t>
        </is>
      </c>
      <c r="E751" t="inlineStr">
        <is>
          <t>VIMMERBY</t>
        </is>
      </c>
      <c r="G751" t="n">
        <v>7.6</v>
      </c>
      <c r="H751" t="n">
        <v>0</v>
      </c>
      <c r="I751" t="n">
        <v>0</v>
      </c>
      <c r="J751" t="n">
        <v>0</v>
      </c>
      <c r="K751" t="n">
        <v>0</v>
      </c>
      <c r="L751" t="n">
        <v>0</v>
      </c>
      <c r="M751" t="n">
        <v>0</v>
      </c>
      <c r="N751" t="n">
        <v>0</v>
      </c>
      <c r="O751" t="n">
        <v>0</v>
      </c>
      <c r="P751" t="n">
        <v>0</v>
      </c>
      <c r="Q751" t="n">
        <v>0</v>
      </c>
      <c r="R751" s="2" t="inlineStr"/>
    </row>
    <row r="752" ht="15" customHeight="1">
      <c r="A752" t="inlineStr">
        <is>
          <t>A 33838-2022</t>
        </is>
      </c>
      <c r="B752" s="1" t="n">
        <v>44790.49040509259</v>
      </c>
      <c r="C752" s="1" t="n">
        <v>45964</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36538-2025</t>
        </is>
      </c>
      <c r="B753" s="1" t="n">
        <v>45869.62276620371</v>
      </c>
      <c r="C753" s="1" t="n">
        <v>45964</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32835-2022</t>
        </is>
      </c>
      <c r="B754" s="1" t="n">
        <v>44784.42528935185</v>
      </c>
      <c r="C754" s="1" t="n">
        <v>45964</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46887-2025</t>
        </is>
      </c>
      <c r="B755" s="1" t="n">
        <v>45929.3672337963</v>
      </c>
      <c r="C755" s="1" t="n">
        <v>45964</v>
      </c>
      <c r="D755" t="inlineStr">
        <is>
          <t>KALMAR LÄN</t>
        </is>
      </c>
      <c r="E755" t="inlineStr">
        <is>
          <t>VIMMERBY</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45854-2025</t>
        </is>
      </c>
      <c r="B756" s="1" t="n">
        <v>45923</v>
      </c>
      <c r="C756" s="1" t="n">
        <v>45964</v>
      </c>
      <c r="D756" t="inlineStr">
        <is>
          <t>KALMAR LÄN</t>
        </is>
      </c>
      <c r="E756" t="inlineStr">
        <is>
          <t>VIMMERBY</t>
        </is>
      </c>
      <c r="G756" t="n">
        <v>2.2</v>
      </c>
      <c r="H756" t="n">
        <v>0</v>
      </c>
      <c r="I756" t="n">
        <v>0</v>
      </c>
      <c r="J756" t="n">
        <v>0</v>
      </c>
      <c r="K756" t="n">
        <v>0</v>
      </c>
      <c r="L756" t="n">
        <v>0</v>
      </c>
      <c r="M756" t="n">
        <v>0</v>
      </c>
      <c r="N756" t="n">
        <v>0</v>
      </c>
      <c r="O756" t="n">
        <v>0</v>
      </c>
      <c r="P756" t="n">
        <v>0</v>
      </c>
      <c r="Q756" t="n">
        <v>0</v>
      </c>
      <c r="R756" s="2" t="inlineStr"/>
    </row>
    <row r="757" ht="15" customHeight="1">
      <c r="A757" t="inlineStr">
        <is>
          <t>A 1081-2023</t>
        </is>
      </c>
      <c r="B757" s="1" t="n">
        <v>44935</v>
      </c>
      <c r="C757" s="1" t="n">
        <v>45964</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47063-2022</t>
        </is>
      </c>
      <c r="B758" s="1" t="n">
        <v>44852</v>
      </c>
      <c r="C758" s="1" t="n">
        <v>45964</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36598-2025</t>
        </is>
      </c>
      <c r="B759" s="1" t="n">
        <v>45870.51708333333</v>
      </c>
      <c r="C759" s="1" t="n">
        <v>45964</v>
      </c>
      <c r="D759" t="inlineStr">
        <is>
          <t>KALMAR LÄN</t>
        </is>
      </c>
      <c r="E759" t="inlineStr">
        <is>
          <t>VIMMERBY</t>
        </is>
      </c>
      <c r="G759" t="n">
        <v>3.7</v>
      </c>
      <c r="H759" t="n">
        <v>0</v>
      </c>
      <c r="I759" t="n">
        <v>0</v>
      </c>
      <c r="J759" t="n">
        <v>0</v>
      </c>
      <c r="K759" t="n">
        <v>0</v>
      </c>
      <c r="L759" t="n">
        <v>0</v>
      </c>
      <c r="M759" t="n">
        <v>0</v>
      </c>
      <c r="N759" t="n">
        <v>0</v>
      </c>
      <c r="O759" t="n">
        <v>0</v>
      </c>
      <c r="P759" t="n">
        <v>0</v>
      </c>
      <c r="Q759" t="n">
        <v>0</v>
      </c>
      <c r="R759" s="2" t="inlineStr"/>
    </row>
    <row r="760" ht="15" customHeight="1">
      <c r="A760" t="inlineStr">
        <is>
          <t>A 36602-2025</t>
        </is>
      </c>
      <c r="B760" s="1" t="n">
        <v>45870.52111111111</v>
      </c>
      <c r="C760" s="1" t="n">
        <v>45964</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28403-2023</t>
        </is>
      </c>
      <c r="B761" s="1" t="n">
        <v>45100.85270833333</v>
      </c>
      <c r="C761" s="1" t="n">
        <v>45964</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47227-2025</t>
        </is>
      </c>
      <c r="B762" s="1" t="n">
        <v>45930.39769675926</v>
      </c>
      <c r="C762" s="1" t="n">
        <v>45964</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33103-2024</t>
        </is>
      </c>
      <c r="B763" s="1" t="n">
        <v>45517.8162037037</v>
      </c>
      <c r="C763" s="1" t="n">
        <v>45964</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36603-2025</t>
        </is>
      </c>
      <c r="B764" s="1" t="n">
        <v>45870.52142361111</v>
      </c>
      <c r="C764" s="1" t="n">
        <v>45964</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2260-2022</t>
        </is>
      </c>
      <c r="B765" s="1" t="n">
        <v>44578.62943287037</v>
      </c>
      <c r="C765" s="1" t="n">
        <v>45964</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36600-2025</t>
        </is>
      </c>
      <c r="B766" s="1" t="n">
        <v>45870.51958333333</v>
      </c>
      <c r="C766" s="1" t="n">
        <v>45964</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36601-2025</t>
        </is>
      </c>
      <c r="B767" s="1" t="n">
        <v>45870.52005787037</v>
      </c>
      <c r="C767" s="1" t="n">
        <v>45964</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11661-2023</t>
        </is>
      </c>
      <c r="B768" s="1" t="n">
        <v>44994.46908564815</v>
      </c>
      <c r="C768" s="1" t="n">
        <v>45964</v>
      </c>
      <c r="D768" t="inlineStr">
        <is>
          <t>KALMAR LÄN</t>
        </is>
      </c>
      <c r="E768" t="inlineStr">
        <is>
          <t>VIMMERBY</t>
        </is>
      </c>
      <c r="G768" t="n">
        <v>2.7</v>
      </c>
      <c r="H768" t="n">
        <v>0</v>
      </c>
      <c r="I768" t="n">
        <v>0</v>
      </c>
      <c r="J768" t="n">
        <v>0</v>
      </c>
      <c r="K768" t="n">
        <v>0</v>
      </c>
      <c r="L768" t="n">
        <v>0</v>
      </c>
      <c r="M768" t="n">
        <v>0</v>
      </c>
      <c r="N768" t="n">
        <v>0</v>
      </c>
      <c r="O768" t="n">
        <v>0</v>
      </c>
      <c r="P768" t="n">
        <v>0</v>
      </c>
      <c r="Q768" t="n">
        <v>0</v>
      </c>
      <c r="R768" s="2" t="inlineStr"/>
    </row>
    <row r="769" ht="15" customHeight="1">
      <c r="A769" t="inlineStr">
        <is>
          <t>A 58046-2022</t>
        </is>
      </c>
      <c r="B769" s="1" t="n">
        <v>44900.57393518519</v>
      </c>
      <c r="C769" s="1" t="n">
        <v>45964</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45528-2021</t>
        </is>
      </c>
      <c r="B770" s="1" t="n">
        <v>44440.60415509259</v>
      </c>
      <c r="C770" s="1" t="n">
        <v>45964</v>
      </c>
      <c r="D770" t="inlineStr">
        <is>
          <t>KALMAR LÄN</t>
        </is>
      </c>
      <c r="E770" t="inlineStr">
        <is>
          <t>VIMMERBY</t>
        </is>
      </c>
      <c r="G770" t="n">
        <v>2.2</v>
      </c>
      <c r="H770" t="n">
        <v>0</v>
      </c>
      <c r="I770" t="n">
        <v>0</v>
      </c>
      <c r="J770" t="n">
        <v>0</v>
      </c>
      <c r="K770" t="n">
        <v>0</v>
      </c>
      <c r="L770" t="n">
        <v>0</v>
      </c>
      <c r="M770" t="n">
        <v>0</v>
      </c>
      <c r="N770" t="n">
        <v>0</v>
      </c>
      <c r="O770" t="n">
        <v>0</v>
      </c>
      <c r="P770" t="n">
        <v>0</v>
      </c>
      <c r="Q770" t="n">
        <v>0</v>
      </c>
      <c r="R770" s="2" t="inlineStr"/>
    </row>
    <row r="771" ht="15" customHeight="1">
      <c r="A771" t="inlineStr">
        <is>
          <t>A 46979-2023</t>
        </is>
      </c>
      <c r="B771" s="1" t="n">
        <v>45201</v>
      </c>
      <c r="C771" s="1" t="n">
        <v>45964</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29726-2025</t>
        </is>
      </c>
      <c r="B772" s="1" t="n">
        <v>45825.57805555555</v>
      </c>
      <c r="C772" s="1" t="n">
        <v>45964</v>
      </c>
      <c r="D772" t="inlineStr">
        <is>
          <t>KALMAR LÄN</t>
        </is>
      </c>
      <c r="E772" t="inlineStr">
        <is>
          <t>VIMMERBY</t>
        </is>
      </c>
      <c r="G772" t="n">
        <v>2</v>
      </c>
      <c r="H772" t="n">
        <v>0</v>
      </c>
      <c r="I772" t="n">
        <v>0</v>
      </c>
      <c r="J772" t="n">
        <v>0</v>
      </c>
      <c r="K772" t="n">
        <v>0</v>
      </c>
      <c r="L772" t="n">
        <v>0</v>
      </c>
      <c r="M772" t="n">
        <v>0</v>
      </c>
      <c r="N772" t="n">
        <v>0</v>
      </c>
      <c r="O772" t="n">
        <v>0</v>
      </c>
      <c r="P772" t="n">
        <v>0</v>
      </c>
      <c r="Q772" t="n">
        <v>0</v>
      </c>
      <c r="R772" s="2" t="inlineStr"/>
    </row>
    <row r="773" ht="15" customHeight="1">
      <c r="A773" t="inlineStr">
        <is>
          <t>A 6574-2023</t>
        </is>
      </c>
      <c r="B773" s="1" t="n">
        <v>44966</v>
      </c>
      <c r="C773" s="1" t="n">
        <v>45964</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37088-2025</t>
        </is>
      </c>
      <c r="B774" s="1" t="n">
        <v>45875.45716435185</v>
      </c>
      <c r="C774" s="1" t="n">
        <v>45964</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37102-2025</t>
        </is>
      </c>
      <c r="B775" s="1" t="n">
        <v>45875.47454861111</v>
      </c>
      <c r="C775" s="1" t="n">
        <v>45964</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37079-2025</t>
        </is>
      </c>
      <c r="B776" s="1" t="n">
        <v>45875.42716435185</v>
      </c>
      <c r="C776" s="1" t="n">
        <v>45964</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36934-2025</t>
        </is>
      </c>
      <c r="B777" s="1" t="n">
        <v>45874.57109953704</v>
      </c>
      <c r="C777" s="1" t="n">
        <v>45964</v>
      </c>
      <c r="D777" t="inlineStr">
        <is>
          <t>KALMAR LÄN</t>
        </is>
      </c>
      <c r="E777" t="inlineStr">
        <is>
          <t>VIMMERBY</t>
        </is>
      </c>
      <c r="G777" t="n">
        <v>4.2</v>
      </c>
      <c r="H777" t="n">
        <v>0</v>
      </c>
      <c r="I777" t="n">
        <v>0</v>
      </c>
      <c r="J777" t="n">
        <v>0</v>
      </c>
      <c r="K777" t="n">
        <v>0</v>
      </c>
      <c r="L777" t="n">
        <v>0</v>
      </c>
      <c r="M777" t="n">
        <v>0</v>
      </c>
      <c r="N777" t="n">
        <v>0</v>
      </c>
      <c r="O777" t="n">
        <v>0</v>
      </c>
      <c r="P777" t="n">
        <v>0</v>
      </c>
      <c r="Q777" t="n">
        <v>0</v>
      </c>
      <c r="R777" s="2" t="inlineStr"/>
    </row>
    <row r="778" ht="15" customHeight="1">
      <c r="A778" t="inlineStr">
        <is>
          <t>A 4058-2024</t>
        </is>
      </c>
      <c r="B778" s="1" t="n">
        <v>45323.53744212963</v>
      </c>
      <c r="C778" s="1" t="n">
        <v>45964</v>
      </c>
      <c r="D778" t="inlineStr">
        <is>
          <t>KALMAR LÄN</t>
        </is>
      </c>
      <c r="E778" t="inlineStr">
        <is>
          <t>VIMMERBY</t>
        </is>
      </c>
      <c r="G778" t="n">
        <v>6.5</v>
      </c>
      <c r="H778" t="n">
        <v>0</v>
      </c>
      <c r="I778" t="n">
        <v>0</v>
      </c>
      <c r="J778" t="n">
        <v>0</v>
      </c>
      <c r="K778" t="n">
        <v>0</v>
      </c>
      <c r="L778" t="n">
        <v>0</v>
      </c>
      <c r="M778" t="n">
        <v>0</v>
      </c>
      <c r="N778" t="n">
        <v>0</v>
      </c>
      <c r="O778" t="n">
        <v>0</v>
      </c>
      <c r="P778" t="n">
        <v>0</v>
      </c>
      <c r="Q778" t="n">
        <v>0</v>
      </c>
      <c r="R778" s="2" t="inlineStr"/>
    </row>
    <row r="779" ht="15" customHeight="1">
      <c r="A779" t="inlineStr">
        <is>
          <t>A 1978-2024</t>
        </is>
      </c>
      <c r="B779" s="1" t="n">
        <v>45308.59001157407</v>
      </c>
      <c r="C779" s="1" t="n">
        <v>45964</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30318-2023</t>
        </is>
      </c>
      <c r="B780" s="1" t="n">
        <v>45111.30824074074</v>
      </c>
      <c r="C780" s="1" t="n">
        <v>45964</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39801-2025</t>
        </is>
      </c>
      <c r="B781" s="1" t="n">
        <v>45891.50216435185</v>
      </c>
      <c r="C781" s="1" t="n">
        <v>45964</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25234-2023</t>
        </is>
      </c>
      <c r="B782" s="1" t="n">
        <v>45086.63194444445</v>
      </c>
      <c r="C782" s="1" t="n">
        <v>45964</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46078-2023</t>
        </is>
      </c>
      <c r="B783" s="1" t="n">
        <v>45196</v>
      </c>
      <c r="C783" s="1" t="n">
        <v>45964</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47955-2025</t>
        </is>
      </c>
      <c r="B784" s="1" t="n">
        <v>45932.58896990741</v>
      </c>
      <c r="C784" s="1" t="n">
        <v>45964</v>
      </c>
      <c r="D784" t="inlineStr">
        <is>
          <t>KALMAR LÄN</t>
        </is>
      </c>
      <c r="E784" t="inlineStr">
        <is>
          <t>VIMMERBY</t>
        </is>
      </c>
      <c r="G784" t="n">
        <v>3.4</v>
      </c>
      <c r="H784" t="n">
        <v>0</v>
      </c>
      <c r="I784" t="n">
        <v>0</v>
      </c>
      <c r="J784" t="n">
        <v>0</v>
      </c>
      <c r="K784" t="n">
        <v>0</v>
      </c>
      <c r="L784" t="n">
        <v>0</v>
      </c>
      <c r="M784" t="n">
        <v>0</v>
      </c>
      <c r="N784" t="n">
        <v>0</v>
      </c>
      <c r="O784" t="n">
        <v>0</v>
      </c>
      <c r="P784" t="n">
        <v>0</v>
      </c>
      <c r="Q784" t="n">
        <v>0</v>
      </c>
      <c r="R784" s="2" t="inlineStr"/>
    </row>
    <row r="785" ht="15" customHeight="1">
      <c r="A785" t="inlineStr">
        <is>
          <t>A 37578-2025</t>
        </is>
      </c>
      <c r="B785" s="1" t="n">
        <v>45880.38380787037</v>
      </c>
      <c r="C785" s="1" t="n">
        <v>45964</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45319-2025</t>
        </is>
      </c>
      <c r="B786" s="1" t="n">
        <v>45921.95611111111</v>
      </c>
      <c r="C786" s="1" t="n">
        <v>45964</v>
      </c>
      <c r="D786" t="inlineStr">
        <is>
          <t>KALMAR LÄN</t>
        </is>
      </c>
      <c r="E786" t="inlineStr">
        <is>
          <t>VIMMERBY</t>
        </is>
      </c>
      <c r="G786" t="n">
        <v>1</v>
      </c>
      <c r="H786" t="n">
        <v>0</v>
      </c>
      <c r="I786" t="n">
        <v>0</v>
      </c>
      <c r="J786" t="n">
        <v>0</v>
      </c>
      <c r="K786" t="n">
        <v>0</v>
      </c>
      <c r="L786" t="n">
        <v>0</v>
      </c>
      <c r="M786" t="n">
        <v>0</v>
      </c>
      <c r="N786" t="n">
        <v>0</v>
      </c>
      <c r="O786" t="n">
        <v>0</v>
      </c>
      <c r="P786" t="n">
        <v>0</v>
      </c>
      <c r="Q786" t="n">
        <v>0</v>
      </c>
      <c r="R786" s="2" t="inlineStr"/>
    </row>
    <row r="787" ht="15" customHeight="1">
      <c r="A787" t="inlineStr">
        <is>
          <t>A 39807-2025</t>
        </is>
      </c>
      <c r="B787" s="1" t="n">
        <v>45891.50986111111</v>
      </c>
      <c r="C787" s="1" t="n">
        <v>45964</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39736-2025</t>
        </is>
      </c>
      <c r="B788" s="1" t="n">
        <v>45891</v>
      </c>
      <c r="C788" s="1" t="n">
        <v>45964</v>
      </c>
      <c r="D788" t="inlineStr">
        <is>
          <t>KALMAR LÄN</t>
        </is>
      </c>
      <c r="E788" t="inlineStr">
        <is>
          <t>VIMMERBY</t>
        </is>
      </c>
      <c r="G788" t="n">
        <v>12.8</v>
      </c>
      <c r="H788" t="n">
        <v>0</v>
      </c>
      <c r="I788" t="n">
        <v>0</v>
      </c>
      <c r="J788" t="n">
        <v>0</v>
      </c>
      <c r="K788" t="n">
        <v>0</v>
      </c>
      <c r="L788" t="n">
        <v>0</v>
      </c>
      <c r="M788" t="n">
        <v>0</v>
      </c>
      <c r="N788" t="n">
        <v>0</v>
      </c>
      <c r="O788" t="n">
        <v>0</v>
      </c>
      <c r="P788" t="n">
        <v>0</v>
      </c>
      <c r="Q788" t="n">
        <v>0</v>
      </c>
      <c r="R788" s="2" t="inlineStr"/>
    </row>
    <row r="789" ht="15" customHeight="1">
      <c r="A789" t="inlineStr">
        <is>
          <t>A 47965-2025</t>
        </is>
      </c>
      <c r="B789" s="1" t="n">
        <v>45932.59597222223</v>
      </c>
      <c r="C789" s="1" t="n">
        <v>45964</v>
      </c>
      <c r="D789" t="inlineStr">
        <is>
          <t>KALMAR LÄN</t>
        </is>
      </c>
      <c r="E789" t="inlineStr">
        <is>
          <t>VIMMERBY</t>
        </is>
      </c>
      <c r="G789" t="n">
        <v>2.2</v>
      </c>
      <c r="H789" t="n">
        <v>0</v>
      </c>
      <c r="I789" t="n">
        <v>0</v>
      </c>
      <c r="J789" t="n">
        <v>0</v>
      </c>
      <c r="K789" t="n">
        <v>0</v>
      </c>
      <c r="L789" t="n">
        <v>0</v>
      </c>
      <c r="M789" t="n">
        <v>0</v>
      </c>
      <c r="N789" t="n">
        <v>0</v>
      </c>
      <c r="O789" t="n">
        <v>0</v>
      </c>
      <c r="P789" t="n">
        <v>0</v>
      </c>
      <c r="Q789" t="n">
        <v>0</v>
      </c>
      <c r="R789" s="2" t="inlineStr"/>
    </row>
    <row r="790" ht="15" customHeight="1">
      <c r="A790" t="inlineStr">
        <is>
          <t>A 45320-2025</t>
        </is>
      </c>
      <c r="B790" s="1" t="n">
        <v>45921.96395833333</v>
      </c>
      <c r="C790" s="1" t="n">
        <v>45964</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48299-2025</t>
        </is>
      </c>
      <c r="B791" s="1" t="n">
        <v>45933.60982638889</v>
      </c>
      <c r="C791" s="1" t="n">
        <v>45964</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3609-2024</t>
        </is>
      </c>
      <c r="B792" s="1" t="n">
        <v>45320.89128472222</v>
      </c>
      <c r="C792" s="1" t="n">
        <v>45964</v>
      </c>
      <c r="D792" t="inlineStr">
        <is>
          <t>KALMAR LÄN</t>
        </is>
      </c>
      <c r="E792" t="inlineStr">
        <is>
          <t>VIMMERBY</t>
        </is>
      </c>
      <c r="G792" t="n">
        <v>1.7</v>
      </c>
      <c r="H792" t="n">
        <v>0</v>
      </c>
      <c r="I792" t="n">
        <v>0</v>
      </c>
      <c r="J792" t="n">
        <v>0</v>
      </c>
      <c r="K792" t="n">
        <v>0</v>
      </c>
      <c r="L792" t="n">
        <v>0</v>
      </c>
      <c r="M792" t="n">
        <v>0</v>
      </c>
      <c r="N792" t="n">
        <v>0</v>
      </c>
      <c r="O792" t="n">
        <v>0</v>
      </c>
      <c r="P792" t="n">
        <v>0</v>
      </c>
      <c r="Q792" t="n">
        <v>0</v>
      </c>
      <c r="R792" s="2" t="inlineStr"/>
    </row>
    <row r="793" ht="15" customHeight="1">
      <c r="A793" t="inlineStr">
        <is>
          <t>A 10424-2023</t>
        </is>
      </c>
      <c r="B793" s="1" t="n">
        <v>44987.54104166666</v>
      </c>
      <c r="C793" s="1" t="n">
        <v>45964</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37668-2025</t>
        </is>
      </c>
      <c r="B794" s="1" t="n">
        <v>45880.51550925926</v>
      </c>
      <c r="C794" s="1" t="n">
        <v>45964</v>
      </c>
      <c r="D794" t="inlineStr">
        <is>
          <t>KALMAR LÄN</t>
        </is>
      </c>
      <c r="E794" t="inlineStr">
        <is>
          <t>VIMMERBY</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39803-2025</t>
        </is>
      </c>
      <c r="B795" s="1" t="n">
        <v>45891.50525462963</v>
      </c>
      <c r="C795" s="1" t="n">
        <v>45964</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39889-2025</t>
        </is>
      </c>
      <c r="B796" s="1" t="n">
        <v>45891</v>
      </c>
      <c r="C796" s="1" t="n">
        <v>45964</v>
      </c>
      <c r="D796" t="inlineStr">
        <is>
          <t>KALMAR LÄN</t>
        </is>
      </c>
      <c r="E796" t="inlineStr">
        <is>
          <t>VIMMERBY</t>
        </is>
      </c>
      <c r="G796" t="n">
        <v>4.5</v>
      </c>
      <c r="H796" t="n">
        <v>0</v>
      </c>
      <c r="I796" t="n">
        <v>0</v>
      </c>
      <c r="J796" t="n">
        <v>0</v>
      </c>
      <c r="K796" t="n">
        <v>0</v>
      </c>
      <c r="L796" t="n">
        <v>0</v>
      </c>
      <c r="M796" t="n">
        <v>0</v>
      </c>
      <c r="N796" t="n">
        <v>0</v>
      </c>
      <c r="O796" t="n">
        <v>0</v>
      </c>
      <c r="P796" t="n">
        <v>0</v>
      </c>
      <c r="Q796" t="n">
        <v>0</v>
      </c>
      <c r="R796" s="2" t="inlineStr"/>
    </row>
    <row r="797" ht="15" customHeight="1">
      <c r="A797" t="inlineStr">
        <is>
          <t>A 49382-2023</t>
        </is>
      </c>
      <c r="B797" s="1" t="n">
        <v>45208</v>
      </c>
      <c r="C797" s="1" t="n">
        <v>45964</v>
      </c>
      <c r="D797" t="inlineStr">
        <is>
          <t>KALMAR LÄN</t>
        </is>
      </c>
      <c r="E797" t="inlineStr">
        <is>
          <t>VIMMERBY</t>
        </is>
      </c>
      <c r="G797" t="n">
        <v>2.2</v>
      </c>
      <c r="H797" t="n">
        <v>0</v>
      </c>
      <c r="I797" t="n">
        <v>0</v>
      </c>
      <c r="J797" t="n">
        <v>0</v>
      </c>
      <c r="K797" t="n">
        <v>0</v>
      </c>
      <c r="L797" t="n">
        <v>0</v>
      </c>
      <c r="M797" t="n">
        <v>0</v>
      </c>
      <c r="N797" t="n">
        <v>0</v>
      </c>
      <c r="O797" t="n">
        <v>0</v>
      </c>
      <c r="P797" t="n">
        <v>0</v>
      </c>
      <c r="Q797" t="n">
        <v>0</v>
      </c>
      <c r="R797" s="2" t="inlineStr"/>
    </row>
    <row r="798" ht="15" customHeight="1">
      <c r="A798" t="inlineStr">
        <is>
          <t>A 12810-2023</t>
        </is>
      </c>
      <c r="B798" s="1" t="n">
        <v>45001.43854166667</v>
      </c>
      <c r="C798" s="1" t="n">
        <v>45964</v>
      </c>
      <c r="D798" t="inlineStr">
        <is>
          <t>KALMAR LÄN</t>
        </is>
      </c>
      <c r="E798" t="inlineStr">
        <is>
          <t>VIMMERBY</t>
        </is>
      </c>
      <c r="G798" t="n">
        <v>1.5</v>
      </c>
      <c r="H798" t="n">
        <v>0</v>
      </c>
      <c r="I798" t="n">
        <v>0</v>
      </c>
      <c r="J798" t="n">
        <v>0</v>
      </c>
      <c r="K798" t="n">
        <v>0</v>
      </c>
      <c r="L798" t="n">
        <v>0</v>
      </c>
      <c r="M798" t="n">
        <v>0</v>
      </c>
      <c r="N798" t="n">
        <v>0</v>
      </c>
      <c r="O798" t="n">
        <v>0</v>
      </c>
      <c r="P798" t="n">
        <v>0</v>
      </c>
      <c r="Q798" t="n">
        <v>0</v>
      </c>
      <c r="R798" s="2" t="inlineStr"/>
    </row>
    <row r="799" ht="15" customHeight="1">
      <c r="A799" t="inlineStr">
        <is>
          <t>A 3425-2022</t>
        </is>
      </c>
      <c r="B799" s="1" t="n">
        <v>44585.51060185185</v>
      </c>
      <c r="C799" s="1" t="n">
        <v>45964</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60675-2023</t>
        </is>
      </c>
      <c r="B800" s="1" t="n">
        <v>45260.4716550926</v>
      </c>
      <c r="C800" s="1" t="n">
        <v>45964</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2536-2023</t>
        </is>
      </c>
      <c r="B801" s="1" t="n">
        <v>44943.62954861111</v>
      </c>
      <c r="C801" s="1" t="n">
        <v>45964</v>
      </c>
      <c r="D801" t="inlineStr">
        <is>
          <t>KALMAR LÄN</t>
        </is>
      </c>
      <c r="E801" t="inlineStr">
        <is>
          <t>VIMMERBY</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46118-2025</t>
        </is>
      </c>
      <c r="B802" s="1" t="n">
        <v>45924.57697916667</v>
      </c>
      <c r="C802" s="1" t="n">
        <v>45964</v>
      </c>
      <c r="D802" t="inlineStr">
        <is>
          <t>KALMAR LÄN</t>
        </is>
      </c>
      <c r="E802" t="inlineStr">
        <is>
          <t>VIMMERBY</t>
        </is>
      </c>
      <c r="G802" t="n">
        <v>2.9</v>
      </c>
      <c r="H802" t="n">
        <v>0</v>
      </c>
      <c r="I802" t="n">
        <v>0</v>
      </c>
      <c r="J802" t="n">
        <v>0</v>
      </c>
      <c r="K802" t="n">
        <v>0</v>
      </c>
      <c r="L802" t="n">
        <v>0</v>
      </c>
      <c r="M802" t="n">
        <v>0</v>
      </c>
      <c r="N802" t="n">
        <v>0</v>
      </c>
      <c r="O802" t="n">
        <v>0</v>
      </c>
      <c r="P802" t="n">
        <v>0</v>
      </c>
      <c r="Q802" t="n">
        <v>0</v>
      </c>
      <c r="R802" s="2" t="inlineStr"/>
    </row>
    <row r="803" ht="15" customHeight="1">
      <c r="A803" t="inlineStr">
        <is>
          <t>A 37939-2025</t>
        </is>
      </c>
      <c r="B803" s="1" t="n">
        <v>45881.59877314815</v>
      </c>
      <c r="C803" s="1" t="n">
        <v>45964</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48723-2025</t>
        </is>
      </c>
      <c r="B804" s="1" t="n">
        <v>45936.65121527778</v>
      </c>
      <c r="C804" s="1" t="n">
        <v>45964</v>
      </c>
      <c r="D804" t="inlineStr">
        <is>
          <t>KALMAR LÄN</t>
        </is>
      </c>
      <c r="E804" t="inlineStr">
        <is>
          <t>VIMMERBY</t>
        </is>
      </c>
      <c r="G804" t="n">
        <v>3</v>
      </c>
      <c r="H804" t="n">
        <v>0</v>
      </c>
      <c r="I804" t="n">
        <v>0</v>
      </c>
      <c r="J804" t="n">
        <v>0</v>
      </c>
      <c r="K804" t="n">
        <v>0</v>
      </c>
      <c r="L804" t="n">
        <v>0</v>
      </c>
      <c r="M804" t="n">
        <v>0</v>
      </c>
      <c r="N804" t="n">
        <v>0</v>
      </c>
      <c r="O804" t="n">
        <v>0</v>
      </c>
      <c r="P804" t="n">
        <v>0</v>
      </c>
      <c r="Q804" t="n">
        <v>0</v>
      </c>
      <c r="R804" s="2" t="inlineStr"/>
    </row>
    <row r="805" ht="15" customHeight="1">
      <c r="A805" t="inlineStr">
        <is>
          <t>A 37866-2025</t>
        </is>
      </c>
      <c r="B805" s="1" t="n">
        <v>45881</v>
      </c>
      <c r="C805" s="1" t="n">
        <v>45964</v>
      </c>
      <c r="D805" t="inlineStr">
        <is>
          <t>KALMAR LÄN</t>
        </is>
      </c>
      <c r="E805" t="inlineStr">
        <is>
          <t>VIMMERBY</t>
        </is>
      </c>
      <c r="G805" t="n">
        <v>3.4</v>
      </c>
      <c r="H805" t="n">
        <v>0</v>
      </c>
      <c r="I805" t="n">
        <v>0</v>
      </c>
      <c r="J805" t="n">
        <v>0</v>
      </c>
      <c r="K805" t="n">
        <v>0</v>
      </c>
      <c r="L805" t="n">
        <v>0</v>
      </c>
      <c r="M805" t="n">
        <v>0</v>
      </c>
      <c r="N805" t="n">
        <v>0</v>
      </c>
      <c r="O805" t="n">
        <v>0</v>
      </c>
      <c r="P805" t="n">
        <v>0</v>
      </c>
      <c r="Q805" t="n">
        <v>0</v>
      </c>
      <c r="R805" s="2" t="inlineStr"/>
    </row>
    <row r="806" ht="15" customHeight="1">
      <c r="A806" t="inlineStr">
        <is>
          <t>A 48600-2025</t>
        </is>
      </c>
      <c r="B806" s="1" t="n">
        <v>45935</v>
      </c>
      <c r="C806" s="1" t="n">
        <v>45964</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46361-2025</t>
        </is>
      </c>
      <c r="B807" s="1" t="n">
        <v>45925.49670138889</v>
      </c>
      <c r="C807" s="1" t="n">
        <v>45964</v>
      </c>
      <c r="D807" t="inlineStr">
        <is>
          <t>KALMAR LÄN</t>
        </is>
      </c>
      <c r="E807" t="inlineStr">
        <is>
          <t>VIMMERBY</t>
        </is>
      </c>
      <c r="G807" t="n">
        <v>4.2</v>
      </c>
      <c r="H807" t="n">
        <v>0</v>
      </c>
      <c r="I807" t="n">
        <v>0</v>
      </c>
      <c r="J807" t="n">
        <v>0</v>
      </c>
      <c r="K807" t="n">
        <v>0</v>
      </c>
      <c r="L807" t="n">
        <v>0</v>
      </c>
      <c r="M807" t="n">
        <v>0</v>
      </c>
      <c r="N807" t="n">
        <v>0</v>
      </c>
      <c r="O807" t="n">
        <v>0</v>
      </c>
      <c r="P807" t="n">
        <v>0</v>
      </c>
      <c r="Q807" t="n">
        <v>0</v>
      </c>
      <c r="R807" s="2" t="inlineStr"/>
    </row>
    <row r="808" ht="15" customHeight="1">
      <c r="A808" t="inlineStr">
        <is>
          <t>A 11111-2024</t>
        </is>
      </c>
      <c r="B808" s="1" t="n">
        <v>45371.36359953704</v>
      </c>
      <c r="C808" s="1" t="n">
        <v>45964</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48408-2025</t>
        </is>
      </c>
      <c r="B809" s="1" t="n">
        <v>45934.40527777778</v>
      </c>
      <c r="C809" s="1" t="n">
        <v>45964</v>
      </c>
      <c r="D809" t="inlineStr">
        <is>
          <t>KALMAR LÄN</t>
        </is>
      </c>
      <c r="E809" t="inlineStr">
        <is>
          <t>VIMMERBY</t>
        </is>
      </c>
      <c r="G809" t="n">
        <v>2.4</v>
      </c>
      <c r="H809" t="n">
        <v>0</v>
      </c>
      <c r="I809" t="n">
        <v>0</v>
      </c>
      <c r="J809" t="n">
        <v>0</v>
      </c>
      <c r="K809" t="n">
        <v>0</v>
      </c>
      <c r="L809" t="n">
        <v>0</v>
      </c>
      <c r="M809" t="n">
        <v>0</v>
      </c>
      <c r="N809" t="n">
        <v>0</v>
      </c>
      <c r="O809" t="n">
        <v>0</v>
      </c>
      <c r="P809" t="n">
        <v>0</v>
      </c>
      <c r="Q809" t="n">
        <v>0</v>
      </c>
      <c r="R809" s="2" t="inlineStr"/>
    </row>
    <row r="810" ht="15" customHeight="1">
      <c r="A810" t="inlineStr">
        <is>
          <t>A 48409-2025</t>
        </is>
      </c>
      <c r="B810" s="1" t="n">
        <v>45934.41387731482</v>
      </c>
      <c r="C810" s="1" t="n">
        <v>45964</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1687-2023</t>
        </is>
      </c>
      <c r="B811" s="1" t="n">
        <v>44938</v>
      </c>
      <c r="C811" s="1" t="n">
        <v>45964</v>
      </c>
      <c r="D811" t="inlineStr">
        <is>
          <t>KALMAR LÄN</t>
        </is>
      </c>
      <c r="E811" t="inlineStr">
        <is>
          <t>VIMMERBY</t>
        </is>
      </c>
      <c r="F811" t="inlineStr">
        <is>
          <t>Kommuner</t>
        </is>
      </c>
      <c r="G811" t="n">
        <v>2.5</v>
      </c>
      <c r="H811" t="n">
        <v>0</v>
      </c>
      <c r="I811" t="n">
        <v>0</v>
      </c>
      <c r="J811" t="n">
        <v>0</v>
      </c>
      <c r="K811" t="n">
        <v>0</v>
      </c>
      <c r="L811" t="n">
        <v>0</v>
      </c>
      <c r="M811" t="n">
        <v>0</v>
      </c>
      <c r="N811" t="n">
        <v>0</v>
      </c>
      <c r="O811" t="n">
        <v>0</v>
      </c>
      <c r="P811" t="n">
        <v>0</v>
      </c>
      <c r="Q811" t="n">
        <v>0</v>
      </c>
      <c r="R811" s="2" t="inlineStr"/>
    </row>
    <row r="812" ht="15" customHeight="1">
      <c r="A812" t="inlineStr">
        <is>
          <t>A 3494-2023</t>
        </is>
      </c>
      <c r="B812" s="1" t="n">
        <v>44949</v>
      </c>
      <c r="C812" s="1" t="n">
        <v>45964</v>
      </c>
      <c r="D812" t="inlineStr">
        <is>
          <t>KALMAR LÄN</t>
        </is>
      </c>
      <c r="E812" t="inlineStr">
        <is>
          <t>VIMMERBY</t>
        </is>
      </c>
      <c r="F812" t="inlineStr">
        <is>
          <t>Kyrkan</t>
        </is>
      </c>
      <c r="G812" t="n">
        <v>0.8</v>
      </c>
      <c r="H812" t="n">
        <v>0</v>
      </c>
      <c r="I812" t="n">
        <v>0</v>
      </c>
      <c r="J812" t="n">
        <v>0</v>
      </c>
      <c r="K812" t="n">
        <v>0</v>
      </c>
      <c r="L812" t="n">
        <v>0</v>
      </c>
      <c r="M812" t="n">
        <v>0</v>
      </c>
      <c r="N812" t="n">
        <v>0</v>
      </c>
      <c r="O812" t="n">
        <v>0</v>
      </c>
      <c r="P812" t="n">
        <v>0</v>
      </c>
      <c r="Q812" t="n">
        <v>0</v>
      </c>
      <c r="R812" s="2" t="inlineStr"/>
    </row>
    <row r="813" ht="15" customHeight="1">
      <c r="A813" t="inlineStr">
        <is>
          <t>A 48712-2025</t>
        </is>
      </c>
      <c r="B813" s="1" t="n">
        <v>45936.63373842592</v>
      </c>
      <c r="C813" s="1" t="n">
        <v>45964</v>
      </c>
      <c r="D813" t="inlineStr">
        <is>
          <t>KALMAR LÄN</t>
        </is>
      </c>
      <c r="E813" t="inlineStr">
        <is>
          <t>VIMMERBY</t>
        </is>
      </c>
      <c r="G813" t="n">
        <v>3</v>
      </c>
      <c r="H813" t="n">
        <v>0</v>
      </c>
      <c r="I813" t="n">
        <v>0</v>
      </c>
      <c r="J813" t="n">
        <v>0</v>
      </c>
      <c r="K813" t="n">
        <v>0</v>
      </c>
      <c r="L813" t="n">
        <v>0</v>
      </c>
      <c r="M813" t="n">
        <v>0</v>
      </c>
      <c r="N813" t="n">
        <v>0</v>
      </c>
      <c r="O813" t="n">
        <v>0</v>
      </c>
      <c r="P813" t="n">
        <v>0</v>
      </c>
      <c r="Q813" t="n">
        <v>0</v>
      </c>
      <c r="R813" s="2" t="inlineStr"/>
    </row>
    <row r="814" ht="15" customHeight="1">
      <c r="A814" t="inlineStr">
        <is>
          <t>A 46365-2025</t>
        </is>
      </c>
      <c r="B814" s="1" t="n">
        <v>45925.50075231482</v>
      </c>
      <c r="C814" s="1" t="n">
        <v>45964</v>
      </c>
      <c r="D814" t="inlineStr">
        <is>
          <t>KALMAR LÄN</t>
        </is>
      </c>
      <c r="E814" t="inlineStr">
        <is>
          <t>VIMMERBY</t>
        </is>
      </c>
      <c r="G814" t="n">
        <v>5.6</v>
      </c>
      <c r="H814" t="n">
        <v>0</v>
      </c>
      <c r="I814" t="n">
        <v>0</v>
      </c>
      <c r="J814" t="n">
        <v>0</v>
      </c>
      <c r="K814" t="n">
        <v>0</v>
      </c>
      <c r="L814" t="n">
        <v>0</v>
      </c>
      <c r="M814" t="n">
        <v>0</v>
      </c>
      <c r="N814" t="n">
        <v>0</v>
      </c>
      <c r="O814" t="n">
        <v>0</v>
      </c>
      <c r="P814" t="n">
        <v>0</v>
      </c>
      <c r="Q814" t="n">
        <v>0</v>
      </c>
      <c r="R814" s="2" t="inlineStr"/>
    </row>
    <row r="815" ht="15" customHeight="1">
      <c r="A815" t="inlineStr">
        <is>
          <t>A 15449-2023</t>
        </is>
      </c>
      <c r="B815" s="1" t="n">
        <v>45020</v>
      </c>
      <c r="C815" s="1" t="n">
        <v>45964</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40925-2025</t>
        </is>
      </c>
      <c r="B816" s="1" t="n">
        <v>45897.64208333333</v>
      </c>
      <c r="C816" s="1" t="n">
        <v>45964</v>
      </c>
      <c r="D816" t="inlineStr">
        <is>
          <t>KALMAR LÄN</t>
        </is>
      </c>
      <c r="E816" t="inlineStr">
        <is>
          <t>VIMMERBY</t>
        </is>
      </c>
      <c r="G816" t="n">
        <v>1.9</v>
      </c>
      <c r="H816" t="n">
        <v>0</v>
      </c>
      <c r="I816" t="n">
        <v>0</v>
      </c>
      <c r="J816" t="n">
        <v>0</v>
      </c>
      <c r="K816" t="n">
        <v>0</v>
      </c>
      <c r="L816" t="n">
        <v>0</v>
      </c>
      <c r="M816" t="n">
        <v>0</v>
      </c>
      <c r="N816" t="n">
        <v>0</v>
      </c>
      <c r="O816" t="n">
        <v>0</v>
      </c>
      <c r="P816" t="n">
        <v>0</v>
      </c>
      <c r="Q816" t="n">
        <v>0</v>
      </c>
      <c r="R816" s="2" t="inlineStr"/>
    </row>
    <row r="817" ht="15" customHeight="1">
      <c r="A817" t="inlineStr">
        <is>
          <t>A 43242-2024</t>
        </is>
      </c>
      <c r="B817" s="1" t="n">
        <v>45568.30189814815</v>
      </c>
      <c r="C817" s="1" t="n">
        <v>45964</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40921-2025</t>
        </is>
      </c>
      <c r="B818" s="1" t="n">
        <v>45897.63520833333</v>
      </c>
      <c r="C818" s="1" t="n">
        <v>45964</v>
      </c>
      <c r="D818" t="inlineStr">
        <is>
          <t>KALMAR LÄN</t>
        </is>
      </c>
      <c r="E818" t="inlineStr">
        <is>
          <t>VIMMERBY</t>
        </is>
      </c>
      <c r="G818" t="n">
        <v>4.2</v>
      </c>
      <c r="H818" t="n">
        <v>0</v>
      </c>
      <c r="I818" t="n">
        <v>0</v>
      </c>
      <c r="J818" t="n">
        <v>0</v>
      </c>
      <c r="K818" t="n">
        <v>0</v>
      </c>
      <c r="L818" t="n">
        <v>0</v>
      </c>
      <c r="M818" t="n">
        <v>0</v>
      </c>
      <c r="N818" t="n">
        <v>0</v>
      </c>
      <c r="O818" t="n">
        <v>0</v>
      </c>
      <c r="P818" t="n">
        <v>0</v>
      </c>
      <c r="Q818" t="n">
        <v>0</v>
      </c>
      <c r="R818" s="2" t="inlineStr"/>
    </row>
    <row r="819" ht="15" customHeight="1">
      <c r="A819" t="inlineStr">
        <is>
          <t>A 61878-2020</t>
        </is>
      </c>
      <c r="B819" s="1" t="n">
        <v>44159</v>
      </c>
      <c r="C819" s="1" t="n">
        <v>45964</v>
      </c>
      <c r="D819" t="inlineStr">
        <is>
          <t>KALMAR LÄN</t>
        </is>
      </c>
      <c r="E819" t="inlineStr">
        <is>
          <t>VIMMERBY</t>
        </is>
      </c>
      <c r="G819" t="n">
        <v>0.5</v>
      </c>
      <c r="H819" t="n">
        <v>0</v>
      </c>
      <c r="I819" t="n">
        <v>0</v>
      </c>
      <c r="J819" t="n">
        <v>0</v>
      </c>
      <c r="K819" t="n">
        <v>0</v>
      </c>
      <c r="L819" t="n">
        <v>0</v>
      </c>
      <c r="M819" t="n">
        <v>0</v>
      </c>
      <c r="N819" t="n">
        <v>0</v>
      </c>
      <c r="O819" t="n">
        <v>0</v>
      </c>
      <c r="P819" t="n">
        <v>0</v>
      </c>
      <c r="Q819" t="n">
        <v>0</v>
      </c>
      <c r="R819" s="2" t="inlineStr"/>
    </row>
    <row r="820" ht="15" customHeight="1">
      <c r="A820" t="inlineStr">
        <is>
          <t>A 56853-2022</t>
        </is>
      </c>
      <c r="B820" s="1" t="n">
        <v>44894.49538194444</v>
      </c>
      <c r="C820" s="1" t="n">
        <v>45964</v>
      </c>
      <c r="D820" t="inlineStr">
        <is>
          <t>KALMAR LÄN</t>
        </is>
      </c>
      <c r="E820" t="inlineStr">
        <is>
          <t>VIMMERBY</t>
        </is>
      </c>
      <c r="G820" t="n">
        <v>4.3</v>
      </c>
      <c r="H820" t="n">
        <v>0</v>
      </c>
      <c r="I820" t="n">
        <v>0</v>
      </c>
      <c r="J820" t="n">
        <v>0</v>
      </c>
      <c r="K820" t="n">
        <v>0</v>
      </c>
      <c r="L820" t="n">
        <v>0</v>
      </c>
      <c r="M820" t="n">
        <v>0</v>
      </c>
      <c r="N820" t="n">
        <v>0</v>
      </c>
      <c r="O820" t="n">
        <v>0</v>
      </c>
      <c r="P820" t="n">
        <v>0</v>
      </c>
      <c r="Q820" t="n">
        <v>0</v>
      </c>
      <c r="R820" s="2" t="inlineStr"/>
    </row>
    <row r="821" ht="15" customHeight="1">
      <c r="A821" t="inlineStr">
        <is>
          <t>A 65049-2020</t>
        </is>
      </c>
      <c r="B821" s="1" t="n">
        <v>44172</v>
      </c>
      <c r="C821" s="1" t="n">
        <v>45964</v>
      </c>
      <c r="D821" t="inlineStr">
        <is>
          <t>KALMAR LÄN</t>
        </is>
      </c>
      <c r="E821" t="inlineStr">
        <is>
          <t>VIMMERBY</t>
        </is>
      </c>
      <c r="G821" t="n">
        <v>2.3</v>
      </c>
      <c r="H821" t="n">
        <v>0</v>
      </c>
      <c r="I821" t="n">
        <v>0</v>
      </c>
      <c r="J821" t="n">
        <v>0</v>
      </c>
      <c r="K821" t="n">
        <v>0</v>
      </c>
      <c r="L821" t="n">
        <v>0</v>
      </c>
      <c r="M821" t="n">
        <v>0</v>
      </c>
      <c r="N821" t="n">
        <v>0</v>
      </c>
      <c r="O821" t="n">
        <v>0</v>
      </c>
      <c r="P821" t="n">
        <v>0</v>
      </c>
      <c r="Q821" t="n">
        <v>0</v>
      </c>
      <c r="R821" s="2" t="inlineStr"/>
    </row>
    <row r="822" ht="15" customHeight="1">
      <c r="A822" t="inlineStr">
        <is>
          <t>A 33815-2022</t>
        </is>
      </c>
      <c r="B822" s="1" t="n">
        <v>44790.45876157407</v>
      </c>
      <c r="C822" s="1" t="n">
        <v>45964</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33842-2022</t>
        </is>
      </c>
      <c r="B823" s="1" t="n">
        <v>44790.49523148148</v>
      </c>
      <c r="C823" s="1" t="n">
        <v>45964</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45855-2025</t>
        </is>
      </c>
      <c r="B824" s="1" t="n">
        <v>45923</v>
      </c>
      <c r="C824" s="1" t="n">
        <v>45964</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41224-2025</t>
        </is>
      </c>
      <c r="B825" s="1" t="n">
        <v>45898.58861111111</v>
      </c>
      <c r="C825" s="1" t="n">
        <v>45964</v>
      </c>
      <c r="D825" t="inlineStr">
        <is>
          <t>KALMAR LÄN</t>
        </is>
      </c>
      <c r="E825" t="inlineStr">
        <is>
          <t>VIMMERBY</t>
        </is>
      </c>
      <c r="G825" t="n">
        <v>4.4</v>
      </c>
      <c r="H825" t="n">
        <v>0</v>
      </c>
      <c r="I825" t="n">
        <v>0</v>
      </c>
      <c r="J825" t="n">
        <v>0</v>
      </c>
      <c r="K825" t="n">
        <v>0</v>
      </c>
      <c r="L825" t="n">
        <v>0</v>
      </c>
      <c r="M825" t="n">
        <v>0</v>
      </c>
      <c r="N825" t="n">
        <v>0</v>
      </c>
      <c r="O825" t="n">
        <v>0</v>
      </c>
      <c r="P825" t="n">
        <v>0</v>
      </c>
      <c r="Q825" t="n">
        <v>0</v>
      </c>
      <c r="R825" s="2" t="inlineStr"/>
    </row>
    <row r="826" ht="15" customHeight="1">
      <c r="A826" t="inlineStr">
        <is>
          <t>A 49871-2025</t>
        </is>
      </c>
      <c r="B826" s="1" t="n">
        <v>45940.54104166666</v>
      </c>
      <c r="C826" s="1" t="n">
        <v>45964</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49408-2023</t>
        </is>
      </c>
      <c r="B827" s="1" t="n">
        <v>45211.43555555555</v>
      </c>
      <c r="C827" s="1" t="n">
        <v>45964</v>
      </c>
      <c r="D827" t="inlineStr">
        <is>
          <t>KALMAR LÄN</t>
        </is>
      </c>
      <c r="E827" t="inlineStr">
        <is>
          <t>VIMMERBY</t>
        </is>
      </c>
      <c r="G827" t="n">
        <v>13.1</v>
      </c>
      <c r="H827" t="n">
        <v>0</v>
      </c>
      <c r="I827" t="n">
        <v>0</v>
      </c>
      <c r="J827" t="n">
        <v>0</v>
      </c>
      <c r="K827" t="n">
        <v>0</v>
      </c>
      <c r="L827" t="n">
        <v>0</v>
      </c>
      <c r="M827" t="n">
        <v>0</v>
      </c>
      <c r="N827" t="n">
        <v>0</v>
      </c>
      <c r="O827" t="n">
        <v>0</v>
      </c>
      <c r="P827" t="n">
        <v>0</v>
      </c>
      <c r="Q827" t="n">
        <v>0</v>
      </c>
      <c r="R827" s="2" t="inlineStr"/>
    </row>
    <row r="828" ht="15" customHeight="1">
      <c r="A828" t="inlineStr">
        <is>
          <t>A 56536-2022</t>
        </is>
      </c>
      <c r="B828" s="1" t="n">
        <v>44893</v>
      </c>
      <c r="C828" s="1" t="n">
        <v>45964</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41199-2023</t>
        </is>
      </c>
      <c r="B829" s="1" t="n">
        <v>45174.40454861111</v>
      </c>
      <c r="C829" s="1" t="n">
        <v>45964</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41591-2025</t>
        </is>
      </c>
      <c r="B830" s="1" t="n">
        <v>45901.6327662037</v>
      </c>
      <c r="C830" s="1" t="n">
        <v>45964</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40971-2025</t>
        </is>
      </c>
      <c r="B831" s="1" t="n">
        <v>45897.88836805556</v>
      </c>
      <c r="C831" s="1" t="n">
        <v>45964</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41589-2025</t>
        </is>
      </c>
      <c r="B832" s="1" t="n">
        <v>45901.63219907408</v>
      </c>
      <c r="C832" s="1" t="n">
        <v>45964</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40970-2025</t>
        </is>
      </c>
      <c r="B833" s="1" t="n">
        <v>45897.88706018519</v>
      </c>
      <c r="C833" s="1" t="n">
        <v>45964</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40973-2025</t>
        </is>
      </c>
      <c r="B834" s="1" t="n">
        <v>45897.89737268518</v>
      </c>
      <c r="C834" s="1" t="n">
        <v>45964</v>
      </c>
      <c r="D834" t="inlineStr">
        <is>
          <t>KALMAR LÄN</t>
        </is>
      </c>
      <c r="E834" t="inlineStr">
        <is>
          <t>VIMMERBY</t>
        </is>
      </c>
      <c r="G834" t="n">
        <v>1.8</v>
      </c>
      <c r="H834" t="n">
        <v>0</v>
      </c>
      <c r="I834" t="n">
        <v>0</v>
      </c>
      <c r="J834" t="n">
        <v>0</v>
      </c>
      <c r="K834" t="n">
        <v>0</v>
      </c>
      <c r="L834" t="n">
        <v>0</v>
      </c>
      <c r="M834" t="n">
        <v>0</v>
      </c>
      <c r="N834" t="n">
        <v>0</v>
      </c>
      <c r="O834" t="n">
        <v>0</v>
      </c>
      <c r="P834" t="n">
        <v>0</v>
      </c>
      <c r="Q834" t="n">
        <v>0</v>
      </c>
      <c r="R834" s="2" t="inlineStr"/>
    </row>
    <row r="835" ht="15" customHeight="1">
      <c r="A835" t="inlineStr">
        <is>
          <t>A 8945-2025</t>
        </is>
      </c>
      <c r="B835" s="1" t="n">
        <v>45713.45311342592</v>
      </c>
      <c r="C835" s="1" t="n">
        <v>45964</v>
      </c>
      <c r="D835" t="inlineStr">
        <is>
          <t>KALMAR LÄN</t>
        </is>
      </c>
      <c r="E835" t="inlineStr">
        <is>
          <t>VIMMERBY</t>
        </is>
      </c>
      <c r="G835" t="n">
        <v>0.6</v>
      </c>
      <c r="H835" t="n">
        <v>0</v>
      </c>
      <c r="I835" t="n">
        <v>0</v>
      </c>
      <c r="J835" t="n">
        <v>0</v>
      </c>
      <c r="K835" t="n">
        <v>0</v>
      </c>
      <c r="L835" t="n">
        <v>0</v>
      </c>
      <c r="M835" t="n">
        <v>0</v>
      </c>
      <c r="N835" t="n">
        <v>0</v>
      </c>
      <c r="O835" t="n">
        <v>0</v>
      </c>
      <c r="P835" t="n">
        <v>0</v>
      </c>
      <c r="Q835" t="n">
        <v>0</v>
      </c>
      <c r="R835" s="2" t="inlineStr"/>
    </row>
    <row r="836" ht="15" customHeight="1">
      <c r="A836" t="inlineStr">
        <is>
          <t>A 34090-2025</t>
        </is>
      </c>
      <c r="B836" s="1" t="n">
        <v>45845</v>
      </c>
      <c r="C836" s="1" t="n">
        <v>45964</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50324-2025</t>
        </is>
      </c>
      <c r="B837" s="1" t="n">
        <v>45944.45962962963</v>
      </c>
      <c r="C837" s="1" t="n">
        <v>45964</v>
      </c>
      <c r="D837" t="inlineStr">
        <is>
          <t>KALMAR LÄN</t>
        </is>
      </c>
      <c r="E837" t="inlineStr">
        <is>
          <t>VIMMERBY</t>
        </is>
      </c>
      <c r="G837" t="n">
        <v>2.1</v>
      </c>
      <c r="H837" t="n">
        <v>0</v>
      </c>
      <c r="I837" t="n">
        <v>0</v>
      </c>
      <c r="J837" t="n">
        <v>0</v>
      </c>
      <c r="K837" t="n">
        <v>0</v>
      </c>
      <c r="L837" t="n">
        <v>0</v>
      </c>
      <c r="M837" t="n">
        <v>0</v>
      </c>
      <c r="N837" t="n">
        <v>0</v>
      </c>
      <c r="O837" t="n">
        <v>0</v>
      </c>
      <c r="P837" t="n">
        <v>0</v>
      </c>
      <c r="Q837" t="n">
        <v>0</v>
      </c>
      <c r="R837" s="2" t="inlineStr"/>
    </row>
    <row r="838" ht="15" customHeight="1">
      <c r="A838" t="inlineStr">
        <is>
          <t>A 41735-2025</t>
        </is>
      </c>
      <c r="B838" s="1" t="n">
        <v>45902.47164351852</v>
      </c>
      <c r="C838" s="1" t="n">
        <v>45964</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50544-2025</t>
        </is>
      </c>
      <c r="B839" s="1" t="n">
        <v>45945.50736111111</v>
      </c>
      <c r="C839" s="1" t="n">
        <v>45964</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51062-2025</t>
        </is>
      </c>
      <c r="B840" s="1" t="n">
        <v>45947.44685185186</v>
      </c>
      <c r="C840" s="1" t="n">
        <v>45964</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42828-2025</t>
        </is>
      </c>
      <c r="B841" s="1" t="n">
        <v>45908.57716435185</v>
      </c>
      <c r="C841" s="1" t="n">
        <v>45964</v>
      </c>
      <c r="D841" t="inlineStr">
        <is>
          <t>KALMAR LÄN</t>
        </is>
      </c>
      <c r="E841" t="inlineStr">
        <is>
          <t>VIMMERBY</t>
        </is>
      </c>
      <c r="G841" t="n">
        <v>5.2</v>
      </c>
      <c r="H841" t="n">
        <v>0</v>
      </c>
      <c r="I841" t="n">
        <v>0</v>
      </c>
      <c r="J841" t="n">
        <v>0</v>
      </c>
      <c r="K841" t="n">
        <v>0</v>
      </c>
      <c r="L841" t="n">
        <v>0</v>
      </c>
      <c r="M841" t="n">
        <v>0</v>
      </c>
      <c r="N841" t="n">
        <v>0</v>
      </c>
      <c r="O841" t="n">
        <v>0</v>
      </c>
      <c r="P841" t="n">
        <v>0</v>
      </c>
      <c r="Q841" t="n">
        <v>0</v>
      </c>
      <c r="R841" s="2" t="inlineStr"/>
    </row>
    <row r="842" ht="15" customHeight="1">
      <c r="A842" t="inlineStr">
        <is>
          <t>A 42794-2025</t>
        </is>
      </c>
      <c r="B842" s="1" t="n">
        <v>45908</v>
      </c>
      <c r="C842" s="1" t="n">
        <v>45964</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42820-2025</t>
        </is>
      </c>
      <c r="B843" s="1" t="n">
        <v>45908</v>
      </c>
      <c r="C843" s="1" t="n">
        <v>45964</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34060-2025</t>
        </is>
      </c>
      <c r="B844" s="1" t="n">
        <v>45845.42015046296</v>
      </c>
      <c r="C844" s="1" t="n">
        <v>45964</v>
      </c>
      <c r="D844" t="inlineStr">
        <is>
          <t>KALMAR LÄN</t>
        </is>
      </c>
      <c r="E844" t="inlineStr">
        <is>
          <t>VIMMERBY</t>
        </is>
      </c>
      <c r="G844" t="n">
        <v>5.7</v>
      </c>
      <c r="H844" t="n">
        <v>0</v>
      </c>
      <c r="I844" t="n">
        <v>0</v>
      </c>
      <c r="J844" t="n">
        <v>0</v>
      </c>
      <c r="K844" t="n">
        <v>0</v>
      </c>
      <c r="L844" t="n">
        <v>0</v>
      </c>
      <c r="M844" t="n">
        <v>0</v>
      </c>
      <c r="N844" t="n">
        <v>0</v>
      </c>
      <c r="O844" t="n">
        <v>0</v>
      </c>
      <c r="P844" t="n">
        <v>0</v>
      </c>
      <c r="Q844" t="n">
        <v>0</v>
      </c>
      <c r="R844" s="2" t="inlineStr"/>
    </row>
    <row r="845" ht="15" customHeight="1">
      <c r="A845" t="inlineStr">
        <is>
          <t>A 43465-2025</t>
        </is>
      </c>
      <c r="B845" s="1" t="n">
        <v>45911.47138888889</v>
      </c>
      <c r="C845" s="1" t="n">
        <v>45964</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51990-2025</t>
        </is>
      </c>
      <c r="B846" s="1" t="n">
        <v>45952.58061342593</v>
      </c>
      <c r="C846" s="1" t="n">
        <v>45964</v>
      </c>
      <c r="D846" t="inlineStr">
        <is>
          <t>KALMAR LÄN</t>
        </is>
      </c>
      <c r="E846" t="inlineStr">
        <is>
          <t>VIMMERBY</t>
        </is>
      </c>
      <c r="G846" t="n">
        <v>2.4</v>
      </c>
      <c r="H846" t="n">
        <v>0</v>
      </c>
      <c r="I846" t="n">
        <v>0</v>
      </c>
      <c r="J846" t="n">
        <v>0</v>
      </c>
      <c r="K846" t="n">
        <v>0</v>
      </c>
      <c r="L846" t="n">
        <v>0</v>
      </c>
      <c r="M846" t="n">
        <v>0</v>
      </c>
      <c r="N846" t="n">
        <v>0</v>
      </c>
      <c r="O846" t="n">
        <v>0</v>
      </c>
      <c r="P846" t="n">
        <v>0</v>
      </c>
      <c r="Q846" t="n">
        <v>0</v>
      </c>
      <c r="R846" s="2" t="inlineStr"/>
    </row>
    <row r="847" ht="15" customHeight="1">
      <c r="A847" t="inlineStr">
        <is>
          <t>A 43617-2025</t>
        </is>
      </c>
      <c r="B847" s="1" t="n">
        <v>45911.67798611111</v>
      </c>
      <c r="C847" s="1" t="n">
        <v>45964</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51993-2025</t>
        </is>
      </c>
      <c r="B848" s="1" t="n">
        <v>45952.58194444444</v>
      </c>
      <c r="C848" s="1" t="n">
        <v>45964</v>
      </c>
      <c r="D848" t="inlineStr">
        <is>
          <t>KALMAR LÄN</t>
        </is>
      </c>
      <c r="E848" t="inlineStr">
        <is>
          <t>VIMMERBY</t>
        </is>
      </c>
      <c r="G848" t="n">
        <v>2.8</v>
      </c>
      <c r="H848" t="n">
        <v>0</v>
      </c>
      <c r="I848" t="n">
        <v>0</v>
      </c>
      <c r="J848" t="n">
        <v>0</v>
      </c>
      <c r="K848" t="n">
        <v>0</v>
      </c>
      <c r="L848" t="n">
        <v>0</v>
      </c>
      <c r="M848" t="n">
        <v>0</v>
      </c>
      <c r="N848" t="n">
        <v>0</v>
      </c>
      <c r="O848" t="n">
        <v>0</v>
      </c>
      <c r="P848" t="n">
        <v>0</v>
      </c>
      <c r="Q848" t="n">
        <v>0</v>
      </c>
      <c r="R848" s="2" t="inlineStr"/>
    </row>
    <row r="849" ht="15" customHeight="1">
      <c r="A849" t="inlineStr">
        <is>
          <t>A 44095-2025</t>
        </is>
      </c>
      <c r="B849" s="1" t="n">
        <v>45915.56430555556</v>
      </c>
      <c r="C849" s="1" t="n">
        <v>45964</v>
      </c>
      <c r="D849" t="inlineStr">
        <is>
          <t>KALMAR LÄN</t>
        </is>
      </c>
      <c r="E849" t="inlineStr">
        <is>
          <t>VIMMERBY</t>
        </is>
      </c>
      <c r="G849" t="n">
        <v>2.4</v>
      </c>
      <c r="H849" t="n">
        <v>0</v>
      </c>
      <c r="I849" t="n">
        <v>0</v>
      </c>
      <c r="J849" t="n">
        <v>0</v>
      </c>
      <c r="K849" t="n">
        <v>0</v>
      </c>
      <c r="L849" t="n">
        <v>0</v>
      </c>
      <c r="M849" t="n">
        <v>0</v>
      </c>
      <c r="N849" t="n">
        <v>0</v>
      </c>
      <c r="O849" t="n">
        <v>0</v>
      </c>
      <c r="P849" t="n">
        <v>0</v>
      </c>
      <c r="Q849" t="n">
        <v>0</v>
      </c>
      <c r="R849" s="2" t="inlineStr"/>
    </row>
    <row r="850" ht="15" customHeight="1">
      <c r="A850" t="inlineStr">
        <is>
          <t>A 52451-2025</t>
        </is>
      </c>
      <c r="B850" s="1" t="n">
        <v>45954.42326388889</v>
      </c>
      <c r="C850" s="1" t="n">
        <v>45964</v>
      </c>
      <c r="D850" t="inlineStr">
        <is>
          <t>KALMAR LÄN</t>
        </is>
      </c>
      <c r="E850" t="inlineStr">
        <is>
          <t>VIMMERBY</t>
        </is>
      </c>
      <c r="G850" t="n">
        <v>2.8</v>
      </c>
      <c r="H850" t="n">
        <v>0</v>
      </c>
      <c r="I850" t="n">
        <v>0</v>
      </c>
      <c r="J850" t="n">
        <v>0</v>
      </c>
      <c r="K850" t="n">
        <v>0</v>
      </c>
      <c r="L850" t="n">
        <v>0</v>
      </c>
      <c r="M850" t="n">
        <v>0</v>
      </c>
      <c r="N850" t="n">
        <v>0</v>
      </c>
      <c r="O850" t="n">
        <v>0</v>
      </c>
      <c r="P850" t="n">
        <v>0</v>
      </c>
      <c r="Q850" t="n">
        <v>0</v>
      </c>
      <c r="R850" s="2" t="inlineStr"/>
    </row>
    <row r="851" ht="15" customHeight="1">
      <c r="A851" t="inlineStr">
        <is>
          <t>A 52473-2025</t>
        </is>
      </c>
      <c r="B851" s="1" t="n">
        <v>45954.45947916667</v>
      </c>
      <c r="C851" s="1" t="n">
        <v>45964</v>
      </c>
      <c r="D851" t="inlineStr">
        <is>
          <t>KALMAR LÄN</t>
        </is>
      </c>
      <c r="E851" t="inlineStr">
        <is>
          <t>VIMMERBY</t>
        </is>
      </c>
      <c r="G851" t="n">
        <v>2.4</v>
      </c>
      <c r="H851" t="n">
        <v>0</v>
      </c>
      <c r="I851" t="n">
        <v>0</v>
      </c>
      <c r="J851" t="n">
        <v>0</v>
      </c>
      <c r="K851" t="n">
        <v>0</v>
      </c>
      <c r="L851" t="n">
        <v>0</v>
      </c>
      <c r="M851" t="n">
        <v>0</v>
      </c>
      <c r="N851" t="n">
        <v>0</v>
      </c>
      <c r="O851" t="n">
        <v>0</v>
      </c>
      <c r="P851" t="n">
        <v>0</v>
      </c>
      <c r="Q851" t="n">
        <v>0</v>
      </c>
      <c r="R851" s="2" t="inlineStr"/>
    </row>
    <row r="852" ht="15" customHeight="1">
      <c r="A852" t="inlineStr">
        <is>
          <t>A 52480-2025</t>
        </is>
      </c>
      <c r="B852" s="1" t="n">
        <v>45954.47172453703</v>
      </c>
      <c r="C852" s="1" t="n">
        <v>45964</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44091-2025</t>
        </is>
      </c>
      <c r="B853" s="1" t="n">
        <v>45915.55950231481</v>
      </c>
      <c r="C853" s="1" t="n">
        <v>45964</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row r="854" ht="15" customHeight="1">
      <c r="A854" t="inlineStr">
        <is>
          <t>A 52466-2025</t>
        </is>
      </c>
      <c r="B854" s="1" t="n">
        <v>45954.44707175926</v>
      </c>
      <c r="C854" s="1" t="n">
        <v>45964</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52475-2025</t>
        </is>
      </c>
      <c r="B855" s="1" t="n">
        <v>45954.468125</v>
      </c>
      <c r="C855" s="1" t="n">
        <v>45964</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52465-2025</t>
        </is>
      </c>
      <c r="B856" s="1" t="n">
        <v>45954.44543981482</v>
      </c>
      <c r="C856" s="1" t="n">
        <v>45964</v>
      </c>
      <c r="D856" t="inlineStr">
        <is>
          <t>KALMAR LÄN</t>
        </is>
      </c>
      <c r="E856" t="inlineStr">
        <is>
          <t>VIMMERBY</t>
        </is>
      </c>
      <c r="G856" t="n">
        <v>0.9</v>
      </c>
      <c r="H856" t="n">
        <v>0</v>
      </c>
      <c r="I856" t="n">
        <v>0</v>
      </c>
      <c r="J856" t="n">
        <v>0</v>
      </c>
      <c r="K856" t="n">
        <v>0</v>
      </c>
      <c r="L856" t="n">
        <v>0</v>
      </c>
      <c r="M856" t="n">
        <v>0</v>
      </c>
      <c r="N856" t="n">
        <v>0</v>
      </c>
      <c r="O856" t="n">
        <v>0</v>
      </c>
      <c r="P856" t="n">
        <v>0</v>
      </c>
      <c r="Q856" t="n">
        <v>0</v>
      </c>
      <c r="R856" s="2" t="inlineStr"/>
    </row>
    <row r="857" ht="15" customHeight="1">
      <c r="A857" t="inlineStr">
        <is>
          <t>A 52516-2025</t>
        </is>
      </c>
      <c r="B857" s="1" t="n">
        <v>45954.51412037037</v>
      </c>
      <c r="C857" s="1" t="n">
        <v>45964</v>
      </c>
      <c r="D857" t="inlineStr">
        <is>
          <t>KALMAR LÄN</t>
        </is>
      </c>
      <c r="E857" t="inlineStr">
        <is>
          <t>VIMMERBY</t>
        </is>
      </c>
      <c r="G857" t="n">
        <v>2.8</v>
      </c>
      <c r="H857" t="n">
        <v>0</v>
      </c>
      <c r="I857" t="n">
        <v>0</v>
      </c>
      <c r="J857" t="n">
        <v>0</v>
      </c>
      <c r="K857" t="n">
        <v>0</v>
      </c>
      <c r="L857" t="n">
        <v>0</v>
      </c>
      <c r="M857" t="n">
        <v>0</v>
      </c>
      <c r="N857" t="n">
        <v>0</v>
      </c>
      <c r="O857" t="n">
        <v>0</v>
      </c>
      <c r="P857" t="n">
        <v>0</v>
      </c>
      <c r="Q857" t="n">
        <v>0</v>
      </c>
      <c r="R857" s="2" t="inlineStr"/>
    </row>
    <row r="858" ht="15" customHeight="1">
      <c r="A858" t="inlineStr">
        <is>
          <t>A 53393-2025</t>
        </is>
      </c>
      <c r="B858" s="1" t="n">
        <v>45959.55284722222</v>
      </c>
      <c r="C858" s="1" t="n">
        <v>45964</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53398-2025</t>
        </is>
      </c>
      <c r="B859" s="1" t="n">
        <v>45959.56247685185</v>
      </c>
      <c r="C859" s="1" t="n">
        <v>45964</v>
      </c>
      <c r="D859" t="inlineStr">
        <is>
          <t>KALMAR LÄN</t>
        </is>
      </c>
      <c r="E859" t="inlineStr">
        <is>
          <t>VIMMERBY</t>
        </is>
      </c>
      <c r="G859" t="n">
        <v>0.8</v>
      </c>
      <c r="H859" t="n">
        <v>0</v>
      </c>
      <c r="I859" t="n">
        <v>0</v>
      </c>
      <c r="J859" t="n">
        <v>0</v>
      </c>
      <c r="K859" t="n">
        <v>0</v>
      </c>
      <c r="L859" t="n">
        <v>0</v>
      </c>
      <c r="M859" t="n">
        <v>0</v>
      </c>
      <c r="N859" t="n">
        <v>0</v>
      </c>
      <c r="O859" t="n">
        <v>0</v>
      </c>
      <c r="P859" t="n">
        <v>0</v>
      </c>
      <c r="Q859" t="n">
        <v>0</v>
      </c>
      <c r="R859" s="2" t="inlineStr"/>
    </row>
    <row r="860" ht="15" customHeight="1">
      <c r="A860" t="inlineStr">
        <is>
          <t>A 53400-2025</t>
        </is>
      </c>
      <c r="B860" s="1" t="n">
        <v>45959.56684027778</v>
      </c>
      <c r="C860" s="1" t="n">
        <v>45964</v>
      </c>
      <c r="D860" t="inlineStr">
        <is>
          <t>KALMAR LÄN</t>
        </is>
      </c>
      <c r="E860" t="inlineStr">
        <is>
          <t>VIMMERBY</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44517-2025</t>
        </is>
      </c>
      <c r="B861" s="1" t="n">
        <v>45916.7103587963</v>
      </c>
      <c r="C861" s="1" t="n">
        <v>45964</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44742-2025</t>
        </is>
      </c>
      <c r="B862" s="1" t="n">
        <v>45917.67054398148</v>
      </c>
      <c r="C862" s="1" t="n">
        <v>45964</v>
      </c>
      <c r="D862" t="inlineStr">
        <is>
          <t>KALMAR LÄN</t>
        </is>
      </c>
      <c r="E862" t="inlineStr">
        <is>
          <t>VIMMERBY</t>
        </is>
      </c>
      <c r="G862" t="n">
        <v>4.7</v>
      </c>
      <c r="H862" t="n">
        <v>0</v>
      </c>
      <c r="I862" t="n">
        <v>0</v>
      </c>
      <c r="J862" t="n">
        <v>0</v>
      </c>
      <c r="K862" t="n">
        <v>0</v>
      </c>
      <c r="L862" t="n">
        <v>0</v>
      </c>
      <c r="M862" t="n">
        <v>0</v>
      </c>
      <c r="N862" t="n">
        <v>0</v>
      </c>
      <c r="O862" t="n">
        <v>0</v>
      </c>
      <c r="P862" t="n">
        <v>0</v>
      </c>
      <c r="Q862" t="n">
        <v>0</v>
      </c>
      <c r="R862" s="2" t="inlineStr"/>
    </row>
    <row r="863" ht="15" customHeight="1">
      <c r="A863" t="inlineStr">
        <is>
          <t>A 44329-2025</t>
        </is>
      </c>
      <c r="B863" s="1" t="n">
        <v>45916.41019675926</v>
      </c>
      <c r="C863" s="1" t="n">
        <v>45964</v>
      </c>
      <c r="D863" t="inlineStr">
        <is>
          <t>KALMAR LÄN</t>
        </is>
      </c>
      <c r="E863" t="inlineStr">
        <is>
          <t>VIMMERBY</t>
        </is>
      </c>
      <c r="G863" t="n">
        <v>4.3</v>
      </c>
      <c r="H863" t="n">
        <v>0</v>
      </c>
      <c r="I863" t="n">
        <v>0</v>
      </c>
      <c r="J863" t="n">
        <v>0</v>
      </c>
      <c r="K863" t="n">
        <v>0</v>
      </c>
      <c r="L863" t="n">
        <v>0</v>
      </c>
      <c r="M863" t="n">
        <v>0</v>
      </c>
      <c r="N863" t="n">
        <v>0</v>
      </c>
      <c r="O863" t="n">
        <v>0</v>
      </c>
      <c r="P863" t="n">
        <v>0</v>
      </c>
      <c r="Q863" t="n">
        <v>0</v>
      </c>
      <c r="R863" s="2" t="inlineStr"/>
    </row>
    <row r="864" ht="15" customHeight="1">
      <c r="A864" t="inlineStr">
        <is>
          <t>A 41896-2025</t>
        </is>
      </c>
      <c r="B864" s="1" t="n">
        <v>45903.38800925926</v>
      </c>
      <c r="C864" s="1" t="n">
        <v>45964</v>
      </c>
      <c r="D864" t="inlineStr">
        <is>
          <t>KALMAR LÄN</t>
        </is>
      </c>
      <c r="E864" t="inlineStr">
        <is>
          <t>VIMMERBY</t>
        </is>
      </c>
      <c r="G864" t="n">
        <v>2.9</v>
      </c>
      <c r="H864" t="n">
        <v>0</v>
      </c>
      <c r="I864" t="n">
        <v>0</v>
      </c>
      <c r="J864" t="n">
        <v>0</v>
      </c>
      <c r="K864" t="n">
        <v>0</v>
      </c>
      <c r="L864" t="n">
        <v>0</v>
      </c>
      <c r="M864" t="n">
        <v>0</v>
      </c>
      <c r="N864" t="n">
        <v>0</v>
      </c>
      <c r="O864" t="n">
        <v>0</v>
      </c>
      <c r="P864" t="n">
        <v>0</v>
      </c>
      <c r="Q864" t="n">
        <v>0</v>
      </c>
      <c r="R864" s="2" t="inlineStr"/>
    </row>
    <row r="865" ht="15" customHeight="1">
      <c r="A865" t="inlineStr">
        <is>
          <t>A 53404-2025</t>
        </is>
      </c>
      <c r="B865" s="1" t="n">
        <v>45959.57126157408</v>
      </c>
      <c r="C865" s="1" t="n">
        <v>45964</v>
      </c>
      <c r="D865" t="inlineStr">
        <is>
          <t>KALMAR LÄN</t>
        </is>
      </c>
      <c r="E865" t="inlineStr">
        <is>
          <t>VIMMERBY</t>
        </is>
      </c>
      <c r="G865" t="n">
        <v>6.4</v>
      </c>
      <c r="H865" t="n">
        <v>0</v>
      </c>
      <c r="I865" t="n">
        <v>0</v>
      </c>
      <c r="J865" t="n">
        <v>0</v>
      </c>
      <c r="K865" t="n">
        <v>0</v>
      </c>
      <c r="L865" t="n">
        <v>0</v>
      </c>
      <c r="M865" t="n">
        <v>0</v>
      </c>
      <c r="N865" t="n">
        <v>0</v>
      </c>
      <c r="O865" t="n">
        <v>0</v>
      </c>
      <c r="P865" t="n">
        <v>0</v>
      </c>
      <c r="Q865" t="n">
        <v>0</v>
      </c>
      <c r="R865" s="2" t="inlineStr"/>
    </row>
    <row r="866" ht="15" customHeight="1">
      <c r="A866" t="inlineStr">
        <is>
          <t>A 53413-2025</t>
        </is>
      </c>
      <c r="B866" s="1" t="n">
        <v>45959.5787037037</v>
      </c>
      <c r="C866" s="1" t="n">
        <v>45964</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53397-2025</t>
        </is>
      </c>
      <c r="B867" s="1" t="n">
        <v>45959.55918981481</v>
      </c>
      <c r="C867" s="1" t="n">
        <v>45964</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53220-2025</t>
        </is>
      </c>
      <c r="B868" s="1" t="n">
        <v>45958.60146990741</v>
      </c>
      <c r="C868" s="1" t="n">
        <v>45964</v>
      </c>
      <c r="D868" t="inlineStr">
        <is>
          <t>KALMAR LÄN</t>
        </is>
      </c>
      <c r="E868" t="inlineStr">
        <is>
          <t>VIMMERBY</t>
        </is>
      </c>
      <c r="G868" t="n">
        <v>2.2</v>
      </c>
      <c r="H868" t="n">
        <v>0</v>
      </c>
      <c r="I868" t="n">
        <v>0</v>
      </c>
      <c r="J868" t="n">
        <v>0</v>
      </c>
      <c r="K868" t="n">
        <v>0</v>
      </c>
      <c r="L868" t="n">
        <v>0</v>
      </c>
      <c r="M868" t="n">
        <v>0</v>
      </c>
      <c r="N868" t="n">
        <v>0</v>
      </c>
      <c r="O868" t="n">
        <v>0</v>
      </c>
      <c r="P868" t="n">
        <v>0</v>
      </c>
      <c r="Q868" t="n">
        <v>0</v>
      </c>
      <c r="R868" s="2" t="inlineStr"/>
    </row>
    <row r="869" ht="15" customHeight="1">
      <c r="A869" t="inlineStr">
        <is>
          <t>A 53396-2025</t>
        </is>
      </c>
      <c r="B869" s="1" t="n">
        <v>45959.55577546296</v>
      </c>
      <c r="C869" s="1" t="n">
        <v>45964</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53416-2025</t>
        </is>
      </c>
      <c r="B870" s="1" t="n">
        <v>45959.58387731481</v>
      </c>
      <c r="C870" s="1" t="n">
        <v>45964</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53586-2025</t>
        </is>
      </c>
      <c r="B871" s="1" t="n">
        <v>45960.43395833333</v>
      </c>
      <c r="C871" s="1" t="n">
        <v>45964</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53923-2025</t>
        </is>
      </c>
      <c r="B872" s="1" t="n">
        <v>45961.4569212963</v>
      </c>
      <c r="C872" s="1" t="n">
        <v>45964</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53927-2025</t>
        </is>
      </c>
      <c r="B873" s="1" t="n">
        <v>45961.46740740741</v>
      </c>
      <c r="C873" s="1" t="n">
        <v>45964</v>
      </c>
      <c r="D873" t="inlineStr">
        <is>
          <t>KALMAR LÄN</t>
        </is>
      </c>
      <c r="E873" t="inlineStr">
        <is>
          <t>VIMMERBY</t>
        </is>
      </c>
      <c r="G873" t="n">
        <v>2.5</v>
      </c>
      <c r="H873" t="n">
        <v>0</v>
      </c>
      <c r="I873" t="n">
        <v>0</v>
      </c>
      <c r="J873" t="n">
        <v>0</v>
      </c>
      <c r="K873" t="n">
        <v>0</v>
      </c>
      <c r="L873" t="n">
        <v>0</v>
      </c>
      <c r="M873" t="n">
        <v>0</v>
      </c>
      <c r="N873" t="n">
        <v>0</v>
      </c>
      <c r="O873" t="n">
        <v>0</v>
      </c>
      <c r="P873" t="n">
        <v>0</v>
      </c>
      <c r="Q873" t="n">
        <v>0</v>
      </c>
      <c r="R873" s="2" t="inlineStr"/>
    </row>
    <row r="874" ht="15" customHeight="1">
      <c r="A874" t="inlineStr">
        <is>
          <t>A 53933-2025</t>
        </is>
      </c>
      <c r="B874" s="1" t="n">
        <v>45961.47650462963</v>
      </c>
      <c r="C874" s="1" t="n">
        <v>45964</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53789-2025</t>
        </is>
      </c>
      <c r="B875" s="1" t="n">
        <v>45960</v>
      </c>
      <c r="C875" s="1" t="n">
        <v>45964</v>
      </c>
      <c r="D875" t="inlineStr">
        <is>
          <t>KALMAR LÄN</t>
        </is>
      </c>
      <c r="E875" t="inlineStr">
        <is>
          <t>VIMMERBY</t>
        </is>
      </c>
      <c r="F875" t="inlineStr">
        <is>
          <t>Övriga statliga verk och myndigheter</t>
        </is>
      </c>
      <c r="G875" t="n">
        <v>1.6</v>
      </c>
      <c r="H875" t="n">
        <v>0</v>
      </c>
      <c r="I875" t="n">
        <v>0</v>
      </c>
      <c r="J875" t="n">
        <v>0</v>
      </c>
      <c r="K875" t="n">
        <v>0</v>
      </c>
      <c r="L875" t="n">
        <v>0</v>
      </c>
      <c r="M875" t="n">
        <v>0</v>
      </c>
      <c r="N875" t="n">
        <v>0</v>
      </c>
      <c r="O875" t="n">
        <v>0</v>
      </c>
      <c r="P875" t="n">
        <v>0</v>
      </c>
      <c r="Q875" t="n">
        <v>0</v>
      </c>
      <c r="R875" s="2" t="inlineStr"/>
    </row>
    <row r="876" ht="15" customHeight="1">
      <c r="A876" t="inlineStr">
        <is>
          <t>A 52138-2025</t>
        </is>
      </c>
      <c r="B876" s="1" t="n">
        <v>45953</v>
      </c>
      <c r="C876" s="1" t="n">
        <v>45964</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53786-2025</t>
        </is>
      </c>
      <c r="B877" s="1" t="n">
        <v>45960</v>
      </c>
      <c r="C877" s="1" t="n">
        <v>45964</v>
      </c>
      <c r="D877" t="inlineStr">
        <is>
          <t>KALMAR LÄN</t>
        </is>
      </c>
      <c r="E877" t="inlineStr">
        <is>
          <t>VIMMERBY</t>
        </is>
      </c>
      <c r="F877" t="inlineStr">
        <is>
          <t>Övriga statliga verk och myndigheter</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45114-2025</t>
        </is>
      </c>
      <c r="B878" s="1" t="n">
        <v>45919.42387731482</v>
      </c>
      <c r="C878" s="1" t="n">
        <v>45964</v>
      </c>
      <c r="D878" t="inlineStr">
        <is>
          <t>KALMAR LÄN</t>
        </is>
      </c>
      <c r="E878" t="inlineStr">
        <is>
          <t>VIMMERBY</t>
        </is>
      </c>
      <c r="G878" t="n">
        <v>2.7</v>
      </c>
      <c r="H878" t="n">
        <v>0</v>
      </c>
      <c r="I878" t="n">
        <v>0</v>
      </c>
      <c r="J878" t="n">
        <v>0</v>
      </c>
      <c r="K878" t="n">
        <v>0</v>
      </c>
      <c r="L878" t="n">
        <v>0</v>
      </c>
      <c r="M878" t="n">
        <v>0</v>
      </c>
      <c r="N878" t="n">
        <v>0</v>
      </c>
      <c r="O878" t="n">
        <v>0</v>
      </c>
      <c r="P878" t="n">
        <v>0</v>
      </c>
      <c r="Q878" t="n">
        <v>0</v>
      </c>
      <c r="R878" s="2" t="inlineStr"/>
    </row>
    <row r="879" ht="15" customHeight="1">
      <c r="A879" t="inlineStr">
        <is>
          <t>A 53903-2025</t>
        </is>
      </c>
      <c r="B879" s="1" t="n">
        <v>45961.43738425926</v>
      </c>
      <c r="C879" s="1" t="n">
        <v>45964</v>
      </c>
      <c r="D879" t="inlineStr">
        <is>
          <t>KALMAR LÄN</t>
        </is>
      </c>
      <c r="E879" t="inlineStr">
        <is>
          <t>VIMMERBY</t>
        </is>
      </c>
      <c r="G879" t="n">
        <v>0.8</v>
      </c>
      <c r="H879" t="n">
        <v>0</v>
      </c>
      <c r="I879" t="n">
        <v>0</v>
      </c>
      <c r="J879" t="n">
        <v>0</v>
      </c>
      <c r="K879" t="n">
        <v>0</v>
      </c>
      <c r="L879" t="n">
        <v>0</v>
      </c>
      <c r="M879" t="n">
        <v>0</v>
      </c>
      <c r="N879" t="n">
        <v>0</v>
      </c>
      <c r="O879" t="n">
        <v>0</v>
      </c>
      <c r="P879" t="n">
        <v>0</v>
      </c>
      <c r="Q879" t="n">
        <v>0</v>
      </c>
      <c r="R879" s="2" t="inlineStr"/>
    </row>
    <row r="880">
      <c r="A880" t="inlineStr">
        <is>
          <t>A 53920-2025</t>
        </is>
      </c>
      <c r="B880" s="1" t="n">
        <v>45961.44951388889</v>
      </c>
      <c r="C880" s="1" t="n">
        <v>45964</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2025-11-03T09:59:55Z</dcterms:created>
  <dcterms:modified xmlns:dcterms="http://purl.org/dc/terms/" xmlns:xsi="http://www.w3.org/2001/XMLSchema-instance" xsi:type="dcterms:W3CDTF">2025-11-03T09:59:56Z</dcterms:modified>
</cp:coreProperties>
</file>