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45509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45509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45509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45509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45509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45509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45509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45509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45509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45509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45509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45509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45509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45509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45509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45509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45509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45509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45509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45509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45509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45509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45509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45509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45509</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45509</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45509</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45509</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45509</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45509</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45509</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45509</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45509</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45509</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45509</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45509</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45509</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45509</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45509</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45509</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45509</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45509</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45509</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45509</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45509</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45509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6841-2021</t>
        </is>
      </c>
      <c r="B50" s="1" t="n">
        <v>44236</v>
      </c>
      <c r="C50" s="1" t="n">
        <v>45509</v>
      </c>
      <c r="D50" t="inlineStr">
        <is>
          <t>KALMAR LÄN</t>
        </is>
      </c>
      <c r="E50" t="inlineStr">
        <is>
          <t>VIMMERBY</t>
        </is>
      </c>
      <c r="G50" t="n">
        <v>25</v>
      </c>
      <c r="H50" t="n">
        <v>0</v>
      </c>
      <c r="I50" t="n">
        <v>0</v>
      </c>
      <c r="J50" t="n">
        <v>1</v>
      </c>
      <c r="K50" t="n">
        <v>0</v>
      </c>
      <c r="L50" t="n">
        <v>0</v>
      </c>
      <c r="M50" t="n">
        <v>0</v>
      </c>
      <c r="N50" t="n">
        <v>0</v>
      </c>
      <c r="O50" t="n">
        <v>1</v>
      </c>
      <c r="P50" t="n">
        <v>0</v>
      </c>
      <c r="Q50" t="n">
        <v>1</v>
      </c>
      <c r="R50" s="2" t="inlineStr">
        <is>
          <t>Bredbrämad bastardsvärmare</t>
        </is>
      </c>
      <c r="S50">
        <f>HYPERLINK("https://klasma.github.io/Logging_0884/artfynd/A 6841-2021 artfynd.xlsx", "A 6841-2021")</f>
        <v/>
      </c>
      <c r="T50">
        <f>HYPERLINK("https://klasma.github.io/Logging_0884/kartor/A 6841-2021 karta.png", "A 6841-2021")</f>
        <v/>
      </c>
      <c r="V50">
        <f>HYPERLINK("https://klasma.github.io/Logging_0884/klagomål/A 6841-2021 FSC-klagomål.docx", "A 6841-2021")</f>
        <v/>
      </c>
      <c r="W50">
        <f>HYPERLINK("https://klasma.github.io/Logging_0884/klagomålsmail/A 6841-2021 FSC-klagomål mail.docx", "A 6841-2021")</f>
        <v/>
      </c>
      <c r="X50">
        <f>HYPERLINK("https://klasma.github.io/Logging_0884/tillsyn/A 6841-2021 tillsynsbegäran.docx", "A 6841-2021")</f>
        <v/>
      </c>
      <c r="Y50">
        <f>HYPERLINK("https://klasma.github.io/Logging_0884/tillsynsmail/A 6841-2021 tillsynsbegäran mail.docx", "A 6841-2021")</f>
        <v/>
      </c>
    </row>
    <row r="51" ht="15" customHeight="1">
      <c r="A51" t="inlineStr">
        <is>
          <t>A 32396-2021</t>
        </is>
      </c>
      <c r="B51" s="1" t="n">
        <v>44371</v>
      </c>
      <c r="C51" s="1" t="n">
        <v>45509</v>
      </c>
      <c r="D51" t="inlineStr">
        <is>
          <t>KALMAR LÄN</t>
        </is>
      </c>
      <c r="E51" t="inlineStr">
        <is>
          <t>VIMMERBY</t>
        </is>
      </c>
      <c r="G51" t="n">
        <v>2.8</v>
      </c>
      <c r="H51" t="n">
        <v>1</v>
      </c>
      <c r="I51" t="n">
        <v>0</v>
      </c>
      <c r="J51" t="n">
        <v>0</v>
      </c>
      <c r="K51" t="n">
        <v>0</v>
      </c>
      <c r="L51" t="n">
        <v>0</v>
      </c>
      <c r="M51" t="n">
        <v>0</v>
      </c>
      <c r="N51" t="n">
        <v>0</v>
      </c>
      <c r="O51" t="n">
        <v>0</v>
      </c>
      <c r="P51" t="n">
        <v>0</v>
      </c>
      <c r="Q51" t="n">
        <v>1</v>
      </c>
      <c r="R51" s="2" t="inlineStr">
        <is>
          <t>Blåsippa</t>
        </is>
      </c>
      <c r="S51">
        <f>HYPERLINK("https://klasma.github.io/Logging_0884/artfynd/A 32396-2021 artfynd.xlsx", "A 32396-2021")</f>
        <v/>
      </c>
      <c r="T51">
        <f>HYPERLINK("https://klasma.github.io/Logging_0884/kartor/A 32396-2021 karta.png", "A 32396-2021")</f>
        <v/>
      </c>
      <c r="V51">
        <f>HYPERLINK("https://klasma.github.io/Logging_0884/klagomål/A 32396-2021 FSC-klagomål.docx", "A 32396-2021")</f>
        <v/>
      </c>
      <c r="W51">
        <f>HYPERLINK("https://klasma.github.io/Logging_0884/klagomålsmail/A 32396-2021 FSC-klagomål mail.docx", "A 32396-2021")</f>
        <v/>
      </c>
      <c r="X51">
        <f>HYPERLINK("https://klasma.github.io/Logging_0884/tillsyn/A 32396-2021 tillsynsbegäran.docx", "A 32396-2021")</f>
        <v/>
      </c>
      <c r="Y51">
        <f>HYPERLINK("https://klasma.github.io/Logging_0884/tillsynsmail/A 32396-2021 tillsynsbegäran mail.docx", "A 32396-2021")</f>
        <v/>
      </c>
    </row>
    <row r="52" ht="15" customHeight="1">
      <c r="A52" t="inlineStr">
        <is>
          <t>A 33436-2021</t>
        </is>
      </c>
      <c r="B52" s="1" t="n">
        <v>44377</v>
      </c>
      <c r="C52" s="1" t="n">
        <v>45509</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37930-2021</t>
        </is>
      </c>
      <c r="B53" s="1" t="n">
        <v>44403</v>
      </c>
      <c r="C53" s="1" t="n">
        <v>45509</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71785-2021</t>
        </is>
      </c>
      <c r="B54" s="1" t="n">
        <v>44539</v>
      </c>
      <c r="C54" s="1" t="n">
        <v>45509</v>
      </c>
      <c r="D54" t="inlineStr">
        <is>
          <t>KALMAR LÄN</t>
        </is>
      </c>
      <c r="E54" t="inlineStr">
        <is>
          <t>VIMMERBY</t>
        </is>
      </c>
      <c r="G54" t="n">
        <v>1.1</v>
      </c>
      <c r="H54" t="n">
        <v>0</v>
      </c>
      <c r="I54" t="n">
        <v>0</v>
      </c>
      <c r="J54" t="n">
        <v>0</v>
      </c>
      <c r="K54" t="n">
        <v>0</v>
      </c>
      <c r="L54" t="n">
        <v>1</v>
      </c>
      <c r="M54" t="n">
        <v>0</v>
      </c>
      <c r="N54" t="n">
        <v>0</v>
      </c>
      <c r="O54" t="n">
        <v>1</v>
      </c>
      <c r="P54" t="n">
        <v>1</v>
      </c>
      <c r="Q54" t="n">
        <v>1</v>
      </c>
      <c r="R54" s="2" t="inlineStr">
        <is>
          <t>Ryl</t>
        </is>
      </c>
      <c r="S54">
        <f>HYPERLINK("https://klasma.github.io/Logging_0884/artfynd/A 71785-2021 artfynd.xlsx", "A 71785-2021")</f>
        <v/>
      </c>
      <c r="T54">
        <f>HYPERLINK("https://klasma.github.io/Logging_0884/kartor/A 71785-2021 karta.png", "A 71785-2021")</f>
        <v/>
      </c>
      <c r="V54">
        <f>HYPERLINK("https://klasma.github.io/Logging_0884/klagomål/A 71785-2021 FSC-klagomål.docx", "A 71785-2021")</f>
        <v/>
      </c>
      <c r="W54">
        <f>HYPERLINK("https://klasma.github.io/Logging_0884/klagomålsmail/A 71785-2021 FSC-klagomål mail.docx", "A 71785-2021")</f>
        <v/>
      </c>
      <c r="X54">
        <f>HYPERLINK("https://klasma.github.io/Logging_0884/tillsyn/A 71785-2021 tillsynsbegäran.docx", "A 71785-2021")</f>
        <v/>
      </c>
      <c r="Y54">
        <f>HYPERLINK("https://klasma.github.io/Logging_0884/tillsynsmail/A 71785-2021 tillsynsbegäran mail.docx", "A 71785-2021")</f>
        <v/>
      </c>
    </row>
    <row r="55" ht="15" customHeight="1">
      <c r="A55" t="inlineStr">
        <is>
          <t>A 21489-2022</t>
        </is>
      </c>
      <c r="B55" s="1" t="n">
        <v>44706</v>
      </c>
      <c r="C55" s="1" t="n">
        <v>45509</v>
      </c>
      <c r="D55" t="inlineStr">
        <is>
          <t>KALMAR LÄN</t>
        </is>
      </c>
      <c r="E55" t="inlineStr">
        <is>
          <t>VIMMERBY</t>
        </is>
      </c>
      <c r="G55" t="n">
        <v>4.8</v>
      </c>
      <c r="H55" t="n">
        <v>0</v>
      </c>
      <c r="I55" t="n">
        <v>0</v>
      </c>
      <c r="J55" t="n">
        <v>0</v>
      </c>
      <c r="K55" t="n">
        <v>1</v>
      </c>
      <c r="L55" t="n">
        <v>0</v>
      </c>
      <c r="M55" t="n">
        <v>0</v>
      </c>
      <c r="N55" t="n">
        <v>0</v>
      </c>
      <c r="O55" t="n">
        <v>1</v>
      </c>
      <c r="P55" t="n">
        <v>1</v>
      </c>
      <c r="Q55" t="n">
        <v>1</v>
      </c>
      <c r="R55" s="2" t="inlineStr">
        <is>
          <t>Späd fetfibbla</t>
        </is>
      </c>
      <c r="S55">
        <f>HYPERLINK("https://klasma.github.io/Logging_0884/artfynd/A 21489-2022 artfynd.xlsx", "A 21489-2022")</f>
        <v/>
      </c>
      <c r="T55">
        <f>HYPERLINK("https://klasma.github.io/Logging_0884/kartor/A 21489-2022 karta.png", "A 21489-2022")</f>
        <v/>
      </c>
      <c r="V55">
        <f>HYPERLINK("https://klasma.github.io/Logging_0884/klagomål/A 21489-2022 FSC-klagomål.docx", "A 21489-2022")</f>
        <v/>
      </c>
      <c r="W55">
        <f>HYPERLINK("https://klasma.github.io/Logging_0884/klagomålsmail/A 21489-2022 FSC-klagomål mail.docx", "A 21489-2022")</f>
        <v/>
      </c>
      <c r="X55">
        <f>HYPERLINK("https://klasma.github.io/Logging_0884/tillsyn/A 21489-2022 tillsynsbegäran.docx", "A 21489-2022")</f>
        <v/>
      </c>
      <c r="Y55">
        <f>HYPERLINK("https://klasma.github.io/Logging_0884/tillsynsmail/A 21489-2022 tillsynsbegäran mail.docx", "A 21489-2022")</f>
        <v/>
      </c>
    </row>
    <row r="56" ht="15" customHeight="1">
      <c r="A56" t="inlineStr">
        <is>
          <t>A 30473-2022</t>
        </is>
      </c>
      <c r="B56" s="1" t="n">
        <v>44761</v>
      </c>
      <c r="C56" s="1" t="n">
        <v>45509</v>
      </c>
      <c r="D56" t="inlineStr">
        <is>
          <t>KALMAR LÄN</t>
        </is>
      </c>
      <c r="E56" t="inlineStr">
        <is>
          <t>VIMMERBY</t>
        </is>
      </c>
      <c r="G56" t="n">
        <v>4.2</v>
      </c>
      <c r="H56" t="n">
        <v>1</v>
      </c>
      <c r="I56" t="n">
        <v>0</v>
      </c>
      <c r="J56" t="n">
        <v>1</v>
      </c>
      <c r="K56" t="n">
        <v>0</v>
      </c>
      <c r="L56" t="n">
        <v>0</v>
      </c>
      <c r="M56" t="n">
        <v>0</v>
      </c>
      <c r="N56" t="n">
        <v>0</v>
      </c>
      <c r="O56" t="n">
        <v>1</v>
      </c>
      <c r="P56" t="n">
        <v>0</v>
      </c>
      <c r="Q56" t="n">
        <v>1</v>
      </c>
      <c r="R56" s="2" t="inlineStr">
        <is>
          <t>Talltita</t>
        </is>
      </c>
      <c r="S56">
        <f>HYPERLINK("https://klasma.github.io/Logging_0884/artfynd/A 30473-2022 artfynd.xlsx", "A 30473-2022")</f>
        <v/>
      </c>
      <c r="T56">
        <f>HYPERLINK("https://klasma.github.io/Logging_0884/kartor/A 30473-2022 karta.png", "A 30473-2022")</f>
        <v/>
      </c>
      <c r="V56">
        <f>HYPERLINK("https://klasma.github.io/Logging_0884/klagomål/A 30473-2022 FSC-klagomål.docx", "A 30473-2022")</f>
        <v/>
      </c>
      <c r="W56">
        <f>HYPERLINK("https://klasma.github.io/Logging_0884/klagomålsmail/A 30473-2022 FSC-klagomål mail.docx", "A 30473-2022")</f>
        <v/>
      </c>
      <c r="X56">
        <f>HYPERLINK("https://klasma.github.io/Logging_0884/tillsyn/A 30473-2022 tillsynsbegäran.docx", "A 30473-2022")</f>
        <v/>
      </c>
      <c r="Y56">
        <f>HYPERLINK("https://klasma.github.io/Logging_0884/tillsynsmail/A 30473-2022 tillsynsbegäran mail.docx", "A 30473-2022")</f>
        <v/>
      </c>
      <c r="Z56">
        <f>HYPERLINK("https://klasma.github.io/Logging_0884/fåglar/A 30473-2022 prioriterade fågelarter.docx", "A 30473-2022")</f>
        <v/>
      </c>
    </row>
    <row r="57" ht="15" customHeight="1">
      <c r="A57" t="inlineStr">
        <is>
          <t>A 9638-2023</t>
        </is>
      </c>
      <c r="B57" s="1" t="n">
        <v>44984</v>
      </c>
      <c r="C57" s="1" t="n">
        <v>45509</v>
      </c>
      <c r="D57" t="inlineStr">
        <is>
          <t>KALMAR LÄN</t>
        </is>
      </c>
      <c r="E57" t="inlineStr">
        <is>
          <t>VIMMERBY</t>
        </is>
      </c>
      <c r="G57" t="n">
        <v>6.3</v>
      </c>
      <c r="H57" t="n">
        <v>0</v>
      </c>
      <c r="I57" t="n">
        <v>1</v>
      </c>
      <c r="J57" t="n">
        <v>0</v>
      </c>
      <c r="K57" t="n">
        <v>0</v>
      </c>
      <c r="L57" t="n">
        <v>0</v>
      </c>
      <c r="M57" t="n">
        <v>0</v>
      </c>
      <c r="N57" t="n">
        <v>0</v>
      </c>
      <c r="O57" t="n">
        <v>0</v>
      </c>
      <c r="P57" t="n">
        <v>0</v>
      </c>
      <c r="Q57" t="n">
        <v>1</v>
      </c>
      <c r="R57" s="2" t="inlineStr">
        <is>
          <t>Fällmossa</t>
        </is>
      </c>
      <c r="S57">
        <f>HYPERLINK("https://klasma.github.io/Logging_0884/artfynd/A 9638-2023 artfynd.xlsx", "A 9638-2023")</f>
        <v/>
      </c>
      <c r="T57">
        <f>HYPERLINK("https://klasma.github.io/Logging_0884/kartor/A 9638-2023 karta.png", "A 9638-2023")</f>
        <v/>
      </c>
      <c r="V57">
        <f>HYPERLINK("https://klasma.github.io/Logging_0884/klagomål/A 9638-2023 FSC-klagomål.docx", "A 9638-2023")</f>
        <v/>
      </c>
      <c r="W57">
        <f>HYPERLINK("https://klasma.github.io/Logging_0884/klagomålsmail/A 9638-2023 FSC-klagomål mail.docx", "A 9638-2023")</f>
        <v/>
      </c>
      <c r="X57">
        <f>HYPERLINK("https://klasma.github.io/Logging_0884/tillsyn/A 9638-2023 tillsynsbegäran.docx", "A 9638-2023")</f>
        <v/>
      </c>
      <c r="Y57">
        <f>HYPERLINK("https://klasma.github.io/Logging_0884/tillsynsmail/A 9638-2023 tillsynsbegäran mail.docx", "A 9638-2023")</f>
        <v/>
      </c>
    </row>
    <row r="58" ht="15" customHeight="1">
      <c r="A58" t="inlineStr">
        <is>
          <t>A 9642-2023</t>
        </is>
      </c>
      <c r="B58" s="1" t="n">
        <v>44984</v>
      </c>
      <c r="C58" s="1" t="n">
        <v>45509</v>
      </c>
      <c r="D58" t="inlineStr">
        <is>
          <t>KALMAR LÄN</t>
        </is>
      </c>
      <c r="E58" t="inlineStr">
        <is>
          <t>VIMMERBY</t>
        </is>
      </c>
      <c r="G58" t="n">
        <v>4</v>
      </c>
      <c r="H58" t="n">
        <v>1</v>
      </c>
      <c r="I58" t="n">
        <v>0</v>
      </c>
      <c r="J58" t="n">
        <v>1</v>
      </c>
      <c r="K58" t="n">
        <v>0</v>
      </c>
      <c r="L58" t="n">
        <v>0</v>
      </c>
      <c r="M58" t="n">
        <v>0</v>
      </c>
      <c r="N58" t="n">
        <v>0</v>
      </c>
      <c r="O58" t="n">
        <v>1</v>
      </c>
      <c r="P58" t="n">
        <v>0</v>
      </c>
      <c r="Q58" t="n">
        <v>1</v>
      </c>
      <c r="R58" s="2" t="inlineStr">
        <is>
          <t>Spillkråka</t>
        </is>
      </c>
      <c r="S58">
        <f>HYPERLINK("https://klasma.github.io/Logging_0884/artfynd/A 9642-2023 artfynd.xlsx", "A 9642-2023")</f>
        <v/>
      </c>
      <c r="T58">
        <f>HYPERLINK("https://klasma.github.io/Logging_0884/kartor/A 9642-2023 karta.png", "A 9642-2023")</f>
        <v/>
      </c>
      <c r="V58">
        <f>HYPERLINK("https://klasma.github.io/Logging_0884/klagomål/A 9642-2023 FSC-klagomål.docx", "A 9642-2023")</f>
        <v/>
      </c>
      <c r="W58">
        <f>HYPERLINK("https://klasma.github.io/Logging_0884/klagomålsmail/A 9642-2023 FSC-klagomål mail.docx", "A 9642-2023")</f>
        <v/>
      </c>
      <c r="X58">
        <f>HYPERLINK("https://klasma.github.io/Logging_0884/tillsyn/A 9642-2023 tillsynsbegäran.docx", "A 9642-2023")</f>
        <v/>
      </c>
      <c r="Y58">
        <f>HYPERLINK("https://klasma.github.io/Logging_0884/tillsynsmail/A 9642-2023 tillsynsbegäran mail.docx", "A 9642-2023")</f>
        <v/>
      </c>
      <c r="Z58">
        <f>HYPERLINK("https://klasma.github.io/Logging_0884/fåglar/A 9642-2023 prioriterade fågelarter.docx", "A 9642-2023")</f>
        <v/>
      </c>
    </row>
    <row r="59" ht="15" customHeight="1">
      <c r="A59" t="inlineStr">
        <is>
          <t>A 23602-2023</t>
        </is>
      </c>
      <c r="B59" s="1" t="n">
        <v>45077</v>
      </c>
      <c r="C59" s="1" t="n">
        <v>45509</v>
      </c>
      <c r="D59" t="inlineStr">
        <is>
          <t>KALMAR LÄN</t>
        </is>
      </c>
      <c r="E59" t="inlineStr">
        <is>
          <t>VIMMERBY</t>
        </is>
      </c>
      <c r="G59" t="n">
        <v>1.6</v>
      </c>
      <c r="H59" t="n">
        <v>0</v>
      </c>
      <c r="I59" t="n">
        <v>0</v>
      </c>
      <c r="J59" t="n">
        <v>1</v>
      </c>
      <c r="K59" t="n">
        <v>0</v>
      </c>
      <c r="L59" t="n">
        <v>0</v>
      </c>
      <c r="M59" t="n">
        <v>0</v>
      </c>
      <c r="N59" t="n">
        <v>0</v>
      </c>
      <c r="O59" t="n">
        <v>1</v>
      </c>
      <c r="P59" t="n">
        <v>0</v>
      </c>
      <c r="Q59" t="n">
        <v>1</v>
      </c>
      <c r="R59" s="2" t="inlineStr">
        <is>
          <t>Vedtrappmossa</t>
        </is>
      </c>
      <c r="S59">
        <f>HYPERLINK("https://klasma.github.io/Logging_0884/artfynd/A 23602-2023 artfynd.xlsx", "A 23602-2023")</f>
        <v/>
      </c>
      <c r="T59">
        <f>HYPERLINK("https://klasma.github.io/Logging_0884/kartor/A 23602-2023 karta.png", "A 23602-2023")</f>
        <v/>
      </c>
      <c r="V59">
        <f>HYPERLINK("https://klasma.github.io/Logging_0884/klagomål/A 23602-2023 FSC-klagomål.docx", "A 23602-2023")</f>
        <v/>
      </c>
      <c r="W59">
        <f>HYPERLINK("https://klasma.github.io/Logging_0884/klagomålsmail/A 23602-2023 FSC-klagomål mail.docx", "A 23602-2023")</f>
        <v/>
      </c>
      <c r="X59">
        <f>HYPERLINK("https://klasma.github.io/Logging_0884/tillsyn/A 23602-2023 tillsynsbegäran.docx", "A 23602-2023")</f>
        <v/>
      </c>
      <c r="Y59">
        <f>HYPERLINK("https://klasma.github.io/Logging_0884/tillsynsmail/A 23602-2023 tillsynsbegäran mail.docx", "A 23602-2023")</f>
        <v/>
      </c>
    </row>
    <row r="60" ht="15" customHeight="1">
      <c r="A60" t="inlineStr">
        <is>
          <t>A 28852-2023</t>
        </is>
      </c>
      <c r="B60" s="1" t="n">
        <v>45104</v>
      </c>
      <c r="C60" s="1" t="n">
        <v>45509</v>
      </c>
      <c r="D60" t="inlineStr">
        <is>
          <t>KALMAR LÄN</t>
        </is>
      </c>
      <c r="E60" t="inlineStr">
        <is>
          <t>VIMMERBY</t>
        </is>
      </c>
      <c r="G60" t="n">
        <v>0.7</v>
      </c>
      <c r="H60" t="n">
        <v>0</v>
      </c>
      <c r="I60" t="n">
        <v>1</v>
      </c>
      <c r="J60" t="n">
        <v>0</v>
      </c>
      <c r="K60" t="n">
        <v>0</v>
      </c>
      <c r="L60" t="n">
        <v>0</v>
      </c>
      <c r="M60" t="n">
        <v>0</v>
      </c>
      <c r="N60" t="n">
        <v>0</v>
      </c>
      <c r="O60" t="n">
        <v>0</v>
      </c>
      <c r="P60" t="n">
        <v>0</v>
      </c>
      <c r="Q60" t="n">
        <v>1</v>
      </c>
      <c r="R60" s="2" t="inlineStr">
        <is>
          <t>Tibast</t>
        </is>
      </c>
      <c r="S60">
        <f>HYPERLINK("https://klasma.github.io/Logging_0884/artfynd/A 28852-2023 artfynd.xlsx", "A 28852-2023")</f>
        <v/>
      </c>
      <c r="T60">
        <f>HYPERLINK("https://klasma.github.io/Logging_0884/kartor/A 28852-2023 karta.png", "A 28852-2023")</f>
        <v/>
      </c>
      <c r="V60">
        <f>HYPERLINK("https://klasma.github.io/Logging_0884/klagomål/A 28852-2023 FSC-klagomål.docx", "A 28852-2023")</f>
        <v/>
      </c>
      <c r="W60">
        <f>HYPERLINK("https://klasma.github.io/Logging_0884/klagomålsmail/A 28852-2023 FSC-klagomål mail.docx", "A 28852-2023")</f>
        <v/>
      </c>
      <c r="X60">
        <f>HYPERLINK("https://klasma.github.io/Logging_0884/tillsyn/A 28852-2023 tillsynsbegäran.docx", "A 28852-2023")</f>
        <v/>
      </c>
      <c r="Y60">
        <f>HYPERLINK("https://klasma.github.io/Logging_0884/tillsynsmail/A 28852-2023 tillsynsbegäran mail.docx", "A 28852-2023")</f>
        <v/>
      </c>
    </row>
    <row r="61" ht="15" customHeight="1">
      <c r="A61" t="inlineStr">
        <is>
          <t>A 32985-2023</t>
        </is>
      </c>
      <c r="B61" s="1" t="n">
        <v>45125</v>
      </c>
      <c r="C61" s="1" t="n">
        <v>45509</v>
      </c>
      <c r="D61" t="inlineStr">
        <is>
          <t>KALMAR LÄN</t>
        </is>
      </c>
      <c r="E61" t="inlineStr">
        <is>
          <t>VIMMERBY</t>
        </is>
      </c>
      <c r="G61" t="n">
        <v>1.9</v>
      </c>
      <c r="H61" t="n">
        <v>0</v>
      </c>
      <c r="I61" t="n">
        <v>0</v>
      </c>
      <c r="J61" t="n">
        <v>0</v>
      </c>
      <c r="K61" t="n">
        <v>0</v>
      </c>
      <c r="L61" t="n">
        <v>1</v>
      </c>
      <c r="M61" t="n">
        <v>0</v>
      </c>
      <c r="N61" t="n">
        <v>0</v>
      </c>
      <c r="O61" t="n">
        <v>1</v>
      </c>
      <c r="P61" t="n">
        <v>1</v>
      </c>
      <c r="Q61" t="n">
        <v>1</v>
      </c>
      <c r="R61" s="2" t="inlineStr">
        <is>
          <t>Ryl</t>
        </is>
      </c>
      <c r="S61">
        <f>HYPERLINK("https://klasma.github.io/Logging_0884/artfynd/A 32985-2023 artfynd.xlsx", "A 32985-2023")</f>
        <v/>
      </c>
      <c r="T61">
        <f>HYPERLINK("https://klasma.github.io/Logging_0884/kartor/A 32985-2023 karta.png", "A 32985-2023")</f>
        <v/>
      </c>
      <c r="V61">
        <f>HYPERLINK("https://klasma.github.io/Logging_0884/klagomål/A 32985-2023 FSC-klagomål.docx", "A 32985-2023")</f>
        <v/>
      </c>
      <c r="W61">
        <f>HYPERLINK("https://klasma.github.io/Logging_0884/klagomålsmail/A 32985-2023 FSC-klagomål mail.docx", "A 32985-2023")</f>
        <v/>
      </c>
      <c r="X61">
        <f>HYPERLINK("https://klasma.github.io/Logging_0884/tillsyn/A 32985-2023 tillsynsbegäran.docx", "A 32985-2023")</f>
        <v/>
      </c>
      <c r="Y61">
        <f>HYPERLINK("https://klasma.github.io/Logging_0884/tillsynsmail/A 32985-2023 tillsynsbegäran mail.docx", "A 32985-2023")</f>
        <v/>
      </c>
    </row>
    <row r="62" ht="15" customHeight="1">
      <c r="A62" t="inlineStr">
        <is>
          <t>A 44633-2023</t>
        </is>
      </c>
      <c r="B62" s="1" t="n">
        <v>45189</v>
      </c>
      <c r="C62" s="1" t="n">
        <v>45509</v>
      </c>
      <c r="D62" t="inlineStr">
        <is>
          <t>KALMAR LÄN</t>
        </is>
      </c>
      <c r="E62" t="inlineStr">
        <is>
          <t>VIMMERBY</t>
        </is>
      </c>
      <c r="G62" t="n">
        <v>2.4</v>
      </c>
      <c r="H62" t="n">
        <v>0</v>
      </c>
      <c r="I62" t="n">
        <v>1</v>
      </c>
      <c r="J62" t="n">
        <v>0</v>
      </c>
      <c r="K62" t="n">
        <v>0</v>
      </c>
      <c r="L62" t="n">
        <v>0</v>
      </c>
      <c r="M62" t="n">
        <v>0</v>
      </c>
      <c r="N62" t="n">
        <v>0</v>
      </c>
      <c r="O62" t="n">
        <v>0</v>
      </c>
      <c r="P62" t="n">
        <v>0</v>
      </c>
      <c r="Q62" t="n">
        <v>1</v>
      </c>
      <c r="R62" s="2" t="inlineStr">
        <is>
          <t>Sårläka</t>
        </is>
      </c>
      <c r="S62">
        <f>HYPERLINK("https://klasma.github.io/Logging_0884/artfynd/A 44633-2023 artfynd.xlsx", "A 44633-2023")</f>
        <v/>
      </c>
      <c r="T62">
        <f>HYPERLINK("https://klasma.github.io/Logging_0884/kartor/A 44633-2023 karta.png", "A 44633-2023")</f>
        <v/>
      </c>
      <c r="V62">
        <f>HYPERLINK("https://klasma.github.io/Logging_0884/klagomål/A 44633-2023 FSC-klagomål.docx", "A 44633-2023")</f>
        <v/>
      </c>
      <c r="W62">
        <f>HYPERLINK("https://klasma.github.io/Logging_0884/klagomålsmail/A 44633-2023 FSC-klagomål mail.docx", "A 44633-2023")</f>
        <v/>
      </c>
      <c r="X62">
        <f>HYPERLINK("https://klasma.github.io/Logging_0884/tillsyn/A 44633-2023 tillsynsbegäran.docx", "A 44633-2023")</f>
        <v/>
      </c>
      <c r="Y62">
        <f>HYPERLINK("https://klasma.github.io/Logging_0884/tillsynsmail/A 44633-2023 tillsynsbegäran mail.docx", "A 44633-2023")</f>
        <v/>
      </c>
    </row>
    <row r="63" ht="15" customHeight="1">
      <c r="A63" t="inlineStr">
        <is>
          <t>A 52301-2023</t>
        </is>
      </c>
      <c r="B63" s="1" t="n">
        <v>45224</v>
      </c>
      <c r="C63" s="1" t="n">
        <v>45509</v>
      </c>
      <c r="D63" t="inlineStr">
        <is>
          <t>KALMAR LÄN</t>
        </is>
      </c>
      <c r="E63" t="inlineStr">
        <is>
          <t>VIMMERBY</t>
        </is>
      </c>
      <c r="G63" t="n">
        <v>5.3</v>
      </c>
      <c r="H63" t="n">
        <v>0</v>
      </c>
      <c r="I63" t="n">
        <v>0</v>
      </c>
      <c r="J63" t="n">
        <v>0</v>
      </c>
      <c r="K63" t="n">
        <v>0</v>
      </c>
      <c r="L63" t="n">
        <v>1</v>
      </c>
      <c r="M63" t="n">
        <v>0</v>
      </c>
      <c r="N63" t="n">
        <v>0</v>
      </c>
      <c r="O63" t="n">
        <v>1</v>
      </c>
      <c r="P63" t="n">
        <v>1</v>
      </c>
      <c r="Q63" t="n">
        <v>1</v>
      </c>
      <c r="R63" s="2" t="inlineStr">
        <is>
          <t>Ask</t>
        </is>
      </c>
      <c r="S63">
        <f>HYPERLINK("https://klasma.github.io/Logging_0884/artfynd/A 52301-2023 artfynd.xlsx", "A 52301-2023")</f>
        <v/>
      </c>
      <c r="T63">
        <f>HYPERLINK("https://klasma.github.io/Logging_0884/kartor/A 52301-2023 karta.png", "A 52301-2023")</f>
        <v/>
      </c>
      <c r="V63">
        <f>HYPERLINK("https://klasma.github.io/Logging_0884/klagomål/A 52301-2023 FSC-klagomål.docx", "A 52301-2023")</f>
        <v/>
      </c>
      <c r="W63">
        <f>HYPERLINK("https://klasma.github.io/Logging_0884/klagomålsmail/A 52301-2023 FSC-klagomål mail.docx", "A 52301-2023")</f>
        <v/>
      </c>
      <c r="X63">
        <f>HYPERLINK("https://klasma.github.io/Logging_0884/tillsyn/A 52301-2023 tillsynsbegäran.docx", "A 52301-2023")</f>
        <v/>
      </c>
      <c r="Y63">
        <f>HYPERLINK("https://klasma.github.io/Logging_0884/tillsynsmail/A 52301-2023 tillsynsbegäran mail.docx", "A 52301-2023")</f>
        <v/>
      </c>
    </row>
    <row r="64" ht="15" customHeight="1">
      <c r="A64" t="inlineStr">
        <is>
          <t>A 57038-2023</t>
        </is>
      </c>
      <c r="B64" s="1" t="n">
        <v>45244</v>
      </c>
      <c r="C64" s="1" t="n">
        <v>45509</v>
      </c>
      <c r="D64" t="inlineStr">
        <is>
          <t>KALMAR LÄN</t>
        </is>
      </c>
      <c r="E64" t="inlineStr">
        <is>
          <t>VIMMERBY</t>
        </is>
      </c>
      <c r="G64" t="n">
        <v>4.6</v>
      </c>
      <c r="H64" t="n">
        <v>1</v>
      </c>
      <c r="I64" t="n">
        <v>0</v>
      </c>
      <c r="J64" t="n">
        <v>1</v>
      </c>
      <c r="K64" t="n">
        <v>0</v>
      </c>
      <c r="L64" t="n">
        <v>0</v>
      </c>
      <c r="M64" t="n">
        <v>0</v>
      </c>
      <c r="N64" t="n">
        <v>0</v>
      </c>
      <c r="O64" t="n">
        <v>1</v>
      </c>
      <c r="P64" t="n">
        <v>0</v>
      </c>
      <c r="Q64" t="n">
        <v>1</v>
      </c>
      <c r="R64" s="2" t="inlineStr">
        <is>
          <t>Talltita</t>
        </is>
      </c>
      <c r="S64">
        <f>HYPERLINK("https://klasma.github.io/Logging_0884/artfynd/A 57038-2023 artfynd.xlsx", "A 57038-2023")</f>
        <v/>
      </c>
      <c r="T64">
        <f>HYPERLINK("https://klasma.github.io/Logging_0884/kartor/A 57038-2023 karta.png", "A 57038-2023")</f>
        <v/>
      </c>
      <c r="V64">
        <f>HYPERLINK("https://klasma.github.io/Logging_0884/klagomål/A 57038-2023 FSC-klagomål.docx", "A 57038-2023")</f>
        <v/>
      </c>
      <c r="W64">
        <f>HYPERLINK("https://klasma.github.io/Logging_0884/klagomålsmail/A 57038-2023 FSC-klagomål mail.docx", "A 57038-2023")</f>
        <v/>
      </c>
      <c r="X64">
        <f>HYPERLINK("https://klasma.github.io/Logging_0884/tillsyn/A 57038-2023 tillsynsbegäran.docx", "A 57038-2023")</f>
        <v/>
      </c>
      <c r="Y64">
        <f>HYPERLINK("https://klasma.github.io/Logging_0884/tillsynsmail/A 57038-2023 tillsynsbegäran mail.docx", "A 57038-2023")</f>
        <v/>
      </c>
      <c r="Z64">
        <f>HYPERLINK("https://klasma.github.io/Logging_0884/fåglar/A 57038-2023 prioriterade fågelarter.docx", "A 57038-2023")</f>
        <v/>
      </c>
    </row>
    <row r="65" ht="15" customHeight="1">
      <c r="A65" t="inlineStr">
        <is>
          <t>A 10016-2024</t>
        </is>
      </c>
      <c r="B65" s="1" t="n">
        <v>45363</v>
      </c>
      <c r="C65" s="1" t="n">
        <v>45509</v>
      </c>
      <c r="D65" t="inlineStr">
        <is>
          <t>KALMAR LÄN</t>
        </is>
      </c>
      <c r="E65" t="inlineStr">
        <is>
          <t>VIMMERBY</t>
        </is>
      </c>
      <c r="G65" t="n">
        <v>1.5</v>
      </c>
      <c r="H65" t="n">
        <v>1</v>
      </c>
      <c r="I65" t="n">
        <v>0</v>
      </c>
      <c r="J65" t="n">
        <v>1</v>
      </c>
      <c r="K65" t="n">
        <v>0</v>
      </c>
      <c r="L65" t="n">
        <v>0</v>
      </c>
      <c r="M65" t="n">
        <v>0</v>
      </c>
      <c r="N65" t="n">
        <v>0</v>
      </c>
      <c r="O65" t="n">
        <v>1</v>
      </c>
      <c r="P65" t="n">
        <v>0</v>
      </c>
      <c r="Q65" t="n">
        <v>1</v>
      </c>
      <c r="R65" s="2" t="inlineStr">
        <is>
          <t>Röd skogslilja</t>
        </is>
      </c>
      <c r="S65">
        <f>HYPERLINK("https://klasma.github.io/Logging_0884/artfynd/A 10016-2024 artfynd.xlsx", "A 10016-2024")</f>
        <v/>
      </c>
      <c r="T65">
        <f>HYPERLINK("https://klasma.github.io/Logging_0884/kartor/A 10016-2024 karta.png", "A 10016-2024")</f>
        <v/>
      </c>
      <c r="V65">
        <f>HYPERLINK("https://klasma.github.io/Logging_0884/klagomål/A 10016-2024 FSC-klagomål.docx", "A 10016-2024")</f>
        <v/>
      </c>
      <c r="W65">
        <f>HYPERLINK("https://klasma.github.io/Logging_0884/klagomålsmail/A 10016-2024 FSC-klagomål mail.docx", "A 10016-2024")</f>
        <v/>
      </c>
      <c r="X65">
        <f>HYPERLINK("https://klasma.github.io/Logging_0884/tillsyn/A 10016-2024 tillsynsbegäran.docx", "A 10016-2024")</f>
        <v/>
      </c>
      <c r="Y65">
        <f>HYPERLINK("https://klasma.github.io/Logging_0884/tillsynsmail/A 10016-2024 tillsynsbegäran mail.docx", "A 10016-2024")</f>
        <v/>
      </c>
    </row>
    <row r="66" ht="15" customHeight="1">
      <c r="A66" t="inlineStr">
        <is>
          <t>A 15122-2024</t>
        </is>
      </c>
      <c r="B66" s="1" t="n">
        <v>45399</v>
      </c>
      <c r="C66" s="1" t="n">
        <v>45509</v>
      </c>
      <c r="D66" t="inlineStr">
        <is>
          <t>KALMAR LÄN</t>
        </is>
      </c>
      <c r="E66" t="inlineStr">
        <is>
          <t>VIMMERBY</t>
        </is>
      </c>
      <c r="G66" t="n">
        <v>1.7</v>
      </c>
      <c r="H66" t="n">
        <v>0</v>
      </c>
      <c r="I66" t="n">
        <v>0</v>
      </c>
      <c r="J66" t="n">
        <v>0</v>
      </c>
      <c r="K66" t="n">
        <v>1</v>
      </c>
      <c r="L66" t="n">
        <v>0</v>
      </c>
      <c r="M66" t="n">
        <v>0</v>
      </c>
      <c r="N66" t="n">
        <v>0</v>
      </c>
      <c r="O66" t="n">
        <v>1</v>
      </c>
      <c r="P66" t="n">
        <v>1</v>
      </c>
      <c r="Q66" t="n">
        <v>1</v>
      </c>
      <c r="R66" s="2" t="inlineStr">
        <is>
          <t>Sågfibbla</t>
        </is>
      </c>
      <c r="S66">
        <f>HYPERLINK("https://klasma.github.io/Logging_0884/artfynd/A 15122-2024 artfynd.xlsx", "A 15122-2024")</f>
        <v/>
      </c>
      <c r="T66">
        <f>HYPERLINK("https://klasma.github.io/Logging_0884/kartor/A 15122-2024 karta.png", "A 15122-2024")</f>
        <v/>
      </c>
      <c r="V66">
        <f>HYPERLINK("https://klasma.github.io/Logging_0884/klagomål/A 15122-2024 FSC-klagomål.docx", "A 15122-2024")</f>
        <v/>
      </c>
      <c r="W66">
        <f>HYPERLINK("https://klasma.github.io/Logging_0884/klagomålsmail/A 15122-2024 FSC-klagomål mail.docx", "A 15122-2024")</f>
        <v/>
      </c>
      <c r="X66">
        <f>HYPERLINK("https://klasma.github.io/Logging_0884/tillsyn/A 15122-2024 tillsynsbegäran.docx", "A 15122-2024")</f>
        <v/>
      </c>
      <c r="Y66">
        <f>HYPERLINK("https://klasma.github.io/Logging_0884/tillsynsmail/A 15122-2024 tillsynsbegäran mail.docx", "A 15122-2024")</f>
        <v/>
      </c>
    </row>
    <row r="67" ht="15" customHeight="1">
      <c r="A67" t="inlineStr">
        <is>
          <t>A 15627-2024</t>
        </is>
      </c>
      <c r="B67" s="1" t="n">
        <v>45402</v>
      </c>
      <c r="C67" s="1" t="n">
        <v>45509</v>
      </c>
      <c r="D67" t="inlineStr">
        <is>
          <t>KALMAR LÄN</t>
        </is>
      </c>
      <c r="E67" t="inlineStr">
        <is>
          <t>VIMMERBY</t>
        </is>
      </c>
      <c r="G67" t="n">
        <v>3.2</v>
      </c>
      <c r="H67" t="n">
        <v>1</v>
      </c>
      <c r="I67" t="n">
        <v>1</v>
      </c>
      <c r="J67" t="n">
        <v>0</v>
      </c>
      <c r="K67" t="n">
        <v>0</v>
      </c>
      <c r="L67" t="n">
        <v>0</v>
      </c>
      <c r="M67" t="n">
        <v>0</v>
      </c>
      <c r="N67" t="n">
        <v>0</v>
      </c>
      <c r="O67" t="n">
        <v>0</v>
      </c>
      <c r="P67" t="n">
        <v>0</v>
      </c>
      <c r="Q67" t="n">
        <v>1</v>
      </c>
      <c r="R67" s="2" t="inlineStr">
        <is>
          <t>Plattlummer</t>
        </is>
      </c>
      <c r="S67">
        <f>HYPERLINK("https://klasma.github.io/Logging_0884/artfynd/A 15627-2024 artfynd.xlsx", "A 15627-2024")</f>
        <v/>
      </c>
      <c r="T67">
        <f>HYPERLINK("https://klasma.github.io/Logging_0884/kartor/A 15627-2024 karta.png", "A 15627-2024")</f>
        <v/>
      </c>
      <c r="V67">
        <f>HYPERLINK("https://klasma.github.io/Logging_0884/klagomål/A 15627-2024 FSC-klagomål.docx", "A 15627-2024")</f>
        <v/>
      </c>
      <c r="W67">
        <f>HYPERLINK("https://klasma.github.io/Logging_0884/klagomålsmail/A 15627-2024 FSC-klagomål mail.docx", "A 15627-2024")</f>
        <v/>
      </c>
      <c r="X67">
        <f>HYPERLINK("https://klasma.github.io/Logging_0884/tillsyn/A 15627-2024 tillsynsbegäran.docx", "A 15627-2024")</f>
        <v/>
      </c>
      <c r="Y67">
        <f>HYPERLINK("https://klasma.github.io/Logging_0884/tillsynsmail/A 15627-2024 tillsynsbegäran mail.docx", "A 15627-2024")</f>
        <v/>
      </c>
    </row>
    <row r="68" ht="15" customHeight="1">
      <c r="A68" t="inlineStr">
        <is>
          <t>A 18658-2019</t>
        </is>
      </c>
      <c r="B68" s="1" t="n">
        <v>43559</v>
      </c>
      <c r="C68" s="1" t="n">
        <v>45509</v>
      </c>
      <c r="D68" t="inlineStr">
        <is>
          <t>KALMAR LÄN</t>
        </is>
      </c>
      <c r="E68" t="inlineStr">
        <is>
          <t>VIMMERBY</t>
        </is>
      </c>
      <c r="G68" t="n">
        <v>2.5</v>
      </c>
      <c r="H68" t="n">
        <v>0</v>
      </c>
      <c r="I68" t="n">
        <v>0</v>
      </c>
      <c r="J68" t="n">
        <v>0</v>
      </c>
      <c r="K68" t="n">
        <v>0</v>
      </c>
      <c r="L68" t="n">
        <v>0</v>
      </c>
      <c r="M68" t="n">
        <v>0</v>
      </c>
      <c r="N68" t="n">
        <v>0</v>
      </c>
      <c r="O68" t="n">
        <v>0</v>
      </c>
      <c r="P68" t="n">
        <v>0</v>
      </c>
      <c r="Q68" t="n">
        <v>0</v>
      </c>
      <c r="R68" s="2" t="inlineStr"/>
    </row>
    <row r="69" ht="15" customHeight="1">
      <c r="A69" t="inlineStr">
        <is>
          <t>A 18656-2019</t>
        </is>
      </c>
      <c r="B69" s="1" t="n">
        <v>43559</v>
      </c>
      <c r="C69" s="1" t="n">
        <v>45509</v>
      </c>
      <c r="D69" t="inlineStr">
        <is>
          <t>KALMAR LÄN</t>
        </is>
      </c>
      <c r="E69" t="inlineStr">
        <is>
          <t>VIMMERBY</t>
        </is>
      </c>
      <c r="G69" t="n">
        <v>2.1</v>
      </c>
      <c r="H69" t="n">
        <v>0</v>
      </c>
      <c r="I69" t="n">
        <v>0</v>
      </c>
      <c r="J69" t="n">
        <v>0</v>
      </c>
      <c r="K69" t="n">
        <v>0</v>
      </c>
      <c r="L69" t="n">
        <v>0</v>
      </c>
      <c r="M69" t="n">
        <v>0</v>
      </c>
      <c r="N69" t="n">
        <v>0</v>
      </c>
      <c r="O69" t="n">
        <v>0</v>
      </c>
      <c r="P69" t="n">
        <v>0</v>
      </c>
      <c r="Q69" t="n">
        <v>0</v>
      </c>
      <c r="R69" s="2" t="inlineStr"/>
    </row>
    <row r="70" ht="15" customHeight="1">
      <c r="A70" t="inlineStr">
        <is>
          <t>A 18755-2019</t>
        </is>
      </c>
      <c r="B70" s="1" t="n">
        <v>43560</v>
      </c>
      <c r="C70" s="1" t="n">
        <v>45509</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19057-2019</t>
        </is>
      </c>
      <c r="B71" s="1" t="n">
        <v>43563</v>
      </c>
      <c r="C71" s="1" t="n">
        <v>45509</v>
      </c>
      <c r="D71" t="inlineStr">
        <is>
          <t>KALMAR LÄN</t>
        </is>
      </c>
      <c r="E71" t="inlineStr">
        <is>
          <t>VIMMERBY</t>
        </is>
      </c>
      <c r="G71" t="n">
        <v>10.1</v>
      </c>
      <c r="H71" t="n">
        <v>0</v>
      </c>
      <c r="I71" t="n">
        <v>0</v>
      </c>
      <c r="J71" t="n">
        <v>0</v>
      </c>
      <c r="K71" t="n">
        <v>0</v>
      </c>
      <c r="L71" t="n">
        <v>0</v>
      </c>
      <c r="M71" t="n">
        <v>0</v>
      </c>
      <c r="N71" t="n">
        <v>0</v>
      </c>
      <c r="O71" t="n">
        <v>0</v>
      </c>
      <c r="P71" t="n">
        <v>0</v>
      </c>
      <c r="Q71" t="n">
        <v>0</v>
      </c>
      <c r="R71" s="2" t="inlineStr"/>
    </row>
    <row r="72" ht="15" customHeight="1">
      <c r="A72" t="inlineStr">
        <is>
          <t>A 19056-2019</t>
        </is>
      </c>
      <c r="B72" s="1" t="n">
        <v>43563</v>
      </c>
      <c r="C72" s="1" t="n">
        <v>45509</v>
      </c>
      <c r="D72" t="inlineStr">
        <is>
          <t>KALMAR LÄN</t>
        </is>
      </c>
      <c r="E72" t="inlineStr">
        <is>
          <t>VIMMERBY</t>
        </is>
      </c>
      <c r="G72" t="n">
        <v>3.2</v>
      </c>
      <c r="H72" t="n">
        <v>0</v>
      </c>
      <c r="I72" t="n">
        <v>0</v>
      </c>
      <c r="J72" t="n">
        <v>0</v>
      </c>
      <c r="K72" t="n">
        <v>0</v>
      </c>
      <c r="L72" t="n">
        <v>0</v>
      </c>
      <c r="M72" t="n">
        <v>0</v>
      </c>
      <c r="N72" t="n">
        <v>0</v>
      </c>
      <c r="O72" t="n">
        <v>0</v>
      </c>
      <c r="P72" t="n">
        <v>0</v>
      </c>
      <c r="Q72" t="n">
        <v>0</v>
      </c>
      <c r="R72" s="2" t="inlineStr"/>
    </row>
    <row r="73" ht="15" customHeight="1">
      <c r="A73" t="inlineStr">
        <is>
          <t>A 19054-2019</t>
        </is>
      </c>
      <c r="B73" s="1" t="n">
        <v>43563</v>
      </c>
      <c r="C73" s="1" t="n">
        <v>45509</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19616-2019</t>
        </is>
      </c>
      <c r="B74" s="1" t="n">
        <v>43566</v>
      </c>
      <c r="C74" s="1" t="n">
        <v>45509</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19632-2019</t>
        </is>
      </c>
      <c r="B75" s="1" t="n">
        <v>43566</v>
      </c>
      <c r="C75" s="1" t="n">
        <v>45509</v>
      </c>
      <c r="D75" t="inlineStr">
        <is>
          <t>KALMAR LÄN</t>
        </is>
      </c>
      <c r="E75" t="inlineStr">
        <is>
          <t>VIMMERBY</t>
        </is>
      </c>
      <c r="G75" t="n">
        <v>4.1</v>
      </c>
      <c r="H75" t="n">
        <v>0</v>
      </c>
      <c r="I75" t="n">
        <v>0</v>
      </c>
      <c r="J75" t="n">
        <v>0</v>
      </c>
      <c r="K75" t="n">
        <v>0</v>
      </c>
      <c r="L75" t="n">
        <v>0</v>
      </c>
      <c r="M75" t="n">
        <v>0</v>
      </c>
      <c r="N75" t="n">
        <v>0</v>
      </c>
      <c r="O75" t="n">
        <v>0</v>
      </c>
      <c r="P75" t="n">
        <v>0</v>
      </c>
      <c r="Q75" t="n">
        <v>0</v>
      </c>
      <c r="R75" s="2" t="inlineStr"/>
    </row>
    <row r="76" ht="15" customHeight="1">
      <c r="A76" t="inlineStr">
        <is>
          <t>A 19899-2019</t>
        </is>
      </c>
      <c r="B76" s="1" t="n">
        <v>43567</v>
      </c>
      <c r="C76" s="1" t="n">
        <v>45509</v>
      </c>
      <c r="D76" t="inlineStr">
        <is>
          <t>KALMAR LÄN</t>
        </is>
      </c>
      <c r="E76" t="inlineStr">
        <is>
          <t>VIMMERBY</t>
        </is>
      </c>
      <c r="F76" t="inlineStr">
        <is>
          <t>Övriga Aktiebolag</t>
        </is>
      </c>
      <c r="G76" t="n">
        <v>2.6</v>
      </c>
      <c r="H76" t="n">
        <v>0</v>
      </c>
      <c r="I76" t="n">
        <v>0</v>
      </c>
      <c r="J76" t="n">
        <v>0</v>
      </c>
      <c r="K76" t="n">
        <v>0</v>
      </c>
      <c r="L76" t="n">
        <v>0</v>
      </c>
      <c r="M76" t="n">
        <v>0</v>
      </c>
      <c r="N76" t="n">
        <v>0</v>
      </c>
      <c r="O76" t="n">
        <v>0</v>
      </c>
      <c r="P76" t="n">
        <v>0</v>
      </c>
      <c r="Q76" t="n">
        <v>0</v>
      </c>
      <c r="R76" s="2" t="inlineStr"/>
    </row>
    <row r="77" ht="15" customHeight="1">
      <c r="A77" t="inlineStr">
        <is>
          <t>A 20035-2019</t>
        </is>
      </c>
      <c r="B77" s="1" t="n">
        <v>43570</v>
      </c>
      <c r="C77" s="1" t="n">
        <v>45509</v>
      </c>
      <c r="D77" t="inlineStr">
        <is>
          <t>KALMAR LÄN</t>
        </is>
      </c>
      <c r="E77" t="inlineStr">
        <is>
          <t>VIMMERBY</t>
        </is>
      </c>
      <c r="G77" t="n">
        <v>1.5</v>
      </c>
      <c r="H77" t="n">
        <v>0</v>
      </c>
      <c r="I77" t="n">
        <v>0</v>
      </c>
      <c r="J77" t="n">
        <v>0</v>
      </c>
      <c r="K77" t="n">
        <v>0</v>
      </c>
      <c r="L77" t="n">
        <v>0</v>
      </c>
      <c r="M77" t="n">
        <v>0</v>
      </c>
      <c r="N77" t="n">
        <v>0</v>
      </c>
      <c r="O77" t="n">
        <v>0</v>
      </c>
      <c r="P77" t="n">
        <v>0</v>
      </c>
      <c r="Q77" t="n">
        <v>0</v>
      </c>
      <c r="R77" s="2" t="inlineStr"/>
    </row>
    <row r="78" ht="15" customHeight="1">
      <c r="A78" t="inlineStr">
        <is>
          <t>A 19983-2019</t>
        </is>
      </c>
      <c r="B78" s="1" t="n">
        <v>43570</v>
      </c>
      <c r="C78" s="1" t="n">
        <v>45509</v>
      </c>
      <c r="D78" t="inlineStr">
        <is>
          <t>KALMAR LÄN</t>
        </is>
      </c>
      <c r="E78" t="inlineStr">
        <is>
          <t>VIMMERBY</t>
        </is>
      </c>
      <c r="G78" t="n">
        <v>0.8</v>
      </c>
      <c r="H78" t="n">
        <v>0</v>
      </c>
      <c r="I78" t="n">
        <v>0</v>
      </c>
      <c r="J78" t="n">
        <v>0</v>
      </c>
      <c r="K78" t="n">
        <v>0</v>
      </c>
      <c r="L78" t="n">
        <v>0</v>
      </c>
      <c r="M78" t="n">
        <v>0</v>
      </c>
      <c r="N78" t="n">
        <v>0</v>
      </c>
      <c r="O78" t="n">
        <v>0</v>
      </c>
      <c r="P78" t="n">
        <v>0</v>
      </c>
      <c r="Q78" t="n">
        <v>0</v>
      </c>
      <c r="R78" s="2" t="inlineStr"/>
    </row>
    <row r="79" ht="15" customHeight="1">
      <c r="A79" t="inlineStr">
        <is>
          <t>A 20080-2019</t>
        </is>
      </c>
      <c r="B79" s="1" t="n">
        <v>43570</v>
      </c>
      <c r="C79" s="1" t="n">
        <v>45509</v>
      </c>
      <c r="D79" t="inlineStr">
        <is>
          <t>KALMAR LÄN</t>
        </is>
      </c>
      <c r="E79" t="inlineStr">
        <is>
          <t>VIMMERBY</t>
        </is>
      </c>
      <c r="G79" t="n">
        <v>1.5</v>
      </c>
      <c r="H79" t="n">
        <v>0</v>
      </c>
      <c r="I79" t="n">
        <v>0</v>
      </c>
      <c r="J79" t="n">
        <v>0</v>
      </c>
      <c r="K79" t="n">
        <v>0</v>
      </c>
      <c r="L79" t="n">
        <v>0</v>
      </c>
      <c r="M79" t="n">
        <v>0</v>
      </c>
      <c r="N79" t="n">
        <v>0</v>
      </c>
      <c r="O79" t="n">
        <v>0</v>
      </c>
      <c r="P79" t="n">
        <v>0</v>
      </c>
      <c r="Q79" t="n">
        <v>0</v>
      </c>
      <c r="R79" s="2" t="inlineStr"/>
    </row>
    <row r="80" ht="15" customHeight="1">
      <c r="A80" t="inlineStr">
        <is>
          <t>A 20069-2019</t>
        </is>
      </c>
      <c r="B80" s="1" t="n">
        <v>43570</v>
      </c>
      <c r="C80" s="1" t="n">
        <v>45509</v>
      </c>
      <c r="D80" t="inlineStr">
        <is>
          <t>KALMAR LÄN</t>
        </is>
      </c>
      <c r="E80" t="inlineStr">
        <is>
          <t>VIMMERBY</t>
        </is>
      </c>
      <c r="G80" t="n">
        <v>4.9</v>
      </c>
      <c r="H80" t="n">
        <v>0</v>
      </c>
      <c r="I80" t="n">
        <v>0</v>
      </c>
      <c r="J80" t="n">
        <v>0</v>
      </c>
      <c r="K80" t="n">
        <v>0</v>
      </c>
      <c r="L80" t="n">
        <v>0</v>
      </c>
      <c r="M80" t="n">
        <v>0</v>
      </c>
      <c r="N80" t="n">
        <v>0</v>
      </c>
      <c r="O80" t="n">
        <v>0</v>
      </c>
      <c r="P80" t="n">
        <v>0</v>
      </c>
      <c r="Q80" t="n">
        <v>0</v>
      </c>
      <c r="R80" s="2" t="inlineStr"/>
    </row>
    <row r="81" ht="15" customHeight="1">
      <c r="A81" t="inlineStr">
        <is>
          <t>A 20314-2019</t>
        </is>
      </c>
      <c r="B81" s="1" t="n">
        <v>43571</v>
      </c>
      <c r="C81" s="1" t="n">
        <v>45509</v>
      </c>
      <c r="D81" t="inlineStr">
        <is>
          <t>KALMAR LÄN</t>
        </is>
      </c>
      <c r="E81" t="inlineStr">
        <is>
          <t>VIMMERBY</t>
        </is>
      </c>
      <c r="G81" t="n">
        <v>2.2</v>
      </c>
      <c r="H81" t="n">
        <v>0</v>
      </c>
      <c r="I81" t="n">
        <v>0</v>
      </c>
      <c r="J81" t="n">
        <v>0</v>
      </c>
      <c r="K81" t="n">
        <v>0</v>
      </c>
      <c r="L81" t="n">
        <v>0</v>
      </c>
      <c r="M81" t="n">
        <v>0</v>
      </c>
      <c r="N81" t="n">
        <v>0</v>
      </c>
      <c r="O81" t="n">
        <v>0</v>
      </c>
      <c r="P81" t="n">
        <v>0</v>
      </c>
      <c r="Q81" t="n">
        <v>0</v>
      </c>
      <c r="R81" s="2" t="inlineStr"/>
    </row>
    <row r="82" ht="15" customHeight="1">
      <c r="A82" t="inlineStr">
        <is>
          <t>A 20312-2019</t>
        </is>
      </c>
      <c r="B82" s="1" t="n">
        <v>43571</v>
      </c>
      <c r="C82" s="1" t="n">
        <v>45509</v>
      </c>
      <c r="D82" t="inlineStr">
        <is>
          <t>KALMAR LÄN</t>
        </is>
      </c>
      <c r="E82" t="inlineStr">
        <is>
          <t>VIMMERBY</t>
        </is>
      </c>
      <c r="G82" t="n">
        <v>4.2</v>
      </c>
      <c r="H82" t="n">
        <v>0</v>
      </c>
      <c r="I82" t="n">
        <v>0</v>
      </c>
      <c r="J82" t="n">
        <v>0</v>
      </c>
      <c r="K82" t="n">
        <v>0</v>
      </c>
      <c r="L82" t="n">
        <v>0</v>
      </c>
      <c r="M82" t="n">
        <v>0</v>
      </c>
      <c r="N82" t="n">
        <v>0</v>
      </c>
      <c r="O82" t="n">
        <v>0</v>
      </c>
      <c r="P82" t="n">
        <v>0</v>
      </c>
      <c r="Q82" t="n">
        <v>0</v>
      </c>
      <c r="R82" s="2" t="inlineStr"/>
    </row>
    <row r="83" ht="15" customHeight="1">
      <c r="A83" t="inlineStr">
        <is>
          <t>A 20565-2019</t>
        </is>
      </c>
      <c r="B83" s="1" t="n">
        <v>43572</v>
      </c>
      <c r="C83" s="1" t="n">
        <v>45509</v>
      </c>
      <c r="D83" t="inlineStr">
        <is>
          <t>KALMAR LÄN</t>
        </is>
      </c>
      <c r="E83" t="inlineStr">
        <is>
          <t>VIMMERBY</t>
        </is>
      </c>
      <c r="G83" t="n">
        <v>5.5</v>
      </c>
      <c r="H83" t="n">
        <v>0</v>
      </c>
      <c r="I83" t="n">
        <v>0</v>
      </c>
      <c r="J83" t="n">
        <v>0</v>
      </c>
      <c r="K83" t="n">
        <v>0</v>
      </c>
      <c r="L83" t="n">
        <v>0</v>
      </c>
      <c r="M83" t="n">
        <v>0</v>
      </c>
      <c r="N83" t="n">
        <v>0</v>
      </c>
      <c r="O83" t="n">
        <v>0</v>
      </c>
      <c r="P83" t="n">
        <v>0</v>
      </c>
      <c r="Q83" t="n">
        <v>0</v>
      </c>
      <c r="R83" s="2" t="inlineStr"/>
    </row>
    <row r="84" ht="15" customHeight="1">
      <c r="A84" t="inlineStr">
        <is>
          <t>A 20856-2019</t>
        </is>
      </c>
      <c r="B84" s="1" t="n">
        <v>43578</v>
      </c>
      <c r="C84" s="1" t="n">
        <v>45509</v>
      </c>
      <c r="D84" t="inlineStr">
        <is>
          <t>KALMAR LÄN</t>
        </is>
      </c>
      <c r="E84" t="inlineStr">
        <is>
          <t>VIMMERBY</t>
        </is>
      </c>
      <c r="G84" t="n">
        <v>0.8</v>
      </c>
      <c r="H84" t="n">
        <v>0</v>
      </c>
      <c r="I84" t="n">
        <v>0</v>
      </c>
      <c r="J84" t="n">
        <v>0</v>
      </c>
      <c r="K84" t="n">
        <v>0</v>
      </c>
      <c r="L84" t="n">
        <v>0</v>
      </c>
      <c r="M84" t="n">
        <v>0</v>
      </c>
      <c r="N84" t="n">
        <v>0</v>
      </c>
      <c r="O84" t="n">
        <v>0</v>
      </c>
      <c r="P84" t="n">
        <v>0</v>
      </c>
      <c r="Q84" t="n">
        <v>0</v>
      </c>
      <c r="R84" s="2" t="inlineStr"/>
    </row>
    <row r="85" ht="15" customHeight="1">
      <c r="A85" t="inlineStr">
        <is>
          <t>A 21557-2019</t>
        </is>
      </c>
      <c r="B85" s="1" t="n">
        <v>43580</v>
      </c>
      <c r="C85" s="1" t="n">
        <v>45509</v>
      </c>
      <c r="D85" t="inlineStr">
        <is>
          <t>KALMAR LÄN</t>
        </is>
      </c>
      <c r="E85" t="inlineStr">
        <is>
          <t>VIMMERBY</t>
        </is>
      </c>
      <c r="G85" t="n">
        <v>13.8</v>
      </c>
      <c r="H85" t="n">
        <v>0</v>
      </c>
      <c r="I85" t="n">
        <v>0</v>
      </c>
      <c r="J85" t="n">
        <v>0</v>
      </c>
      <c r="K85" t="n">
        <v>0</v>
      </c>
      <c r="L85" t="n">
        <v>0</v>
      </c>
      <c r="M85" t="n">
        <v>0</v>
      </c>
      <c r="N85" t="n">
        <v>0</v>
      </c>
      <c r="O85" t="n">
        <v>0</v>
      </c>
      <c r="P85" t="n">
        <v>0</v>
      </c>
      <c r="Q85" t="n">
        <v>0</v>
      </c>
      <c r="R85" s="2" t="inlineStr"/>
    </row>
    <row r="86" ht="15" customHeight="1">
      <c r="A86" t="inlineStr">
        <is>
          <t>A 21500-2019</t>
        </is>
      </c>
      <c r="B86" s="1" t="n">
        <v>43580</v>
      </c>
      <c r="C86" s="1" t="n">
        <v>45509</v>
      </c>
      <c r="D86" t="inlineStr">
        <is>
          <t>KALMAR LÄN</t>
        </is>
      </c>
      <c r="E86" t="inlineStr">
        <is>
          <t>VIMMERBY</t>
        </is>
      </c>
      <c r="G86" t="n">
        <v>0.7</v>
      </c>
      <c r="H86" t="n">
        <v>0</v>
      </c>
      <c r="I86" t="n">
        <v>0</v>
      </c>
      <c r="J86" t="n">
        <v>0</v>
      </c>
      <c r="K86" t="n">
        <v>0</v>
      </c>
      <c r="L86" t="n">
        <v>0</v>
      </c>
      <c r="M86" t="n">
        <v>0</v>
      </c>
      <c r="N86" t="n">
        <v>0</v>
      </c>
      <c r="O86" t="n">
        <v>0</v>
      </c>
      <c r="P86" t="n">
        <v>0</v>
      </c>
      <c r="Q86" t="n">
        <v>0</v>
      </c>
      <c r="R86" s="2" t="inlineStr"/>
    </row>
    <row r="87" ht="15" customHeight="1">
      <c r="A87" t="inlineStr">
        <is>
          <t>A 21688-2019</t>
        </is>
      </c>
      <c r="B87" s="1" t="n">
        <v>43581</v>
      </c>
      <c r="C87" s="1" t="n">
        <v>45509</v>
      </c>
      <c r="D87" t="inlineStr">
        <is>
          <t>KALMAR LÄN</t>
        </is>
      </c>
      <c r="E87" t="inlineStr">
        <is>
          <t>VIMMERBY</t>
        </is>
      </c>
      <c r="G87" t="n">
        <v>1.2</v>
      </c>
      <c r="H87" t="n">
        <v>0</v>
      </c>
      <c r="I87" t="n">
        <v>0</v>
      </c>
      <c r="J87" t="n">
        <v>0</v>
      </c>
      <c r="K87" t="n">
        <v>0</v>
      </c>
      <c r="L87" t="n">
        <v>0</v>
      </c>
      <c r="M87" t="n">
        <v>0</v>
      </c>
      <c r="N87" t="n">
        <v>0</v>
      </c>
      <c r="O87" t="n">
        <v>0</v>
      </c>
      <c r="P87" t="n">
        <v>0</v>
      </c>
      <c r="Q87" t="n">
        <v>0</v>
      </c>
      <c r="R87" s="2" t="inlineStr"/>
    </row>
    <row r="88" ht="15" customHeight="1">
      <c r="A88" t="inlineStr">
        <is>
          <t>A 22372-2019</t>
        </is>
      </c>
      <c r="B88" s="1" t="n">
        <v>43587</v>
      </c>
      <c r="C88" s="1" t="n">
        <v>45509</v>
      </c>
      <c r="D88" t="inlineStr">
        <is>
          <t>KALMAR LÄN</t>
        </is>
      </c>
      <c r="E88" t="inlineStr">
        <is>
          <t>VIMMERBY</t>
        </is>
      </c>
      <c r="G88" t="n">
        <v>0.3</v>
      </c>
      <c r="H88" t="n">
        <v>0</v>
      </c>
      <c r="I88" t="n">
        <v>0</v>
      </c>
      <c r="J88" t="n">
        <v>0</v>
      </c>
      <c r="K88" t="n">
        <v>0</v>
      </c>
      <c r="L88" t="n">
        <v>0</v>
      </c>
      <c r="M88" t="n">
        <v>0</v>
      </c>
      <c r="N88" t="n">
        <v>0</v>
      </c>
      <c r="O88" t="n">
        <v>0</v>
      </c>
      <c r="P88" t="n">
        <v>0</v>
      </c>
      <c r="Q88" t="n">
        <v>0</v>
      </c>
      <c r="R88" s="2" t="inlineStr"/>
    </row>
    <row r="89" ht="15" customHeight="1">
      <c r="A89" t="inlineStr">
        <is>
          <t>A 22659-2019</t>
        </is>
      </c>
      <c r="B89" s="1" t="n">
        <v>43588</v>
      </c>
      <c r="C89" s="1" t="n">
        <v>45509</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23498-2019</t>
        </is>
      </c>
      <c r="B90" s="1" t="n">
        <v>43593</v>
      </c>
      <c r="C90" s="1" t="n">
        <v>45509</v>
      </c>
      <c r="D90" t="inlineStr">
        <is>
          <t>KALMAR LÄN</t>
        </is>
      </c>
      <c r="E90" t="inlineStr">
        <is>
          <t>VIMMERBY</t>
        </is>
      </c>
      <c r="G90" t="n">
        <v>1.9</v>
      </c>
      <c r="H90" t="n">
        <v>0</v>
      </c>
      <c r="I90" t="n">
        <v>0</v>
      </c>
      <c r="J90" t="n">
        <v>0</v>
      </c>
      <c r="K90" t="n">
        <v>0</v>
      </c>
      <c r="L90" t="n">
        <v>0</v>
      </c>
      <c r="M90" t="n">
        <v>0</v>
      </c>
      <c r="N90" t="n">
        <v>0</v>
      </c>
      <c r="O90" t="n">
        <v>0</v>
      </c>
      <c r="P90" t="n">
        <v>0</v>
      </c>
      <c r="Q90" t="n">
        <v>0</v>
      </c>
      <c r="R90" s="2" t="inlineStr"/>
    </row>
    <row r="91" ht="15" customHeight="1">
      <c r="A91" t="inlineStr">
        <is>
          <t>A 24254-2019</t>
        </is>
      </c>
      <c r="B91" s="1" t="n">
        <v>43599</v>
      </c>
      <c r="C91" s="1" t="n">
        <v>45509</v>
      </c>
      <c r="D91" t="inlineStr">
        <is>
          <t>KALMAR LÄN</t>
        </is>
      </c>
      <c r="E91" t="inlineStr">
        <is>
          <t>VIMMERBY</t>
        </is>
      </c>
      <c r="G91" t="n">
        <v>1.7</v>
      </c>
      <c r="H91" t="n">
        <v>0</v>
      </c>
      <c r="I91" t="n">
        <v>0</v>
      </c>
      <c r="J91" t="n">
        <v>0</v>
      </c>
      <c r="K91" t="n">
        <v>0</v>
      </c>
      <c r="L91" t="n">
        <v>0</v>
      </c>
      <c r="M91" t="n">
        <v>0</v>
      </c>
      <c r="N91" t="n">
        <v>0</v>
      </c>
      <c r="O91" t="n">
        <v>0</v>
      </c>
      <c r="P91" t="n">
        <v>0</v>
      </c>
      <c r="Q91" t="n">
        <v>0</v>
      </c>
      <c r="R91" s="2" t="inlineStr"/>
    </row>
    <row r="92" ht="15" customHeight="1">
      <c r="A92" t="inlineStr">
        <is>
          <t>A 24937-2019</t>
        </is>
      </c>
      <c r="B92" s="1" t="n">
        <v>43602</v>
      </c>
      <c r="C92" s="1" t="n">
        <v>45509</v>
      </c>
      <c r="D92" t="inlineStr">
        <is>
          <t>KALMAR LÄN</t>
        </is>
      </c>
      <c r="E92" t="inlineStr">
        <is>
          <t>VIMMERBY</t>
        </is>
      </c>
      <c r="G92" t="n">
        <v>0.9</v>
      </c>
      <c r="H92" t="n">
        <v>0</v>
      </c>
      <c r="I92" t="n">
        <v>0</v>
      </c>
      <c r="J92" t="n">
        <v>0</v>
      </c>
      <c r="K92" t="n">
        <v>0</v>
      </c>
      <c r="L92" t="n">
        <v>0</v>
      </c>
      <c r="M92" t="n">
        <v>0</v>
      </c>
      <c r="N92" t="n">
        <v>0</v>
      </c>
      <c r="O92" t="n">
        <v>0</v>
      </c>
      <c r="P92" t="n">
        <v>0</v>
      </c>
      <c r="Q92" t="n">
        <v>0</v>
      </c>
      <c r="R92" s="2" t="inlineStr"/>
    </row>
    <row r="93" ht="15" customHeight="1">
      <c r="A93" t="inlineStr">
        <is>
          <t>A 26073-2019</t>
        </is>
      </c>
      <c r="B93" s="1" t="n">
        <v>43609</v>
      </c>
      <c r="C93" s="1" t="n">
        <v>45509</v>
      </c>
      <c r="D93" t="inlineStr">
        <is>
          <t>KALMAR LÄN</t>
        </is>
      </c>
      <c r="E93" t="inlineStr">
        <is>
          <t>VIMMERBY</t>
        </is>
      </c>
      <c r="G93" t="n">
        <v>0.4</v>
      </c>
      <c r="H93" t="n">
        <v>0</v>
      </c>
      <c r="I93" t="n">
        <v>0</v>
      </c>
      <c r="J93" t="n">
        <v>0</v>
      </c>
      <c r="K93" t="n">
        <v>0</v>
      </c>
      <c r="L93" t="n">
        <v>0</v>
      </c>
      <c r="M93" t="n">
        <v>0</v>
      </c>
      <c r="N93" t="n">
        <v>0</v>
      </c>
      <c r="O93" t="n">
        <v>0</v>
      </c>
      <c r="P93" t="n">
        <v>0</v>
      </c>
      <c r="Q93" t="n">
        <v>0</v>
      </c>
      <c r="R93" s="2" t="inlineStr"/>
    </row>
    <row r="94" ht="15" customHeight="1">
      <c r="A94" t="inlineStr">
        <is>
          <t>A 26660-2019</t>
        </is>
      </c>
      <c r="B94" s="1" t="n">
        <v>43613</v>
      </c>
      <c r="C94" s="1" t="n">
        <v>45509</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28013-2019</t>
        </is>
      </c>
      <c r="B95" s="1" t="n">
        <v>43621</v>
      </c>
      <c r="C95" s="1" t="n">
        <v>45509</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28348-2019</t>
        </is>
      </c>
      <c r="B96" s="1" t="n">
        <v>43624</v>
      </c>
      <c r="C96" s="1" t="n">
        <v>45509</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28414-2019</t>
        </is>
      </c>
      <c r="B97" s="1" t="n">
        <v>43626</v>
      </c>
      <c r="C97" s="1" t="n">
        <v>45509</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29004-2019</t>
        </is>
      </c>
      <c r="B98" s="1" t="n">
        <v>43628</v>
      </c>
      <c r="C98" s="1" t="n">
        <v>45509</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29228-2019</t>
        </is>
      </c>
      <c r="B99" s="1" t="n">
        <v>43629</v>
      </c>
      <c r="C99" s="1" t="n">
        <v>45509</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29408-2019</t>
        </is>
      </c>
      <c r="B100" s="1" t="n">
        <v>43629</v>
      </c>
      <c r="C100" s="1" t="n">
        <v>45509</v>
      </c>
      <c r="D100" t="inlineStr">
        <is>
          <t>KALMAR LÄN</t>
        </is>
      </c>
      <c r="E100" t="inlineStr">
        <is>
          <t>VIMMERBY</t>
        </is>
      </c>
      <c r="G100" t="n">
        <v>10.2</v>
      </c>
      <c r="H100" t="n">
        <v>0</v>
      </c>
      <c r="I100" t="n">
        <v>0</v>
      </c>
      <c r="J100" t="n">
        <v>0</v>
      </c>
      <c r="K100" t="n">
        <v>0</v>
      </c>
      <c r="L100" t="n">
        <v>0</v>
      </c>
      <c r="M100" t="n">
        <v>0</v>
      </c>
      <c r="N100" t="n">
        <v>0</v>
      </c>
      <c r="O100" t="n">
        <v>0</v>
      </c>
      <c r="P100" t="n">
        <v>0</v>
      </c>
      <c r="Q100" t="n">
        <v>0</v>
      </c>
      <c r="R100" s="2" t="inlineStr"/>
    </row>
    <row r="101" ht="15" customHeight="1">
      <c r="A101" t="inlineStr">
        <is>
          <t>A 29693-2019</t>
        </is>
      </c>
      <c r="B101" s="1" t="n">
        <v>43630</v>
      </c>
      <c r="C101" s="1" t="n">
        <v>45509</v>
      </c>
      <c r="D101" t="inlineStr">
        <is>
          <t>KALMAR LÄN</t>
        </is>
      </c>
      <c r="E101" t="inlineStr">
        <is>
          <t>VIMMERBY</t>
        </is>
      </c>
      <c r="G101" t="n">
        <v>2.1</v>
      </c>
      <c r="H101" t="n">
        <v>0</v>
      </c>
      <c r="I101" t="n">
        <v>0</v>
      </c>
      <c r="J101" t="n">
        <v>0</v>
      </c>
      <c r="K101" t="n">
        <v>0</v>
      </c>
      <c r="L101" t="n">
        <v>0</v>
      </c>
      <c r="M101" t="n">
        <v>0</v>
      </c>
      <c r="N101" t="n">
        <v>0</v>
      </c>
      <c r="O101" t="n">
        <v>0</v>
      </c>
      <c r="P101" t="n">
        <v>0</v>
      </c>
      <c r="Q101" t="n">
        <v>0</v>
      </c>
      <c r="R101" s="2" t="inlineStr"/>
    </row>
    <row r="102" ht="15" customHeight="1">
      <c r="A102" t="inlineStr">
        <is>
          <t>A 29675-2019</t>
        </is>
      </c>
      <c r="B102" s="1" t="n">
        <v>43630</v>
      </c>
      <c r="C102" s="1" t="n">
        <v>45509</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29775-2019</t>
        </is>
      </c>
      <c r="B103" s="1" t="n">
        <v>43632</v>
      </c>
      <c r="C103" s="1" t="n">
        <v>45509</v>
      </c>
      <c r="D103" t="inlineStr">
        <is>
          <t>KALMAR LÄN</t>
        </is>
      </c>
      <c r="E103" t="inlineStr">
        <is>
          <t>VIMMERBY</t>
        </is>
      </c>
      <c r="G103" t="n">
        <v>2</v>
      </c>
      <c r="H103" t="n">
        <v>0</v>
      </c>
      <c r="I103" t="n">
        <v>0</v>
      </c>
      <c r="J103" t="n">
        <v>0</v>
      </c>
      <c r="K103" t="n">
        <v>0</v>
      </c>
      <c r="L103" t="n">
        <v>0</v>
      </c>
      <c r="M103" t="n">
        <v>0</v>
      </c>
      <c r="N103" t="n">
        <v>0</v>
      </c>
      <c r="O103" t="n">
        <v>0</v>
      </c>
      <c r="P103" t="n">
        <v>0</v>
      </c>
      <c r="Q103" t="n">
        <v>0</v>
      </c>
      <c r="R103" s="2" t="inlineStr"/>
    </row>
    <row r="104" ht="15" customHeight="1">
      <c r="A104" t="inlineStr">
        <is>
          <t>A 29773-2019</t>
        </is>
      </c>
      <c r="B104" s="1" t="n">
        <v>43632</v>
      </c>
      <c r="C104" s="1" t="n">
        <v>45509</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31027-2019</t>
        </is>
      </c>
      <c r="B105" s="1" t="n">
        <v>43636</v>
      </c>
      <c r="C105" s="1" t="n">
        <v>45509</v>
      </c>
      <c r="D105" t="inlineStr">
        <is>
          <t>KALMAR LÄN</t>
        </is>
      </c>
      <c r="E105" t="inlineStr">
        <is>
          <t>VIMMERBY</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30994-2019</t>
        </is>
      </c>
      <c r="B106" s="1" t="n">
        <v>43640</v>
      </c>
      <c r="C106" s="1" t="n">
        <v>45509</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31859-2019</t>
        </is>
      </c>
      <c r="B107" s="1" t="n">
        <v>43642</v>
      </c>
      <c r="C107" s="1" t="n">
        <v>45509</v>
      </c>
      <c r="D107" t="inlineStr">
        <is>
          <t>KALMAR LÄN</t>
        </is>
      </c>
      <c r="E107" t="inlineStr">
        <is>
          <t>VIMMERBY</t>
        </is>
      </c>
      <c r="G107" t="n">
        <v>2.1</v>
      </c>
      <c r="H107" t="n">
        <v>0</v>
      </c>
      <c r="I107" t="n">
        <v>0</v>
      </c>
      <c r="J107" t="n">
        <v>0</v>
      </c>
      <c r="K107" t="n">
        <v>0</v>
      </c>
      <c r="L107" t="n">
        <v>0</v>
      </c>
      <c r="M107" t="n">
        <v>0</v>
      </c>
      <c r="N107" t="n">
        <v>0</v>
      </c>
      <c r="O107" t="n">
        <v>0</v>
      </c>
      <c r="P107" t="n">
        <v>0</v>
      </c>
      <c r="Q107" t="n">
        <v>0</v>
      </c>
      <c r="R107" s="2" t="inlineStr"/>
    </row>
    <row r="108" ht="15" customHeight="1">
      <c r="A108" t="inlineStr">
        <is>
          <t>A 32911-2019</t>
        </is>
      </c>
      <c r="B108" s="1" t="n">
        <v>43648</v>
      </c>
      <c r="C108" s="1" t="n">
        <v>45509</v>
      </c>
      <c r="D108" t="inlineStr">
        <is>
          <t>KALMAR LÄN</t>
        </is>
      </c>
      <c r="E108" t="inlineStr">
        <is>
          <t>VIMMERBY</t>
        </is>
      </c>
      <c r="G108" t="n">
        <v>5</v>
      </c>
      <c r="H108" t="n">
        <v>0</v>
      </c>
      <c r="I108" t="n">
        <v>0</v>
      </c>
      <c r="J108" t="n">
        <v>0</v>
      </c>
      <c r="K108" t="n">
        <v>0</v>
      </c>
      <c r="L108" t="n">
        <v>0</v>
      </c>
      <c r="M108" t="n">
        <v>0</v>
      </c>
      <c r="N108" t="n">
        <v>0</v>
      </c>
      <c r="O108" t="n">
        <v>0</v>
      </c>
      <c r="P108" t="n">
        <v>0</v>
      </c>
      <c r="Q108" t="n">
        <v>0</v>
      </c>
      <c r="R108" s="2" t="inlineStr"/>
    </row>
    <row r="109" ht="15" customHeight="1">
      <c r="A109" t="inlineStr">
        <is>
          <t>A 32924-2019</t>
        </is>
      </c>
      <c r="B109" s="1" t="n">
        <v>43648</v>
      </c>
      <c r="C109" s="1" t="n">
        <v>45509</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32918-2019</t>
        </is>
      </c>
      <c r="B110" s="1" t="n">
        <v>43648</v>
      </c>
      <c r="C110" s="1" t="n">
        <v>45509</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32910-2019</t>
        </is>
      </c>
      <c r="B111" s="1" t="n">
        <v>43648</v>
      </c>
      <c r="C111" s="1" t="n">
        <v>45509</v>
      </c>
      <c r="D111" t="inlineStr">
        <is>
          <t>KALMAR LÄN</t>
        </is>
      </c>
      <c r="E111" t="inlineStr">
        <is>
          <t>VIMMERBY</t>
        </is>
      </c>
      <c r="G111" t="n">
        <v>6</v>
      </c>
      <c r="H111" t="n">
        <v>0</v>
      </c>
      <c r="I111" t="n">
        <v>0</v>
      </c>
      <c r="J111" t="n">
        <v>0</v>
      </c>
      <c r="K111" t="n">
        <v>0</v>
      </c>
      <c r="L111" t="n">
        <v>0</v>
      </c>
      <c r="M111" t="n">
        <v>0</v>
      </c>
      <c r="N111" t="n">
        <v>0</v>
      </c>
      <c r="O111" t="n">
        <v>0</v>
      </c>
      <c r="P111" t="n">
        <v>0</v>
      </c>
      <c r="Q111" t="n">
        <v>0</v>
      </c>
      <c r="R111" s="2" t="inlineStr"/>
    </row>
    <row r="112" ht="15" customHeight="1">
      <c r="A112" t="inlineStr">
        <is>
          <t>A 34765-2019</t>
        </is>
      </c>
      <c r="B112" s="1" t="n">
        <v>43649</v>
      </c>
      <c r="C112" s="1" t="n">
        <v>45509</v>
      </c>
      <c r="D112" t="inlineStr">
        <is>
          <t>KALMAR LÄN</t>
        </is>
      </c>
      <c r="E112" t="inlineStr">
        <is>
          <t>VIMMERBY</t>
        </is>
      </c>
      <c r="G112" t="n">
        <v>6.9</v>
      </c>
      <c r="H112" t="n">
        <v>0</v>
      </c>
      <c r="I112" t="n">
        <v>0</v>
      </c>
      <c r="J112" t="n">
        <v>0</v>
      </c>
      <c r="K112" t="n">
        <v>0</v>
      </c>
      <c r="L112" t="n">
        <v>0</v>
      </c>
      <c r="M112" t="n">
        <v>0</v>
      </c>
      <c r="N112" t="n">
        <v>0</v>
      </c>
      <c r="O112" t="n">
        <v>0</v>
      </c>
      <c r="P112" t="n">
        <v>0</v>
      </c>
      <c r="Q112" t="n">
        <v>0</v>
      </c>
      <c r="R112" s="2" t="inlineStr"/>
    </row>
    <row r="113" ht="15" customHeight="1">
      <c r="A113" t="inlineStr">
        <is>
          <t>A 33411-2019</t>
        </is>
      </c>
      <c r="B113" s="1" t="n">
        <v>43650</v>
      </c>
      <c r="C113" s="1" t="n">
        <v>45509</v>
      </c>
      <c r="D113" t="inlineStr">
        <is>
          <t>KALMAR LÄN</t>
        </is>
      </c>
      <c r="E113" t="inlineStr">
        <is>
          <t>VIMMERBY</t>
        </is>
      </c>
      <c r="G113" t="n">
        <v>1.6</v>
      </c>
      <c r="H113" t="n">
        <v>0</v>
      </c>
      <c r="I113" t="n">
        <v>0</v>
      </c>
      <c r="J113" t="n">
        <v>0</v>
      </c>
      <c r="K113" t="n">
        <v>0</v>
      </c>
      <c r="L113" t="n">
        <v>0</v>
      </c>
      <c r="M113" t="n">
        <v>0</v>
      </c>
      <c r="N113" t="n">
        <v>0</v>
      </c>
      <c r="O113" t="n">
        <v>0</v>
      </c>
      <c r="P113" t="n">
        <v>0</v>
      </c>
      <c r="Q113" t="n">
        <v>0</v>
      </c>
      <c r="R113" s="2" t="inlineStr"/>
    </row>
    <row r="114" ht="15" customHeight="1">
      <c r="A114" t="inlineStr">
        <is>
          <t>A 33410-2019</t>
        </is>
      </c>
      <c r="B114" s="1" t="n">
        <v>43650</v>
      </c>
      <c r="C114" s="1" t="n">
        <v>45509</v>
      </c>
      <c r="D114" t="inlineStr">
        <is>
          <t>KALMAR LÄN</t>
        </is>
      </c>
      <c r="E114" t="inlineStr">
        <is>
          <t>VIMMERBY</t>
        </is>
      </c>
      <c r="G114" t="n">
        <v>4.4</v>
      </c>
      <c r="H114" t="n">
        <v>0</v>
      </c>
      <c r="I114" t="n">
        <v>0</v>
      </c>
      <c r="J114" t="n">
        <v>0</v>
      </c>
      <c r="K114" t="n">
        <v>0</v>
      </c>
      <c r="L114" t="n">
        <v>0</v>
      </c>
      <c r="M114" t="n">
        <v>0</v>
      </c>
      <c r="N114" t="n">
        <v>0</v>
      </c>
      <c r="O114" t="n">
        <v>0</v>
      </c>
      <c r="P114" t="n">
        <v>0</v>
      </c>
      <c r="Q114" t="n">
        <v>0</v>
      </c>
      <c r="R114" s="2" t="inlineStr"/>
    </row>
    <row r="115" ht="15" customHeight="1">
      <c r="A115" t="inlineStr">
        <is>
          <t>A 35259-2019</t>
        </is>
      </c>
      <c r="B115" s="1" t="n">
        <v>43651</v>
      </c>
      <c r="C115" s="1" t="n">
        <v>45509</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33869-2019</t>
        </is>
      </c>
      <c r="B116" s="1" t="n">
        <v>43652</v>
      </c>
      <c r="C116" s="1" t="n">
        <v>45509</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34241-2019</t>
        </is>
      </c>
      <c r="B117" s="1" t="n">
        <v>43655</v>
      </c>
      <c r="C117" s="1" t="n">
        <v>45509</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34244-2019</t>
        </is>
      </c>
      <c r="B118" s="1" t="n">
        <v>43655</v>
      </c>
      <c r="C118" s="1" t="n">
        <v>45509</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34273-2019</t>
        </is>
      </c>
      <c r="B119" s="1" t="n">
        <v>43655</v>
      </c>
      <c r="C119" s="1" t="n">
        <v>45509</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35701-2019</t>
        </is>
      </c>
      <c r="B120" s="1" t="n">
        <v>43655</v>
      </c>
      <c r="C120" s="1" t="n">
        <v>45509</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34672-2019</t>
        </is>
      </c>
      <c r="B121" s="1" t="n">
        <v>43657</v>
      </c>
      <c r="C121" s="1" t="n">
        <v>45509</v>
      </c>
      <c r="D121" t="inlineStr">
        <is>
          <t>KALMAR LÄN</t>
        </is>
      </c>
      <c r="E121" t="inlineStr">
        <is>
          <t>VIMMERBY</t>
        </is>
      </c>
      <c r="G121" t="n">
        <v>1.8</v>
      </c>
      <c r="H121" t="n">
        <v>0</v>
      </c>
      <c r="I121" t="n">
        <v>0</v>
      </c>
      <c r="J121" t="n">
        <v>0</v>
      </c>
      <c r="K121" t="n">
        <v>0</v>
      </c>
      <c r="L121" t="n">
        <v>0</v>
      </c>
      <c r="M121" t="n">
        <v>0</v>
      </c>
      <c r="N121" t="n">
        <v>0</v>
      </c>
      <c r="O121" t="n">
        <v>0</v>
      </c>
      <c r="P121" t="n">
        <v>0</v>
      </c>
      <c r="Q121" t="n">
        <v>0</v>
      </c>
      <c r="R121" s="2" t="inlineStr"/>
    </row>
    <row r="122" ht="15" customHeight="1">
      <c r="A122" t="inlineStr">
        <is>
          <t>A 35780-2019</t>
        </is>
      </c>
      <c r="B122" s="1" t="n">
        <v>43665</v>
      </c>
      <c r="C122" s="1" t="n">
        <v>45509</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35834-2019</t>
        </is>
      </c>
      <c r="B123" s="1" t="n">
        <v>43665</v>
      </c>
      <c r="C123" s="1" t="n">
        <v>45509</v>
      </c>
      <c r="D123" t="inlineStr">
        <is>
          <t>KALMAR LÄN</t>
        </is>
      </c>
      <c r="E123" t="inlineStr">
        <is>
          <t>VIMMERBY</t>
        </is>
      </c>
      <c r="G123" t="n">
        <v>0.2</v>
      </c>
      <c r="H123" t="n">
        <v>0</v>
      </c>
      <c r="I123" t="n">
        <v>0</v>
      </c>
      <c r="J123" t="n">
        <v>0</v>
      </c>
      <c r="K123" t="n">
        <v>0</v>
      </c>
      <c r="L123" t="n">
        <v>0</v>
      </c>
      <c r="M123" t="n">
        <v>0</v>
      </c>
      <c r="N123" t="n">
        <v>0</v>
      </c>
      <c r="O123" t="n">
        <v>0</v>
      </c>
      <c r="P123" t="n">
        <v>0</v>
      </c>
      <c r="Q123" t="n">
        <v>0</v>
      </c>
      <c r="R123" s="2" t="inlineStr"/>
    </row>
    <row r="124" ht="15" customHeight="1">
      <c r="A124" t="inlineStr">
        <is>
          <t>A 35829-2019</t>
        </is>
      </c>
      <c r="B124" s="1" t="n">
        <v>43665</v>
      </c>
      <c r="C124" s="1" t="n">
        <v>45509</v>
      </c>
      <c r="D124" t="inlineStr">
        <is>
          <t>KALMAR LÄN</t>
        </is>
      </c>
      <c r="E124" t="inlineStr">
        <is>
          <t>VIMMERBY</t>
        </is>
      </c>
      <c r="G124" t="n">
        <v>1.2</v>
      </c>
      <c r="H124" t="n">
        <v>0</v>
      </c>
      <c r="I124" t="n">
        <v>0</v>
      </c>
      <c r="J124" t="n">
        <v>0</v>
      </c>
      <c r="K124" t="n">
        <v>0</v>
      </c>
      <c r="L124" t="n">
        <v>0</v>
      </c>
      <c r="M124" t="n">
        <v>0</v>
      </c>
      <c r="N124" t="n">
        <v>0</v>
      </c>
      <c r="O124" t="n">
        <v>0</v>
      </c>
      <c r="P124" t="n">
        <v>0</v>
      </c>
      <c r="Q124" t="n">
        <v>0</v>
      </c>
      <c r="R124" s="2" t="inlineStr"/>
    </row>
    <row r="125" ht="15" customHeight="1">
      <c r="A125" t="inlineStr">
        <is>
          <t>A 35919-2019</t>
        </is>
      </c>
      <c r="B125" s="1" t="n">
        <v>43665</v>
      </c>
      <c r="C125" s="1" t="n">
        <v>45509</v>
      </c>
      <c r="D125" t="inlineStr">
        <is>
          <t>KALMAR LÄN</t>
        </is>
      </c>
      <c r="E125" t="inlineStr">
        <is>
          <t>VIMMERBY</t>
        </is>
      </c>
      <c r="G125" t="n">
        <v>7.1</v>
      </c>
      <c r="H125" t="n">
        <v>0</v>
      </c>
      <c r="I125" t="n">
        <v>0</v>
      </c>
      <c r="J125" t="n">
        <v>0</v>
      </c>
      <c r="K125" t="n">
        <v>0</v>
      </c>
      <c r="L125" t="n">
        <v>0</v>
      </c>
      <c r="M125" t="n">
        <v>0</v>
      </c>
      <c r="N125" t="n">
        <v>0</v>
      </c>
      <c r="O125" t="n">
        <v>0</v>
      </c>
      <c r="P125" t="n">
        <v>0</v>
      </c>
      <c r="Q125" t="n">
        <v>0</v>
      </c>
      <c r="R125" s="2" t="inlineStr"/>
    </row>
    <row r="126" ht="15" customHeight="1">
      <c r="A126" t="inlineStr">
        <is>
          <t>A 36027-2019</t>
        </is>
      </c>
      <c r="B126" s="1" t="n">
        <v>43668</v>
      </c>
      <c r="C126" s="1" t="n">
        <v>45509</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36024-2019</t>
        </is>
      </c>
      <c r="B127" s="1" t="n">
        <v>43668</v>
      </c>
      <c r="C127" s="1" t="n">
        <v>45509</v>
      </c>
      <c r="D127" t="inlineStr">
        <is>
          <t>KALMAR LÄN</t>
        </is>
      </c>
      <c r="E127" t="inlineStr">
        <is>
          <t>VIMMERBY</t>
        </is>
      </c>
      <c r="G127" t="n">
        <v>1</v>
      </c>
      <c r="H127" t="n">
        <v>0</v>
      </c>
      <c r="I127" t="n">
        <v>0</v>
      </c>
      <c r="J127" t="n">
        <v>0</v>
      </c>
      <c r="K127" t="n">
        <v>0</v>
      </c>
      <c r="L127" t="n">
        <v>0</v>
      </c>
      <c r="M127" t="n">
        <v>0</v>
      </c>
      <c r="N127" t="n">
        <v>0</v>
      </c>
      <c r="O127" t="n">
        <v>0</v>
      </c>
      <c r="P127" t="n">
        <v>0</v>
      </c>
      <c r="Q127" t="n">
        <v>0</v>
      </c>
      <c r="R127" s="2" t="inlineStr"/>
    </row>
    <row r="128" ht="15" customHeight="1">
      <c r="A128" t="inlineStr">
        <is>
          <t>A 36716-2019</t>
        </is>
      </c>
      <c r="B128" s="1" t="n">
        <v>43669</v>
      </c>
      <c r="C128" s="1" t="n">
        <v>45509</v>
      </c>
      <c r="D128" t="inlineStr">
        <is>
          <t>KALMAR LÄN</t>
        </is>
      </c>
      <c r="E128" t="inlineStr">
        <is>
          <t>VIMMERBY</t>
        </is>
      </c>
      <c r="G128" t="n">
        <v>3.6</v>
      </c>
      <c r="H128" t="n">
        <v>0</v>
      </c>
      <c r="I128" t="n">
        <v>0</v>
      </c>
      <c r="J128" t="n">
        <v>0</v>
      </c>
      <c r="K128" t="n">
        <v>0</v>
      </c>
      <c r="L128" t="n">
        <v>0</v>
      </c>
      <c r="M128" t="n">
        <v>0</v>
      </c>
      <c r="N128" t="n">
        <v>0</v>
      </c>
      <c r="O128" t="n">
        <v>0</v>
      </c>
      <c r="P128" t="n">
        <v>0</v>
      </c>
      <c r="Q128" t="n">
        <v>0</v>
      </c>
      <c r="R128" s="2" t="inlineStr"/>
    </row>
    <row r="129" ht="15" customHeight="1">
      <c r="A129" t="inlineStr">
        <is>
          <t>A 36454-2019</t>
        </is>
      </c>
      <c r="B129" s="1" t="n">
        <v>43670</v>
      </c>
      <c r="C129" s="1" t="n">
        <v>45509</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37031-2019</t>
        </is>
      </c>
      <c r="B130" s="1" t="n">
        <v>43672</v>
      </c>
      <c r="C130" s="1" t="n">
        <v>45509</v>
      </c>
      <c r="D130" t="inlineStr">
        <is>
          <t>KALMAR LÄN</t>
        </is>
      </c>
      <c r="E130" t="inlineStr">
        <is>
          <t>VIMMERBY</t>
        </is>
      </c>
      <c r="G130" t="n">
        <v>16.8</v>
      </c>
      <c r="H130" t="n">
        <v>0</v>
      </c>
      <c r="I130" t="n">
        <v>0</v>
      </c>
      <c r="J130" t="n">
        <v>0</v>
      </c>
      <c r="K130" t="n">
        <v>0</v>
      </c>
      <c r="L130" t="n">
        <v>0</v>
      </c>
      <c r="M130" t="n">
        <v>0</v>
      </c>
      <c r="N130" t="n">
        <v>0</v>
      </c>
      <c r="O130" t="n">
        <v>0</v>
      </c>
      <c r="P130" t="n">
        <v>0</v>
      </c>
      <c r="Q130" t="n">
        <v>0</v>
      </c>
      <c r="R130" s="2" t="inlineStr"/>
    </row>
    <row r="131" ht="15" customHeight="1">
      <c r="A131" t="inlineStr">
        <is>
          <t>A 36830-2019</t>
        </is>
      </c>
      <c r="B131" s="1" t="n">
        <v>43674</v>
      </c>
      <c r="C131" s="1" t="n">
        <v>45509</v>
      </c>
      <c r="D131" t="inlineStr">
        <is>
          <t>KALMAR LÄN</t>
        </is>
      </c>
      <c r="E131" t="inlineStr">
        <is>
          <t>VIMMERBY</t>
        </is>
      </c>
      <c r="G131" t="n">
        <v>7.2</v>
      </c>
      <c r="H131" t="n">
        <v>0</v>
      </c>
      <c r="I131" t="n">
        <v>0</v>
      </c>
      <c r="J131" t="n">
        <v>0</v>
      </c>
      <c r="K131" t="n">
        <v>0</v>
      </c>
      <c r="L131" t="n">
        <v>0</v>
      </c>
      <c r="M131" t="n">
        <v>0</v>
      </c>
      <c r="N131" t="n">
        <v>0</v>
      </c>
      <c r="O131" t="n">
        <v>0</v>
      </c>
      <c r="P131" t="n">
        <v>0</v>
      </c>
      <c r="Q131" t="n">
        <v>0</v>
      </c>
      <c r="R131" s="2" t="inlineStr"/>
    </row>
    <row r="132" ht="15" customHeight="1">
      <c r="A132" t="inlineStr">
        <is>
          <t>A 36936-2019</t>
        </is>
      </c>
      <c r="B132" s="1" t="n">
        <v>43675</v>
      </c>
      <c r="C132" s="1" t="n">
        <v>45509</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37063-2019</t>
        </is>
      </c>
      <c r="B133" s="1" t="n">
        <v>43676</v>
      </c>
      <c r="C133" s="1" t="n">
        <v>45509</v>
      </c>
      <c r="D133" t="inlineStr">
        <is>
          <t>KALMAR LÄN</t>
        </is>
      </c>
      <c r="E133" t="inlineStr">
        <is>
          <t>VIMMERBY</t>
        </is>
      </c>
      <c r="G133" t="n">
        <v>2</v>
      </c>
      <c r="H133" t="n">
        <v>0</v>
      </c>
      <c r="I133" t="n">
        <v>0</v>
      </c>
      <c r="J133" t="n">
        <v>0</v>
      </c>
      <c r="K133" t="n">
        <v>0</v>
      </c>
      <c r="L133" t="n">
        <v>0</v>
      </c>
      <c r="M133" t="n">
        <v>0</v>
      </c>
      <c r="N133" t="n">
        <v>0</v>
      </c>
      <c r="O133" t="n">
        <v>0</v>
      </c>
      <c r="P133" t="n">
        <v>0</v>
      </c>
      <c r="Q133" t="n">
        <v>0</v>
      </c>
      <c r="R133" s="2" t="inlineStr"/>
    </row>
    <row r="134" ht="15" customHeight="1">
      <c r="A134" t="inlineStr">
        <is>
          <t>A 37209-2019</t>
        </is>
      </c>
      <c r="B134" s="1" t="n">
        <v>43677</v>
      </c>
      <c r="C134" s="1" t="n">
        <v>45509</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37412-2019</t>
        </is>
      </c>
      <c r="B135" s="1" t="n">
        <v>43678</v>
      </c>
      <c r="C135" s="1" t="n">
        <v>45509</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38602-2019</t>
        </is>
      </c>
      <c r="B136" s="1" t="n">
        <v>43684</v>
      </c>
      <c r="C136" s="1" t="n">
        <v>45509</v>
      </c>
      <c r="D136" t="inlineStr">
        <is>
          <t>KALMAR LÄN</t>
        </is>
      </c>
      <c r="E136" t="inlineStr">
        <is>
          <t>VIMMERBY</t>
        </is>
      </c>
      <c r="G136" t="n">
        <v>2.7</v>
      </c>
      <c r="H136" t="n">
        <v>0</v>
      </c>
      <c r="I136" t="n">
        <v>0</v>
      </c>
      <c r="J136" t="n">
        <v>0</v>
      </c>
      <c r="K136" t="n">
        <v>0</v>
      </c>
      <c r="L136" t="n">
        <v>0</v>
      </c>
      <c r="M136" t="n">
        <v>0</v>
      </c>
      <c r="N136" t="n">
        <v>0</v>
      </c>
      <c r="O136" t="n">
        <v>0</v>
      </c>
      <c r="P136" t="n">
        <v>0</v>
      </c>
      <c r="Q136" t="n">
        <v>0</v>
      </c>
      <c r="R136" s="2" t="inlineStr"/>
    </row>
    <row r="137" ht="15" customHeight="1">
      <c r="A137" t="inlineStr">
        <is>
          <t>A 38866-2019</t>
        </is>
      </c>
      <c r="B137" s="1" t="n">
        <v>43685</v>
      </c>
      <c r="C137" s="1" t="n">
        <v>45509</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38789-2019</t>
        </is>
      </c>
      <c r="B138" s="1" t="n">
        <v>43687</v>
      </c>
      <c r="C138" s="1" t="n">
        <v>45509</v>
      </c>
      <c r="D138" t="inlineStr">
        <is>
          <t>KALMAR LÄN</t>
        </is>
      </c>
      <c r="E138" t="inlineStr">
        <is>
          <t>VIMMERBY</t>
        </is>
      </c>
      <c r="G138" t="n">
        <v>0.3</v>
      </c>
      <c r="H138" t="n">
        <v>0</v>
      </c>
      <c r="I138" t="n">
        <v>0</v>
      </c>
      <c r="J138" t="n">
        <v>0</v>
      </c>
      <c r="K138" t="n">
        <v>0</v>
      </c>
      <c r="L138" t="n">
        <v>0</v>
      </c>
      <c r="M138" t="n">
        <v>0</v>
      </c>
      <c r="N138" t="n">
        <v>0</v>
      </c>
      <c r="O138" t="n">
        <v>0</v>
      </c>
      <c r="P138" t="n">
        <v>0</v>
      </c>
      <c r="Q138" t="n">
        <v>0</v>
      </c>
      <c r="R138" s="2" t="inlineStr"/>
    </row>
    <row r="139" ht="15" customHeight="1">
      <c r="A139" t="inlineStr">
        <is>
          <t>A 38835-2019</t>
        </is>
      </c>
      <c r="B139" s="1" t="n">
        <v>43689</v>
      </c>
      <c r="C139" s="1" t="n">
        <v>45509</v>
      </c>
      <c r="D139" t="inlineStr">
        <is>
          <t>KALMAR LÄN</t>
        </is>
      </c>
      <c r="E139" t="inlineStr">
        <is>
          <t>VIMMERBY</t>
        </is>
      </c>
      <c r="G139" t="n">
        <v>3.8</v>
      </c>
      <c r="H139" t="n">
        <v>0</v>
      </c>
      <c r="I139" t="n">
        <v>0</v>
      </c>
      <c r="J139" t="n">
        <v>0</v>
      </c>
      <c r="K139" t="n">
        <v>0</v>
      </c>
      <c r="L139" t="n">
        <v>0</v>
      </c>
      <c r="M139" t="n">
        <v>0</v>
      </c>
      <c r="N139" t="n">
        <v>0</v>
      </c>
      <c r="O139" t="n">
        <v>0</v>
      </c>
      <c r="P139" t="n">
        <v>0</v>
      </c>
      <c r="Q139" t="n">
        <v>0</v>
      </c>
      <c r="R139" s="2" t="inlineStr"/>
    </row>
    <row r="140" ht="15" customHeight="1">
      <c r="A140" t="inlineStr">
        <is>
          <t>A 38823-2019</t>
        </is>
      </c>
      <c r="B140" s="1" t="n">
        <v>43689</v>
      </c>
      <c r="C140" s="1" t="n">
        <v>45509</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38837-2019</t>
        </is>
      </c>
      <c r="B141" s="1" t="n">
        <v>43689</v>
      </c>
      <c r="C141" s="1" t="n">
        <v>45509</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38831-2019</t>
        </is>
      </c>
      <c r="B142" s="1" t="n">
        <v>43689</v>
      </c>
      <c r="C142" s="1" t="n">
        <v>45509</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39442-2019</t>
        </is>
      </c>
      <c r="B143" s="1" t="n">
        <v>43691</v>
      </c>
      <c r="C143" s="1" t="n">
        <v>45509</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39575-2019</t>
        </is>
      </c>
      <c r="B144" s="1" t="n">
        <v>43691</v>
      </c>
      <c r="C144" s="1" t="n">
        <v>45509</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39568-2019</t>
        </is>
      </c>
      <c r="B145" s="1" t="n">
        <v>43691</v>
      </c>
      <c r="C145" s="1" t="n">
        <v>45509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39564-2019</t>
        </is>
      </c>
      <c r="B146" s="1" t="n">
        <v>43691</v>
      </c>
      <c r="C146" s="1" t="n">
        <v>45509</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39577-2019</t>
        </is>
      </c>
      <c r="B147" s="1" t="n">
        <v>43691</v>
      </c>
      <c r="C147" s="1" t="n">
        <v>45509</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39856-2019</t>
        </is>
      </c>
      <c r="B148" s="1" t="n">
        <v>43692</v>
      </c>
      <c r="C148" s="1" t="n">
        <v>45509</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39901-2019</t>
        </is>
      </c>
      <c r="B149" s="1" t="n">
        <v>43692</v>
      </c>
      <c r="C149" s="1" t="n">
        <v>45509</v>
      </c>
      <c r="D149" t="inlineStr">
        <is>
          <t>KALMAR LÄN</t>
        </is>
      </c>
      <c r="E149" t="inlineStr">
        <is>
          <t>VIMMERBY</t>
        </is>
      </c>
      <c r="G149" t="n">
        <v>1.5</v>
      </c>
      <c r="H149" t="n">
        <v>0</v>
      </c>
      <c r="I149" t="n">
        <v>0</v>
      </c>
      <c r="J149" t="n">
        <v>0</v>
      </c>
      <c r="K149" t="n">
        <v>0</v>
      </c>
      <c r="L149" t="n">
        <v>0</v>
      </c>
      <c r="M149" t="n">
        <v>0</v>
      </c>
      <c r="N149" t="n">
        <v>0</v>
      </c>
      <c r="O149" t="n">
        <v>0</v>
      </c>
      <c r="P149" t="n">
        <v>0</v>
      </c>
      <c r="Q149" t="n">
        <v>0</v>
      </c>
      <c r="R149" s="2" t="inlineStr"/>
    </row>
    <row r="150" ht="15" customHeight="1">
      <c r="A150" t="inlineStr">
        <is>
          <t>A 39962-2019</t>
        </is>
      </c>
      <c r="B150" s="1" t="n">
        <v>43692</v>
      </c>
      <c r="C150" s="1" t="n">
        <v>45509</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39899-2019</t>
        </is>
      </c>
      <c r="B151" s="1" t="n">
        <v>43692</v>
      </c>
      <c r="C151" s="1" t="n">
        <v>45509</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39894-2019</t>
        </is>
      </c>
      <c r="B152" s="1" t="n">
        <v>43692</v>
      </c>
      <c r="C152" s="1" t="n">
        <v>45509</v>
      </c>
      <c r="D152" t="inlineStr">
        <is>
          <t>KALMAR LÄN</t>
        </is>
      </c>
      <c r="E152" t="inlineStr">
        <is>
          <t>VIMMERBY</t>
        </is>
      </c>
      <c r="G152" t="n">
        <v>3.3</v>
      </c>
      <c r="H152" t="n">
        <v>0</v>
      </c>
      <c r="I152" t="n">
        <v>0</v>
      </c>
      <c r="J152" t="n">
        <v>0</v>
      </c>
      <c r="K152" t="n">
        <v>0</v>
      </c>
      <c r="L152" t="n">
        <v>0</v>
      </c>
      <c r="M152" t="n">
        <v>0</v>
      </c>
      <c r="N152" t="n">
        <v>0</v>
      </c>
      <c r="O152" t="n">
        <v>0</v>
      </c>
      <c r="P152" t="n">
        <v>0</v>
      </c>
      <c r="Q152" t="n">
        <v>0</v>
      </c>
      <c r="R152" s="2" t="inlineStr"/>
    </row>
    <row r="153" ht="15" customHeight="1">
      <c r="A153" t="inlineStr">
        <is>
          <t>A 39920-2019</t>
        </is>
      </c>
      <c r="B153" s="1" t="n">
        <v>43692</v>
      </c>
      <c r="C153" s="1" t="n">
        <v>45509</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39897-2019</t>
        </is>
      </c>
      <c r="B154" s="1" t="n">
        <v>43692</v>
      </c>
      <c r="C154" s="1" t="n">
        <v>45509</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40140-2019</t>
        </is>
      </c>
      <c r="B155" s="1" t="n">
        <v>43693</v>
      </c>
      <c r="C155" s="1" t="n">
        <v>45509</v>
      </c>
      <c r="D155" t="inlineStr">
        <is>
          <t>KALMAR LÄN</t>
        </is>
      </c>
      <c r="E155" t="inlineStr">
        <is>
          <t>VIMMERBY</t>
        </is>
      </c>
      <c r="F155" t="inlineStr">
        <is>
          <t>Kommuner</t>
        </is>
      </c>
      <c r="G155" t="n">
        <v>1.3</v>
      </c>
      <c r="H155" t="n">
        <v>0</v>
      </c>
      <c r="I155" t="n">
        <v>0</v>
      </c>
      <c r="J155" t="n">
        <v>0</v>
      </c>
      <c r="K155" t="n">
        <v>0</v>
      </c>
      <c r="L155" t="n">
        <v>0</v>
      </c>
      <c r="M155" t="n">
        <v>0</v>
      </c>
      <c r="N155" t="n">
        <v>0</v>
      </c>
      <c r="O155" t="n">
        <v>0</v>
      </c>
      <c r="P155" t="n">
        <v>0</v>
      </c>
      <c r="Q155" t="n">
        <v>0</v>
      </c>
      <c r="R155" s="2" t="inlineStr"/>
    </row>
    <row r="156" ht="15" customHeight="1">
      <c r="A156" t="inlineStr">
        <is>
          <t>A 40691-2019</t>
        </is>
      </c>
      <c r="B156" s="1" t="n">
        <v>43696</v>
      </c>
      <c r="C156" s="1" t="n">
        <v>45509</v>
      </c>
      <c r="D156" t="inlineStr">
        <is>
          <t>KALMAR LÄN</t>
        </is>
      </c>
      <c r="E156" t="inlineStr">
        <is>
          <t>VIMMERBY</t>
        </is>
      </c>
      <c r="G156" t="n">
        <v>10.9</v>
      </c>
      <c r="H156" t="n">
        <v>0</v>
      </c>
      <c r="I156" t="n">
        <v>0</v>
      </c>
      <c r="J156" t="n">
        <v>0</v>
      </c>
      <c r="K156" t="n">
        <v>0</v>
      </c>
      <c r="L156" t="n">
        <v>0</v>
      </c>
      <c r="M156" t="n">
        <v>0</v>
      </c>
      <c r="N156" t="n">
        <v>0</v>
      </c>
      <c r="O156" t="n">
        <v>0</v>
      </c>
      <c r="P156" t="n">
        <v>0</v>
      </c>
      <c r="Q156" t="n">
        <v>0</v>
      </c>
      <c r="R156" s="2" t="inlineStr"/>
    </row>
    <row r="157" ht="15" customHeight="1">
      <c r="A157" t="inlineStr">
        <is>
          <t>A 40692-2019</t>
        </is>
      </c>
      <c r="B157" s="1" t="n">
        <v>43696</v>
      </c>
      <c r="C157" s="1" t="n">
        <v>45509</v>
      </c>
      <c r="D157" t="inlineStr">
        <is>
          <t>KALMAR LÄN</t>
        </is>
      </c>
      <c r="E157" t="inlineStr">
        <is>
          <t>VIMMERBY</t>
        </is>
      </c>
      <c r="G157" t="n">
        <v>1.4</v>
      </c>
      <c r="H157" t="n">
        <v>0</v>
      </c>
      <c r="I157" t="n">
        <v>0</v>
      </c>
      <c r="J157" t="n">
        <v>0</v>
      </c>
      <c r="K157" t="n">
        <v>0</v>
      </c>
      <c r="L157" t="n">
        <v>0</v>
      </c>
      <c r="M157" t="n">
        <v>0</v>
      </c>
      <c r="N157" t="n">
        <v>0</v>
      </c>
      <c r="O157" t="n">
        <v>0</v>
      </c>
      <c r="P157" t="n">
        <v>0</v>
      </c>
      <c r="Q157" t="n">
        <v>0</v>
      </c>
      <c r="R157" s="2" t="inlineStr"/>
    </row>
    <row r="158" ht="15" customHeight="1">
      <c r="A158" t="inlineStr">
        <is>
          <t>A 41347-2019</t>
        </is>
      </c>
      <c r="B158" s="1" t="n">
        <v>43698</v>
      </c>
      <c r="C158" s="1" t="n">
        <v>45509</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42142-2019</t>
        </is>
      </c>
      <c r="B159" s="1" t="n">
        <v>43703</v>
      </c>
      <c r="C159" s="1" t="n">
        <v>45509</v>
      </c>
      <c r="D159" t="inlineStr">
        <is>
          <t>KALMAR LÄN</t>
        </is>
      </c>
      <c r="E159" t="inlineStr">
        <is>
          <t>VIMMERBY</t>
        </is>
      </c>
      <c r="G159" t="n">
        <v>3.3</v>
      </c>
      <c r="H159" t="n">
        <v>0</v>
      </c>
      <c r="I159" t="n">
        <v>0</v>
      </c>
      <c r="J159" t="n">
        <v>0</v>
      </c>
      <c r="K159" t="n">
        <v>0</v>
      </c>
      <c r="L159" t="n">
        <v>0</v>
      </c>
      <c r="M159" t="n">
        <v>0</v>
      </c>
      <c r="N159" t="n">
        <v>0</v>
      </c>
      <c r="O159" t="n">
        <v>0</v>
      </c>
      <c r="P159" t="n">
        <v>0</v>
      </c>
      <c r="Q159" t="n">
        <v>0</v>
      </c>
      <c r="R159" s="2" t="inlineStr"/>
    </row>
    <row r="160" ht="15" customHeight="1">
      <c r="A160" t="inlineStr">
        <is>
          <t>A 42759-2019</t>
        </is>
      </c>
      <c r="B160" s="1" t="n">
        <v>43704</v>
      </c>
      <c r="C160" s="1" t="n">
        <v>45509</v>
      </c>
      <c r="D160" t="inlineStr">
        <is>
          <t>KALMAR LÄN</t>
        </is>
      </c>
      <c r="E160" t="inlineStr">
        <is>
          <t>VIMMERBY</t>
        </is>
      </c>
      <c r="G160" t="n">
        <v>4.6</v>
      </c>
      <c r="H160" t="n">
        <v>0</v>
      </c>
      <c r="I160" t="n">
        <v>0</v>
      </c>
      <c r="J160" t="n">
        <v>0</v>
      </c>
      <c r="K160" t="n">
        <v>0</v>
      </c>
      <c r="L160" t="n">
        <v>0</v>
      </c>
      <c r="M160" t="n">
        <v>0</v>
      </c>
      <c r="N160" t="n">
        <v>0</v>
      </c>
      <c r="O160" t="n">
        <v>0</v>
      </c>
      <c r="P160" t="n">
        <v>0</v>
      </c>
      <c r="Q160" t="n">
        <v>0</v>
      </c>
      <c r="R160" s="2" t="inlineStr"/>
    </row>
    <row r="161" ht="15" customHeight="1">
      <c r="A161" t="inlineStr">
        <is>
          <t>A 42758-2019</t>
        </is>
      </c>
      <c r="B161" s="1" t="n">
        <v>43704</v>
      </c>
      <c r="C161" s="1" t="n">
        <v>45509</v>
      </c>
      <c r="D161" t="inlineStr">
        <is>
          <t>KALMAR LÄN</t>
        </is>
      </c>
      <c r="E161" t="inlineStr">
        <is>
          <t>VIMMERBY</t>
        </is>
      </c>
      <c r="G161" t="n">
        <v>6.2</v>
      </c>
      <c r="H161" t="n">
        <v>0</v>
      </c>
      <c r="I161" t="n">
        <v>0</v>
      </c>
      <c r="J161" t="n">
        <v>0</v>
      </c>
      <c r="K161" t="n">
        <v>0</v>
      </c>
      <c r="L161" t="n">
        <v>0</v>
      </c>
      <c r="M161" t="n">
        <v>0</v>
      </c>
      <c r="N161" t="n">
        <v>0</v>
      </c>
      <c r="O161" t="n">
        <v>0</v>
      </c>
      <c r="P161" t="n">
        <v>0</v>
      </c>
      <c r="Q161" t="n">
        <v>0</v>
      </c>
      <c r="R161" s="2" t="inlineStr"/>
    </row>
    <row r="162" ht="15" customHeight="1">
      <c r="A162" t="inlineStr">
        <is>
          <t>A 42947-2019</t>
        </is>
      </c>
      <c r="B162" s="1" t="n">
        <v>43705</v>
      </c>
      <c r="C162" s="1" t="n">
        <v>45509</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42972-2019</t>
        </is>
      </c>
      <c r="B163" s="1" t="n">
        <v>43705</v>
      </c>
      <c r="C163" s="1" t="n">
        <v>45509</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44202-2019</t>
        </is>
      </c>
      <c r="B164" s="1" t="n">
        <v>43710</v>
      </c>
      <c r="C164" s="1" t="n">
        <v>45509</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44630-2019</t>
        </is>
      </c>
      <c r="B165" s="1" t="n">
        <v>43712</v>
      </c>
      <c r="C165" s="1" t="n">
        <v>45509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45446-2019</t>
        </is>
      </c>
      <c r="B166" s="1" t="n">
        <v>43714</v>
      </c>
      <c r="C166" s="1" t="n">
        <v>45509</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45413-2019</t>
        </is>
      </c>
      <c r="B167" s="1" t="n">
        <v>43714</v>
      </c>
      <c r="C167" s="1" t="n">
        <v>45509</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45515-2019</t>
        </is>
      </c>
      <c r="B168" s="1" t="n">
        <v>43714</v>
      </c>
      <c r="C168" s="1" t="n">
        <v>45509</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46242-2019</t>
        </is>
      </c>
      <c r="B169" s="1" t="n">
        <v>43718</v>
      </c>
      <c r="C169" s="1" t="n">
        <v>45509</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46845-2019</t>
        </is>
      </c>
      <c r="B170" s="1" t="n">
        <v>43718</v>
      </c>
      <c r="C170" s="1" t="n">
        <v>45509</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46291-2019</t>
        </is>
      </c>
      <c r="B171" s="1" t="n">
        <v>43718</v>
      </c>
      <c r="C171" s="1" t="n">
        <v>45509</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47187-2019</t>
        </is>
      </c>
      <c r="B172" s="1" t="n">
        <v>43719</v>
      </c>
      <c r="C172" s="1" t="n">
        <v>45509</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46619-2019</t>
        </is>
      </c>
      <c r="B173" s="1" t="n">
        <v>43719</v>
      </c>
      <c r="C173" s="1" t="n">
        <v>45509</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46988-2019</t>
        </is>
      </c>
      <c r="B174" s="1" t="n">
        <v>43720</v>
      </c>
      <c r="C174" s="1" t="n">
        <v>45509</v>
      </c>
      <c r="D174" t="inlineStr">
        <is>
          <t>KALMAR LÄN</t>
        </is>
      </c>
      <c r="E174" t="inlineStr">
        <is>
          <t>VIMMERBY</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48029-2019</t>
        </is>
      </c>
      <c r="B175" s="1" t="n">
        <v>43725</v>
      </c>
      <c r="C175" s="1" t="n">
        <v>45509</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48051-2019</t>
        </is>
      </c>
      <c r="B176" s="1" t="n">
        <v>43725</v>
      </c>
      <c r="C176" s="1" t="n">
        <v>45509</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48164-2019</t>
        </is>
      </c>
      <c r="B177" s="1" t="n">
        <v>43726</v>
      </c>
      <c r="C177" s="1" t="n">
        <v>45509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48381-2019</t>
        </is>
      </c>
      <c r="B178" s="1" t="n">
        <v>43726</v>
      </c>
      <c r="C178" s="1" t="n">
        <v>45509</v>
      </c>
      <c r="D178" t="inlineStr">
        <is>
          <t>KALMAR LÄN</t>
        </is>
      </c>
      <c r="E178" t="inlineStr">
        <is>
          <t>VIMMERBY</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48380-2019</t>
        </is>
      </c>
      <c r="B179" s="1" t="n">
        <v>43726</v>
      </c>
      <c r="C179" s="1" t="n">
        <v>45509</v>
      </c>
      <c r="D179" t="inlineStr">
        <is>
          <t>KALMAR LÄN</t>
        </is>
      </c>
      <c r="E179" t="inlineStr">
        <is>
          <t>VIMMERBY</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48834-2019</t>
        </is>
      </c>
      <c r="B180" s="1" t="n">
        <v>43728</v>
      </c>
      <c r="C180" s="1" t="n">
        <v>45509</v>
      </c>
      <c r="D180" t="inlineStr">
        <is>
          <t>KALMAR LÄN</t>
        </is>
      </c>
      <c r="E180" t="inlineStr">
        <is>
          <t>VIMMERBY</t>
        </is>
      </c>
      <c r="G180" t="n">
        <v>5.3</v>
      </c>
      <c r="H180" t="n">
        <v>0</v>
      </c>
      <c r="I180" t="n">
        <v>0</v>
      </c>
      <c r="J180" t="n">
        <v>0</v>
      </c>
      <c r="K180" t="n">
        <v>0</v>
      </c>
      <c r="L180" t="n">
        <v>0</v>
      </c>
      <c r="M180" t="n">
        <v>0</v>
      </c>
      <c r="N180" t="n">
        <v>0</v>
      </c>
      <c r="O180" t="n">
        <v>0</v>
      </c>
      <c r="P180" t="n">
        <v>0</v>
      </c>
      <c r="Q180" t="n">
        <v>0</v>
      </c>
      <c r="R180" s="2" t="inlineStr"/>
    </row>
    <row r="181" ht="15" customHeight="1">
      <c r="A181" t="inlineStr">
        <is>
          <t>A 48921-2019</t>
        </is>
      </c>
      <c r="B181" s="1" t="n">
        <v>43728</v>
      </c>
      <c r="C181" s="1" t="n">
        <v>45509</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49212-2019</t>
        </is>
      </c>
      <c r="B182" s="1" t="n">
        <v>43731</v>
      </c>
      <c r="C182" s="1" t="n">
        <v>45509</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49208-2019</t>
        </is>
      </c>
      <c r="B183" s="1" t="n">
        <v>43731</v>
      </c>
      <c r="C183" s="1" t="n">
        <v>45509</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49206-2019</t>
        </is>
      </c>
      <c r="B184" s="1" t="n">
        <v>43731</v>
      </c>
      <c r="C184" s="1" t="n">
        <v>45509</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49741-2019</t>
        </is>
      </c>
      <c r="B185" s="1" t="n">
        <v>43733</v>
      </c>
      <c r="C185" s="1" t="n">
        <v>45509</v>
      </c>
      <c r="D185" t="inlineStr">
        <is>
          <t>KALMAR LÄN</t>
        </is>
      </c>
      <c r="E185" t="inlineStr">
        <is>
          <t>VIMMERBY</t>
        </is>
      </c>
      <c r="G185" t="n">
        <v>2.2</v>
      </c>
      <c r="H185" t="n">
        <v>0</v>
      </c>
      <c r="I185" t="n">
        <v>0</v>
      </c>
      <c r="J185" t="n">
        <v>0</v>
      </c>
      <c r="K185" t="n">
        <v>0</v>
      </c>
      <c r="L185" t="n">
        <v>0</v>
      </c>
      <c r="M185" t="n">
        <v>0</v>
      </c>
      <c r="N185" t="n">
        <v>0</v>
      </c>
      <c r="O185" t="n">
        <v>0</v>
      </c>
      <c r="P185" t="n">
        <v>0</v>
      </c>
      <c r="Q185" t="n">
        <v>0</v>
      </c>
      <c r="R185" s="2" t="inlineStr"/>
    </row>
    <row r="186" ht="15" customHeight="1">
      <c r="A186" t="inlineStr">
        <is>
          <t>A 49760-2019</t>
        </is>
      </c>
      <c r="B186" s="1" t="n">
        <v>43733</v>
      </c>
      <c r="C186" s="1" t="n">
        <v>45509</v>
      </c>
      <c r="D186" t="inlineStr">
        <is>
          <t>KALMAR LÄN</t>
        </is>
      </c>
      <c r="E186" t="inlineStr">
        <is>
          <t>VIMMERBY</t>
        </is>
      </c>
      <c r="G186" t="n">
        <v>2.3</v>
      </c>
      <c r="H186" t="n">
        <v>0</v>
      </c>
      <c r="I186" t="n">
        <v>0</v>
      </c>
      <c r="J186" t="n">
        <v>0</v>
      </c>
      <c r="K186" t="n">
        <v>0</v>
      </c>
      <c r="L186" t="n">
        <v>0</v>
      </c>
      <c r="M186" t="n">
        <v>0</v>
      </c>
      <c r="N186" t="n">
        <v>0</v>
      </c>
      <c r="O186" t="n">
        <v>0</v>
      </c>
      <c r="P186" t="n">
        <v>0</v>
      </c>
      <c r="Q186" t="n">
        <v>0</v>
      </c>
      <c r="R186" s="2" t="inlineStr"/>
    </row>
    <row r="187" ht="15" customHeight="1">
      <c r="A187" t="inlineStr">
        <is>
          <t>A 49747-2019</t>
        </is>
      </c>
      <c r="B187" s="1" t="n">
        <v>43733</v>
      </c>
      <c r="C187" s="1" t="n">
        <v>45509</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49855-2019</t>
        </is>
      </c>
      <c r="B188" s="1" t="n">
        <v>43733</v>
      </c>
      <c r="C188" s="1" t="n">
        <v>45509</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49871-2019</t>
        </is>
      </c>
      <c r="B189" s="1" t="n">
        <v>43733</v>
      </c>
      <c r="C189" s="1" t="n">
        <v>45509</v>
      </c>
      <c r="D189" t="inlineStr">
        <is>
          <t>KALMAR LÄN</t>
        </is>
      </c>
      <c r="E189" t="inlineStr">
        <is>
          <t>VIMMERBY</t>
        </is>
      </c>
      <c r="F189" t="inlineStr">
        <is>
          <t>Sveaskog</t>
        </is>
      </c>
      <c r="G189" t="n">
        <v>5.9</v>
      </c>
      <c r="H189" t="n">
        <v>0</v>
      </c>
      <c r="I189" t="n">
        <v>0</v>
      </c>
      <c r="J189" t="n">
        <v>0</v>
      </c>
      <c r="K189" t="n">
        <v>0</v>
      </c>
      <c r="L189" t="n">
        <v>0</v>
      </c>
      <c r="M189" t="n">
        <v>0</v>
      </c>
      <c r="N189" t="n">
        <v>0</v>
      </c>
      <c r="O189" t="n">
        <v>0</v>
      </c>
      <c r="P189" t="n">
        <v>0</v>
      </c>
      <c r="Q189" t="n">
        <v>0</v>
      </c>
      <c r="R189" s="2" t="inlineStr"/>
    </row>
    <row r="190" ht="15" customHeight="1">
      <c r="A190" t="inlineStr">
        <is>
          <t>A 49880-2019</t>
        </is>
      </c>
      <c r="B190" s="1" t="n">
        <v>43733</v>
      </c>
      <c r="C190" s="1" t="n">
        <v>45509</v>
      </c>
      <c r="D190" t="inlineStr">
        <is>
          <t>KALMAR LÄN</t>
        </is>
      </c>
      <c r="E190" t="inlineStr">
        <is>
          <t>VIMMERBY</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49885-2019</t>
        </is>
      </c>
      <c r="B191" s="1" t="n">
        <v>43733</v>
      </c>
      <c r="C191" s="1" t="n">
        <v>45509</v>
      </c>
      <c r="D191" t="inlineStr">
        <is>
          <t>KALMAR LÄN</t>
        </is>
      </c>
      <c r="E191" t="inlineStr">
        <is>
          <t>VIMMERBY</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49901-2019</t>
        </is>
      </c>
      <c r="B192" s="1" t="n">
        <v>43733</v>
      </c>
      <c r="C192" s="1" t="n">
        <v>45509</v>
      </c>
      <c r="D192" t="inlineStr">
        <is>
          <t>KALMAR LÄN</t>
        </is>
      </c>
      <c r="E192" t="inlineStr">
        <is>
          <t>VIMMERBY</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49891-2019</t>
        </is>
      </c>
      <c r="B193" s="1" t="n">
        <v>43733</v>
      </c>
      <c r="C193" s="1" t="n">
        <v>45509</v>
      </c>
      <c r="D193" t="inlineStr">
        <is>
          <t>KALMAR LÄN</t>
        </is>
      </c>
      <c r="E193" t="inlineStr">
        <is>
          <t>VIMMERBY</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49695-2019</t>
        </is>
      </c>
      <c r="B194" s="1" t="n">
        <v>43733</v>
      </c>
      <c r="C194" s="1" t="n">
        <v>45509</v>
      </c>
      <c r="D194" t="inlineStr">
        <is>
          <t>KALMAR LÄN</t>
        </is>
      </c>
      <c r="E194" t="inlineStr">
        <is>
          <t>VIMMERBY</t>
        </is>
      </c>
      <c r="G194" t="n">
        <v>4.6</v>
      </c>
      <c r="H194" t="n">
        <v>0</v>
      </c>
      <c r="I194" t="n">
        <v>0</v>
      </c>
      <c r="J194" t="n">
        <v>0</v>
      </c>
      <c r="K194" t="n">
        <v>0</v>
      </c>
      <c r="L194" t="n">
        <v>0</v>
      </c>
      <c r="M194" t="n">
        <v>0</v>
      </c>
      <c r="N194" t="n">
        <v>0</v>
      </c>
      <c r="O194" t="n">
        <v>0</v>
      </c>
      <c r="P194" t="n">
        <v>0</v>
      </c>
      <c r="Q194" t="n">
        <v>0</v>
      </c>
      <c r="R194" s="2" t="inlineStr"/>
    </row>
    <row r="195" ht="15" customHeight="1">
      <c r="A195" t="inlineStr">
        <is>
          <t>A 50214-2019</t>
        </is>
      </c>
      <c r="B195" s="1" t="n">
        <v>43734</v>
      </c>
      <c r="C195" s="1" t="n">
        <v>45509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50317-2019</t>
        </is>
      </c>
      <c r="B196" s="1" t="n">
        <v>43735</v>
      </c>
      <c r="C196" s="1" t="n">
        <v>45509</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50761-2019</t>
        </is>
      </c>
      <c r="B197" s="1" t="n">
        <v>43738</v>
      </c>
      <c r="C197" s="1" t="n">
        <v>45509</v>
      </c>
      <c r="D197" t="inlineStr">
        <is>
          <t>KALMAR LÄN</t>
        </is>
      </c>
      <c r="E197" t="inlineStr">
        <is>
          <t>VIMMERBY</t>
        </is>
      </c>
      <c r="G197" t="n">
        <v>3.9</v>
      </c>
      <c r="H197" t="n">
        <v>0</v>
      </c>
      <c r="I197" t="n">
        <v>0</v>
      </c>
      <c r="J197" t="n">
        <v>0</v>
      </c>
      <c r="K197" t="n">
        <v>0</v>
      </c>
      <c r="L197" t="n">
        <v>0</v>
      </c>
      <c r="M197" t="n">
        <v>0</v>
      </c>
      <c r="N197" t="n">
        <v>0</v>
      </c>
      <c r="O197" t="n">
        <v>0</v>
      </c>
      <c r="P197" t="n">
        <v>0</v>
      </c>
      <c r="Q197" t="n">
        <v>0</v>
      </c>
      <c r="R197" s="2" t="inlineStr"/>
    </row>
    <row r="198" ht="15" customHeight="1">
      <c r="A198" t="inlineStr">
        <is>
          <t>A 51273-2019</t>
        </is>
      </c>
      <c r="B198" s="1" t="n">
        <v>43739</v>
      </c>
      <c r="C198" s="1" t="n">
        <v>45509</v>
      </c>
      <c r="D198" t="inlineStr">
        <is>
          <t>KALMAR LÄN</t>
        </is>
      </c>
      <c r="E198" t="inlineStr">
        <is>
          <t>VIMMERBY</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51277-2019</t>
        </is>
      </c>
      <c r="B199" s="1" t="n">
        <v>43739</v>
      </c>
      <c r="C199" s="1" t="n">
        <v>45509</v>
      </c>
      <c r="D199" t="inlineStr">
        <is>
          <t>KALMAR LÄN</t>
        </is>
      </c>
      <c r="E199" t="inlineStr">
        <is>
          <t>VIMMERBY</t>
        </is>
      </c>
      <c r="F199" t="inlineStr">
        <is>
          <t>Sveaskog</t>
        </is>
      </c>
      <c r="G199" t="n">
        <v>7.9</v>
      </c>
      <c r="H199" t="n">
        <v>0</v>
      </c>
      <c r="I199" t="n">
        <v>0</v>
      </c>
      <c r="J199" t="n">
        <v>0</v>
      </c>
      <c r="K199" t="n">
        <v>0</v>
      </c>
      <c r="L199" t="n">
        <v>0</v>
      </c>
      <c r="M199" t="n">
        <v>0</v>
      </c>
      <c r="N199" t="n">
        <v>0</v>
      </c>
      <c r="O199" t="n">
        <v>0</v>
      </c>
      <c r="P199" t="n">
        <v>0</v>
      </c>
      <c r="Q199" t="n">
        <v>0</v>
      </c>
      <c r="R199" s="2" t="inlineStr"/>
    </row>
    <row r="200" ht="15" customHeight="1">
      <c r="A200" t="inlineStr">
        <is>
          <t>A 51362-2019</t>
        </is>
      </c>
      <c r="B200" s="1" t="n">
        <v>43740</v>
      </c>
      <c r="C200" s="1" t="n">
        <v>45509</v>
      </c>
      <c r="D200" t="inlineStr">
        <is>
          <t>KALMAR LÄN</t>
        </is>
      </c>
      <c r="E200" t="inlineStr">
        <is>
          <t>VIMMERBY</t>
        </is>
      </c>
      <c r="G200" t="n">
        <v>2.4</v>
      </c>
      <c r="H200" t="n">
        <v>0</v>
      </c>
      <c r="I200" t="n">
        <v>0</v>
      </c>
      <c r="J200" t="n">
        <v>0</v>
      </c>
      <c r="K200" t="n">
        <v>0</v>
      </c>
      <c r="L200" t="n">
        <v>0</v>
      </c>
      <c r="M200" t="n">
        <v>0</v>
      </c>
      <c r="N200" t="n">
        <v>0</v>
      </c>
      <c r="O200" t="n">
        <v>0</v>
      </c>
      <c r="P200" t="n">
        <v>0</v>
      </c>
      <c r="Q200" t="n">
        <v>0</v>
      </c>
      <c r="R200" s="2" t="inlineStr"/>
    </row>
    <row r="201" ht="15" customHeight="1">
      <c r="A201" t="inlineStr">
        <is>
          <t>A 51552-2019</t>
        </is>
      </c>
      <c r="B201" s="1" t="n">
        <v>43740</v>
      </c>
      <c r="C201" s="1" t="n">
        <v>45509</v>
      </c>
      <c r="D201" t="inlineStr">
        <is>
          <t>KALMAR LÄN</t>
        </is>
      </c>
      <c r="E201" t="inlineStr">
        <is>
          <t>VIMMERBY</t>
        </is>
      </c>
      <c r="G201" t="n">
        <v>1.2</v>
      </c>
      <c r="H201" t="n">
        <v>0</v>
      </c>
      <c r="I201" t="n">
        <v>0</v>
      </c>
      <c r="J201" t="n">
        <v>0</v>
      </c>
      <c r="K201" t="n">
        <v>0</v>
      </c>
      <c r="L201" t="n">
        <v>0</v>
      </c>
      <c r="M201" t="n">
        <v>0</v>
      </c>
      <c r="N201" t="n">
        <v>0</v>
      </c>
      <c r="O201" t="n">
        <v>0</v>
      </c>
      <c r="P201" t="n">
        <v>0</v>
      </c>
      <c r="Q201" t="n">
        <v>0</v>
      </c>
      <c r="R201" s="2" t="inlineStr"/>
    </row>
    <row r="202" ht="15" customHeight="1">
      <c r="A202" t="inlineStr">
        <is>
          <t>A 51719-2019</t>
        </is>
      </c>
      <c r="B202" s="1" t="n">
        <v>43741</v>
      </c>
      <c r="C202" s="1" t="n">
        <v>45509</v>
      </c>
      <c r="D202" t="inlineStr">
        <is>
          <t>KALMAR LÄN</t>
        </is>
      </c>
      <c r="E202" t="inlineStr">
        <is>
          <t>VIMMERBY</t>
        </is>
      </c>
      <c r="G202" t="n">
        <v>3</v>
      </c>
      <c r="H202" t="n">
        <v>0</v>
      </c>
      <c r="I202" t="n">
        <v>0</v>
      </c>
      <c r="J202" t="n">
        <v>0</v>
      </c>
      <c r="K202" t="n">
        <v>0</v>
      </c>
      <c r="L202" t="n">
        <v>0</v>
      </c>
      <c r="M202" t="n">
        <v>0</v>
      </c>
      <c r="N202" t="n">
        <v>0</v>
      </c>
      <c r="O202" t="n">
        <v>0</v>
      </c>
      <c r="P202" t="n">
        <v>0</v>
      </c>
      <c r="Q202" t="n">
        <v>0</v>
      </c>
      <c r="R202" s="2" t="inlineStr"/>
    </row>
    <row r="203" ht="15" customHeight="1">
      <c r="A203" t="inlineStr">
        <is>
          <t>A 52173-2019</t>
        </is>
      </c>
      <c r="B203" s="1" t="n">
        <v>43742</v>
      </c>
      <c r="C203" s="1" t="n">
        <v>45509</v>
      </c>
      <c r="D203" t="inlineStr">
        <is>
          <t>KALMAR LÄN</t>
        </is>
      </c>
      <c r="E203" t="inlineStr">
        <is>
          <t>VIMMERBY</t>
        </is>
      </c>
      <c r="G203" t="n">
        <v>3.9</v>
      </c>
      <c r="H203" t="n">
        <v>0</v>
      </c>
      <c r="I203" t="n">
        <v>0</v>
      </c>
      <c r="J203" t="n">
        <v>0</v>
      </c>
      <c r="K203" t="n">
        <v>0</v>
      </c>
      <c r="L203" t="n">
        <v>0</v>
      </c>
      <c r="M203" t="n">
        <v>0</v>
      </c>
      <c r="N203" t="n">
        <v>0</v>
      </c>
      <c r="O203" t="n">
        <v>0</v>
      </c>
      <c r="P203" t="n">
        <v>0</v>
      </c>
      <c r="Q203" t="n">
        <v>0</v>
      </c>
      <c r="R203" s="2" t="inlineStr"/>
    </row>
    <row r="204" ht="15" customHeight="1">
      <c r="A204" t="inlineStr">
        <is>
          <t>A 52356-2019</t>
        </is>
      </c>
      <c r="B204" s="1" t="n">
        <v>43745</v>
      </c>
      <c r="C204" s="1" t="n">
        <v>45509</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52909-2019</t>
        </is>
      </c>
      <c r="B205" s="1" t="n">
        <v>43746</v>
      </c>
      <c r="C205" s="1" t="n">
        <v>45509</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52908-2019</t>
        </is>
      </c>
      <c r="B206" s="1" t="n">
        <v>43746</v>
      </c>
      <c r="C206" s="1" t="n">
        <v>45509</v>
      </c>
      <c r="D206" t="inlineStr">
        <is>
          <t>KALMAR LÄN</t>
        </is>
      </c>
      <c r="E206" t="inlineStr">
        <is>
          <t>VIMMERBY</t>
        </is>
      </c>
      <c r="G206" t="n">
        <v>5.8</v>
      </c>
      <c r="H206" t="n">
        <v>0</v>
      </c>
      <c r="I206" t="n">
        <v>0</v>
      </c>
      <c r="J206" t="n">
        <v>0</v>
      </c>
      <c r="K206" t="n">
        <v>0</v>
      </c>
      <c r="L206" t="n">
        <v>0</v>
      </c>
      <c r="M206" t="n">
        <v>0</v>
      </c>
      <c r="N206" t="n">
        <v>0</v>
      </c>
      <c r="O206" t="n">
        <v>0</v>
      </c>
      <c r="P206" t="n">
        <v>0</v>
      </c>
      <c r="Q206" t="n">
        <v>0</v>
      </c>
      <c r="R206" s="2" t="inlineStr"/>
    </row>
    <row r="207" ht="15" customHeight="1">
      <c r="A207" t="inlineStr">
        <is>
          <t>A 52780-2019</t>
        </is>
      </c>
      <c r="B207" s="1" t="n">
        <v>43746</v>
      </c>
      <c r="C207" s="1" t="n">
        <v>45509</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53691-2019</t>
        </is>
      </c>
      <c r="B208" s="1" t="n">
        <v>43749</v>
      </c>
      <c r="C208" s="1" t="n">
        <v>45509</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54593-2019</t>
        </is>
      </c>
      <c r="B209" s="1" t="n">
        <v>43754</v>
      </c>
      <c r="C209" s="1" t="n">
        <v>45509</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54794-2019</t>
        </is>
      </c>
      <c r="B210" s="1" t="n">
        <v>43755</v>
      </c>
      <c r="C210" s="1" t="n">
        <v>45509</v>
      </c>
      <c r="D210" t="inlineStr">
        <is>
          <t>KALMAR LÄN</t>
        </is>
      </c>
      <c r="E210" t="inlineStr">
        <is>
          <t>VIMMERBY</t>
        </is>
      </c>
      <c r="G210" t="n">
        <v>3.2</v>
      </c>
      <c r="H210" t="n">
        <v>0</v>
      </c>
      <c r="I210" t="n">
        <v>0</v>
      </c>
      <c r="J210" t="n">
        <v>0</v>
      </c>
      <c r="K210" t="n">
        <v>0</v>
      </c>
      <c r="L210" t="n">
        <v>0</v>
      </c>
      <c r="M210" t="n">
        <v>0</v>
      </c>
      <c r="N210" t="n">
        <v>0</v>
      </c>
      <c r="O210" t="n">
        <v>0</v>
      </c>
      <c r="P210" t="n">
        <v>0</v>
      </c>
      <c r="Q210" t="n">
        <v>0</v>
      </c>
      <c r="R210" s="2" t="inlineStr"/>
    </row>
    <row r="211" ht="15" customHeight="1">
      <c r="A211" t="inlineStr">
        <is>
          <t>A 55757-2019</t>
        </is>
      </c>
      <c r="B211" s="1" t="n">
        <v>43759</v>
      </c>
      <c r="C211" s="1" t="n">
        <v>45509</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57998-2019</t>
        </is>
      </c>
      <c r="B212" s="1" t="n">
        <v>43762</v>
      </c>
      <c r="C212" s="1" t="n">
        <v>45509</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57509-2019</t>
        </is>
      </c>
      <c r="B213" s="1" t="n">
        <v>43767</v>
      </c>
      <c r="C213" s="1" t="n">
        <v>45509</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57886-2019</t>
        </is>
      </c>
      <c r="B214" s="1" t="n">
        <v>43768</v>
      </c>
      <c r="C214" s="1" t="n">
        <v>45509</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59256-2019</t>
        </is>
      </c>
      <c r="B215" s="1" t="n">
        <v>43773</v>
      </c>
      <c r="C215" s="1" t="n">
        <v>45509</v>
      </c>
      <c r="D215" t="inlineStr">
        <is>
          <t>KALMAR LÄN</t>
        </is>
      </c>
      <c r="E215" t="inlineStr">
        <is>
          <t>VIMMERBY</t>
        </is>
      </c>
      <c r="G215" t="n">
        <v>2.3</v>
      </c>
      <c r="H215" t="n">
        <v>0</v>
      </c>
      <c r="I215" t="n">
        <v>0</v>
      </c>
      <c r="J215" t="n">
        <v>0</v>
      </c>
      <c r="K215" t="n">
        <v>0</v>
      </c>
      <c r="L215" t="n">
        <v>0</v>
      </c>
      <c r="M215" t="n">
        <v>0</v>
      </c>
      <c r="N215" t="n">
        <v>0</v>
      </c>
      <c r="O215" t="n">
        <v>0</v>
      </c>
      <c r="P215" t="n">
        <v>0</v>
      </c>
      <c r="Q215" t="n">
        <v>0</v>
      </c>
      <c r="R215" s="2" t="inlineStr"/>
    </row>
    <row r="216" ht="15" customHeight="1">
      <c r="A216" t="inlineStr">
        <is>
          <t>A 58812-2019</t>
        </is>
      </c>
      <c r="B216" s="1" t="n">
        <v>43774</v>
      </c>
      <c r="C216" s="1" t="n">
        <v>45509</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60253-2019</t>
        </is>
      </c>
      <c r="B217" s="1" t="n">
        <v>43780</v>
      </c>
      <c r="C217" s="1" t="n">
        <v>45509</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60673-2019</t>
        </is>
      </c>
      <c r="B218" s="1" t="n">
        <v>43781</v>
      </c>
      <c r="C218" s="1" t="n">
        <v>45509</v>
      </c>
      <c r="D218" t="inlineStr">
        <is>
          <t>KALMAR LÄN</t>
        </is>
      </c>
      <c r="E218" t="inlineStr">
        <is>
          <t>VIMMERBY</t>
        </is>
      </c>
      <c r="G218" t="n">
        <v>2.3</v>
      </c>
      <c r="H218" t="n">
        <v>0</v>
      </c>
      <c r="I218" t="n">
        <v>0</v>
      </c>
      <c r="J218" t="n">
        <v>0</v>
      </c>
      <c r="K218" t="n">
        <v>0</v>
      </c>
      <c r="L218" t="n">
        <v>0</v>
      </c>
      <c r="M218" t="n">
        <v>0</v>
      </c>
      <c r="N218" t="n">
        <v>0</v>
      </c>
      <c r="O218" t="n">
        <v>0</v>
      </c>
      <c r="P218" t="n">
        <v>0</v>
      </c>
      <c r="Q218" t="n">
        <v>0</v>
      </c>
      <c r="R218" s="2" t="inlineStr"/>
    </row>
    <row r="219" ht="15" customHeight="1">
      <c r="A219" t="inlineStr">
        <is>
          <t>A 60802-2019</t>
        </is>
      </c>
      <c r="B219" s="1" t="n">
        <v>43781</v>
      </c>
      <c r="C219" s="1" t="n">
        <v>45509</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61049-2019</t>
        </is>
      </c>
      <c r="B220" s="1" t="n">
        <v>43782</v>
      </c>
      <c r="C220" s="1" t="n">
        <v>45509</v>
      </c>
      <c r="D220" t="inlineStr">
        <is>
          <t>KALMAR LÄN</t>
        </is>
      </c>
      <c r="E220" t="inlineStr">
        <is>
          <t>VIMMERBY</t>
        </is>
      </c>
      <c r="G220" t="n">
        <v>4.1</v>
      </c>
      <c r="H220" t="n">
        <v>0</v>
      </c>
      <c r="I220" t="n">
        <v>0</v>
      </c>
      <c r="J220" t="n">
        <v>0</v>
      </c>
      <c r="K220" t="n">
        <v>0</v>
      </c>
      <c r="L220" t="n">
        <v>0</v>
      </c>
      <c r="M220" t="n">
        <v>0</v>
      </c>
      <c r="N220" t="n">
        <v>0</v>
      </c>
      <c r="O220" t="n">
        <v>0</v>
      </c>
      <c r="P220" t="n">
        <v>0</v>
      </c>
      <c r="Q220" t="n">
        <v>0</v>
      </c>
      <c r="R220" s="2" t="inlineStr"/>
    </row>
    <row r="221" ht="15" customHeight="1">
      <c r="A221" t="inlineStr">
        <is>
          <t>A 63362-2019</t>
        </is>
      </c>
      <c r="B221" s="1" t="n">
        <v>43787</v>
      </c>
      <c r="C221" s="1" t="n">
        <v>45509</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62625-2019</t>
        </is>
      </c>
      <c r="B222" s="1" t="n">
        <v>43789</v>
      </c>
      <c r="C222" s="1" t="n">
        <v>45509</v>
      </c>
      <c r="D222" t="inlineStr">
        <is>
          <t>KALMAR LÄN</t>
        </is>
      </c>
      <c r="E222" t="inlineStr">
        <is>
          <t>VIMMERBY</t>
        </is>
      </c>
      <c r="F222" t="inlineStr">
        <is>
          <t>Övriga Aktiebolag</t>
        </is>
      </c>
      <c r="G222" t="n">
        <v>8.1</v>
      </c>
      <c r="H222" t="n">
        <v>0</v>
      </c>
      <c r="I222" t="n">
        <v>0</v>
      </c>
      <c r="J222" t="n">
        <v>0</v>
      </c>
      <c r="K222" t="n">
        <v>0</v>
      </c>
      <c r="L222" t="n">
        <v>0</v>
      </c>
      <c r="M222" t="n">
        <v>0</v>
      </c>
      <c r="N222" t="n">
        <v>0</v>
      </c>
      <c r="O222" t="n">
        <v>0</v>
      </c>
      <c r="P222" t="n">
        <v>0</v>
      </c>
      <c r="Q222" t="n">
        <v>0</v>
      </c>
      <c r="R222" s="2" t="inlineStr"/>
    </row>
    <row r="223" ht="15" customHeight="1">
      <c r="A223" t="inlineStr">
        <is>
          <t>A 63029-2019</t>
        </is>
      </c>
      <c r="B223" s="1" t="n">
        <v>43791</v>
      </c>
      <c r="C223" s="1" t="n">
        <v>45509</v>
      </c>
      <c r="D223" t="inlineStr">
        <is>
          <t>KALMAR LÄN</t>
        </is>
      </c>
      <c r="E223" t="inlineStr">
        <is>
          <t>VIMMERBY</t>
        </is>
      </c>
      <c r="F223" t="inlineStr">
        <is>
          <t>Kyrkan</t>
        </is>
      </c>
      <c r="G223" t="n">
        <v>3.1</v>
      </c>
      <c r="H223" t="n">
        <v>0</v>
      </c>
      <c r="I223" t="n">
        <v>0</v>
      </c>
      <c r="J223" t="n">
        <v>0</v>
      </c>
      <c r="K223" t="n">
        <v>0</v>
      </c>
      <c r="L223" t="n">
        <v>0</v>
      </c>
      <c r="M223" t="n">
        <v>0</v>
      </c>
      <c r="N223" t="n">
        <v>0</v>
      </c>
      <c r="O223" t="n">
        <v>0</v>
      </c>
      <c r="P223" t="n">
        <v>0</v>
      </c>
      <c r="Q223" t="n">
        <v>0</v>
      </c>
      <c r="R223" s="2" t="inlineStr"/>
    </row>
    <row r="224" ht="15" customHeight="1">
      <c r="A224" t="inlineStr">
        <is>
          <t>A 63746-2019</t>
        </is>
      </c>
      <c r="B224" s="1" t="n">
        <v>43795</v>
      </c>
      <c r="C224" s="1" t="n">
        <v>45509</v>
      </c>
      <c r="D224" t="inlineStr">
        <is>
          <t>KALMAR LÄN</t>
        </is>
      </c>
      <c r="E224" t="inlineStr">
        <is>
          <t>VIMMERBY</t>
        </is>
      </c>
      <c r="G224" t="n">
        <v>4.5</v>
      </c>
      <c r="H224" t="n">
        <v>0</v>
      </c>
      <c r="I224" t="n">
        <v>0</v>
      </c>
      <c r="J224" t="n">
        <v>0</v>
      </c>
      <c r="K224" t="n">
        <v>0</v>
      </c>
      <c r="L224" t="n">
        <v>0</v>
      </c>
      <c r="M224" t="n">
        <v>0</v>
      </c>
      <c r="N224" t="n">
        <v>0</v>
      </c>
      <c r="O224" t="n">
        <v>0</v>
      </c>
      <c r="P224" t="n">
        <v>0</v>
      </c>
      <c r="Q224" t="n">
        <v>0</v>
      </c>
      <c r="R224" s="2" t="inlineStr"/>
    </row>
    <row r="225" ht="15" customHeight="1">
      <c r="A225" t="inlineStr">
        <is>
          <t>A 64119-2019</t>
        </is>
      </c>
      <c r="B225" s="1" t="n">
        <v>43796</v>
      </c>
      <c r="C225" s="1" t="n">
        <v>45509</v>
      </c>
      <c r="D225" t="inlineStr">
        <is>
          <t>KALMAR LÄN</t>
        </is>
      </c>
      <c r="E225" t="inlineStr">
        <is>
          <t>VIMMERBY</t>
        </is>
      </c>
      <c r="G225" t="n">
        <v>4.6</v>
      </c>
      <c r="H225" t="n">
        <v>0</v>
      </c>
      <c r="I225" t="n">
        <v>0</v>
      </c>
      <c r="J225" t="n">
        <v>0</v>
      </c>
      <c r="K225" t="n">
        <v>0</v>
      </c>
      <c r="L225" t="n">
        <v>0</v>
      </c>
      <c r="M225" t="n">
        <v>0</v>
      </c>
      <c r="N225" t="n">
        <v>0</v>
      </c>
      <c r="O225" t="n">
        <v>0</v>
      </c>
      <c r="P225" t="n">
        <v>0</v>
      </c>
      <c r="Q225" t="n">
        <v>0</v>
      </c>
      <c r="R225" s="2" t="inlineStr"/>
    </row>
    <row r="226" ht="15" customHeight="1">
      <c r="A226" t="inlineStr">
        <is>
          <t>A 64345-2019</t>
        </is>
      </c>
      <c r="B226" s="1" t="n">
        <v>43797</v>
      </c>
      <c r="C226" s="1" t="n">
        <v>45509</v>
      </c>
      <c r="D226" t="inlineStr">
        <is>
          <t>KALMAR LÄN</t>
        </is>
      </c>
      <c r="E226" t="inlineStr">
        <is>
          <t>VIMMERBY</t>
        </is>
      </c>
      <c r="G226" t="n">
        <v>0.9</v>
      </c>
      <c r="H226" t="n">
        <v>0</v>
      </c>
      <c r="I226" t="n">
        <v>0</v>
      </c>
      <c r="J226" t="n">
        <v>0</v>
      </c>
      <c r="K226" t="n">
        <v>0</v>
      </c>
      <c r="L226" t="n">
        <v>0</v>
      </c>
      <c r="M226" t="n">
        <v>0</v>
      </c>
      <c r="N226" t="n">
        <v>0</v>
      </c>
      <c r="O226" t="n">
        <v>0</v>
      </c>
      <c r="P226" t="n">
        <v>0</v>
      </c>
      <c r="Q226" t="n">
        <v>0</v>
      </c>
      <c r="R226" s="2" t="inlineStr"/>
    </row>
    <row r="227" ht="15" customHeight="1">
      <c r="A227" t="inlineStr">
        <is>
          <t>A 64334-2019</t>
        </is>
      </c>
      <c r="B227" s="1" t="n">
        <v>43797</v>
      </c>
      <c r="C227" s="1" t="n">
        <v>45509</v>
      </c>
      <c r="D227" t="inlineStr">
        <is>
          <t>KALMAR LÄN</t>
        </is>
      </c>
      <c r="E227" t="inlineStr">
        <is>
          <t>VIMMERBY</t>
        </is>
      </c>
      <c r="G227" t="n">
        <v>2</v>
      </c>
      <c r="H227" t="n">
        <v>0</v>
      </c>
      <c r="I227" t="n">
        <v>0</v>
      </c>
      <c r="J227" t="n">
        <v>0</v>
      </c>
      <c r="K227" t="n">
        <v>0</v>
      </c>
      <c r="L227" t="n">
        <v>0</v>
      </c>
      <c r="M227" t="n">
        <v>0</v>
      </c>
      <c r="N227" t="n">
        <v>0</v>
      </c>
      <c r="O227" t="n">
        <v>0</v>
      </c>
      <c r="P227" t="n">
        <v>0</v>
      </c>
      <c r="Q227" t="n">
        <v>0</v>
      </c>
      <c r="R227" s="2" t="inlineStr"/>
    </row>
    <row r="228" ht="15" customHeight="1">
      <c r="A228" t="inlineStr">
        <is>
          <t>A 65267-2019</t>
        </is>
      </c>
      <c r="B228" s="1" t="n">
        <v>43802</v>
      </c>
      <c r="C228" s="1" t="n">
        <v>45509</v>
      </c>
      <c r="D228" t="inlineStr">
        <is>
          <t>KALMAR LÄN</t>
        </is>
      </c>
      <c r="E228" t="inlineStr">
        <is>
          <t>VIMMERBY</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66169-2019</t>
        </is>
      </c>
      <c r="B229" s="1" t="n">
        <v>43808</v>
      </c>
      <c r="C229" s="1" t="n">
        <v>45509</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66172-2019</t>
        </is>
      </c>
      <c r="B230" s="1" t="n">
        <v>43808</v>
      </c>
      <c r="C230" s="1" t="n">
        <v>45509</v>
      </c>
      <c r="D230" t="inlineStr">
        <is>
          <t>KALMAR LÄN</t>
        </is>
      </c>
      <c r="E230" t="inlineStr">
        <is>
          <t>VIMMERBY</t>
        </is>
      </c>
      <c r="G230" t="n">
        <v>3.6</v>
      </c>
      <c r="H230" t="n">
        <v>0</v>
      </c>
      <c r="I230" t="n">
        <v>0</v>
      </c>
      <c r="J230" t="n">
        <v>0</v>
      </c>
      <c r="K230" t="n">
        <v>0</v>
      </c>
      <c r="L230" t="n">
        <v>0</v>
      </c>
      <c r="M230" t="n">
        <v>0</v>
      </c>
      <c r="N230" t="n">
        <v>0</v>
      </c>
      <c r="O230" t="n">
        <v>0</v>
      </c>
      <c r="P230" t="n">
        <v>0</v>
      </c>
      <c r="Q230" t="n">
        <v>0</v>
      </c>
      <c r="R230" s="2" t="inlineStr"/>
    </row>
    <row r="231" ht="15" customHeight="1">
      <c r="A231" t="inlineStr">
        <is>
          <t>A 66151-2019</t>
        </is>
      </c>
      <c r="B231" s="1" t="n">
        <v>43808</v>
      </c>
      <c r="C231" s="1" t="n">
        <v>45509</v>
      </c>
      <c r="D231" t="inlineStr">
        <is>
          <t>KALMAR LÄN</t>
        </is>
      </c>
      <c r="E231" t="inlineStr">
        <is>
          <t>VIMMERBY</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67293-2019</t>
        </is>
      </c>
      <c r="B232" s="1" t="n">
        <v>43812</v>
      </c>
      <c r="C232" s="1" t="n">
        <v>45509</v>
      </c>
      <c r="D232" t="inlineStr">
        <is>
          <t>KALMAR LÄN</t>
        </is>
      </c>
      <c r="E232" t="inlineStr">
        <is>
          <t>VIMMERBY</t>
        </is>
      </c>
      <c r="F232" t="inlineStr">
        <is>
          <t>Kommuner</t>
        </is>
      </c>
      <c r="G232" t="n">
        <v>1.2</v>
      </c>
      <c r="H232" t="n">
        <v>0</v>
      </c>
      <c r="I232" t="n">
        <v>0</v>
      </c>
      <c r="J232" t="n">
        <v>0</v>
      </c>
      <c r="K232" t="n">
        <v>0</v>
      </c>
      <c r="L232" t="n">
        <v>0</v>
      </c>
      <c r="M232" t="n">
        <v>0</v>
      </c>
      <c r="N232" t="n">
        <v>0</v>
      </c>
      <c r="O232" t="n">
        <v>0</v>
      </c>
      <c r="P232" t="n">
        <v>0</v>
      </c>
      <c r="Q232" t="n">
        <v>0</v>
      </c>
      <c r="R232" s="2" t="inlineStr"/>
    </row>
    <row r="233" ht="15" customHeight="1">
      <c r="A233" t="inlineStr">
        <is>
          <t>A 67359-2019</t>
        </is>
      </c>
      <c r="B233" s="1" t="n">
        <v>43812</v>
      </c>
      <c r="C233" s="1" t="n">
        <v>45509</v>
      </c>
      <c r="D233" t="inlineStr">
        <is>
          <t>KALMAR LÄN</t>
        </is>
      </c>
      <c r="E233" t="inlineStr">
        <is>
          <t>VIMMERBY</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67346-2019</t>
        </is>
      </c>
      <c r="B234" s="1" t="n">
        <v>43812</v>
      </c>
      <c r="C234" s="1" t="n">
        <v>45509</v>
      </c>
      <c r="D234" t="inlineStr">
        <is>
          <t>KALMAR LÄN</t>
        </is>
      </c>
      <c r="E234" t="inlineStr">
        <is>
          <t>VIMMERBY</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447-2020</t>
        </is>
      </c>
      <c r="B235" s="1" t="n">
        <v>43837</v>
      </c>
      <c r="C235" s="1" t="n">
        <v>45509</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306-2020</t>
        </is>
      </c>
      <c r="B236" s="1" t="n">
        <v>43837</v>
      </c>
      <c r="C236" s="1" t="n">
        <v>45509</v>
      </c>
      <c r="D236" t="inlineStr">
        <is>
          <t>KALMAR LÄN</t>
        </is>
      </c>
      <c r="E236" t="inlineStr">
        <is>
          <t>VIMMERBY</t>
        </is>
      </c>
      <c r="G236" t="n">
        <v>9.9</v>
      </c>
      <c r="H236" t="n">
        <v>0</v>
      </c>
      <c r="I236" t="n">
        <v>0</v>
      </c>
      <c r="J236" t="n">
        <v>0</v>
      </c>
      <c r="K236" t="n">
        <v>0</v>
      </c>
      <c r="L236" t="n">
        <v>0</v>
      </c>
      <c r="M236" t="n">
        <v>0</v>
      </c>
      <c r="N236" t="n">
        <v>0</v>
      </c>
      <c r="O236" t="n">
        <v>0</v>
      </c>
      <c r="P236" t="n">
        <v>0</v>
      </c>
      <c r="Q236" t="n">
        <v>0</v>
      </c>
      <c r="R236" s="2" t="inlineStr"/>
    </row>
    <row r="237" ht="15" customHeight="1">
      <c r="A237" t="inlineStr">
        <is>
          <t>A 593-2020</t>
        </is>
      </c>
      <c r="B237" s="1" t="n">
        <v>43838</v>
      </c>
      <c r="C237" s="1" t="n">
        <v>45509</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2473-2020</t>
        </is>
      </c>
      <c r="B238" s="1" t="n">
        <v>43840</v>
      </c>
      <c r="C238" s="1" t="n">
        <v>45509</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1967-2020</t>
        </is>
      </c>
      <c r="B239" s="1" t="n">
        <v>43845</v>
      </c>
      <c r="C239" s="1" t="n">
        <v>45509</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2070-2020</t>
        </is>
      </c>
      <c r="B240" s="1" t="n">
        <v>43845</v>
      </c>
      <c r="C240" s="1" t="n">
        <v>45509</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3434-2020</t>
        </is>
      </c>
      <c r="B241" s="1" t="n">
        <v>43845</v>
      </c>
      <c r="C241" s="1" t="n">
        <v>45509</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2756-2020</t>
        </is>
      </c>
      <c r="B242" s="1" t="n">
        <v>43850</v>
      </c>
      <c r="C242" s="1" t="n">
        <v>45509</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2856-2020</t>
        </is>
      </c>
      <c r="B243" s="1" t="n">
        <v>43850</v>
      </c>
      <c r="C243" s="1" t="n">
        <v>45509</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3211-2020</t>
        </is>
      </c>
      <c r="B244" s="1" t="n">
        <v>43851</v>
      </c>
      <c r="C244" s="1" t="n">
        <v>45509</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3414-2020</t>
        </is>
      </c>
      <c r="B245" s="1" t="n">
        <v>43852</v>
      </c>
      <c r="C245" s="1" t="n">
        <v>45509</v>
      </c>
      <c r="D245" t="inlineStr">
        <is>
          <t>KALMAR LÄN</t>
        </is>
      </c>
      <c r="E245" t="inlineStr">
        <is>
          <t>VIMMERBY</t>
        </is>
      </c>
      <c r="G245" t="n">
        <v>4</v>
      </c>
      <c r="H245" t="n">
        <v>0</v>
      </c>
      <c r="I245" t="n">
        <v>0</v>
      </c>
      <c r="J245" t="n">
        <v>0</v>
      </c>
      <c r="K245" t="n">
        <v>0</v>
      </c>
      <c r="L245" t="n">
        <v>0</v>
      </c>
      <c r="M245" t="n">
        <v>0</v>
      </c>
      <c r="N245" t="n">
        <v>0</v>
      </c>
      <c r="O245" t="n">
        <v>0</v>
      </c>
      <c r="P245" t="n">
        <v>0</v>
      </c>
      <c r="Q245" t="n">
        <v>0</v>
      </c>
      <c r="R245" s="2" t="inlineStr"/>
    </row>
    <row r="246" ht="15" customHeight="1">
      <c r="A246" t="inlineStr">
        <is>
          <t>A 3672-2020</t>
        </is>
      </c>
      <c r="B246" s="1" t="n">
        <v>43853</v>
      </c>
      <c r="C246" s="1" t="n">
        <v>45509</v>
      </c>
      <c r="D246" t="inlineStr">
        <is>
          <t>KALMAR LÄN</t>
        </is>
      </c>
      <c r="E246" t="inlineStr">
        <is>
          <t>VIMMERBY</t>
        </is>
      </c>
      <c r="G246" t="n">
        <v>3.7</v>
      </c>
      <c r="H246" t="n">
        <v>0</v>
      </c>
      <c r="I246" t="n">
        <v>0</v>
      </c>
      <c r="J246" t="n">
        <v>0</v>
      </c>
      <c r="K246" t="n">
        <v>0</v>
      </c>
      <c r="L246" t="n">
        <v>0</v>
      </c>
      <c r="M246" t="n">
        <v>0</v>
      </c>
      <c r="N246" t="n">
        <v>0</v>
      </c>
      <c r="O246" t="n">
        <v>0</v>
      </c>
      <c r="P246" t="n">
        <v>0</v>
      </c>
      <c r="Q246" t="n">
        <v>0</v>
      </c>
      <c r="R246" s="2" t="inlineStr"/>
    </row>
    <row r="247" ht="15" customHeight="1">
      <c r="A247" t="inlineStr">
        <is>
          <t>A 5047-2020</t>
        </is>
      </c>
      <c r="B247" s="1" t="n">
        <v>43853</v>
      </c>
      <c r="C247" s="1" t="n">
        <v>45509</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5043-2020</t>
        </is>
      </c>
      <c r="B248" s="1" t="n">
        <v>43853</v>
      </c>
      <c r="C248" s="1" t="n">
        <v>45509</v>
      </c>
      <c r="D248" t="inlineStr">
        <is>
          <t>KALMAR LÄN</t>
        </is>
      </c>
      <c r="E248" t="inlineStr">
        <is>
          <t>VIMMERBY</t>
        </is>
      </c>
      <c r="G248" t="n">
        <v>1.2</v>
      </c>
      <c r="H248" t="n">
        <v>0</v>
      </c>
      <c r="I248" t="n">
        <v>0</v>
      </c>
      <c r="J248" t="n">
        <v>0</v>
      </c>
      <c r="K248" t="n">
        <v>0</v>
      </c>
      <c r="L248" t="n">
        <v>0</v>
      </c>
      <c r="M248" t="n">
        <v>0</v>
      </c>
      <c r="N248" t="n">
        <v>0</v>
      </c>
      <c r="O248" t="n">
        <v>0</v>
      </c>
      <c r="P248" t="n">
        <v>0</v>
      </c>
      <c r="Q248" t="n">
        <v>0</v>
      </c>
      <c r="R248" s="2" t="inlineStr"/>
    </row>
    <row r="249" ht="15" customHeight="1">
      <c r="A249" t="inlineStr">
        <is>
          <t>A 4194-2020</t>
        </is>
      </c>
      <c r="B249" s="1" t="n">
        <v>43857</v>
      </c>
      <c r="C249" s="1" t="n">
        <v>45509</v>
      </c>
      <c r="D249" t="inlineStr">
        <is>
          <t>KALMAR LÄN</t>
        </is>
      </c>
      <c r="E249" t="inlineStr">
        <is>
          <t>VIMMERBY</t>
        </is>
      </c>
      <c r="G249" t="n">
        <v>1.6</v>
      </c>
      <c r="H249" t="n">
        <v>0</v>
      </c>
      <c r="I249" t="n">
        <v>0</v>
      </c>
      <c r="J249" t="n">
        <v>0</v>
      </c>
      <c r="K249" t="n">
        <v>0</v>
      </c>
      <c r="L249" t="n">
        <v>0</v>
      </c>
      <c r="M249" t="n">
        <v>0</v>
      </c>
      <c r="N249" t="n">
        <v>0</v>
      </c>
      <c r="O249" t="n">
        <v>0</v>
      </c>
      <c r="P249" t="n">
        <v>0</v>
      </c>
      <c r="Q249" t="n">
        <v>0</v>
      </c>
      <c r="R249" s="2" t="inlineStr"/>
    </row>
    <row r="250" ht="15" customHeight="1">
      <c r="A250" t="inlineStr">
        <is>
          <t>A 5362-2020</t>
        </is>
      </c>
      <c r="B250" s="1" t="n">
        <v>43857</v>
      </c>
      <c r="C250" s="1" t="n">
        <v>45509</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4472-2020</t>
        </is>
      </c>
      <c r="B251" s="1" t="n">
        <v>43858</v>
      </c>
      <c r="C251" s="1" t="n">
        <v>45509</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5548-2020</t>
        </is>
      </c>
      <c r="B252" s="1" t="n">
        <v>43861</v>
      </c>
      <c r="C252" s="1" t="n">
        <v>45509</v>
      </c>
      <c r="D252" t="inlineStr">
        <is>
          <t>KALMAR LÄN</t>
        </is>
      </c>
      <c r="E252" t="inlineStr">
        <is>
          <t>VIMMERBY</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6042-2020</t>
        </is>
      </c>
      <c r="B253" s="1" t="n">
        <v>43865</v>
      </c>
      <c r="C253" s="1" t="n">
        <v>45509</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7870-2020</t>
        </is>
      </c>
      <c r="B254" s="1" t="n">
        <v>43873</v>
      </c>
      <c r="C254" s="1" t="n">
        <v>45509</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8691-2020</t>
        </is>
      </c>
      <c r="B255" s="1" t="n">
        <v>43878</v>
      </c>
      <c r="C255" s="1" t="n">
        <v>45509</v>
      </c>
      <c r="D255" t="inlineStr">
        <is>
          <t>KALMAR LÄN</t>
        </is>
      </c>
      <c r="E255" t="inlineStr">
        <is>
          <t>VIMMERBY</t>
        </is>
      </c>
      <c r="G255" t="n">
        <v>5.1</v>
      </c>
      <c r="H255" t="n">
        <v>0</v>
      </c>
      <c r="I255" t="n">
        <v>0</v>
      </c>
      <c r="J255" t="n">
        <v>0</v>
      </c>
      <c r="K255" t="n">
        <v>0</v>
      </c>
      <c r="L255" t="n">
        <v>0</v>
      </c>
      <c r="M255" t="n">
        <v>0</v>
      </c>
      <c r="N255" t="n">
        <v>0</v>
      </c>
      <c r="O255" t="n">
        <v>0</v>
      </c>
      <c r="P255" t="n">
        <v>0</v>
      </c>
      <c r="Q255" t="n">
        <v>0</v>
      </c>
      <c r="R255" s="2" t="inlineStr"/>
    </row>
    <row r="256" ht="15" customHeight="1">
      <c r="A256" t="inlineStr">
        <is>
          <t>A 9151-2020</t>
        </is>
      </c>
      <c r="B256" s="1" t="n">
        <v>43879</v>
      </c>
      <c r="C256" s="1" t="n">
        <v>45509</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9382-2020</t>
        </is>
      </c>
      <c r="B257" s="1" t="n">
        <v>43880</v>
      </c>
      <c r="C257" s="1" t="n">
        <v>45509</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9718-2020</t>
        </is>
      </c>
      <c r="B258" s="1" t="n">
        <v>43881</v>
      </c>
      <c r="C258" s="1" t="n">
        <v>45509</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10474-2020</t>
        </is>
      </c>
      <c r="B259" s="1" t="n">
        <v>43887</v>
      </c>
      <c r="C259" s="1" t="n">
        <v>45509</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10484-2020</t>
        </is>
      </c>
      <c r="B260" s="1" t="n">
        <v>43887</v>
      </c>
      <c r="C260" s="1" t="n">
        <v>45509</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10923-2020</t>
        </is>
      </c>
      <c r="B261" s="1" t="n">
        <v>43889</v>
      </c>
      <c r="C261" s="1" t="n">
        <v>45509</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11243-2020</t>
        </is>
      </c>
      <c r="B262" s="1" t="n">
        <v>43892</v>
      </c>
      <c r="C262" s="1" t="n">
        <v>45509</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12823-2020</t>
        </is>
      </c>
      <c r="B263" s="1" t="n">
        <v>43899</v>
      </c>
      <c r="C263" s="1" t="n">
        <v>45509</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13496-2020</t>
        </is>
      </c>
      <c r="B264" s="1" t="n">
        <v>43900</v>
      </c>
      <c r="C264" s="1" t="n">
        <v>45509</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14410-2020</t>
        </is>
      </c>
      <c r="B265" s="1" t="n">
        <v>43902</v>
      </c>
      <c r="C265" s="1" t="n">
        <v>45509</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13606-2020</t>
        </is>
      </c>
      <c r="B266" s="1" t="n">
        <v>43903</v>
      </c>
      <c r="C266" s="1" t="n">
        <v>45509</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14022-2020</t>
        </is>
      </c>
      <c r="B267" s="1" t="n">
        <v>43906</v>
      </c>
      <c r="C267" s="1" t="n">
        <v>45509</v>
      </c>
      <c r="D267" t="inlineStr">
        <is>
          <t>KALMAR LÄN</t>
        </is>
      </c>
      <c r="E267" t="inlineStr">
        <is>
          <t>VIMMERBY</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16222-2020</t>
        </is>
      </c>
      <c r="B268" s="1" t="n">
        <v>43917</v>
      </c>
      <c r="C268" s="1" t="n">
        <v>45509</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18676-2020</t>
        </is>
      </c>
      <c r="B269" s="1" t="n">
        <v>43930</v>
      </c>
      <c r="C269" s="1" t="n">
        <v>45509</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18855-2020</t>
        </is>
      </c>
      <c r="B270" s="1" t="n">
        <v>43930</v>
      </c>
      <c r="C270" s="1" t="n">
        <v>45509</v>
      </c>
      <c r="D270" t="inlineStr">
        <is>
          <t>KALMAR LÄN</t>
        </is>
      </c>
      <c r="E270" t="inlineStr">
        <is>
          <t>VIMMERBY</t>
        </is>
      </c>
      <c r="G270" t="n">
        <v>2.9</v>
      </c>
      <c r="H270" t="n">
        <v>0</v>
      </c>
      <c r="I270" t="n">
        <v>0</v>
      </c>
      <c r="J270" t="n">
        <v>0</v>
      </c>
      <c r="K270" t="n">
        <v>0</v>
      </c>
      <c r="L270" t="n">
        <v>0</v>
      </c>
      <c r="M270" t="n">
        <v>0</v>
      </c>
      <c r="N270" t="n">
        <v>0</v>
      </c>
      <c r="O270" t="n">
        <v>0</v>
      </c>
      <c r="P270" t="n">
        <v>0</v>
      </c>
      <c r="Q270" t="n">
        <v>0</v>
      </c>
      <c r="R270" s="2" t="inlineStr"/>
    </row>
    <row r="271" ht="15" customHeight="1">
      <c r="A271" t="inlineStr">
        <is>
          <t>A 18885-2020</t>
        </is>
      </c>
      <c r="B271" s="1" t="n">
        <v>43935</v>
      </c>
      <c r="C271" s="1" t="n">
        <v>45509</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18909-2020</t>
        </is>
      </c>
      <c r="B272" s="1" t="n">
        <v>43935</v>
      </c>
      <c r="C272" s="1" t="n">
        <v>45509</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20291-2020</t>
        </is>
      </c>
      <c r="B273" s="1" t="n">
        <v>43945</v>
      </c>
      <c r="C273" s="1" t="n">
        <v>45509</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21408-2020</t>
        </is>
      </c>
      <c r="B274" s="1" t="n">
        <v>43955</v>
      </c>
      <c r="C274" s="1" t="n">
        <v>45509</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21581-2020</t>
        </is>
      </c>
      <c r="B275" s="1" t="n">
        <v>43956</v>
      </c>
      <c r="C275" s="1" t="n">
        <v>45509</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21891-2020</t>
        </is>
      </c>
      <c r="B276" s="1" t="n">
        <v>43958</v>
      </c>
      <c r="C276" s="1" t="n">
        <v>45509</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22267-2020</t>
        </is>
      </c>
      <c r="B277" s="1" t="n">
        <v>43962</v>
      </c>
      <c r="C277" s="1" t="n">
        <v>45509</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22574-2020</t>
        </is>
      </c>
      <c r="B278" s="1" t="n">
        <v>43963</v>
      </c>
      <c r="C278" s="1" t="n">
        <v>45509</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22637-2020</t>
        </is>
      </c>
      <c r="B279" s="1" t="n">
        <v>43963</v>
      </c>
      <c r="C279" s="1" t="n">
        <v>45509</v>
      </c>
      <c r="D279" t="inlineStr">
        <is>
          <t>KALMAR LÄN</t>
        </is>
      </c>
      <c r="E279" t="inlineStr">
        <is>
          <t>VIMMERBY</t>
        </is>
      </c>
      <c r="G279" t="n">
        <v>1.4</v>
      </c>
      <c r="H279" t="n">
        <v>0</v>
      </c>
      <c r="I279" t="n">
        <v>0</v>
      </c>
      <c r="J279" t="n">
        <v>0</v>
      </c>
      <c r="K279" t="n">
        <v>0</v>
      </c>
      <c r="L279" t="n">
        <v>0</v>
      </c>
      <c r="M279" t="n">
        <v>0</v>
      </c>
      <c r="N279" t="n">
        <v>0</v>
      </c>
      <c r="O279" t="n">
        <v>0</v>
      </c>
      <c r="P279" t="n">
        <v>0</v>
      </c>
      <c r="Q279" t="n">
        <v>0</v>
      </c>
      <c r="R279" s="2" t="inlineStr"/>
    </row>
    <row r="280" ht="15" customHeight="1">
      <c r="A280" t="inlineStr">
        <is>
          <t>A 22828-2020</t>
        </is>
      </c>
      <c r="B280" s="1" t="n">
        <v>43964</v>
      </c>
      <c r="C280" s="1" t="n">
        <v>45509</v>
      </c>
      <c r="D280" t="inlineStr">
        <is>
          <t>KALMAR LÄN</t>
        </is>
      </c>
      <c r="E280" t="inlineStr">
        <is>
          <t>VIMMERBY</t>
        </is>
      </c>
      <c r="G280" t="n">
        <v>7.5</v>
      </c>
      <c r="H280" t="n">
        <v>0</v>
      </c>
      <c r="I280" t="n">
        <v>0</v>
      </c>
      <c r="J280" t="n">
        <v>0</v>
      </c>
      <c r="K280" t="n">
        <v>0</v>
      </c>
      <c r="L280" t="n">
        <v>0</v>
      </c>
      <c r="M280" t="n">
        <v>0</v>
      </c>
      <c r="N280" t="n">
        <v>0</v>
      </c>
      <c r="O280" t="n">
        <v>0</v>
      </c>
      <c r="P280" t="n">
        <v>0</v>
      </c>
      <c r="Q280" t="n">
        <v>0</v>
      </c>
      <c r="R280" s="2" t="inlineStr"/>
    </row>
    <row r="281" ht="15" customHeight="1">
      <c r="A281" t="inlineStr">
        <is>
          <t>A 23391-2020</t>
        </is>
      </c>
      <c r="B281" s="1" t="n">
        <v>43968</v>
      </c>
      <c r="C281" s="1" t="n">
        <v>45509</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23394-2020</t>
        </is>
      </c>
      <c r="B282" s="1" t="n">
        <v>43968</v>
      </c>
      <c r="C282" s="1" t="n">
        <v>45509</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23705-2020</t>
        </is>
      </c>
      <c r="B283" s="1" t="n">
        <v>43970</v>
      </c>
      <c r="C283" s="1" t="n">
        <v>45509</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23877-2020</t>
        </is>
      </c>
      <c r="B284" s="1" t="n">
        <v>43971</v>
      </c>
      <c r="C284" s="1" t="n">
        <v>45509</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24016-2020</t>
        </is>
      </c>
      <c r="B285" s="1" t="n">
        <v>43971</v>
      </c>
      <c r="C285" s="1" t="n">
        <v>45509</v>
      </c>
      <c r="D285" t="inlineStr">
        <is>
          <t>KALMAR LÄN</t>
        </is>
      </c>
      <c r="E285" t="inlineStr">
        <is>
          <t>VIMMERBY</t>
        </is>
      </c>
      <c r="G285" t="n">
        <v>4.5</v>
      </c>
      <c r="H285" t="n">
        <v>0</v>
      </c>
      <c r="I285" t="n">
        <v>0</v>
      </c>
      <c r="J285" t="n">
        <v>0</v>
      </c>
      <c r="K285" t="n">
        <v>0</v>
      </c>
      <c r="L285" t="n">
        <v>0</v>
      </c>
      <c r="M285" t="n">
        <v>0</v>
      </c>
      <c r="N285" t="n">
        <v>0</v>
      </c>
      <c r="O285" t="n">
        <v>0</v>
      </c>
      <c r="P285" t="n">
        <v>0</v>
      </c>
      <c r="Q285" t="n">
        <v>0</v>
      </c>
      <c r="R285" s="2" t="inlineStr"/>
    </row>
    <row r="286" ht="15" customHeight="1">
      <c r="A286" t="inlineStr">
        <is>
          <t>A 24770-2020</t>
        </is>
      </c>
      <c r="B286" s="1" t="n">
        <v>43978</v>
      </c>
      <c r="C286" s="1" t="n">
        <v>45509</v>
      </c>
      <c r="D286" t="inlineStr">
        <is>
          <t>KALMAR LÄN</t>
        </is>
      </c>
      <c r="E286" t="inlineStr">
        <is>
          <t>VIMMERBY</t>
        </is>
      </c>
      <c r="G286" t="n">
        <v>2</v>
      </c>
      <c r="H286" t="n">
        <v>0</v>
      </c>
      <c r="I286" t="n">
        <v>0</v>
      </c>
      <c r="J286" t="n">
        <v>0</v>
      </c>
      <c r="K286" t="n">
        <v>0</v>
      </c>
      <c r="L286" t="n">
        <v>0</v>
      </c>
      <c r="M286" t="n">
        <v>0</v>
      </c>
      <c r="N286" t="n">
        <v>0</v>
      </c>
      <c r="O286" t="n">
        <v>0</v>
      </c>
      <c r="P286" t="n">
        <v>0</v>
      </c>
      <c r="Q286" t="n">
        <v>0</v>
      </c>
      <c r="R286" s="2" t="inlineStr"/>
    </row>
    <row r="287" ht="15" customHeight="1">
      <c r="A287" t="inlineStr">
        <is>
          <t>A 24784-2020</t>
        </is>
      </c>
      <c r="B287" s="1" t="n">
        <v>43978</v>
      </c>
      <c r="C287" s="1" t="n">
        <v>45509</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24782-2020</t>
        </is>
      </c>
      <c r="B288" s="1" t="n">
        <v>43978</v>
      </c>
      <c r="C288" s="1" t="n">
        <v>45509</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25761-2020</t>
        </is>
      </c>
      <c r="B289" s="1" t="n">
        <v>43984</v>
      </c>
      <c r="C289" s="1" t="n">
        <v>45509</v>
      </c>
      <c r="D289" t="inlineStr">
        <is>
          <t>KALMAR LÄN</t>
        </is>
      </c>
      <c r="E289" t="inlineStr">
        <is>
          <t>VIMMERBY</t>
        </is>
      </c>
      <c r="G289" t="n">
        <v>2.3</v>
      </c>
      <c r="H289" t="n">
        <v>0</v>
      </c>
      <c r="I289" t="n">
        <v>0</v>
      </c>
      <c r="J289" t="n">
        <v>0</v>
      </c>
      <c r="K289" t="n">
        <v>0</v>
      </c>
      <c r="L289" t="n">
        <v>0</v>
      </c>
      <c r="M289" t="n">
        <v>0</v>
      </c>
      <c r="N289" t="n">
        <v>0</v>
      </c>
      <c r="O289" t="n">
        <v>0</v>
      </c>
      <c r="P289" t="n">
        <v>0</v>
      </c>
      <c r="Q289" t="n">
        <v>0</v>
      </c>
      <c r="R289" s="2" t="inlineStr"/>
    </row>
    <row r="290" ht="15" customHeight="1">
      <c r="A290" t="inlineStr">
        <is>
          <t>A 26723-2020</t>
        </is>
      </c>
      <c r="B290" s="1" t="n">
        <v>43990</v>
      </c>
      <c r="C290" s="1" t="n">
        <v>45509</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27104-2020</t>
        </is>
      </c>
      <c r="B291" s="1" t="n">
        <v>43991</v>
      </c>
      <c r="C291" s="1" t="n">
        <v>45509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27212-2020</t>
        </is>
      </c>
      <c r="B292" s="1" t="n">
        <v>43992</v>
      </c>
      <c r="C292" s="1" t="n">
        <v>45509</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27316-2020</t>
        </is>
      </c>
      <c r="B293" s="1" t="n">
        <v>43992</v>
      </c>
      <c r="C293" s="1" t="n">
        <v>45509</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27214-2020</t>
        </is>
      </c>
      <c r="B294" s="1" t="n">
        <v>43992</v>
      </c>
      <c r="C294" s="1" t="n">
        <v>45509</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27213-2020</t>
        </is>
      </c>
      <c r="B295" s="1" t="n">
        <v>43992</v>
      </c>
      <c r="C295" s="1" t="n">
        <v>45509</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27236-2020</t>
        </is>
      </c>
      <c r="B296" s="1" t="n">
        <v>43992</v>
      </c>
      <c r="C296" s="1" t="n">
        <v>45509</v>
      </c>
      <c r="D296" t="inlineStr">
        <is>
          <t>KALMAR LÄN</t>
        </is>
      </c>
      <c r="E296" t="inlineStr">
        <is>
          <t>VIMMERBY</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28853-2020</t>
        </is>
      </c>
      <c r="B297" s="1" t="n">
        <v>44000</v>
      </c>
      <c r="C297" s="1" t="n">
        <v>45509</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28885-2020</t>
        </is>
      </c>
      <c r="B298" s="1" t="n">
        <v>44000</v>
      </c>
      <c r="C298" s="1" t="n">
        <v>45509</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28969-2020</t>
        </is>
      </c>
      <c r="B299" s="1" t="n">
        <v>44000</v>
      </c>
      <c r="C299" s="1" t="n">
        <v>45509</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29235-2020</t>
        </is>
      </c>
      <c r="B300" s="1" t="n">
        <v>44004</v>
      </c>
      <c r="C300" s="1" t="n">
        <v>45509</v>
      </c>
      <c r="D300" t="inlineStr">
        <is>
          <t>KALMAR LÄN</t>
        </is>
      </c>
      <c r="E300" t="inlineStr">
        <is>
          <t>VIMMERBY</t>
        </is>
      </c>
      <c r="G300" t="n">
        <v>3</v>
      </c>
      <c r="H300" t="n">
        <v>0</v>
      </c>
      <c r="I300" t="n">
        <v>0</v>
      </c>
      <c r="J300" t="n">
        <v>0</v>
      </c>
      <c r="K300" t="n">
        <v>0</v>
      </c>
      <c r="L300" t="n">
        <v>0</v>
      </c>
      <c r="M300" t="n">
        <v>0</v>
      </c>
      <c r="N300" t="n">
        <v>0</v>
      </c>
      <c r="O300" t="n">
        <v>0</v>
      </c>
      <c r="P300" t="n">
        <v>0</v>
      </c>
      <c r="Q300" t="n">
        <v>0</v>
      </c>
      <c r="R300" s="2" t="inlineStr"/>
    </row>
    <row r="301" ht="15" customHeight="1">
      <c r="A301" t="inlineStr">
        <is>
          <t>A 29913-2020</t>
        </is>
      </c>
      <c r="B301" s="1" t="n">
        <v>44006</v>
      </c>
      <c r="C301" s="1" t="n">
        <v>45509</v>
      </c>
      <c r="D301" t="inlineStr">
        <is>
          <t>KALMAR LÄN</t>
        </is>
      </c>
      <c r="E301" t="inlineStr">
        <is>
          <t>VIMMERBY</t>
        </is>
      </c>
      <c r="F301" t="inlineStr">
        <is>
          <t>Kommuner</t>
        </is>
      </c>
      <c r="G301" t="n">
        <v>3.8</v>
      </c>
      <c r="H301" t="n">
        <v>0</v>
      </c>
      <c r="I301" t="n">
        <v>0</v>
      </c>
      <c r="J301" t="n">
        <v>0</v>
      </c>
      <c r="K301" t="n">
        <v>0</v>
      </c>
      <c r="L301" t="n">
        <v>0</v>
      </c>
      <c r="M301" t="n">
        <v>0</v>
      </c>
      <c r="N301" t="n">
        <v>0</v>
      </c>
      <c r="O301" t="n">
        <v>0</v>
      </c>
      <c r="P301" t="n">
        <v>0</v>
      </c>
      <c r="Q301" t="n">
        <v>0</v>
      </c>
      <c r="R301" s="2" t="inlineStr"/>
    </row>
    <row r="302" ht="15" customHeight="1">
      <c r="A302" t="inlineStr">
        <is>
          <t>A 29918-2020</t>
        </is>
      </c>
      <c r="B302" s="1" t="n">
        <v>44006</v>
      </c>
      <c r="C302" s="1" t="n">
        <v>45509</v>
      </c>
      <c r="D302" t="inlineStr">
        <is>
          <t>KALMAR LÄN</t>
        </is>
      </c>
      <c r="E302" t="inlineStr">
        <is>
          <t>VIMMERBY</t>
        </is>
      </c>
      <c r="F302" t="inlineStr">
        <is>
          <t>Kommuner</t>
        </is>
      </c>
      <c r="G302" t="n">
        <v>2.5</v>
      </c>
      <c r="H302" t="n">
        <v>0</v>
      </c>
      <c r="I302" t="n">
        <v>0</v>
      </c>
      <c r="J302" t="n">
        <v>0</v>
      </c>
      <c r="K302" t="n">
        <v>0</v>
      </c>
      <c r="L302" t="n">
        <v>0</v>
      </c>
      <c r="M302" t="n">
        <v>0</v>
      </c>
      <c r="N302" t="n">
        <v>0</v>
      </c>
      <c r="O302" t="n">
        <v>0</v>
      </c>
      <c r="P302" t="n">
        <v>0</v>
      </c>
      <c r="Q302" t="n">
        <v>0</v>
      </c>
      <c r="R302" s="2" t="inlineStr"/>
    </row>
    <row r="303" ht="15" customHeight="1">
      <c r="A303" t="inlineStr">
        <is>
          <t>A 29979-2020</t>
        </is>
      </c>
      <c r="B303" s="1" t="n">
        <v>44006</v>
      </c>
      <c r="C303" s="1" t="n">
        <v>45509</v>
      </c>
      <c r="D303" t="inlineStr">
        <is>
          <t>KALMAR LÄN</t>
        </is>
      </c>
      <c r="E303" t="inlineStr">
        <is>
          <t>VIMMERBY</t>
        </is>
      </c>
      <c r="F303" t="inlineStr">
        <is>
          <t>Kommuner</t>
        </is>
      </c>
      <c r="G303" t="n">
        <v>1.4</v>
      </c>
      <c r="H303" t="n">
        <v>0</v>
      </c>
      <c r="I303" t="n">
        <v>0</v>
      </c>
      <c r="J303" t="n">
        <v>0</v>
      </c>
      <c r="K303" t="n">
        <v>0</v>
      </c>
      <c r="L303" t="n">
        <v>0</v>
      </c>
      <c r="M303" t="n">
        <v>0</v>
      </c>
      <c r="N303" t="n">
        <v>0</v>
      </c>
      <c r="O303" t="n">
        <v>0</v>
      </c>
      <c r="P303" t="n">
        <v>0</v>
      </c>
      <c r="Q303" t="n">
        <v>0</v>
      </c>
      <c r="R303" s="2" t="inlineStr"/>
    </row>
    <row r="304" ht="15" customHeight="1">
      <c r="A304" t="inlineStr">
        <is>
          <t>A 29935-2020</t>
        </is>
      </c>
      <c r="B304" s="1" t="n">
        <v>44006</v>
      </c>
      <c r="C304" s="1" t="n">
        <v>45509</v>
      </c>
      <c r="D304" t="inlineStr">
        <is>
          <t>KALMAR LÄN</t>
        </is>
      </c>
      <c r="E304" t="inlineStr">
        <is>
          <t>VIMMERBY</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30206-2020</t>
        </is>
      </c>
      <c r="B305" s="1" t="n">
        <v>44007</v>
      </c>
      <c r="C305" s="1" t="n">
        <v>45509</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31289-2020</t>
        </is>
      </c>
      <c r="B306" s="1" t="n">
        <v>44012</v>
      </c>
      <c r="C306" s="1" t="n">
        <v>45509</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33159-2020</t>
        </is>
      </c>
      <c r="B307" s="1" t="n">
        <v>44021</v>
      </c>
      <c r="C307" s="1" t="n">
        <v>45509</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33279-2020</t>
        </is>
      </c>
      <c r="B308" s="1" t="n">
        <v>44022</v>
      </c>
      <c r="C308" s="1" t="n">
        <v>45509</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33856-2020</t>
        </is>
      </c>
      <c r="B309" s="1" t="n">
        <v>44027</v>
      </c>
      <c r="C309" s="1" t="n">
        <v>45509</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34350-2020</t>
        </is>
      </c>
      <c r="B310" s="1" t="n">
        <v>44028</v>
      </c>
      <c r="C310" s="1" t="n">
        <v>45509</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34345-2020</t>
        </is>
      </c>
      <c r="B311" s="1" t="n">
        <v>44028</v>
      </c>
      <c r="C311" s="1" t="n">
        <v>45509</v>
      </c>
      <c r="D311" t="inlineStr">
        <is>
          <t>KALMAR LÄN</t>
        </is>
      </c>
      <c r="E311" t="inlineStr">
        <is>
          <t>VIMMERBY</t>
        </is>
      </c>
      <c r="G311" t="n">
        <v>5.1</v>
      </c>
      <c r="H311" t="n">
        <v>0</v>
      </c>
      <c r="I311" t="n">
        <v>0</v>
      </c>
      <c r="J311" t="n">
        <v>0</v>
      </c>
      <c r="K311" t="n">
        <v>0</v>
      </c>
      <c r="L311" t="n">
        <v>0</v>
      </c>
      <c r="M311" t="n">
        <v>0</v>
      </c>
      <c r="N311" t="n">
        <v>0</v>
      </c>
      <c r="O311" t="n">
        <v>0</v>
      </c>
      <c r="P311" t="n">
        <v>0</v>
      </c>
      <c r="Q311" t="n">
        <v>0</v>
      </c>
      <c r="R311" s="2" t="inlineStr"/>
    </row>
    <row r="312" ht="15" customHeight="1">
      <c r="A312" t="inlineStr">
        <is>
          <t>A 34719-2020</t>
        </is>
      </c>
      <c r="B312" s="1" t="n">
        <v>44035</v>
      </c>
      <c r="C312" s="1" t="n">
        <v>45509</v>
      </c>
      <c r="D312" t="inlineStr">
        <is>
          <t>KALMAR LÄN</t>
        </is>
      </c>
      <c r="E312" t="inlineStr">
        <is>
          <t>VIMMERBY</t>
        </is>
      </c>
      <c r="G312" t="n">
        <v>3.5</v>
      </c>
      <c r="H312" t="n">
        <v>0</v>
      </c>
      <c r="I312" t="n">
        <v>0</v>
      </c>
      <c r="J312" t="n">
        <v>0</v>
      </c>
      <c r="K312" t="n">
        <v>0</v>
      </c>
      <c r="L312" t="n">
        <v>0</v>
      </c>
      <c r="M312" t="n">
        <v>0</v>
      </c>
      <c r="N312" t="n">
        <v>0</v>
      </c>
      <c r="O312" t="n">
        <v>0</v>
      </c>
      <c r="P312" t="n">
        <v>0</v>
      </c>
      <c r="Q312" t="n">
        <v>0</v>
      </c>
      <c r="R312" s="2" t="inlineStr"/>
    </row>
    <row r="313" ht="15" customHeight="1">
      <c r="A313" t="inlineStr">
        <is>
          <t>A 34907-2020</t>
        </is>
      </c>
      <c r="B313" s="1" t="n">
        <v>44036</v>
      </c>
      <c r="C313" s="1" t="n">
        <v>45509</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35350-2020</t>
        </is>
      </c>
      <c r="B314" s="1" t="n">
        <v>44041</v>
      </c>
      <c r="C314" s="1" t="n">
        <v>45509</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35886-2020</t>
        </is>
      </c>
      <c r="B315" s="1" t="n">
        <v>44047</v>
      </c>
      <c r="C315" s="1" t="n">
        <v>45509</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36085-2020</t>
        </is>
      </c>
      <c r="B316" s="1" t="n">
        <v>44048</v>
      </c>
      <c r="C316" s="1" t="n">
        <v>45509</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36161-2020</t>
        </is>
      </c>
      <c r="B317" s="1" t="n">
        <v>44048</v>
      </c>
      <c r="C317" s="1" t="n">
        <v>45509</v>
      </c>
      <c r="D317" t="inlineStr">
        <is>
          <t>KALMAR LÄN</t>
        </is>
      </c>
      <c r="E317" t="inlineStr">
        <is>
          <t>VIMMERBY</t>
        </is>
      </c>
      <c r="G317" t="n">
        <v>12.5</v>
      </c>
      <c r="H317" t="n">
        <v>0</v>
      </c>
      <c r="I317" t="n">
        <v>0</v>
      </c>
      <c r="J317" t="n">
        <v>0</v>
      </c>
      <c r="K317" t="n">
        <v>0</v>
      </c>
      <c r="L317" t="n">
        <v>0</v>
      </c>
      <c r="M317" t="n">
        <v>0</v>
      </c>
      <c r="N317" t="n">
        <v>0</v>
      </c>
      <c r="O317" t="n">
        <v>0</v>
      </c>
      <c r="P317" t="n">
        <v>0</v>
      </c>
      <c r="Q317" t="n">
        <v>0</v>
      </c>
      <c r="R317" s="2" t="inlineStr"/>
    </row>
    <row r="318" ht="15" customHeight="1">
      <c r="A318" t="inlineStr">
        <is>
          <t>A 37104-2020</t>
        </is>
      </c>
      <c r="B318" s="1" t="n">
        <v>44054</v>
      </c>
      <c r="C318" s="1" t="n">
        <v>45509</v>
      </c>
      <c r="D318" t="inlineStr">
        <is>
          <t>KALMAR LÄN</t>
        </is>
      </c>
      <c r="E318" t="inlineStr">
        <is>
          <t>VIMMERBY</t>
        </is>
      </c>
      <c r="G318" t="n">
        <v>2.8</v>
      </c>
      <c r="H318" t="n">
        <v>0</v>
      </c>
      <c r="I318" t="n">
        <v>0</v>
      </c>
      <c r="J318" t="n">
        <v>0</v>
      </c>
      <c r="K318" t="n">
        <v>0</v>
      </c>
      <c r="L318" t="n">
        <v>0</v>
      </c>
      <c r="M318" t="n">
        <v>0</v>
      </c>
      <c r="N318" t="n">
        <v>0</v>
      </c>
      <c r="O318" t="n">
        <v>0</v>
      </c>
      <c r="P318" t="n">
        <v>0</v>
      </c>
      <c r="Q318" t="n">
        <v>0</v>
      </c>
      <c r="R318" s="2" t="inlineStr"/>
    </row>
    <row r="319" ht="15" customHeight="1">
      <c r="A319" t="inlineStr">
        <is>
          <t>A 37201-2020</t>
        </is>
      </c>
      <c r="B319" s="1" t="n">
        <v>44054</v>
      </c>
      <c r="C319" s="1" t="n">
        <v>45509</v>
      </c>
      <c r="D319" t="inlineStr">
        <is>
          <t>KALMAR LÄN</t>
        </is>
      </c>
      <c r="E319" t="inlineStr">
        <is>
          <t>VIMMERBY</t>
        </is>
      </c>
      <c r="G319" t="n">
        <v>3.6</v>
      </c>
      <c r="H319" t="n">
        <v>0</v>
      </c>
      <c r="I319" t="n">
        <v>0</v>
      </c>
      <c r="J319" t="n">
        <v>0</v>
      </c>
      <c r="K319" t="n">
        <v>0</v>
      </c>
      <c r="L319" t="n">
        <v>0</v>
      </c>
      <c r="M319" t="n">
        <v>0</v>
      </c>
      <c r="N319" t="n">
        <v>0</v>
      </c>
      <c r="O319" t="n">
        <v>0</v>
      </c>
      <c r="P319" t="n">
        <v>0</v>
      </c>
      <c r="Q319" t="n">
        <v>0</v>
      </c>
      <c r="R319" s="2" t="inlineStr"/>
    </row>
    <row r="320" ht="15" customHeight="1">
      <c r="A320" t="inlineStr">
        <is>
          <t>A 37078-2020</t>
        </is>
      </c>
      <c r="B320" s="1" t="n">
        <v>44054</v>
      </c>
      <c r="C320" s="1" t="n">
        <v>45509</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37362-2020</t>
        </is>
      </c>
      <c r="B321" s="1" t="n">
        <v>44055</v>
      </c>
      <c r="C321" s="1" t="n">
        <v>45509</v>
      </c>
      <c r="D321" t="inlineStr">
        <is>
          <t>KALMAR LÄN</t>
        </is>
      </c>
      <c r="E321" t="inlineStr">
        <is>
          <t>VIMMERBY</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37813-2020</t>
        </is>
      </c>
      <c r="B322" s="1" t="n">
        <v>44057</v>
      </c>
      <c r="C322" s="1" t="n">
        <v>45509</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37973-2020</t>
        </is>
      </c>
      <c r="B323" s="1" t="n">
        <v>44057</v>
      </c>
      <c r="C323" s="1" t="n">
        <v>45509</v>
      </c>
      <c r="D323" t="inlineStr">
        <is>
          <t>KALMAR LÄN</t>
        </is>
      </c>
      <c r="E323" t="inlineStr">
        <is>
          <t>VIMMERBY</t>
        </is>
      </c>
      <c r="G323" t="n">
        <v>2.4</v>
      </c>
      <c r="H323" t="n">
        <v>0</v>
      </c>
      <c r="I323" t="n">
        <v>0</v>
      </c>
      <c r="J323" t="n">
        <v>0</v>
      </c>
      <c r="K323" t="n">
        <v>0</v>
      </c>
      <c r="L323" t="n">
        <v>0</v>
      </c>
      <c r="M323" t="n">
        <v>0</v>
      </c>
      <c r="N323" t="n">
        <v>0</v>
      </c>
      <c r="O323" t="n">
        <v>0</v>
      </c>
      <c r="P323" t="n">
        <v>0</v>
      </c>
      <c r="Q323" t="n">
        <v>0</v>
      </c>
      <c r="R323" s="2" t="inlineStr"/>
    </row>
    <row r="324" ht="15" customHeight="1">
      <c r="A324" t="inlineStr">
        <is>
          <t>A 38153-2020</t>
        </is>
      </c>
      <c r="B324" s="1" t="n">
        <v>44060</v>
      </c>
      <c r="C324" s="1" t="n">
        <v>45509</v>
      </c>
      <c r="D324" t="inlineStr">
        <is>
          <t>KALMAR LÄN</t>
        </is>
      </c>
      <c r="E324" t="inlineStr">
        <is>
          <t>VIMMERBY</t>
        </is>
      </c>
      <c r="G324" t="n">
        <v>6</v>
      </c>
      <c r="H324" t="n">
        <v>0</v>
      </c>
      <c r="I324" t="n">
        <v>0</v>
      </c>
      <c r="J324" t="n">
        <v>0</v>
      </c>
      <c r="K324" t="n">
        <v>0</v>
      </c>
      <c r="L324" t="n">
        <v>0</v>
      </c>
      <c r="M324" t="n">
        <v>0</v>
      </c>
      <c r="N324" t="n">
        <v>0</v>
      </c>
      <c r="O324" t="n">
        <v>0</v>
      </c>
      <c r="P324" t="n">
        <v>0</v>
      </c>
      <c r="Q324" t="n">
        <v>0</v>
      </c>
      <c r="R324" s="2" t="inlineStr"/>
    </row>
    <row r="325" ht="15" customHeight="1">
      <c r="A325" t="inlineStr">
        <is>
          <t>A 38397-2020</t>
        </is>
      </c>
      <c r="B325" s="1" t="n">
        <v>44060</v>
      </c>
      <c r="C325" s="1" t="n">
        <v>45509</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38530-2020</t>
        </is>
      </c>
      <c r="B326" s="1" t="n">
        <v>44061</v>
      </c>
      <c r="C326" s="1" t="n">
        <v>45509</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38710-2020</t>
        </is>
      </c>
      <c r="B327" s="1" t="n">
        <v>44061</v>
      </c>
      <c r="C327" s="1" t="n">
        <v>45509</v>
      </c>
      <c r="D327" t="inlineStr">
        <is>
          <t>KALMAR LÄN</t>
        </is>
      </c>
      <c r="E327" t="inlineStr">
        <is>
          <t>VIMMERBY</t>
        </is>
      </c>
      <c r="G327" t="n">
        <v>2.2</v>
      </c>
      <c r="H327" t="n">
        <v>0</v>
      </c>
      <c r="I327" t="n">
        <v>0</v>
      </c>
      <c r="J327" t="n">
        <v>0</v>
      </c>
      <c r="K327" t="n">
        <v>0</v>
      </c>
      <c r="L327" t="n">
        <v>0</v>
      </c>
      <c r="M327" t="n">
        <v>0</v>
      </c>
      <c r="N327" t="n">
        <v>0</v>
      </c>
      <c r="O327" t="n">
        <v>0</v>
      </c>
      <c r="P327" t="n">
        <v>0</v>
      </c>
      <c r="Q327" t="n">
        <v>0</v>
      </c>
      <c r="R327" s="2" t="inlineStr"/>
    </row>
    <row r="328" ht="15" customHeight="1">
      <c r="A328" t="inlineStr">
        <is>
          <t>A 38844-2020</t>
        </is>
      </c>
      <c r="B328" s="1" t="n">
        <v>44062</v>
      </c>
      <c r="C328" s="1" t="n">
        <v>45509</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39191-2020</t>
        </is>
      </c>
      <c r="B329" s="1" t="n">
        <v>44063</v>
      </c>
      <c r="C329" s="1" t="n">
        <v>45509</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39251-2020</t>
        </is>
      </c>
      <c r="B330" s="1" t="n">
        <v>44063</v>
      </c>
      <c r="C330" s="1" t="n">
        <v>45509</v>
      </c>
      <c r="D330" t="inlineStr">
        <is>
          <t>KALMAR LÄN</t>
        </is>
      </c>
      <c r="E330" t="inlineStr">
        <is>
          <t>VIMMERBY</t>
        </is>
      </c>
      <c r="G330" t="n">
        <v>6.1</v>
      </c>
      <c r="H330" t="n">
        <v>0</v>
      </c>
      <c r="I330" t="n">
        <v>0</v>
      </c>
      <c r="J330" t="n">
        <v>0</v>
      </c>
      <c r="K330" t="n">
        <v>0</v>
      </c>
      <c r="L330" t="n">
        <v>0</v>
      </c>
      <c r="M330" t="n">
        <v>0</v>
      </c>
      <c r="N330" t="n">
        <v>0</v>
      </c>
      <c r="O330" t="n">
        <v>0</v>
      </c>
      <c r="P330" t="n">
        <v>0</v>
      </c>
      <c r="Q330" t="n">
        <v>0</v>
      </c>
      <c r="R330" s="2" t="inlineStr"/>
    </row>
    <row r="331" ht="15" customHeight="1">
      <c r="A331" t="inlineStr">
        <is>
          <t>A 39125-2020</t>
        </is>
      </c>
      <c r="B331" s="1" t="n">
        <v>44063</v>
      </c>
      <c r="C331" s="1" t="n">
        <v>45509</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39300-2020</t>
        </is>
      </c>
      <c r="B332" s="1" t="n">
        <v>44063</v>
      </c>
      <c r="C332" s="1" t="n">
        <v>45509</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39288-2020</t>
        </is>
      </c>
      <c r="B333" s="1" t="n">
        <v>44063</v>
      </c>
      <c r="C333" s="1" t="n">
        <v>45509</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39508-2020</t>
        </is>
      </c>
      <c r="B334" s="1" t="n">
        <v>44064</v>
      </c>
      <c r="C334" s="1" t="n">
        <v>45509</v>
      </c>
      <c r="D334" t="inlineStr">
        <is>
          <t>KALMAR LÄN</t>
        </is>
      </c>
      <c r="E334" t="inlineStr">
        <is>
          <t>VIMMERBY</t>
        </is>
      </c>
      <c r="G334" t="n">
        <v>4.7</v>
      </c>
      <c r="H334" t="n">
        <v>0</v>
      </c>
      <c r="I334" t="n">
        <v>0</v>
      </c>
      <c r="J334" t="n">
        <v>0</v>
      </c>
      <c r="K334" t="n">
        <v>0</v>
      </c>
      <c r="L334" t="n">
        <v>0</v>
      </c>
      <c r="M334" t="n">
        <v>0</v>
      </c>
      <c r="N334" t="n">
        <v>0</v>
      </c>
      <c r="O334" t="n">
        <v>0</v>
      </c>
      <c r="P334" t="n">
        <v>0</v>
      </c>
      <c r="Q334" t="n">
        <v>0</v>
      </c>
      <c r="R334" s="2" t="inlineStr"/>
    </row>
    <row r="335" ht="15" customHeight="1">
      <c r="A335" t="inlineStr">
        <is>
          <t>A 39769-2020</t>
        </is>
      </c>
      <c r="B335" s="1" t="n">
        <v>44064</v>
      </c>
      <c r="C335" s="1" t="n">
        <v>45509</v>
      </c>
      <c r="D335" t="inlineStr">
        <is>
          <t>KALMAR LÄN</t>
        </is>
      </c>
      <c r="E335" t="inlineStr">
        <is>
          <t>VIMMERBY</t>
        </is>
      </c>
      <c r="G335" t="n">
        <v>24.6</v>
      </c>
      <c r="H335" t="n">
        <v>0</v>
      </c>
      <c r="I335" t="n">
        <v>0</v>
      </c>
      <c r="J335" t="n">
        <v>0</v>
      </c>
      <c r="K335" t="n">
        <v>0</v>
      </c>
      <c r="L335" t="n">
        <v>0</v>
      </c>
      <c r="M335" t="n">
        <v>0</v>
      </c>
      <c r="N335" t="n">
        <v>0</v>
      </c>
      <c r="O335" t="n">
        <v>0</v>
      </c>
      <c r="P335" t="n">
        <v>0</v>
      </c>
      <c r="Q335" t="n">
        <v>0</v>
      </c>
      <c r="R335" s="2" t="inlineStr"/>
    </row>
    <row r="336" ht="15" customHeight="1">
      <c r="A336" t="inlineStr">
        <is>
          <t>A 40239-2020</t>
        </is>
      </c>
      <c r="B336" s="1" t="n">
        <v>44068</v>
      </c>
      <c r="C336" s="1" t="n">
        <v>45509</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40766-2020</t>
        </is>
      </c>
      <c r="B337" s="1" t="n">
        <v>44070</v>
      </c>
      <c r="C337" s="1" t="n">
        <v>45509</v>
      </c>
      <c r="D337" t="inlineStr">
        <is>
          <t>KALMAR LÄN</t>
        </is>
      </c>
      <c r="E337" t="inlineStr">
        <is>
          <t>VIMMERBY</t>
        </is>
      </c>
      <c r="G337" t="n">
        <v>4.2</v>
      </c>
      <c r="H337" t="n">
        <v>0</v>
      </c>
      <c r="I337" t="n">
        <v>0</v>
      </c>
      <c r="J337" t="n">
        <v>0</v>
      </c>
      <c r="K337" t="n">
        <v>0</v>
      </c>
      <c r="L337" t="n">
        <v>0</v>
      </c>
      <c r="M337" t="n">
        <v>0</v>
      </c>
      <c r="N337" t="n">
        <v>0</v>
      </c>
      <c r="O337" t="n">
        <v>0</v>
      </c>
      <c r="P337" t="n">
        <v>0</v>
      </c>
      <c r="Q337" t="n">
        <v>0</v>
      </c>
      <c r="R337" s="2" t="inlineStr"/>
    </row>
    <row r="338" ht="15" customHeight="1">
      <c r="A338" t="inlineStr">
        <is>
          <t>A 40890-2020</t>
        </is>
      </c>
      <c r="B338" s="1" t="n">
        <v>44070</v>
      </c>
      <c r="C338" s="1" t="n">
        <v>45509</v>
      </c>
      <c r="D338" t="inlineStr">
        <is>
          <t>KALMAR LÄN</t>
        </is>
      </c>
      <c r="E338" t="inlineStr">
        <is>
          <t>VIMMERBY</t>
        </is>
      </c>
      <c r="G338" t="n">
        <v>1.6</v>
      </c>
      <c r="H338" t="n">
        <v>0</v>
      </c>
      <c r="I338" t="n">
        <v>0</v>
      </c>
      <c r="J338" t="n">
        <v>0</v>
      </c>
      <c r="K338" t="n">
        <v>0</v>
      </c>
      <c r="L338" t="n">
        <v>0</v>
      </c>
      <c r="M338" t="n">
        <v>0</v>
      </c>
      <c r="N338" t="n">
        <v>0</v>
      </c>
      <c r="O338" t="n">
        <v>0</v>
      </c>
      <c r="P338" t="n">
        <v>0</v>
      </c>
      <c r="Q338" t="n">
        <v>0</v>
      </c>
      <c r="R338" s="2" t="inlineStr"/>
    </row>
    <row r="339" ht="15" customHeight="1">
      <c r="A339" t="inlineStr">
        <is>
          <t>A 40812-2020</t>
        </is>
      </c>
      <c r="B339" s="1" t="n">
        <v>44070</v>
      </c>
      <c r="C339" s="1" t="n">
        <v>45509</v>
      </c>
      <c r="D339" t="inlineStr">
        <is>
          <t>KALMAR LÄN</t>
        </is>
      </c>
      <c r="E339" t="inlineStr">
        <is>
          <t>VIMMERBY</t>
        </is>
      </c>
      <c r="G339" t="n">
        <v>4.9</v>
      </c>
      <c r="H339" t="n">
        <v>0</v>
      </c>
      <c r="I339" t="n">
        <v>0</v>
      </c>
      <c r="J339" t="n">
        <v>0</v>
      </c>
      <c r="K339" t="n">
        <v>0</v>
      </c>
      <c r="L339" t="n">
        <v>0</v>
      </c>
      <c r="M339" t="n">
        <v>0</v>
      </c>
      <c r="N339" t="n">
        <v>0</v>
      </c>
      <c r="O339" t="n">
        <v>0</v>
      </c>
      <c r="P339" t="n">
        <v>0</v>
      </c>
      <c r="Q339" t="n">
        <v>0</v>
      </c>
      <c r="R339" s="2" t="inlineStr"/>
    </row>
    <row r="340" ht="15" customHeight="1">
      <c r="A340" t="inlineStr">
        <is>
          <t>A 40889-2020</t>
        </is>
      </c>
      <c r="B340" s="1" t="n">
        <v>44070</v>
      </c>
      <c r="C340" s="1" t="n">
        <v>45509</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40818-2020</t>
        </is>
      </c>
      <c r="B341" s="1" t="n">
        <v>44070</v>
      </c>
      <c r="C341" s="1" t="n">
        <v>45509</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40808-2020</t>
        </is>
      </c>
      <c r="B342" s="1" t="n">
        <v>44070</v>
      </c>
      <c r="C342" s="1" t="n">
        <v>45509</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42067-2020</t>
        </is>
      </c>
      <c r="B343" s="1" t="n">
        <v>44075</v>
      </c>
      <c r="C343" s="1" t="n">
        <v>45509</v>
      </c>
      <c r="D343" t="inlineStr">
        <is>
          <t>KALMAR LÄN</t>
        </is>
      </c>
      <c r="E343" t="inlineStr">
        <is>
          <t>VIMMERBY</t>
        </is>
      </c>
      <c r="G343" t="n">
        <v>1.9</v>
      </c>
      <c r="H343" t="n">
        <v>0</v>
      </c>
      <c r="I343" t="n">
        <v>0</v>
      </c>
      <c r="J343" t="n">
        <v>0</v>
      </c>
      <c r="K343" t="n">
        <v>0</v>
      </c>
      <c r="L343" t="n">
        <v>0</v>
      </c>
      <c r="M343" t="n">
        <v>0</v>
      </c>
      <c r="N343" t="n">
        <v>0</v>
      </c>
      <c r="O343" t="n">
        <v>0</v>
      </c>
      <c r="P343" t="n">
        <v>0</v>
      </c>
      <c r="Q343" t="n">
        <v>0</v>
      </c>
      <c r="R343" s="2" t="inlineStr"/>
    </row>
    <row r="344" ht="15" customHeight="1">
      <c r="A344" t="inlineStr">
        <is>
          <t>A 42494-2020</t>
        </is>
      </c>
      <c r="B344" s="1" t="n">
        <v>44077</v>
      </c>
      <c r="C344" s="1" t="n">
        <v>45509</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44000-2020</t>
        </is>
      </c>
      <c r="B345" s="1" t="n">
        <v>44083</v>
      </c>
      <c r="C345" s="1" t="n">
        <v>45509</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43998-2020</t>
        </is>
      </c>
      <c r="B346" s="1" t="n">
        <v>44083</v>
      </c>
      <c r="C346" s="1" t="n">
        <v>45509</v>
      </c>
      <c r="D346" t="inlineStr">
        <is>
          <t>KALMAR LÄN</t>
        </is>
      </c>
      <c r="E346" t="inlineStr">
        <is>
          <t>VIMMERBY</t>
        </is>
      </c>
      <c r="G346" t="n">
        <v>0.7</v>
      </c>
      <c r="H346" t="n">
        <v>0</v>
      </c>
      <c r="I346" t="n">
        <v>0</v>
      </c>
      <c r="J346" t="n">
        <v>0</v>
      </c>
      <c r="K346" t="n">
        <v>0</v>
      </c>
      <c r="L346" t="n">
        <v>0</v>
      </c>
      <c r="M346" t="n">
        <v>0</v>
      </c>
      <c r="N346" t="n">
        <v>0</v>
      </c>
      <c r="O346" t="n">
        <v>0</v>
      </c>
      <c r="P346" t="n">
        <v>0</v>
      </c>
      <c r="Q346" t="n">
        <v>0</v>
      </c>
      <c r="R346" s="2" t="inlineStr"/>
    </row>
    <row r="347" ht="15" customHeight="1">
      <c r="A347" t="inlineStr">
        <is>
          <t>A 44605-2020</t>
        </is>
      </c>
      <c r="B347" s="1" t="n">
        <v>44085</v>
      </c>
      <c r="C347" s="1" t="n">
        <v>45509</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45050-2020</t>
        </is>
      </c>
      <c r="B348" s="1" t="n">
        <v>44088</v>
      </c>
      <c r="C348" s="1" t="n">
        <v>45509</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45054-2020</t>
        </is>
      </c>
      <c r="B349" s="1" t="n">
        <v>44088</v>
      </c>
      <c r="C349" s="1" t="n">
        <v>45509</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45528-2020</t>
        </is>
      </c>
      <c r="B350" s="1" t="n">
        <v>44089</v>
      </c>
      <c r="C350" s="1" t="n">
        <v>45509</v>
      </c>
      <c r="D350" t="inlineStr">
        <is>
          <t>KALMAR LÄN</t>
        </is>
      </c>
      <c r="E350" t="inlineStr">
        <is>
          <t>VIMMERBY</t>
        </is>
      </c>
      <c r="G350" t="n">
        <v>3.8</v>
      </c>
      <c r="H350" t="n">
        <v>0</v>
      </c>
      <c r="I350" t="n">
        <v>0</v>
      </c>
      <c r="J350" t="n">
        <v>0</v>
      </c>
      <c r="K350" t="n">
        <v>0</v>
      </c>
      <c r="L350" t="n">
        <v>0</v>
      </c>
      <c r="M350" t="n">
        <v>0</v>
      </c>
      <c r="N350" t="n">
        <v>0</v>
      </c>
      <c r="O350" t="n">
        <v>0</v>
      </c>
      <c r="P350" t="n">
        <v>0</v>
      </c>
      <c r="Q350" t="n">
        <v>0</v>
      </c>
      <c r="R350" s="2" t="inlineStr"/>
    </row>
    <row r="351" ht="15" customHeight="1">
      <c r="A351" t="inlineStr">
        <is>
          <t>A 45678-2020</t>
        </is>
      </c>
      <c r="B351" s="1" t="n">
        <v>44090</v>
      </c>
      <c r="C351" s="1" t="n">
        <v>45509</v>
      </c>
      <c r="D351" t="inlineStr">
        <is>
          <t>KALMAR LÄN</t>
        </is>
      </c>
      <c r="E351" t="inlineStr">
        <is>
          <t>VIMMERBY</t>
        </is>
      </c>
      <c r="G351" t="n">
        <v>4.3</v>
      </c>
      <c r="H351" t="n">
        <v>0</v>
      </c>
      <c r="I351" t="n">
        <v>0</v>
      </c>
      <c r="J351" t="n">
        <v>0</v>
      </c>
      <c r="K351" t="n">
        <v>0</v>
      </c>
      <c r="L351" t="n">
        <v>0</v>
      </c>
      <c r="M351" t="n">
        <v>0</v>
      </c>
      <c r="N351" t="n">
        <v>0</v>
      </c>
      <c r="O351" t="n">
        <v>0</v>
      </c>
      <c r="P351" t="n">
        <v>0</v>
      </c>
      <c r="Q351" t="n">
        <v>0</v>
      </c>
      <c r="R351" s="2" t="inlineStr"/>
    </row>
    <row r="352" ht="15" customHeight="1">
      <c r="A352" t="inlineStr">
        <is>
          <t>A 46085-2020</t>
        </is>
      </c>
      <c r="B352" s="1" t="n">
        <v>44091</v>
      </c>
      <c r="C352" s="1" t="n">
        <v>45509</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46461-2020</t>
        </is>
      </c>
      <c r="B353" s="1" t="n">
        <v>44092</v>
      </c>
      <c r="C353" s="1" t="n">
        <v>45509</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46527-2020</t>
        </is>
      </c>
      <c r="B354" s="1" t="n">
        <v>44095</v>
      </c>
      <c r="C354" s="1" t="n">
        <v>45509</v>
      </c>
      <c r="D354" t="inlineStr">
        <is>
          <t>KALMAR LÄN</t>
        </is>
      </c>
      <c r="E354" t="inlineStr">
        <is>
          <t>VIMMERBY</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47295-2020</t>
        </is>
      </c>
      <c r="B355" s="1" t="n">
        <v>44097</v>
      </c>
      <c r="C355" s="1" t="n">
        <v>45509</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49059-2020</t>
        </is>
      </c>
      <c r="B356" s="1" t="n">
        <v>44102</v>
      </c>
      <c r="C356" s="1" t="n">
        <v>45509</v>
      </c>
      <c r="D356" t="inlineStr">
        <is>
          <t>KALMAR LÄN</t>
        </is>
      </c>
      <c r="E356" t="inlineStr">
        <is>
          <t>VIMMERBY</t>
        </is>
      </c>
      <c r="G356" t="n">
        <v>5.8</v>
      </c>
      <c r="H356" t="n">
        <v>0</v>
      </c>
      <c r="I356" t="n">
        <v>0</v>
      </c>
      <c r="J356" t="n">
        <v>0</v>
      </c>
      <c r="K356" t="n">
        <v>0</v>
      </c>
      <c r="L356" t="n">
        <v>0</v>
      </c>
      <c r="M356" t="n">
        <v>0</v>
      </c>
      <c r="N356" t="n">
        <v>0</v>
      </c>
      <c r="O356" t="n">
        <v>0</v>
      </c>
      <c r="P356" t="n">
        <v>0</v>
      </c>
      <c r="Q356" t="n">
        <v>0</v>
      </c>
      <c r="R356" s="2" t="inlineStr"/>
    </row>
    <row r="357" ht="15" customHeight="1">
      <c r="A357" t="inlineStr">
        <is>
          <t>A 48949-2020</t>
        </is>
      </c>
      <c r="B357" s="1" t="n">
        <v>44102</v>
      </c>
      <c r="C357" s="1" t="n">
        <v>45509</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49186-2020</t>
        </is>
      </c>
      <c r="B358" s="1" t="n">
        <v>44105</v>
      </c>
      <c r="C358" s="1" t="n">
        <v>45509</v>
      </c>
      <c r="D358" t="inlineStr">
        <is>
          <t>KALMAR LÄN</t>
        </is>
      </c>
      <c r="E358" t="inlineStr">
        <is>
          <t>VIMMERBY</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51571-2020</t>
        </is>
      </c>
      <c r="B359" s="1" t="n">
        <v>44109</v>
      </c>
      <c r="C359" s="1" t="n">
        <v>45509</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51569-2020</t>
        </is>
      </c>
      <c r="B360" s="1" t="n">
        <v>44109</v>
      </c>
      <c r="C360" s="1" t="n">
        <v>45509</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50764-2020</t>
        </is>
      </c>
      <c r="B361" s="1" t="n">
        <v>44111</v>
      </c>
      <c r="C361" s="1" t="n">
        <v>45509</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51977-2020</t>
        </is>
      </c>
      <c r="B362" s="1" t="n">
        <v>44116</v>
      </c>
      <c r="C362" s="1" t="n">
        <v>45509</v>
      </c>
      <c r="D362" t="inlineStr">
        <is>
          <t>KALMAR LÄN</t>
        </is>
      </c>
      <c r="E362" t="inlineStr">
        <is>
          <t>VIMMERBY</t>
        </is>
      </c>
      <c r="G362" t="n">
        <v>1.5</v>
      </c>
      <c r="H362" t="n">
        <v>0</v>
      </c>
      <c r="I362" t="n">
        <v>0</v>
      </c>
      <c r="J362" t="n">
        <v>0</v>
      </c>
      <c r="K362" t="n">
        <v>0</v>
      </c>
      <c r="L362" t="n">
        <v>0</v>
      </c>
      <c r="M362" t="n">
        <v>0</v>
      </c>
      <c r="N362" t="n">
        <v>0</v>
      </c>
      <c r="O362" t="n">
        <v>0</v>
      </c>
      <c r="P362" t="n">
        <v>0</v>
      </c>
      <c r="Q362" t="n">
        <v>0</v>
      </c>
      <c r="R362" s="2" t="inlineStr"/>
    </row>
    <row r="363" ht="15" customHeight="1">
      <c r="A363" t="inlineStr">
        <is>
          <t>A 52073-2020</t>
        </is>
      </c>
      <c r="B363" s="1" t="n">
        <v>44117</v>
      </c>
      <c r="C363" s="1" t="n">
        <v>45509</v>
      </c>
      <c r="D363" t="inlineStr">
        <is>
          <t>KALMAR LÄN</t>
        </is>
      </c>
      <c r="E363" t="inlineStr">
        <is>
          <t>VIMMERBY</t>
        </is>
      </c>
      <c r="G363" t="n">
        <v>2.3</v>
      </c>
      <c r="H363" t="n">
        <v>0</v>
      </c>
      <c r="I363" t="n">
        <v>0</v>
      </c>
      <c r="J363" t="n">
        <v>0</v>
      </c>
      <c r="K363" t="n">
        <v>0</v>
      </c>
      <c r="L363" t="n">
        <v>0</v>
      </c>
      <c r="M363" t="n">
        <v>0</v>
      </c>
      <c r="N363" t="n">
        <v>0</v>
      </c>
      <c r="O363" t="n">
        <v>0</v>
      </c>
      <c r="P363" t="n">
        <v>0</v>
      </c>
      <c r="Q363" t="n">
        <v>0</v>
      </c>
      <c r="R363" s="2" t="inlineStr"/>
    </row>
    <row r="364" ht="15" customHeight="1">
      <c r="A364" t="inlineStr">
        <is>
          <t>A 53100-2020</t>
        </is>
      </c>
      <c r="B364" s="1" t="n">
        <v>44120</v>
      </c>
      <c r="C364" s="1" t="n">
        <v>45509</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53387-2020</t>
        </is>
      </c>
      <c r="B365" s="1" t="n">
        <v>44123</v>
      </c>
      <c r="C365" s="1" t="n">
        <v>45509</v>
      </c>
      <c r="D365" t="inlineStr">
        <is>
          <t>KALMAR LÄN</t>
        </is>
      </c>
      <c r="E365" t="inlineStr">
        <is>
          <t>VIMMERBY</t>
        </is>
      </c>
      <c r="G365" t="n">
        <v>7.2</v>
      </c>
      <c r="H365" t="n">
        <v>0</v>
      </c>
      <c r="I365" t="n">
        <v>0</v>
      </c>
      <c r="J365" t="n">
        <v>0</v>
      </c>
      <c r="K365" t="n">
        <v>0</v>
      </c>
      <c r="L365" t="n">
        <v>0</v>
      </c>
      <c r="M365" t="n">
        <v>0</v>
      </c>
      <c r="N365" t="n">
        <v>0</v>
      </c>
      <c r="O365" t="n">
        <v>0</v>
      </c>
      <c r="P365" t="n">
        <v>0</v>
      </c>
      <c r="Q365" t="n">
        <v>0</v>
      </c>
      <c r="R365" s="2" t="inlineStr"/>
    </row>
    <row r="366" ht="15" customHeight="1">
      <c r="A366" t="inlineStr">
        <is>
          <t>A 53711-2020</t>
        </is>
      </c>
      <c r="B366" s="1" t="n">
        <v>44124</v>
      </c>
      <c r="C366" s="1" t="n">
        <v>45509</v>
      </c>
      <c r="D366" t="inlineStr">
        <is>
          <t>KALMAR LÄN</t>
        </is>
      </c>
      <c r="E366" t="inlineStr">
        <is>
          <t>VIMMERBY</t>
        </is>
      </c>
      <c r="G366" t="n">
        <v>1.4</v>
      </c>
      <c r="H366" t="n">
        <v>0</v>
      </c>
      <c r="I366" t="n">
        <v>0</v>
      </c>
      <c r="J366" t="n">
        <v>0</v>
      </c>
      <c r="K366" t="n">
        <v>0</v>
      </c>
      <c r="L366" t="n">
        <v>0</v>
      </c>
      <c r="M366" t="n">
        <v>0</v>
      </c>
      <c r="N366" t="n">
        <v>0</v>
      </c>
      <c r="O366" t="n">
        <v>0</v>
      </c>
      <c r="P366" t="n">
        <v>0</v>
      </c>
      <c r="Q366" t="n">
        <v>0</v>
      </c>
      <c r="R366" s="2" t="inlineStr"/>
    </row>
    <row r="367" ht="15" customHeight="1">
      <c r="A367" t="inlineStr">
        <is>
          <t>A 54917-2020</t>
        </is>
      </c>
      <c r="B367" s="1" t="n">
        <v>44127</v>
      </c>
      <c r="C367" s="1" t="n">
        <v>45509</v>
      </c>
      <c r="D367" t="inlineStr">
        <is>
          <t>KALMAR LÄN</t>
        </is>
      </c>
      <c r="E367" t="inlineStr">
        <is>
          <t>VIMMERBY</t>
        </is>
      </c>
      <c r="G367" t="n">
        <v>9.5</v>
      </c>
      <c r="H367" t="n">
        <v>0</v>
      </c>
      <c r="I367" t="n">
        <v>0</v>
      </c>
      <c r="J367" t="n">
        <v>0</v>
      </c>
      <c r="K367" t="n">
        <v>0</v>
      </c>
      <c r="L367" t="n">
        <v>0</v>
      </c>
      <c r="M367" t="n">
        <v>0</v>
      </c>
      <c r="N367" t="n">
        <v>0</v>
      </c>
      <c r="O367" t="n">
        <v>0</v>
      </c>
      <c r="P367" t="n">
        <v>0</v>
      </c>
      <c r="Q367" t="n">
        <v>0</v>
      </c>
      <c r="R367" s="2" t="inlineStr"/>
    </row>
    <row r="368" ht="15" customHeight="1">
      <c r="A368" t="inlineStr">
        <is>
          <t>A 55053-2020</t>
        </is>
      </c>
      <c r="B368" s="1" t="n">
        <v>44130</v>
      </c>
      <c r="C368" s="1" t="n">
        <v>45509</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57948-2020</t>
        </is>
      </c>
      <c r="B369" s="1" t="n">
        <v>44142</v>
      </c>
      <c r="C369" s="1" t="n">
        <v>45509</v>
      </c>
      <c r="D369" t="inlineStr">
        <is>
          <t>KALMAR LÄN</t>
        </is>
      </c>
      <c r="E369" t="inlineStr">
        <is>
          <t>VIMMERBY</t>
        </is>
      </c>
      <c r="G369" t="n">
        <v>7.1</v>
      </c>
      <c r="H369" t="n">
        <v>0</v>
      </c>
      <c r="I369" t="n">
        <v>0</v>
      </c>
      <c r="J369" t="n">
        <v>0</v>
      </c>
      <c r="K369" t="n">
        <v>0</v>
      </c>
      <c r="L369" t="n">
        <v>0</v>
      </c>
      <c r="M369" t="n">
        <v>0</v>
      </c>
      <c r="N369" t="n">
        <v>0</v>
      </c>
      <c r="O369" t="n">
        <v>0</v>
      </c>
      <c r="P369" t="n">
        <v>0</v>
      </c>
      <c r="Q369" t="n">
        <v>0</v>
      </c>
      <c r="R369" s="2" t="inlineStr"/>
    </row>
    <row r="370" ht="15" customHeight="1">
      <c r="A370" t="inlineStr">
        <is>
          <t>A 58026-2020</t>
        </is>
      </c>
      <c r="B370" s="1" t="n">
        <v>44144</v>
      </c>
      <c r="C370" s="1" t="n">
        <v>45509</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58145-2020</t>
        </is>
      </c>
      <c r="B371" s="1" t="n">
        <v>44144</v>
      </c>
      <c r="C371" s="1" t="n">
        <v>45509</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60810-2020</t>
        </is>
      </c>
      <c r="B372" s="1" t="n">
        <v>44154</v>
      </c>
      <c r="C372" s="1" t="n">
        <v>45509</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61878-2020</t>
        </is>
      </c>
      <c r="B373" s="1" t="n">
        <v>44159</v>
      </c>
      <c r="C373" s="1" t="n">
        <v>45509</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64707-2020</t>
        </is>
      </c>
      <c r="B374" s="1" t="n">
        <v>44169</v>
      </c>
      <c r="C374" s="1" t="n">
        <v>45509</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65049-2020</t>
        </is>
      </c>
      <c r="B375" s="1" t="n">
        <v>44172</v>
      </c>
      <c r="C375" s="1" t="n">
        <v>45509</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65564-2020</t>
        </is>
      </c>
      <c r="B376" s="1" t="n">
        <v>44172</v>
      </c>
      <c r="C376" s="1" t="n">
        <v>45509</v>
      </c>
      <c r="D376" t="inlineStr">
        <is>
          <t>KALMAR LÄN</t>
        </is>
      </c>
      <c r="E376" t="inlineStr">
        <is>
          <t>VIMMERBY</t>
        </is>
      </c>
      <c r="G376" t="n">
        <v>4.1</v>
      </c>
      <c r="H376" t="n">
        <v>0</v>
      </c>
      <c r="I376" t="n">
        <v>0</v>
      </c>
      <c r="J376" t="n">
        <v>0</v>
      </c>
      <c r="K376" t="n">
        <v>0</v>
      </c>
      <c r="L376" t="n">
        <v>0</v>
      </c>
      <c r="M376" t="n">
        <v>0</v>
      </c>
      <c r="N376" t="n">
        <v>0</v>
      </c>
      <c r="O376" t="n">
        <v>0</v>
      </c>
      <c r="P376" t="n">
        <v>0</v>
      </c>
      <c r="Q376" t="n">
        <v>0</v>
      </c>
      <c r="R376" s="2" t="inlineStr"/>
    </row>
    <row r="377" ht="15" customHeight="1">
      <c r="A377" t="inlineStr">
        <is>
          <t>A 65956-2020</t>
        </is>
      </c>
      <c r="B377" s="1" t="n">
        <v>44175</v>
      </c>
      <c r="C377" s="1" t="n">
        <v>45509</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65952-2020</t>
        </is>
      </c>
      <c r="B378" s="1" t="n">
        <v>44175</v>
      </c>
      <c r="C378" s="1" t="n">
        <v>45509</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65961-2020</t>
        </is>
      </c>
      <c r="B379" s="1" t="n">
        <v>44175</v>
      </c>
      <c r="C379" s="1" t="n">
        <v>45509</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65973-2020</t>
        </is>
      </c>
      <c r="B380" s="1" t="n">
        <v>44175</v>
      </c>
      <c r="C380" s="1" t="n">
        <v>45509</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66913-2020</t>
        </is>
      </c>
      <c r="B381" s="1" t="n">
        <v>44175</v>
      </c>
      <c r="C381" s="1" t="n">
        <v>45509</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66295-2020</t>
        </is>
      </c>
      <c r="B382" s="1" t="n">
        <v>44176</v>
      </c>
      <c r="C382" s="1" t="n">
        <v>45509</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68744-2020</t>
        </is>
      </c>
      <c r="B383" s="1" t="n">
        <v>44186</v>
      </c>
      <c r="C383" s="1" t="n">
        <v>45509</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68785-2020</t>
        </is>
      </c>
      <c r="B384" s="1" t="n">
        <v>44186</v>
      </c>
      <c r="C384" s="1" t="n">
        <v>45509</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618-2021</t>
        </is>
      </c>
      <c r="B385" s="1" t="n">
        <v>44203</v>
      </c>
      <c r="C385" s="1" t="n">
        <v>45509</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1929-2021</t>
        </is>
      </c>
      <c r="B386" s="1" t="n">
        <v>44210</v>
      </c>
      <c r="C386" s="1" t="n">
        <v>45509</v>
      </c>
      <c r="D386" t="inlineStr">
        <is>
          <t>KALMAR LÄN</t>
        </is>
      </c>
      <c r="E386" t="inlineStr">
        <is>
          <t>VIMMERBY</t>
        </is>
      </c>
      <c r="G386" t="n">
        <v>1.6</v>
      </c>
      <c r="H386" t="n">
        <v>0</v>
      </c>
      <c r="I386" t="n">
        <v>0</v>
      </c>
      <c r="J386" t="n">
        <v>0</v>
      </c>
      <c r="K386" t="n">
        <v>0</v>
      </c>
      <c r="L386" t="n">
        <v>0</v>
      </c>
      <c r="M386" t="n">
        <v>0</v>
      </c>
      <c r="N386" t="n">
        <v>0</v>
      </c>
      <c r="O386" t="n">
        <v>0</v>
      </c>
      <c r="P386" t="n">
        <v>0</v>
      </c>
      <c r="Q386" t="n">
        <v>0</v>
      </c>
      <c r="R386" s="2" t="inlineStr"/>
    </row>
    <row r="387" ht="15" customHeight="1">
      <c r="A387" t="inlineStr">
        <is>
          <t>A 2555-2021</t>
        </is>
      </c>
      <c r="B387" s="1" t="n">
        <v>44214</v>
      </c>
      <c r="C387" s="1" t="n">
        <v>45509</v>
      </c>
      <c r="D387" t="inlineStr">
        <is>
          <t>KALMAR LÄN</t>
        </is>
      </c>
      <c r="E387" t="inlineStr">
        <is>
          <t>VIMMERBY</t>
        </is>
      </c>
      <c r="G387" t="n">
        <v>7.3</v>
      </c>
      <c r="H387" t="n">
        <v>0</v>
      </c>
      <c r="I387" t="n">
        <v>0</v>
      </c>
      <c r="J387" t="n">
        <v>0</v>
      </c>
      <c r="K387" t="n">
        <v>0</v>
      </c>
      <c r="L387" t="n">
        <v>0</v>
      </c>
      <c r="M387" t="n">
        <v>0</v>
      </c>
      <c r="N387" t="n">
        <v>0</v>
      </c>
      <c r="O387" t="n">
        <v>0</v>
      </c>
      <c r="P387" t="n">
        <v>0</v>
      </c>
      <c r="Q387" t="n">
        <v>0</v>
      </c>
      <c r="R387" s="2" t="inlineStr"/>
    </row>
    <row r="388" ht="15" customHeight="1">
      <c r="A388" t="inlineStr">
        <is>
          <t>A 2654-2021</t>
        </is>
      </c>
      <c r="B388" s="1" t="n">
        <v>44215</v>
      </c>
      <c r="C388" s="1" t="n">
        <v>45509</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3330-2021</t>
        </is>
      </c>
      <c r="B389" s="1" t="n">
        <v>44217</v>
      </c>
      <c r="C389" s="1" t="n">
        <v>45509</v>
      </c>
      <c r="D389" t="inlineStr">
        <is>
          <t>KALMAR LÄN</t>
        </is>
      </c>
      <c r="E389" t="inlineStr">
        <is>
          <t>VIMMERBY</t>
        </is>
      </c>
      <c r="G389" t="n">
        <v>11.1</v>
      </c>
      <c r="H389" t="n">
        <v>0</v>
      </c>
      <c r="I389" t="n">
        <v>0</v>
      </c>
      <c r="J389" t="n">
        <v>0</v>
      </c>
      <c r="K389" t="n">
        <v>0</v>
      </c>
      <c r="L389" t="n">
        <v>0</v>
      </c>
      <c r="M389" t="n">
        <v>0</v>
      </c>
      <c r="N389" t="n">
        <v>0</v>
      </c>
      <c r="O389" t="n">
        <v>0</v>
      </c>
      <c r="P389" t="n">
        <v>0</v>
      </c>
      <c r="Q389" t="n">
        <v>0</v>
      </c>
      <c r="R389" s="2" t="inlineStr"/>
    </row>
    <row r="390" ht="15" customHeight="1">
      <c r="A390" t="inlineStr">
        <is>
          <t>A 3184-2021</t>
        </is>
      </c>
      <c r="B390" s="1" t="n">
        <v>44217</v>
      </c>
      <c r="C390" s="1" t="n">
        <v>45509</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3621-2021</t>
        </is>
      </c>
      <c r="B391" s="1" t="n">
        <v>44221</v>
      </c>
      <c r="C391" s="1" t="n">
        <v>45509</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4762-2021</t>
        </is>
      </c>
      <c r="B392" s="1" t="n">
        <v>44225</v>
      </c>
      <c r="C392" s="1" t="n">
        <v>45509</v>
      </c>
      <c r="D392" t="inlineStr">
        <is>
          <t>KALMAR LÄN</t>
        </is>
      </c>
      <c r="E392" t="inlineStr">
        <is>
          <t>VIMMERBY</t>
        </is>
      </c>
      <c r="G392" t="n">
        <v>5.3</v>
      </c>
      <c r="H392" t="n">
        <v>0</v>
      </c>
      <c r="I392" t="n">
        <v>0</v>
      </c>
      <c r="J392" t="n">
        <v>0</v>
      </c>
      <c r="K392" t="n">
        <v>0</v>
      </c>
      <c r="L392" t="n">
        <v>0</v>
      </c>
      <c r="M392" t="n">
        <v>0</v>
      </c>
      <c r="N392" t="n">
        <v>0</v>
      </c>
      <c r="O392" t="n">
        <v>0</v>
      </c>
      <c r="P392" t="n">
        <v>0</v>
      </c>
      <c r="Q392" t="n">
        <v>0</v>
      </c>
      <c r="R392" s="2" t="inlineStr"/>
    </row>
    <row r="393" ht="15" customHeight="1">
      <c r="A393" t="inlineStr">
        <is>
          <t>A 5689-2021</t>
        </is>
      </c>
      <c r="B393" s="1" t="n">
        <v>44230</v>
      </c>
      <c r="C393" s="1" t="n">
        <v>45509</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5654-2021</t>
        </is>
      </c>
      <c r="B394" s="1" t="n">
        <v>44230</v>
      </c>
      <c r="C394" s="1" t="n">
        <v>45509</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45509</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45509</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45509</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45509</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45509</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45509</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45509</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45509</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45509</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45509</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45509</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45509</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45509</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45509</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45509</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45509</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45509</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45509</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45509</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45509</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45509</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45509</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45509</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45509</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45509</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45509</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45509</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45509</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45509</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45509</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45509</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45509</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45509</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45509</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45509</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45509</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45509</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45509</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45509</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45509</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45509</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45509</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45509</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45509</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45509</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45509</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45509</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45509</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45509</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45509</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45509</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45509</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45509</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45509</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45509</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45509</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45509</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45509</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45509</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45509</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45509</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45509</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45509</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45509</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45509</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45509</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45509</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45509</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45509</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45509</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45509</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45509</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45509</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45509</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45509</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45509</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45509</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45509</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45509</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45509</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45509</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45509</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45509</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45509</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45509</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45509</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45509</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45509</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45509</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45509</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45509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45509</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45509</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45509</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45509</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45509</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45509</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45509</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45509</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45509</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45509</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45509</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45509</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45509</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45509</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45509</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45509</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45509</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45509</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45509</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45509</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45509</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45509</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45509</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45509</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45509</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45509</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45509</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45509</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45509</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45509</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45509</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45509</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45509</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45509</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45509</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45509</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45509</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45509</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45509</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45509</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45509</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45509</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45509</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45509</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45509</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45509</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45509</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45509</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45509</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45509</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45509</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45509</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45509</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45509</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45509</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45509</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45509</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45509</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45509</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45509</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45509</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45509</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45509</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45509</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45509</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45509</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45509</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45509</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45509</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45509</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45509</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45509</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45509</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45509</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45509</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45509</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45509</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45509</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45509</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45509</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45509</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45509</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45509</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45509</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45509</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45509</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45509</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45509</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45509</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45509</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45509</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45509</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45509</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45509</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45509</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45509</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45509</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45509</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45509</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45509</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45509</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45509</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45509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45509</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45509</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45509</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45509</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45509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45509</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45509</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45509</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45509</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45509</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45509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45509</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45509</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45509</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45509</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45509</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45509</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45509</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45509</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45509</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45509</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45509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45509</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45509</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45509</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45509</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45509</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45509</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45509</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45509</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45509</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45509</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45509</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45509</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45509</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45509</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45509</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45509</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45509</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45509</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45509</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45509</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45509</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45509</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45509</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45509</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45509</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45509</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45509</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45509</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45509</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45509</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45509</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45509</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45509</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45509</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45509</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45509</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45509</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45509</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45509</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45509</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45509</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45509</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45509</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45509</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45509</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45509</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45509</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45509</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45509</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45509</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45509</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45509</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45509</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45509</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45509</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45509</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45509</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45509</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45509</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45509</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45509</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45509</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45509</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45509</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45509</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45509</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45509</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45509</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45509</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45509</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45509</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45509</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45509</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45509</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45509</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45509</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45509</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45509</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45509</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45509</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45509</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45509</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45509</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45509</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45509</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45509</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45509</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45509</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45509</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45509</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45509</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45509</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45509</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45509</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45509</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45509</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45509</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45509</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45509</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45509</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45509</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45509</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45509</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45509</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45509</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45509</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45509</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45509</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45509</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45509</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45509</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45509</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45509</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45509</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45509</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45509</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45509</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45509</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45509</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45509</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45509</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45509</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45509</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45509</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45509</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45509</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45509</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45509</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45509</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45509</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45509</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45509</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45509</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45509</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45509</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45509</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45509</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45509</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45509</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45509</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45509</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45509</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45509</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45509</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45509</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45509</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45509</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45509</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45509</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45509</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45509</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45509</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45509</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45509</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45509</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45509</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45509</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45509</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45509</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45509</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45509</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45509</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45509</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45509</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45509</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45509</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45509</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45509</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45509</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45509</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45509</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45509</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45509</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45509</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45509</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45509</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45509</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45509</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45509</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45509</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45509</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45509</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45509</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45509</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45509</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45509</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45509</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45509</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45509</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45509</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45509</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45509</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45509</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45509</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45509</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45509</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45509</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45509</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45509</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45509</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45509</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45509</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45509</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45509</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45509</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45509</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45509</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45509</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45509</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45509</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45509</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45509</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45509</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45509</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45509</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45509</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45509</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45509</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45509</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45509</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45509</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45509</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45509</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45509</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45509</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45509</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45509</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45509</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45509</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45509</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45509</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45509</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45509</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45509</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45509</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45509</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45509</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45509</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45509</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45509</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45509</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45509</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45509</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45509</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45509</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45509</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45509</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45509</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45509</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45509</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45509</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45509</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45509</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45509</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45509</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45509</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45509</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45509</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45509</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45509</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45509</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45509</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45509</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45509</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45509</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45509</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45509</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45509</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45509</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45509</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45509</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45509</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45509</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45509</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45509</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45509</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45509</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45509</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45509</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45509</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45509</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45509</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45509</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45509</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45509</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45509</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45509</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45509</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45509</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45509</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45509</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45509</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45509</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45509</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45509</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45509</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45509</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45509</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45509</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45509</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45509</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45509</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45509</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45509</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45509</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45509</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45509</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45509</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45509</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45509</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45509</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45509</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45509</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45509</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45509</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45509</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45509</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45509</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45509</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45509</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45509</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45509</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45509</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45509</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45509</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45509</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45509</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45509</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45509</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45509</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45509</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45509</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45509</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45509</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45509</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45509</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45509</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45509</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45509</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45509</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45509</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45509</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45509</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45509</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45509</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45509</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45509</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45509</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45509</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45509</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45509</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45509</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45509</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45509</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45509</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45509</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45509</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45509</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45509</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45509</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45509</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45509</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45509</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45509</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45509</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45509</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45509</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45509</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45509</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45509</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45509</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45509</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45509</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45509</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45509</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45509</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45509</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45509</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45509</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45509</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45509</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45509</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45509</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45509</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45509</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45509</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45509</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45509</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45509</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45509</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45509</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45509</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45509</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45509</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45509</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45509</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45509</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45509</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45509</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45509</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45509</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45509</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45509</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45509</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45509</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45509</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45509</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45509</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45509</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45509</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45509</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45509</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45509</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45509</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45509</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45509</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45509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45509</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45509</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45509</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45509</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45509</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45509</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45509</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45509</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45509</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45509</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45509</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45509</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45509</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45509</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45509</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45509</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45509</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45509</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45509</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45509</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45509</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45509</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45509</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45509</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45509</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45509</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45509</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45509</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45509</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45509</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45509</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45509</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45509</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45509</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45509</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45509</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45509</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45509</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45509</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45509</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45509</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45509</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45509</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45509</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45509</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45509</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45509</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45509</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45509</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45509</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45509</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45509</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45509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45509</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45509</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45509</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45509</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45509</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45509</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45509</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45509</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45509</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45509</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45509</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45509</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45509</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45509</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45509</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45509</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45509</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45509</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45509</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45509</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45509</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45509</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45509</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45509</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45509</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45509</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45509</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45509</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45509</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45509</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45509</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45509</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45509</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45509</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45509</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45509</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45509</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45509</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45509</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45509</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45509</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45509</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45509</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45509</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45509</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45509</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45509</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45509</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45509</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45509</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45509</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45509</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45509</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45509</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45509</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45509</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45509</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45509</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45509</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45509</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45509</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45509</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45509</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45509</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45509</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45509</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45509</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45509</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45509</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45509</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45509</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45509</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45509</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45509</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45509</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45509</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45509</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45509</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45509</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45509</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45509</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45509</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45509</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45509</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45509</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45509</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45509</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45509</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45509</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45509</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45509</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45509</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45509</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45509</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45509</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45509</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45509</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45509</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45509</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45509</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45509</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45509</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45509</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45509</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45509</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45509</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45509</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45509</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45509</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45509</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45509</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45509</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45509</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45509</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45509</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45509</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45509</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45509</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45509</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45509</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45509</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45509</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45509</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45509</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45509</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45509</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45509</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45509</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45509</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45509</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45509</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45509</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45509</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45509</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45509</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45509</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45509</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45509</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45509</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45509</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45509</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45509</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45509</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45509</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45509</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45509</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45509</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45509</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45509</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45509</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45509</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45509</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45509</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45509</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45509</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45509</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45509</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45509</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45509</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45509</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45509</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45509</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45509</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45509</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45509</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45509</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45509</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45509</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45509</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45509</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45509</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45509</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45509</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45509</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45509</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45509</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45509</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45509</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45509</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45509</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45509</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45509</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45509</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45509</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45509</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45509</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45509</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45509</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45509</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45509</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45509</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45509</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23088-2024</t>
        </is>
      </c>
      <c r="B1273" s="1" t="n">
        <v>45450</v>
      </c>
      <c r="C1273" s="1" t="n">
        <v>45509</v>
      </c>
      <c r="D1273" t="inlineStr">
        <is>
          <t>KALMAR LÄN</t>
        </is>
      </c>
      <c r="E1273" t="inlineStr">
        <is>
          <t>VIMMERBY</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23095-2024</t>
        </is>
      </c>
      <c r="B1274" s="1" t="n">
        <v>45450</v>
      </c>
      <c r="C1274" s="1" t="n">
        <v>45509</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23263-2024</t>
        </is>
      </c>
      <c r="B1275" s="1" t="n">
        <v>45453</v>
      </c>
      <c r="C1275" s="1" t="n">
        <v>45509</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23422-2024</t>
        </is>
      </c>
      <c r="B1276" s="1" t="n">
        <v>45453</v>
      </c>
      <c r="C1276" s="1" t="n">
        <v>45509</v>
      </c>
      <c r="D1276" t="inlineStr">
        <is>
          <t>KALMAR LÄN</t>
        </is>
      </c>
      <c r="E1276" t="inlineStr">
        <is>
          <t>VIMMERBY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23254-2024</t>
        </is>
      </c>
      <c r="B1277" s="1" t="n">
        <v>45453</v>
      </c>
      <c r="C1277" s="1" t="n">
        <v>45509</v>
      </c>
      <c r="D1277" t="inlineStr">
        <is>
          <t>KALMAR LÄN</t>
        </is>
      </c>
      <c r="E1277" t="inlineStr">
        <is>
          <t>VIMMERBY</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23252-2024</t>
        </is>
      </c>
      <c r="B1278" s="1" t="n">
        <v>45453</v>
      </c>
      <c r="C1278" s="1" t="n">
        <v>45509</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45509</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24699-2024</t>
        </is>
      </c>
      <c r="B1280" s="1" t="n">
        <v>45460</v>
      </c>
      <c r="C1280" s="1" t="n">
        <v>45509</v>
      </c>
      <c r="D1280" t="inlineStr">
        <is>
          <t>KALMAR LÄN</t>
        </is>
      </c>
      <c r="E1280" t="inlineStr">
        <is>
          <t>VIMMERBY</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24707-2024</t>
        </is>
      </c>
      <c r="B1281" s="1" t="n">
        <v>45460</v>
      </c>
      <c r="C1281" s="1" t="n">
        <v>45509</v>
      </c>
      <c r="D1281" t="inlineStr">
        <is>
          <t>KALMAR LÄN</t>
        </is>
      </c>
      <c r="E1281" t="inlineStr">
        <is>
          <t>VIMMERBY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24745-2024</t>
        </is>
      </c>
      <c r="B1282" s="1" t="n">
        <v>45460</v>
      </c>
      <c r="C1282" s="1" t="n">
        <v>45509</v>
      </c>
      <c r="D1282" t="inlineStr">
        <is>
          <t>KALMAR LÄN</t>
        </is>
      </c>
      <c r="E1282" t="inlineStr">
        <is>
          <t>VIMMERBY</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24525-2024</t>
        </is>
      </c>
      <c r="B1283" s="1" t="n">
        <v>45460</v>
      </c>
      <c r="C1283" s="1" t="n">
        <v>45509</v>
      </c>
      <c r="D1283" t="inlineStr">
        <is>
          <t>KALMAR LÄN</t>
        </is>
      </c>
      <c r="E1283" t="inlineStr">
        <is>
          <t>VIMMERBY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25304-2024</t>
        </is>
      </c>
      <c r="B1284" s="1" t="n">
        <v>45462</v>
      </c>
      <c r="C1284" s="1" t="n">
        <v>45509</v>
      </c>
      <c r="D1284" t="inlineStr">
        <is>
          <t>KALMAR LÄN</t>
        </is>
      </c>
      <c r="E1284" t="inlineStr">
        <is>
          <t>VIMMERBY</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25143-2024</t>
        </is>
      </c>
      <c r="B1285" s="1" t="n">
        <v>45462</v>
      </c>
      <c r="C1285" s="1" t="n">
        <v>45509</v>
      </c>
      <c r="D1285" t="inlineStr">
        <is>
          <t>KALMAR LÄN</t>
        </is>
      </c>
      <c r="E1285" t="inlineStr">
        <is>
          <t>VIMMERBY</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25582-2024</t>
        </is>
      </c>
      <c r="B1286" s="1" t="n">
        <v>45463</v>
      </c>
      <c r="C1286" s="1" t="n">
        <v>45509</v>
      </c>
      <c r="D1286" t="inlineStr">
        <is>
          <t>KALMAR LÄN</t>
        </is>
      </c>
      <c r="E1286" t="inlineStr">
        <is>
          <t>VIMMERBY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25415-2024</t>
        </is>
      </c>
      <c r="B1287" s="1" t="n">
        <v>45463</v>
      </c>
      <c r="C1287" s="1" t="n">
        <v>45509</v>
      </c>
      <c r="D1287" t="inlineStr">
        <is>
          <t>KALMAR LÄN</t>
        </is>
      </c>
      <c r="E1287" t="inlineStr">
        <is>
          <t>VIMMERBY</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45509</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45509</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27048-2024</t>
        </is>
      </c>
      <c r="B1290" s="1" t="n">
        <v>45471</v>
      </c>
      <c r="C1290" s="1" t="n">
        <v>45509</v>
      </c>
      <c r="D1290" t="inlineStr">
        <is>
          <t>KALMAR LÄN</t>
        </is>
      </c>
      <c r="E1290" t="inlineStr">
        <is>
          <t>VIMMERBY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27063-2024</t>
        </is>
      </c>
      <c r="B1291" s="1" t="n">
        <v>45471</v>
      </c>
      <c r="C1291" s="1" t="n">
        <v>45509</v>
      </c>
      <c r="D1291" t="inlineStr">
        <is>
          <t>KALMAR LÄN</t>
        </is>
      </c>
      <c r="E1291" t="inlineStr">
        <is>
          <t>VIMMERBY</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27028-2024</t>
        </is>
      </c>
      <c r="B1292" s="1" t="n">
        <v>45471</v>
      </c>
      <c r="C1292" s="1" t="n">
        <v>45509</v>
      </c>
      <c r="D1292" t="inlineStr">
        <is>
          <t>KALMAR LÄN</t>
        </is>
      </c>
      <c r="E1292" t="inlineStr">
        <is>
          <t>VIMMERBY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27030-2024</t>
        </is>
      </c>
      <c r="B1293" s="1" t="n">
        <v>45471</v>
      </c>
      <c r="C1293" s="1" t="n">
        <v>45509</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27758-2024</t>
        </is>
      </c>
      <c r="B1294" s="1" t="n">
        <v>45475</v>
      </c>
      <c r="C1294" s="1" t="n">
        <v>45509</v>
      </c>
      <c r="D1294" t="inlineStr">
        <is>
          <t>KALMAR LÄN</t>
        </is>
      </c>
      <c r="E1294" t="inlineStr">
        <is>
          <t>VIMMERBY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27761-2024</t>
        </is>
      </c>
      <c r="B1295" s="1" t="n">
        <v>45475</v>
      </c>
      <c r="C1295" s="1" t="n">
        <v>45509</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27759-2024</t>
        </is>
      </c>
      <c r="B1296" s="1" t="n">
        <v>45475</v>
      </c>
      <c r="C1296" s="1" t="n">
        <v>45509</v>
      </c>
      <c r="D1296" t="inlineStr">
        <is>
          <t>KALMAR LÄN</t>
        </is>
      </c>
      <c r="E1296" t="inlineStr">
        <is>
          <t>VIMMERBY</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28066-2024</t>
        </is>
      </c>
      <c r="B1297" s="1" t="n">
        <v>45476</v>
      </c>
      <c r="C1297" s="1" t="n">
        <v>45509</v>
      </c>
      <c r="D1297" t="inlineStr">
        <is>
          <t>KALMAR LÄN</t>
        </is>
      </c>
      <c r="E1297" t="inlineStr">
        <is>
          <t>VIMMERBY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27992-2024</t>
        </is>
      </c>
      <c r="B1298" s="1" t="n">
        <v>45476</v>
      </c>
      <c r="C1298" s="1" t="n">
        <v>45509</v>
      </c>
      <c r="D1298" t="inlineStr">
        <is>
          <t>KALMAR LÄN</t>
        </is>
      </c>
      <c r="E1298" t="inlineStr">
        <is>
          <t>VIMMERBY</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28177-2024</t>
        </is>
      </c>
      <c r="B1299" s="1" t="n">
        <v>45477</v>
      </c>
      <c r="C1299" s="1" t="n">
        <v>45509</v>
      </c>
      <c r="D1299" t="inlineStr">
        <is>
          <t>KALMAR LÄN</t>
        </is>
      </c>
      <c r="E1299" t="inlineStr">
        <is>
          <t>VIMMERBY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29018-2024</t>
        </is>
      </c>
      <c r="B1300" s="1" t="n">
        <v>45481</v>
      </c>
      <c r="C1300" s="1" t="n">
        <v>45509</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29015-2024</t>
        </is>
      </c>
      <c r="B1301" s="1" t="n">
        <v>45481</v>
      </c>
      <c r="C1301" s="1" t="n">
        <v>45509</v>
      </c>
      <c r="D1301" t="inlineStr">
        <is>
          <t>KALMAR LÄN</t>
        </is>
      </c>
      <c r="E1301" t="inlineStr">
        <is>
          <t>VIMMERBY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29013-2024</t>
        </is>
      </c>
      <c r="B1302" s="1" t="n">
        <v>45481</v>
      </c>
      <c r="C1302" s="1" t="n">
        <v>45509</v>
      </c>
      <c r="D1302" t="inlineStr">
        <is>
          <t>KALMAR LÄN</t>
        </is>
      </c>
      <c r="E1302" t="inlineStr">
        <is>
          <t>VIMMERBY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29017-2024</t>
        </is>
      </c>
      <c r="B1303" s="1" t="n">
        <v>45481</v>
      </c>
      <c r="C1303" s="1" t="n">
        <v>45509</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29020-2024</t>
        </is>
      </c>
      <c r="B1304" s="1" t="n">
        <v>45481</v>
      </c>
      <c r="C1304" s="1" t="n">
        <v>45509</v>
      </c>
      <c r="D1304" t="inlineStr">
        <is>
          <t>KALMAR LÄN</t>
        </is>
      </c>
      <c r="E1304" t="inlineStr">
        <is>
          <t>VIMMERBY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29180-2024</t>
        </is>
      </c>
      <c r="B1305" s="1" t="n">
        <v>45482</v>
      </c>
      <c r="C1305" s="1" t="n">
        <v>45509</v>
      </c>
      <c r="D1305" t="inlineStr">
        <is>
          <t>KALMAR LÄN</t>
        </is>
      </c>
      <c r="E1305" t="inlineStr">
        <is>
          <t>VIMMERBY</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29165-2024</t>
        </is>
      </c>
      <c r="B1306" s="1" t="n">
        <v>45482</v>
      </c>
      <c r="C1306" s="1" t="n">
        <v>45509</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29168-2024</t>
        </is>
      </c>
      <c r="B1307" s="1" t="n">
        <v>45482</v>
      </c>
      <c r="C1307" s="1" t="n">
        <v>45509</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29173-2024</t>
        </is>
      </c>
      <c r="B1308" s="1" t="n">
        <v>45482</v>
      </c>
      <c r="C1308" s="1" t="n">
        <v>45509</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29186-2024</t>
        </is>
      </c>
      <c r="B1309" s="1" t="n">
        <v>45482</v>
      </c>
      <c r="C1309" s="1" t="n">
        <v>45509</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45509</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45509</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29441-2024</t>
        </is>
      </c>
      <c r="B1312" s="1" t="n">
        <v>45483</v>
      </c>
      <c r="C1312" s="1" t="n">
        <v>45509</v>
      </c>
      <c r="D1312" t="inlineStr">
        <is>
          <t>KALMAR LÄN</t>
        </is>
      </c>
      <c r="E1312" t="inlineStr">
        <is>
          <t>VIMMERBY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29440-2024</t>
        </is>
      </c>
      <c r="B1313" s="1" t="n">
        <v>45483</v>
      </c>
      <c r="C1313" s="1" t="n">
        <v>45509</v>
      </c>
      <c r="D1313" t="inlineStr">
        <is>
          <t>KALMAR LÄN</t>
        </is>
      </c>
      <c r="E1313" t="inlineStr">
        <is>
          <t>VIMMERBY</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29779-2024</t>
        </is>
      </c>
      <c r="B1314" s="1" t="n">
        <v>45485</v>
      </c>
      <c r="C1314" s="1" t="n">
        <v>45509</v>
      </c>
      <c r="D1314" t="inlineStr">
        <is>
          <t>KALMAR LÄN</t>
        </is>
      </c>
      <c r="E1314" t="inlineStr">
        <is>
          <t>VIMMERBY</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29783-2024</t>
        </is>
      </c>
      <c r="B1315" s="1" t="n">
        <v>45485</v>
      </c>
      <c r="C1315" s="1" t="n">
        <v>45509</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45509</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29790-2024</t>
        </is>
      </c>
      <c r="B1317" s="1" t="n">
        <v>45485</v>
      </c>
      <c r="C1317" s="1" t="n">
        <v>45509</v>
      </c>
      <c r="D1317" t="inlineStr">
        <is>
          <t>KALMAR LÄN</t>
        </is>
      </c>
      <c r="E1317" t="inlineStr">
        <is>
          <t>VIMMERBY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29778-2024</t>
        </is>
      </c>
      <c r="B1318" s="1" t="n">
        <v>45485</v>
      </c>
      <c r="C1318" s="1" t="n">
        <v>45509</v>
      </c>
      <c r="D1318" t="inlineStr">
        <is>
          <t>KALMAR LÄN</t>
        </is>
      </c>
      <c r="E1318" t="inlineStr">
        <is>
          <t>VIMMERBY</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30120-2024</t>
        </is>
      </c>
      <c r="B1319" s="1" t="n">
        <v>45489</v>
      </c>
      <c r="C1319" s="1" t="n">
        <v>45509</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30633-2024</t>
        </is>
      </c>
      <c r="B1320" s="1" t="n">
        <v>45495</v>
      </c>
      <c r="C1320" s="1" t="n">
        <v>45509</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30634-2024</t>
        </is>
      </c>
      <c r="B1321" s="1" t="n">
        <v>45495</v>
      </c>
      <c r="C1321" s="1" t="n">
        <v>45509</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30632-2024</t>
        </is>
      </c>
      <c r="B1322" s="1" t="n">
        <v>45495</v>
      </c>
      <c r="C1322" s="1" t="n">
        <v>45509</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30861-2024</t>
        </is>
      </c>
      <c r="B1323" s="1" t="n">
        <v>45497</v>
      </c>
      <c r="C1323" s="1" t="n">
        <v>45509</v>
      </c>
      <c r="D1323" t="inlineStr">
        <is>
          <t>KALMAR LÄN</t>
        </is>
      </c>
      <c r="E1323" t="inlineStr">
        <is>
          <t>VIMMERBY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30921-2024</t>
        </is>
      </c>
      <c r="B1324" s="1" t="n">
        <v>45498</v>
      </c>
      <c r="C1324" s="1" t="n">
        <v>45509</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30920-2024</t>
        </is>
      </c>
      <c r="B1325" s="1" t="n">
        <v>45498</v>
      </c>
      <c r="C1325" s="1" t="n">
        <v>45509</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31136-2024</t>
        </is>
      </c>
      <c r="B1326" s="1" t="n">
        <v>45502</v>
      </c>
      <c r="C1326" s="1" t="n">
        <v>45509</v>
      </c>
      <c r="D1326" t="inlineStr">
        <is>
          <t>KALMAR LÄN</t>
        </is>
      </c>
      <c r="E1326" t="inlineStr">
        <is>
          <t>VIMMERBY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31139-2024</t>
        </is>
      </c>
      <c r="B1327" s="1" t="n">
        <v>45502</v>
      </c>
      <c r="C1327" s="1" t="n">
        <v>45509</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31210-2024</t>
        </is>
      </c>
      <c r="B1328" s="1" t="n">
        <v>45503</v>
      </c>
      <c r="C1328" s="1" t="n">
        <v>45509</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31250-2024</t>
        </is>
      </c>
      <c r="B1329" s="1" t="n">
        <v>45503</v>
      </c>
      <c r="C1329" s="1" t="n">
        <v>45509</v>
      </c>
      <c r="D1329" t="inlineStr">
        <is>
          <t>KALMAR LÄN</t>
        </is>
      </c>
      <c r="E1329" t="inlineStr">
        <is>
          <t>VIMMERBY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31238-2024</t>
        </is>
      </c>
      <c r="B1330" s="1" t="n">
        <v>45503</v>
      </c>
      <c r="C1330" s="1" t="n">
        <v>45509</v>
      </c>
      <c r="D1330" t="inlineStr">
        <is>
          <t>KALMAR LÄN</t>
        </is>
      </c>
      <c r="E1330" t="inlineStr">
        <is>
          <t>VIMMERBY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31244-2024</t>
        </is>
      </c>
      <c r="B1331" s="1" t="n">
        <v>45503</v>
      </c>
      <c r="C1331" s="1" t="n">
        <v>45509</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31248-2024</t>
        </is>
      </c>
      <c r="B1332" s="1" t="n">
        <v>45503</v>
      </c>
      <c r="C1332" s="1" t="n">
        <v>45509</v>
      </c>
      <c r="D1332" t="inlineStr">
        <is>
          <t>KALMAR LÄN</t>
        </is>
      </c>
      <c r="E1332" t="inlineStr">
        <is>
          <t>VIMMERBY</t>
        </is>
      </c>
      <c r="G1332" t="n">
        <v>2.1</v>
      </c>
      <c r="H1332" t="n">
        <v>0</v>
      </c>
      <c r="I1332" t="n">
        <v>0</v>
      </c>
      <c r="J1332" t="n">
        <v>0</v>
      </c>
      <c r="K1332" t="n">
        <v>0</v>
      </c>
      <c r="L1332" t="n">
        <v>0</v>
      </c>
      <c r="M1332" t="n">
        <v>0</v>
      </c>
      <c r="N1332" t="n">
        <v>0</v>
      </c>
      <c r="O1332" t="n">
        <v>0</v>
      </c>
      <c r="P1332" t="n">
        <v>0</v>
      </c>
      <c r="Q1332" t="n">
        <v>0</v>
      </c>
      <c r="R1332" s="2" t="inlineStr"/>
    </row>
    <row r="1333">
      <c r="A1333" t="inlineStr">
        <is>
          <t>A 31209-2024</t>
        </is>
      </c>
      <c r="B1333" s="1" t="n">
        <v>45503</v>
      </c>
      <c r="C1333" s="1" t="n">
        <v>45509</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2024-08-05T10:40:50Z</dcterms:created>
  <dcterms:modified xmlns:dcterms="http://purl.org/dc/terms/" xmlns:xsi="http://www.w3.org/2001/XMLSchema-instance" xsi:type="dcterms:W3CDTF">2024-08-05T10:40:52Z</dcterms:modified>
</cp:coreProperties>
</file>