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45925</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45925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45925</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45925</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45925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45925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45925</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45925</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45925</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45925</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45925</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45925</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45925</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45925</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45925</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45925</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45925</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40684-2025</t>
        </is>
      </c>
      <c r="B25" s="1" t="n">
        <v>45896.86820601852</v>
      </c>
      <c r="C25" s="1" t="n">
        <v>45925</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22825-2023</t>
        </is>
      </c>
      <c r="B26" s="1" t="n">
        <v>45072</v>
      </c>
      <c r="C26" s="1" t="n">
        <v>45925</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42802-2025</t>
        </is>
      </c>
      <c r="B27" s="1" t="n">
        <v>45908</v>
      </c>
      <c r="C27" s="1" t="n">
        <v>45925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19158-2023</t>
        </is>
      </c>
      <c r="B28" s="1" t="n">
        <v>45048</v>
      </c>
      <c r="C28" s="1" t="n">
        <v>45925</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45925</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14024-2023</t>
        </is>
      </c>
      <c r="B30" s="1" t="n">
        <v>45008.60878472222</v>
      </c>
      <c r="C30" s="1" t="n">
        <v>45925</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32396-2021</t>
        </is>
      </c>
      <c r="B31" s="1" t="n">
        <v>44371</v>
      </c>
      <c r="C31" s="1" t="n">
        <v>45925</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45925</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37930-2021</t>
        </is>
      </c>
      <c r="B33" s="1" t="n">
        <v>44403</v>
      </c>
      <c r="C33" s="1" t="n">
        <v>45925</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40083-2023</t>
        </is>
      </c>
      <c r="B34" s="1" t="n">
        <v>45168</v>
      </c>
      <c r="C34" s="1" t="n">
        <v>45925</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45925</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52301-2023</t>
        </is>
      </c>
      <c r="B36" s="1" t="n">
        <v>45224</v>
      </c>
      <c r="C36" s="1" t="n">
        <v>45925</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23602-2023</t>
        </is>
      </c>
      <c r="B37" s="1" t="n">
        <v>45077</v>
      </c>
      <c r="C37" s="1" t="n">
        <v>45925</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33436-2021</t>
        </is>
      </c>
      <c r="B38" s="1" t="n">
        <v>44377.61104166666</v>
      </c>
      <c r="C38" s="1" t="n">
        <v>45925</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15122-2024</t>
        </is>
      </c>
      <c r="B39" s="1" t="n">
        <v>45399.71412037037</v>
      </c>
      <c r="C39" s="1" t="n">
        <v>45925</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45925</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1201-2025</t>
        </is>
      </c>
      <c r="B41" s="1" t="n">
        <v>45667</v>
      </c>
      <c r="C41" s="1" t="n">
        <v>45925</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28852-2023</t>
        </is>
      </c>
      <c r="B42" s="1" t="n">
        <v>45104</v>
      </c>
      <c r="C42" s="1" t="n">
        <v>45925</v>
      </c>
      <c r="D42" t="inlineStr">
        <is>
          <t>KALMAR LÄN</t>
        </is>
      </c>
      <c r="E42" t="inlineStr">
        <is>
          <t>VIMMERBY</t>
        </is>
      </c>
      <c r="G42" t="n">
        <v>0.7</v>
      </c>
      <c r="H42" t="n">
        <v>0</v>
      </c>
      <c r="I42" t="n">
        <v>1</v>
      </c>
      <c r="J42" t="n">
        <v>0</v>
      </c>
      <c r="K42" t="n">
        <v>0</v>
      </c>
      <c r="L42" t="n">
        <v>0</v>
      </c>
      <c r="M42" t="n">
        <v>0</v>
      </c>
      <c r="N42" t="n">
        <v>0</v>
      </c>
      <c r="O42" t="n">
        <v>0</v>
      </c>
      <c r="P42" t="n">
        <v>0</v>
      </c>
      <c r="Q42" t="n">
        <v>1</v>
      </c>
      <c r="R42" s="2" t="inlineStr">
        <is>
          <t>Tibast</t>
        </is>
      </c>
      <c r="S42">
        <f>HYPERLINK("https://klasma.github.io/Logging_0884/artfynd/A 28852-2023 artfynd.xlsx", "A 28852-2023")</f>
        <v/>
      </c>
      <c r="T42">
        <f>HYPERLINK("https://klasma.github.io/Logging_0884/kartor/A 28852-2023 karta.png", "A 28852-2023")</f>
        <v/>
      </c>
      <c r="V42">
        <f>HYPERLINK("https://klasma.github.io/Logging_0884/klagomål/A 28852-2023 FSC-klagomål.docx", "A 28852-2023")</f>
        <v/>
      </c>
      <c r="W42">
        <f>HYPERLINK("https://klasma.github.io/Logging_0884/klagomålsmail/A 28852-2023 FSC-klagomål mail.docx", "A 28852-2023")</f>
        <v/>
      </c>
      <c r="X42">
        <f>HYPERLINK("https://klasma.github.io/Logging_0884/tillsyn/A 28852-2023 tillsynsbegäran.docx", "A 28852-2023")</f>
        <v/>
      </c>
      <c r="Y42">
        <f>HYPERLINK("https://klasma.github.io/Logging_0884/tillsynsmail/A 28852-2023 tillsynsbegäran mail.docx", "A 28852-2023")</f>
        <v/>
      </c>
    </row>
    <row r="43" ht="15" customHeight="1">
      <c r="A43" t="inlineStr">
        <is>
          <t>A 44515-2024</t>
        </is>
      </c>
      <c r="B43" s="1" t="n">
        <v>45574.42767361111</v>
      </c>
      <c r="C43" s="1" t="n">
        <v>45925</v>
      </c>
      <c r="D43" t="inlineStr">
        <is>
          <t>KALMAR LÄN</t>
        </is>
      </c>
      <c r="E43" t="inlineStr">
        <is>
          <t>VIMMERBY</t>
        </is>
      </c>
      <c r="G43" t="n">
        <v>1.4</v>
      </c>
      <c r="H43" t="n">
        <v>1</v>
      </c>
      <c r="I43" t="n">
        <v>0</v>
      </c>
      <c r="J43" t="n">
        <v>0</v>
      </c>
      <c r="K43" t="n">
        <v>1</v>
      </c>
      <c r="L43" t="n">
        <v>0</v>
      </c>
      <c r="M43" t="n">
        <v>0</v>
      </c>
      <c r="N43" t="n">
        <v>0</v>
      </c>
      <c r="O43" t="n">
        <v>1</v>
      </c>
      <c r="P43" t="n">
        <v>1</v>
      </c>
      <c r="Q43" t="n">
        <v>1</v>
      </c>
      <c r="R43" s="2" t="inlineStr">
        <is>
          <t>Knärot</t>
        </is>
      </c>
      <c r="S43">
        <f>HYPERLINK("https://klasma.github.io/Logging_0884/artfynd/A 44515-2024 artfynd.xlsx", "A 44515-2024")</f>
        <v/>
      </c>
      <c r="T43">
        <f>HYPERLINK("https://klasma.github.io/Logging_0884/kartor/A 44515-2024 karta.png", "A 44515-2024")</f>
        <v/>
      </c>
      <c r="U43">
        <f>HYPERLINK("https://klasma.github.io/Logging_0884/knärot/A 44515-2024 karta knärot.png", "A 44515-2024")</f>
        <v/>
      </c>
      <c r="V43">
        <f>HYPERLINK("https://klasma.github.io/Logging_0884/klagomål/A 44515-2024 FSC-klagomål.docx", "A 44515-2024")</f>
        <v/>
      </c>
      <c r="W43">
        <f>HYPERLINK("https://klasma.github.io/Logging_0884/klagomålsmail/A 44515-2024 FSC-klagomål mail.docx", "A 44515-2024")</f>
        <v/>
      </c>
      <c r="X43">
        <f>HYPERLINK("https://klasma.github.io/Logging_0884/tillsyn/A 44515-2024 tillsynsbegäran.docx", "A 44515-2024")</f>
        <v/>
      </c>
      <c r="Y43">
        <f>HYPERLINK("https://klasma.github.io/Logging_0884/tillsynsmail/A 44515-2024 tillsynsbegäran mail.docx", "A 44515-2024")</f>
        <v/>
      </c>
    </row>
    <row r="44" ht="15" customHeight="1">
      <c r="A44" t="inlineStr">
        <is>
          <t>A 61860-2024</t>
        </is>
      </c>
      <c r="B44" s="1" t="n">
        <v>45649</v>
      </c>
      <c r="C44" s="1" t="n">
        <v>45925</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45925</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38602-2025</t>
        </is>
      </c>
      <c r="B46" s="1" t="n">
        <v>45884.50331018519</v>
      </c>
      <c r="C46" s="1" t="n">
        <v>45925</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38602-2025 artfynd.xlsx", "A 38602-2025")</f>
        <v/>
      </c>
      <c r="T46">
        <f>HYPERLINK("https://klasma.github.io/Logging_0884/kartor/A 38602-2025 karta.png", "A 38602-2025")</f>
        <v/>
      </c>
      <c r="U46">
        <f>HYPERLINK("https://klasma.github.io/Logging_0884/knärot/A 38602-2025 karta knärot.png", "A 38602-2025")</f>
        <v/>
      </c>
      <c r="V46">
        <f>HYPERLINK("https://klasma.github.io/Logging_0884/klagomål/A 38602-2025 FSC-klagomål.docx", "A 38602-2025")</f>
        <v/>
      </c>
      <c r="W46">
        <f>HYPERLINK("https://klasma.github.io/Logging_0884/klagomålsmail/A 38602-2025 FSC-klagomål mail.docx", "A 38602-2025")</f>
        <v/>
      </c>
      <c r="X46">
        <f>HYPERLINK("https://klasma.github.io/Logging_0884/tillsyn/A 38602-2025 tillsynsbegäran.docx", "A 38602-2025")</f>
        <v/>
      </c>
      <c r="Y46">
        <f>HYPERLINK("https://klasma.github.io/Logging_0884/tillsynsmail/A 38602-2025 tillsynsbegäran mail.docx", "A 38602-2025")</f>
        <v/>
      </c>
    </row>
    <row r="47" ht="15" customHeight="1">
      <c r="A47" t="inlineStr">
        <is>
          <t>A 6841-2021</t>
        </is>
      </c>
      <c r="B47" s="1" t="n">
        <v>44236</v>
      </c>
      <c r="C47" s="1" t="n">
        <v>45925</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49059-2020</t>
        </is>
      </c>
      <c r="B48" s="1" t="n">
        <v>44102</v>
      </c>
      <c r="C48" s="1" t="n">
        <v>45925</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45925</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45925</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45925</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45925</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45925</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45925</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45925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45925</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45925</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45925</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45925</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45925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45925</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45925</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45925</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45925</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45925</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45925</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45925</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45925</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45925</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45925</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45925</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45925</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45925</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45925</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45925</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45925</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45925</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45925</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45925</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45925</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45925</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45925</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45925</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45925</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45925</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45925</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45925</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45925</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45925</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45925</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45925</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45925</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45925</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45925</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45925</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45925</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45925</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45925</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45925</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45925</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45925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45925</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45925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45925</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45925</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45925</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45925</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45925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45925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45925</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45925</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45925</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45925</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45925</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45925</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45925</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45925</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45925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45925</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45925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45925</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45925</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11814-2022</t>
        </is>
      </c>
      <c r="B133" s="1" t="n">
        <v>44634.69703703704</v>
      </c>
      <c r="C133" s="1" t="n">
        <v>45925</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45925</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31053-2022</t>
        </is>
      </c>
      <c r="B135" s="1" t="n">
        <v>44769.45422453704</v>
      </c>
      <c r="C135" s="1" t="n">
        <v>45925</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45925</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8454-2022</t>
        </is>
      </c>
      <c r="B137" s="1" t="n">
        <v>44612.86762731482</v>
      </c>
      <c r="C137" s="1" t="n">
        <v>45925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65887-2021</t>
        </is>
      </c>
      <c r="B138" s="1" t="n">
        <v>44517</v>
      </c>
      <c r="C138" s="1" t="n">
        <v>45925</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39959-2022</t>
        </is>
      </c>
      <c r="B139" s="1" t="n">
        <v>44819</v>
      </c>
      <c r="C139" s="1" t="n">
        <v>45925</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3330-2021</t>
        </is>
      </c>
      <c r="B140" s="1" t="n">
        <v>44217.79856481482</v>
      </c>
      <c r="C140" s="1" t="n">
        <v>45925</v>
      </c>
      <c r="D140" t="inlineStr">
        <is>
          <t>KALMAR LÄN</t>
        </is>
      </c>
      <c r="E140" t="inlineStr">
        <is>
          <t>VIMMERBY</t>
        </is>
      </c>
      <c r="G140" t="n">
        <v>11.1</v>
      </c>
      <c r="H140" t="n">
        <v>0</v>
      </c>
      <c r="I140" t="n">
        <v>0</v>
      </c>
      <c r="J140" t="n">
        <v>0</v>
      </c>
      <c r="K140" t="n">
        <v>0</v>
      </c>
      <c r="L140" t="n">
        <v>0</v>
      </c>
      <c r="M140" t="n">
        <v>0</v>
      </c>
      <c r="N140" t="n">
        <v>0</v>
      </c>
      <c r="O140" t="n">
        <v>0</v>
      </c>
      <c r="P140" t="n">
        <v>0</v>
      </c>
      <c r="Q140" t="n">
        <v>0</v>
      </c>
      <c r="R140" s="2" t="inlineStr"/>
    </row>
    <row r="141" ht="15" customHeight="1">
      <c r="A141" t="inlineStr">
        <is>
          <t>A 10086-2022</t>
        </is>
      </c>
      <c r="B141" s="1" t="n">
        <v>44621</v>
      </c>
      <c r="C141" s="1" t="n">
        <v>45925</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65564-2020</t>
        </is>
      </c>
      <c r="B142" s="1" t="n">
        <v>44172</v>
      </c>
      <c r="C142" s="1" t="n">
        <v>45925</v>
      </c>
      <c r="D142" t="inlineStr">
        <is>
          <t>KALMAR LÄN</t>
        </is>
      </c>
      <c r="E142" t="inlineStr">
        <is>
          <t>VIMMERBY</t>
        </is>
      </c>
      <c r="G142" t="n">
        <v>4.1</v>
      </c>
      <c r="H142" t="n">
        <v>0</v>
      </c>
      <c r="I142" t="n">
        <v>0</v>
      </c>
      <c r="J142" t="n">
        <v>0</v>
      </c>
      <c r="K142" t="n">
        <v>0</v>
      </c>
      <c r="L142" t="n">
        <v>0</v>
      </c>
      <c r="M142" t="n">
        <v>0</v>
      </c>
      <c r="N142" t="n">
        <v>0</v>
      </c>
      <c r="O142" t="n">
        <v>0</v>
      </c>
      <c r="P142" t="n">
        <v>0</v>
      </c>
      <c r="Q142" t="n">
        <v>0</v>
      </c>
      <c r="R142" s="2" t="inlineStr"/>
    </row>
    <row r="143" ht="15" customHeight="1">
      <c r="A143" t="inlineStr">
        <is>
          <t>A 48377-2021</t>
        </is>
      </c>
      <c r="B143" s="1" t="n">
        <v>44451.8375</v>
      </c>
      <c r="C143" s="1" t="n">
        <v>45925</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40472-2022</t>
        </is>
      </c>
      <c r="B144" s="1" t="n">
        <v>44823</v>
      </c>
      <c r="C144" s="1" t="n">
        <v>45925</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12661-2021</t>
        </is>
      </c>
      <c r="B145" s="1" t="n">
        <v>44270</v>
      </c>
      <c r="C145" s="1" t="n">
        <v>45925</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24999-2021</t>
        </is>
      </c>
      <c r="B146" s="1" t="n">
        <v>44341</v>
      </c>
      <c r="C146" s="1" t="n">
        <v>45925</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53145-2022</t>
        </is>
      </c>
      <c r="B147" s="1" t="n">
        <v>44876.48346064815</v>
      </c>
      <c r="C147" s="1" t="n">
        <v>45925</v>
      </c>
      <c r="D147" t="inlineStr">
        <is>
          <t>KALMAR LÄN</t>
        </is>
      </c>
      <c r="E147" t="inlineStr">
        <is>
          <t>VIMMERBY</t>
        </is>
      </c>
      <c r="G147" t="n">
        <v>0.4</v>
      </c>
      <c r="H147" t="n">
        <v>0</v>
      </c>
      <c r="I147" t="n">
        <v>0</v>
      </c>
      <c r="J147" t="n">
        <v>0</v>
      </c>
      <c r="K147" t="n">
        <v>0</v>
      </c>
      <c r="L147" t="n">
        <v>0</v>
      </c>
      <c r="M147" t="n">
        <v>0</v>
      </c>
      <c r="N147" t="n">
        <v>0</v>
      </c>
      <c r="O147" t="n">
        <v>0</v>
      </c>
      <c r="P147" t="n">
        <v>0</v>
      </c>
      <c r="Q147" t="n">
        <v>0</v>
      </c>
      <c r="R147" s="2" t="inlineStr"/>
    </row>
    <row r="148" ht="15" customHeight="1">
      <c r="A148" t="inlineStr">
        <is>
          <t>A 25738-2022</t>
        </is>
      </c>
      <c r="B148" s="1" t="n">
        <v>44733.43092592592</v>
      </c>
      <c r="C148" s="1" t="n">
        <v>45925</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7917-2022</t>
        </is>
      </c>
      <c r="B149" s="1" t="n">
        <v>44608</v>
      </c>
      <c r="C149" s="1" t="n">
        <v>45925</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35316-2021</t>
        </is>
      </c>
      <c r="B150" s="1" t="n">
        <v>44384</v>
      </c>
      <c r="C150" s="1" t="n">
        <v>45925</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47208-2021</t>
        </is>
      </c>
      <c r="B151" s="1" t="n">
        <v>44447.34237268518</v>
      </c>
      <c r="C151" s="1" t="n">
        <v>45925</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45925</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45925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16705-2021</t>
        </is>
      </c>
      <c r="B154" s="1" t="n">
        <v>44294</v>
      </c>
      <c r="C154" s="1" t="n">
        <v>45925</v>
      </c>
      <c r="D154" t="inlineStr">
        <is>
          <t>KALMAR LÄN</t>
        </is>
      </c>
      <c r="E154" t="inlineStr">
        <is>
          <t>VIMMERBY</t>
        </is>
      </c>
      <c r="G154" t="n">
        <v>2.6</v>
      </c>
      <c r="H154" t="n">
        <v>0</v>
      </c>
      <c r="I154" t="n">
        <v>0</v>
      </c>
      <c r="J154" t="n">
        <v>0</v>
      </c>
      <c r="K154" t="n">
        <v>0</v>
      </c>
      <c r="L154" t="n">
        <v>0</v>
      </c>
      <c r="M154" t="n">
        <v>0</v>
      </c>
      <c r="N154" t="n">
        <v>0</v>
      </c>
      <c r="O154" t="n">
        <v>0</v>
      </c>
      <c r="P154" t="n">
        <v>0</v>
      </c>
      <c r="Q154" t="n">
        <v>0</v>
      </c>
      <c r="R154" s="2" t="inlineStr"/>
    </row>
    <row r="155" ht="15" customHeight="1">
      <c r="A155" t="inlineStr">
        <is>
          <t>A 51977-2020</t>
        </is>
      </c>
      <c r="B155" s="1" t="n">
        <v>44116</v>
      </c>
      <c r="C155" s="1" t="n">
        <v>45925</v>
      </c>
      <c r="D155" t="inlineStr">
        <is>
          <t>KALMAR LÄN</t>
        </is>
      </c>
      <c r="E155" t="inlineStr">
        <is>
          <t>VIMMERBY</t>
        </is>
      </c>
      <c r="G155" t="n">
        <v>1.5</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45925</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56389-2021</t>
        </is>
      </c>
      <c r="B157" s="1" t="n">
        <v>44480</v>
      </c>
      <c r="C157" s="1" t="n">
        <v>45925</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8194-2022</t>
        </is>
      </c>
      <c r="B158" s="1" t="n">
        <v>44609</v>
      </c>
      <c r="C158" s="1" t="n">
        <v>45925</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15191-2021</t>
        </is>
      </c>
      <c r="B159" s="1" t="n">
        <v>44284.42348379629</v>
      </c>
      <c r="C159" s="1" t="n">
        <v>45925</v>
      </c>
      <c r="D159" t="inlineStr">
        <is>
          <t>KALMAR LÄN</t>
        </is>
      </c>
      <c r="E159" t="inlineStr">
        <is>
          <t>VIMMERBY</t>
        </is>
      </c>
      <c r="G159" t="n">
        <v>1.3</v>
      </c>
      <c r="H159" t="n">
        <v>0</v>
      </c>
      <c r="I159" t="n">
        <v>0</v>
      </c>
      <c r="J159" t="n">
        <v>0</v>
      </c>
      <c r="K159" t="n">
        <v>0</v>
      </c>
      <c r="L159" t="n">
        <v>0</v>
      </c>
      <c r="M159" t="n">
        <v>0</v>
      </c>
      <c r="N159" t="n">
        <v>0</v>
      </c>
      <c r="O159" t="n">
        <v>0</v>
      </c>
      <c r="P159" t="n">
        <v>0</v>
      </c>
      <c r="Q159" t="n">
        <v>0</v>
      </c>
      <c r="R159" s="2" t="inlineStr"/>
    </row>
    <row r="160" ht="15" customHeight="1">
      <c r="A160" t="inlineStr">
        <is>
          <t>A 40971-2021</t>
        </is>
      </c>
      <c r="B160" s="1" t="n">
        <v>44421</v>
      </c>
      <c r="C160" s="1" t="n">
        <v>45925</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68744-2020</t>
        </is>
      </c>
      <c r="B161" s="1" t="n">
        <v>44186</v>
      </c>
      <c r="C161" s="1" t="n">
        <v>45925</v>
      </c>
      <c r="D161" t="inlineStr">
        <is>
          <t>KALMAR LÄN</t>
        </is>
      </c>
      <c r="E161" t="inlineStr">
        <is>
          <t>VIMMERBY</t>
        </is>
      </c>
      <c r="G161" t="n">
        <v>2.5</v>
      </c>
      <c r="H161" t="n">
        <v>0</v>
      </c>
      <c r="I161" t="n">
        <v>0</v>
      </c>
      <c r="J161" t="n">
        <v>0</v>
      </c>
      <c r="K161" t="n">
        <v>0</v>
      </c>
      <c r="L161" t="n">
        <v>0</v>
      </c>
      <c r="M161" t="n">
        <v>0</v>
      </c>
      <c r="N161" t="n">
        <v>0</v>
      </c>
      <c r="O161" t="n">
        <v>0</v>
      </c>
      <c r="P161" t="n">
        <v>0</v>
      </c>
      <c r="Q161" t="n">
        <v>0</v>
      </c>
      <c r="R161" s="2" t="inlineStr"/>
    </row>
    <row r="162" ht="15" customHeight="1">
      <c r="A162" t="inlineStr">
        <is>
          <t>A 13457-2021</t>
        </is>
      </c>
      <c r="B162" s="1" t="n">
        <v>44273</v>
      </c>
      <c r="C162" s="1" t="n">
        <v>45925</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45925</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14278-2021</t>
        </is>
      </c>
      <c r="B164" s="1" t="n">
        <v>44278.63479166666</v>
      </c>
      <c r="C164" s="1" t="n">
        <v>45925</v>
      </c>
      <c r="D164" t="inlineStr">
        <is>
          <t>KALMAR LÄN</t>
        </is>
      </c>
      <c r="E164" t="inlineStr">
        <is>
          <t>VIMMERBY</t>
        </is>
      </c>
      <c r="F164" t="inlineStr">
        <is>
          <t>Övriga statliga verk och myndigheter</t>
        </is>
      </c>
      <c r="G164" t="n">
        <v>0.8</v>
      </c>
      <c r="H164" t="n">
        <v>0</v>
      </c>
      <c r="I164" t="n">
        <v>0</v>
      </c>
      <c r="J164" t="n">
        <v>0</v>
      </c>
      <c r="K164" t="n">
        <v>0</v>
      </c>
      <c r="L164" t="n">
        <v>0</v>
      </c>
      <c r="M164" t="n">
        <v>0</v>
      </c>
      <c r="N164" t="n">
        <v>0</v>
      </c>
      <c r="O164" t="n">
        <v>0</v>
      </c>
      <c r="P164" t="n">
        <v>0</v>
      </c>
      <c r="Q164" t="n">
        <v>0</v>
      </c>
      <c r="R164" s="2" t="inlineStr"/>
    </row>
    <row r="165" ht="15" customHeight="1">
      <c r="A165" t="inlineStr">
        <is>
          <t>A 67952-2021</t>
        </is>
      </c>
      <c r="B165" s="1" t="n">
        <v>44525.63913194444</v>
      </c>
      <c r="C165" s="1" t="n">
        <v>45925</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618-2021</t>
        </is>
      </c>
      <c r="B166" s="1" t="n">
        <v>44203</v>
      </c>
      <c r="C166" s="1" t="n">
        <v>45925</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14521-2021</t>
        </is>
      </c>
      <c r="B167" s="1" t="n">
        <v>44279.64934027778</v>
      </c>
      <c r="C167" s="1" t="n">
        <v>45925</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36117-2021</t>
        </is>
      </c>
      <c r="B168" s="1" t="n">
        <v>44386</v>
      </c>
      <c r="C168" s="1" t="n">
        <v>45925</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15533-2022</t>
        </is>
      </c>
      <c r="B169" s="1" t="n">
        <v>44662</v>
      </c>
      <c r="C169" s="1" t="n">
        <v>45925</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45925</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12241-2021</t>
        </is>
      </c>
      <c r="B171" s="1" t="n">
        <v>44266.7240625</v>
      </c>
      <c r="C171" s="1" t="n">
        <v>45925</v>
      </c>
      <c r="D171" t="inlineStr">
        <is>
          <t>KALMAR LÄN</t>
        </is>
      </c>
      <c r="E171" t="inlineStr">
        <is>
          <t>VIMMERBY</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12662-2021</t>
        </is>
      </c>
      <c r="B172" s="1" t="n">
        <v>44270.49743055556</v>
      </c>
      <c r="C172" s="1" t="n">
        <v>45925</v>
      </c>
      <c r="D172" t="inlineStr">
        <is>
          <t>KALMAR LÄN</t>
        </is>
      </c>
      <c r="E172" t="inlineStr">
        <is>
          <t>VIMMERBY</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165-2022</t>
        </is>
      </c>
      <c r="B173" s="1" t="n">
        <v>44564</v>
      </c>
      <c r="C173" s="1" t="n">
        <v>45925</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8453-2022</t>
        </is>
      </c>
      <c r="B174" s="1" t="n">
        <v>44612.86554398148</v>
      </c>
      <c r="C174" s="1" t="n">
        <v>45925</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45925</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50621-2022</t>
        </is>
      </c>
      <c r="B176" s="1" t="n">
        <v>44866.81100694444</v>
      </c>
      <c r="C176" s="1" t="n">
        <v>45925</v>
      </c>
      <c r="D176" t="inlineStr">
        <is>
          <t>KALMAR LÄN</t>
        </is>
      </c>
      <c r="E176" t="inlineStr">
        <is>
          <t>VIMMERBY</t>
        </is>
      </c>
      <c r="F176" t="inlineStr">
        <is>
          <t>Övriga Aktiebolag</t>
        </is>
      </c>
      <c r="G176" t="n">
        <v>5.1</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45925</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31824-2022</t>
        </is>
      </c>
      <c r="B178" s="1" t="n">
        <v>44776</v>
      </c>
      <c r="C178" s="1" t="n">
        <v>45925</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34040-2021</t>
        </is>
      </c>
      <c r="B179" s="1" t="n">
        <v>44379</v>
      </c>
      <c r="C179" s="1" t="n">
        <v>45925</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45925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15200-2021</t>
        </is>
      </c>
      <c r="B181" s="1" t="n">
        <v>44284.44574074074</v>
      </c>
      <c r="C181" s="1" t="n">
        <v>45925</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46964-2022</t>
        </is>
      </c>
      <c r="B182" s="1" t="n">
        <v>44851.95016203704</v>
      </c>
      <c r="C182" s="1" t="n">
        <v>45925</v>
      </c>
      <c r="D182" t="inlineStr">
        <is>
          <t>KALMAR LÄN</t>
        </is>
      </c>
      <c r="E182" t="inlineStr">
        <is>
          <t>VIMMERBY</t>
        </is>
      </c>
      <c r="G182" t="n">
        <v>0.2</v>
      </c>
      <c r="H182" t="n">
        <v>0</v>
      </c>
      <c r="I182" t="n">
        <v>0</v>
      </c>
      <c r="J182" t="n">
        <v>0</v>
      </c>
      <c r="K182" t="n">
        <v>0</v>
      </c>
      <c r="L182" t="n">
        <v>0</v>
      </c>
      <c r="M182" t="n">
        <v>0</v>
      </c>
      <c r="N182" t="n">
        <v>0</v>
      </c>
      <c r="O182" t="n">
        <v>0</v>
      </c>
      <c r="P182" t="n">
        <v>0</v>
      </c>
      <c r="Q182" t="n">
        <v>0</v>
      </c>
      <c r="R182" s="2" t="inlineStr"/>
    </row>
    <row r="183" ht="15" customHeight="1">
      <c r="A183" t="inlineStr">
        <is>
          <t>A 23825-2022</t>
        </is>
      </c>
      <c r="B183" s="1" t="n">
        <v>44722.48768518519</v>
      </c>
      <c r="C183" s="1" t="n">
        <v>45925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12107-2022</t>
        </is>
      </c>
      <c r="B184" s="1" t="n">
        <v>44636</v>
      </c>
      <c r="C184" s="1" t="n">
        <v>45925</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45925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45925</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39225-2022</t>
        </is>
      </c>
      <c r="B187" s="1" t="n">
        <v>44817.57988425926</v>
      </c>
      <c r="C187" s="1" t="n">
        <v>45925</v>
      </c>
      <c r="D187" t="inlineStr">
        <is>
          <t>KALMAR LÄN</t>
        </is>
      </c>
      <c r="E187" t="inlineStr">
        <is>
          <t>VIMMERBY</t>
        </is>
      </c>
      <c r="G187" t="n">
        <v>2.2</v>
      </c>
      <c r="H187" t="n">
        <v>0</v>
      </c>
      <c r="I187" t="n">
        <v>0</v>
      </c>
      <c r="J187" t="n">
        <v>0</v>
      </c>
      <c r="K187" t="n">
        <v>0</v>
      </c>
      <c r="L187" t="n">
        <v>0</v>
      </c>
      <c r="M187" t="n">
        <v>0</v>
      </c>
      <c r="N187" t="n">
        <v>0</v>
      </c>
      <c r="O187" t="n">
        <v>0</v>
      </c>
      <c r="P187" t="n">
        <v>0</v>
      </c>
      <c r="Q187" t="n">
        <v>0</v>
      </c>
      <c r="R187" s="2" t="inlineStr"/>
    </row>
    <row r="188" ht="15" customHeight="1">
      <c r="A188" t="inlineStr">
        <is>
          <t>A 16602-2021</t>
        </is>
      </c>
      <c r="B188" s="1" t="n">
        <v>44294</v>
      </c>
      <c r="C188" s="1" t="n">
        <v>45925</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16607-2021</t>
        </is>
      </c>
      <c r="B189" s="1" t="n">
        <v>44294</v>
      </c>
      <c r="C189" s="1" t="n">
        <v>45925</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16288-2021</t>
        </is>
      </c>
      <c r="B190" s="1" t="n">
        <v>44292</v>
      </c>
      <c r="C190" s="1" t="n">
        <v>45925</v>
      </c>
      <c r="D190" t="inlineStr">
        <is>
          <t>KALMAR LÄN</t>
        </is>
      </c>
      <c r="E190" t="inlineStr">
        <is>
          <t>VIMMERBY</t>
        </is>
      </c>
      <c r="F190" t="inlineStr">
        <is>
          <t>Övriga Aktiebolag</t>
        </is>
      </c>
      <c r="G190" t="n">
        <v>27.6</v>
      </c>
      <c r="H190" t="n">
        <v>0</v>
      </c>
      <c r="I190" t="n">
        <v>0</v>
      </c>
      <c r="J190" t="n">
        <v>0</v>
      </c>
      <c r="K190" t="n">
        <v>0</v>
      </c>
      <c r="L190" t="n">
        <v>0</v>
      </c>
      <c r="M190" t="n">
        <v>0</v>
      </c>
      <c r="N190" t="n">
        <v>0</v>
      </c>
      <c r="O190" t="n">
        <v>0</v>
      </c>
      <c r="P190" t="n">
        <v>0</v>
      </c>
      <c r="Q190" t="n">
        <v>0</v>
      </c>
      <c r="R190" s="2" t="inlineStr"/>
    </row>
    <row r="191" ht="15" customHeight="1">
      <c r="A191" t="inlineStr">
        <is>
          <t>A 17029-2022</t>
        </is>
      </c>
      <c r="B191" s="1" t="n">
        <v>44676.85248842592</v>
      </c>
      <c r="C191" s="1" t="n">
        <v>45925</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13180-2022</t>
        </is>
      </c>
      <c r="B192" s="1" t="n">
        <v>44644</v>
      </c>
      <c r="C192" s="1" t="n">
        <v>45925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29441-2024</t>
        </is>
      </c>
      <c r="B193" s="1" t="n">
        <v>45483.82834490741</v>
      </c>
      <c r="C193" s="1" t="n">
        <v>45925</v>
      </c>
      <c r="D193" t="inlineStr">
        <is>
          <t>KALMAR LÄN</t>
        </is>
      </c>
      <c r="E193" t="inlineStr">
        <is>
          <t>VIMMERBY</t>
        </is>
      </c>
      <c r="G193" t="n">
        <v>1.3</v>
      </c>
      <c r="H193" t="n">
        <v>0</v>
      </c>
      <c r="I193" t="n">
        <v>0</v>
      </c>
      <c r="J193" t="n">
        <v>0</v>
      </c>
      <c r="K193" t="n">
        <v>0</v>
      </c>
      <c r="L193" t="n">
        <v>0</v>
      </c>
      <c r="M193" t="n">
        <v>0</v>
      </c>
      <c r="N193" t="n">
        <v>0</v>
      </c>
      <c r="O193" t="n">
        <v>0</v>
      </c>
      <c r="P193" t="n">
        <v>0</v>
      </c>
      <c r="Q193" t="n">
        <v>0</v>
      </c>
      <c r="R193" s="2" t="inlineStr"/>
    </row>
    <row r="194" ht="15" customHeight="1">
      <c r="A194" t="inlineStr">
        <is>
          <t>A 7167-2022</t>
        </is>
      </c>
      <c r="B194" s="1" t="n">
        <v>44604</v>
      </c>
      <c r="C194" s="1" t="n">
        <v>45925</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25728-2023</t>
        </is>
      </c>
      <c r="B195" s="1" t="n">
        <v>45090.38012731481</v>
      </c>
      <c r="C195" s="1" t="n">
        <v>45925</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18356-2021</t>
        </is>
      </c>
      <c r="B196" s="1" t="n">
        <v>44305</v>
      </c>
      <c r="C196" s="1" t="n">
        <v>45925</v>
      </c>
      <c r="D196" t="inlineStr">
        <is>
          <t>KALMAR LÄN</t>
        </is>
      </c>
      <c r="E196" t="inlineStr">
        <is>
          <t>VIMMERBY</t>
        </is>
      </c>
      <c r="G196" t="n">
        <v>3.4</v>
      </c>
      <c r="H196" t="n">
        <v>0</v>
      </c>
      <c r="I196" t="n">
        <v>0</v>
      </c>
      <c r="J196" t="n">
        <v>0</v>
      </c>
      <c r="K196" t="n">
        <v>0</v>
      </c>
      <c r="L196" t="n">
        <v>0</v>
      </c>
      <c r="M196" t="n">
        <v>0</v>
      </c>
      <c r="N196" t="n">
        <v>0</v>
      </c>
      <c r="O196" t="n">
        <v>0</v>
      </c>
      <c r="P196" t="n">
        <v>0</v>
      </c>
      <c r="Q196" t="n">
        <v>0</v>
      </c>
      <c r="R196" s="2" t="inlineStr"/>
    </row>
    <row r="197" ht="15" customHeight="1">
      <c r="A197" t="inlineStr">
        <is>
          <t>A 57948-2020</t>
        </is>
      </c>
      <c r="B197" s="1" t="n">
        <v>44142</v>
      </c>
      <c r="C197" s="1" t="n">
        <v>45925</v>
      </c>
      <c r="D197" t="inlineStr">
        <is>
          <t>KALMAR LÄN</t>
        </is>
      </c>
      <c r="E197" t="inlineStr">
        <is>
          <t>VIMMERBY</t>
        </is>
      </c>
      <c r="G197" t="n">
        <v>7.1</v>
      </c>
      <c r="H197" t="n">
        <v>0</v>
      </c>
      <c r="I197" t="n">
        <v>0</v>
      </c>
      <c r="J197" t="n">
        <v>0</v>
      </c>
      <c r="K197" t="n">
        <v>0</v>
      </c>
      <c r="L197" t="n">
        <v>0</v>
      </c>
      <c r="M197" t="n">
        <v>0</v>
      </c>
      <c r="N197" t="n">
        <v>0</v>
      </c>
      <c r="O197" t="n">
        <v>0</v>
      </c>
      <c r="P197" t="n">
        <v>0</v>
      </c>
      <c r="Q197" t="n">
        <v>0</v>
      </c>
      <c r="R197" s="2" t="inlineStr"/>
    </row>
    <row r="198" ht="15" customHeight="1">
      <c r="A198" t="inlineStr">
        <is>
          <t>A 18276-2021</t>
        </is>
      </c>
      <c r="B198" s="1" t="n">
        <v>44305.40046296296</v>
      </c>
      <c r="C198" s="1" t="n">
        <v>45925</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47473-2021</t>
        </is>
      </c>
      <c r="B199" s="1" t="n">
        <v>44447</v>
      </c>
      <c r="C199" s="1" t="n">
        <v>45925</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35001-2021</t>
        </is>
      </c>
      <c r="B200" s="1" t="n">
        <v>44383</v>
      </c>
      <c r="C200" s="1" t="n">
        <v>45925</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55674-2021</t>
        </is>
      </c>
      <c r="B201" s="1" t="n">
        <v>44476</v>
      </c>
      <c r="C201" s="1" t="n">
        <v>45925</v>
      </c>
      <c r="D201" t="inlineStr">
        <is>
          <t>KALMAR LÄN</t>
        </is>
      </c>
      <c r="E201" t="inlineStr">
        <is>
          <t>VIMMERBY</t>
        </is>
      </c>
      <c r="G201" t="n">
        <v>2.1</v>
      </c>
      <c r="H201" t="n">
        <v>0</v>
      </c>
      <c r="I201" t="n">
        <v>0</v>
      </c>
      <c r="J201" t="n">
        <v>0</v>
      </c>
      <c r="K201" t="n">
        <v>0</v>
      </c>
      <c r="L201" t="n">
        <v>0</v>
      </c>
      <c r="M201" t="n">
        <v>0</v>
      </c>
      <c r="N201" t="n">
        <v>0</v>
      </c>
      <c r="O201" t="n">
        <v>0</v>
      </c>
      <c r="P201" t="n">
        <v>0</v>
      </c>
      <c r="Q201" t="n">
        <v>0</v>
      </c>
      <c r="R201" s="2" t="inlineStr"/>
    </row>
    <row r="202" ht="15" customHeight="1">
      <c r="A202" t="inlineStr">
        <is>
          <t>A 40077-2021</t>
        </is>
      </c>
      <c r="B202" s="1" t="n">
        <v>44418</v>
      </c>
      <c r="C202" s="1" t="n">
        <v>45925</v>
      </c>
      <c r="D202" t="inlineStr">
        <is>
          <t>KALMAR LÄN</t>
        </is>
      </c>
      <c r="E202" t="inlineStr">
        <is>
          <t>VIMMERBY</t>
        </is>
      </c>
      <c r="G202" t="n">
        <v>2.9</v>
      </c>
      <c r="H202" t="n">
        <v>0</v>
      </c>
      <c r="I202" t="n">
        <v>0</v>
      </c>
      <c r="J202" t="n">
        <v>0</v>
      </c>
      <c r="K202" t="n">
        <v>0</v>
      </c>
      <c r="L202" t="n">
        <v>0</v>
      </c>
      <c r="M202" t="n">
        <v>0</v>
      </c>
      <c r="N202" t="n">
        <v>0</v>
      </c>
      <c r="O202" t="n">
        <v>0</v>
      </c>
      <c r="P202" t="n">
        <v>0</v>
      </c>
      <c r="Q202" t="n">
        <v>0</v>
      </c>
      <c r="R202" s="2" t="inlineStr"/>
    </row>
    <row r="203" ht="15" customHeight="1">
      <c r="A203" t="inlineStr">
        <is>
          <t>A 42850-2022</t>
        </is>
      </c>
      <c r="B203" s="1" t="n">
        <v>44832.67608796297</v>
      </c>
      <c r="C203" s="1" t="n">
        <v>45925</v>
      </c>
      <c r="D203" t="inlineStr">
        <is>
          <t>KALMAR LÄN</t>
        </is>
      </c>
      <c r="E203" t="inlineStr">
        <is>
          <t>VIMMERBY</t>
        </is>
      </c>
      <c r="G203" t="n">
        <v>5.9</v>
      </c>
      <c r="H203" t="n">
        <v>0</v>
      </c>
      <c r="I203" t="n">
        <v>0</v>
      </c>
      <c r="J203" t="n">
        <v>0</v>
      </c>
      <c r="K203" t="n">
        <v>0</v>
      </c>
      <c r="L203" t="n">
        <v>0</v>
      </c>
      <c r="M203" t="n">
        <v>0</v>
      </c>
      <c r="N203" t="n">
        <v>0</v>
      </c>
      <c r="O203" t="n">
        <v>0</v>
      </c>
      <c r="P203" t="n">
        <v>0</v>
      </c>
      <c r="Q203" t="n">
        <v>0</v>
      </c>
      <c r="R203" s="2" t="inlineStr"/>
    </row>
    <row r="204" ht="15" customHeight="1">
      <c r="A204" t="inlineStr">
        <is>
          <t>A 41056-2022</t>
        </is>
      </c>
      <c r="B204" s="1" t="n">
        <v>44824</v>
      </c>
      <c r="C204" s="1" t="n">
        <v>45925</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31660-2021</t>
        </is>
      </c>
      <c r="B205" s="1" t="n">
        <v>44369</v>
      </c>
      <c r="C205" s="1" t="n">
        <v>45925</v>
      </c>
      <c r="D205" t="inlineStr">
        <is>
          <t>KALMAR LÄN</t>
        </is>
      </c>
      <c r="E205" t="inlineStr">
        <is>
          <t>VIMMERBY</t>
        </is>
      </c>
      <c r="G205" t="n">
        <v>4.2</v>
      </c>
      <c r="H205" t="n">
        <v>0</v>
      </c>
      <c r="I205" t="n">
        <v>0</v>
      </c>
      <c r="J205" t="n">
        <v>0</v>
      </c>
      <c r="K205" t="n">
        <v>0</v>
      </c>
      <c r="L205" t="n">
        <v>0</v>
      </c>
      <c r="M205" t="n">
        <v>0</v>
      </c>
      <c r="N205" t="n">
        <v>0</v>
      </c>
      <c r="O205" t="n">
        <v>0</v>
      </c>
      <c r="P205" t="n">
        <v>0</v>
      </c>
      <c r="Q205" t="n">
        <v>0</v>
      </c>
      <c r="R205" s="2" t="inlineStr"/>
    </row>
    <row r="206" ht="15" customHeight="1">
      <c r="A206" t="inlineStr">
        <is>
          <t>A 27455-2022</t>
        </is>
      </c>
      <c r="B206" s="1" t="n">
        <v>44742</v>
      </c>
      <c r="C206" s="1" t="n">
        <v>45925</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47769-2022</t>
        </is>
      </c>
      <c r="B207" s="1" t="n">
        <v>44854</v>
      </c>
      <c r="C207" s="1" t="n">
        <v>45925</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52435-2021</t>
        </is>
      </c>
      <c r="B208" s="1" t="n">
        <v>44466.34962962963</v>
      </c>
      <c r="C208" s="1" t="n">
        <v>45925</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29093-2023</t>
        </is>
      </c>
      <c r="B209" s="1" t="n">
        <v>45105</v>
      </c>
      <c r="C209" s="1" t="n">
        <v>45925</v>
      </c>
      <c r="D209" t="inlineStr">
        <is>
          <t>KALMAR LÄN</t>
        </is>
      </c>
      <c r="E209" t="inlineStr">
        <is>
          <t>VIMMERBY</t>
        </is>
      </c>
      <c r="G209" t="n">
        <v>2.9</v>
      </c>
      <c r="H209" t="n">
        <v>0</v>
      </c>
      <c r="I209" t="n">
        <v>0</v>
      </c>
      <c r="J209" t="n">
        <v>0</v>
      </c>
      <c r="K209" t="n">
        <v>0</v>
      </c>
      <c r="L209" t="n">
        <v>0</v>
      </c>
      <c r="M209" t="n">
        <v>0</v>
      </c>
      <c r="N209" t="n">
        <v>0</v>
      </c>
      <c r="O209" t="n">
        <v>0</v>
      </c>
      <c r="P209" t="n">
        <v>0</v>
      </c>
      <c r="Q209" t="n">
        <v>0</v>
      </c>
      <c r="R209" s="2" t="inlineStr"/>
    </row>
    <row r="210" ht="15" customHeight="1">
      <c r="A210" t="inlineStr">
        <is>
          <t>A 14220-2021</t>
        </is>
      </c>
      <c r="B210" s="1" t="n">
        <v>44278.54855324074</v>
      </c>
      <c r="C210" s="1" t="n">
        <v>45925</v>
      </c>
      <c r="D210" t="inlineStr">
        <is>
          <t>KALMAR LÄN</t>
        </is>
      </c>
      <c r="E210" t="inlineStr">
        <is>
          <t>VIMMERBY</t>
        </is>
      </c>
      <c r="G210" t="n">
        <v>0.3</v>
      </c>
      <c r="H210" t="n">
        <v>0</v>
      </c>
      <c r="I210" t="n">
        <v>0</v>
      </c>
      <c r="J210" t="n">
        <v>0</v>
      </c>
      <c r="K210" t="n">
        <v>0</v>
      </c>
      <c r="L210" t="n">
        <v>0</v>
      </c>
      <c r="M210" t="n">
        <v>0</v>
      </c>
      <c r="N210" t="n">
        <v>0</v>
      </c>
      <c r="O210" t="n">
        <v>0</v>
      </c>
      <c r="P210" t="n">
        <v>0</v>
      </c>
      <c r="Q210" t="n">
        <v>0</v>
      </c>
      <c r="R210" s="2" t="inlineStr"/>
    </row>
    <row r="211" ht="15" customHeight="1">
      <c r="A211" t="inlineStr">
        <is>
          <t>A 58374-2024</t>
        </is>
      </c>
      <c r="B211" s="1" t="n">
        <v>45632.72635416667</v>
      </c>
      <c r="C211" s="1" t="n">
        <v>45925</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46522-2022</t>
        </is>
      </c>
      <c r="B212" s="1" t="n">
        <v>44848.59133101852</v>
      </c>
      <c r="C212" s="1" t="n">
        <v>45925</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33359-2021</t>
        </is>
      </c>
      <c r="B213" s="1" t="n">
        <v>44377.49684027778</v>
      </c>
      <c r="C213" s="1" t="n">
        <v>45925</v>
      </c>
      <c r="D213" t="inlineStr">
        <is>
          <t>KALMAR LÄN</t>
        </is>
      </c>
      <c r="E213" t="inlineStr">
        <is>
          <t>VIMMERBY</t>
        </is>
      </c>
      <c r="F213" t="inlineStr">
        <is>
          <t>Kommuner</t>
        </is>
      </c>
      <c r="G213" t="n">
        <v>8</v>
      </c>
      <c r="H213" t="n">
        <v>0</v>
      </c>
      <c r="I213" t="n">
        <v>0</v>
      </c>
      <c r="J213" t="n">
        <v>0</v>
      </c>
      <c r="K213" t="n">
        <v>0</v>
      </c>
      <c r="L213" t="n">
        <v>0</v>
      </c>
      <c r="M213" t="n">
        <v>0</v>
      </c>
      <c r="N213" t="n">
        <v>0</v>
      </c>
      <c r="O213" t="n">
        <v>0</v>
      </c>
      <c r="P213" t="n">
        <v>0</v>
      </c>
      <c r="Q213" t="n">
        <v>0</v>
      </c>
      <c r="R213" s="2" t="inlineStr"/>
    </row>
    <row r="214" ht="15" customHeight="1">
      <c r="A214" t="inlineStr">
        <is>
          <t>A 21109-2024</t>
        </is>
      </c>
      <c r="B214" s="1" t="n">
        <v>45440.28329861111</v>
      </c>
      <c r="C214" s="1" t="n">
        <v>45925</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43038-2022</t>
        </is>
      </c>
      <c r="B215" s="1" t="n">
        <v>44833.60123842592</v>
      </c>
      <c r="C215" s="1" t="n">
        <v>45925</v>
      </c>
      <c r="D215" t="inlineStr">
        <is>
          <t>KALMAR LÄN</t>
        </is>
      </c>
      <c r="E215" t="inlineStr">
        <is>
          <t>VIMMERBY</t>
        </is>
      </c>
      <c r="G215" t="n">
        <v>4.2</v>
      </c>
      <c r="H215" t="n">
        <v>0</v>
      </c>
      <c r="I215" t="n">
        <v>0</v>
      </c>
      <c r="J215" t="n">
        <v>0</v>
      </c>
      <c r="K215" t="n">
        <v>0</v>
      </c>
      <c r="L215" t="n">
        <v>0</v>
      </c>
      <c r="M215" t="n">
        <v>0</v>
      </c>
      <c r="N215" t="n">
        <v>0</v>
      </c>
      <c r="O215" t="n">
        <v>0</v>
      </c>
      <c r="P215" t="n">
        <v>0</v>
      </c>
      <c r="Q215" t="n">
        <v>0</v>
      </c>
      <c r="R215" s="2" t="inlineStr"/>
    </row>
    <row r="216" ht="15" customHeight="1">
      <c r="A216" t="inlineStr">
        <is>
          <t>A 50087-2023</t>
        </is>
      </c>
      <c r="B216" s="1" t="n">
        <v>45215.59743055556</v>
      </c>
      <c r="C216" s="1" t="n">
        <v>45925</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33681-2022</t>
        </is>
      </c>
      <c r="B217" s="1" t="n">
        <v>44789</v>
      </c>
      <c r="C217" s="1" t="n">
        <v>45925</v>
      </c>
      <c r="D217" t="inlineStr">
        <is>
          <t>KALMAR LÄN</t>
        </is>
      </c>
      <c r="E217" t="inlineStr">
        <is>
          <t>VIMMERBY</t>
        </is>
      </c>
      <c r="G217" t="n">
        <v>3.2</v>
      </c>
      <c r="H217" t="n">
        <v>0</v>
      </c>
      <c r="I217" t="n">
        <v>0</v>
      </c>
      <c r="J217" t="n">
        <v>0</v>
      </c>
      <c r="K217" t="n">
        <v>0</v>
      </c>
      <c r="L217" t="n">
        <v>0</v>
      </c>
      <c r="M217" t="n">
        <v>0</v>
      </c>
      <c r="N217" t="n">
        <v>0</v>
      </c>
      <c r="O217" t="n">
        <v>0</v>
      </c>
      <c r="P217" t="n">
        <v>0</v>
      </c>
      <c r="Q217" t="n">
        <v>0</v>
      </c>
      <c r="R217" s="2" t="inlineStr"/>
    </row>
    <row r="218" ht="15" customHeight="1">
      <c r="A218" t="inlineStr">
        <is>
          <t>A 33815-2022</t>
        </is>
      </c>
      <c r="B218" s="1" t="n">
        <v>44790.45876157407</v>
      </c>
      <c r="C218" s="1" t="n">
        <v>45925</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55300-2021</t>
        </is>
      </c>
      <c r="B219" s="1" t="n">
        <v>44475</v>
      </c>
      <c r="C219" s="1" t="n">
        <v>45925</v>
      </c>
      <c r="D219" t="inlineStr">
        <is>
          <t>KALMAR LÄN</t>
        </is>
      </c>
      <c r="E219" t="inlineStr">
        <is>
          <t>VIMMERBY</t>
        </is>
      </c>
      <c r="G219" t="n">
        <v>3.4</v>
      </c>
      <c r="H219" t="n">
        <v>0</v>
      </c>
      <c r="I219" t="n">
        <v>0</v>
      </c>
      <c r="J219" t="n">
        <v>0</v>
      </c>
      <c r="K219" t="n">
        <v>0</v>
      </c>
      <c r="L219" t="n">
        <v>0</v>
      </c>
      <c r="M219" t="n">
        <v>0</v>
      </c>
      <c r="N219" t="n">
        <v>0</v>
      </c>
      <c r="O219" t="n">
        <v>0</v>
      </c>
      <c r="P219" t="n">
        <v>0</v>
      </c>
      <c r="Q219" t="n">
        <v>0</v>
      </c>
      <c r="R219" s="2" t="inlineStr"/>
    </row>
    <row r="220" ht="15" customHeight="1">
      <c r="A220" t="inlineStr">
        <is>
          <t>A 49461-2022</t>
        </is>
      </c>
      <c r="B220" s="1" t="n">
        <v>44861</v>
      </c>
      <c r="C220" s="1" t="n">
        <v>45925</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53542-2022</t>
        </is>
      </c>
      <c r="B221" s="1" t="n">
        <v>44879.62173611111</v>
      </c>
      <c r="C221" s="1" t="n">
        <v>45925</v>
      </c>
      <c r="D221" t="inlineStr">
        <is>
          <t>KALMAR LÄN</t>
        </is>
      </c>
      <c r="E221" t="inlineStr">
        <is>
          <t>VIMMERBY</t>
        </is>
      </c>
      <c r="G221" t="n">
        <v>2.6</v>
      </c>
      <c r="H221" t="n">
        <v>0</v>
      </c>
      <c r="I221" t="n">
        <v>0</v>
      </c>
      <c r="J221" t="n">
        <v>0</v>
      </c>
      <c r="K221" t="n">
        <v>0</v>
      </c>
      <c r="L221" t="n">
        <v>0</v>
      </c>
      <c r="M221" t="n">
        <v>0</v>
      </c>
      <c r="N221" t="n">
        <v>0</v>
      </c>
      <c r="O221" t="n">
        <v>0</v>
      </c>
      <c r="P221" t="n">
        <v>0</v>
      </c>
      <c r="Q221" t="n">
        <v>0</v>
      </c>
      <c r="R221" s="2" t="inlineStr"/>
    </row>
    <row r="222" ht="15" customHeight="1">
      <c r="A222" t="inlineStr">
        <is>
          <t>A 47263-2023</t>
        </is>
      </c>
      <c r="B222" s="1" t="n">
        <v>45202.4209837963</v>
      </c>
      <c r="C222" s="1" t="n">
        <v>45925</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35713-2023</t>
        </is>
      </c>
      <c r="B223" s="1" t="n">
        <v>45147</v>
      </c>
      <c r="C223" s="1" t="n">
        <v>45925</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39736-2025</t>
        </is>
      </c>
      <c r="B224" s="1" t="n">
        <v>45891</v>
      </c>
      <c r="C224" s="1" t="n">
        <v>45925</v>
      </c>
      <c r="D224" t="inlineStr">
        <is>
          <t>KALMAR LÄN</t>
        </is>
      </c>
      <c r="E224" t="inlineStr">
        <is>
          <t>VIMMERBY</t>
        </is>
      </c>
      <c r="G224" t="n">
        <v>12.8</v>
      </c>
      <c r="H224" t="n">
        <v>0</v>
      </c>
      <c r="I224" t="n">
        <v>0</v>
      </c>
      <c r="J224" t="n">
        <v>0</v>
      </c>
      <c r="K224" t="n">
        <v>0</v>
      </c>
      <c r="L224" t="n">
        <v>0</v>
      </c>
      <c r="M224" t="n">
        <v>0</v>
      </c>
      <c r="N224" t="n">
        <v>0</v>
      </c>
      <c r="O224" t="n">
        <v>0</v>
      </c>
      <c r="P224" t="n">
        <v>0</v>
      </c>
      <c r="Q224" t="n">
        <v>0</v>
      </c>
      <c r="R224" s="2" t="inlineStr"/>
    </row>
    <row r="225" ht="15" customHeight="1">
      <c r="A225" t="inlineStr">
        <is>
          <t>A 10424-2023</t>
        </is>
      </c>
      <c r="B225" s="1" t="n">
        <v>44987.54104166666</v>
      </c>
      <c r="C225" s="1" t="n">
        <v>45925</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39803-2025</t>
        </is>
      </c>
      <c r="B226" s="1" t="n">
        <v>45891.50525462963</v>
      </c>
      <c r="C226" s="1" t="n">
        <v>45925</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39807-2025</t>
        </is>
      </c>
      <c r="B227" s="1" t="n">
        <v>45891.50986111111</v>
      </c>
      <c r="C227" s="1" t="n">
        <v>45925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45925</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12033-2024</t>
        </is>
      </c>
      <c r="B229" s="1" t="n">
        <v>45377.40043981482</v>
      </c>
      <c r="C229" s="1" t="n">
        <v>45925</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6214-2025</t>
        </is>
      </c>
      <c r="B230" s="1" t="n">
        <v>45698.51711805556</v>
      </c>
      <c r="C230" s="1" t="n">
        <v>45925</v>
      </c>
      <c r="D230" t="inlineStr">
        <is>
          <t>KALMAR LÄN</t>
        </is>
      </c>
      <c r="E230" t="inlineStr">
        <is>
          <t>VIMMERBY</t>
        </is>
      </c>
      <c r="G230" t="n">
        <v>1.2</v>
      </c>
      <c r="H230" t="n">
        <v>0</v>
      </c>
      <c r="I230" t="n">
        <v>0</v>
      </c>
      <c r="J230" t="n">
        <v>0</v>
      </c>
      <c r="K230" t="n">
        <v>0</v>
      </c>
      <c r="L230" t="n">
        <v>0</v>
      </c>
      <c r="M230" t="n">
        <v>0</v>
      </c>
      <c r="N230" t="n">
        <v>0</v>
      </c>
      <c r="O230" t="n">
        <v>0</v>
      </c>
      <c r="P230" t="n">
        <v>0</v>
      </c>
      <c r="Q230" t="n">
        <v>0</v>
      </c>
      <c r="R230" s="2" t="inlineStr"/>
    </row>
    <row r="231" ht="15" customHeight="1">
      <c r="A231" t="inlineStr">
        <is>
          <t>A 49408-2023</t>
        </is>
      </c>
      <c r="B231" s="1" t="n">
        <v>45211.43555555555</v>
      </c>
      <c r="C231" s="1" t="n">
        <v>45925</v>
      </c>
      <c r="D231" t="inlineStr">
        <is>
          <t>KALMAR LÄN</t>
        </is>
      </c>
      <c r="E231" t="inlineStr">
        <is>
          <t>VIMMERBY</t>
        </is>
      </c>
      <c r="G231" t="n">
        <v>13.1</v>
      </c>
      <c r="H231" t="n">
        <v>0</v>
      </c>
      <c r="I231" t="n">
        <v>0</v>
      </c>
      <c r="J231" t="n">
        <v>0</v>
      </c>
      <c r="K231" t="n">
        <v>0</v>
      </c>
      <c r="L231" t="n">
        <v>0</v>
      </c>
      <c r="M231" t="n">
        <v>0</v>
      </c>
      <c r="N231" t="n">
        <v>0</v>
      </c>
      <c r="O231" t="n">
        <v>0</v>
      </c>
      <c r="P231" t="n">
        <v>0</v>
      </c>
      <c r="Q231" t="n">
        <v>0</v>
      </c>
      <c r="R231" s="2" t="inlineStr"/>
    </row>
    <row r="232" ht="15" customHeight="1">
      <c r="A232" t="inlineStr">
        <is>
          <t>A 2536-2023</t>
        </is>
      </c>
      <c r="B232" s="1" t="n">
        <v>44943.62954861111</v>
      </c>
      <c r="C232" s="1" t="n">
        <v>45925</v>
      </c>
      <c r="D232" t="inlineStr">
        <is>
          <t>KALMAR LÄN</t>
        </is>
      </c>
      <c r="E232" t="inlineStr">
        <is>
          <t>VIMMERBY</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27443-2023</t>
        </is>
      </c>
      <c r="B233" s="1" t="n">
        <v>45097.40524305555</v>
      </c>
      <c r="C233" s="1" t="n">
        <v>45925</v>
      </c>
      <c r="D233" t="inlineStr">
        <is>
          <t>KALMAR LÄN</t>
        </is>
      </c>
      <c r="E233" t="inlineStr">
        <is>
          <t>VIMMERBY</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2801-2023</t>
        </is>
      </c>
      <c r="B234" s="1" t="n">
        <v>44944.73487268519</v>
      </c>
      <c r="C234" s="1" t="n">
        <v>45925</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28395-2023</t>
        </is>
      </c>
      <c r="B235" s="1" t="n">
        <v>45100.4062962963</v>
      </c>
      <c r="C235" s="1" t="n">
        <v>45925</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17968-2025</t>
        </is>
      </c>
      <c r="B236" s="1" t="n">
        <v>45761.35990740741</v>
      </c>
      <c r="C236" s="1" t="n">
        <v>45925</v>
      </c>
      <c r="D236" t="inlineStr">
        <is>
          <t>KALMAR LÄN</t>
        </is>
      </c>
      <c r="E236" t="inlineStr">
        <is>
          <t>VIMMERBY</t>
        </is>
      </c>
      <c r="G236" t="n">
        <v>3.3</v>
      </c>
      <c r="H236" t="n">
        <v>0</v>
      </c>
      <c r="I236" t="n">
        <v>0</v>
      </c>
      <c r="J236" t="n">
        <v>0</v>
      </c>
      <c r="K236" t="n">
        <v>0</v>
      </c>
      <c r="L236" t="n">
        <v>0</v>
      </c>
      <c r="M236" t="n">
        <v>0</v>
      </c>
      <c r="N236" t="n">
        <v>0</v>
      </c>
      <c r="O236" t="n">
        <v>0</v>
      </c>
      <c r="P236" t="n">
        <v>0</v>
      </c>
      <c r="Q236" t="n">
        <v>0</v>
      </c>
      <c r="R236" s="2" t="inlineStr"/>
    </row>
    <row r="237" ht="15" customHeight="1">
      <c r="A237" t="inlineStr">
        <is>
          <t>A 39801-2025</t>
        </is>
      </c>
      <c r="B237" s="1" t="n">
        <v>45891.50216435185</v>
      </c>
      <c r="C237" s="1" t="n">
        <v>45925</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18501-2024</t>
        </is>
      </c>
      <c r="B238" s="1" t="n">
        <v>45425.57538194444</v>
      </c>
      <c r="C238" s="1" t="n">
        <v>45925</v>
      </c>
      <c r="D238" t="inlineStr">
        <is>
          <t>KALMAR LÄN</t>
        </is>
      </c>
      <c r="E238" t="inlineStr">
        <is>
          <t>VIMMERBY</t>
        </is>
      </c>
      <c r="G238" t="n">
        <v>2</v>
      </c>
      <c r="H238" t="n">
        <v>0</v>
      </c>
      <c r="I238" t="n">
        <v>0</v>
      </c>
      <c r="J238" t="n">
        <v>0</v>
      </c>
      <c r="K238" t="n">
        <v>0</v>
      </c>
      <c r="L238" t="n">
        <v>0</v>
      </c>
      <c r="M238" t="n">
        <v>0</v>
      </c>
      <c r="N238" t="n">
        <v>0</v>
      </c>
      <c r="O238" t="n">
        <v>0</v>
      </c>
      <c r="P238" t="n">
        <v>0</v>
      </c>
      <c r="Q238" t="n">
        <v>0</v>
      </c>
      <c r="R238" s="2" t="inlineStr"/>
    </row>
    <row r="239" ht="15" customHeight="1">
      <c r="A239" t="inlineStr">
        <is>
          <t>A 33340-2023</t>
        </is>
      </c>
      <c r="B239" s="1" t="n">
        <v>45128.37305555555</v>
      </c>
      <c r="C239" s="1" t="n">
        <v>45925</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29017-2024</t>
        </is>
      </c>
      <c r="B240" s="1" t="n">
        <v>45481.56722222222</v>
      </c>
      <c r="C240" s="1" t="n">
        <v>45925</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58046-2022</t>
        </is>
      </c>
      <c r="B241" s="1" t="n">
        <v>44900.57393518519</v>
      </c>
      <c r="C241" s="1" t="n">
        <v>45925</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14451-2024</t>
        </is>
      </c>
      <c r="B242" s="1" t="n">
        <v>45394.50028935185</v>
      </c>
      <c r="C242" s="1" t="n">
        <v>45925</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25799-2023</t>
        </is>
      </c>
      <c r="B243" s="1" t="n">
        <v>45090</v>
      </c>
      <c r="C243" s="1" t="n">
        <v>45925</v>
      </c>
      <c r="D243" t="inlineStr">
        <is>
          <t>KALMAR LÄN</t>
        </is>
      </c>
      <c r="E243" t="inlineStr">
        <is>
          <t>VIMMERBY</t>
        </is>
      </c>
      <c r="G243" t="n">
        <v>7.7</v>
      </c>
      <c r="H243" t="n">
        <v>0</v>
      </c>
      <c r="I243" t="n">
        <v>0</v>
      </c>
      <c r="J243" t="n">
        <v>0</v>
      </c>
      <c r="K243" t="n">
        <v>0</v>
      </c>
      <c r="L243" t="n">
        <v>0</v>
      </c>
      <c r="M243" t="n">
        <v>0</v>
      </c>
      <c r="N243" t="n">
        <v>0</v>
      </c>
      <c r="O243" t="n">
        <v>0</v>
      </c>
      <c r="P243" t="n">
        <v>0</v>
      </c>
      <c r="Q243" t="n">
        <v>0</v>
      </c>
      <c r="R243" s="2" t="inlineStr"/>
    </row>
    <row r="244" ht="15" customHeight="1">
      <c r="A244" t="inlineStr">
        <is>
          <t>A 16015-2025</t>
        </is>
      </c>
      <c r="B244" s="1" t="n">
        <v>45749.60487268519</v>
      </c>
      <c r="C244" s="1" t="n">
        <v>45925</v>
      </c>
      <c r="D244" t="inlineStr">
        <is>
          <t>KALMAR LÄN</t>
        </is>
      </c>
      <c r="E244" t="inlineStr">
        <is>
          <t>VIMMERBY</t>
        </is>
      </c>
      <c r="F244" t="inlineStr">
        <is>
          <t>Kyrkan</t>
        </is>
      </c>
      <c r="G244" t="n">
        <v>2.7</v>
      </c>
      <c r="H244" t="n">
        <v>0</v>
      </c>
      <c r="I244" t="n">
        <v>0</v>
      </c>
      <c r="J244" t="n">
        <v>0</v>
      </c>
      <c r="K244" t="n">
        <v>0</v>
      </c>
      <c r="L244" t="n">
        <v>0</v>
      </c>
      <c r="M244" t="n">
        <v>0</v>
      </c>
      <c r="N244" t="n">
        <v>0</v>
      </c>
      <c r="O244" t="n">
        <v>0</v>
      </c>
      <c r="P244" t="n">
        <v>0</v>
      </c>
      <c r="Q244" t="n">
        <v>0</v>
      </c>
      <c r="R244" s="2" t="inlineStr"/>
    </row>
    <row r="245" ht="15" customHeight="1">
      <c r="A245" t="inlineStr">
        <is>
          <t>A 14548-2024</t>
        </is>
      </c>
      <c r="B245" s="1" t="n">
        <v>45394.66887731481</v>
      </c>
      <c r="C245" s="1" t="n">
        <v>45925</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46238-2024</t>
        </is>
      </c>
      <c r="B246" s="1" t="n">
        <v>45581.58418981481</v>
      </c>
      <c r="C246" s="1" t="n">
        <v>45925</v>
      </c>
      <c r="D246" t="inlineStr">
        <is>
          <t>KALMAR LÄN</t>
        </is>
      </c>
      <c r="E246" t="inlineStr">
        <is>
          <t>VIMMERBY</t>
        </is>
      </c>
      <c r="G246" t="n">
        <v>2.1</v>
      </c>
      <c r="H246" t="n">
        <v>0</v>
      </c>
      <c r="I246" t="n">
        <v>0</v>
      </c>
      <c r="J246" t="n">
        <v>0</v>
      </c>
      <c r="K246" t="n">
        <v>0</v>
      </c>
      <c r="L246" t="n">
        <v>0</v>
      </c>
      <c r="M246" t="n">
        <v>0</v>
      </c>
      <c r="N246" t="n">
        <v>0</v>
      </c>
      <c r="O246" t="n">
        <v>0</v>
      </c>
      <c r="P246" t="n">
        <v>0</v>
      </c>
      <c r="Q246" t="n">
        <v>0</v>
      </c>
      <c r="R246" s="2" t="inlineStr"/>
    </row>
    <row r="247" ht="15" customHeight="1">
      <c r="A247" t="inlineStr">
        <is>
          <t>A 57256-2023</t>
        </is>
      </c>
      <c r="B247" s="1" t="n">
        <v>45245.5735300926</v>
      </c>
      <c r="C247" s="1" t="n">
        <v>45925</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50993-2022</t>
        </is>
      </c>
      <c r="B248" s="1" t="n">
        <v>44867</v>
      </c>
      <c r="C248" s="1" t="n">
        <v>45925</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46225-2024</t>
        </is>
      </c>
      <c r="B249" s="1" t="n">
        <v>45581.57333333333</v>
      </c>
      <c r="C249" s="1" t="n">
        <v>45925</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23088-2024</t>
        </is>
      </c>
      <c r="B250" s="1" t="n">
        <v>45450.51092592593</v>
      </c>
      <c r="C250" s="1" t="n">
        <v>45925</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35270-2025</t>
        </is>
      </c>
      <c r="B251" s="1" t="n">
        <v>45853.87112268519</v>
      </c>
      <c r="C251" s="1" t="n">
        <v>45925</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36055-2024</t>
        </is>
      </c>
      <c r="B252" s="1" t="n">
        <v>45533.63056712963</v>
      </c>
      <c r="C252" s="1" t="n">
        <v>45925</v>
      </c>
      <c r="D252" t="inlineStr">
        <is>
          <t>KALMAR LÄN</t>
        </is>
      </c>
      <c r="E252" t="inlineStr">
        <is>
          <t>VIMMERBY</t>
        </is>
      </c>
      <c r="F252" t="inlineStr">
        <is>
          <t>Kommuner</t>
        </is>
      </c>
      <c r="G252" t="n">
        <v>1.9</v>
      </c>
      <c r="H252" t="n">
        <v>0</v>
      </c>
      <c r="I252" t="n">
        <v>0</v>
      </c>
      <c r="J252" t="n">
        <v>0</v>
      </c>
      <c r="K252" t="n">
        <v>0</v>
      </c>
      <c r="L252" t="n">
        <v>0</v>
      </c>
      <c r="M252" t="n">
        <v>0</v>
      </c>
      <c r="N252" t="n">
        <v>0</v>
      </c>
      <c r="O252" t="n">
        <v>0</v>
      </c>
      <c r="P252" t="n">
        <v>0</v>
      </c>
      <c r="Q252" t="n">
        <v>0</v>
      </c>
      <c r="R252" s="2" t="inlineStr"/>
    </row>
    <row r="253" ht="15" customHeight="1">
      <c r="A253" t="inlineStr">
        <is>
          <t>A 47859-2024</t>
        </is>
      </c>
      <c r="B253" s="1" t="n">
        <v>45588.67070601852</v>
      </c>
      <c r="C253" s="1" t="n">
        <v>45925</v>
      </c>
      <c r="D253" t="inlineStr">
        <is>
          <t>KALMAR LÄN</t>
        </is>
      </c>
      <c r="E253" t="inlineStr">
        <is>
          <t>VIMMERBY</t>
        </is>
      </c>
      <c r="G253" t="n">
        <v>1.7</v>
      </c>
      <c r="H253" t="n">
        <v>0</v>
      </c>
      <c r="I253" t="n">
        <v>0</v>
      </c>
      <c r="J253" t="n">
        <v>0</v>
      </c>
      <c r="K253" t="n">
        <v>0</v>
      </c>
      <c r="L253" t="n">
        <v>0</v>
      </c>
      <c r="M253" t="n">
        <v>0</v>
      </c>
      <c r="N253" t="n">
        <v>0</v>
      </c>
      <c r="O253" t="n">
        <v>0</v>
      </c>
      <c r="P253" t="n">
        <v>0</v>
      </c>
      <c r="Q253" t="n">
        <v>0</v>
      </c>
      <c r="R253" s="2" t="inlineStr"/>
    </row>
    <row r="254" ht="15" customHeight="1">
      <c r="A254" t="inlineStr">
        <is>
          <t>A 35271-2025</t>
        </is>
      </c>
      <c r="B254" s="1" t="n">
        <v>45853.87599537037</v>
      </c>
      <c r="C254" s="1" t="n">
        <v>45925</v>
      </c>
      <c r="D254" t="inlineStr">
        <is>
          <t>KALMAR LÄN</t>
        </is>
      </c>
      <c r="E254" t="inlineStr">
        <is>
          <t>VIMMERBY</t>
        </is>
      </c>
      <c r="G254" t="n">
        <v>0.4</v>
      </c>
      <c r="H254" t="n">
        <v>0</v>
      </c>
      <c r="I254" t="n">
        <v>0</v>
      </c>
      <c r="J254" t="n">
        <v>0</v>
      </c>
      <c r="K254" t="n">
        <v>0</v>
      </c>
      <c r="L254" t="n">
        <v>0</v>
      </c>
      <c r="M254" t="n">
        <v>0</v>
      </c>
      <c r="N254" t="n">
        <v>0</v>
      </c>
      <c r="O254" t="n">
        <v>0</v>
      </c>
      <c r="P254" t="n">
        <v>0</v>
      </c>
      <c r="Q254" t="n">
        <v>0</v>
      </c>
      <c r="R254" s="2" t="inlineStr"/>
    </row>
    <row r="255" ht="15" customHeight="1">
      <c r="A255" t="inlineStr">
        <is>
          <t>A 35272-2025</t>
        </is>
      </c>
      <c r="B255" s="1" t="n">
        <v>45853.88070601852</v>
      </c>
      <c r="C255" s="1" t="n">
        <v>45925</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32835-2022</t>
        </is>
      </c>
      <c r="B256" s="1" t="n">
        <v>44784.42528935185</v>
      </c>
      <c r="C256" s="1" t="n">
        <v>45925</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16953-2025</t>
        </is>
      </c>
      <c r="B257" s="1" t="n">
        <v>45755.44333333334</v>
      </c>
      <c r="C257" s="1" t="n">
        <v>45925</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57189-2022</t>
        </is>
      </c>
      <c r="B258" s="1" t="n">
        <v>44895.62296296296</v>
      </c>
      <c r="C258" s="1" t="n">
        <v>45925</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48120-2022</t>
        </is>
      </c>
      <c r="B259" s="1" t="n">
        <v>44857.65989583333</v>
      </c>
      <c r="C259" s="1" t="n">
        <v>45925</v>
      </c>
      <c r="D259" t="inlineStr">
        <is>
          <t>KALMAR LÄN</t>
        </is>
      </c>
      <c r="E259" t="inlineStr">
        <is>
          <t>VIMMERBY</t>
        </is>
      </c>
      <c r="G259" t="n">
        <v>1.7</v>
      </c>
      <c r="H259" t="n">
        <v>0</v>
      </c>
      <c r="I259" t="n">
        <v>0</v>
      </c>
      <c r="J259" t="n">
        <v>0</v>
      </c>
      <c r="K259" t="n">
        <v>0</v>
      </c>
      <c r="L259" t="n">
        <v>0</v>
      </c>
      <c r="M259" t="n">
        <v>0</v>
      </c>
      <c r="N259" t="n">
        <v>0</v>
      </c>
      <c r="O259" t="n">
        <v>0</v>
      </c>
      <c r="P259" t="n">
        <v>0</v>
      </c>
      <c r="Q259" t="n">
        <v>0</v>
      </c>
      <c r="R259" s="2" t="inlineStr"/>
    </row>
    <row r="260" ht="15" customHeight="1">
      <c r="A260" t="inlineStr">
        <is>
          <t>A 3423-2022</t>
        </is>
      </c>
      <c r="B260" s="1" t="n">
        <v>44585.50431712963</v>
      </c>
      <c r="C260" s="1" t="n">
        <v>45925</v>
      </c>
      <c r="D260" t="inlineStr">
        <is>
          <t>KALMAR LÄN</t>
        </is>
      </c>
      <c r="E260" t="inlineStr">
        <is>
          <t>VIMMERBY</t>
        </is>
      </c>
      <c r="G260" t="n">
        <v>1.7</v>
      </c>
      <c r="H260" t="n">
        <v>0</v>
      </c>
      <c r="I260" t="n">
        <v>0</v>
      </c>
      <c r="J260" t="n">
        <v>0</v>
      </c>
      <c r="K260" t="n">
        <v>0</v>
      </c>
      <c r="L260" t="n">
        <v>0</v>
      </c>
      <c r="M260" t="n">
        <v>0</v>
      </c>
      <c r="N260" t="n">
        <v>0</v>
      </c>
      <c r="O260" t="n">
        <v>0</v>
      </c>
      <c r="P260" t="n">
        <v>0</v>
      </c>
      <c r="Q260" t="n">
        <v>0</v>
      </c>
      <c r="R260" s="2" t="inlineStr"/>
    </row>
    <row r="261" ht="15" customHeight="1">
      <c r="A261" t="inlineStr">
        <is>
          <t>A 39889-2025</t>
        </is>
      </c>
      <c r="B261" s="1" t="n">
        <v>45891</v>
      </c>
      <c r="C261" s="1" t="n">
        <v>45925</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1987-2024</t>
        </is>
      </c>
      <c r="B262" s="1" t="n">
        <v>45308.61152777778</v>
      </c>
      <c r="C262" s="1" t="n">
        <v>45925</v>
      </c>
      <c r="D262" t="inlineStr">
        <is>
          <t>KALMAR LÄN</t>
        </is>
      </c>
      <c r="E262" t="inlineStr">
        <is>
          <t>VIMMERBY</t>
        </is>
      </c>
      <c r="G262" t="n">
        <v>3</v>
      </c>
      <c r="H262" t="n">
        <v>0</v>
      </c>
      <c r="I262" t="n">
        <v>0</v>
      </c>
      <c r="J262" t="n">
        <v>0</v>
      </c>
      <c r="K262" t="n">
        <v>0</v>
      </c>
      <c r="L262" t="n">
        <v>0</v>
      </c>
      <c r="M262" t="n">
        <v>0</v>
      </c>
      <c r="N262" t="n">
        <v>0</v>
      </c>
      <c r="O262" t="n">
        <v>0</v>
      </c>
      <c r="P262" t="n">
        <v>0</v>
      </c>
      <c r="Q262" t="n">
        <v>0</v>
      </c>
      <c r="R262" s="2" t="inlineStr"/>
    </row>
    <row r="263" ht="15" customHeight="1">
      <c r="A263" t="inlineStr">
        <is>
          <t>A 527-2024</t>
        </is>
      </c>
      <c r="B263" s="1" t="n">
        <v>45299.47513888889</v>
      </c>
      <c r="C263" s="1" t="n">
        <v>45925</v>
      </c>
      <c r="D263" t="inlineStr">
        <is>
          <t>KALMAR LÄN</t>
        </is>
      </c>
      <c r="E263" t="inlineStr">
        <is>
          <t>VIMMERBY</t>
        </is>
      </c>
      <c r="G263" t="n">
        <v>2.2</v>
      </c>
      <c r="H263" t="n">
        <v>0</v>
      </c>
      <c r="I263" t="n">
        <v>0</v>
      </c>
      <c r="J263" t="n">
        <v>0</v>
      </c>
      <c r="K263" t="n">
        <v>0</v>
      </c>
      <c r="L263" t="n">
        <v>0</v>
      </c>
      <c r="M263" t="n">
        <v>0</v>
      </c>
      <c r="N263" t="n">
        <v>0</v>
      </c>
      <c r="O263" t="n">
        <v>0</v>
      </c>
      <c r="P263" t="n">
        <v>0</v>
      </c>
      <c r="Q263" t="n">
        <v>0</v>
      </c>
      <c r="R263" s="2" t="inlineStr"/>
    </row>
    <row r="264" ht="15" customHeight="1">
      <c r="A264" t="inlineStr">
        <is>
          <t>A 41896-2023</t>
        </is>
      </c>
      <c r="B264" s="1" t="n">
        <v>45176.72427083334</v>
      </c>
      <c r="C264" s="1" t="n">
        <v>45925</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11074-2023</t>
        </is>
      </c>
      <c r="B265" s="1" t="n">
        <v>44992.34151620371</v>
      </c>
      <c r="C265" s="1" t="n">
        <v>45925</v>
      </c>
      <c r="D265" t="inlineStr">
        <is>
          <t>KALMAR LÄN</t>
        </is>
      </c>
      <c r="E265" t="inlineStr">
        <is>
          <t>VIMMERBY</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71631-2021</t>
        </is>
      </c>
      <c r="B266" s="1" t="n">
        <v>44542.90072916666</v>
      </c>
      <c r="C266" s="1" t="n">
        <v>45925</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37192-2024</t>
        </is>
      </c>
      <c r="B267" s="1" t="n">
        <v>45539.66027777778</v>
      </c>
      <c r="C267" s="1" t="n">
        <v>45925</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43606-2024</t>
        </is>
      </c>
      <c r="B268" s="1" t="n">
        <v>45569.45017361111</v>
      </c>
      <c r="C268" s="1" t="n">
        <v>45925</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12325-2023</t>
        </is>
      </c>
      <c r="B269" s="1" t="n">
        <v>44999.35858796296</v>
      </c>
      <c r="C269" s="1" t="n">
        <v>45925</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49039-2021</t>
        </is>
      </c>
      <c r="B270" s="1" t="n">
        <v>44453.56578703703</v>
      </c>
      <c r="C270" s="1" t="n">
        <v>45925</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8945-2025</t>
        </is>
      </c>
      <c r="B271" s="1" t="n">
        <v>45713.45311342592</v>
      </c>
      <c r="C271" s="1" t="n">
        <v>45925</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42918-2021</t>
        </is>
      </c>
      <c r="B272" s="1" t="n">
        <v>44431</v>
      </c>
      <c r="C272" s="1" t="n">
        <v>45925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40665-2023</t>
        </is>
      </c>
      <c r="B273" s="1" t="n">
        <v>45170</v>
      </c>
      <c r="C273" s="1" t="n">
        <v>45925</v>
      </c>
      <c r="D273" t="inlineStr">
        <is>
          <t>KALMAR LÄN</t>
        </is>
      </c>
      <c r="E273" t="inlineStr">
        <is>
          <t>VIMMERBY</t>
        </is>
      </c>
      <c r="G273" t="n">
        <v>2.6</v>
      </c>
      <c r="H273" t="n">
        <v>0</v>
      </c>
      <c r="I273" t="n">
        <v>0</v>
      </c>
      <c r="J273" t="n">
        <v>0</v>
      </c>
      <c r="K273" t="n">
        <v>0</v>
      </c>
      <c r="L273" t="n">
        <v>0</v>
      </c>
      <c r="M273" t="n">
        <v>0</v>
      </c>
      <c r="N273" t="n">
        <v>0</v>
      </c>
      <c r="O273" t="n">
        <v>0</v>
      </c>
      <c r="P273" t="n">
        <v>0</v>
      </c>
      <c r="Q273" t="n">
        <v>0</v>
      </c>
      <c r="R273" s="2" t="inlineStr"/>
    </row>
    <row r="274" ht="15" customHeight="1">
      <c r="A274" t="inlineStr">
        <is>
          <t>A 13307-2025</t>
        </is>
      </c>
      <c r="B274" s="1" t="n">
        <v>45735.58024305556</v>
      </c>
      <c r="C274" s="1" t="n">
        <v>45925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40921-2025</t>
        </is>
      </c>
      <c r="B275" s="1" t="n">
        <v>45897.63520833333</v>
      </c>
      <c r="C275" s="1" t="n">
        <v>45925</v>
      </c>
      <c r="D275" t="inlineStr">
        <is>
          <t>KALMAR LÄN</t>
        </is>
      </c>
      <c r="E275" t="inlineStr">
        <is>
          <t>VIMMERBY</t>
        </is>
      </c>
      <c r="G275" t="n">
        <v>4.2</v>
      </c>
      <c r="H275" t="n">
        <v>0</v>
      </c>
      <c r="I275" t="n">
        <v>0</v>
      </c>
      <c r="J275" t="n">
        <v>0</v>
      </c>
      <c r="K275" t="n">
        <v>0</v>
      </c>
      <c r="L275" t="n">
        <v>0</v>
      </c>
      <c r="M275" t="n">
        <v>0</v>
      </c>
      <c r="N275" t="n">
        <v>0</v>
      </c>
      <c r="O275" t="n">
        <v>0</v>
      </c>
      <c r="P275" t="n">
        <v>0</v>
      </c>
      <c r="Q275" t="n">
        <v>0</v>
      </c>
      <c r="R275" s="2" t="inlineStr"/>
    </row>
    <row r="276" ht="15" customHeight="1">
      <c r="A276" t="inlineStr">
        <is>
          <t>A 28034-2022</t>
        </is>
      </c>
      <c r="B276" s="1" t="n">
        <v>44746.38834490741</v>
      </c>
      <c r="C276" s="1" t="n">
        <v>45925</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529-2022</t>
        </is>
      </c>
      <c r="B277" s="1" t="n">
        <v>44566</v>
      </c>
      <c r="C277" s="1" t="n">
        <v>45925</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40971-2025</t>
        </is>
      </c>
      <c r="B278" s="1" t="n">
        <v>45897.88836805556</v>
      </c>
      <c r="C278" s="1" t="n">
        <v>45925</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47063-2022</t>
        </is>
      </c>
      <c r="B279" s="1" t="n">
        <v>44852</v>
      </c>
      <c r="C279" s="1" t="n">
        <v>45925</v>
      </c>
      <c r="D279" t="inlineStr">
        <is>
          <t>KALMAR LÄN</t>
        </is>
      </c>
      <c r="E279" t="inlineStr">
        <is>
          <t>VIMMERBY</t>
        </is>
      </c>
      <c r="G279" t="n">
        <v>2.5</v>
      </c>
      <c r="H279" t="n">
        <v>0</v>
      </c>
      <c r="I279" t="n">
        <v>0</v>
      </c>
      <c r="J279" t="n">
        <v>0</v>
      </c>
      <c r="K279" t="n">
        <v>0</v>
      </c>
      <c r="L279" t="n">
        <v>0</v>
      </c>
      <c r="M279" t="n">
        <v>0</v>
      </c>
      <c r="N279" t="n">
        <v>0</v>
      </c>
      <c r="O279" t="n">
        <v>0</v>
      </c>
      <c r="P279" t="n">
        <v>0</v>
      </c>
      <c r="Q279" t="n">
        <v>0</v>
      </c>
      <c r="R279" s="2" t="inlineStr"/>
    </row>
    <row r="280" ht="15" customHeight="1">
      <c r="A280" t="inlineStr">
        <is>
          <t>A 12819-2024</t>
        </is>
      </c>
      <c r="B280" s="1" t="n">
        <v>45384.66917824074</v>
      </c>
      <c r="C280" s="1" t="n">
        <v>45925</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40925-2025</t>
        </is>
      </c>
      <c r="B281" s="1" t="n">
        <v>45897.64208333333</v>
      </c>
      <c r="C281" s="1" t="n">
        <v>45925</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14855-2025</t>
        </is>
      </c>
      <c r="B282" s="1" t="n">
        <v>45743.41148148148</v>
      </c>
      <c r="C282" s="1" t="n">
        <v>45925</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55605-2024</t>
        </is>
      </c>
      <c r="B283" s="1" t="n">
        <v>45622</v>
      </c>
      <c r="C283" s="1" t="n">
        <v>45925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60951-2023</t>
        </is>
      </c>
      <c r="B284" s="1" t="n">
        <v>45261.44914351852</v>
      </c>
      <c r="C284" s="1" t="n">
        <v>45925</v>
      </c>
      <c r="D284" t="inlineStr">
        <is>
          <t>KALMAR LÄN</t>
        </is>
      </c>
      <c r="E284" t="inlineStr">
        <is>
          <t>VIMMERBY</t>
        </is>
      </c>
      <c r="G284" t="n">
        <v>4.3</v>
      </c>
      <c r="H284" t="n">
        <v>0</v>
      </c>
      <c r="I284" t="n">
        <v>0</v>
      </c>
      <c r="J284" t="n">
        <v>0</v>
      </c>
      <c r="K284" t="n">
        <v>0</v>
      </c>
      <c r="L284" t="n">
        <v>0</v>
      </c>
      <c r="M284" t="n">
        <v>0</v>
      </c>
      <c r="N284" t="n">
        <v>0</v>
      </c>
      <c r="O284" t="n">
        <v>0</v>
      </c>
      <c r="P284" t="n">
        <v>0</v>
      </c>
      <c r="Q284" t="n">
        <v>0</v>
      </c>
      <c r="R284" s="2" t="inlineStr"/>
    </row>
    <row r="285" ht="15" customHeight="1">
      <c r="A285" t="inlineStr">
        <is>
          <t>A 42165-2024</t>
        </is>
      </c>
      <c r="B285" s="1" t="n">
        <v>45562.46342592593</v>
      </c>
      <c r="C285" s="1" t="n">
        <v>45925</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19162-2023</t>
        </is>
      </c>
      <c r="B286" s="1" t="n">
        <v>45048.59699074074</v>
      </c>
      <c r="C286" s="1" t="n">
        <v>45925</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31382-2023</t>
        </is>
      </c>
      <c r="B287" s="1" t="n">
        <v>45114.55136574074</v>
      </c>
      <c r="C287" s="1" t="n">
        <v>45925</v>
      </c>
      <c r="D287" t="inlineStr">
        <is>
          <t>KALMAR LÄN</t>
        </is>
      </c>
      <c r="E287" t="inlineStr">
        <is>
          <t>VIMMERBY</t>
        </is>
      </c>
      <c r="G287" t="n">
        <v>3.7</v>
      </c>
      <c r="H287" t="n">
        <v>0</v>
      </c>
      <c r="I287" t="n">
        <v>0</v>
      </c>
      <c r="J287" t="n">
        <v>0</v>
      </c>
      <c r="K287" t="n">
        <v>0</v>
      </c>
      <c r="L287" t="n">
        <v>0</v>
      </c>
      <c r="M287" t="n">
        <v>0</v>
      </c>
      <c r="N287" t="n">
        <v>0</v>
      </c>
      <c r="O287" t="n">
        <v>0</v>
      </c>
      <c r="P287" t="n">
        <v>0</v>
      </c>
      <c r="Q287" t="n">
        <v>0</v>
      </c>
      <c r="R287" s="2" t="inlineStr"/>
    </row>
    <row r="288" ht="15" customHeight="1">
      <c r="A288" t="inlineStr">
        <is>
          <t>A 11073-2023</t>
        </is>
      </c>
      <c r="B288" s="1" t="n">
        <v>44992</v>
      </c>
      <c r="C288" s="1" t="n">
        <v>45925</v>
      </c>
      <c r="D288" t="inlineStr">
        <is>
          <t>KALMAR LÄN</t>
        </is>
      </c>
      <c r="E288" t="inlineStr">
        <is>
          <t>VIMMERBY</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20129-2024</t>
        </is>
      </c>
      <c r="B289" s="1" t="n">
        <v>45434.55831018519</v>
      </c>
      <c r="C289" s="1" t="n">
        <v>45925</v>
      </c>
      <c r="D289" t="inlineStr">
        <is>
          <t>KALMAR LÄN</t>
        </is>
      </c>
      <c r="E289" t="inlineStr">
        <is>
          <t>VIMMERBY</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20137-2024</t>
        </is>
      </c>
      <c r="B290" s="1" t="n">
        <v>45434.56398148148</v>
      </c>
      <c r="C290" s="1" t="n">
        <v>45925</v>
      </c>
      <c r="D290" t="inlineStr">
        <is>
          <t>KALMAR LÄN</t>
        </is>
      </c>
      <c r="E290" t="inlineStr">
        <is>
          <t>VIMMERBY</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31209-2024</t>
        </is>
      </c>
      <c r="B291" s="1" t="n">
        <v>45503.5658912037</v>
      </c>
      <c r="C291" s="1" t="n">
        <v>45925</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41224-2025</t>
        </is>
      </c>
      <c r="B292" s="1" t="n">
        <v>45898.58861111111</v>
      </c>
      <c r="C292" s="1" t="n">
        <v>45925</v>
      </c>
      <c r="D292" t="inlineStr">
        <is>
          <t>KALMAR LÄN</t>
        </is>
      </c>
      <c r="E292" t="inlineStr">
        <is>
          <t>VIMMERBY</t>
        </is>
      </c>
      <c r="G292" t="n">
        <v>4.4</v>
      </c>
      <c r="H292" t="n">
        <v>0</v>
      </c>
      <c r="I292" t="n">
        <v>0</v>
      </c>
      <c r="J292" t="n">
        <v>0</v>
      </c>
      <c r="K292" t="n">
        <v>0</v>
      </c>
      <c r="L292" t="n">
        <v>0</v>
      </c>
      <c r="M292" t="n">
        <v>0</v>
      </c>
      <c r="N292" t="n">
        <v>0</v>
      </c>
      <c r="O292" t="n">
        <v>0</v>
      </c>
      <c r="P292" t="n">
        <v>0</v>
      </c>
      <c r="Q292" t="n">
        <v>0</v>
      </c>
      <c r="R292" s="2" t="inlineStr"/>
    </row>
    <row r="293" ht="15" customHeight="1">
      <c r="A293" t="inlineStr">
        <is>
          <t>A 23095-2023</t>
        </is>
      </c>
      <c r="B293" s="1" t="n">
        <v>45075.43059027778</v>
      </c>
      <c r="C293" s="1" t="n">
        <v>45925</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40973-2025</t>
        </is>
      </c>
      <c r="B294" s="1" t="n">
        <v>45897.89737268518</v>
      </c>
      <c r="C294" s="1" t="n">
        <v>45925</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40970-2025</t>
        </is>
      </c>
      <c r="B295" s="1" t="n">
        <v>45897.88706018519</v>
      </c>
      <c r="C295" s="1" t="n">
        <v>45925</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59955-2023</t>
        </is>
      </c>
      <c r="B296" s="1" t="n">
        <v>45257.70313657408</v>
      </c>
      <c r="C296" s="1" t="n">
        <v>45925</v>
      </c>
      <c r="D296" t="inlineStr">
        <is>
          <t>KALMAR LÄN</t>
        </is>
      </c>
      <c r="E296" t="inlineStr">
        <is>
          <t>VIMMERBY</t>
        </is>
      </c>
      <c r="G296" t="n">
        <v>13.8</v>
      </c>
      <c r="H296" t="n">
        <v>0</v>
      </c>
      <c r="I296" t="n">
        <v>0</v>
      </c>
      <c r="J296" t="n">
        <v>0</v>
      </c>
      <c r="K296" t="n">
        <v>0</v>
      </c>
      <c r="L296" t="n">
        <v>0</v>
      </c>
      <c r="M296" t="n">
        <v>0</v>
      </c>
      <c r="N296" t="n">
        <v>0</v>
      </c>
      <c r="O296" t="n">
        <v>0</v>
      </c>
      <c r="P296" t="n">
        <v>0</v>
      </c>
      <c r="Q296" t="n">
        <v>0</v>
      </c>
      <c r="R296" s="2" t="inlineStr"/>
    </row>
    <row r="297" ht="15" customHeight="1">
      <c r="A297" t="inlineStr">
        <is>
          <t>A 32919-2022</t>
        </is>
      </c>
      <c r="B297" s="1" t="n">
        <v>44784.62724537037</v>
      </c>
      <c r="C297" s="1" t="n">
        <v>45925</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5864-2022</t>
        </is>
      </c>
      <c r="B298" s="1" t="n">
        <v>44596</v>
      </c>
      <c r="C298" s="1" t="n">
        <v>45925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36802-2021</t>
        </is>
      </c>
      <c r="B299" s="1" t="n">
        <v>44392</v>
      </c>
      <c r="C299" s="1" t="n">
        <v>45925</v>
      </c>
      <c r="D299" t="inlineStr">
        <is>
          <t>KALMAR LÄN</t>
        </is>
      </c>
      <c r="E299" t="inlineStr">
        <is>
          <t>VIMMERBY</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61820-2023</t>
        </is>
      </c>
      <c r="B300" s="1" t="n">
        <v>45266.32614583334</v>
      </c>
      <c r="C300" s="1" t="n">
        <v>45925</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41589-2025</t>
        </is>
      </c>
      <c r="B301" s="1" t="n">
        <v>45901.63219907408</v>
      </c>
      <c r="C301" s="1" t="n">
        <v>45925</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41591-2025</t>
        </is>
      </c>
      <c r="B302" s="1" t="n">
        <v>45901.6327662037</v>
      </c>
      <c r="C302" s="1" t="n">
        <v>45925</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7068-2024</t>
        </is>
      </c>
      <c r="B303" s="1" t="n">
        <v>45343.68038194445</v>
      </c>
      <c r="C303" s="1" t="n">
        <v>45925</v>
      </c>
      <c r="D303" t="inlineStr">
        <is>
          <t>KALMAR LÄN</t>
        </is>
      </c>
      <c r="E303" t="inlineStr">
        <is>
          <t>VIMMERBY</t>
        </is>
      </c>
      <c r="G303" t="n">
        <v>2.5</v>
      </c>
      <c r="H303" t="n">
        <v>0</v>
      </c>
      <c r="I303" t="n">
        <v>0</v>
      </c>
      <c r="J303" t="n">
        <v>0</v>
      </c>
      <c r="K303" t="n">
        <v>0</v>
      </c>
      <c r="L303" t="n">
        <v>0</v>
      </c>
      <c r="M303" t="n">
        <v>0</v>
      </c>
      <c r="N303" t="n">
        <v>0</v>
      </c>
      <c r="O303" t="n">
        <v>0</v>
      </c>
      <c r="P303" t="n">
        <v>0</v>
      </c>
      <c r="Q303" t="n">
        <v>0</v>
      </c>
      <c r="R303" s="2" t="inlineStr"/>
    </row>
    <row r="304" ht="15" customHeight="1">
      <c r="A304" t="inlineStr">
        <is>
          <t>A 3269-2024</t>
        </is>
      </c>
      <c r="B304" s="1" t="n">
        <v>45317.40372685185</v>
      </c>
      <c r="C304" s="1" t="n">
        <v>45925</v>
      </c>
      <c r="D304" t="inlineStr">
        <is>
          <t>KALMAR LÄN</t>
        </is>
      </c>
      <c r="E304" t="inlineStr">
        <is>
          <t>VIMMERBY</t>
        </is>
      </c>
      <c r="F304" t="inlineStr">
        <is>
          <t>Övriga Aktiebolag</t>
        </is>
      </c>
      <c r="G304" t="n">
        <v>1.7</v>
      </c>
      <c r="H304" t="n">
        <v>0</v>
      </c>
      <c r="I304" t="n">
        <v>0</v>
      </c>
      <c r="J304" t="n">
        <v>0</v>
      </c>
      <c r="K304" t="n">
        <v>0</v>
      </c>
      <c r="L304" t="n">
        <v>0</v>
      </c>
      <c r="M304" t="n">
        <v>0</v>
      </c>
      <c r="N304" t="n">
        <v>0</v>
      </c>
      <c r="O304" t="n">
        <v>0</v>
      </c>
      <c r="P304" t="n">
        <v>0</v>
      </c>
      <c r="Q304" t="n">
        <v>0</v>
      </c>
      <c r="R304" s="2" t="inlineStr"/>
    </row>
    <row r="305" ht="15" customHeight="1">
      <c r="A305" t="inlineStr">
        <is>
          <t>A 3938-2023</t>
        </is>
      </c>
      <c r="B305" s="1" t="n">
        <v>44952.35775462963</v>
      </c>
      <c r="C305" s="1" t="n">
        <v>45925</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2157-2024</t>
        </is>
      </c>
      <c r="B306" s="1" t="n">
        <v>45309.59487268519</v>
      </c>
      <c r="C306" s="1" t="n">
        <v>45925</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35597-2025</t>
        </is>
      </c>
      <c r="B307" s="1" t="n">
        <v>45858.66019675926</v>
      </c>
      <c r="C307" s="1" t="n">
        <v>45925</v>
      </c>
      <c r="D307" t="inlineStr">
        <is>
          <t>KALMAR LÄN</t>
        </is>
      </c>
      <c r="E307" t="inlineStr">
        <is>
          <t>VIMMERBY</t>
        </is>
      </c>
      <c r="G307" t="n">
        <v>6.4</v>
      </c>
      <c r="H307" t="n">
        <v>0</v>
      </c>
      <c r="I307" t="n">
        <v>0</v>
      </c>
      <c r="J307" t="n">
        <v>0</v>
      </c>
      <c r="K307" t="n">
        <v>0</v>
      </c>
      <c r="L307" t="n">
        <v>0</v>
      </c>
      <c r="M307" t="n">
        <v>0</v>
      </c>
      <c r="N307" t="n">
        <v>0</v>
      </c>
      <c r="O307" t="n">
        <v>0</v>
      </c>
      <c r="P307" t="n">
        <v>0</v>
      </c>
      <c r="Q307" t="n">
        <v>0</v>
      </c>
      <c r="R307" s="2" t="inlineStr"/>
    </row>
    <row r="308" ht="15" customHeight="1">
      <c r="A308" t="inlineStr">
        <is>
          <t>A 9416-2024</t>
        </is>
      </c>
      <c r="B308" s="1" t="n">
        <v>45359.44837962963</v>
      </c>
      <c r="C308" s="1" t="n">
        <v>45925</v>
      </c>
      <c r="D308" t="inlineStr">
        <is>
          <t>KALMAR LÄN</t>
        </is>
      </c>
      <c r="E308" t="inlineStr">
        <is>
          <t>VIMMERBY</t>
        </is>
      </c>
      <c r="G308" t="n">
        <v>3.2</v>
      </c>
      <c r="H308" t="n">
        <v>0</v>
      </c>
      <c r="I308" t="n">
        <v>0</v>
      </c>
      <c r="J308" t="n">
        <v>0</v>
      </c>
      <c r="K308" t="n">
        <v>0</v>
      </c>
      <c r="L308" t="n">
        <v>0</v>
      </c>
      <c r="M308" t="n">
        <v>0</v>
      </c>
      <c r="N308" t="n">
        <v>0</v>
      </c>
      <c r="O308" t="n">
        <v>0</v>
      </c>
      <c r="P308" t="n">
        <v>0</v>
      </c>
      <c r="Q308" t="n">
        <v>0</v>
      </c>
      <c r="R308" s="2" t="inlineStr"/>
    </row>
    <row r="309" ht="15" customHeight="1">
      <c r="A309" t="inlineStr">
        <is>
          <t>A 12596-2021</t>
        </is>
      </c>
      <c r="B309" s="1" t="n">
        <v>44270.39765046296</v>
      </c>
      <c r="C309" s="1" t="n">
        <v>45925</v>
      </c>
      <c r="D309" t="inlineStr">
        <is>
          <t>KALMAR LÄN</t>
        </is>
      </c>
      <c r="E309" t="inlineStr">
        <is>
          <t>VIMMERBY</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58318-2021</t>
        </is>
      </c>
      <c r="B310" s="1" t="n">
        <v>44488.35878472222</v>
      </c>
      <c r="C310" s="1" t="n">
        <v>45925</v>
      </c>
      <c r="D310" t="inlineStr">
        <is>
          <t>KALMAR LÄN</t>
        </is>
      </c>
      <c r="E310" t="inlineStr">
        <is>
          <t>VIMMERBY</t>
        </is>
      </c>
      <c r="G310" t="n">
        <v>4</v>
      </c>
      <c r="H310" t="n">
        <v>0</v>
      </c>
      <c r="I310" t="n">
        <v>0</v>
      </c>
      <c r="J310" t="n">
        <v>0</v>
      </c>
      <c r="K310" t="n">
        <v>0</v>
      </c>
      <c r="L310" t="n">
        <v>0</v>
      </c>
      <c r="M310" t="n">
        <v>0</v>
      </c>
      <c r="N310" t="n">
        <v>0</v>
      </c>
      <c r="O310" t="n">
        <v>0</v>
      </c>
      <c r="P310" t="n">
        <v>0</v>
      </c>
      <c r="Q310" t="n">
        <v>0</v>
      </c>
      <c r="R310" s="2" t="inlineStr"/>
    </row>
    <row r="311" ht="15" customHeight="1">
      <c r="A311" t="inlineStr">
        <is>
          <t>A 53083-2021</t>
        </is>
      </c>
      <c r="B311" s="1" t="n">
        <v>44467.83386574074</v>
      </c>
      <c r="C311" s="1" t="n">
        <v>45925</v>
      </c>
      <c r="D311" t="inlineStr">
        <is>
          <t>KALMAR LÄN</t>
        </is>
      </c>
      <c r="E311" t="inlineStr">
        <is>
          <t>VIMMERBY</t>
        </is>
      </c>
      <c r="G311" t="n">
        <v>6.8</v>
      </c>
      <c r="H311" t="n">
        <v>0</v>
      </c>
      <c r="I311" t="n">
        <v>0</v>
      </c>
      <c r="J311" t="n">
        <v>0</v>
      </c>
      <c r="K311" t="n">
        <v>0</v>
      </c>
      <c r="L311" t="n">
        <v>0</v>
      </c>
      <c r="M311" t="n">
        <v>0</v>
      </c>
      <c r="N311" t="n">
        <v>0</v>
      </c>
      <c r="O311" t="n">
        <v>0</v>
      </c>
      <c r="P311" t="n">
        <v>0</v>
      </c>
      <c r="Q311" t="n">
        <v>0</v>
      </c>
      <c r="R311" s="2" t="inlineStr"/>
    </row>
    <row r="312" ht="15" customHeight="1">
      <c r="A312" t="inlineStr">
        <is>
          <t>A 29173-2024</t>
        </is>
      </c>
      <c r="B312" s="1" t="n">
        <v>45482.52887731481</v>
      </c>
      <c r="C312" s="1" t="n">
        <v>45925</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11111-2024</t>
        </is>
      </c>
      <c r="B313" s="1" t="n">
        <v>45371.36359953704</v>
      </c>
      <c r="C313" s="1" t="n">
        <v>45925</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11141-2024</t>
        </is>
      </c>
      <c r="B314" s="1" t="n">
        <v>45371.45865740741</v>
      </c>
      <c r="C314" s="1" t="n">
        <v>45925</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9418-2024</t>
        </is>
      </c>
      <c r="B315" s="1" t="n">
        <v>45359.45038194444</v>
      </c>
      <c r="C315" s="1" t="n">
        <v>45925</v>
      </c>
      <c r="D315" t="inlineStr">
        <is>
          <t>KALMAR LÄN</t>
        </is>
      </c>
      <c r="E315" t="inlineStr">
        <is>
          <t>VIMMERBY</t>
        </is>
      </c>
      <c r="G315" t="n">
        <v>1.9</v>
      </c>
      <c r="H315" t="n">
        <v>0</v>
      </c>
      <c r="I315" t="n">
        <v>0</v>
      </c>
      <c r="J315" t="n">
        <v>0</v>
      </c>
      <c r="K315" t="n">
        <v>0</v>
      </c>
      <c r="L315" t="n">
        <v>0</v>
      </c>
      <c r="M315" t="n">
        <v>0</v>
      </c>
      <c r="N315" t="n">
        <v>0</v>
      </c>
      <c r="O315" t="n">
        <v>0</v>
      </c>
      <c r="P315" t="n">
        <v>0</v>
      </c>
      <c r="Q315" t="n">
        <v>0</v>
      </c>
      <c r="R315" s="2" t="inlineStr"/>
    </row>
    <row r="316" ht="15" customHeight="1">
      <c r="A316" t="inlineStr">
        <is>
          <t>A 26937-2023</t>
        </is>
      </c>
      <c r="B316" s="1" t="n">
        <v>45093.62777777778</v>
      </c>
      <c r="C316" s="1" t="n">
        <v>45925</v>
      </c>
      <c r="D316" t="inlineStr">
        <is>
          <t>KALMAR LÄN</t>
        </is>
      </c>
      <c r="E316" t="inlineStr">
        <is>
          <t>VIMMERBY</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32655-2023</t>
        </is>
      </c>
      <c r="B317" s="1" t="n">
        <v>45121.61318287037</v>
      </c>
      <c r="C317" s="1" t="n">
        <v>45925</v>
      </c>
      <c r="D317" t="inlineStr">
        <is>
          <t>KALMAR LÄN</t>
        </is>
      </c>
      <c r="E317" t="inlineStr">
        <is>
          <t>VIMMERBY</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50085-2023</t>
        </is>
      </c>
      <c r="B318" s="1" t="n">
        <v>45215.5959375</v>
      </c>
      <c r="C318" s="1" t="n">
        <v>45925</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49313-2022</t>
        </is>
      </c>
      <c r="B319" s="1" t="n">
        <v>44861.52505787037</v>
      </c>
      <c r="C319" s="1" t="n">
        <v>45925</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35998-2024</t>
        </is>
      </c>
      <c r="B320" s="1" t="n">
        <v>45533.54429398148</v>
      </c>
      <c r="C320" s="1" t="n">
        <v>45925</v>
      </c>
      <c r="D320" t="inlineStr">
        <is>
          <t>KALMAR LÄN</t>
        </is>
      </c>
      <c r="E320" t="inlineStr">
        <is>
          <t>VIMMERBY</t>
        </is>
      </c>
      <c r="G320" t="n">
        <v>8.6</v>
      </c>
      <c r="H320" t="n">
        <v>0</v>
      </c>
      <c r="I320" t="n">
        <v>0</v>
      </c>
      <c r="J320" t="n">
        <v>0</v>
      </c>
      <c r="K320" t="n">
        <v>0</v>
      </c>
      <c r="L320" t="n">
        <v>0</v>
      </c>
      <c r="M320" t="n">
        <v>0</v>
      </c>
      <c r="N320" t="n">
        <v>0</v>
      </c>
      <c r="O320" t="n">
        <v>0</v>
      </c>
      <c r="P320" t="n">
        <v>0</v>
      </c>
      <c r="Q320" t="n">
        <v>0</v>
      </c>
      <c r="R320" s="2" t="inlineStr"/>
    </row>
    <row r="321" ht="15" customHeight="1">
      <c r="A321" t="inlineStr">
        <is>
          <t>A 36040-2024</t>
        </is>
      </c>
      <c r="B321" s="1" t="n">
        <v>45533.60232638889</v>
      </c>
      <c r="C321" s="1" t="n">
        <v>45925</v>
      </c>
      <c r="D321" t="inlineStr">
        <is>
          <t>KALMAR LÄN</t>
        </is>
      </c>
      <c r="E321" t="inlineStr">
        <is>
          <t>VIMMERBY</t>
        </is>
      </c>
      <c r="F321" t="inlineStr">
        <is>
          <t>Kommuner</t>
        </is>
      </c>
      <c r="G321" t="n">
        <v>3.6</v>
      </c>
      <c r="H321" t="n">
        <v>0</v>
      </c>
      <c r="I321" t="n">
        <v>0</v>
      </c>
      <c r="J321" t="n">
        <v>0</v>
      </c>
      <c r="K321" t="n">
        <v>0</v>
      </c>
      <c r="L321" t="n">
        <v>0</v>
      </c>
      <c r="M321" t="n">
        <v>0</v>
      </c>
      <c r="N321" t="n">
        <v>0</v>
      </c>
      <c r="O321" t="n">
        <v>0</v>
      </c>
      <c r="P321" t="n">
        <v>0</v>
      </c>
      <c r="Q321" t="n">
        <v>0</v>
      </c>
      <c r="R321" s="2" t="inlineStr"/>
    </row>
    <row r="322" ht="15" customHeight="1">
      <c r="A322" t="inlineStr">
        <is>
          <t>A 36043-2024</t>
        </is>
      </c>
      <c r="B322" s="1" t="n">
        <v>45533.60770833334</v>
      </c>
      <c r="C322" s="1" t="n">
        <v>45925</v>
      </c>
      <c r="D322" t="inlineStr">
        <is>
          <t>KALMAR LÄN</t>
        </is>
      </c>
      <c r="E322" t="inlineStr">
        <is>
          <t>VIMMERBY</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11219-2023</t>
        </is>
      </c>
      <c r="B323" s="1" t="n">
        <v>44992.62498842592</v>
      </c>
      <c r="C323" s="1" t="n">
        <v>45925</v>
      </c>
      <c r="D323" t="inlineStr">
        <is>
          <t>KALMAR LÄN</t>
        </is>
      </c>
      <c r="E323" t="inlineStr">
        <is>
          <t>VIMMERBY</t>
        </is>
      </c>
      <c r="G323" t="n">
        <v>2.5</v>
      </c>
      <c r="H323" t="n">
        <v>0</v>
      </c>
      <c r="I323" t="n">
        <v>0</v>
      </c>
      <c r="J323" t="n">
        <v>0</v>
      </c>
      <c r="K323" t="n">
        <v>0</v>
      </c>
      <c r="L323" t="n">
        <v>0</v>
      </c>
      <c r="M323" t="n">
        <v>0</v>
      </c>
      <c r="N323" t="n">
        <v>0</v>
      </c>
      <c r="O323" t="n">
        <v>0</v>
      </c>
      <c r="P323" t="n">
        <v>0</v>
      </c>
      <c r="Q323" t="n">
        <v>0</v>
      </c>
      <c r="R323" s="2" t="inlineStr"/>
    </row>
    <row r="324" ht="15" customHeight="1">
      <c r="A324" t="inlineStr">
        <is>
          <t>A 35596-2025</t>
        </is>
      </c>
      <c r="B324" s="1" t="n">
        <v>45858.60641203704</v>
      </c>
      <c r="C324" s="1" t="n">
        <v>45925</v>
      </c>
      <c r="D324" t="inlineStr">
        <is>
          <t>KALMAR LÄN</t>
        </is>
      </c>
      <c r="E324" t="inlineStr">
        <is>
          <t>VIMMERBY</t>
        </is>
      </c>
      <c r="G324" t="n">
        <v>2.8</v>
      </c>
      <c r="H324" t="n">
        <v>0</v>
      </c>
      <c r="I324" t="n">
        <v>0</v>
      </c>
      <c r="J324" t="n">
        <v>0</v>
      </c>
      <c r="K324" t="n">
        <v>0</v>
      </c>
      <c r="L324" t="n">
        <v>0</v>
      </c>
      <c r="M324" t="n">
        <v>0</v>
      </c>
      <c r="N324" t="n">
        <v>0</v>
      </c>
      <c r="O324" t="n">
        <v>0</v>
      </c>
      <c r="P324" t="n">
        <v>0</v>
      </c>
      <c r="Q324" t="n">
        <v>0</v>
      </c>
      <c r="R324" s="2" t="inlineStr"/>
    </row>
    <row r="325" ht="15" customHeight="1">
      <c r="A325" t="inlineStr">
        <is>
          <t>A 54409-2024</t>
        </is>
      </c>
      <c r="B325" s="1" t="n">
        <v>45617.47570601852</v>
      </c>
      <c r="C325" s="1" t="n">
        <v>45925</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22197-2024</t>
        </is>
      </c>
      <c r="B326" s="1" t="n">
        <v>45446.36774305555</v>
      </c>
      <c r="C326" s="1" t="n">
        <v>45925</v>
      </c>
      <c r="D326" t="inlineStr">
        <is>
          <t>KALMAR LÄN</t>
        </is>
      </c>
      <c r="E326" t="inlineStr">
        <is>
          <t>VIMMERBY</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41735-2025</t>
        </is>
      </c>
      <c r="B327" s="1" t="n">
        <v>45902.47164351852</v>
      </c>
      <c r="C327" s="1" t="n">
        <v>45925</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35710-2023</t>
        </is>
      </c>
      <c r="B328" s="1" t="n">
        <v>45147.67096064815</v>
      </c>
      <c r="C328" s="1" t="n">
        <v>45925</v>
      </c>
      <c r="D328" t="inlineStr">
        <is>
          <t>KALMAR LÄN</t>
        </is>
      </c>
      <c r="E328" t="inlineStr">
        <is>
          <t>VIMMERBY</t>
        </is>
      </c>
      <c r="G328" t="n">
        <v>3.1</v>
      </c>
      <c r="H328" t="n">
        <v>0</v>
      </c>
      <c r="I328" t="n">
        <v>0</v>
      </c>
      <c r="J328" t="n">
        <v>0</v>
      </c>
      <c r="K328" t="n">
        <v>0</v>
      </c>
      <c r="L328" t="n">
        <v>0</v>
      </c>
      <c r="M328" t="n">
        <v>0</v>
      </c>
      <c r="N328" t="n">
        <v>0</v>
      </c>
      <c r="O328" t="n">
        <v>0</v>
      </c>
      <c r="P328" t="n">
        <v>0</v>
      </c>
      <c r="Q328" t="n">
        <v>0</v>
      </c>
      <c r="R328" s="2" t="inlineStr"/>
    </row>
    <row r="329" ht="15" customHeight="1">
      <c r="A329" t="inlineStr">
        <is>
          <t>A 35711-2023</t>
        </is>
      </c>
      <c r="B329" s="1" t="n">
        <v>45147.67172453704</v>
      </c>
      <c r="C329" s="1" t="n">
        <v>45925</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9475-2023</t>
        </is>
      </c>
      <c r="B330" s="1" t="n">
        <v>44981.58834490741</v>
      </c>
      <c r="C330" s="1" t="n">
        <v>45925</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6850-2023</t>
        </is>
      </c>
      <c r="B331" s="1" t="n">
        <v>44967.44255787037</v>
      </c>
      <c r="C331" s="1" t="n">
        <v>45925</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6358-2022</t>
        </is>
      </c>
      <c r="B332" s="1" t="n">
        <v>44600</v>
      </c>
      <c r="C332" s="1" t="n">
        <v>45925</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43092-2024</t>
        </is>
      </c>
      <c r="B333" s="1" t="n">
        <v>45567</v>
      </c>
      <c r="C333" s="1" t="n">
        <v>45925</v>
      </c>
      <c r="D333" t="inlineStr">
        <is>
          <t>KALMAR LÄN</t>
        </is>
      </c>
      <c r="E333" t="inlineStr">
        <is>
          <t>VIMMERBY</t>
        </is>
      </c>
      <c r="G333" t="n">
        <v>2.7</v>
      </c>
      <c r="H333" t="n">
        <v>0</v>
      </c>
      <c r="I333" t="n">
        <v>0</v>
      </c>
      <c r="J333" t="n">
        <v>0</v>
      </c>
      <c r="K333" t="n">
        <v>0</v>
      </c>
      <c r="L333" t="n">
        <v>0</v>
      </c>
      <c r="M333" t="n">
        <v>0</v>
      </c>
      <c r="N333" t="n">
        <v>0</v>
      </c>
      <c r="O333" t="n">
        <v>0</v>
      </c>
      <c r="P333" t="n">
        <v>0</v>
      </c>
      <c r="Q333" t="n">
        <v>0</v>
      </c>
      <c r="R333" s="2" t="inlineStr"/>
    </row>
    <row r="334" ht="15" customHeight="1">
      <c r="A334" t="inlineStr">
        <is>
          <t>A 41896-2025</t>
        </is>
      </c>
      <c r="B334" s="1" t="n">
        <v>45903.38800925926</v>
      </c>
      <c r="C334" s="1" t="n">
        <v>45925</v>
      </c>
      <c r="D334" t="inlineStr">
        <is>
          <t>KALMAR LÄN</t>
        </is>
      </c>
      <c r="E334" t="inlineStr">
        <is>
          <t>VIMMERBY</t>
        </is>
      </c>
      <c r="G334" t="n">
        <v>2.9</v>
      </c>
      <c r="H334" t="n">
        <v>0</v>
      </c>
      <c r="I334" t="n">
        <v>0</v>
      </c>
      <c r="J334" t="n">
        <v>0</v>
      </c>
      <c r="K334" t="n">
        <v>0</v>
      </c>
      <c r="L334" t="n">
        <v>0</v>
      </c>
      <c r="M334" t="n">
        <v>0</v>
      </c>
      <c r="N334" t="n">
        <v>0</v>
      </c>
      <c r="O334" t="n">
        <v>0</v>
      </c>
      <c r="P334" t="n">
        <v>0</v>
      </c>
      <c r="Q334" t="n">
        <v>0</v>
      </c>
      <c r="R334" s="2" t="inlineStr"/>
    </row>
    <row r="335" ht="15" customHeight="1">
      <c r="A335" t="inlineStr">
        <is>
          <t>A 11619-2023</t>
        </is>
      </c>
      <c r="B335" s="1" t="n">
        <v>44994.42113425926</v>
      </c>
      <c r="C335" s="1" t="n">
        <v>45925</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5074-2023</t>
        </is>
      </c>
      <c r="B336" s="1" t="n">
        <v>44958.61047453704</v>
      </c>
      <c r="C336" s="1" t="n">
        <v>45925</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6368-2023</t>
        </is>
      </c>
      <c r="B337" s="1" t="n">
        <v>44965</v>
      </c>
      <c r="C337" s="1" t="n">
        <v>45925</v>
      </c>
      <c r="D337" t="inlineStr">
        <is>
          <t>KALMAR LÄN</t>
        </is>
      </c>
      <c r="E337" t="inlineStr">
        <is>
          <t>VIMMERBY</t>
        </is>
      </c>
      <c r="G337" t="n">
        <v>1.3</v>
      </c>
      <c r="H337" t="n">
        <v>0</v>
      </c>
      <c r="I337" t="n">
        <v>0</v>
      </c>
      <c r="J337" t="n">
        <v>0</v>
      </c>
      <c r="K337" t="n">
        <v>0</v>
      </c>
      <c r="L337" t="n">
        <v>0</v>
      </c>
      <c r="M337" t="n">
        <v>0</v>
      </c>
      <c r="N337" t="n">
        <v>0</v>
      </c>
      <c r="O337" t="n">
        <v>0</v>
      </c>
      <c r="P337" t="n">
        <v>0</v>
      </c>
      <c r="Q337" t="n">
        <v>0</v>
      </c>
      <c r="R337" s="2" t="inlineStr"/>
    </row>
    <row r="338" ht="15" customHeight="1">
      <c r="A338" t="inlineStr">
        <is>
          <t>A 5701-2024</t>
        </is>
      </c>
      <c r="B338" s="1" t="n">
        <v>45334.78826388889</v>
      </c>
      <c r="C338" s="1" t="n">
        <v>45925</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43853-2023</t>
        </is>
      </c>
      <c r="B339" s="1" t="n">
        <v>45187.60813657408</v>
      </c>
      <c r="C339" s="1" t="n">
        <v>45925</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7075-2021</t>
        </is>
      </c>
      <c r="B340" s="1" t="n">
        <v>44237</v>
      </c>
      <c r="C340" s="1" t="n">
        <v>45925</v>
      </c>
      <c r="D340" t="inlineStr">
        <is>
          <t>KALMAR LÄN</t>
        </is>
      </c>
      <c r="E340" t="inlineStr">
        <is>
          <t>VIMMERBY</t>
        </is>
      </c>
      <c r="G340" t="n">
        <v>3.6</v>
      </c>
      <c r="H340" t="n">
        <v>0</v>
      </c>
      <c r="I340" t="n">
        <v>0</v>
      </c>
      <c r="J340" t="n">
        <v>0</v>
      </c>
      <c r="K340" t="n">
        <v>0</v>
      </c>
      <c r="L340" t="n">
        <v>0</v>
      </c>
      <c r="M340" t="n">
        <v>0</v>
      </c>
      <c r="N340" t="n">
        <v>0</v>
      </c>
      <c r="O340" t="n">
        <v>0</v>
      </c>
      <c r="P340" t="n">
        <v>0</v>
      </c>
      <c r="Q340" t="n">
        <v>0</v>
      </c>
      <c r="R340" s="2" t="inlineStr"/>
    </row>
    <row r="341" ht="15" customHeight="1">
      <c r="A341" t="inlineStr">
        <is>
          <t>A 34588-2024</t>
        </is>
      </c>
      <c r="B341" s="1" t="n">
        <v>45526.3865625</v>
      </c>
      <c r="C341" s="1" t="n">
        <v>45925</v>
      </c>
      <c r="D341" t="inlineStr">
        <is>
          <t>KALMAR LÄN</t>
        </is>
      </c>
      <c r="E341" t="inlineStr">
        <is>
          <t>VIMMERBY</t>
        </is>
      </c>
      <c r="F341" t="inlineStr">
        <is>
          <t>Övriga Aktiebolag</t>
        </is>
      </c>
      <c r="G341" t="n">
        <v>3.3</v>
      </c>
      <c r="H341" t="n">
        <v>0</v>
      </c>
      <c r="I341" t="n">
        <v>0</v>
      </c>
      <c r="J341" t="n">
        <v>0</v>
      </c>
      <c r="K341" t="n">
        <v>0</v>
      </c>
      <c r="L341" t="n">
        <v>0</v>
      </c>
      <c r="M341" t="n">
        <v>0</v>
      </c>
      <c r="N341" t="n">
        <v>0</v>
      </c>
      <c r="O341" t="n">
        <v>0</v>
      </c>
      <c r="P341" t="n">
        <v>0</v>
      </c>
      <c r="Q341" t="n">
        <v>0</v>
      </c>
      <c r="R341" s="2" t="inlineStr"/>
    </row>
    <row r="342" ht="15" customHeight="1">
      <c r="A342" t="inlineStr">
        <is>
          <t>A 48673-2021</t>
        </is>
      </c>
      <c r="B342" s="1" t="n">
        <v>44452</v>
      </c>
      <c r="C342" s="1" t="n">
        <v>45925</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56659-2023</t>
        </is>
      </c>
      <c r="B343" s="1" t="n">
        <v>45243.84869212963</v>
      </c>
      <c r="C343" s="1" t="n">
        <v>45925</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14137-2023</t>
        </is>
      </c>
      <c r="B344" s="1" t="n">
        <v>45009.4671875</v>
      </c>
      <c r="C344" s="1" t="n">
        <v>45925</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7630-2025</t>
        </is>
      </c>
      <c r="B345" s="1" t="n">
        <v>45705.74418981482</v>
      </c>
      <c r="C345" s="1" t="n">
        <v>45925</v>
      </c>
      <c r="D345" t="inlineStr">
        <is>
          <t>KALMAR LÄN</t>
        </is>
      </c>
      <c r="E345" t="inlineStr">
        <is>
          <t>VIMMERBY</t>
        </is>
      </c>
      <c r="G345" t="n">
        <v>2.5</v>
      </c>
      <c r="H345" t="n">
        <v>0</v>
      </c>
      <c r="I345" t="n">
        <v>0</v>
      </c>
      <c r="J345" t="n">
        <v>0</v>
      </c>
      <c r="K345" t="n">
        <v>0</v>
      </c>
      <c r="L345" t="n">
        <v>0</v>
      </c>
      <c r="M345" t="n">
        <v>0</v>
      </c>
      <c r="N345" t="n">
        <v>0</v>
      </c>
      <c r="O345" t="n">
        <v>0</v>
      </c>
      <c r="P345" t="n">
        <v>0</v>
      </c>
      <c r="Q345" t="n">
        <v>0</v>
      </c>
      <c r="R345" s="2" t="inlineStr"/>
    </row>
    <row r="346" ht="15" customHeight="1">
      <c r="A346" t="inlineStr">
        <is>
          <t>A 38780-2021</t>
        </is>
      </c>
      <c r="B346" s="1" t="n">
        <v>44410</v>
      </c>
      <c r="C346" s="1" t="n">
        <v>45925</v>
      </c>
      <c r="D346" t="inlineStr">
        <is>
          <t>KALMAR LÄN</t>
        </is>
      </c>
      <c r="E346" t="inlineStr">
        <is>
          <t>VIMMERBY</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30503-2023</t>
        </is>
      </c>
      <c r="B347" s="1" t="n">
        <v>45111</v>
      </c>
      <c r="C347" s="1" t="n">
        <v>45925</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3331-2023</t>
        </is>
      </c>
      <c r="B348" s="1" t="n">
        <v>44949</v>
      </c>
      <c r="C348" s="1" t="n">
        <v>45925</v>
      </c>
      <c r="D348" t="inlineStr">
        <is>
          <t>KALMAR LÄN</t>
        </is>
      </c>
      <c r="E348" t="inlineStr">
        <is>
          <t>VIMMERBY</t>
        </is>
      </c>
      <c r="G348" t="n">
        <v>6.2</v>
      </c>
      <c r="H348" t="n">
        <v>0</v>
      </c>
      <c r="I348" t="n">
        <v>0</v>
      </c>
      <c r="J348" t="n">
        <v>0</v>
      </c>
      <c r="K348" t="n">
        <v>0</v>
      </c>
      <c r="L348" t="n">
        <v>0</v>
      </c>
      <c r="M348" t="n">
        <v>0</v>
      </c>
      <c r="N348" t="n">
        <v>0</v>
      </c>
      <c r="O348" t="n">
        <v>0</v>
      </c>
      <c r="P348" t="n">
        <v>0</v>
      </c>
      <c r="Q348" t="n">
        <v>0</v>
      </c>
      <c r="R348" s="2" t="inlineStr"/>
    </row>
    <row r="349" ht="15" customHeight="1">
      <c r="A349" t="inlineStr">
        <is>
          <t>A 60110-2022</t>
        </is>
      </c>
      <c r="B349" s="1" t="n">
        <v>44909</v>
      </c>
      <c r="C349" s="1" t="n">
        <v>45925</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42828-2025</t>
        </is>
      </c>
      <c r="B350" s="1" t="n">
        <v>45908.57716435185</v>
      </c>
      <c r="C350" s="1" t="n">
        <v>45925</v>
      </c>
      <c r="D350" t="inlineStr">
        <is>
          <t>KALMAR LÄN</t>
        </is>
      </c>
      <c r="E350" t="inlineStr">
        <is>
          <t>VIMMERBY</t>
        </is>
      </c>
      <c r="G350" t="n">
        <v>5.2</v>
      </c>
      <c r="H350" t="n">
        <v>0</v>
      </c>
      <c r="I350" t="n">
        <v>0</v>
      </c>
      <c r="J350" t="n">
        <v>0</v>
      </c>
      <c r="K350" t="n">
        <v>0</v>
      </c>
      <c r="L350" t="n">
        <v>0</v>
      </c>
      <c r="M350" t="n">
        <v>0</v>
      </c>
      <c r="N350" t="n">
        <v>0</v>
      </c>
      <c r="O350" t="n">
        <v>0</v>
      </c>
      <c r="P350" t="n">
        <v>0</v>
      </c>
      <c r="Q350" t="n">
        <v>0</v>
      </c>
      <c r="R350" s="2" t="inlineStr"/>
    </row>
    <row r="351" ht="15" customHeight="1">
      <c r="A351" t="inlineStr">
        <is>
          <t>A 7797-2023</t>
        </is>
      </c>
      <c r="B351" s="1" t="n">
        <v>44973.43075231482</v>
      </c>
      <c r="C351" s="1" t="n">
        <v>45925</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59300-2024</t>
        </is>
      </c>
      <c r="B352" s="1" t="n">
        <v>45637.66542824074</v>
      </c>
      <c r="C352" s="1" t="n">
        <v>45925</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24655-2021</t>
        </is>
      </c>
      <c r="B353" s="1" t="n">
        <v>44340</v>
      </c>
      <c r="C353" s="1" t="n">
        <v>45925</v>
      </c>
      <c r="D353" t="inlineStr">
        <is>
          <t>KALMAR LÄN</t>
        </is>
      </c>
      <c r="E353" t="inlineStr">
        <is>
          <t>VIMMERBY</t>
        </is>
      </c>
      <c r="G353" t="n">
        <v>14.9</v>
      </c>
      <c r="H353" t="n">
        <v>0</v>
      </c>
      <c r="I353" t="n">
        <v>0</v>
      </c>
      <c r="J353" t="n">
        <v>0</v>
      </c>
      <c r="K353" t="n">
        <v>0</v>
      </c>
      <c r="L353" t="n">
        <v>0</v>
      </c>
      <c r="M353" t="n">
        <v>0</v>
      </c>
      <c r="N353" t="n">
        <v>0</v>
      </c>
      <c r="O353" t="n">
        <v>0</v>
      </c>
      <c r="P353" t="n">
        <v>0</v>
      </c>
      <c r="Q353" t="n">
        <v>0</v>
      </c>
      <c r="R353" s="2" t="inlineStr"/>
    </row>
    <row r="354" ht="15" customHeight="1">
      <c r="A354" t="inlineStr">
        <is>
          <t>A 19502-2025</t>
        </is>
      </c>
      <c r="B354" s="1" t="n">
        <v>45769</v>
      </c>
      <c r="C354" s="1" t="n">
        <v>45925</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40828-2023</t>
        </is>
      </c>
      <c r="B355" s="1" t="n">
        <v>45171.96248842592</v>
      </c>
      <c r="C355" s="1" t="n">
        <v>45925</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19445-2021</t>
        </is>
      </c>
      <c r="B356" s="1" t="n">
        <v>44310</v>
      </c>
      <c r="C356" s="1" t="n">
        <v>45925</v>
      </c>
      <c r="D356" t="inlineStr">
        <is>
          <t>KALMAR LÄN</t>
        </is>
      </c>
      <c r="E356" t="inlineStr">
        <is>
          <t>VIMMERBY</t>
        </is>
      </c>
      <c r="G356" t="n">
        <v>6.8</v>
      </c>
      <c r="H356" t="n">
        <v>0</v>
      </c>
      <c r="I356" t="n">
        <v>0</v>
      </c>
      <c r="J356" t="n">
        <v>0</v>
      </c>
      <c r="K356" t="n">
        <v>0</v>
      </c>
      <c r="L356" t="n">
        <v>0</v>
      </c>
      <c r="M356" t="n">
        <v>0</v>
      </c>
      <c r="N356" t="n">
        <v>0</v>
      </c>
      <c r="O356" t="n">
        <v>0</v>
      </c>
      <c r="P356" t="n">
        <v>0</v>
      </c>
      <c r="Q356" t="n">
        <v>0</v>
      </c>
      <c r="R356" s="2" t="inlineStr"/>
    </row>
    <row r="357" ht="15" customHeight="1">
      <c r="A357" t="inlineStr">
        <is>
          <t>A 16734-2023</t>
        </is>
      </c>
      <c r="B357" s="1" t="n">
        <v>45030.71012731481</v>
      </c>
      <c r="C357" s="1" t="n">
        <v>45925</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8410-2023</t>
        </is>
      </c>
      <c r="B358" s="1" t="n">
        <v>44977</v>
      </c>
      <c r="C358" s="1" t="n">
        <v>45925</v>
      </c>
      <c r="D358" t="inlineStr">
        <is>
          <t>KALMAR LÄN</t>
        </is>
      </c>
      <c r="E358" t="inlineStr">
        <is>
          <t>VIMMERBY</t>
        </is>
      </c>
      <c r="G358" t="n">
        <v>0.9</v>
      </c>
      <c r="H358" t="n">
        <v>0</v>
      </c>
      <c r="I358" t="n">
        <v>0</v>
      </c>
      <c r="J358" t="n">
        <v>0</v>
      </c>
      <c r="K358" t="n">
        <v>0</v>
      </c>
      <c r="L358" t="n">
        <v>0</v>
      </c>
      <c r="M358" t="n">
        <v>0</v>
      </c>
      <c r="N358" t="n">
        <v>0</v>
      </c>
      <c r="O358" t="n">
        <v>0</v>
      </c>
      <c r="P358" t="n">
        <v>0</v>
      </c>
      <c r="Q358" t="n">
        <v>0</v>
      </c>
      <c r="R358" s="2" t="inlineStr"/>
    </row>
    <row r="359" ht="15" customHeight="1">
      <c r="A359" t="inlineStr">
        <is>
          <t>A 18329-2023</t>
        </is>
      </c>
      <c r="B359" s="1" t="n">
        <v>45041.63380787037</v>
      </c>
      <c r="C359" s="1" t="n">
        <v>45925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5720-2023</t>
        </is>
      </c>
      <c r="B360" s="1" t="n">
        <v>44961</v>
      </c>
      <c r="C360" s="1" t="n">
        <v>45925</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64143-2021</t>
        </is>
      </c>
      <c r="B361" s="1" t="n">
        <v>44510.52157407408</v>
      </c>
      <c r="C361" s="1" t="n">
        <v>45925</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6028-2023</t>
        </is>
      </c>
      <c r="B362" s="1" t="n">
        <v>44964.44356481481</v>
      </c>
      <c r="C362" s="1" t="n">
        <v>45925</v>
      </c>
      <c r="D362" t="inlineStr">
        <is>
          <t>KALMAR LÄN</t>
        </is>
      </c>
      <c r="E362" t="inlineStr">
        <is>
          <t>VIMMERBY</t>
        </is>
      </c>
      <c r="G362" t="n">
        <v>2.5</v>
      </c>
      <c r="H362" t="n">
        <v>0</v>
      </c>
      <c r="I362" t="n">
        <v>0</v>
      </c>
      <c r="J362" t="n">
        <v>0</v>
      </c>
      <c r="K362" t="n">
        <v>0</v>
      </c>
      <c r="L362" t="n">
        <v>0</v>
      </c>
      <c r="M362" t="n">
        <v>0</v>
      </c>
      <c r="N362" t="n">
        <v>0</v>
      </c>
      <c r="O362" t="n">
        <v>0</v>
      </c>
      <c r="P362" t="n">
        <v>0</v>
      </c>
      <c r="Q362" t="n">
        <v>0</v>
      </c>
      <c r="R362" s="2" t="inlineStr"/>
    </row>
    <row r="363" ht="15" customHeight="1">
      <c r="A363" t="inlineStr">
        <is>
          <t>A 9720-2023</t>
        </is>
      </c>
      <c r="B363" s="1" t="n">
        <v>44984</v>
      </c>
      <c r="C363" s="1" t="n">
        <v>45925</v>
      </c>
      <c r="D363" t="inlineStr">
        <is>
          <t>KALMAR LÄN</t>
        </is>
      </c>
      <c r="E363" t="inlineStr">
        <is>
          <t>VIMMERBY</t>
        </is>
      </c>
      <c r="G363" t="n">
        <v>4.4</v>
      </c>
      <c r="H363" t="n">
        <v>0</v>
      </c>
      <c r="I363" t="n">
        <v>0</v>
      </c>
      <c r="J363" t="n">
        <v>0</v>
      </c>
      <c r="K363" t="n">
        <v>0</v>
      </c>
      <c r="L363" t="n">
        <v>0</v>
      </c>
      <c r="M363" t="n">
        <v>0</v>
      </c>
      <c r="N363" t="n">
        <v>0</v>
      </c>
      <c r="O363" t="n">
        <v>0</v>
      </c>
      <c r="P363" t="n">
        <v>0</v>
      </c>
      <c r="Q363" t="n">
        <v>0</v>
      </c>
      <c r="R363" s="2" t="inlineStr"/>
    </row>
    <row r="364" ht="15" customHeight="1">
      <c r="A364" t="inlineStr">
        <is>
          <t>A 5938-2022</t>
        </is>
      </c>
      <c r="B364" s="1" t="n">
        <v>44598</v>
      </c>
      <c r="C364" s="1" t="n">
        <v>45925</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1687-2023</t>
        </is>
      </c>
      <c r="B365" s="1" t="n">
        <v>44938</v>
      </c>
      <c r="C365" s="1" t="n">
        <v>45925</v>
      </c>
      <c r="D365" t="inlineStr">
        <is>
          <t>KALMAR LÄN</t>
        </is>
      </c>
      <c r="E365" t="inlineStr">
        <is>
          <t>VIMMERBY</t>
        </is>
      </c>
      <c r="F365" t="inlineStr">
        <is>
          <t>Kommuner</t>
        </is>
      </c>
      <c r="G365" t="n">
        <v>2.5</v>
      </c>
      <c r="H365" t="n">
        <v>0</v>
      </c>
      <c r="I365" t="n">
        <v>0</v>
      </c>
      <c r="J365" t="n">
        <v>0</v>
      </c>
      <c r="K365" t="n">
        <v>0</v>
      </c>
      <c r="L365" t="n">
        <v>0</v>
      </c>
      <c r="M365" t="n">
        <v>0</v>
      </c>
      <c r="N365" t="n">
        <v>0</v>
      </c>
      <c r="O365" t="n">
        <v>0</v>
      </c>
      <c r="P365" t="n">
        <v>0</v>
      </c>
      <c r="Q365" t="n">
        <v>0</v>
      </c>
      <c r="R365" s="2" t="inlineStr"/>
    </row>
    <row r="366" ht="15" customHeight="1">
      <c r="A366" t="inlineStr">
        <is>
          <t>A 29440-2024</t>
        </is>
      </c>
      <c r="B366" s="1" t="n">
        <v>45483.82479166667</v>
      </c>
      <c r="C366" s="1" t="n">
        <v>45925</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30921-2024</t>
        </is>
      </c>
      <c r="B367" s="1" t="n">
        <v>45498</v>
      </c>
      <c r="C367" s="1" t="n">
        <v>45925</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52823-2024</t>
        </is>
      </c>
      <c r="B368" s="1" t="n">
        <v>45610.59094907407</v>
      </c>
      <c r="C368" s="1" t="n">
        <v>45925</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53482-2022</t>
        </is>
      </c>
      <c r="B369" s="1" t="n">
        <v>44879</v>
      </c>
      <c r="C369" s="1" t="n">
        <v>45925</v>
      </c>
      <c r="D369" t="inlineStr">
        <is>
          <t>KALMAR LÄN</t>
        </is>
      </c>
      <c r="E369" t="inlineStr">
        <is>
          <t>VIMMERBY</t>
        </is>
      </c>
      <c r="G369" t="n">
        <v>10.1</v>
      </c>
      <c r="H369" t="n">
        <v>0</v>
      </c>
      <c r="I369" t="n">
        <v>0</v>
      </c>
      <c r="J369" t="n">
        <v>0</v>
      </c>
      <c r="K369" t="n">
        <v>0</v>
      </c>
      <c r="L369" t="n">
        <v>0</v>
      </c>
      <c r="M369" t="n">
        <v>0</v>
      </c>
      <c r="N369" t="n">
        <v>0</v>
      </c>
      <c r="O369" t="n">
        <v>0</v>
      </c>
      <c r="P369" t="n">
        <v>0</v>
      </c>
      <c r="Q369" t="n">
        <v>0</v>
      </c>
      <c r="R369" s="2" t="inlineStr"/>
    </row>
    <row r="370" ht="15" customHeight="1">
      <c r="A370" t="inlineStr">
        <is>
          <t>A 61538-2022</t>
        </is>
      </c>
      <c r="B370" s="1" t="n">
        <v>44916.55414351852</v>
      </c>
      <c r="C370" s="1" t="n">
        <v>45925</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56853-2022</t>
        </is>
      </c>
      <c r="B371" s="1" t="n">
        <v>44894.49538194444</v>
      </c>
      <c r="C371" s="1" t="n">
        <v>45925</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11152-2023</t>
        </is>
      </c>
      <c r="B372" s="1" t="n">
        <v>44992</v>
      </c>
      <c r="C372" s="1" t="n">
        <v>45925</v>
      </c>
      <c r="D372" t="inlineStr">
        <is>
          <t>KALMAR LÄN</t>
        </is>
      </c>
      <c r="E372" t="inlineStr">
        <is>
          <t>VIMMERBY</t>
        </is>
      </c>
      <c r="G372" t="n">
        <v>10.6</v>
      </c>
      <c r="H372" t="n">
        <v>0</v>
      </c>
      <c r="I372" t="n">
        <v>0</v>
      </c>
      <c r="J372" t="n">
        <v>0</v>
      </c>
      <c r="K372" t="n">
        <v>0</v>
      </c>
      <c r="L372" t="n">
        <v>0</v>
      </c>
      <c r="M372" t="n">
        <v>0</v>
      </c>
      <c r="N372" t="n">
        <v>0</v>
      </c>
      <c r="O372" t="n">
        <v>0</v>
      </c>
      <c r="P372" t="n">
        <v>0</v>
      </c>
      <c r="Q372" t="n">
        <v>0</v>
      </c>
      <c r="R372" s="2" t="inlineStr"/>
    </row>
    <row r="373" ht="15" customHeight="1">
      <c r="A373" t="inlineStr">
        <is>
          <t>A 694-2024</t>
        </is>
      </c>
      <c r="B373" s="1" t="n">
        <v>45300.3794212963</v>
      </c>
      <c r="C373" s="1" t="n">
        <v>45925</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15550-2023</t>
        </is>
      </c>
      <c r="B374" s="1" t="n">
        <v>45020</v>
      </c>
      <c r="C374" s="1" t="n">
        <v>45925</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57114-2023</t>
        </is>
      </c>
      <c r="B375" s="1" t="n">
        <v>45245.36174768519</v>
      </c>
      <c r="C375" s="1" t="n">
        <v>45925</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29180-2024</t>
        </is>
      </c>
      <c r="B376" s="1" t="n">
        <v>45482.54108796296</v>
      </c>
      <c r="C376" s="1" t="n">
        <v>45925</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36273-2025</t>
        </is>
      </c>
      <c r="B377" s="1" t="n">
        <v>45867.63094907408</v>
      </c>
      <c r="C377" s="1" t="n">
        <v>45925</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36299-2025</t>
        </is>
      </c>
      <c r="B378" s="1" t="n">
        <v>45867.69346064814</v>
      </c>
      <c r="C378" s="1" t="n">
        <v>45925</v>
      </c>
      <c r="D378" t="inlineStr">
        <is>
          <t>KALMAR LÄN</t>
        </is>
      </c>
      <c r="E378" t="inlineStr">
        <is>
          <t>VIMMERBY</t>
        </is>
      </c>
      <c r="G378" t="n">
        <v>7.6</v>
      </c>
      <c r="H378" t="n">
        <v>0</v>
      </c>
      <c r="I378" t="n">
        <v>0</v>
      </c>
      <c r="J378" t="n">
        <v>0</v>
      </c>
      <c r="K378" t="n">
        <v>0</v>
      </c>
      <c r="L378" t="n">
        <v>0</v>
      </c>
      <c r="M378" t="n">
        <v>0</v>
      </c>
      <c r="N378" t="n">
        <v>0</v>
      </c>
      <c r="O378" t="n">
        <v>0</v>
      </c>
      <c r="P378" t="n">
        <v>0</v>
      </c>
      <c r="Q378" t="n">
        <v>0</v>
      </c>
      <c r="R378" s="2" t="inlineStr"/>
    </row>
    <row r="379" ht="15" customHeight="1">
      <c r="A379" t="inlineStr">
        <is>
          <t>A 31355-2023</t>
        </is>
      </c>
      <c r="B379" s="1" t="n">
        <v>45114.49505787037</v>
      </c>
      <c r="C379" s="1" t="n">
        <v>45925</v>
      </c>
      <c r="D379" t="inlineStr">
        <is>
          <t>KALMAR LÄN</t>
        </is>
      </c>
      <c r="E379" t="inlineStr">
        <is>
          <t>VIMMERBY</t>
        </is>
      </c>
      <c r="G379" t="n">
        <v>1.3</v>
      </c>
      <c r="H379" t="n">
        <v>0</v>
      </c>
      <c r="I379" t="n">
        <v>0</v>
      </c>
      <c r="J379" t="n">
        <v>0</v>
      </c>
      <c r="K379" t="n">
        <v>0</v>
      </c>
      <c r="L379" t="n">
        <v>0</v>
      </c>
      <c r="M379" t="n">
        <v>0</v>
      </c>
      <c r="N379" t="n">
        <v>0</v>
      </c>
      <c r="O379" t="n">
        <v>0</v>
      </c>
      <c r="P379" t="n">
        <v>0</v>
      </c>
      <c r="Q379" t="n">
        <v>0</v>
      </c>
      <c r="R379" s="2" t="inlineStr"/>
    </row>
    <row r="380" ht="15" customHeight="1">
      <c r="A380" t="inlineStr">
        <is>
          <t>A 12327-2023</t>
        </is>
      </c>
      <c r="B380" s="1" t="n">
        <v>44999.36081018519</v>
      </c>
      <c r="C380" s="1" t="n">
        <v>45925</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36221-2025</t>
        </is>
      </c>
      <c r="B381" s="1" t="n">
        <v>45867.50792824074</v>
      </c>
      <c r="C381" s="1" t="n">
        <v>45925</v>
      </c>
      <c r="D381" t="inlineStr">
        <is>
          <t>KALMAR LÄN</t>
        </is>
      </c>
      <c r="E381" t="inlineStr">
        <is>
          <t>VIMMERBY</t>
        </is>
      </c>
      <c r="G381" t="n">
        <v>2.5</v>
      </c>
      <c r="H381" t="n">
        <v>0</v>
      </c>
      <c r="I381" t="n">
        <v>0</v>
      </c>
      <c r="J381" t="n">
        <v>0</v>
      </c>
      <c r="K381" t="n">
        <v>0</v>
      </c>
      <c r="L381" t="n">
        <v>0</v>
      </c>
      <c r="M381" t="n">
        <v>0</v>
      </c>
      <c r="N381" t="n">
        <v>0</v>
      </c>
      <c r="O381" t="n">
        <v>0</v>
      </c>
      <c r="P381" t="n">
        <v>0</v>
      </c>
      <c r="Q381" t="n">
        <v>0</v>
      </c>
      <c r="R381" s="2" t="inlineStr"/>
    </row>
    <row r="382" ht="15" customHeight="1">
      <c r="A382" t="inlineStr">
        <is>
          <t>A 36226-2025</t>
        </is>
      </c>
      <c r="B382" s="1" t="n">
        <v>45867.51630787037</v>
      </c>
      <c r="C382" s="1" t="n">
        <v>45925</v>
      </c>
      <c r="D382" t="inlineStr">
        <is>
          <t>KALMAR LÄN</t>
        </is>
      </c>
      <c r="E382" t="inlineStr">
        <is>
          <t>VIMMERBY</t>
        </is>
      </c>
      <c r="G382" t="n">
        <v>3.1</v>
      </c>
      <c r="H382" t="n">
        <v>0</v>
      </c>
      <c r="I382" t="n">
        <v>0</v>
      </c>
      <c r="J382" t="n">
        <v>0</v>
      </c>
      <c r="K382" t="n">
        <v>0</v>
      </c>
      <c r="L382" t="n">
        <v>0</v>
      </c>
      <c r="M382" t="n">
        <v>0</v>
      </c>
      <c r="N382" t="n">
        <v>0</v>
      </c>
      <c r="O382" t="n">
        <v>0</v>
      </c>
      <c r="P382" t="n">
        <v>0</v>
      </c>
      <c r="Q382" t="n">
        <v>0</v>
      </c>
      <c r="R382" s="2" t="inlineStr"/>
    </row>
    <row r="383" ht="15" customHeight="1">
      <c r="A383" t="inlineStr">
        <is>
          <t>A 18330-2023</t>
        </is>
      </c>
      <c r="B383" s="1" t="n">
        <v>45041</v>
      </c>
      <c r="C383" s="1" t="n">
        <v>45925</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29783-2024</t>
        </is>
      </c>
      <c r="B384" s="1" t="n">
        <v>45485.45778935185</v>
      </c>
      <c r="C384" s="1" t="n">
        <v>45925</v>
      </c>
      <c r="D384" t="inlineStr">
        <is>
          <t>KALMAR LÄN</t>
        </is>
      </c>
      <c r="E384" t="inlineStr">
        <is>
          <t>VIMMERBY</t>
        </is>
      </c>
      <c r="G384" t="n">
        <v>3.1</v>
      </c>
      <c r="H384" t="n">
        <v>0</v>
      </c>
      <c r="I384" t="n">
        <v>0</v>
      </c>
      <c r="J384" t="n">
        <v>0</v>
      </c>
      <c r="K384" t="n">
        <v>0</v>
      </c>
      <c r="L384" t="n">
        <v>0</v>
      </c>
      <c r="M384" t="n">
        <v>0</v>
      </c>
      <c r="N384" t="n">
        <v>0</v>
      </c>
      <c r="O384" t="n">
        <v>0</v>
      </c>
      <c r="P384" t="n">
        <v>0</v>
      </c>
      <c r="Q384" t="n">
        <v>0</v>
      </c>
      <c r="R384" s="2" t="inlineStr"/>
    </row>
    <row r="385" ht="15" customHeight="1">
      <c r="A385" t="inlineStr">
        <is>
          <t>A 58100-2024</t>
        </is>
      </c>
      <c r="B385" s="1" t="n">
        <v>45632.36706018518</v>
      </c>
      <c r="C385" s="1" t="n">
        <v>45925</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30633-2024</t>
        </is>
      </c>
      <c r="B386" s="1" t="n">
        <v>45495</v>
      </c>
      <c r="C386" s="1" t="n">
        <v>45925</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36297-2025</t>
        </is>
      </c>
      <c r="B387" s="1" t="n">
        <v>45867.68625</v>
      </c>
      <c r="C387" s="1" t="n">
        <v>45925</v>
      </c>
      <c r="D387" t="inlineStr">
        <is>
          <t>KALMAR LÄN</t>
        </is>
      </c>
      <c r="E387" t="inlineStr">
        <is>
          <t>VIMMERBY</t>
        </is>
      </c>
      <c r="G387" t="n">
        <v>4.9</v>
      </c>
      <c r="H387" t="n">
        <v>0</v>
      </c>
      <c r="I387" t="n">
        <v>0</v>
      </c>
      <c r="J387" t="n">
        <v>0</v>
      </c>
      <c r="K387" t="n">
        <v>0</v>
      </c>
      <c r="L387" t="n">
        <v>0</v>
      </c>
      <c r="M387" t="n">
        <v>0</v>
      </c>
      <c r="N387" t="n">
        <v>0</v>
      </c>
      <c r="O387" t="n">
        <v>0</v>
      </c>
      <c r="P387" t="n">
        <v>0</v>
      </c>
      <c r="Q387" t="n">
        <v>0</v>
      </c>
      <c r="R387" s="2" t="inlineStr"/>
    </row>
    <row r="388" ht="15" customHeight="1">
      <c r="A388" t="inlineStr">
        <is>
          <t>A 54838-2024</t>
        </is>
      </c>
      <c r="B388" s="1" t="n">
        <v>45618.56787037037</v>
      </c>
      <c r="C388" s="1" t="n">
        <v>45925</v>
      </c>
      <c r="D388" t="inlineStr">
        <is>
          <t>KALMAR LÄN</t>
        </is>
      </c>
      <c r="E388" t="inlineStr">
        <is>
          <t>VIMMERBY</t>
        </is>
      </c>
      <c r="G388" t="n">
        <v>3.3</v>
      </c>
      <c r="H388" t="n">
        <v>0</v>
      </c>
      <c r="I388" t="n">
        <v>0</v>
      </c>
      <c r="J388" t="n">
        <v>0</v>
      </c>
      <c r="K388" t="n">
        <v>0</v>
      </c>
      <c r="L388" t="n">
        <v>0</v>
      </c>
      <c r="M388" t="n">
        <v>0</v>
      </c>
      <c r="N388" t="n">
        <v>0</v>
      </c>
      <c r="O388" t="n">
        <v>0</v>
      </c>
      <c r="P388" t="n">
        <v>0</v>
      </c>
      <c r="Q388" t="n">
        <v>0</v>
      </c>
      <c r="R388" s="2" t="inlineStr"/>
    </row>
    <row r="389" ht="15" customHeight="1">
      <c r="A389" t="inlineStr">
        <is>
          <t>A 33424-2023</t>
        </is>
      </c>
      <c r="B389" s="1" t="n">
        <v>45128.9325</v>
      </c>
      <c r="C389" s="1" t="n">
        <v>45925</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33425-2023</t>
        </is>
      </c>
      <c r="B390" s="1" t="n">
        <v>45128.93540509259</v>
      </c>
      <c r="C390" s="1" t="n">
        <v>45925</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27993-2022</t>
        </is>
      </c>
      <c r="B391" s="1" t="n">
        <v>44745.84396990741</v>
      </c>
      <c r="C391" s="1" t="n">
        <v>45925</v>
      </c>
      <c r="D391" t="inlineStr">
        <is>
          <t>KALMAR LÄN</t>
        </is>
      </c>
      <c r="E391" t="inlineStr">
        <is>
          <t>VIMMERBY</t>
        </is>
      </c>
      <c r="G391" t="n">
        <v>2.8</v>
      </c>
      <c r="H391" t="n">
        <v>0</v>
      </c>
      <c r="I391" t="n">
        <v>0</v>
      </c>
      <c r="J391" t="n">
        <v>0</v>
      </c>
      <c r="K391" t="n">
        <v>0</v>
      </c>
      <c r="L391" t="n">
        <v>0</v>
      </c>
      <c r="M391" t="n">
        <v>0</v>
      </c>
      <c r="N391" t="n">
        <v>0</v>
      </c>
      <c r="O391" t="n">
        <v>0</v>
      </c>
      <c r="P391" t="n">
        <v>0</v>
      </c>
      <c r="Q391" t="n">
        <v>0</v>
      </c>
      <c r="R391" s="2" t="inlineStr"/>
    </row>
    <row r="392" ht="15" customHeight="1">
      <c r="A392" t="inlineStr">
        <is>
          <t>A 36246-2025</t>
        </is>
      </c>
      <c r="B392" s="1" t="n">
        <v>45867.56320601852</v>
      </c>
      <c r="C392" s="1" t="n">
        <v>45925</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25987-2024</t>
        </is>
      </c>
      <c r="B393" s="1" t="n">
        <v>45467.74417824074</v>
      </c>
      <c r="C393" s="1" t="n">
        <v>45925</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3609-2024</t>
        </is>
      </c>
      <c r="B394" s="1" t="n">
        <v>45320.89128472222</v>
      </c>
      <c r="C394" s="1" t="n">
        <v>45925</v>
      </c>
      <c r="D394" t="inlineStr">
        <is>
          <t>KALMAR LÄN</t>
        </is>
      </c>
      <c r="E394" t="inlineStr">
        <is>
          <t>VIMMERBY</t>
        </is>
      </c>
      <c r="G394" t="n">
        <v>1.7</v>
      </c>
      <c r="H394" t="n">
        <v>0</v>
      </c>
      <c r="I394" t="n">
        <v>0</v>
      </c>
      <c r="J394" t="n">
        <v>0</v>
      </c>
      <c r="K394" t="n">
        <v>0</v>
      </c>
      <c r="L394" t="n">
        <v>0</v>
      </c>
      <c r="M394" t="n">
        <v>0</v>
      </c>
      <c r="N394" t="n">
        <v>0</v>
      </c>
      <c r="O394" t="n">
        <v>0</v>
      </c>
      <c r="P394" t="n">
        <v>0</v>
      </c>
      <c r="Q394" t="n">
        <v>0</v>
      </c>
      <c r="R394" s="2" t="inlineStr"/>
    </row>
    <row r="395" ht="15" customHeight="1">
      <c r="A395" t="inlineStr">
        <is>
          <t>A 25109-2023</t>
        </is>
      </c>
      <c r="B395" s="1" t="n">
        <v>45086</v>
      </c>
      <c r="C395" s="1" t="n">
        <v>45925</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61878-2020</t>
        </is>
      </c>
      <c r="B396" s="1" t="n">
        <v>44159</v>
      </c>
      <c r="C396" s="1" t="n">
        <v>45925</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36282-2025</t>
        </is>
      </c>
      <c r="B397" s="1" t="n">
        <v>45867.64663194444</v>
      </c>
      <c r="C397" s="1" t="n">
        <v>45925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38969-2023</t>
        </is>
      </c>
      <c r="B398" s="1" t="n">
        <v>45163.63621527778</v>
      </c>
      <c r="C398" s="1" t="n">
        <v>45925</v>
      </c>
      <c r="D398" t="inlineStr">
        <is>
          <t>KALMAR LÄN</t>
        </is>
      </c>
      <c r="E398" t="inlineStr">
        <is>
          <t>VIMMERBY</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42794-2025</t>
        </is>
      </c>
      <c r="B399" s="1" t="n">
        <v>45908</v>
      </c>
      <c r="C399" s="1" t="n">
        <v>45925</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36538-2025</t>
        </is>
      </c>
      <c r="B400" s="1" t="n">
        <v>45869.62276620371</v>
      </c>
      <c r="C400" s="1" t="n">
        <v>45925</v>
      </c>
      <c r="D400" t="inlineStr">
        <is>
          <t>KALMAR LÄN</t>
        </is>
      </c>
      <c r="E400" t="inlineStr">
        <is>
          <t>VIMMERBY</t>
        </is>
      </c>
      <c r="G400" t="n">
        <v>2.6</v>
      </c>
      <c r="H400" t="n">
        <v>0</v>
      </c>
      <c r="I400" t="n">
        <v>0</v>
      </c>
      <c r="J400" t="n">
        <v>0</v>
      </c>
      <c r="K400" t="n">
        <v>0</v>
      </c>
      <c r="L400" t="n">
        <v>0</v>
      </c>
      <c r="M400" t="n">
        <v>0</v>
      </c>
      <c r="N400" t="n">
        <v>0</v>
      </c>
      <c r="O400" t="n">
        <v>0</v>
      </c>
      <c r="P400" t="n">
        <v>0</v>
      </c>
      <c r="Q400" t="n">
        <v>0</v>
      </c>
      <c r="R400" s="2" t="inlineStr"/>
    </row>
    <row r="401" ht="15" customHeight="1">
      <c r="A401" t="inlineStr">
        <is>
          <t>A 62023-2022</t>
        </is>
      </c>
      <c r="B401" s="1" t="n">
        <v>44918.50106481482</v>
      </c>
      <c r="C401" s="1" t="n">
        <v>45925</v>
      </c>
      <c r="D401" t="inlineStr">
        <is>
          <t>KALMAR LÄN</t>
        </is>
      </c>
      <c r="E401" t="inlineStr">
        <is>
          <t>VIMMERBY</t>
        </is>
      </c>
      <c r="G401" t="n">
        <v>0.3</v>
      </c>
      <c r="H401" t="n">
        <v>0</v>
      </c>
      <c r="I401" t="n">
        <v>0</v>
      </c>
      <c r="J401" t="n">
        <v>0</v>
      </c>
      <c r="K401" t="n">
        <v>0</v>
      </c>
      <c r="L401" t="n">
        <v>0</v>
      </c>
      <c r="M401" t="n">
        <v>0</v>
      </c>
      <c r="N401" t="n">
        <v>0</v>
      </c>
      <c r="O401" t="n">
        <v>0</v>
      </c>
      <c r="P401" t="n">
        <v>0</v>
      </c>
      <c r="Q401" t="n">
        <v>0</v>
      </c>
      <c r="R401" s="2" t="inlineStr"/>
    </row>
    <row r="402" ht="15" customHeight="1">
      <c r="A402" t="inlineStr">
        <is>
          <t>A 53752-2024</t>
        </is>
      </c>
      <c r="B402" s="1" t="n">
        <v>45615.48927083334</v>
      </c>
      <c r="C402" s="1" t="n">
        <v>45925</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42820-2025</t>
        </is>
      </c>
      <c r="B403" s="1" t="n">
        <v>45908</v>
      </c>
      <c r="C403" s="1" t="n">
        <v>45925</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58104-2024</t>
        </is>
      </c>
      <c r="B404" s="1" t="n">
        <v>45632.37459490741</v>
      </c>
      <c r="C404" s="1" t="n">
        <v>45925</v>
      </c>
      <c r="D404" t="inlineStr">
        <is>
          <t>KALMAR LÄN</t>
        </is>
      </c>
      <c r="E404" t="inlineStr">
        <is>
          <t>VIMMERBY</t>
        </is>
      </c>
      <c r="G404" t="n">
        <v>5</v>
      </c>
      <c r="H404" t="n">
        <v>0</v>
      </c>
      <c r="I404" t="n">
        <v>0</v>
      </c>
      <c r="J404" t="n">
        <v>0</v>
      </c>
      <c r="K404" t="n">
        <v>0</v>
      </c>
      <c r="L404" t="n">
        <v>0</v>
      </c>
      <c r="M404" t="n">
        <v>0</v>
      </c>
      <c r="N404" t="n">
        <v>0</v>
      </c>
      <c r="O404" t="n">
        <v>0</v>
      </c>
      <c r="P404" t="n">
        <v>0</v>
      </c>
      <c r="Q404" t="n">
        <v>0</v>
      </c>
      <c r="R404" s="2" t="inlineStr"/>
    </row>
    <row r="405" ht="15" customHeight="1">
      <c r="A405" t="inlineStr">
        <is>
          <t>A 12215-2024</t>
        </is>
      </c>
      <c r="B405" s="1" t="n">
        <v>45378.32185185186</v>
      </c>
      <c r="C405" s="1" t="n">
        <v>45925</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30920-2024</t>
        </is>
      </c>
      <c r="B406" s="1" t="n">
        <v>45498.673125</v>
      </c>
      <c r="C406" s="1" t="n">
        <v>45925</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43465-2025</t>
        </is>
      </c>
      <c r="B407" s="1" t="n">
        <v>45911.47138888889</v>
      </c>
      <c r="C407" s="1" t="n">
        <v>45925</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56536-2022</t>
        </is>
      </c>
      <c r="B408" s="1" t="n">
        <v>44893</v>
      </c>
      <c r="C408" s="1" t="n">
        <v>45925</v>
      </c>
      <c r="D408" t="inlineStr">
        <is>
          <t>KALMAR LÄN</t>
        </is>
      </c>
      <c r="E408" t="inlineStr">
        <is>
          <t>VIMMERBY</t>
        </is>
      </c>
      <c r="G408" t="n">
        <v>3.2</v>
      </c>
      <c r="H408" t="n">
        <v>0</v>
      </c>
      <c r="I408" t="n">
        <v>0</v>
      </c>
      <c r="J408" t="n">
        <v>0</v>
      </c>
      <c r="K408" t="n">
        <v>0</v>
      </c>
      <c r="L408" t="n">
        <v>0</v>
      </c>
      <c r="M408" t="n">
        <v>0</v>
      </c>
      <c r="N408" t="n">
        <v>0</v>
      </c>
      <c r="O408" t="n">
        <v>0</v>
      </c>
      <c r="P408" t="n">
        <v>0</v>
      </c>
      <c r="Q408" t="n">
        <v>0</v>
      </c>
      <c r="R408" s="2" t="inlineStr"/>
    </row>
    <row r="409" ht="15" customHeight="1">
      <c r="A409" t="inlineStr">
        <is>
          <t>A 63541-2023</t>
        </is>
      </c>
      <c r="B409" s="1" t="n">
        <v>45275.32266203704</v>
      </c>
      <c r="C409" s="1" t="n">
        <v>45925</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37323-2024</t>
        </is>
      </c>
      <c r="B410" s="1" t="n">
        <v>45540.50098379629</v>
      </c>
      <c r="C410" s="1" t="n">
        <v>45925</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36598-2025</t>
        </is>
      </c>
      <c r="B411" s="1" t="n">
        <v>45870.51708333333</v>
      </c>
      <c r="C411" s="1" t="n">
        <v>45925</v>
      </c>
      <c r="D411" t="inlineStr">
        <is>
          <t>KALMAR LÄN</t>
        </is>
      </c>
      <c r="E411" t="inlineStr">
        <is>
          <t>VIMMERBY</t>
        </is>
      </c>
      <c r="G411" t="n">
        <v>3.7</v>
      </c>
      <c r="H411" t="n">
        <v>0</v>
      </c>
      <c r="I411" t="n">
        <v>0</v>
      </c>
      <c r="J411" t="n">
        <v>0</v>
      </c>
      <c r="K411" t="n">
        <v>0</v>
      </c>
      <c r="L411" t="n">
        <v>0</v>
      </c>
      <c r="M411" t="n">
        <v>0</v>
      </c>
      <c r="N411" t="n">
        <v>0</v>
      </c>
      <c r="O411" t="n">
        <v>0</v>
      </c>
      <c r="P411" t="n">
        <v>0</v>
      </c>
      <c r="Q411" t="n">
        <v>0</v>
      </c>
      <c r="R411" s="2" t="inlineStr"/>
    </row>
    <row r="412" ht="15" customHeight="1">
      <c r="A412" t="inlineStr">
        <is>
          <t>A 36602-2025</t>
        </is>
      </c>
      <c r="B412" s="1" t="n">
        <v>45870.52111111111</v>
      </c>
      <c r="C412" s="1" t="n">
        <v>45925</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8650-2022</t>
        </is>
      </c>
      <c r="B413" s="1" t="n">
        <v>44613</v>
      </c>
      <c r="C413" s="1" t="n">
        <v>45925</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43617-2025</t>
        </is>
      </c>
      <c r="B414" s="1" t="n">
        <v>45911.67798611111</v>
      </c>
      <c r="C414" s="1" t="n">
        <v>45925</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34090-2025</t>
        </is>
      </c>
      <c r="B415" s="1" t="n">
        <v>45845</v>
      </c>
      <c r="C415" s="1" t="n">
        <v>45925</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58728-2024</t>
        </is>
      </c>
      <c r="B416" s="1" t="n">
        <v>45635.66695601852</v>
      </c>
      <c r="C416" s="1" t="n">
        <v>45925</v>
      </c>
      <c r="D416" t="inlineStr">
        <is>
          <t>KALMAR LÄN</t>
        </is>
      </c>
      <c r="E416" t="inlineStr">
        <is>
          <t>VIMMERBY</t>
        </is>
      </c>
      <c r="G416" t="n">
        <v>0.4</v>
      </c>
      <c r="H416" t="n">
        <v>0</v>
      </c>
      <c r="I416" t="n">
        <v>0</v>
      </c>
      <c r="J416" t="n">
        <v>0</v>
      </c>
      <c r="K416" t="n">
        <v>0</v>
      </c>
      <c r="L416" t="n">
        <v>0</v>
      </c>
      <c r="M416" t="n">
        <v>0</v>
      </c>
      <c r="N416" t="n">
        <v>0</v>
      </c>
      <c r="O416" t="n">
        <v>0</v>
      </c>
      <c r="P416" t="n">
        <v>0</v>
      </c>
      <c r="Q416" t="n">
        <v>0</v>
      </c>
      <c r="R416" s="2" t="inlineStr"/>
    </row>
    <row r="417" ht="15" customHeight="1">
      <c r="A417" t="inlineStr">
        <is>
          <t>A 36600-2025</t>
        </is>
      </c>
      <c r="B417" s="1" t="n">
        <v>45870.51958333333</v>
      </c>
      <c r="C417" s="1" t="n">
        <v>45925</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36601-2025</t>
        </is>
      </c>
      <c r="B418" s="1" t="n">
        <v>45870.52005787037</v>
      </c>
      <c r="C418" s="1" t="n">
        <v>45925</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36603-2025</t>
        </is>
      </c>
      <c r="B419" s="1" t="n">
        <v>45870.52142361111</v>
      </c>
      <c r="C419" s="1" t="n">
        <v>45925</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43242-2024</t>
        </is>
      </c>
      <c r="B420" s="1" t="n">
        <v>45568.30189814815</v>
      </c>
      <c r="C420" s="1" t="n">
        <v>45925</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16983-2023</t>
        </is>
      </c>
      <c r="B421" s="1" t="n">
        <v>45033.76043981482</v>
      </c>
      <c r="C421" s="1" t="n">
        <v>45925</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54917-2020</t>
        </is>
      </c>
      <c r="B422" s="1" t="n">
        <v>44127</v>
      </c>
      <c r="C422" s="1" t="n">
        <v>45925</v>
      </c>
      <c r="D422" t="inlineStr">
        <is>
          <t>KALMAR LÄN</t>
        </is>
      </c>
      <c r="E422" t="inlineStr">
        <is>
          <t>VIMMERBY</t>
        </is>
      </c>
      <c r="G422" t="n">
        <v>9.5</v>
      </c>
      <c r="H422" t="n">
        <v>0</v>
      </c>
      <c r="I422" t="n">
        <v>0</v>
      </c>
      <c r="J422" t="n">
        <v>0</v>
      </c>
      <c r="K422" t="n">
        <v>0</v>
      </c>
      <c r="L422" t="n">
        <v>0</v>
      </c>
      <c r="M422" t="n">
        <v>0</v>
      </c>
      <c r="N422" t="n">
        <v>0</v>
      </c>
      <c r="O422" t="n">
        <v>0</v>
      </c>
      <c r="P422" t="n">
        <v>0</v>
      </c>
      <c r="Q422" t="n">
        <v>0</v>
      </c>
      <c r="R422" s="2" t="inlineStr"/>
    </row>
    <row r="423" ht="15" customHeight="1">
      <c r="A423" t="inlineStr">
        <is>
          <t>A 11147-2023</t>
        </is>
      </c>
      <c r="B423" s="1" t="n">
        <v>44992</v>
      </c>
      <c r="C423" s="1" t="n">
        <v>45925</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6405-2025</t>
        </is>
      </c>
      <c r="B424" s="1" t="n">
        <v>45699.45392361111</v>
      </c>
      <c r="C424" s="1" t="n">
        <v>45925</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36843-2023</t>
        </is>
      </c>
      <c r="B425" s="1" t="n">
        <v>45154.49831018518</v>
      </c>
      <c r="C425" s="1" t="n">
        <v>45925</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11429-2022</t>
        </is>
      </c>
      <c r="B426" s="1" t="n">
        <v>44630</v>
      </c>
      <c r="C426" s="1" t="n">
        <v>45925</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56582-2022</t>
        </is>
      </c>
      <c r="B427" s="1" t="n">
        <v>44893</v>
      </c>
      <c r="C427" s="1" t="n">
        <v>45925</v>
      </c>
      <c r="D427" t="inlineStr">
        <is>
          <t>KALMAR LÄN</t>
        </is>
      </c>
      <c r="E427" t="inlineStr">
        <is>
          <t>VIMMERBY</t>
        </is>
      </c>
      <c r="G427" t="n">
        <v>2.2</v>
      </c>
      <c r="H427" t="n">
        <v>0</v>
      </c>
      <c r="I427" t="n">
        <v>0</v>
      </c>
      <c r="J427" t="n">
        <v>0</v>
      </c>
      <c r="K427" t="n">
        <v>0</v>
      </c>
      <c r="L427" t="n">
        <v>0</v>
      </c>
      <c r="M427" t="n">
        <v>0</v>
      </c>
      <c r="N427" t="n">
        <v>0</v>
      </c>
      <c r="O427" t="n">
        <v>0</v>
      </c>
      <c r="P427" t="n">
        <v>0</v>
      </c>
      <c r="Q427" t="n">
        <v>0</v>
      </c>
      <c r="R427" s="2" t="inlineStr"/>
    </row>
    <row r="428" ht="15" customHeight="1">
      <c r="A428" t="inlineStr">
        <is>
          <t>A 57486-2024</t>
        </is>
      </c>
      <c r="B428" s="1" t="n">
        <v>45630.35827546296</v>
      </c>
      <c r="C428" s="1" t="n">
        <v>45925</v>
      </c>
      <c r="D428" t="inlineStr">
        <is>
          <t>KALMAR LÄN</t>
        </is>
      </c>
      <c r="E428" t="inlineStr">
        <is>
          <t>VIMMERBY</t>
        </is>
      </c>
      <c r="G428" t="n">
        <v>0.4</v>
      </c>
      <c r="H428" t="n">
        <v>0</v>
      </c>
      <c r="I428" t="n">
        <v>0</v>
      </c>
      <c r="J428" t="n">
        <v>0</v>
      </c>
      <c r="K428" t="n">
        <v>0</v>
      </c>
      <c r="L428" t="n">
        <v>0</v>
      </c>
      <c r="M428" t="n">
        <v>0</v>
      </c>
      <c r="N428" t="n">
        <v>0</v>
      </c>
      <c r="O428" t="n">
        <v>0</v>
      </c>
      <c r="P428" t="n">
        <v>0</v>
      </c>
      <c r="Q428" t="n">
        <v>0</v>
      </c>
      <c r="R428" s="2" t="inlineStr"/>
    </row>
    <row r="429" ht="15" customHeight="1">
      <c r="A429" t="inlineStr">
        <is>
          <t>A 6408-2025</t>
        </is>
      </c>
      <c r="B429" s="1" t="n">
        <v>45699.45671296296</v>
      </c>
      <c r="C429" s="1" t="n">
        <v>45925</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66295-2020</t>
        </is>
      </c>
      <c r="B430" s="1" t="n">
        <v>44176</v>
      </c>
      <c r="C430" s="1" t="n">
        <v>45925</v>
      </c>
      <c r="D430" t="inlineStr">
        <is>
          <t>KALMAR LÄN</t>
        </is>
      </c>
      <c r="E430" t="inlineStr">
        <is>
          <t>VIMMERBY</t>
        </is>
      </c>
      <c r="G430" t="n">
        <v>4.1</v>
      </c>
      <c r="H430" t="n">
        <v>0</v>
      </c>
      <c r="I430" t="n">
        <v>0</v>
      </c>
      <c r="J430" t="n">
        <v>0</v>
      </c>
      <c r="K430" t="n">
        <v>0</v>
      </c>
      <c r="L430" t="n">
        <v>0</v>
      </c>
      <c r="M430" t="n">
        <v>0</v>
      </c>
      <c r="N430" t="n">
        <v>0</v>
      </c>
      <c r="O430" t="n">
        <v>0</v>
      </c>
      <c r="P430" t="n">
        <v>0</v>
      </c>
      <c r="Q430" t="n">
        <v>0</v>
      </c>
      <c r="R430" s="2" t="inlineStr"/>
    </row>
    <row r="431" ht="15" customHeight="1">
      <c r="A431" t="inlineStr">
        <is>
          <t>A 11609-2023</t>
        </is>
      </c>
      <c r="B431" s="1" t="n">
        <v>44994.40635416667</v>
      </c>
      <c r="C431" s="1" t="n">
        <v>45925</v>
      </c>
      <c r="D431" t="inlineStr">
        <is>
          <t>KALMAR LÄN</t>
        </is>
      </c>
      <c r="E431" t="inlineStr">
        <is>
          <t>VIMMERBY</t>
        </is>
      </c>
      <c r="G431" t="n">
        <v>4.9</v>
      </c>
      <c r="H431" t="n">
        <v>0</v>
      </c>
      <c r="I431" t="n">
        <v>0</v>
      </c>
      <c r="J431" t="n">
        <v>0</v>
      </c>
      <c r="K431" t="n">
        <v>0</v>
      </c>
      <c r="L431" t="n">
        <v>0</v>
      </c>
      <c r="M431" t="n">
        <v>0</v>
      </c>
      <c r="N431" t="n">
        <v>0</v>
      </c>
      <c r="O431" t="n">
        <v>0</v>
      </c>
      <c r="P431" t="n">
        <v>0</v>
      </c>
      <c r="Q431" t="n">
        <v>0</v>
      </c>
      <c r="R431" s="2" t="inlineStr"/>
    </row>
    <row r="432" ht="15" customHeight="1">
      <c r="A432" t="inlineStr">
        <is>
          <t>A 16676-2023</t>
        </is>
      </c>
      <c r="B432" s="1" t="n">
        <v>45028</v>
      </c>
      <c r="C432" s="1" t="n">
        <v>45925</v>
      </c>
      <c r="D432" t="inlineStr">
        <is>
          <t>KALMAR LÄN</t>
        </is>
      </c>
      <c r="E432" t="inlineStr">
        <is>
          <t>VIMMERBY</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44464-2024</t>
        </is>
      </c>
      <c r="B433" s="1" t="n">
        <v>45574.35809027778</v>
      </c>
      <c r="C433" s="1" t="n">
        <v>45925</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41066-2024</t>
        </is>
      </c>
      <c r="B434" s="1" t="n">
        <v>45559.38876157408</v>
      </c>
      <c r="C434" s="1" t="n">
        <v>45925</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23263-2024</t>
        </is>
      </c>
      <c r="B435" s="1" t="n">
        <v>45453.36854166666</v>
      </c>
      <c r="C435" s="1" t="n">
        <v>45925</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44423-2023</t>
        </is>
      </c>
      <c r="B436" s="1" t="n">
        <v>45189</v>
      </c>
      <c r="C436" s="1" t="n">
        <v>45925</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20-2025</t>
        </is>
      </c>
      <c r="B437" s="1" t="n">
        <v>45658.80232638889</v>
      </c>
      <c r="C437" s="1" t="n">
        <v>45925</v>
      </c>
      <c r="D437" t="inlineStr">
        <is>
          <t>KALMAR LÄN</t>
        </is>
      </c>
      <c r="E437" t="inlineStr">
        <is>
          <t>VIMMERBY</t>
        </is>
      </c>
      <c r="G437" t="n">
        <v>1.3</v>
      </c>
      <c r="H437" t="n">
        <v>0</v>
      </c>
      <c r="I437" t="n">
        <v>0</v>
      </c>
      <c r="J437" t="n">
        <v>0</v>
      </c>
      <c r="K437" t="n">
        <v>0</v>
      </c>
      <c r="L437" t="n">
        <v>0</v>
      </c>
      <c r="M437" t="n">
        <v>0</v>
      </c>
      <c r="N437" t="n">
        <v>0</v>
      </c>
      <c r="O437" t="n">
        <v>0</v>
      </c>
      <c r="P437" t="n">
        <v>0</v>
      </c>
      <c r="Q437" t="n">
        <v>0</v>
      </c>
      <c r="R437" s="2" t="inlineStr"/>
    </row>
    <row r="438" ht="15" customHeight="1">
      <c r="A438" t="inlineStr">
        <is>
          <t>A 49488-2023</t>
        </is>
      </c>
      <c r="B438" s="1" t="n">
        <v>45211.55472222222</v>
      </c>
      <c r="C438" s="1" t="n">
        <v>45925</v>
      </c>
      <c r="D438" t="inlineStr">
        <is>
          <t>KALMAR LÄN</t>
        </is>
      </c>
      <c r="E438" t="inlineStr">
        <is>
          <t>VIMMERBY</t>
        </is>
      </c>
      <c r="F438" t="inlineStr">
        <is>
          <t>Sveaskog</t>
        </is>
      </c>
      <c r="G438" t="n">
        <v>6.2</v>
      </c>
      <c r="H438" t="n">
        <v>0</v>
      </c>
      <c r="I438" t="n">
        <v>0</v>
      </c>
      <c r="J438" t="n">
        <v>0</v>
      </c>
      <c r="K438" t="n">
        <v>0</v>
      </c>
      <c r="L438" t="n">
        <v>0</v>
      </c>
      <c r="M438" t="n">
        <v>0</v>
      </c>
      <c r="N438" t="n">
        <v>0</v>
      </c>
      <c r="O438" t="n">
        <v>0</v>
      </c>
      <c r="P438" t="n">
        <v>0</v>
      </c>
      <c r="Q438" t="n">
        <v>0</v>
      </c>
      <c r="R438" s="2" t="inlineStr"/>
    </row>
    <row r="439" ht="15" customHeight="1">
      <c r="A439" t="inlineStr">
        <is>
          <t>A 3816-2022</t>
        </is>
      </c>
      <c r="B439" s="1" t="n">
        <v>44587</v>
      </c>
      <c r="C439" s="1" t="n">
        <v>45925</v>
      </c>
      <c r="D439" t="inlineStr">
        <is>
          <t>KALMAR LÄN</t>
        </is>
      </c>
      <c r="E439" t="inlineStr">
        <is>
          <t>VIMMERBY</t>
        </is>
      </c>
      <c r="G439" t="n">
        <v>1.2</v>
      </c>
      <c r="H439" t="n">
        <v>0</v>
      </c>
      <c r="I439" t="n">
        <v>0</v>
      </c>
      <c r="J439" t="n">
        <v>0</v>
      </c>
      <c r="K439" t="n">
        <v>0</v>
      </c>
      <c r="L439" t="n">
        <v>0</v>
      </c>
      <c r="M439" t="n">
        <v>0</v>
      </c>
      <c r="N439" t="n">
        <v>0</v>
      </c>
      <c r="O439" t="n">
        <v>0</v>
      </c>
      <c r="P439" t="n">
        <v>0</v>
      </c>
      <c r="Q439" t="n">
        <v>0</v>
      </c>
      <c r="R439" s="2" t="inlineStr"/>
    </row>
    <row r="440" ht="15" customHeight="1">
      <c r="A440" t="inlineStr">
        <is>
          <t>A 23-2025</t>
        </is>
      </c>
      <c r="B440" s="1" t="n">
        <v>45658.80827546296</v>
      </c>
      <c r="C440" s="1" t="n">
        <v>45925</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21496-2023</t>
        </is>
      </c>
      <c r="B441" s="1" t="n">
        <v>45063.49936342592</v>
      </c>
      <c r="C441" s="1" t="n">
        <v>45925</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31056-2022</t>
        </is>
      </c>
      <c r="B442" s="1" t="n">
        <v>44769.45805555556</v>
      </c>
      <c r="C442" s="1" t="n">
        <v>45925</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1081-2023</t>
        </is>
      </c>
      <c r="B443" s="1" t="n">
        <v>44935</v>
      </c>
      <c r="C443" s="1" t="n">
        <v>45925</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59768-2024</t>
        </is>
      </c>
      <c r="B444" s="1" t="n">
        <v>45639.56185185185</v>
      </c>
      <c r="C444" s="1" t="n">
        <v>45925</v>
      </c>
      <c r="D444" t="inlineStr">
        <is>
          <t>KALMAR LÄN</t>
        </is>
      </c>
      <c r="E444" t="inlineStr">
        <is>
          <t>VIMMERBY</t>
        </is>
      </c>
      <c r="G444" t="n">
        <v>5.9</v>
      </c>
      <c r="H444" t="n">
        <v>0</v>
      </c>
      <c r="I444" t="n">
        <v>0</v>
      </c>
      <c r="J444" t="n">
        <v>0</v>
      </c>
      <c r="K444" t="n">
        <v>0</v>
      </c>
      <c r="L444" t="n">
        <v>0</v>
      </c>
      <c r="M444" t="n">
        <v>0</v>
      </c>
      <c r="N444" t="n">
        <v>0</v>
      </c>
      <c r="O444" t="n">
        <v>0</v>
      </c>
      <c r="P444" t="n">
        <v>0</v>
      </c>
      <c r="Q444" t="n">
        <v>0</v>
      </c>
      <c r="R444" s="2" t="inlineStr"/>
    </row>
    <row r="445" ht="15" customHeight="1">
      <c r="A445" t="inlineStr">
        <is>
          <t>A 7047-2022</t>
        </is>
      </c>
      <c r="B445" s="1" t="n">
        <v>44603</v>
      </c>
      <c r="C445" s="1" t="n">
        <v>45925</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12499-2023</t>
        </is>
      </c>
      <c r="B446" s="1" t="n">
        <v>44999.86172453704</v>
      </c>
      <c r="C446" s="1" t="n">
        <v>45925</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12500-2023</t>
        </is>
      </c>
      <c r="B447" s="1" t="n">
        <v>44999.8625</v>
      </c>
      <c r="C447" s="1" t="n">
        <v>45925</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6066-2023</t>
        </is>
      </c>
      <c r="B448" s="1" t="n">
        <v>44964.50894675926</v>
      </c>
      <c r="C448" s="1" t="n">
        <v>45925</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44329-2025</t>
        </is>
      </c>
      <c r="B449" s="1" t="n">
        <v>45916.41019675926</v>
      </c>
      <c r="C449" s="1" t="n">
        <v>45925</v>
      </c>
      <c r="D449" t="inlineStr">
        <is>
          <t>KALMAR LÄN</t>
        </is>
      </c>
      <c r="E449" t="inlineStr">
        <is>
          <t>VIMMERBY</t>
        </is>
      </c>
      <c r="G449" t="n">
        <v>4.3</v>
      </c>
      <c r="H449" t="n">
        <v>0</v>
      </c>
      <c r="I449" t="n">
        <v>0</v>
      </c>
      <c r="J449" t="n">
        <v>0</v>
      </c>
      <c r="K449" t="n">
        <v>0</v>
      </c>
      <c r="L449" t="n">
        <v>0</v>
      </c>
      <c r="M449" t="n">
        <v>0</v>
      </c>
      <c r="N449" t="n">
        <v>0</v>
      </c>
      <c r="O449" t="n">
        <v>0</v>
      </c>
      <c r="P449" t="n">
        <v>0</v>
      </c>
      <c r="Q449" t="n">
        <v>0</v>
      </c>
      <c r="R449" s="2" t="inlineStr"/>
    </row>
    <row r="450" ht="15" customHeight="1">
      <c r="A450" t="inlineStr">
        <is>
          <t>A 33103-2024</t>
        </is>
      </c>
      <c r="B450" s="1" t="n">
        <v>45517.8162037037</v>
      </c>
      <c r="C450" s="1" t="n">
        <v>45925</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33161-2024</t>
        </is>
      </c>
      <c r="B451" s="1" t="n">
        <v>45518.40657407408</v>
      </c>
      <c r="C451" s="1" t="n">
        <v>45925</v>
      </c>
      <c r="D451" t="inlineStr">
        <is>
          <t>KALMAR LÄN</t>
        </is>
      </c>
      <c r="E451" t="inlineStr">
        <is>
          <t>VIMMERBY</t>
        </is>
      </c>
      <c r="G451" t="n">
        <v>4.7</v>
      </c>
      <c r="H451" t="n">
        <v>0</v>
      </c>
      <c r="I451" t="n">
        <v>0</v>
      </c>
      <c r="J451" t="n">
        <v>0</v>
      </c>
      <c r="K451" t="n">
        <v>0</v>
      </c>
      <c r="L451" t="n">
        <v>0</v>
      </c>
      <c r="M451" t="n">
        <v>0</v>
      </c>
      <c r="N451" t="n">
        <v>0</v>
      </c>
      <c r="O451" t="n">
        <v>0</v>
      </c>
      <c r="P451" t="n">
        <v>0</v>
      </c>
      <c r="Q451" t="n">
        <v>0</v>
      </c>
      <c r="R451" s="2" t="inlineStr"/>
    </row>
    <row r="452" ht="15" customHeight="1">
      <c r="A452" t="inlineStr">
        <is>
          <t>A 12510-2022</t>
        </is>
      </c>
      <c r="B452" s="1" t="n">
        <v>44638.55256944444</v>
      </c>
      <c r="C452" s="1" t="n">
        <v>45925</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72067-2021</t>
        </is>
      </c>
      <c r="B453" s="1" t="n">
        <v>44540</v>
      </c>
      <c r="C453" s="1" t="n">
        <v>45925</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72701-2021</t>
        </is>
      </c>
      <c r="B454" s="1" t="n">
        <v>44546</v>
      </c>
      <c r="C454" s="1" t="n">
        <v>45925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41158-2023</t>
        </is>
      </c>
      <c r="B455" s="1" t="n">
        <v>45174.31395833333</v>
      </c>
      <c r="C455" s="1" t="n">
        <v>45925</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52294-2023</t>
        </is>
      </c>
      <c r="B456" s="1" t="n">
        <v>45224.60075231481</v>
      </c>
      <c r="C456" s="1" t="n">
        <v>45925</v>
      </c>
      <c r="D456" t="inlineStr">
        <is>
          <t>KALMAR LÄN</t>
        </is>
      </c>
      <c r="E456" t="inlineStr">
        <is>
          <t>VIMMERBY</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61355-2024</t>
        </is>
      </c>
      <c r="B457" s="1" t="n">
        <v>45646.38200231481</v>
      </c>
      <c r="C457" s="1" t="n">
        <v>45925</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22198-2024</t>
        </is>
      </c>
      <c r="B458" s="1" t="n">
        <v>45446.36865740741</v>
      </c>
      <c r="C458" s="1" t="n">
        <v>45925</v>
      </c>
      <c r="D458" t="inlineStr">
        <is>
          <t>KALMAR LÄN</t>
        </is>
      </c>
      <c r="E458" t="inlineStr">
        <is>
          <t>VIMMERBY</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9511-2023</t>
        </is>
      </c>
      <c r="B459" s="1" t="n">
        <v>44981.64725694444</v>
      </c>
      <c r="C459" s="1" t="n">
        <v>45925</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1146-2025</t>
        </is>
      </c>
      <c r="B460" s="1" t="n">
        <v>45666</v>
      </c>
      <c r="C460" s="1" t="n">
        <v>45925</v>
      </c>
      <c r="D460" t="inlineStr">
        <is>
          <t>KALMAR LÄN</t>
        </is>
      </c>
      <c r="E460" t="inlineStr">
        <is>
          <t>VIMMERBY</t>
        </is>
      </c>
      <c r="G460" t="n">
        <v>4</v>
      </c>
      <c r="H460" t="n">
        <v>0</v>
      </c>
      <c r="I460" t="n">
        <v>0</v>
      </c>
      <c r="J460" t="n">
        <v>0</v>
      </c>
      <c r="K460" t="n">
        <v>0</v>
      </c>
      <c r="L460" t="n">
        <v>0</v>
      </c>
      <c r="M460" t="n">
        <v>0</v>
      </c>
      <c r="N460" t="n">
        <v>0</v>
      </c>
      <c r="O460" t="n">
        <v>0</v>
      </c>
      <c r="P460" t="n">
        <v>0</v>
      </c>
      <c r="Q460" t="n">
        <v>0</v>
      </c>
      <c r="R460" s="2" t="inlineStr"/>
    </row>
    <row r="461" ht="15" customHeight="1">
      <c r="A461" t="inlineStr">
        <is>
          <t>A 44517-2025</t>
        </is>
      </c>
      <c r="B461" s="1" t="n">
        <v>45916.7103587963</v>
      </c>
      <c r="C461" s="1" t="n">
        <v>45925</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12890-2023</t>
        </is>
      </c>
      <c r="B462" s="1" t="n">
        <v>45001.59209490741</v>
      </c>
      <c r="C462" s="1" t="n">
        <v>45925</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33374-2021</t>
        </is>
      </c>
      <c r="B463" s="1" t="n">
        <v>44377</v>
      </c>
      <c r="C463" s="1" t="n">
        <v>45925</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3902-2022</t>
        </is>
      </c>
      <c r="B464" s="1" t="n">
        <v>44587.48847222222</v>
      </c>
      <c r="C464" s="1" t="n">
        <v>45925</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36934-2025</t>
        </is>
      </c>
      <c r="B465" s="1" t="n">
        <v>45874.57109953704</v>
      </c>
      <c r="C465" s="1" t="n">
        <v>45925</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44091-2025</t>
        </is>
      </c>
      <c r="B466" s="1" t="n">
        <v>45915.55950231481</v>
      </c>
      <c r="C466" s="1" t="n">
        <v>45925</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10759-2023</t>
        </is>
      </c>
      <c r="B467" s="1" t="n">
        <v>44988</v>
      </c>
      <c r="C467" s="1" t="n">
        <v>45925</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18899-2025</t>
        </is>
      </c>
      <c r="B468" s="1" t="n">
        <v>45764.44931712963</v>
      </c>
      <c r="C468" s="1" t="n">
        <v>45925</v>
      </c>
      <c r="D468" t="inlineStr">
        <is>
          <t>KALMAR LÄN</t>
        </is>
      </c>
      <c r="E468" t="inlineStr">
        <is>
          <t>VIMMERBY</t>
        </is>
      </c>
      <c r="F468" t="inlineStr">
        <is>
          <t>Kommuner</t>
        </is>
      </c>
      <c r="G468" t="n">
        <v>4</v>
      </c>
      <c r="H468" t="n">
        <v>0</v>
      </c>
      <c r="I468" t="n">
        <v>0</v>
      </c>
      <c r="J468" t="n">
        <v>0</v>
      </c>
      <c r="K468" t="n">
        <v>0</v>
      </c>
      <c r="L468" t="n">
        <v>0</v>
      </c>
      <c r="M468" t="n">
        <v>0</v>
      </c>
      <c r="N468" t="n">
        <v>0</v>
      </c>
      <c r="O468" t="n">
        <v>0</v>
      </c>
      <c r="P468" t="n">
        <v>0</v>
      </c>
      <c r="Q468" t="n">
        <v>0</v>
      </c>
      <c r="R468" s="2" t="inlineStr"/>
    </row>
    <row r="469" ht="15" customHeight="1">
      <c r="A469" t="inlineStr">
        <is>
          <t>A 44095-2025</t>
        </is>
      </c>
      <c r="B469" s="1" t="n">
        <v>45915.56430555556</v>
      </c>
      <c r="C469" s="1" t="n">
        <v>45925</v>
      </c>
      <c r="D469" t="inlineStr">
        <is>
          <t>KALMAR LÄN</t>
        </is>
      </c>
      <c r="E469" t="inlineStr">
        <is>
          <t>VIMMERBY</t>
        </is>
      </c>
      <c r="G469" t="n">
        <v>2.4</v>
      </c>
      <c r="H469" t="n">
        <v>0</v>
      </c>
      <c r="I469" t="n">
        <v>0</v>
      </c>
      <c r="J469" t="n">
        <v>0</v>
      </c>
      <c r="K469" t="n">
        <v>0</v>
      </c>
      <c r="L469" t="n">
        <v>0</v>
      </c>
      <c r="M469" t="n">
        <v>0</v>
      </c>
      <c r="N469" t="n">
        <v>0</v>
      </c>
      <c r="O469" t="n">
        <v>0</v>
      </c>
      <c r="P469" t="n">
        <v>0</v>
      </c>
      <c r="Q469" t="n">
        <v>0</v>
      </c>
      <c r="R469" s="2" t="inlineStr"/>
    </row>
    <row r="470" ht="15" customHeight="1">
      <c r="A470" t="inlineStr">
        <is>
          <t>A 89-2023</t>
        </is>
      </c>
      <c r="B470" s="1" t="n">
        <v>44918</v>
      </c>
      <c r="C470" s="1" t="n">
        <v>45925</v>
      </c>
      <c r="D470" t="inlineStr">
        <is>
          <t>KALMAR LÄN</t>
        </is>
      </c>
      <c r="E470" t="inlineStr">
        <is>
          <t>VIMMERBY</t>
        </is>
      </c>
      <c r="G470" t="n">
        <v>16.1</v>
      </c>
      <c r="H470" t="n">
        <v>0</v>
      </c>
      <c r="I470" t="n">
        <v>0</v>
      </c>
      <c r="J470" t="n">
        <v>0</v>
      </c>
      <c r="K470" t="n">
        <v>0</v>
      </c>
      <c r="L470" t="n">
        <v>0</v>
      </c>
      <c r="M470" t="n">
        <v>0</v>
      </c>
      <c r="N470" t="n">
        <v>0</v>
      </c>
      <c r="O470" t="n">
        <v>0</v>
      </c>
      <c r="P470" t="n">
        <v>0</v>
      </c>
      <c r="Q470" t="n">
        <v>0</v>
      </c>
      <c r="R470" s="2" t="inlineStr"/>
    </row>
    <row r="471" ht="15" customHeight="1">
      <c r="A471" t="inlineStr">
        <is>
          <t>A 5382-2023</t>
        </is>
      </c>
      <c r="B471" s="1" t="n">
        <v>44959.66407407408</v>
      </c>
      <c r="C471" s="1" t="n">
        <v>45925</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34205-2023</t>
        </is>
      </c>
      <c r="B472" s="1" t="n">
        <v>45138</v>
      </c>
      <c r="C472" s="1" t="n">
        <v>45925</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6668-2023</t>
        </is>
      </c>
      <c r="B473" s="1" t="n">
        <v>44966</v>
      </c>
      <c r="C473" s="1" t="n">
        <v>45925</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172-2022</t>
        </is>
      </c>
      <c r="B474" s="1" t="n">
        <v>44564.62598379629</v>
      </c>
      <c r="C474" s="1" t="n">
        <v>45925</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57091-2022</t>
        </is>
      </c>
      <c r="B475" s="1" t="n">
        <v>44895.46524305556</v>
      </c>
      <c r="C475" s="1" t="n">
        <v>45925</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12586-2021</t>
        </is>
      </c>
      <c r="B476" s="1" t="n">
        <v>44270.38002314815</v>
      </c>
      <c r="C476" s="1" t="n">
        <v>45925</v>
      </c>
      <c r="D476" t="inlineStr">
        <is>
          <t>KALMAR LÄN</t>
        </is>
      </c>
      <c r="E476" t="inlineStr">
        <is>
          <t>VIMMERBY</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37088-2025</t>
        </is>
      </c>
      <c r="B477" s="1" t="n">
        <v>45875.45716435185</v>
      </c>
      <c r="C477" s="1" t="n">
        <v>45925</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37102-2025</t>
        </is>
      </c>
      <c r="B478" s="1" t="n">
        <v>45875.47454861111</v>
      </c>
      <c r="C478" s="1" t="n">
        <v>45925</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30634-2024</t>
        </is>
      </c>
      <c r="B479" s="1" t="n">
        <v>45495</v>
      </c>
      <c r="C479" s="1" t="n">
        <v>45925</v>
      </c>
      <c r="D479" t="inlineStr">
        <is>
          <t>KALMAR LÄN</t>
        </is>
      </c>
      <c r="E479" t="inlineStr">
        <is>
          <t>VIMMERBY</t>
        </is>
      </c>
      <c r="G479" t="n">
        <v>1.2</v>
      </c>
      <c r="H479" t="n">
        <v>0</v>
      </c>
      <c r="I479" t="n">
        <v>0</v>
      </c>
      <c r="J479" t="n">
        <v>0</v>
      </c>
      <c r="K479" t="n">
        <v>0</v>
      </c>
      <c r="L479" t="n">
        <v>0</v>
      </c>
      <c r="M479" t="n">
        <v>0</v>
      </c>
      <c r="N479" t="n">
        <v>0</v>
      </c>
      <c r="O479" t="n">
        <v>0</v>
      </c>
      <c r="P479" t="n">
        <v>0</v>
      </c>
      <c r="Q479" t="n">
        <v>0</v>
      </c>
      <c r="R479" s="2" t="inlineStr"/>
    </row>
    <row r="480" ht="15" customHeight="1">
      <c r="A480" t="inlineStr">
        <is>
          <t>A 6355-2022</t>
        </is>
      </c>
      <c r="B480" s="1" t="n">
        <v>44600</v>
      </c>
      <c r="C480" s="1" t="n">
        <v>45925</v>
      </c>
      <c r="D480" t="inlineStr">
        <is>
          <t>KALMAR LÄN</t>
        </is>
      </c>
      <c r="E480" t="inlineStr">
        <is>
          <t>VIMMERBY</t>
        </is>
      </c>
      <c r="G480" t="n">
        <v>4.9</v>
      </c>
      <c r="H480" t="n">
        <v>0</v>
      </c>
      <c r="I480" t="n">
        <v>0</v>
      </c>
      <c r="J480" t="n">
        <v>0</v>
      </c>
      <c r="K480" t="n">
        <v>0</v>
      </c>
      <c r="L480" t="n">
        <v>0</v>
      </c>
      <c r="M480" t="n">
        <v>0</v>
      </c>
      <c r="N480" t="n">
        <v>0</v>
      </c>
      <c r="O480" t="n">
        <v>0</v>
      </c>
      <c r="P480" t="n">
        <v>0</v>
      </c>
      <c r="Q480" t="n">
        <v>0</v>
      </c>
      <c r="R480" s="2" t="inlineStr"/>
    </row>
    <row r="481" ht="15" customHeight="1">
      <c r="A481" t="inlineStr">
        <is>
          <t>A 2604-2025</t>
        </is>
      </c>
      <c r="B481" s="1" t="n">
        <v>45674.74094907408</v>
      </c>
      <c r="C481" s="1" t="n">
        <v>45925</v>
      </c>
      <c r="D481" t="inlineStr">
        <is>
          <t>KALMAR LÄN</t>
        </is>
      </c>
      <c r="E481" t="inlineStr">
        <is>
          <t>VIMMERBY</t>
        </is>
      </c>
      <c r="G481" t="n">
        <v>7.6</v>
      </c>
      <c r="H481" t="n">
        <v>0</v>
      </c>
      <c r="I481" t="n">
        <v>0</v>
      </c>
      <c r="J481" t="n">
        <v>0</v>
      </c>
      <c r="K481" t="n">
        <v>0</v>
      </c>
      <c r="L481" t="n">
        <v>0</v>
      </c>
      <c r="M481" t="n">
        <v>0</v>
      </c>
      <c r="N481" t="n">
        <v>0</v>
      </c>
      <c r="O481" t="n">
        <v>0</v>
      </c>
      <c r="P481" t="n">
        <v>0</v>
      </c>
      <c r="Q481" t="n">
        <v>0</v>
      </c>
      <c r="R481" s="2" t="inlineStr"/>
    </row>
    <row r="482" ht="15" customHeight="1">
      <c r="A482" t="inlineStr">
        <is>
          <t>A 6807-2025</t>
        </is>
      </c>
      <c r="B482" s="1" t="n">
        <v>45700.68672453704</v>
      </c>
      <c r="C482" s="1" t="n">
        <v>45925</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32614-2023</t>
        </is>
      </c>
      <c r="B483" s="1" t="n">
        <v>45121</v>
      </c>
      <c r="C483" s="1" t="n">
        <v>45925</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38851-2023</t>
        </is>
      </c>
      <c r="B484" s="1" t="n">
        <v>45163</v>
      </c>
      <c r="C484" s="1" t="n">
        <v>45925</v>
      </c>
      <c r="D484" t="inlineStr">
        <is>
          <t>KALMAR LÄN</t>
        </is>
      </c>
      <c r="E484" t="inlineStr">
        <is>
          <t>VIMMERBY</t>
        </is>
      </c>
      <c r="G484" t="n">
        <v>4.3</v>
      </c>
      <c r="H484" t="n">
        <v>0</v>
      </c>
      <c r="I484" t="n">
        <v>0</v>
      </c>
      <c r="J484" t="n">
        <v>0</v>
      </c>
      <c r="K484" t="n">
        <v>0</v>
      </c>
      <c r="L484" t="n">
        <v>0</v>
      </c>
      <c r="M484" t="n">
        <v>0</v>
      </c>
      <c r="N484" t="n">
        <v>0</v>
      </c>
      <c r="O484" t="n">
        <v>0</v>
      </c>
      <c r="P484" t="n">
        <v>0</v>
      </c>
      <c r="Q484" t="n">
        <v>0</v>
      </c>
      <c r="R484" s="2" t="inlineStr"/>
    </row>
    <row r="485" ht="15" customHeight="1">
      <c r="A485" t="inlineStr">
        <is>
          <t>A 61939-2021</t>
        </is>
      </c>
      <c r="B485" s="1" t="n">
        <v>44502</v>
      </c>
      <c r="C485" s="1" t="n">
        <v>45925</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16020-2023</t>
        </is>
      </c>
      <c r="B486" s="1" t="n">
        <v>45026.82216435186</v>
      </c>
      <c r="C486" s="1" t="n">
        <v>45925</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37079-2025</t>
        </is>
      </c>
      <c r="B487" s="1" t="n">
        <v>45875.42716435185</v>
      </c>
      <c r="C487" s="1" t="n">
        <v>45925</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60292-2022</t>
        </is>
      </c>
      <c r="B488" s="1" t="n">
        <v>44910.54231481482</v>
      </c>
      <c r="C488" s="1" t="n">
        <v>45925</v>
      </c>
      <c r="D488" t="inlineStr">
        <is>
          <t>KALMAR LÄN</t>
        </is>
      </c>
      <c r="E488" t="inlineStr">
        <is>
          <t>VIMMERBY</t>
        </is>
      </c>
      <c r="G488" t="n">
        <v>4.4</v>
      </c>
      <c r="H488" t="n">
        <v>0</v>
      </c>
      <c r="I488" t="n">
        <v>0</v>
      </c>
      <c r="J488" t="n">
        <v>0</v>
      </c>
      <c r="K488" t="n">
        <v>0</v>
      </c>
      <c r="L488" t="n">
        <v>0</v>
      </c>
      <c r="M488" t="n">
        <v>0</v>
      </c>
      <c r="N488" t="n">
        <v>0</v>
      </c>
      <c r="O488" t="n">
        <v>0</v>
      </c>
      <c r="P488" t="n">
        <v>0</v>
      </c>
      <c r="Q488" t="n">
        <v>0</v>
      </c>
      <c r="R488" s="2" t="inlineStr"/>
    </row>
    <row r="489" ht="15" customHeight="1">
      <c r="A489" t="inlineStr">
        <is>
          <t>A 43034-2024</t>
        </is>
      </c>
      <c r="B489" s="1" t="n">
        <v>45567.42011574074</v>
      </c>
      <c r="C489" s="1" t="n">
        <v>45925</v>
      </c>
      <c r="D489" t="inlineStr">
        <is>
          <t>KALMAR LÄN</t>
        </is>
      </c>
      <c r="E489" t="inlineStr">
        <is>
          <t>VIMMERBY</t>
        </is>
      </c>
      <c r="G489" t="n">
        <v>1.8</v>
      </c>
      <c r="H489" t="n">
        <v>0</v>
      </c>
      <c r="I489" t="n">
        <v>0</v>
      </c>
      <c r="J489" t="n">
        <v>0</v>
      </c>
      <c r="K489" t="n">
        <v>0</v>
      </c>
      <c r="L489" t="n">
        <v>0</v>
      </c>
      <c r="M489" t="n">
        <v>0</v>
      </c>
      <c r="N489" t="n">
        <v>0</v>
      </c>
      <c r="O489" t="n">
        <v>0</v>
      </c>
      <c r="P489" t="n">
        <v>0</v>
      </c>
      <c r="Q489" t="n">
        <v>0</v>
      </c>
      <c r="R489" s="2" t="inlineStr"/>
    </row>
    <row r="490" ht="15" customHeight="1">
      <c r="A490" t="inlineStr">
        <is>
          <t>A 23252-2024</t>
        </is>
      </c>
      <c r="B490" s="1" t="n">
        <v>45453.36067129629</v>
      </c>
      <c r="C490" s="1" t="n">
        <v>45925</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40256-2024</t>
        </is>
      </c>
      <c r="B491" s="1" t="n">
        <v>45554.62944444444</v>
      </c>
      <c r="C491" s="1" t="n">
        <v>45925</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5792-2023</t>
        </is>
      </c>
      <c r="B492" s="1" t="n">
        <v>44963.44769675926</v>
      </c>
      <c r="C492" s="1" t="n">
        <v>45925</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2797-2023</t>
        </is>
      </c>
      <c r="B493" s="1" t="n">
        <v>44944.71386574074</v>
      </c>
      <c r="C493" s="1" t="n">
        <v>45925</v>
      </c>
      <c r="D493" t="inlineStr">
        <is>
          <t>KALMAR LÄN</t>
        </is>
      </c>
      <c r="E493" t="inlineStr">
        <is>
          <t>VIMMERBY</t>
        </is>
      </c>
      <c r="G493" t="n">
        <v>3.4</v>
      </c>
      <c r="H493" t="n">
        <v>0</v>
      </c>
      <c r="I493" t="n">
        <v>0</v>
      </c>
      <c r="J493" t="n">
        <v>0</v>
      </c>
      <c r="K493" t="n">
        <v>0</v>
      </c>
      <c r="L493" t="n">
        <v>0</v>
      </c>
      <c r="M493" t="n">
        <v>0</v>
      </c>
      <c r="N493" t="n">
        <v>0</v>
      </c>
      <c r="O493" t="n">
        <v>0</v>
      </c>
      <c r="P493" t="n">
        <v>0</v>
      </c>
      <c r="Q493" t="n">
        <v>0</v>
      </c>
      <c r="R493" s="2" t="inlineStr"/>
    </row>
    <row r="494" ht="15" customHeight="1">
      <c r="A494" t="inlineStr">
        <is>
          <t>A 2799-2023</t>
        </is>
      </c>
      <c r="B494" s="1" t="n">
        <v>44944.72100694444</v>
      </c>
      <c r="C494" s="1" t="n">
        <v>45925</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6220-2025</t>
        </is>
      </c>
      <c r="B495" s="1" t="n">
        <v>45698.53725694444</v>
      </c>
      <c r="C495" s="1" t="n">
        <v>45925</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44742-2025</t>
        </is>
      </c>
      <c r="B496" s="1" t="n">
        <v>45917.67054398148</v>
      </c>
      <c r="C496" s="1" t="n">
        <v>45925</v>
      </c>
      <c r="D496" t="inlineStr">
        <is>
          <t>KALMAR LÄN</t>
        </is>
      </c>
      <c r="E496" t="inlineStr">
        <is>
          <t>VIMMERBY</t>
        </is>
      </c>
      <c r="G496" t="n">
        <v>4.7</v>
      </c>
      <c r="H496" t="n">
        <v>0</v>
      </c>
      <c r="I496" t="n">
        <v>0</v>
      </c>
      <c r="J496" t="n">
        <v>0</v>
      </c>
      <c r="K496" t="n">
        <v>0</v>
      </c>
      <c r="L496" t="n">
        <v>0</v>
      </c>
      <c r="M496" t="n">
        <v>0</v>
      </c>
      <c r="N496" t="n">
        <v>0</v>
      </c>
      <c r="O496" t="n">
        <v>0</v>
      </c>
      <c r="P496" t="n">
        <v>0</v>
      </c>
      <c r="Q496" t="n">
        <v>0</v>
      </c>
      <c r="R496" s="2" t="inlineStr"/>
    </row>
    <row r="497" ht="15" customHeight="1">
      <c r="A497" t="inlineStr">
        <is>
          <t>A 45114-2025</t>
        </is>
      </c>
      <c r="B497" s="1" t="n">
        <v>45919.42387731482</v>
      </c>
      <c r="C497" s="1" t="n">
        <v>45925</v>
      </c>
      <c r="D497" t="inlineStr">
        <is>
          <t>KALMAR LÄN</t>
        </is>
      </c>
      <c r="E497" t="inlineStr">
        <is>
          <t>VIMMERBY</t>
        </is>
      </c>
      <c r="G497" t="n">
        <v>2.7</v>
      </c>
      <c r="H497" t="n">
        <v>0</v>
      </c>
      <c r="I497" t="n">
        <v>0</v>
      </c>
      <c r="J497" t="n">
        <v>0</v>
      </c>
      <c r="K497" t="n">
        <v>0</v>
      </c>
      <c r="L497" t="n">
        <v>0</v>
      </c>
      <c r="M497" t="n">
        <v>0</v>
      </c>
      <c r="N497" t="n">
        <v>0</v>
      </c>
      <c r="O497" t="n">
        <v>0</v>
      </c>
      <c r="P497" t="n">
        <v>0</v>
      </c>
      <c r="Q497" t="n">
        <v>0</v>
      </c>
      <c r="R497" s="2" t="inlineStr"/>
    </row>
    <row r="498" ht="15" customHeight="1">
      <c r="A498" t="inlineStr">
        <is>
          <t>A 58278-2023</t>
        </is>
      </c>
      <c r="B498" s="1" t="n">
        <v>45250.5278587963</v>
      </c>
      <c r="C498" s="1" t="n">
        <v>45925</v>
      </c>
      <c r="D498" t="inlineStr">
        <is>
          <t>KALMAR LÄN</t>
        </is>
      </c>
      <c r="E498" t="inlineStr">
        <is>
          <t>VIMMERBY</t>
        </is>
      </c>
      <c r="G498" t="n">
        <v>1.8</v>
      </c>
      <c r="H498" t="n">
        <v>0</v>
      </c>
      <c r="I498" t="n">
        <v>0</v>
      </c>
      <c r="J498" t="n">
        <v>0</v>
      </c>
      <c r="K498" t="n">
        <v>0</v>
      </c>
      <c r="L498" t="n">
        <v>0</v>
      </c>
      <c r="M498" t="n">
        <v>0</v>
      </c>
      <c r="N498" t="n">
        <v>0</v>
      </c>
      <c r="O498" t="n">
        <v>0</v>
      </c>
      <c r="P498" t="n">
        <v>0</v>
      </c>
      <c r="Q498" t="n">
        <v>0</v>
      </c>
      <c r="R498" s="2" t="inlineStr"/>
    </row>
    <row r="499" ht="15" customHeight="1">
      <c r="A499" t="inlineStr">
        <is>
          <t>A 45320-2025</t>
        </is>
      </c>
      <c r="B499" s="1" t="n">
        <v>45921.96395833333</v>
      </c>
      <c r="C499" s="1" t="n">
        <v>45925</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6218-2025</t>
        </is>
      </c>
      <c r="B500" s="1" t="n">
        <v>45698.53336805556</v>
      </c>
      <c r="C500" s="1" t="n">
        <v>45925</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36259-2022</t>
        </is>
      </c>
      <c r="B501" s="1" t="n">
        <v>44803.59118055556</v>
      </c>
      <c r="C501" s="1" t="n">
        <v>45925</v>
      </c>
      <c r="D501" t="inlineStr">
        <is>
          <t>KALMAR LÄN</t>
        </is>
      </c>
      <c r="E501" t="inlineStr">
        <is>
          <t>VIMMERBY</t>
        </is>
      </c>
      <c r="G501" t="n">
        <v>3.9</v>
      </c>
      <c r="H501" t="n">
        <v>0</v>
      </c>
      <c r="I501" t="n">
        <v>0</v>
      </c>
      <c r="J501" t="n">
        <v>0</v>
      </c>
      <c r="K501" t="n">
        <v>0</v>
      </c>
      <c r="L501" t="n">
        <v>0</v>
      </c>
      <c r="M501" t="n">
        <v>0</v>
      </c>
      <c r="N501" t="n">
        <v>0</v>
      </c>
      <c r="O501" t="n">
        <v>0</v>
      </c>
      <c r="P501" t="n">
        <v>0</v>
      </c>
      <c r="Q501" t="n">
        <v>0</v>
      </c>
      <c r="R501" s="2" t="inlineStr"/>
    </row>
    <row r="502" ht="15" customHeight="1">
      <c r="A502" t="inlineStr">
        <is>
          <t>A 40076-2021</t>
        </is>
      </c>
      <c r="B502" s="1" t="n">
        <v>44418</v>
      </c>
      <c r="C502" s="1" t="n">
        <v>45925</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37668-2025</t>
        </is>
      </c>
      <c r="B503" s="1" t="n">
        <v>45880.51550925926</v>
      </c>
      <c r="C503" s="1" t="n">
        <v>45925</v>
      </c>
      <c r="D503" t="inlineStr">
        <is>
          <t>KALMAR LÄN</t>
        </is>
      </c>
      <c r="E503" t="inlineStr">
        <is>
          <t>VIMMERBY</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36526-2023</t>
        </is>
      </c>
      <c r="B504" s="1" t="n">
        <v>45153.32778935185</v>
      </c>
      <c r="C504" s="1" t="n">
        <v>45925</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17988-2025</t>
        </is>
      </c>
      <c r="B505" s="1" t="n">
        <v>45761.39600694444</v>
      </c>
      <c r="C505" s="1" t="n">
        <v>45925</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43093-2024</t>
        </is>
      </c>
      <c r="B506" s="1" t="n">
        <v>45567</v>
      </c>
      <c r="C506" s="1" t="n">
        <v>45925</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29350-2023</t>
        </is>
      </c>
      <c r="B507" s="1" t="n">
        <v>45106</v>
      </c>
      <c r="C507" s="1" t="n">
        <v>45925</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29351-2023</t>
        </is>
      </c>
      <c r="B508" s="1" t="n">
        <v>45106.2610300926</v>
      </c>
      <c r="C508" s="1" t="n">
        <v>45925</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45925</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35198-2023</t>
        </is>
      </c>
      <c r="B510" s="1" t="n">
        <v>45145</v>
      </c>
      <c r="C510" s="1" t="n">
        <v>45925</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6474-2025</t>
        </is>
      </c>
      <c r="B511" s="1" t="n">
        <v>45699.60055555555</v>
      </c>
      <c r="C511" s="1" t="n">
        <v>45925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15976-2025</t>
        </is>
      </c>
      <c r="B512" s="1" t="n">
        <v>45749.56196759259</v>
      </c>
      <c r="C512" s="1" t="n">
        <v>45925</v>
      </c>
      <c r="D512" t="inlineStr">
        <is>
          <t>KALMAR LÄN</t>
        </is>
      </c>
      <c r="E512" t="inlineStr">
        <is>
          <t>VIMMERBY</t>
        </is>
      </c>
      <c r="F512" t="inlineStr">
        <is>
          <t>Kommuner</t>
        </is>
      </c>
      <c r="G512" t="n">
        <v>2.5</v>
      </c>
      <c r="H512" t="n">
        <v>0</v>
      </c>
      <c r="I512" t="n">
        <v>0</v>
      </c>
      <c r="J512" t="n">
        <v>0</v>
      </c>
      <c r="K512" t="n">
        <v>0</v>
      </c>
      <c r="L512" t="n">
        <v>0</v>
      </c>
      <c r="M512" t="n">
        <v>0</v>
      </c>
      <c r="N512" t="n">
        <v>0</v>
      </c>
      <c r="O512" t="n">
        <v>0</v>
      </c>
      <c r="P512" t="n">
        <v>0</v>
      </c>
      <c r="Q512" t="n">
        <v>0</v>
      </c>
      <c r="R512" s="2" t="inlineStr"/>
    </row>
    <row r="513" ht="15" customHeight="1">
      <c r="A513" t="inlineStr">
        <is>
          <t>A 17-2025</t>
        </is>
      </c>
      <c r="B513" s="1" t="n">
        <v>45658.78774305555</v>
      </c>
      <c r="C513" s="1" t="n">
        <v>45925</v>
      </c>
      <c r="D513" t="inlineStr">
        <is>
          <t>KALMAR LÄN</t>
        </is>
      </c>
      <c r="E513" t="inlineStr">
        <is>
          <t>VIMMERBY</t>
        </is>
      </c>
      <c r="G513" t="n">
        <v>4.4</v>
      </c>
      <c r="H513" t="n">
        <v>0</v>
      </c>
      <c r="I513" t="n">
        <v>0</v>
      </c>
      <c r="J513" t="n">
        <v>0</v>
      </c>
      <c r="K513" t="n">
        <v>0</v>
      </c>
      <c r="L513" t="n">
        <v>0</v>
      </c>
      <c r="M513" t="n">
        <v>0</v>
      </c>
      <c r="N513" t="n">
        <v>0</v>
      </c>
      <c r="O513" t="n">
        <v>0</v>
      </c>
      <c r="P513" t="n">
        <v>0</v>
      </c>
      <c r="Q513" t="n">
        <v>0</v>
      </c>
      <c r="R513" s="2" t="inlineStr"/>
    </row>
    <row r="514" ht="15" customHeight="1">
      <c r="A514" t="inlineStr">
        <is>
          <t>A 57555-2024</t>
        </is>
      </c>
      <c r="B514" s="1" t="n">
        <v>45630.45069444444</v>
      </c>
      <c r="C514" s="1" t="n">
        <v>45925</v>
      </c>
      <c r="D514" t="inlineStr">
        <is>
          <t>KALMAR LÄN</t>
        </is>
      </c>
      <c r="E514" t="inlineStr">
        <is>
          <t>VIMMERBY</t>
        </is>
      </c>
      <c r="G514" t="n">
        <v>1.1</v>
      </c>
      <c r="H514" t="n">
        <v>0</v>
      </c>
      <c r="I514" t="n">
        <v>0</v>
      </c>
      <c r="J514" t="n">
        <v>0</v>
      </c>
      <c r="K514" t="n">
        <v>0</v>
      </c>
      <c r="L514" t="n">
        <v>0</v>
      </c>
      <c r="M514" t="n">
        <v>0</v>
      </c>
      <c r="N514" t="n">
        <v>0</v>
      </c>
      <c r="O514" t="n">
        <v>0</v>
      </c>
      <c r="P514" t="n">
        <v>0</v>
      </c>
      <c r="Q514" t="n">
        <v>0</v>
      </c>
      <c r="R514" s="2" t="inlineStr"/>
    </row>
    <row r="515" ht="15" customHeight="1">
      <c r="A515" t="inlineStr">
        <is>
          <t>A 18411-2021</t>
        </is>
      </c>
      <c r="B515" s="1" t="n">
        <v>44302</v>
      </c>
      <c r="C515" s="1" t="n">
        <v>45925</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52279-2023</t>
        </is>
      </c>
      <c r="B516" s="1" t="n">
        <v>45224</v>
      </c>
      <c r="C516" s="1" t="n">
        <v>45925</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52324-2023</t>
        </is>
      </c>
      <c r="B517" s="1" t="n">
        <v>45224.64659722222</v>
      </c>
      <c r="C517" s="1" t="n">
        <v>45925</v>
      </c>
      <c r="D517" t="inlineStr">
        <is>
          <t>KALMAR LÄN</t>
        </is>
      </c>
      <c r="E517" t="inlineStr">
        <is>
          <t>VIMMERBY</t>
        </is>
      </c>
      <c r="F517" t="inlineStr">
        <is>
          <t>Sveaskog</t>
        </is>
      </c>
      <c r="G517" t="n">
        <v>2.9</v>
      </c>
      <c r="H517" t="n">
        <v>0</v>
      </c>
      <c r="I517" t="n">
        <v>0</v>
      </c>
      <c r="J517" t="n">
        <v>0</v>
      </c>
      <c r="K517" t="n">
        <v>0</v>
      </c>
      <c r="L517" t="n">
        <v>0</v>
      </c>
      <c r="M517" t="n">
        <v>0</v>
      </c>
      <c r="N517" t="n">
        <v>0</v>
      </c>
      <c r="O517" t="n">
        <v>0</v>
      </c>
      <c r="P517" t="n">
        <v>0</v>
      </c>
      <c r="Q517" t="n">
        <v>0</v>
      </c>
      <c r="R517" s="2" t="inlineStr"/>
    </row>
    <row r="518" ht="15" customHeight="1">
      <c r="A518" t="inlineStr">
        <is>
          <t>A 45319-2025</t>
        </is>
      </c>
      <c r="B518" s="1" t="n">
        <v>45921.95611111111</v>
      </c>
      <c r="C518" s="1" t="n">
        <v>45925</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12588-2025</t>
        </is>
      </c>
      <c r="B519" s="1" t="n">
        <v>45732.76936342593</v>
      </c>
      <c r="C519" s="1" t="n">
        <v>45925</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25979-2023</t>
        </is>
      </c>
      <c r="B520" s="1" t="n">
        <v>45090.89653935185</v>
      </c>
      <c r="C520" s="1" t="n">
        <v>45925</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25980-2023</t>
        </is>
      </c>
      <c r="B521" s="1" t="n">
        <v>45090.89880787037</v>
      </c>
      <c r="C521" s="1" t="n">
        <v>45925</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46921-2023</t>
        </is>
      </c>
      <c r="B522" s="1" t="n">
        <v>45201.39996527778</v>
      </c>
      <c r="C522" s="1" t="n">
        <v>45925</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10837-2023</t>
        </is>
      </c>
      <c r="B523" s="1" t="n">
        <v>44991.30547453704</v>
      </c>
      <c r="C523" s="1" t="n">
        <v>45925</v>
      </c>
      <c r="D523" t="inlineStr">
        <is>
          <t>KALMAR LÄN</t>
        </is>
      </c>
      <c r="E523" t="inlineStr">
        <is>
          <t>VIMMERBY</t>
        </is>
      </c>
      <c r="G523" t="n">
        <v>7.3</v>
      </c>
      <c r="H523" t="n">
        <v>0</v>
      </c>
      <c r="I523" t="n">
        <v>0</v>
      </c>
      <c r="J523" t="n">
        <v>0</v>
      </c>
      <c r="K523" t="n">
        <v>0</v>
      </c>
      <c r="L523" t="n">
        <v>0</v>
      </c>
      <c r="M523" t="n">
        <v>0</v>
      </c>
      <c r="N523" t="n">
        <v>0</v>
      </c>
      <c r="O523" t="n">
        <v>0</v>
      </c>
      <c r="P523" t="n">
        <v>0</v>
      </c>
      <c r="Q523" t="n">
        <v>0</v>
      </c>
      <c r="R523" s="2" t="inlineStr"/>
    </row>
    <row r="524" ht="15" customHeight="1">
      <c r="A524" t="inlineStr">
        <is>
          <t>A 10838-2023</t>
        </is>
      </c>
      <c r="B524" s="1" t="n">
        <v>44991</v>
      </c>
      <c r="C524" s="1" t="n">
        <v>45925</v>
      </c>
      <c r="D524" t="inlineStr">
        <is>
          <t>KALMAR LÄN</t>
        </is>
      </c>
      <c r="E524" t="inlineStr">
        <is>
          <t>VIMMERBY</t>
        </is>
      </c>
      <c r="G524" t="n">
        <v>5.1</v>
      </c>
      <c r="H524" t="n">
        <v>0</v>
      </c>
      <c r="I524" t="n">
        <v>0</v>
      </c>
      <c r="J524" t="n">
        <v>0</v>
      </c>
      <c r="K524" t="n">
        <v>0</v>
      </c>
      <c r="L524" t="n">
        <v>0</v>
      </c>
      <c r="M524" t="n">
        <v>0</v>
      </c>
      <c r="N524" t="n">
        <v>0</v>
      </c>
      <c r="O524" t="n">
        <v>0</v>
      </c>
      <c r="P524" t="n">
        <v>0</v>
      </c>
      <c r="Q524" t="n">
        <v>0</v>
      </c>
      <c r="R524" s="2" t="inlineStr"/>
    </row>
    <row r="525" ht="15" customHeight="1">
      <c r="A525" t="inlineStr">
        <is>
          <t>A 32639-2023</t>
        </is>
      </c>
      <c r="B525" s="1" t="n">
        <v>45121.5965162037</v>
      </c>
      <c r="C525" s="1" t="n">
        <v>45925</v>
      </c>
      <c r="D525" t="inlineStr">
        <is>
          <t>KALMAR LÄN</t>
        </is>
      </c>
      <c r="E525" t="inlineStr">
        <is>
          <t>VIMMERBY</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32642-2023</t>
        </is>
      </c>
      <c r="B526" s="1" t="n">
        <v>45121.59954861111</v>
      </c>
      <c r="C526" s="1" t="n">
        <v>45925</v>
      </c>
      <c r="D526" t="inlineStr">
        <is>
          <t>KALMAR LÄN</t>
        </is>
      </c>
      <c r="E526" t="inlineStr">
        <is>
          <t>VIMMERBY</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32651-2023</t>
        </is>
      </c>
      <c r="B527" s="1" t="n">
        <v>45121.6096875</v>
      </c>
      <c r="C527" s="1" t="n">
        <v>45925</v>
      </c>
      <c r="D527" t="inlineStr">
        <is>
          <t>KALMAR LÄN</t>
        </is>
      </c>
      <c r="E527" t="inlineStr">
        <is>
          <t>VIMMERBY</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30912-2023</t>
        </is>
      </c>
      <c r="B528" s="1" t="n">
        <v>45113.41633101852</v>
      </c>
      <c r="C528" s="1" t="n">
        <v>45925</v>
      </c>
      <c r="D528" t="inlineStr">
        <is>
          <t>KALMAR LÄN</t>
        </is>
      </c>
      <c r="E528" t="inlineStr">
        <is>
          <t>VIMMERBY</t>
        </is>
      </c>
      <c r="G528" t="n">
        <v>5</v>
      </c>
      <c r="H528" t="n">
        <v>0</v>
      </c>
      <c r="I528" t="n">
        <v>0</v>
      </c>
      <c r="J528" t="n">
        <v>0</v>
      </c>
      <c r="K528" t="n">
        <v>0</v>
      </c>
      <c r="L528" t="n">
        <v>0</v>
      </c>
      <c r="M528" t="n">
        <v>0</v>
      </c>
      <c r="N528" t="n">
        <v>0</v>
      </c>
      <c r="O528" t="n">
        <v>0</v>
      </c>
      <c r="P528" t="n">
        <v>0</v>
      </c>
      <c r="Q528" t="n">
        <v>0</v>
      </c>
      <c r="R528" s="2" t="inlineStr"/>
    </row>
    <row r="529" ht="15" customHeight="1">
      <c r="A529" t="inlineStr">
        <is>
          <t>A 40730-2024</t>
        </is>
      </c>
      <c r="B529" s="1" t="n">
        <v>45558.44914351852</v>
      </c>
      <c r="C529" s="1" t="n">
        <v>45925</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55436-2023</t>
        </is>
      </c>
      <c r="B530" s="1" t="n">
        <v>45238.4328587963</v>
      </c>
      <c r="C530" s="1" t="n">
        <v>45925</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9643-2023</t>
        </is>
      </c>
      <c r="B531" s="1" t="n">
        <v>44984</v>
      </c>
      <c r="C531" s="1" t="n">
        <v>45925</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56213-2024</t>
        </is>
      </c>
      <c r="B532" s="1" t="n">
        <v>45624.60141203704</v>
      </c>
      <c r="C532" s="1" t="n">
        <v>45925</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20126-2024</t>
        </is>
      </c>
      <c r="B533" s="1" t="n">
        <v>45434.55471064815</v>
      </c>
      <c r="C533" s="1" t="n">
        <v>45925</v>
      </c>
      <c r="D533" t="inlineStr">
        <is>
          <t>KALMAR LÄN</t>
        </is>
      </c>
      <c r="E533" t="inlineStr">
        <is>
          <t>VIMMERBY</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19865-2021</t>
        </is>
      </c>
      <c r="B534" s="1" t="n">
        <v>44312</v>
      </c>
      <c r="C534" s="1" t="n">
        <v>45925</v>
      </c>
      <c r="D534" t="inlineStr">
        <is>
          <t>KALMAR LÄN</t>
        </is>
      </c>
      <c r="E534" t="inlineStr">
        <is>
          <t>VIMMERBY</t>
        </is>
      </c>
      <c r="G534" t="n">
        <v>8.6</v>
      </c>
      <c r="H534" t="n">
        <v>0</v>
      </c>
      <c r="I534" t="n">
        <v>0</v>
      </c>
      <c r="J534" t="n">
        <v>0</v>
      </c>
      <c r="K534" t="n">
        <v>0</v>
      </c>
      <c r="L534" t="n">
        <v>0</v>
      </c>
      <c r="M534" t="n">
        <v>0</v>
      </c>
      <c r="N534" t="n">
        <v>0</v>
      </c>
      <c r="O534" t="n">
        <v>0</v>
      </c>
      <c r="P534" t="n">
        <v>0</v>
      </c>
      <c r="Q534" t="n">
        <v>0</v>
      </c>
      <c r="R534" s="2" t="inlineStr"/>
    </row>
    <row r="535" ht="15" customHeight="1">
      <c r="A535" t="inlineStr">
        <is>
          <t>A 9694-2023</t>
        </is>
      </c>
      <c r="B535" s="1" t="n">
        <v>44984.45895833334</v>
      </c>
      <c r="C535" s="1" t="n">
        <v>45925</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9710-2023</t>
        </is>
      </c>
      <c r="B536" s="1" t="n">
        <v>44984</v>
      </c>
      <c r="C536" s="1" t="n">
        <v>45925</v>
      </c>
      <c r="D536" t="inlineStr">
        <is>
          <t>KALMAR LÄN</t>
        </is>
      </c>
      <c r="E536" t="inlineStr">
        <is>
          <t>VIMMERBY</t>
        </is>
      </c>
      <c r="G536" t="n">
        <v>3.7</v>
      </c>
      <c r="H536" t="n">
        <v>0</v>
      </c>
      <c r="I536" t="n">
        <v>0</v>
      </c>
      <c r="J536" t="n">
        <v>0</v>
      </c>
      <c r="K536" t="n">
        <v>0</v>
      </c>
      <c r="L536" t="n">
        <v>0</v>
      </c>
      <c r="M536" t="n">
        <v>0</v>
      </c>
      <c r="N536" t="n">
        <v>0</v>
      </c>
      <c r="O536" t="n">
        <v>0</v>
      </c>
      <c r="P536" t="n">
        <v>0</v>
      </c>
      <c r="Q536" t="n">
        <v>0</v>
      </c>
      <c r="R536" s="2" t="inlineStr"/>
    </row>
    <row r="537" ht="15" customHeight="1">
      <c r="A537" t="inlineStr">
        <is>
          <t>A 21507-2023</t>
        </is>
      </c>
      <c r="B537" s="1" t="n">
        <v>45063.508125</v>
      </c>
      <c r="C537" s="1" t="n">
        <v>45925</v>
      </c>
      <c r="D537" t="inlineStr">
        <is>
          <t>KALMAR LÄN</t>
        </is>
      </c>
      <c r="E537" t="inlineStr">
        <is>
          <t>VIMMERBY</t>
        </is>
      </c>
      <c r="G537" t="n">
        <v>2.8</v>
      </c>
      <c r="H537" t="n">
        <v>0</v>
      </c>
      <c r="I537" t="n">
        <v>0</v>
      </c>
      <c r="J537" t="n">
        <v>0</v>
      </c>
      <c r="K537" t="n">
        <v>0</v>
      </c>
      <c r="L537" t="n">
        <v>0</v>
      </c>
      <c r="M537" t="n">
        <v>0</v>
      </c>
      <c r="N537" t="n">
        <v>0</v>
      </c>
      <c r="O537" t="n">
        <v>0</v>
      </c>
      <c r="P537" t="n">
        <v>0</v>
      </c>
      <c r="Q537" t="n">
        <v>0</v>
      </c>
      <c r="R537" s="2" t="inlineStr"/>
    </row>
    <row r="538" ht="15" customHeight="1">
      <c r="A538" t="inlineStr">
        <is>
          <t>A 51187-2023</t>
        </is>
      </c>
      <c r="B538" s="1" t="n">
        <v>45219.40528935185</v>
      </c>
      <c r="C538" s="1" t="n">
        <v>45925</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6216-2025</t>
        </is>
      </c>
      <c r="B539" s="1" t="n">
        <v>45698.52806712963</v>
      </c>
      <c r="C539" s="1" t="n">
        <v>45925</v>
      </c>
      <c r="D539" t="inlineStr">
        <is>
          <t>KALMAR LÄN</t>
        </is>
      </c>
      <c r="E539" t="inlineStr">
        <is>
          <t>VIMMERBY</t>
        </is>
      </c>
      <c r="G539" t="n">
        <v>1.2</v>
      </c>
      <c r="H539" t="n">
        <v>0</v>
      </c>
      <c r="I539" t="n">
        <v>0</v>
      </c>
      <c r="J539" t="n">
        <v>0</v>
      </c>
      <c r="K539" t="n">
        <v>0</v>
      </c>
      <c r="L539" t="n">
        <v>0</v>
      </c>
      <c r="M539" t="n">
        <v>0</v>
      </c>
      <c r="N539" t="n">
        <v>0</v>
      </c>
      <c r="O539" t="n">
        <v>0</v>
      </c>
      <c r="P539" t="n">
        <v>0</v>
      </c>
      <c r="Q539" t="n">
        <v>0</v>
      </c>
      <c r="R539" s="2" t="inlineStr"/>
    </row>
    <row r="540" ht="15" customHeight="1">
      <c r="A540" t="inlineStr">
        <is>
          <t>A 46118-2025</t>
        </is>
      </c>
      <c r="B540" s="1" t="n">
        <v>45924.57697916667</v>
      </c>
      <c r="C540" s="1" t="n">
        <v>45925</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45925</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45925</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37866-2025</t>
        </is>
      </c>
      <c r="B543" s="1" t="n">
        <v>45881</v>
      </c>
      <c r="C543" s="1" t="n">
        <v>45925</v>
      </c>
      <c r="D543" t="inlineStr">
        <is>
          <t>KALMAR LÄN</t>
        </is>
      </c>
      <c r="E543" t="inlineStr">
        <is>
          <t>VIMMERBY</t>
        </is>
      </c>
      <c r="G543" t="n">
        <v>3.4</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45925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7944-2024</t>
        </is>
      </c>
      <c r="B545" s="1" t="n">
        <v>45350.53306712963</v>
      </c>
      <c r="C545" s="1" t="n">
        <v>45925</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598-2025</t>
        </is>
      </c>
      <c r="B546" s="1" t="n">
        <v>45660</v>
      </c>
      <c r="C546" s="1" t="n">
        <v>45925</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10674-2021</t>
        </is>
      </c>
      <c r="B547" s="1" t="n">
        <v>44258</v>
      </c>
      <c r="C547" s="1" t="n">
        <v>45925</v>
      </c>
      <c r="D547" t="inlineStr">
        <is>
          <t>KALMAR LÄN</t>
        </is>
      </c>
      <c r="E547" t="inlineStr">
        <is>
          <t>VIMMERBY</t>
        </is>
      </c>
      <c r="G547" t="n">
        <v>8.4</v>
      </c>
      <c r="H547" t="n">
        <v>0</v>
      </c>
      <c r="I547" t="n">
        <v>0</v>
      </c>
      <c r="J547" t="n">
        <v>0</v>
      </c>
      <c r="K547" t="n">
        <v>0</v>
      </c>
      <c r="L547" t="n">
        <v>0</v>
      </c>
      <c r="M547" t="n">
        <v>0</v>
      </c>
      <c r="N547" t="n">
        <v>0</v>
      </c>
      <c r="O547" t="n">
        <v>0</v>
      </c>
      <c r="P547" t="n">
        <v>0</v>
      </c>
      <c r="Q547" t="n">
        <v>0</v>
      </c>
      <c r="R547" s="2" t="inlineStr"/>
    </row>
    <row r="548" ht="15" customHeight="1">
      <c r="A548" t="inlineStr">
        <is>
          <t>A 31340-2023</t>
        </is>
      </c>
      <c r="B548" s="1" t="n">
        <v>45114.47895833333</v>
      </c>
      <c r="C548" s="1" t="n">
        <v>45925</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10807-2024</t>
        </is>
      </c>
      <c r="B549" s="1" t="n">
        <v>45369.62780092593</v>
      </c>
      <c r="C549" s="1" t="n">
        <v>45925</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37939-2025</t>
        </is>
      </c>
      <c r="B550" s="1" t="n">
        <v>45881.59877314815</v>
      </c>
      <c r="C550" s="1" t="n">
        <v>45925</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29168-2024</t>
        </is>
      </c>
      <c r="B551" s="1" t="n">
        <v>45482.49870370371</v>
      </c>
      <c r="C551" s="1" t="n">
        <v>45925</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29186-2024</t>
        </is>
      </c>
      <c r="B552" s="1" t="n">
        <v>45482.54844907407</v>
      </c>
      <c r="C552" s="1" t="n">
        <v>45925</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35895-2024</t>
        </is>
      </c>
      <c r="B553" s="1" t="n">
        <v>45533.38870370371</v>
      </c>
      <c r="C553" s="1" t="n">
        <v>45925</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12590-2025</t>
        </is>
      </c>
      <c r="B554" s="1" t="n">
        <v>45732.79925925926</v>
      </c>
      <c r="C554" s="1" t="n">
        <v>45925</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30318-2023</t>
        </is>
      </c>
      <c r="B555" s="1" t="n">
        <v>45111.30824074074</v>
      </c>
      <c r="C555" s="1" t="n">
        <v>45925</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40260-2024</t>
        </is>
      </c>
      <c r="B556" s="1" t="n">
        <v>45554.63225694445</v>
      </c>
      <c r="C556" s="1" t="n">
        <v>45925</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10787-2025</t>
        </is>
      </c>
      <c r="B557" s="1" t="n">
        <v>45722.48915509259</v>
      </c>
      <c r="C557" s="1" t="n">
        <v>45925</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58577-2024</t>
        </is>
      </c>
      <c r="B558" s="1" t="n">
        <v>45635.4874537037</v>
      </c>
      <c r="C558" s="1" t="n">
        <v>45925</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38198-2024</t>
        </is>
      </c>
      <c r="B559" s="1" t="n">
        <v>45545.49508101852</v>
      </c>
      <c r="C559" s="1" t="n">
        <v>45925</v>
      </c>
      <c r="D559" t="inlineStr">
        <is>
          <t>KALMAR LÄN</t>
        </is>
      </c>
      <c r="E559" t="inlineStr">
        <is>
          <t>VIMMERBY</t>
        </is>
      </c>
      <c r="G559" t="n">
        <v>7.9</v>
      </c>
      <c r="H559" t="n">
        <v>0</v>
      </c>
      <c r="I559" t="n">
        <v>0</v>
      </c>
      <c r="J559" t="n">
        <v>0</v>
      </c>
      <c r="K559" t="n">
        <v>0</v>
      </c>
      <c r="L559" t="n">
        <v>0</v>
      </c>
      <c r="M559" t="n">
        <v>0</v>
      </c>
      <c r="N559" t="n">
        <v>0</v>
      </c>
      <c r="O559" t="n">
        <v>0</v>
      </c>
      <c r="P559" t="n">
        <v>0</v>
      </c>
      <c r="Q559" t="n">
        <v>0</v>
      </c>
      <c r="R559" s="2" t="inlineStr"/>
    </row>
    <row r="560" ht="15" customHeight="1">
      <c r="A560" t="inlineStr">
        <is>
          <t>A 43617-2024</t>
        </is>
      </c>
      <c r="B560" s="1" t="n">
        <v>45569.47494212963</v>
      </c>
      <c r="C560" s="1" t="n">
        <v>45925</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43186-2021</t>
        </is>
      </c>
      <c r="B561" s="1" t="n">
        <v>44431.84840277778</v>
      </c>
      <c r="C561" s="1" t="n">
        <v>45925</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60215-2022</t>
        </is>
      </c>
      <c r="B562" s="1" t="n">
        <v>44910.41346064815</v>
      </c>
      <c r="C562" s="1" t="n">
        <v>45925</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60230-2022</t>
        </is>
      </c>
      <c r="B563" s="1" t="n">
        <v>44910</v>
      </c>
      <c r="C563" s="1" t="n">
        <v>45925</v>
      </c>
      <c r="D563" t="inlineStr">
        <is>
          <t>KALMAR LÄN</t>
        </is>
      </c>
      <c r="E563" t="inlineStr">
        <is>
          <t>VIMMERBY</t>
        </is>
      </c>
      <c r="G563" t="n">
        <v>11.3</v>
      </c>
      <c r="H563" t="n">
        <v>0</v>
      </c>
      <c r="I563" t="n">
        <v>0</v>
      </c>
      <c r="J563" t="n">
        <v>0</v>
      </c>
      <c r="K563" t="n">
        <v>0</v>
      </c>
      <c r="L563" t="n">
        <v>0</v>
      </c>
      <c r="M563" t="n">
        <v>0</v>
      </c>
      <c r="N563" t="n">
        <v>0</v>
      </c>
      <c r="O563" t="n">
        <v>0</v>
      </c>
      <c r="P563" t="n">
        <v>0</v>
      </c>
      <c r="Q563" t="n">
        <v>0</v>
      </c>
      <c r="R563" s="2" t="inlineStr"/>
    </row>
    <row r="564" ht="15" customHeight="1">
      <c r="A564" t="inlineStr">
        <is>
          <t>A 5925-2022</t>
        </is>
      </c>
      <c r="B564" s="1" t="n">
        <v>44598.7384837963</v>
      </c>
      <c r="C564" s="1" t="n">
        <v>45925</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845-2023</t>
        </is>
      </c>
      <c r="B565" s="1" t="n">
        <v>44931</v>
      </c>
      <c r="C565" s="1" t="n">
        <v>45925</v>
      </c>
      <c r="D565" t="inlineStr">
        <is>
          <t>KALMAR LÄN</t>
        </is>
      </c>
      <c r="E565" t="inlineStr">
        <is>
          <t>VIMMERBY</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22264-2023</t>
        </is>
      </c>
      <c r="B566" s="1" t="n">
        <v>45070.3665625</v>
      </c>
      <c r="C566" s="1" t="n">
        <v>45925</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22266-2023</t>
        </is>
      </c>
      <c r="B567" s="1" t="n">
        <v>45070</v>
      </c>
      <c r="C567" s="1" t="n">
        <v>45925</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16119-2023</t>
        </is>
      </c>
      <c r="B568" s="1" t="n">
        <v>45027.59450231482</v>
      </c>
      <c r="C568" s="1" t="n">
        <v>45925</v>
      </c>
      <c r="D568" t="inlineStr">
        <is>
          <t>KALMAR LÄN</t>
        </is>
      </c>
      <c r="E568" t="inlineStr">
        <is>
          <t>VIMMERBY</t>
        </is>
      </c>
      <c r="F568" t="inlineStr">
        <is>
          <t>Kommuner</t>
        </is>
      </c>
      <c r="G568" t="n">
        <v>4.4</v>
      </c>
      <c r="H568" t="n">
        <v>0</v>
      </c>
      <c r="I568" t="n">
        <v>0</v>
      </c>
      <c r="J568" t="n">
        <v>0</v>
      </c>
      <c r="K568" t="n">
        <v>0</v>
      </c>
      <c r="L568" t="n">
        <v>0</v>
      </c>
      <c r="M568" t="n">
        <v>0</v>
      </c>
      <c r="N568" t="n">
        <v>0</v>
      </c>
      <c r="O568" t="n">
        <v>0</v>
      </c>
      <c r="P568" t="n">
        <v>0</v>
      </c>
      <c r="Q568" t="n">
        <v>0</v>
      </c>
      <c r="R568" s="2" t="inlineStr"/>
    </row>
    <row r="569" ht="15" customHeight="1">
      <c r="A569" t="inlineStr">
        <is>
          <t>A 50091-2023</t>
        </is>
      </c>
      <c r="B569" s="1" t="n">
        <v>45215.60199074074</v>
      </c>
      <c r="C569" s="1" t="n">
        <v>45925</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30588-2023</t>
        </is>
      </c>
      <c r="B570" s="1" t="n">
        <v>45112.33599537037</v>
      </c>
      <c r="C570" s="1" t="n">
        <v>45925</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10303-2025</t>
        </is>
      </c>
      <c r="B571" s="1" t="n">
        <v>45720.44217592593</v>
      </c>
      <c r="C571" s="1" t="n">
        <v>45925</v>
      </c>
      <c r="D571" t="inlineStr">
        <is>
          <t>KALMAR LÄN</t>
        </is>
      </c>
      <c r="E571" t="inlineStr">
        <is>
          <t>VIMMERBY</t>
        </is>
      </c>
      <c r="G571" t="n">
        <v>0.9</v>
      </c>
      <c r="H571" t="n">
        <v>0</v>
      </c>
      <c r="I571" t="n">
        <v>0</v>
      </c>
      <c r="J571" t="n">
        <v>0</v>
      </c>
      <c r="K571" t="n">
        <v>0</v>
      </c>
      <c r="L571" t="n">
        <v>0</v>
      </c>
      <c r="M571" t="n">
        <v>0</v>
      </c>
      <c r="N571" t="n">
        <v>0</v>
      </c>
      <c r="O571" t="n">
        <v>0</v>
      </c>
      <c r="P571" t="n">
        <v>0</v>
      </c>
      <c r="Q571" t="n">
        <v>0</v>
      </c>
      <c r="R571" s="2" t="inlineStr"/>
    </row>
    <row r="572" ht="15" customHeight="1">
      <c r="A572" t="inlineStr">
        <is>
          <t>A 11027-2023</t>
        </is>
      </c>
      <c r="B572" s="1" t="n">
        <v>44991.89657407408</v>
      </c>
      <c r="C572" s="1" t="n">
        <v>45925</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50764-2020</t>
        </is>
      </c>
      <c r="B573" s="1" t="n">
        <v>44111</v>
      </c>
      <c r="C573" s="1" t="n">
        <v>45925</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45528-2021</t>
        </is>
      </c>
      <c r="B574" s="1" t="n">
        <v>44440.60415509259</v>
      </c>
      <c r="C574" s="1" t="n">
        <v>45925</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11661-2023</t>
        </is>
      </c>
      <c r="B575" s="1" t="n">
        <v>44994.46908564815</v>
      </c>
      <c r="C575" s="1" t="n">
        <v>45925</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36155-2023</t>
        </is>
      </c>
      <c r="B576" s="1" t="n">
        <v>45149.60917824074</v>
      </c>
      <c r="C576" s="1" t="n">
        <v>45925</v>
      </c>
      <c r="D576" t="inlineStr">
        <is>
          <t>KALMAR LÄN</t>
        </is>
      </c>
      <c r="E576" t="inlineStr">
        <is>
          <t>VIMMERBY</t>
        </is>
      </c>
      <c r="G576" t="n">
        <v>5</v>
      </c>
      <c r="H576" t="n">
        <v>0</v>
      </c>
      <c r="I576" t="n">
        <v>0</v>
      </c>
      <c r="J576" t="n">
        <v>0</v>
      </c>
      <c r="K576" t="n">
        <v>0</v>
      </c>
      <c r="L576" t="n">
        <v>0</v>
      </c>
      <c r="M576" t="n">
        <v>0</v>
      </c>
      <c r="N576" t="n">
        <v>0</v>
      </c>
      <c r="O576" t="n">
        <v>0</v>
      </c>
      <c r="P576" t="n">
        <v>0</v>
      </c>
      <c r="Q576" t="n">
        <v>0</v>
      </c>
      <c r="R576" s="2" t="inlineStr"/>
    </row>
    <row r="577" ht="15" customHeight="1">
      <c r="A577" t="inlineStr">
        <is>
          <t>A 40147-2023</t>
        </is>
      </c>
      <c r="B577" s="1" t="n">
        <v>45169</v>
      </c>
      <c r="C577" s="1" t="n">
        <v>45925</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16516-2023</t>
        </is>
      </c>
      <c r="B578" s="1" t="n">
        <v>45029</v>
      </c>
      <c r="C578" s="1" t="n">
        <v>45925</v>
      </c>
      <c r="D578" t="inlineStr">
        <is>
          <t>KALMAR LÄN</t>
        </is>
      </c>
      <c r="E578" t="inlineStr">
        <is>
          <t>VIMMERBY</t>
        </is>
      </c>
      <c r="G578" t="n">
        <v>4.3</v>
      </c>
      <c r="H578" t="n">
        <v>0</v>
      </c>
      <c r="I578" t="n">
        <v>0</v>
      </c>
      <c r="J578" t="n">
        <v>0</v>
      </c>
      <c r="K578" t="n">
        <v>0</v>
      </c>
      <c r="L578" t="n">
        <v>0</v>
      </c>
      <c r="M578" t="n">
        <v>0</v>
      </c>
      <c r="N578" t="n">
        <v>0</v>
      </c>
      <c r="O578" t="n">
        <v>0</v>
      </c>
      <c r="P578" t="n">
        <v>0</v>
      </c>
      <c r="Q578" t="n">
        <v>0</v>
      </c>
      <c r="R578" s="2" t="inlineStr"/>
    </row>
    <row r="579" ht="15" customHeight="1">
      <c r="A579" t="inlineStr">
        <is>
          <t>A 2510-2023</t>
        </is>
      </c>
      <c r="B579" s="1" t="n">
        <v>44943.57309027778</v>
      </c>
      <c r="C579" s="1" t="n">
        <v>45925</v>
      </c>
      <c r="D579" t="inlineStr">
        <is>
          <t>KALMAR LÄN</t>
        </is>
      </c>
      <c r="E579" t="inlineStr">
        <is>
          <t>VIMMERBY</t>
        </is>
      </c>
      <c r="G579" t="n">
        <v>8.6</v>
      </c>
      <c r="H579" t="n">
        <v>0</v>
      </c>
      <c r="I579" t="n">
        <v>0</v>
      </c>
      <c r="J579" t="n">
        <v>0</v>
      </c>
      <c r="K579" t="n">
        <v>0</v>
      </c>
      <c r="L579" t="n">
        <v>0</v>
      </c>
      <c r="M579" t="n">
        <v>0</v>
      </c>
      <c r="N579" t="n">
        <v>0</v>
      </c>
      <c r="O579" t="n">
        <v>0</v>
      </c>
      <c r="P579" t="n">
        <v>0</v>
      </c>
      <c r="Q579" t="n">
        <v>0</v>
      </c>
      <c r="R579" s="2" t="inlineStr"/>
    </row>
    <row r="580" ht="15" customHeight="1">
      <c r="A580" t="inlineStr">
        <is>
          <t>A 63950-2023</t>
        </is>
      </c>
      <c r="B580" s="1" t="n">
        <v>45278</v>
      </c>
      <c r="C580" s="1" t="n">
        <v>45925</v>
      </c>
      <c r="D580" t="inlineStr">
        <is>
          <t>KALMAR LÄN</t>
        </is>
      </c>
      <c r="E580" t="inlineStr">
        <is>
          <t>VIMMERBY</t>
        </is>
      </c>
      <c r="F580" t="inlineStr">
        <is>
          <t>Kyrkan</t>
        </is>
      </c>
      <c r="G580" t="n">
        <v>2.7</v>
      </c>
      <c r="H580" t="n">
        <v>0</v>
      </c>
      <c r="I580" t="n">
        <v>0</v>
      </c>
      <c r="J580" t="n">
        <v>0</v>
      </c>
      <c r="K580" t="n">
        <v>0</v>
      </c>
      <c r="L580" t="n">
        <v>0</v>
      </c>
      <c r="M580" t="n">
        <v>0</v>
      </c>
      <c r="N580" t="n">
        <v>0</v>
      </c>
      <c r="O580" t="n">
        <v>0</v>
      </c>
      <c r="P580" t="n">
        <v>0</v>
      </c>
      <c r="Q580" t="n">
        <v>0</v>
      </c>
      <c r="R580" s="2" t="inlineStr"/>
    </row>
    <row r="581" ht="15" customHeight="1">
      <c r="A581" t="inlineStr">
        <is>
          <t>A 24096-2024</t>
        </is>
      </c>
      <c r="B581" s="1" t="n">
        <v>45456.59289351852</v>
      </c>
      <c r="C581" s="1" t="n">
        <v>45925</v>
      </c>
      <c r="D581" t="inlineStr">
        <is>
          <t>KALMAR LÄN</t>
        </is>
      </c>
      <c r="E581" t="inlineStr">
        <is>
          <t>VIMMERBY</t>
        </is>
      </c>
      <c r="G581" t="n">
        <v>2.3</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45925</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13015-2023</t>
        </is>
      </c>
      <c r="B583" s="1" t="n">
        <v>45002</v>
      </c>
      <c r="C583" s="1" t="n">
        <v>45925</v>
      </c>
      <c r="D583" t="inlineStr">
        <is>
          <t>KALMAR LÄN</t>
        </is>
      </c>
      <c r="E583" t="inlineStr">
        <is>
          <t>VIMMERBY</t>
        </is>
      </c>
      <c r="G583" t="n">
        <v>3.2</v>
      </c>
      <c r="H583" t="n">
        <v>0</v>
      </c>
      <c r="I583" t="n">
        <v>0</v>
      </c>
      <c r="J583" t="n">
        <v>0</v>
      </c>
      <c r="K583" t="n">
        <v>0</v>
      </c>
      <c r="L583" t="n">
        <v>0</v>
      </c>
      <c r="M583" t="n">
        <v>0</v>
      </c>
      <c r="N583" t="n">
        <v>0</v>
      </c>
      <c r="O583" t="n">
        <v>0</v>
      </c>
      <c r="P583" t="n">
        <v>0</v>
      </c>
      <c r="Q583" t="n">
        <v>0</v>
      </c>
      <c r="R583" s="2" t="inlineStr"/>
    </row>
    <row r="584" ht="15" customHeight="1">
      <c r="A584" t="inlineStr">
        <is>
          <t>A 7485-2024</t>
        </is>
      </c>
      <c r="B584" s="1" t="n">
        <v>45346.67184027778</v>
      </c>
      <c r="C584" s="1" t="n">
        <v>45925</v>
      </c>
      <c r="D584" t="inlineStr">
        <is>
          <t>KALMAR LÄN</t>
        </is>
      </c>
      <c r="E584" t="inlineStr">
        <is>
          <t>VIMMERBY</t>
        </is>
      </c>
      <c r="G584" t="n">
        <v>1.9</v>
      </c>
      <c r="H584" t="n">
        <v>0</v>
      </c>
      <c r="I584" t="n">
        <v>0</v>
      </c>
      <c r="J584" t="n">
        <v>0</v>
      </c>
      <c r="K584" t="n">
        <v>0</v>
      </c>
      <c r="L584" t="n">
        <v>0</v>
      </c>
      <c r="M584" t="n">
        <v>0</v>
      </c>
      <c r="N584" t="n">
        <v>0</v>
      </c>
      <c r="O584" t="n">
        <v>0</v>
      </c>
      <c r="P584" t="n">
        <v>0</v>
      </c>
      <c r="Q584" t="n">
        <v>0</v>
      </c>
      <c r="R584" s="2" t="inlineStr"/>
    </row>
    <row r="585" ht="15" customHeight="1">
      <c r="A585" t="inlineStr">
        <is>
          <t>A 41199-2023</t>
        </is>
      </c>
      <c r="B585" s="1" t="n">
        <v>45174.40454861111</v>
      </c>
      <c r="C585" s="1" t="n">
        <v>45925</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36014-2024</t>
        </is>
      </c>
      <c r="B586" s="1" t="n">
        <v>45533.56108796296</v>
      </c>
      <c r="C586" s="1" t="n">
        <v>45925</v>
      </c>
      <c r="D586" t="inlineStr">
        <is>
          <t>KALMAR LÄN</t>
        </is>
      </c>
      <c r="E586" t="inlineStr">
        <is>
          <t>VIMMERBY</t>
        </is>
      </c>
      <c r="G586" t="n">
        <v>2.3</v>
      </c>
      <c r="H586" t="n">
        <v>0</v>
      </c>
      <c r="I586" t="n">
        <v>0</v>
      </c>
      <c r="J586" t="n">
        <v>0</v>
      </c>
      <c r="K586" t="n">
        <v>0</v>
      </c>
      <c r="L586" t="n">
        <v>0</v>
      </c>
      <c r="M586" t="n">
        <v>0</v>
      </c>
      <c r="N586" t="n">
        <v>0</v>
      </c>
      <c r="O586" t="n">
        <v>0</v>
      </c>
      <c r="P586" t="n">
        <v>0</v>
      </c>
      <c r="Q586" t="n">
        <v>0</v>
      </c>
      <c r="R586" s="2" t="inlineStr"/>
    </row>
    <row r="587" ht="15" customHeight="1">
      <c r="A587" t="inlineStr">
        <is>
          <t>A 36030-2024</t>
        </is>
      </c>
      <c r="B587" s="1" t="n">
        <v>45533.58302083334</v>
      </c>
      <c r="C587" s="1" t="n">
        <v>45925</v>
      </c>
      <c r="D587" t="inlineStr">
        <is>
          <t>KALMAR LÄN</t>
        </is>
      </c>
      <c r="E587" t="inlineStr">
        <is>
          <t>VIMMERBY</t>
        </is>
      </c>
      <c r="F587" t="inlineStr">
        <is>
          <t>Kommuner</t>
        </is>
      </c>
      <c r="G587" t="n">
        <v>4</v>
      </c>
      <c r="H587" t="n">
        <v>0</v>
      </c>
      <c r="I587" t="n">
        <v>0</v>
      </c>
      <c r="J587" t="n">
        <v>0</v>
      </c>
      <c r="K587" t="n">
        <v>0</v>
      </c>
      <c r="L587" t="n">
        <v>0</v>
      </c>
      <c r="M587" t="n">
        <v>0</v>
      </c>
      <c r="N587" t="n">
        <v>0</v>
      </c>
      <c r="O587" t="n">
        <v>0</v>
      </c>
      <c r="P587" t="n">
        <v>0</v>
      </c>
      <c r="Q587" t="n">
        <v>0</v>
      </c>
      <c r="R587" s="2" t="inlineStr"/>
    </row>
    <row r="588" ht="15" customHeight="1">
      <c r="A588" t="inlineStr">
        <is>
          <t>A 6574-2023</t>
        </is>
      </c>
      <c r="B588" s="1" t="n">
        <v>44966</v>
      </c>
      <c r="C588" s="1" t="n">
        <v>45925</v>
      </c>
      <c r="D588" t="inlineStr">
        <is>
          <t>KALMAR LÄN</t>
        </is>
      </c>
      <c r="E588" t="inlineStr">
        <is>
          <t>VIMMERBY</t>
        </is>
      </c>
      <c r="G588" t="n">
        <v>2.5</v>
      </c>
      <c r="H588" t="n">
        <v>0</v>
      </c>
      <c r="I588" t="n">
        <v>0</v>
      </c>
      <c r="J588" t="n">
        <v>0</v>
      </c>
      <c r="K588" t="n">
        <v>0</v>
      </c>
      <c r="L588" t="n">
        <v>0</v>
      </c>
      <c r="M588" t="n">
        <v>0</v>
      </c>
      <c r="N588" t="n">
        <v>0</v>
      </c>
      <c r="O588" t="n">
        <v>0</v>
      </c>
      <c r="P588" t="n">
        <v>0</v>
      </c>
      <c r="Q588" t="n">
        <v>0</v>
      </c>
      <c r="R588" s="2" t="inlineStr"/>
    </row>
    <row r="589" ht="15" customHeight="1">
      <c r="A589" t="inlineStr">
        <is>
          <t>A 7627-2025</t>
        </is>
      </c>
      <c r="B589" s="1" t="n">
        <v>45705.73300925926</v>
      </c>
      <c r="C589" s="1" t="n">
        <v>45925</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20054-2023</t>
        </is>
      </c>
      <c r="B590" s="1" t="n">
        <v>45054.6750462963</v>
      </c>
      <c r="C590" s="1" t="n">
        <v>45925</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6321-2023</t>
        </is>
      </c>
      <c r="B591" s="1" t="n">
        <v>44965.4815162037</v>
      </c>
      <c r="C591" s="1" t="n">
        <v>45925</v>
      </c>
      <c r="D591" t="inlineStr">
        <is>
          <t>KALMAR LÄN</t>
        </is>
      </c>
      <c r="E591" t="inlineStr">
        <is>
          <t>VIMMERBY</t>
        </is>
      </c>
      <c r="G591" t="n">
        <v>1.8</v>
      </c>
      <c r="H591" t="n">
        <v>0</v>
      </c>
      <c r="I591" t="n">
        <v>0</v>
      </c>
      <c r="J591" t="n">
        <v>0</v>
      </c>
      <c r="K591" t="n">
        <v>0</v>
      </c>
      <c r="L591" t="n">
        <v>0</v>
      </c>
      <c r="M591" t="n">
        <v>0</v>
      </c>
      <c r="N591" t="n">
        <v>0</v>
      </c>
      <c r="O591" t="n">
        <v>0</v>
      </c>
      <c r="P591" t="n">
        <v>0</v>
      </c>
      <c r="Q591" t="n">
        <v>0</v>
      </c>
      <c r="R591" s="2" t="inlineStr"/>
    </row>
    <row r="592" ht="15" customHeight="1">
      <c r="A592" t="inlineStr">
        <is>
          <t>A 58750-2022</t>
        </is>
      </c>
      <c r="B592" s="1" t="n">
        <v>44903.33363425926</v>
      </c>
      <c r="C592" s="1" t="n">
        <v>45925</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52755-2022</t>
        </is>
      </c>
      <c r="B593" s="1" t="n">
        <v>44875.27736111111</v>
      </c>
      <c r="C593" s="1" t="n">
        <v>45925</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40823-2023</t>
        </is>
      </c>
      <c r="B594" s="1" t="n">
        <v>45171.77335648148</v>
      </c>
      <c r="C594" s="1" t="n">
        <v>45925</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2260-2022</t>
        </is>
      </c>
      <c r="B595" s="1" t="n">
        <v>44578.62943287037</v>
      </c>
      <c r="C595" s="1" t="n">
        <v>45925</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50860-2022</t>
        </is>
      </c>
      <c r="B596" s="1" t="n">
        <v>44867</v>
      </c>
      <c r="C596" s="1" t="n">
        <v>45925</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53483-2022</t>
        </is>
      </c>
      <c r="B597" s="1" t="n">
        <v>44879.55940972222</v>
      </c>
      <c r="C597" s="1" t="n">
        <v>45925</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58962-2022</t>
        </is>
      </c>
      <c r="B598" s="1" t="n">
        <v>44903</v>
      </c>
      <c r="C598" s="1" t="n">
        <v>45925</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58967-2022</t>
        </is>
      </c>
      <c r="B599" s="1" t="n">
        <v>44896</v>
      </c>
      <c r="C599" s="1" t="n">
        <v>45925</v>
      </c>
      <c r="D599" t="inlineStr">
        <is>
          <t>KALMAR LÄN</t>
        </is>
      </c>
      <c r="E599" t="inlineStr">
        <is>
          <t>VIMMERBY</t>
        </is>
      </c>
      <c r="G599" t="n">
        <v>5</v>
      </c>
      <c r="H599" t="n">
        <v>0</v>
      </c>
      <c r="I599" t="n">
        <v>0</v>
      </c>
      <c r="J599" t="n">
        <v>0</v>
      </c>
      <c r="K599" t="n">
        <v>0</v>
      </c>
      <c r="L599" t="n">
        <v>0</v>
      </c>
      <c r="M599" t="n">
        <v>0</v>
      </c>
      <c r="N599" t="n">
        <v>0</v>
      </c>
      <c r="O599" t="n">
        <v>0</v>
      </c>
      <c r="P599" t="n">
        <v>0</v>
      </c>
      <c r="Q599" t="n">
        <v>0</v>
      </c>
      <c r="R599" s="2" t="inlineStr"/>
    </row>
    <row r="600" ht="15" customHeight="1">
      <c r="A600" t="inlineStr">
        <is>
          <t>A 57682-2022</t>
        </is>
      </c>
      <c r="B600" s="1" t="n">
        <v>44890</v>
      </c>
      <c r="C600" s="1" t="n">
        <v>45925</v>
      </c>
      <c r="D600" t="inlineStr">
        <is>
          <t>KALMAR LÄN</t>
        </is>
      </c>
      <c r="E600" t="inlineStr">
        <is>
          <t>VIMMERBY</t>
        </is>
      </c>
      <c r="G600" t="n">
        <v>1.5</v>
      </c>
      <c r="H600" t="n">
        <v>0</v>
      </c>
      <c r="I600" t="n">
        <v>0</v>
      </c>
      <c r="J600" t="n">
        <v>0</v>
      </c>
      <c r="K600" t="n">
        <v>0</v>
      </c>
      <c r="L600" t="n">
        <v>0</v>
      </c>
      <c r="M600" t="n">
        <v>0</v>
      </c>
      <c r="N600" t="n">
        <v>0</v>
      </c>
      <c r="O600" t="n">
        <v>0</v>
      </c>
      <c r="P600" t="n">
        <v>0</v>
      </c>
      <c r="Q600" t="n">
        <v>0</v>
      </c>
      <c r="R600" s="2" t="inlineStr"/>
    </row>
    <row r="601" ht="15" customHeight="1">
      <c r="A601" t="inlineStr">
        <is>
          <t>A 27761-2024</t>
        </is>
      </c>
      <c r="B601" s="1" t="n">
        <v>45475.49018518518</v>
      </c>
      <c r="C601" s="1" t="n">
        <v>45925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21028-2023</t>
        </is>
      </c>
      <c r="B602" s="1" t="n">
        <v>45061</v>
      </c>
      <c r="C602" s="1" t="n">
        <v>45925</v>
      </c>
      <c r="D602" t="inlineStr">
        <is>
          <t>KALMAR LÄN</t>
        </is>
      </c>
      <c r="E602" t="inlineStr">
        <is>
          <t>VIMMERBY</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64203-2021</t>
        </is>
      </c>
      <c r="B603" s="1" t="n">
        <v>44510.60921296296</v>
      </c>
      <c r="C603" s="1" t="n">
        <v>45925</v>
      </c>
      <c r="D603" t="inlineStr">
        <is>
          <t>KALMAR LÄN</t>
        </is>
      </c>
      <c r="E603" t="inlineStr">
        <is>
          <t>VIMMERBY</t>
        </is>
      </c>
      <c r="F603" t="inlineStr">
        <is>
          <t>Övriga Aktiebolag</t>
        </is>
      </c>
      <c r="G603" t="n">
        <v>5.4</v>
      </c>
      <c r="H603" t="n">
        <v>0</v>
      </c>
      <c r="I603" t="n">
        <v>0</v>
      </c>
      <c r="J603" t="n">
        <v>0</v>
      </c>
      <c r="K603" t="n">
        <v>0</v>
      </c>
      <c r="L603" t="n">
        <v>0</v>
      </c>
      <c r="M603" t="n">
        <v>0</v>
      </c>
      <c r="N603" t="n">
        <v>0</v>
      </c>
      <c r="O603" t="n">
        <v>0</v>
      </c>
      <c r="P603" t="n">
        <v>0</v>
      </c>
      <c r="Q603" t="n">
        <v>0</v>
      </c>
      <c r="R603" s="2" t="inlineStr"/>
    </row>
    <row r="604" ht="15" customHeight="1">
      <c r="A604" t="inlineStr">
        <is>
          <t>A 4076-2022</t>
        </is>
      </c>
      <c r="B604" s="1" t="n">
        <v>44588.37998842593</v>
      </c>
      <c r="C604" s="1" t="n">
        <v>45925</v>
      </c>
      <c r="D604" t="inlineStr">
        <is>
          <t>KALMAR LÄN</t>
        </is>
      </c>
      <c r="E604" t="inlineStr">
        <is>
          <t>VIMMERBY</t>
        </is>
      </c>
      <c r="G604" t="n">
        <v>3</v>
      </c>
      <c r="H604" t="n">
        <v>0</v>
      </c>
      <c r="I604" t="n">
        <v>0</v>
      </c>
      <c r="J604" t="n">
        <v>0</v>
      </c>
      <c r="K604" t="n">
        <v>0</v>
      </c>
      <c r="L604" t="n">
        <v>0</v>
      </c>
      <c r="M604" t="n">
        <v>0</v>
      </c>
      <c r="N604" t="n">
        <v>0</v>
      </c>
      <c r="O604" t="n">
        <v>0</v>
      </c>
      <c r="P604" t="n">
        <v>0</v>
      </c>
      <c r="Q604" t="n">
        <v>0</v>
      </c>
      <c r="R604" s="2" t="inlineStr"/>
    </row>
    <row r="605" ht="15" customHeight="1">
      <c r="A605" t="inlineStr">
        <is>
          <t>A 4122-2022</t>
        </is>
      </c>
      <c r="B605" s="1" t="n">
        <v>44588</v>
      </c>
      <c r="C605" s="1" t="n">
        <v>45925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1016-2024</t>
        </is>
      </c>
      <c r="B606" s="1" t="n">
        <v>45301</v>
      </c>
      <c r="C606" s="1" t="n">
        <v>45925</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1024-2024</t>
        </is>
      </c>
      <c r="B607" s="1" t="n">
        <v>45301.68237268519</v>
      </c>
      <c r="C607" s="1" t="n">
        <v>45925</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27758-2024</t>
        </is>
      </c>
      <c r="B608" s="1" t="n">
        <v>45475.48303240741</v>
      </c>
      <c r="C608" s="1" t="n">
        <v>45925</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65961-2020</t>
        </is>
      </c>
      <c r="B609" s="1" t="n">
        <v>44175.39748842592</v>
      </c>
      <c r="C609" s="1" t="n">
        <v>45925</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9624-2024</t>
        </is>
      </c>
      <c r="B610" s="1" t="n">
        <v>45361.90282407407</v>
      </c>
      <c r="C610" s="1" t="n">
        <v>45925</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32865-2023</t>
        </is>
      </c>
      <c r="B611" s="1" t="n">
        <v>45124</v>
      </c>
      <c r="C611" s="1" t="n">
        <v>45925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22194-2024</t>
        </is>
      </c>
      <c r="B612" s="1" t="n">
        <v>45446.36482638889</v>
      </c>
      <c r="C612" s="1" t="n">
        <v>45925</v>
      </c>
      <c r="D612" t="inlineStr">
        <is>
          <t>KALMAR LÄN</t>
        </is>
      </c>
      <c r="E612" t="inlineStr">
        <is>
          <t>VIMMERBY</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52327-2023</t>
        </is>
      </c>
      <c r="B613" s="1" t="n">
        <v>45224.6515162037</v>
      </c>
      <c r="C613" s="1" t="n">
        <v>45925</v>
      </c>
      <c r="D613" t="inlineStr">
        <is>
          <t>KALMAR LÄN</t>
        </is>
      </c>
      <c r="E613" t="inlineStr">
        <is>
          <t>VIMMERBY</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17926-2025</t>
        </is>
      </c>
      <c r="B614" s="1" t="n">
        <v>45759.38987268518</v>
      </c>
      <c r="C614" s="1" t="n">
        <v>45925</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35127-2024</t>
        </is>
      </c>
      <c r="B615" s="1" t="n">
        <v>45530.33202546297</v>
      </c>
      <c r="C615" s="1" t="n">
        <v>45925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33383-2023</t>
        </is>
      </c>
      <c r="B616" s="1" t="n">
        <v>45128.58414351852</v>
      </c>
      <c r="C616" s="1" t="n">
        <v>45925</v>
      </c>
      <c r="D616" t="inlineStr">
        <is>
          <t>KALMAR LÄN</t>
        </is>
      </c>
      <c r="E616" t="inlineStr">
        <is>
          <t>VIMMERBY</t>
        </is>
      </c>
      <c r="G616" t="n">
        <v>2.3</v>
      </c>
      <c r="H616" t="n">
        <v>0</v>
      </c>
      <c r="I616" t="n">
        <v>0</v>
      </c>
      <c r="J616" t="n">
        <v>0</v>
      </c>
      <c r="K616" t="n">
        <v>0</v>
      </c>
      <c r="L616" t="n">
        <v>0</v>
      </c>
      <c r="M616" t="n">
        <v>0</v>
      </c>
      <c r="N616" t="n">
        <v>0</v>
      </c>
      <c r="O616" t="n">
        <v>0</v>
      </c>
      <c r="P616" t="n">
        <v>0</v>
      </c>
      <c r="Q616" t="n">
        <v>0</v>
      </c>
      <c r="R616" s="2" t="inlineStr"/>
    </row>
    <row r="617" ht="15" customHeight="1">
      <c r="A617" t="inlineStr">
        <is>
          <t>A 29616-2022</t>
        </is>
      </c>
      <c r="B617" s="1" t="n">
        <v>44754</v>
      </c>
      <c r="C617" s="1" t="n">
        <v>45925</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4297-2022</t>
        </is>
      </c>
      <c r="B618" s="1" t="n">
        <v>44588</v>
      </c>
      <c r="C618" s="1" t="n">
        <v>45925</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29348-2023</t>
        </is>
      </c>
      <c r="B619" s="1" t="n">
        <v>45106.25025462963</v>
      </c>
      <c r="C619" s="1" t="n">
        <v>45925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28403-2023</t>
        </is>
      </c>
      <c r="B620" s="1" t="n">
        <v>45100.85270833333</v>
      </c>
      <c r="C620" s="1" t="n">
        <v>45925</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17511-2024</t>
        </is>
      </c>
      <c r="B621" s="1" t="n">
        <v>45415.57682870371</v>
      </c>
      <c r="C621" s="1" t="n">
        <v>45925</v>
      </c>
      <c r="D621" t="inlineStr">
        <is>
          <t>KALMAR LÄN</t>
        </is>
      </c>
      <c r="E621" t="inlineStr">
        <is>
          <t>VIMMERBY</t>
        </is>
      </c>
      <c r="G621" t="n">
        <v>5.3</v>
      </c>
      <c r="H621" t="n">
        <v>0</v>
      </c>
      <c r="I621" t="n">
        <v>0</v>
      </c>
      <c r="J621" t="n">
        <v>0</v>
      </c>
      <c r="K621" t="n">
        <v>0</v>
      </c>
      <c r="L621" t="n">
        <v>0</v>
      </c>
      <c r="M621" t="n">
        <v>0</v>
      </c>
      <c r="N621" t="n">
        <v>0</v>
      </c>
      <c r="O621" t="n">
        <v>0</v>
      </c>
      <c r="P621" t="n">
        <v>0</v>
      </c>
      <c r="Q621" t="n">
        <v>0</v>
      </c>
      <c r="R621" s="2" t="inlineStr"/>
    </row>
    <row r="622" ht="15" customHeight="1">
      <c r="A622" t="inlineStr">
        <is>
          <t>A 66022-2021</t>
        </is>
      </c>
      <c r="B622" s="1" t="n">
        <v>44517</v>
      </c>
      <c r="C622" s="1" t="n">
        <v>45925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29973-2023</t>
        </is>
      </c>
      <c r="B623" s="1" t="n">
        <v>45108.703125</v>
      </c>
      <c r="C623" s="1" t="n">
        <v>45925</v>
      </c>
      <c r="D623" t="inlineStr">
        <is>
          <t>KALMAR LÄN</t>
        </is>
      </c>
      <c r="E623" t="inlineStr">
        <is>
          <t>VIMMERBY</t>
        </is>
      </c>
      <c r="G623" t="n">
        <v>4</v>
      </c>
      <c r="H623" t="n">
        <v>0</v>
      </c>
      <c r="I623" t="n">
        <v>0</v>
      </c>
      <c r="J623" t="n">
        <v>0</v>
      </c>
      <c r="K623" t="n">
        <v>0</v>
      </c>
      <c r="L623" t="n">
        <v>0</v>
      </c>
      <c r="M623" t="n">
        <v>0</v>
      </c>
      <c r="N623" t="n">
        <v>0</v>
      </c>
      <c r="O623" t="n">
        <v>0</v>
      </c>
      <c r="P623" t="n">
        <v>0</v>
      </c>
      <c r="Q623" t="n">
        <v>0</v>
      </c>
      <c r="R623" s="2" t="inlineStr"/>
    </row>
    <row r="624" ht="15" customHeight="1">
      <c r="A624" t="inlineStr">
        <is>
          <t>A 55716-2023</t>
        </is>
      </c>
      <c r="B624" s="1" t="n">
        <v>45232</v>
      </c>
      <c r="C624" s="1" t="n">
        <v>45925</v>
      </c>
      <c r="D624" t="inlineStr">
        <is>
          <t>KALMAR LÄN</t>
        </is>
      </c>
      <c r="E624" t="inlineStr">
        <is>
          <t>VIMMERBY</t>
        </is>
      </c>
      <c r="G624" t="n">
        <v>2.3</v>
      </c>
      <c r="H624" t="n">
        <v>0</v>
      </c>
      <c r="I624" t="n">
        <v>0</v>
      </c>
      <c r="J624" t="n">
        <v>0</v>
      </c>
      <c r="K624" t="n">
        <v>0</v>
      </c>
      <c r="L624" t="n">
        <v>0</v>
      </c>
      <c r="M624" t="n">
        <v>0</v>
      </c>
      <c r="N624" t="n">
        <v>0</v>
      </c>
      <c r="O624" t="n">
        <v>0</v>
      </c>
      <c r="P624" t="n">
        <v>0</v>
      </c>
      <c r="Q624" t="n">
        <v>0</v>
      </c>
      <c r="R624" s="2" t="inlineStr"/>
    </row>
    <row r="625" ht="15" customHeight="1">
      <c r="A625" t="inlineStr">
        <is>
          <t>A 34386-2024</t>
        </is>
      </c>
      <c r="B625" s="1" t="n">
        <v>45525.41762731481</v>
      </c>
      <c r="C625" s="1" t="n">
        <v>45925</v>
      </c>
      <c r="D625" t="inlineStr">
        <is>
          <t>KALMAR LÄN</t>
        </is>
      </c>
      <c r="E625" t="inlineStr">
        <is>
          <t>VIMMERBY</t>
        </is>
      </c>
      <c r="G625" t="n">
        <v>0.3</v>
      </c>
      <c r="H625" t="n">
        <v>0</v>
      </c>
      <c r="I625" t="n">
        <v>0</v>
      </c>
      <c r="J625" t="n">
        <v>0</v>
      </c>
      <c r="K625" t="n">
        <v>0</v>
      </c>
      <c r="L625" t="n">
        <v>0</v>
      </c>
      <c r="M625" t="n">
        <v>0</v>
      </c>
      <c r="N625" t="n">
        <v>0</v>
      </c>
      <c r="O625" t="n">
        <v>0</v>
      </c>
      <c r="P625" t="n">
        <v>0</v>
      </c>
      <c r="Q625" t="n">
        <v>0</v>
      </c>
      <c r="R625" s="2" t="inlineStr"/>
    </row>
    <row r="626" ht="15" customHeight="1">
      <c r="A626" t="inlineStr">
        <is>
          <t>A 30070-2023</t>
        </is>
      </c>
      <c r="B626" s="1" t="n">
        <v>45110.4275</v>
      </c>
      <c r="C626" s="1" t="n">
        <v>45925</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42429-2024</t>
        </is>
      </c>
      <c r="B627" s="1" t="n">
        <v>45565.40657407408</v>
      </c>
      <c r="C627" s="1" t="n">
        <v>45925</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11946-2025</t>
        </is>
      </c>
      <c r="B628" s="1" t="n">
        <v>45728.54832175926</v>
      </c>
      <c r="C628" s="1" t="n">
        <v>45925</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46078-2023</t>
        </is>
      </c>
      <c r="B629" s="1" t="n">
        <v>45196</v>
      </c>
      <c r="C629" s="1" t="n">
        <v>45925</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59943-2023</t>
        </is>
      </c>
      <c r="B630" s="1" t="n">
        <v>45257.67958333333</v>
      </c>
      <c r="C630" s="1" t="n">
        <v>45925</v>
      </c>
      <c r="D630" t="inlineStr">
        <is>
          <t>KALMAR LÄN</t>
        </is>
      </c>
      <c r="E630" t="inlineStr">
        <is>
          <t>VIMMERBY</t>
        </is>
      </c>
      <c r="G630" t="n">
        <v>6.4</v>
      </c>
      <c r="H630" t="n">
        <v>0</v>
      </c>
      <c r="I630" t="n">
        <v>0</v>
      </c>
      <c r="J630" t="n">
        <v>0</v>
      </c>
      <c r="K630" t="n">
        <v>0</v>
      </c>
      <c r="L630" t="n">
        <v>0</v>
      </c>
      <c r="M630" t="n">
        <v>0</v>
      </c>
      <c r="N630" t="n">
        <v>0</v>
      </c>
      <c r="O630" t="n">
        <v>0</v>
      </c>
      <c r="P630" t="n">
        <v>0</v>
      </c>
      <c r="Q630" t="n">
        <v>0</v>
      </c>
      <c r="R630" s="2" t="inlineStr"/>
    </row>
    <row r="631" ht="15" customHeight="1">
      <c r="A631" t="inlineStr">
        <is>
          <t>A 7643-2022</t>
        </is>
      </c>
      <c r="B631" s="1" t="n">
        <v>44607</v>
      </c>
      <c r="C631" s="1" t="n">
        <v>45925</v>
      </c>
      <c r="D631" t="inlineStr">
        <is>
          <t>KALMAR LÄN</t>
        </is>
      </c>
      <c r="E631" t="inlineStr">
        <is>
          <t>VIMMERBY</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15493-2023</t>
        </is>
      </c>
      <c r="B632" s="1" t="n">
        <v>45018</v>
      </c>
      <c r="C632" s="1" t="n">
        <v>45925</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51881-2024</t>
        </is>
      </c>
      <c r="B633" s="1" t="n">
        <v>45607.56773148148</v>
      </c>
      <c r="C633" s="1" t="n">
        <v>45925</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3494-2023</t>
        </is>
      </c>
      <c r="B634" s="1" t="n">
        <v>44949</v>
      </c>
      <c r="C634" s="1" t="n">
        <v>45925</v>
      </c>
      <c r="D634" t="inlineStr">
        <is>
          <t>KALMAR LÄN</t>
        </is>
      </c>
      <c r="E634" t="inlineStr">
        <is>
          <t>VIMMERBY</t>
        </is>
      </c>
      <c r="F634" t="inlineStr">
        <is>
          <t>Kyrkan</t>
        </is>
      </c>
      <c r="G634" t="n">
        <v>0.8</v>
      </c>
      <c r="H634" t="n">
        <v>0</v>
      </c>
      <c r="I634" t="n">
        <v>0</v>
      </c>
      <c r="J634" t="n">
        <v>0</v>
      </c>
      <c r="K634" t="n">
        <v>0</v>
      </c>
      <c r="L634" t="n">
        <v>0</v>
      </c>
      <c r="M634" t="n">
        <v>0</v>
      </c>
      <c r="N634" t="n">
        <v>0</v>
      </c>
      <c r="O634" t="n">
        <v>0</v>
      </c>
      <c r="P634" t="n">
        <v>0</v>
      </c>
      <c r="Q634" t="n">
        <v>0</v>
      </c>
      <c r="R634" s="2" t="inlineStr"/>
    </row>
    <row r="635" ht="15" customHeight="1">
      <c r="A635" t="inlineStr">
        <is>
          <t>A 1021-2024</t>
        </is>
      </c>
      <c r="B635" s="1" t="n">
        <v>45301.67736111111</v>
      </c>
      <c r="C635" s="1" t="n">
        <v>45925</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32569-2024</t>
        </is>
      </c>
      <c r="B636" s="1" t="n">
        <v>45513.55840277778</v>
      </c>
      <c r="C636" s="1" t="n">
        <v>45925</v>
      </c>
      <c r="D636" t="inlineStr">
        <is>
          <t>KALMAR LÄN</t>
        </is>
      </c>
      <c r="E636" t="inlineStr">
        <is>
          <t>VIMMERBY</t>
        </is>
      </c>
      <c r="G636" t="n">
        <v>3.7</v>
      </c>
      <c r="H636" t="n">
        <v>0</v>
      </c>
      <c r="I636" t="n">
        <v>0</v>
      </c>
      <c r="J636" t="n">
        <v>0</v>
      </c>
      <c r="K636" t="n">
        <v>0</v>
      </c>
      <c r="L636" t="n">
        <v>0</v>
      </c>
      <c r="M636" t="n">
        <v>0</v>
      </c>
      <c r="N636" t="n">
        <v>0</v>
      </c>
      <c r="O636" t="n">
        <v>0</v>
      </c>
      <c r="P636" t="n">
        <v>0</v>
      </c>
      <c r="Q636" t="n">
        <v>0</v>
      </c>
      <c r="R636" s="2" t="inlineStr"/>
    </row>
    <row r="637" ht="15" customHeight="1">
      <c r="A637" t="inlineStr">
        <is>
          <t>A 32575-2024</t>
        </is>
      </c>
      <c r="B637" s="1" t="n">
        <v>45513.56527777778</v>
      </c>
      <c r="C637" s="1" t="n">
        <v>45925</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32633-2023</t>
        </is>
      </c>
      <c r="B638" s="1" t="n">
        <v>45121.58699074074</v>
      </c>
      <c r="C638" s="1" t="n">
        <v>45925</v>
      </c>
      <c r="D638" t="inlineStr">
        <is>
          <t>KALMAR LÄN</t>
        </is>
      </c>
      <c r="E638" t="inlineStr">
        <is>
          <t>VIMMERBY</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30063-2023</t>
        </is>
      </c>
      <c r="B639" s="1" t="n">
        <v>45110.4184375</v>
      </c>
      <c r="C639" s="1" t="n">
        <v>45925</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43601-2024</t>
        </is>
      </c>
      <c r="B640" s="1" t="n">
        <v>45569.44684027778</v>
      </c>
      <c r="C640" s="1" t="n">
        <v>45925</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17482-2024</t>
        </is>
      </c>
      <c r="B641" s="1" t="n">
        <v>45415.47848379629</v>
      </c>
      <c r="C641" s="1" t="n">
        <v>45925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13817-2024</t>
        </is>
      </c>
      <c r="B642" s="1" t="n">
        <v>45391.41976851852</v>
      </c>
      <c r="C642" s="1" t="n">
        <v>45925</v>
      </c>
      <c r="D642" t="inlineStr">
        <is>
          <t>KALMAR LÄN</t>
        </is>
      </c>
      <c r="E642" t="inlineStr">
        <is>
          <t>VIMMERBY</t>
        </is>
      </c>
      <c r="G642" t="n">
        <v>1</v>
      </c>
      <c r="H642" t="n">
        <v>0</v>
      </c>
      <c r="I642" t="n">
        <v>0</v>
      </c>
      <c r="J642" t="n">
        <v>0</v>
      </c>
      <c r="K642" t="n">
        <v>0</v>
      </c>
      <c r="L642" t="n">
        <v>0</v>
      </c>
      <c r="M642" t="n">
        <v>0</v>
      </c>
      <c r="N642" t="n">
        <v>0</v>
      </c>
      <c r="O642" t="n">
        <v>0</v>
      </c>
      <c r="P642" t="n">
        <v>0</v>
      </c>
      <c r="Q642" t="n">
        <v>0</v>
      </c>
      <c r="R642" s="2" t="inlineStr"/>
    </row>
    <row r="643" ht="15" customHeight="1">
      <c r="A643" t="inlineStr">
        <is>
          <t>A 13813-2024</t>
        </is>
      </c>
      <c r="B643" s="1" t="n">
        <v>45391.41310185185</v>
      </c>
      <c r="C643" s="1" t="n">
        <v>45925</v>
      </c>
      <c r="D643" t="inlineStr">
        <is>
          <t>KALMAR LÄN</t>
        </is>
      </c>
      <c r="E643" t="inlineStr">
        <is>
          <t>VIMMERBY</t>
        </is>
      </c>
      <c r="G643" t="n">
        <v>0.4</v>
      </c>
      <c r="H643" t="n">
        <v>0</v>
      </c>
      <c r="I643" t="n">
        <v>0</v>
      </c>
      <c r="J643" t="n">
        <v>0</v>
      </c>
      <c r="K643" t="n">
        <v>0</v>
      </c>
      <c r="L643" t="n">
        <v>0</v>
      </c>
      <c r="M643" t="n">
        <v>0</v>
      </c>
      <c r="N643" t="n">
        <v>0</v>
      </c>
      <c r="O643" t="n">
        <v>0</v>
      </c>
      <c r="P643" t="n">
        <v>0</v>
      </c>
      <c r="Q643" t="n">
        <v>0</v>
      </c>
      <c r="R643" s="2" t="inlineStr"/>
    </row>
    <row r="644" ht="15" customHeight="1">
      <c r="A644" t="inlineStr">
        <is>
          <t>A 30406-2023</t>
        </is>
      </c>
      <c r="B644" s="1" t="n">
        <v>45111.48787037037</v>
      </c>
      <c r="C644" s="1" t="n">
        <v>45925</v>
      </c>
      <c r="D644" t="inlineStr">
        <is>
          <t>KALMAR LÄN</t>
        </is>
      </c>
      <c r="E644" t="inlineStr">
        <is>
          <t>VIMMERBY</t>
        </is>
      </c>
      <c r="G644" t="n">
        <v>2.4</v>
      </c>
      <c r="H644" t="n">
        <v>0</v>
      </c>
      <c r="I644" t="n">
        <v>0</v>
      </c>
      <c r="J644" t="n">
        <v>0</v>
      </c>
      <c r="K644" t="n">
        <v>0</v>
      </c>
      <c r="L644" t="n">
        <v>0</v>
      </c>
      <c r="M644" t="n">
        <v>0</v>
      </c>
      <c r="N644" t="n">
        <v>0</v>
      </c>
      <c r="O644" t="n">
        <v>0</v>
      </c>
      <c r="P644" t="n">
        <v>0</v>
      </c>
      <c r="Q644" t="n">
        <v>0</v>
      </c>
      <c r="R644" s="2" t="inlineStr"/>
    </row>
    <row r="645" ht="15" customHeight="1">
      <c r="A645" t="inlineStr">
        <is>
          <t>A 25234-2023</t>
        </is>
      </c>
      <c r="B645" s="1" t="n">
        <v>45086.63194444445</v>
      </c>
      <c r="C645" s="1" t="n">
        <v>45925</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25236-2023</t>
        </is>
      </c>
      <c r="B646" s="1" t="n">
        <v>45086.63334490741</v>
      </c>
      <c r="C646" s="1" t="n">
        <v>45925</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25244-2023</t>
        </is>
      </c>
      <c r="B647" s="1" t="n">
        <v>45086</v>
      </c>
      <c r="C647" s="1" t="n">
        <v>45925</v>
      </c>
      <c r="D647" t="inlineStr">
        <is>
          <t>KALMAR LÄN</t>
        </is>
      </c>
      <c r="E647" t="inlineStr">
        <is>
          <t>VIMMERBY</t>
        </is>
      </c>
      <c r="G647" t="n">
        <v>4.7</v>
      </c>
      <c r="H647" t="n">
        <v>0</v>
      </c>
      <c r="I647" t="n">
        <v>0</v>
      </c>
      <c r="J647" t="n">
        <v>0</v>
      </c>
      <c r="K647" t="n">
        <v>0</v>
      </c>
      <c r="L647" t="n">
        <v>0</v>
      </c>
      <c r="M647" t="n">
        <v>0</v>
      </c>
      <c r="N647" t="n">
        <v>0</v>
      </c>
      <c r="O647" t="n">
        <v>0</v>
      </c>
      <c r="P647" t="n">
        <v>0</v>
      </c>
      <c r="Q647" t="n">
        <v>0</v>
      </c>
      <c r="R647" s="2" t="inlineStr"/>
    </row>
    <row r="648" ht="15" customHeight="1">
      <c r="A648" t="inlineStr">
        <is>
          <t>A 29020-2024</t>
        </is>
      </c>
      <c r="B648" s="1" t="n">
        <v>45481.58048611111</v>
      </c>
      <c r="C648" s="1" t="n">
        <v>45925</v>
      </c>
      <c r="D648" t="inlineStr">
        <is>
          <t>KALMAR LÄN</t>
        </is>
      </c>
      <c r="E648" t="inlineStr">
        <is>
          <t>VIMMERBY</t>
        </is>
      </c>
      <c r="G648" t="n">
        <v>2.3</v>
      </c>
      <c r="H648" t="n">
        <v>0</v>
      </c>
      <c r="I648" t="n">
        <v>0</v>
      </c>
      <c r="J648" t="n">
        <v>0</v>
      </c>
      <c r="K648" t="n">
        <v>0</v>
      </c>
      <c r="L648" t="n">
        <v>0</v>
      </c>
      <c r="M648" t="n">
        <v>0</v>
      </c>
      <c r="N648" t="n">
        <v>0</v>
      </c>
      <c r="O648" t="n">
        <v>0</v>
      </c>
      <c r="P648" t="n">
        <v>0</v>
      </c>
      <c r="Q648" t="n">
        <v>0</v>
      </c>
      <c r="R648" s="2" t="inlineStr"/>
    </row>
    <row r="649" ht="15" customHeight="1">
      <c r="A649" t="inlineStr">
        <is>
          <t>A 23341-2022</t>
        </is>
      </c>
      <c r="B649" s="1" t="n">
        <v>44720.53898148148</v>
      </c>
      <c r="C649" s="1" t="n">
        <v>45925</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8086-2021</t>
        </is>
      </c>
      <c r="B650" s="1" t="n">
        <v>44243</v>
      </c>
      <c r="C650" s="1" t="n">
        <v>45925</v>
      </c>
      <c r="D650" t="inlineStr">
        <is>
          <t>KALMAR LÄN</t>
        </is>
      </c>
      <c r="E650" t="inlineStr">
        <is>
          <t>VIMMERBY</t>
        </is>
      </c>
      <c r="G650" t="n">
        <v>4.1</v>
      </c>
      <c r="H650" t="n">
        <v>0</v>
      </c>
      <c r="I650" t="n">
        <v>0</v>
      </c>
      <c r="J650" t="n">
        <v>0</v>
      </c>
      <c r="K650" t="n">
        <v>0</v>
      </c>
      <c r="L650" t="n">
        <v>0</v>
      </c>
      <c r="M650" t="n">
        <v>0</v>
      </c>
      <c r="N650" t="n">
        <v>0</v>
      </c>
      <c r="O650" t="n">
        <v>0</v>
      </c>
      <c r="P650" t="n">
        <v>0</v>
      </c>
      <c r="Q650" t="n">
        <v>0</v>
      </c>
      <c r="R650" s="2" t="inlineStr"/>
    </row>
    <row r="651" ht="15" customHeight="1">
      <c r="A651" t="inlineStr">
        <is>
          <t>A 71793-2021</t>
        </is>
      </c>
      <c r="B651" s="1" t="n">
        <v>44539</v>
      </c>
      <c r="C651" s="1" t="n">
        <v>45925</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73938-2021</t>
        </is>
      </c>
      <c r="B652" s="1" t="n">
        <v>44553</v>
      </c>
      <c r="C652" s="1" t="n">
        <v>45925</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6069-2023</t>
        </is>
      </c>
      <c r="B653" s="1" t="n">
        <v>44964.5115162037</v>
      </c>
      <c r="C653" s="1" t="n">
        <v>45925</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50995-2022</t>
        </is>
      </c>
      <c r="B654" s="1" t="n">
        <v>44867</v>
      </c>
      <c r="C654" s="1" t="n">
        <v>45925</v>
      </c>
      <c r="D654" t="inlineStr">
        <is>
          <t>KALMAR LÄN</t>
        </is>
      </c>
      <c r="E654" t="inlineStr">
        <is>
          <t>VIMMERBY</t>
        </is>
      </c>
      <c r="G654" t="n">
        <v>2.4</v>
      </c>
      <c r="H654" t="n">
        <v>0</v>
      </c>
      <c r="I654" t="n">
        <v>0</v>
      </c>
      <c r="J654" t="n">
        <v>0</v>
      </c>
      <c r="K654" t="n">
        <v>0</v>
      </c>
      <c r="L654" t="n">
        <v>0</v>
      </c>
      <c r="M654" t="n">
        <v>0</v>
      </c>
      <c r="N654" t="n">
        <v>0</v>
      </c>
      <c r="O654" t="n">
        <v>0</v>
      </c>
      <c r="P654" t="n">
        <v>0</v>
      </c>
      <c r="Q654" t="n">
        <v>0</v>
      </c>
      <c r="R654" s="2" t="inlineStr"/>
    </row>
    <row r="655" ht="15" customHeight="1">
      <c r="A655" t="inlineStr">
        <is>
          <t>A 25582-2024</t>
        </is>
      </c>
      <c r="B655" s="1" t="n">
        <v>45463</v>
      </c>
      <c r="C655" s="1" t="n">
        <v>45925</v>
      </c>
      <c r="D655" t="inlineStr">
        <is>
          <t>KALMAR LÄN</t>
        </is>
      </c>
      <c r="E655" t="inlineStr">
        <is>
          <t>VIMMERBY</t>
        </is>
      </c>
      <c r="G655" t="n">
        <v>1.4</v>
      </c>
      <c r="H655" t="n">
        <v>0</v>
      </c>
      <c r="I655" t="n">
        <v>0</v>
      </c>
      <c r="J655" t="n">
        <v>0</v>
      </c>
      <c r="K655" t="n">
        <v>0</v>
      </c>
      <c r="L655" t="n">
        <v>0</v>
      </c>
      <c r="M655" t="n">
        <v>0</v>
      </c>
      <c r="N655" t="n">
        <v>0</v>
      </c>
      <c r="O655" t="n">
        <v>0</v>
      </c>
      <c r="P655" t="n">
        <v>0</v>
      </c>
      <c r="Q655" t="n">
        <v>0</v>
      </c>
      <c r="R655" s="2" t="inlineStr"/>
    </row>
    <row r="656" ht="15" customHeight="1">
      <c r="A656" t="inlineStr">
        <is>
          <t>A 57578-2024</t>
        </is>
      </c>
      <c r="B656" s="1" t="n">
        <v>45630.47564814815</v>
      </c>
      <c r="C656" s="1" t="n">
        <v>45925</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27122-2023</t>
        </is>
      </c>
      <c r="B657" s="1" t="n">
        <v>45096.45247685185</v>
      </c>
      <c r="C657" s="1" t="n">
        <v>45925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30402-2023</t>
        </is>
      </c>
      <c r="B658" s="1" t="n">
        <v>45111.48395833333</v>
      </c>
      <c r="C658" s="1" t="n">
        <v>45925</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47842-2024</t>
        </is>
      </c>
      <c r="B659" s="1" t="n">
        <v>45588.65545138889</v>
      </c>
      <c r="C659" s="1" t="n">
        <v>45925</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6857-2023</t>
        </is>
      </c>
      <c r="B660" s="1" t="n">
        <v>44967.45122685185</v>
      </c>
      <c r="C660" s="1" t="n">
        <v>45925</v>
      </c>
      <c r="D660" t="inlineStr">
        <is>
          <t>KALMAR LÄN</t>
        </is>
      </c>
      <c r="E660" t="inlineStr">
        <is>
          <t>VIMMERBY</t>
        </is>
      </c>
      <c r="G660" t="n">
        <v>2.1</v>
      </c>
      <c r="H660" t="n">
        <v>0</v>
      </c>
      <c r="I660" t="n">
        <v>0</v>
      </c>
      <c r="J660" t="n">
        <v>0</v>
      </c>
      <c r="K660" t="n">
        <v>0</v>
      </c>
      <c r="L660" t="n">
        <v>0</v>
      </c>
      <c r="M660" t="n">
        <v>0</v>
      </c>
      <c r="N660" t="n">
        <v>0</v>
      </c>
      <c r="O660" t="n">
        <v>0</v>
      </c>
      <c r="P660" t="n">
        <v>0</v>
      </c>
      <c r="Q660" t="n">
        <v>0</v>
      </c>
      <c r="R660" s="2" t="inlineStr"/>
    </row>
    <row r="661" ht="15" customHeight="1">
      <c r="A661" t="inlineStr">
        <is>
          <t>A 22399-2025</t>
        </is>
      </c>
      <c r="B661" s="1" t="n">
        <v>45786.52996527778</v>
      </c>
      <c r="C661" s="1" t="n">
        <v>45925</v>
      </c>
      <c r="D661" t="inlineStr">
        <is>
          <t>KALMAR LÄN</t>
        </is>
      </c>
      <c r="E661" t="inlineStr">
        <is>
          <t>VIMMERBY</t>
        </is>
      </c>
      <c r="G661" t="n">
        <v>2.1</v>
      </c>
      <c r="H661" t="n">
        <v>0</v>
      </c>
      <c r="I661" t="n">
        <v>0</v>
      </c>
      <c r="J661" t="n">
        <v>0</v>
      </c>
      <c r="K661" t="n">
        <v>0</v>
      </c>
      <c r="L661" t="n">
        <v>0</v>
      </c>
      <c r="M661" t="n">
        <v>0</v>
      </c>
      <c r="N661" t="n">
        <v>0</v>
      </c>
      <c r="O661" t="n">
        <v>0</v>
      </c>
      <c r="P661" t="n">
        <v>0</v>
      </c>
      <c r="Q661" t="n">
        <v>0</v>
      </c>
      <c r="R661" s="2" t="inlineStr"/>
    </row>
    <row r="662" ht="15" customHeight="1">
      <c r="A662" t="inlineStr">
        <is>
          <t>A 46224-2024</t>
        </is>
      </c>
      <c r="B662" s="1" t="n">
        <v>45581.57016203704</v>
      </c>
      <c r="C662" s="1" t="n">
        <v>45925</v>
      </c>
      <c r="D662" t="inlineStr">
        <is>
          <t>KALMAR LÄN</t>
        </is>
      </c>
      <c r="E662" t="inlineStr">
        <is>
          <t>VIMMERBY</t>
        </is>
      </c>
      <c r="G662" t="n">
        <v>3.1</v>
      </c>
      <c r="H662" t="n">
        <v>0</v>
      </c>
      <c r="I662" t="n">
        <v>0</v>
      </c>
      <c r="J662" t="n">
        <v>0</v>
      </c>
      <c r="K662" t="n">
        <v>0</v>
      </c>
      <c r="L662" t="n">
        <v>0</v>
      </c>
      <c r="M662" t="n">
        <v>0</v>
      </c>
      <c r="N662" t="n">
        <v>0</v>
      </c>
      <c r="O662" t="n">
        <v>0</v>
      </c>
      <c r="P662" t="n">
        <v>0</v>
      </c>
      <c r="Q662" t="n">
        <v>0</v>
      </c>
      <c r="R662" s="2" t="inlineStr"/>
    </row>
    <row r="663" ht="15" customHeight="1">
      <c r="A663" t="inlineStr">
        <is>
          <t>A 29013-2024</t>
        </is>
      </c>
      <c r="B663" s="1" t="n">
        <v>45481.55984953704</v>
      </c>
      <c r="C663" s="1" t="n">
        <v>45925</v>
      </c>
      <c r="D663" t="inlineStr">
        <is>
          <t>KALMAR LÄN</t>
        </is>
      </c>
      <c r="E663" t="inlineStr">
        <is>
          <t>VIMMERBY</t>
        </is>
      </c>
      <c r="G663" t="n">
        <v>3.4</v>
      </c>
      <c r="H663" t="n">
        <v>0</v>
      </c>
      <c r="I663" t="n">
        <v>0</v>
      </c>
      <c r="J663" t="n">
        <v>0</v>
      </c>
      <c r="K663" t="n">
        <v>0</v>
      </c>
      <c r="L663" t="n">
        <v>0</v>
      </c>
      <c r="M663" t="n">
        <v>0</v>
      </c>
      <c r="N663" t="n">
        <v>0</v>
      </c>
      <c r="O663" t="n">
        <v>0</v>
      </c>
      <c r="P663" t="n">
        <v>0</v>
      </c>
      <c r="Q663" t="n">
        <v>0</v>
      </c>
      <c r="R663" s="2" t="inlineStr"/>
    </row>
    <row r="664" ht="15" customHeight="1">
      <c r="A664" t="inlineStr">
        <is>
          <t>A 22397-2025</t>
        </is>
      </c>
      <c r="B664" s="1" t="n">
        <v>45786.52878472222</v>
      </c>
      <c r="C664" s="1" t="n">
        <v>45925</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37028-2024</t>
        </is>
      </c>
      <c r="B665" s="1" t="n">
        <v>45539.38744212963</v>
      </c>
      <c r="C665" s="1" t="n">
        <v>45925</v>
      </c>
      <c r="D665" t="inlineStr">
        <is>
          <t>KALMAR LÄN</t>
        </is>
      </c>
      <c r="E665" t="inlineStr">
        <is>
          <t>VIMMERBY</t>
        </is>
      </c>
      <c r="G665" t="n">
        <v>5.2</v>
      </c>
      <c r="H665" t="n">
        <v>0</v>
      </c>
      <c r="I665" t="n">
        <v>0</v>
      </c>
      <c r="J665" t="n">
        <v>0</v>
      </c>
      <c r="K665" t="n">
        <v>0</v>
      </c>
      <c r="L665" t="n">
        <v>0</v>
      </c>
      <c r="M665" t="n">
        <v>0</v>
      </c>
      <c r="N665" t="n">
        <v>0</v>
      </c>
      <c r="O665" t="n">
        <v>0</v>
      </c>
      <c r="P665" t="n">
        <v>0</v>
      </c>
      <c r="Q665" t="n">
        <v>0</v>
      </c>
      <c r="R665" s="2" t="inlineStr"/>
    </row>
    <row r="666" ht="15" customHeight="1">
      <c r="A666" t="inlineStr">
        <is>
          <t>A 37187-2024</t>
        </is>
      </c>
      <c r="B666" s="1" t="n">
        <v>45539.65212962963</v>
      </c>
      <c r="C666" s="1" t="n">
        <v>45925</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11442-2025</t>
        </is>
      </c>
      <c r="B667" s="1" t="n">
        <v>45726.62721064815</v>
      </c>
      <c r="C667" s="1" t="n">
        <v>45925</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6307-2025</t>
        </is>
      </c>
      <c r="B668" s="1" t="n">
        <v>45698.69016203703</v>
      </c>
      <c r="C668" s="1" t="n">
        <v>45925</v>
      </c>
      <c r="D668" t="inlineStr">
        <is>
          <t>KALMAR LÄN</t>
        </is>
      </c>
      <c r="E668" t="inlineStr">
        <is>
          <t>VIMMERBY</t>
        </is>
      </c>
      <c r="G668" t="n">
        <v>3</v>
      </c>
      <c r="H668" t="n">
        <v>0</v>
      </c>
      <c r="I668" t="n">
        <v>0</v>
      </c>
      <c r="J668" t="n">
        <v>0</v>
      </c>
      <c r="K668" t="n">
        <v>0</v>
      </c>
      <c r="L668" t="n">
        <v>0</v>
      </c>
      <c r="M668" t="n">
        <v>0</v>
      </c>
      <c r="N668" t="n">
        <v>0</v>
      </c>
      <c r="O668" t="n">
        <v>0</v>
      </c>
      <c r="P668" t="n">
        <v>0</v>
      </c>
      <c r="Q668" t="n">
        <v>0</v>
      </c>
      <c r="R668" s="2" t="inlineStr"/>
    </row>
    <row r="669" ht="15" customHeight="1">
      <c r="A669" t="inlineStr">
        <is>
          <t>A 23394-2025</t>
        </is>
      </c>
      <c r="B669" s="1" t="n">
        <v>45791.89865740741</v>
      </c>
      <c r="C669" s="1" t="n">
        <v>45925</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12630-2023</t>
        </is>
      </c>
      <c r="B670" s="1" t="n">
        <v>45000.47998842593</v>
      </c>
      <c r="C670" s="1" t="n">
        <v>45925</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39584-2024</t>
        </is>
      </c>
      <c r="B671" s="1" t="n">
        <v>45552.36759259259</v>
      </c>
      <c r="C671" s="1" t="n">
        <v>45925</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27705-2023</t>
        </is>
      </c>
      <c r="B672" s="1" t="n">
        <v>45098.30535879629</v>
      </c>
      <c r="C672" s="1" t="n">
        <v>45925</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23984-2025</t>
        </is>
      </c>
      <c r="B673" s="1" t="n">
        <v>45796</v>
      </c>
      <c r="C673" s="1" t="n">
        <v>45925</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31013-2023</t>
        </is>
      </c>
      <c r="B674" s="1" t="n">
        <v>45113.56574074074</v>
      </c>
      <c r="C674" s="1" t="n">
        <v>45925</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15388-2025</t>
        </is>
      </c>
      <c r="B675" s="1" t="n">
        <v>45747.42633101852</v>
      </c>
      <c r="C675" s="1" t="n">
        <v>45925</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15391-2025</t>
        </is>
      </c>
      <c r="B676" s="1" t="n">
        <v>45747.42958333333</v>
      </c>
      <c r="C676" s="1" t="n">
        <v>45925</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11303-2025</t>
        </is>
      </c>
      <c r="B677" s="1" t="n">
        <v>45726.44471064815</v>
      </c>
      <c r="C677" s="1" t="n">
        <v>45925</v>
      </c>
      <c r="D677" t="inlineStr">
        <is>
          <t>KALMAR LÄN</t>
        </is>
      </c>
      <c r="E677" t="inlineStr">
        <is>
          <t>VIMMERBY</t>
        </is>
      </c>
      <c r="G677" t="n">
        <v>2.1</v>
      </c>
      <c r="H677" t="n">
        <v>0</v>
      </c>
      <c r="I677" t="n">
        <v>0</v>
      </c>
      <c r="J677" t="n">
        <v>0</v>
      </c>
      <c r="K677" t="n">
        <v>0</v>
      </c>
      <c r="L677" t="n">
        <v>0</v>
      </c>
      <c r="M677" t="n">
        <v>0</v>
      </c>
      <c r="N677" t="n">
        <v>0</v>
      </c>
      <c r="O677" t="n">
        <v>0</v>
      </c>
      <c r="P677" t="n">
        <v>0</v>
      </c>
      <c r="Q677" t="n">
        <v>0</v>
      </c>
      <c r="R677" s="2" t="inlineStr"/>
    </row>
    <row r="678" ht="15" customHeight="1">
      <c r="A678" t="inlineStr">
        <is>
          <t>A 33352-2022</t>
        </is>
      </c>
      <c r="B678" s="1" t="n">
        <v>44788</v>
      </c>
      <c r="C678" s="1" t="n">
        <v>45925</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46234-2024</t>
        </is>
      </c>
      <c r="B679" s="1" t="n">
        <v>45581.57958333333</v>
      </c>
      <c r="C679" s="1" t="n">
        <v>45925</v>
      </c>
      <c r="D679" t="inlineStr">
        <is>
          <t>KALMAR LÄN</t>
        </is>
      </c>
      <c r="E679" t="inlineStr">
        <is>
          <t>VIMMERBY</t>
        </is>
      </c>
      <c r="G679" t="n">
        <v>0.6</v>
      </c>
      <c r="H679" t="n">
        <v>0</v>
      </c>
      <c r="I679" t="n">
        <v>0</v>
      </c>
      <c r="J679" t="n">
        <v>0</v>
      </c>
      <c r="K679" t="n">
        <v>0</v>
      </c>
      <c r="L679" t="n">
        <v>0</v>
      </c>
      <c r="M679" t="n">
        <v>0</v>
      </c>
      <c r="N679" t="n">
        <v>0</v>
      </c>
      <c r="O679" t="n">
        <v>0</v>
      </c>
      <c r="P679" t="n">
        <v>0</v>
      </c>
      <c r="Q679" t="n">
        <v>0</v>
      </c>
      <c r="R679" s="2" t="inlineStr"/>
    </row>
    <row r="680" ht="15" customHeight="1">
      <c r="A680" t="inlineStr">
        <is>
          <t>A 39053-2024</t>
        </is>
      </c>
      <c r="B680" s="1" t="n">
        <v>45548</v>
      </c>
      <c r="C680" s="1" t="n">
        <v>45925</v>
      </c>
      <c r="D680" t="inlineStr">
        <is>
          <t>KALMAR LÄN</t>
        </is>
      </c>
      <c r="E680" t="inlineStr">
        <is>
          <t>VIMMERBY</t>
        </is>
      </c>
      <c r="G680" t="n">
        <v>5</v>
      </c>
      <c r="H680" t="n">
        <v>0</v>
      </c>
      <c r="I680" t="n">
        <v>0</v>
      </c>
      <c r="J680" t="n">
        <v>0</v>
      </c>
      <c r="K680" t="n">
        <v>0</v>
      </c>
      <c r="L680" t="n">
        <v>0</v>
      </c>
      <c r="M680" t="n">
        <v>0</v>
      </c>
      <c r="N680" t="n">
        <v>0</v>
      </c>
      <c r="O680" t="n">
        <v>0</v>
      </c>
      <c r="P680" t="n">
        <v>0</v>
      </c>
      <c r="Q680" t="n">
        <v>0</v>
      </c>
      <c r="R680" s="2" t="inlineStr"/>
    </row>
    <row r="681" ht="15" customHeight="1">
      <c r="A681" t="inlineStr">
        <is>
          <t>A 15449-2023</t>
        </is>
      </c>
      <c r="B681" s="1" t="n">
        <v>45020</v>
      </c>
      <c r="C681" s="1" t="n">
        <v>45925</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43594-2024</t>
        </is>
      </c>
      <c r="B682" s="1" t="n">
        <v>45569.44295138889</v>
      </c>
      <c r="C682" s="1" t="n">
        <v>45925</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17486-2024</t>
        </is>
      </c>
      <c r="B683" s="1" t="n">
        <v>45415.48979166667</v>
      </c>
      <c r="C683" s="1" t="n">
        <v>45925</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14248-2023</t>
        </is>
      </c>
      <c r="B684" s="1" t="n">
        <v>45009</v>
      </c>
      <c r="C684" s="1" t="n">
        <v>45925</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30400-2023</t>
        </is>
      </c>
      <c r="B685" s="1" t="n">
        <v>45111.48225694444</v>
      </c>
      <c r="C685" s="1" t="n">
        <v>45925</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30404-2023</t>
        </is>
      </c>
      <c r="B686" s="1" t="n">
        <v>45111.48636574074</v>
      </c>
      <c r="C686" s="1" t="n">
        <v>45925</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55123-2024</t>
        </is>
      </c>
      <c r="B687" s="1" t="n">
        <v>45621.46103009259</v>
      </c>
      <c r="C687" s="1" t="n">
        <v>45925</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31405-2023</t>
        </is>
      </c>
      <c r="B688" s="1" t="n">
        <v>45114.58148148148</v>
      </c>
      <c r="C688" s="1" t="n">
        <v>45925</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51278-2024</t>
        </is>
      </c>
      <c r="B689" s="1" t="n">
        <v>45603.74959490741</v>
      </c>
      <c r="C689" s="1" t="n">
        <v>45925</v>
      </c>
      <c r="D689" t="inlineStr">
        <is>
          <t>KALMAR LÄN</t>
        </is>
      </c>
      <c r="E689" t="inlineStr">
        <is>
          <t>VIMMERBY</t>
        </is>
      </c>
      <c r="G689" t="n">
        <v>3.4</v>
      </c>
      <c r="H689" t="n">
        <v>0</v>
      </c>
      <c r="I689" t="n">
        <v>0</v>
      </c>
      <c r="J689" t="n">
        <v>0</v>
      </c>
      <c r="K689" t="n">
        <v>0</v>
      </c>
      <c r="L689" t="n">
        <v>0</v>
      </c>
      <c r="M689" t="n">
        <v>0</v>
      </c>
      <c r="N689" t="n">
        <v>0</v>
      </c>
      <c r="O689" t="n">
        <v>0</v>
      </c>
      <c r="P689" t="n">
        <v>0</v>
      </c>
      <c r="Q689" t="n">
        <v>0</v>
      </c>
      <c r="R689" s="2" t="inlineStr"/>
    </row>
    <row r="690" ht="15" customHeight="1">
      <c r="A690" t="inlineStr">
        <is>
          <t>A 24707-2024</t>
        </is>
      </c>
      <c r="B690" s="1" t="n">
        <v>45460.62172453704</v>
      </c>
      <c r="C690" s="1" t="n">
        <v>45925</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35082-2024</t>
        </is>
      </c>
      <c r="B691" s="1" t="n">
        <v>45527.68784722222</v>
      </c>
      <c r="C691" s="1" t="n">
        <v>45925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44582-2024</t>
        </is>
      </c>
      <c r="B692" s="1" t="n">
        <v>45574.49298611111</v>
      </c>
      <c r="C692" s="1" t="n">
        <v>45925</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9456-2025</t>
        </is>
      </c>
      <c r="B693" s="1" t="n">
        <v>45715.44159722222</v>
      </c>
      <c r="C693" s="1" t="n">
        <v>45925</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36049-2024</t>
        </is>
      </c>
      <c r="B694" s="1" t="n">
        <v>45533.61996527778</v>
      </c>
      <c r="C694" s="1" t="n">
        <v>45925</v>
      </c>
      <c r="D694" t="inlineStr">
        <is>
          <t>KALMAR LÄN</t>
        </is>
      </c>
      <c r="E694" t="inlineStr">
        <is>
          <t>VIMMERBY</t>
        </is>
      </c>
      <c r="F694" t="inlineStr">
        <is>
          <t>Kommuner</t>
        </is>
      </c>
      <c r="G694" t="n">
        <v>2.6</v>
      </c>
      <c r="H694" t="n">
        <v>0</v>
      </c>
      <c r="I694" t="n">
        <v>0</v>
      </c>
      <c r="J694" t="n">
        <v>0</v>
      </c>
      <c r="K694" t="n">
        <v>0</v>
      </c>
      <c r="L694" t="n">
        <v>0</v>
      </c>
      <c r="M694" t="n">
        <v>0</v>
      </c>
      <c r="N694" t="n">
        <v>0</v>
      </c>
      <c r="O694" t="n">
        <v>0</v>
      </c>
      <c r="P694" t="n">
        <v>0</v>
      </c>
      <c r="Q694" t="n">
        <v>0</v>
      </c>
      <c r="R694" s="2" t="inlineStr"/>
    </row>
    <row r="695" ht="15" customHeight="1">
      <c r="A695" t="inlineStr">
        <is>
          <t>A 11111-2023</t>
        </is>
      </c>
      <c r="B695" s="1" t="n">
        <v>44992.4255787037</v>
      </c>
      <c r="C695" s="1" t="n">
        <v>45925</v>
      </c>
      <c r="D695" t="inlineStr">
        <is>
          <t>KALMAR LÄN</t>
        </is>
      </c>
      <c r="E695" t="inlineStr">
        <is>
          <t>VIMMERBY</t>
        </is>
      </c>
      <c r="G695" t="n">
        <v>0.8</v>
      </c>
      <c r="H695" t="n">
        <v>0</v>
      </c>
      <c r="I695" t="n">
        <v>0</v>
      </c>
      <c r="J695" t="n">
        <v>0</v>
      </c>
      <c r="K695" t="n">
        <v>0</v>
      </c>
      <c r="L695" t="n">
        <v>0</v>
      </c>
      <c r="M695" t="n">
        <v>0</v>
      </c>
      <c r="N695" t="n">
        <v>0</v>
      </c>
      <c r="O695" t="n">
        <v>0</v>
      </c>
      <c r="P695" t="n">
        <v>0</v>
      </c>
      <c r="Q695" t="n">
        <v>0</v>
      </c>
      <c r="R695" s="2" t="inlineStr"/>
    </row>
    <row r="696" ht="15" customHeight="1">
      <c r="A696" t="inlineStr">
        <is>
          <t>A 58724-2024</t>
        </is>
      </c>
      <c r="B696" s="1" t="n">
        <v>45635.66409722222</v>
      </c>
      <c r="C696" s="1" t="n">
        <v>45925</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58159-2024</t>
        </is>
      </c>
      <c r="B697" s="1" t="n">
        <v>45632.44886574074</v>
      </c>
      <c r="C697" s="1" t="n">
        <v>45925</v>
      </c>
      <c r="D697" t="inlineStr">
        <is>
          <t>KALMAR LÄN</t>
        </is>
      </c>
      <c r="E697" t="inlineStr">
        <is>
          <t>VIMMERBY</t>
        </is>
      </c>
      <c r="G697" t="n">
        <v>7.5</v>
      </c>
      <c r="H697" t="n">
        <v>0</v>
      </c>
      <c r="I697" t="n">
        <v>0</v>
      </c>
      <c r="J697" t="n">
        <v>0</v>
      </c>
      <c r="K697" t="n">
        <v>0</v>
      </c>
      <c r="L697" t="n">
        <v>0</v>
      </c>
      <c r="M697" t="n">
        <v>0</v>
      </c>
      <c r="N697" t="n">
        <v>0</v>
      </c>
      <c r="O697" t="n">
        <v>0</v>
      </c>
      <c r="P697" t="n">
        <v>0</v>
      </c>
      <c r="Q697" t="n">
        <v>0</v>
      </c>
      <c r="R697" s="2" t="inlineStr"/>
    </row>
    <row r="698" ht="15" customHeight="1">
      <c r="A698" t="inlineStr">
        <is>
          <t>A 15494-2024</t>
        </is>
      </c>
      <c r="B698" s="1" t="n">
        <v>45401.53033564815</v>
      </c>
      <c r="C698" s="1" t="n">
        <v>45925</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14359-2025</t>
        </is>
      </c>
      <c r="B699" s="1" t="n">
        <v>45741.37270833334</v>
      </c>
      <c r="C699" s="1" t="n">
        <v>45925</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26039-2025</t>
        </is>
      </c>
      <c r="B700" s="1" t="n">
        <v>45804.6953587963</v>
      </c>
      <c r="C700" s="1" t="n">
        <v>45925</v>
      </c>
      <c r="D700" t="inlineStr">
        <is>
          <t>KALMAR LÄN</t>
        </is>
      </c>
      <c r="E700" t="inlineStr">
        <is>
          <t>VIMMERBY</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26046-2025</t>
        </is>
      </c>
      <c r="B701" s="1" t="n">
        <v>45804.708125</v>
      </c>
      <c r="C701" s="1" t="n">
        <v>45925</v>
      </c>
      <c r="D701" t="inlineStr">
        <is>
          <t>KALMAR LÄN</t>
        </is>
      </c>
      <c r="E701" t="inlineStr">
        <is>
          <t>VIMMERBY</t>
        </is>
      </c>
      <c r="F701" t="inlineStr">
        <is>
          <t>Sveaskog</t>
        </is>
      </c>
      <c r="G701" t="n">
        <v>5.1</v>
      </c>
      <c r="H701" t="n">
        <v>0</v>
      </c>
      <c r="I701" t="n">
        <v>0</v>
      </c>
      <c r="J701" t="n">
        <v>0</v>
      </c>
      <c r="K701" t="n">
        <v>0</v>
      </c>
      <c r="L701" t="n">
        <v>0</v>
      </c>
      <c r="M701" t="n">
        <v>0</v>
      </c>
      <c r="N701" t="n">
        <v>0</v>
      </c>
      <c r="O701" t="n">
        <v>0</v>
      </c>
      <c r="P701" t="n">
        <v>0</v>
      </c>
      <c r="Q701" t="n">
        <v>0</v>
      </c>
      <c r="R701" s="2" t="inlineStr"/>
    </row>
    <row r="702" ht="15" customHeight="1">
      <c r="A702" t="inlineStr">
        <is>
          <t>A 25792-2025</t>
        </is>
      </c>
      <c r="B702" s="1" t="n">
        <v>45804.39141203704</v>
      </c>
      <c r="C702" s="1" t="n">
        <v>45925</v>
      </c>
      <c r="D702" t="inlineStr">
        <is>
          <t>KALMAR LÄN</t>
        </is>
      </c>
      <c r="E702" t="inlineStr">
        <is>
          <t>VIMMERBY</t>
        </is>
      </c>
      <c r="G702" t="n">
        <v>0.8</v>
      </c>
      <c r="H702" t="n">
        <v>0</v>
      </c>
      <c r="I702" t="n">
        <v>0</v>
      </c>
      <c r="J702" t="n">
        <v>0</v>
      </c>
      <c r="K702" t="n">
        <v>0</v>
      </c>
      <c r="L702" t="n">
        <v>0</v>
      </c>
      <c r="M702" t="n">
        <v>0</v>
      </c>
      <c r="N702" t="n">
        <v>0</v>
      </c>
      <c r="O702" t="n">
        <v>0</v>
      </c>
      <c r="P702" t="n">
        <v>0</v>
      </c>
      <c r="Q702" t="n">
        <v>0</v>
      </c>
      <c r="R702" s="2" t="inlineStr"/>
    </row>
    <row r="703" ht="15" customHeight="1">
      <c r="A703" t="inlineStr">
        <is>
          <t>A 39578-2024</t>
        </is>
      </c>
      <c r="B703" s="1" t="n">
        <v>45552.36484953704</v>
      </c>
      <c r="C703" s="1" t="n">
        <v>45925</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25830-2025</t>
        </is>
      </c>
      <c r="B704" s="1" t="n">
        <v>45804.44519675926</v>
      </c>
      <c r="C704" s="1" t="n">
        <v>45925</v>
      </c>
      <c r="D704" t="inlineStr">
        <is>
          <t>KALMAR LÄN</t>
        </is>
      </c>
      <c r="E704" t="inlineStr">
        <is>
          <t>VIMMERBY</t>
        </is>
      </c>
      <c r="G704" t="n">
        <v>4.9</v>
      </c>
      <c r="H704" t="n">
        <v>0</v>
      </c>
      <c r="I704" t="n">
        <v>0</v>
      </c>
      <c r="J704" t="n">
        <v>0</v>
      </c>
      <c r="K704" t="n">
        <v>0</v>
      </c>
      <c r="L704" t="n">
        <v>0</v>
      </c>
      <c r="M704" t="n">
        <v>0</v>
      </c>
      <c r="N704" t="n">
        <v>0</v>
      </c>
      <c r="O704" t="n">
        <v>0</v>
      </c>
      <c r="P704" t="n">
        <v>0</v>
      </c>
      <c r="Q704" t="n">
        <v>0</v>
      </c>
      <c r="R704" s="2" t="inlineStr"/>
    </row>
    <row r="705" ht="15" customHeight="1">
      <c r="A705" t="inlineStr">
        <is>
          <t>A 26124-2025</t>
        </is>
      </c>
      <c r="B705" s="1" t="n">
        <v>45805.39247685186</v>
      </c>
      <c r="C705" s="1" t="n">
        <v>45925</v>
      </c>
      <c r="D705" t="inlineStr">
        <is>
          <t>KALMAR LÄN</t>
        </is>
      </c>
      <c r="E705" t="inlineStr">
        <is>
          <t>VIMMERBY</t>
        </is>
      </c>
      <c r="G705" t="n">
        <v>6.6</v>
      </c>
      <c r="H705" t="n">
        <v>0</v>
      </c>
      <c r="I705" t="n">
        <v>0</v>
      </c>
      <c r="J705" t="n">
        <v>0</v>
      </c>
      <c r="K705" t="n">
        <v>0</v>
      </c>
      <c r="L705" t="n">
        <v>0</v>
      </c>
      <c r="M705" t="n">
        <v>0</v>
      </c>
      <c r="N705" t="n">
        <v>0</v>
      </c>
      <c r="O705" t="n">
        <v>0</v>
      </c>
      <c r="P705" t="n">
        <v>0</v>
      </c>
      <c r="Q705" t="n">
        <v>0</v>
      </c>
      <c r="R705" s="2" t="inlineStr"/>
    </row>
    <row r="706" ht="15" customHeight="1">
      <c r="A706" t="inlineStr">
        <is>
          <t>A 62779-2023</t>
        </is>
      </c>
      <c r="B706" s="1" t="n">
        <v>45271.66576388889</v>
      </c>
      <c r="C706" s="1" t="n">
        <v>45925</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26254-2025</t>
        </is>
      </c>
      <c r="B707" s="1" t="n">
        <v>45805</v>
      </c>
      <c r="C707" s="1" t="n">
        <v>45925</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45925</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3425-2022</t>
        </is>
      </c>
      <c r="B709" s="1" t="n">
        <v>44585.51060185185</v>
      </c>
      <c r="C709" s="1" t="n">
        <v>45925</v>
      </c>
      <c r="D709" t="inlineStr">
        <is>
          <t>KALMAR LÄN</t>
        </is>
      </c>
      <c r="E709" t="inlineStr">
        <is>
          <t>VIMMERBY</t>
        </is>
      </c>
      <c r="G709" t="n">
        <v>1.3</v>
      </c>
      <c r="H709" t="n">
        <v>0</v>
      </c>
      <c r="I709" t="n">
        <v>0</v>
      </c>
      <c r="J709" t="n">
        <v>0</v>
      </c>
      <c r="K709" t="n">
        <v>0</v>
      </c>
      <c r="L709" t="n">
        <v>0</v>
      </c>
      <c r="M709" t="n">
        <v>0</v>
      </c>
      <c r="N709" t="n">
        <v>0</v>
      </c>
      <c r="O709" t="n">
        <v>0</v>
      </c>
      <c r="P709" t="n">
        <v>0</v>
      </c>
      <c r="Q709" t="n">
        <v>0</v>
      </c>
      <c r="R709" s="2" t="inlineStr"/>
    </row>
    <row r="710" ht="15" customHeight="1">
      <c r="A710" t="inlineStr">
        <is>
          <t>A 43962-2024</t>
        </is>
      </c>
      <c r="B710" s="1" t="n">
        <v>45572.48293981481</v>
      </c>
      <c r="C710" s="1" t="n">
        <v>45925</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12810-2023</t>
        </is>
      </c>
      <c r="B711" s="1" t="n">
        <v>45001.43854166667</v>
      </c>
      <c r="C711" s="1" t="n">
        <v>45925</v>
      </c>
      <c r="D711" t="inlineStr">
        <is>
          <t>KALMAR LÄN</t>
        </is>
      </c>
      <c r="E711" t="inlineStr">
        <is>
          <t>VIMMERBY</t>
        </is>
      </c>
      <c r="G711" t="n">
        <v>1.5</v>
      </c>
      <c r="H711" t="n">
        <v>0</v>
      </c>
      <c r="I711" t="n">
        <v>0</v>
      </c>
      <c r="J711" t="n">
        <v>0</v>
      </c>
      <c r="K711" t="n">
        <v>0</v>
      </c>
      <c r="L711" t="n">
        <v>0</v>
      </c>
      <c r="M711" t="n">
        <v>0</v>
      </c>
      <c r="N711" t="n">
        <v>0</v>
      </c>
      <c r="O711" t="n">
        <v>0</v>
      </c>
      <c r="P711" t="n">
        <v>0</v>
      </c>
      <c r="Q711" t="n">
        <v>0</v>
      </c>
      <c r="R711" s="2" t="inlineStr"/>
    </row>
    <row r="712" ht="15" customHeight="1">
      <c r="A712" t="inlineStr">
        <is>
          <t>A 26207-2025</t>
        </is>
      </c>
      <c r="B712" s="1" t="n">
        <v>45805.52983796296</v>
      </c>
      <c r="C712" s="1" t="n">
        <v>45925</v>
      </c>
      <c r="D712" t="inlineStr">
        <is>
          <t>KALMAR LÄN</t>
        </is>
      </c>
      <c r="E712" t="inlineStr">
        <is>
          <t>VIMMERBY</t>
        </is>
      </c>
      <c r="G712" t="n">
        <v>0.7</v>
      </c>
      <c r="H712" t="n">
        <v>0</v>
      </c>
      <c r="I712" t="n">
        <v>0</v>
      </c>
      <c r="J712" t="n">
        <v>0</v>
      </c>
      <c r="K712" t="n">
        <v>0</v>
      </c>
      <c r="L712" t="n">
        <v>0</v>
      </c>
      <c r="M712" t="n">
        <v>0</v>
      </c>
      <c r="N712" t="n">
        <v>0</v>
      </c>
      <c r="O712" t="n">
        <v>0</v>
      </c>
      <c r="P712" t="n">
        <v>0</v>
      </c>
      <c r="Q712" t="n">
        <v>0</v>
      </c>
      <c r="R712" s="2" t="inlineStr"/>
    </row>
    <row r="713" ht="15" customHeight="1">
      <c r="A713" t="inlineStr">
        <is>
          <t>A 43068-2023</t>
        </is>
      </c>
      <c r="B713" s="1" t="n">
        <v>45182.78834490741</v>
      </c>
      <c r="C713" s="1" t="n">
        <v>45925</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12075-2024</t>
        </is>
      </c>
      <c r="B714" s="1" t="n">
        <v>45377</v>
      </c>
      <c r="C714" s="1" t="n">
        <v>45925</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1799-2025</t>
        </is>
      </c>
      <c r="B715" s="1" t="n">
        <v>45671.46746527778</v>
      </c>
      <c r="C715" s="1" t="n">
        <v>45925</v>
      </c>
      <c r="D715" t="inlineStr">
        <is>
          <t>KALMAR LÄN</t>
        </is>
      </c>
      <c r="E715" t="inlineStr">
        <is>
          <t>VIMMERBY</t>
        </is>
      </c>
      <c r="G715" t="n">
        <v>3.3</v>
      </c>
      <c r="H715" t="n">
        <v>0</v>
      </c>
      <c r="I715" t="n">
        <v>0</v>
      </c>
      <c r="J715" t="n">
        <v>0</v>
      </c>
      <c r="K715" t="n">
        <v>0</v>
      </c>
      <c r="L715" t="n">
        <v>0</v>
      </c>
      <c r="M715" t="n">
        <v>0</v>
      </c>
      <c r="N715" t="n">
        <v>0</v>
      </c>
      <c r="O715" t="n">
        <v>0</v>
      </c>
      <c r="P715" t="n">
        <v>0</v>
      </c>
      <c r="Q715" t="n">
        <v>0</v>
      </c>
      <c r="R715" s="2" t="inlineStr"/>
    </row>
    <row r="716" ht="15" customHeight="1">
      <c r="A716" t="inlineStr">
        <is>
          <t>A 2462-2022</t>
        </is>
      </c>
      <c r="B716" s="1" t="n">
        <v>44579.62225694444</v>
      </c>
      <c r="C716" s="1" t="n">
        <v>45925</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13015-2022</t>
        </is>
      </c>
      <c r="B717" s="1" t="n">
        <v>44643</v>
      </c>
      <c r="C717" s="1" t="n">
        <v>45925</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4624-2024</t>
        </is>
      </c>
      <c r="B718" s="1" t="n">
        <v>45328.38755787037</v>
      </c>
      <c r="C718" s="1" t="n">
        <v>45925</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9129-2025</t>
        </is>
      </c>
      <c r="B719" s="1" t="n">
        <v>45713.92412037037</v>
      </c>
      <c r="C719" s="1" t="n">
        <v>45925</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27719-2025</t>
        </is>
      </c>
      <c r="B720" s="1" t="n">
        <v>45814.3865625</v>
      </c>
      <c r="C720" s="1" t="n">
        <v>45925</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27718-2025</t>
        </is>
      </c>
      <c r="B721" s="1" t="n">
        <v>45814.38221064815</v>
      </c>
      <c r="C721" s="1" t="n">
        <v>45925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22643-2023</t>
        </is>
      </c>
      <c r="B722" s="1" t="n">
        <v>45071</v>
      </c>
      <c r="C722" s="1" t="n">
        <v>45925</v>
      </c>
      <c r="D722" t="inlineStr">
        <is>
          <t>KALMAR LÄN</t>
        </is>
      </c>
      <c r="E722" t="inlineStr">
        <is>
          <t>VIMMERBY</t>
        </is>
      </c>
      <c r="G722" t="n">
        <v>3.9</v>
      </c>
      <c r="H722" t="n">
        <v>0</v>
      </c>
      <c r="I722" t="n">
        <v>0</v>
      </c>
      <c r="J722" t="n">
        <v>0</v>
      </c>
      <c r="K722" t="n">
        <v>0</v>
      </c>
      <c r="L722" t="n">
        <v>0</v>
      </c>
      <c r="M722" t="n">
        <v>0</v>
      </c>
      <c r="N722" t="n">
        <v>0</v>
      </c>
      <c r="O722" t="n">
        <v>0</v>
      </c>
      <c r="P722" t="n">
        <v>0</v>
      </c>
      <c r="Q722" t="n">
        <v>0</v>
      </c>
      <c r="R722" s="2" t="inlineStr"/>
    </row>
    <row r="723" ht="15" customHeight="1">
      <c r="A723" t="inlineStr">
        <is>
          <t>A 28290-2025</t>
        </is>
      </c>
      <c r="B723" s="1" t="n">
        <v>45818.59261574074</v>
      </c>
      <c r="C723" s="1" t="n">
        <v>45925</v>
      </c>
      <c r="D723" t="inlineStr">
        <is>
          <t>KALMAR LÄN</t>
        </is>
      </c>
      <c r="E723" t="inlineStr">
        <is>
          <t>VIMMERBY</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28280-2025</t>
        </is>
      </c>
      <c r="B724" s="1" t="n">
        <v>45818.5862037037</v>
      </c>
      <c r="C724" s="1" t="n">
        <v>45925</v>
      </c>
      <c r="D724" t="inlineStr">
        <is>
          <t>KALMAR LÄN</t>
        </is>
      </c>
      <c r="E724" t="inlineStr">
        <is>
          <t>VIMMERBY</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28286-2025</t>
        </is>
      </c>
      <c r="B725" s="1" t="n">
        <v>45818.58993055556</v>
      </c>
      <c r="C725" s="1" t="n">
        <v>45925</v>
      </c>
      <c r="D725" t="inlineStr">
        <is>
          <t>KALMAR LÄN</t>
        </is>
      </c>
      <c r="E725" t="inlineStr">
        <is>
          <t>VIMMERBY</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34597-2022</t>
        </is>
      </c>
      <c r="B726" s="1" t="n">
        <v>44795</v>
      </c>
      <c r="C726" s="1" t="n">
        <v>45925</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28282-2025</t>
        </is>
      </c>
      <c r="B727" s="1" t="n">
        <v>45818.58769675926</v>
      </c>
      <c r="C727" s="1" t="n">
        <v>45925</v>
      </c>
      <c r="D727" t="inlineStr">
        <is>
          <t>KALMAR LÄN</t>
        </is>
      </c>
      <c r="E727" t="inlineStr">
        <is>
          <t>VIMMERBY</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28294-2025</t>
        </is>
      </c>
      <c r="B728" s="1" t="n">
        <v>45818.595625</v>
      </c>
      <c r="C728" s="1" t="n">
        <v>45925</v>
      </c>
      <c r="D728" t="inlineStr">
        <is>
          <t>KALMAR LÄN</t>
        </is>
      </c>
      <c r="E728" t="inlineStr">
        <is>
          <t>VIMMERBY</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40079-2023</t>
        </is>
      </c>
      <c r="B729" s="1" t="n">
        <v>45168.89298611111</v>
      </c>
      <c r="C729" s="1" t="n">
        <v>45925</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19833-2023</t>
        </is>
      </c>
      <c r="B730" s="1" t="n">
        <v>45052</v>
      </c>
      <c r="C730" s="1" t="n">
        <v>45925</v>
      </c>
      <c r="D730" t="inlineStr">
        <is>
          <t>KALMAR LÄN</t>
        </is>
      </c>
      <c r="E730" t="inlineStr">
        <is>
          <t>VIMMERBY</t>
        </is>
      </c>
      <c r="G730" t="n">
        <v>6.7</v>
      </c>
      <c r="H730" t="n">
        <v>0</v>
      </c>
      <c r="I730" t="n">
        <v>0</v>
      </c>
      <c r="J730" t="n">
        <v>0</v>
      </c>
      <c r="K730" t="n">
        <v>0</v>
      </c>
      <c r="L730" t="n">
        <v>0</v>
      </c>
      <c r="M730" t="n">
        <v>0</v>
      </c>
      <c r="N730" t="n">
        <v>0</v>
      </c>
      <c r="O730" t="n">
        <v>0</v>
      </c>
      <c r="P730" t="n">
        <v>0</v>
      </c>
      <c r="Q730" t="n">
        <v>0</v>
      </c>
      <c r="R730" s="2" t="inlineStr"/>
    </row>
    <row r="731" ht="15" customHeight="1">
      <c r="A731" t="inlineStr">
        <is>
          <t>A 28713-2025</t>
        </is>
      </c>
      <c r="B731" s="1" t="n">
        <v>45820.33930555556</v>
      </c>
      <c r="C731" s="1" t="n">
        <v>45925</v>
      </c>
      <c r="D731" t="inlineStr">
        <is>
          <t>KALMAR LÄN</t>
        </is>
      </c>
      <c r="E731" t="inlineStr">
        <is>
          <t>VIMMERBY</t>
        </is>
      </c>
      <c r="G731" t="n">
        <v>2.3</v>
      </c>
      <c r="H731" t="n">
        <v>0</v>
      </c>
      <c r="I731" t="n">
        <v>0</v>
      </c>
      <c r="J731" t="n">
        <v>0</v>
      </c>
      <c r="K731" t="n">
        <v>0</v>
      </c>
      <c r="L731" t="n">
        <v>0</v>
      </c>
      <c r="M731" t="n">
        <v>0</v>
      </c>
      <c r="N731" t="n">
        <v>0</v>
      </c>
      <c r="O731" t="n">
        <v>0</v>
      </c>
      <c r="P731" t="n">
        <v>0</v>
      </c>
      <c r="Q731" t="n">
        <v>0</v>
      </c>
      <c r="R731" s="2" t="inlineStr"/>
    </row>
    <row r="732" ht="15" customHeight="1">
      <c r="A732" t="inlineStr">
        <is>
          <t>A 28712-2025</t>
        </is>
      </c>
      <c r="B732" s="1" t="n">
        <v>45820.33708333333</v>
      </c>
      <c r="C732" s="1" t="n">
        <v>45925</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28714-2025</t>
        </is>
      </c>
      <c r="B733" s="1" t="n">
        <v>45820.34128472222</v>
      </c>
      <c r="C733" s="1" t="n">
        <v>45925</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28620-2025</t>
        </is>
      </c>
      <c r="B734" s="1" t="n">
        <v>45819.61060185185</v>
      </c>
      <c r="C734" s="1" t="n">
        <v>45925</v>
      </c>
      <c r="D734" t="inlineStr">
        <is>
          <t>KALMAR LÄN</t>
        </is>
      </c>
      <c r="E734" t="inlineStr">
        <is>
          <t>VIMMERBY</t>
        </is>
      </c>
      <c r="G734" t="n">
        <v>5.6</v>
      </c>
      <c r="H734" t="n">
        <v>0</v>
      </c>
      <c r="I734" t="n">
        <v>0</v>
      </c>
      <c r="J734" t="n">
        <v>0</v>
      </c>
      <c r="K734" t="n">
        <v>0</v>
      </c>
      <c r="L734" t="n">
        <v>0</v>
      </c>
      <c r="M734" t="n">
        <v>0</v>
      </c>
      <c r="N734" t="n">
        <v>0</v>
      </c>
      <c r="O734" t="n">
        <v>0</v>
      </c>
      <c r="P734" t="n">
        <v>0</v>
      </c>
      <c r="Q734" t="n">
        <v>0</v>
      </c>
      <c r="R734" s="2" t="inlineStr"/>
    </row>
    <row r="735" ht="15" customHeight="1">
      <c r="A735" t="inlineStr">
        <is>
          <t>A 17084-2025</t>
        </is>
      </c>
      <c r="B735" s="1" t="n">
        <v>45755.64450231481</v>
      </c>
      <c r="C735" s="1" t="n">
        <v>45925</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56022-2024</t>
        </is>
      </c>
      <c r="B736" s="1" t="n">
        <v>45623.95947916667</v>
      </c>
      <c r="C736" s="1" t="n">
        <v>45925</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11928-2022</t>
        </is>
      </c>
      <c r="B737" s="1" t="n">
        <v>44635</v>
      </c>
      <c r="C737" s="1" t="n">
        <v>45925</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29727-2025</t>
        </is>
      </c>
      <c r="B738" s="1" t="n">
        <v>45825.5796875</v>
      </c>
      <c r="C738" s="1" t="n">
        <v>45925</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29737-2025</t>
        </is>
      </c>
      <c r="B739" s="1" t="n">
        <v>45825.58672453704</v>
      </c>
      <c r="C739" s="1" t="n">
        <v>45925</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29726-2025</t>
        </is>
      </c>
      <c r="B740" s="1" t="n">
        <v>45825.57805555555</v>
      </c>
      <c r="C740" s="1" t="n">
        <v>45925</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29724-2025</t>
        </is>
      </c>
      <c r="B741" s="1" t="n">
        <v>45825.57680555555</v>
      </c>
      <c r="C741" s="1" t="n">
        <v>45925</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5527-2022</t>
        </is>
      </c>
      <c r="B742" s="1" t="n">
        <v>44595.583125</v>
      </c>
      <c r="C742" s="1" t="n">
        <v>45925</v>
      </c>
      <c r="D742" t="inlineStr">
        <is>
          <t>KALMAR LÄN</t>
        </is>
      </c>
      <c r="E742" t="inlineStr">
        <is>
          <t>VIMMERBY</t>
        </is>
      </c>
      <c r="G742" t="n">
        <v>3.6</v>
      </c>
      <c r="H742" t="n">
        <v>0</v>
      </c>
      <c r="I742" t="n">
        <v>0</v>
      </c>
      <c r="J742" t="n">
        <v>0</v>
      </c>
      <c r="K742" t="n">
        <v>0</v>
      </c>
      <c r="L742" t="n">
        <v>0</v>
      </c>
      <c r="M742" t="n">
        <v>0</v>
      </c>
      <c r="N742" t="n">
        <v>0</v>
      </c>
      <c r="O742" t="n">
        <v>0</v>
      </c>
      <c r="P742" t="n">
        <v>0</v>
      </c>
      <c r="Q742" t="n">
        <v>0</v>
      </c>
      <c r="R742" s="2" t="inlineStr"/>
    </row>
    <row r="743" ht="15" customHeight="1">
      <c r="A743" t="inlineStr">
        <is>
          <t>A 30293-2025</t>
        </is>
      </c>
      <c r="B743" s="1" t="n">
        <v>45827</v>
      </c>
      <c r="C743" s="1" t="n">
        <v>45925</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49461-2023</t>
        </is>
      </c>
      <c r="B744" s="1" t="n">
        <v>45211.52642361111</v>
      </c>
      <c r="C744" s="1" t="n">
        <v>45925</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49474-2023</t>
        </is>
      </c>
      <c r="B745" s="1" t="n">
        <v>45211.541875</v>
      </c>
      <c r="C745" s="1" t="n">
        <v>45925</v>
      </c>
      <c r="D745" t="inlineStr">
        <is>
          <t>KALMAR LÄN</t>
        </is>
      </c>
      <c r="E745" t="inlineStr">
        <is>
          <t>VIMMERBY</t>
        </is>
      </c>
      <c r="G745" t="n">
        <v>3.6</v>
      </c>
      <c r="H745" t="n">
        <v>0</v>
      </c>
      <c r="I745" t="n">
        <v>0</v>
      </c>
      <c r="J745" t="n">
        <v>0</v>
      </c>
      <c r="K745" t="n">
        <v>0</v>
      </c>
      <c r="L745" t="n">
        <v>0</v>
      </c>
      <c r="M745" t="n">
        <v>0</v>
      </c>
      <c r="N745" t="n">
        <v>0</v>
      </c>
      <c r="O745" t="n">
        <v>0</v>
      </c>
      <c r="P745" t="n">
        <v>0</v>
      </c>
      <c r="Q745" t="n">
        <v>0</v>
      </c>
      <c r="R745" s="2" t="inlineStr"/>
    </row>
    <row r="746" ht="15" customHeight="1">
      <c r="A746" t="inlineStr">
        <is>
          <t>A 61861-2024</t>
        </is>
      </c>
      <c r="B746" s="1" t="n">
        <v>45650.37370370371</v>
      </c>
      <c r="C746" s="1" t="n">
        <v>45925</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45846-2023</t>
        </is>
      </c>
      <c r="B747" s="1" t="n">
        <v>45195.58452546296</v>
      </c>
      <c r="C747" s="1" t="n">
        <v>45925</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8167-2024</t>
        </is>
      </c>
      <c r="B748" s="1" t="n">
        <v>45351.6062962963</v>
      </c>
      <c r="C748" s="1" t="n">
        <v>45925</v>
      </c>
      <c r="D748" t="inlineStr">
        <is>
          <t>KALMAR LÄN</t>
        </is>
      </c>
      <c r="E748" t="inlineStr">
        <is>
          <t>VIMMERBY</t>
        </is>
      </c>
      <c r="G748" t="n">
        <v>3.8</v>
      </c>
      <c r="H748" t="n">
        <v>0</v>
      </c>
      <c r="I748" t="n">
        <v>0</v>
      </c>
      <c r="J748" t="n">
        <v>0</v>
      </c>
      <c r="K748" t="n">
        <v>0</v>
      </c>
      <c r="L748" t="n">
        <v>0</v>
      </c>
      <c r="M748" t="n">
        <v>0</v>
      </c>
      <c r="N748" t="n">
        <v>0</v>
      </c>
      <c r="O748" t="n">
        <v>0</v>
      </c>
      <c r="P748" t="n">
        <v>0</v>
      </c>
      <c r="Q748" t="n">
        <v>0</v>
      </c>
      <c r="R748" s="2" t="inlineStr"/>
    </row>
    <row r="749" ht="15" customHeight="1">
      <c r="A749" t="inlineStr">
        <is>
          <t>A 49382-2023</t>
        </is>
      </c>
      <c r="B749" s="1" t="n">
        <v>45208</v>
      </c>
      <c r="C749" s="1" t="n">
        <v>45925</v>
      </c>
      <c r="D749" t="inlineStr">
        <is>
          <t>KALMAR LÄN</t>
        </is>
      </c>
      <c r="E749" t="inlineStr">
        <is>
          <t>VIMMERBY</t>
        </is>
      </c>
      <c r="G749" t="n">
        <v>2.2</v>
      </c>
      <c r="H749" t="n">
        <v>0</v>
      </c>
      <c r="I749" t="n">
        <v>0</v>
      </c>
      <c r="J749" t="n">
        <v>0</v>
      </c>
      <c r="K749" t="n">
        <v>0</v>
      </c>
      <c r="L749" t="n">
        <v>0</v>
      </c>
      <c r="M749" t="n">
        <v>0</v>
      </c>
      <c r="N749" t="n">
        <v>0</v>
      </c>
      <c r="O749" t="n">
        <v>0</v>
      </c>
      <c r="P749" t="n">
        <v>0</v>
      </c>
      <c r="Q749" t="n">
        <v>0</v>
      </c>
      <c r="R749" s="2" t="inlineStr"/>
    </row>
    <row r="750" ht="15" customHeight="1">
      <c r="A750" t="inlineStr">
        <is>
          <t>A 12121-2025</t>
        </is>
      </c>
      <c r="B750" s="1" t="n">
        <v>45729.36868055556</v>
      </c>
      <c r="C750" s="1" t="n">
        <v>45925</v>
      </c>
      <c r="D750" t="inlineStr">
        <is>
          <t>KALMAR LÄN</t>
        </is>
      </c>
      <c r="E750" t="inlineStr">
        <is>
          <t>VIMMERBY</t>
        </is>
      </c>
      <c r="G750" t="n">
        <v>4.3</v>
      </c>
      <c r="H750" t="n">
        <v>0</v>
      </c>
      <c r="I750" t="n">
        <v>0</v>
      </c>
      <c r="J750" t="n">
        <v>0</v>
      </c>
      <c r="K750" t="n">
        <v>0</v>
      </c>
      <c r="L750" t="n">
        <v>0</v>
      </c>
      <c r="M750" t="n">
        <v>0</v>
      </c>
      <c r="N750" t="n">
        <v>0</v>
      </c>
      <c r="O750" t="n">
        <v>0</v>
      </c>
      <c r="P750" t="n">
        <v>0</v>
      </c>
      <c r="Q750" t="n">
        <v>0</v>
      </c>
      <c r="R750" s="2" t="inlineStr"/>
    </row>
    <row r="751" ht="15" customHeight="1">
      <c r="A751" t="inlineStr">
        <is>
          <t>A 35846-2023</t>
        </is>
      </c>
      <c r="B751" s="1" t="n">
        <v>45148</v>
      </c>
      <c r="C751" s="1" t="n">
        <v>45925</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30290-2025</t>
        </is>
      </c>
      <c r="B752" s="1" t="n">
        <v>45827</v>
      </c>
      <c r="C752" s="1" t="n">
        <v>45925</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35913-2023</t>
        </is>
      </c>
      <c r="B753" s="1" t="n">
        <v>45148</v>
      </c>
      <c r="C753" s="1" t="n">
        <v>45925</v>
      </c>
      <c r="D753" t="inlineStr">
        <is>
          <t>KALMAR LÄN</t>
        </is>
      </c>
      <c r="E753" t="inlineStr">
        <is>
          <t>VIMMERBY</t>
        </is>
      </c>
      <c r="G753" t="n">
        <v>6.9</v>
      </c>
      <c r="H753" t="n">
        <v>0</v>
      </c>
      <c r="I753" t="n">
        <v>0</v>
      </c>
      <c r="J753" t="n">
        <v>0</v>
      </c>
      <c r="K753" t="n">
        <v>0</v>
      </c>
      <c r="L753" t="n">
        <v>0</v>
      </c>
      <c r="M753" t="n">
        <v>0</v>
      </c>
      <c r="N753" t="n">
        <v>0</v>
      </c>
      <c r="O753" t="n">
        <v>0</v>
      </c>
      <c r="P753" t="n">
        <v>0</v>
      </c>
      <c r="Q753" t="n">
        <v>0</v>
      </c>
      <c r="R753" s="2" t="inlineStr"/>
    </row>
    <row r="754" ht="15" customHeight="1">
      <c r="A754" t="inlineStr">
        <is>
          <t>A 38757-2023</t>
        </is>
      </c>
      <c r="B754" s="1" t="n">
        <v>45163.41376157408</v>
      </c>
      <c r="C754" s="1" t="n">
        <v>45925</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20136-2024</t>
        </is>
      </c>
      <c r="B755" s="1" t="n">
        <v>45434.56291666667</v>
      </c>
      <c r="C755" s="1" t="n">
        <v>45925</v>
      </c>
      <c r="D755" t="inlineStr">
        <is>
          <t>KALMAR LÄN</t>
        </is>
      </c>
      <c r="E755" t="inlineStr">
        <is>
          <t>VIMMERBY</t>
        </is>
      </c>
      <c r="F755" t="inlineStr">
        <is>
          <t>Sveaskog</t>
        </is>
      </c>
      <c r="G755" t="n">
        <v>8.4</v>
      </c>
      <c r="H755" t="n">
        <v>0</v>
      </c>
      <c r="I755" t="n">
        <v>0</v>
      </c>
      <c r="J755" t="n">
        <v>0</v>
      </c>
      <c r="K755" t="n">
        <v>0</v>
      </c>
      <c r="L755" t="n">
        <v>0</v>
      </c>
      <c r="M755" t="n">
        <v>0</v>
      </c>
      <c r="N755" t="n">
        <v>0</v>
      </c>
      <c r="O755" t="n">
        <v>0</v>
      </c>
      <c r="P755" t="n">
        <v>0</v>
      </c>
      <c r="Q755" t="n">
        <v>0</v>
      </c>
      <c r="R755" s="2" t="inlineStr"/>
    </row>
    <row r="756" ht="15" customHeight="1">
      <c r="A756" t="inlineStr">
        <is>
          <t>A 24283-2023</t>
        </is>
      </c>
      <c r="B756" s="1" t="n">
        <v>45079.87827546296</v>
      </c>
      <c r="C756" s="1" t="n">
        <v>45925</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30850-2025</t>
        </is>
      </c>
      <c r="B757" s="1" t="n">
        <v>45831</v>
      </c>
      <c r="C757" s="1" t="n">
        <v>45925</v>
      </c>
      <c r="D757" t="inlineStr">
        <is>
          <t>KALMAR LÄN</t>
        </is>
      </c>
      <c r="E757" t="inlineStr">
        <is>
          <t>VIMMERBY</t>
        </is>
      </c>
      <c r="G757" t="n">
        <v>2.7</v>
      </c>
      <c r="H757" t="n">
        <v>0</v>
      </c>
      <c r="I757" t="n">
        <v>0</v>
      </c>
      <c r="J757" t="n">
        <v>0</v>
      </c>
      <c r="K757" t="n">
        <v>0</v>
      </c>
      <c r="L757" t="n">
        <v>0</v>
      </c>
      <c r="M757" t="n">
        <v>0</v>
      </c>
      <c r="N757" t="n">
        <v>0</v>
      </c>
      <c r="O757" t="n">
        <v>0</v>
      </c>
      <c r="P757" t="n">
        <v>0</v>
      </c>
      <c r="Q757" t="n">
        <v>0</v>
      </c>
      <c r="R757" s="2" t="inlineStr"/>
    </row>
    <row r="758" ht="15" customHeight="1">
      <c r="A758" t="inlineStr">
        <is>
          <t>A 30882-2025</t>
        </is>
      </c>
      <c r="B758" s="1" t="n">
        <v>45832.34540509259</v>
      </c>
      <c r="C758" s="1" t="n">
        <v>45925</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30971-2025</t>
        </is>
      </c>
      <c r="B759" s="1" t="n">
        <v>45832.46146990741</v>
      </c>
      <c r="C759" s="1" t="n">
        <v>45925</v>
      </c>
      <c r="D759" t="inlineStr">
        <is>
          <t>KALMAR LÄN</t>
        </is>
      </c>
      <c r="E759" t="inlineStr">
        <is>
          <t>VIMMERBY</t>
        </is>
      </c>
      <c r="G759" t="n">
        <v>1.2</v>
      </c>
      <c r="H759" t="n">
        <v>0</v>
      </c>
      <c r="I759" t="n">
        <v>0</v>
      </c>
      <c r="J759" t="n">
        <v>0</v>
      </c>
      <c r="K759" t="n">
        <v>0</v>
      </c>
      <c r="L759" t="n">
        <v>0</v>
      </c>
      <c r="M759" t="n">
        <v>0</v>
      </c>
      <c r="N759" t="n">
        <v>0</v>
      </c>
      <c r="O759" t="n">
        <v>0</v>
      </c>
      <c r="P759" t="n">
        <v>0</v>
      </c>
      <c r="Q759" t="n">
        <v>0</v>
      </c>
      <c r="R759" s="2" t="inlineStr"/>
    </row>
    <row r="760" ht="15" customHeight="1">
      <c r="A760" t="inlineStr">
        <is>
          <t>A 31552-2025</t>
        </is>
      </c>
      <c r="B760" s="1" t="n">
        <v>45833.64563657407</v>
      </c>
      <c r="C760" s="1" t="n">
        <v>45925</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31555-2025</t>
        </is>
      </c>
      <c r="B761" s="1" t="n">
        <v>45833.64814814815</v>
      </c>
      <c r="C761" s="1" t="n">
        <v>45925</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59598-2023</t>
        </is>
      </c>
      <c r="B762" s="1" t="n">
        <v>45254.62489583333</v>
      </c>
      <c r="C762" s="1" t="n">
        <v>45925</v>
      </c>
      <c r="D762" t="inlineStr">
        <is>
          <t>KALMAR LÄN</t>
        </is>
      </c>
      <c r="E762" t="inlineStr">
        <is>
          <t>VIMMERBY</t>
        </is>
      </c>
      <c r="F762" t="inlineStr">
        <is>
          <t>Övriga Aktiebolag</t>
        </is>
      </c>
      <c r="G762" t="n">
        <v>4</v>
      </c>
      <c r="H762" t="n">
        <v>0</v>
      </c>
      <c r="I762" t="n">
        <v>0</v>
      </c>
      <c r="J762" t="n">
        <v>0</v>
      </c>
      <c r="K762" t="n">
        <v>0</v>
      </c>
      <c r="L762" t="n">
        <v>0</v>
      </c>
      <c r="M762" t="n">
        <v>0</v>
      </c>
      <c r="N762" t="n">
        <v>0</v>
      </c>
      <c r="O762" t="n">
        <v>0</v>
      </c>
      <c r="P762" t="n">
        <v>0</v>
      </c>
      <c r="Q762" t="n">
        <v>0</v>
      </c>
      <c r="R762" s="2" t="inlineStr"/>
    </row>
    <row r="763" ht="15" customHeight="1">
      <c r="A763" t="inlineStr">
        <is>
          <t>A 30920-2023</t>
        </is>
      </c>
      <c r="B763" s="1" t="n">
        <v>45113.43921296296</v>
      </c>
      <c r="C763" s="1" t="n">
        <v>45925</v>
      </c>
      <c r="D763" t="inlineStr">
        <is>
          <t>KALMAR LÄN</t>
        </is>
      </c>
      <c r="E763" t="inlineStr">
        <is>
          <t>VIMMERBY</t>
        </is>
      </c>
      <c r="G763" t="n">
        <v>3.1</v>
      </c>
      <c r="H763" t="n">
        <v>0</v>
      </c>
      <c r="I763" t="n">
        <v>0</v>
      </c>
      <c r="J763" t="n">
        <v>0</v>
      </c>
      <c r="K763" t="n">
        <v>0</v>
      </c>
      <c r="L763" t="n">
        <v>0</v>
      </c>
      <c r="M763" t="n">
        <v>0</v>
      </c>
      <c r="N763" t="n">
        <v>0</v>
      </c>
      <c r="O763" t="n">
        <v>0</v>
      </c>
      <c r="P763" t="n">
        <v>0</v>
      </c>
      <c r="Q763" t="n">
        <v>0</v>
      </c>
      <c r="R763" s="2" t="inlineStr"/>
    </row>
    <row r="764" ht="15" customHeight="1">
      <c r="A764" t="inlineStr">
        <is>
          <t>A 31870-2025</t>
        </is>
      </c>
      <c r="B764" s="1" t="n">
        <v>45834.64667824074</v>
      </c>
      <c r="C764" s="1" t="n">
        <v>45925</v>
      </c>
      <c r="D764" t="inlineStr">
        <is>
          <t>KALMAR LÄN</t>
        </is>
      </c>
      <c r="E764" t="inlineStr">
        <is>
          <t>VIMMERBY</t>
        </is>
      </c>
      <c r="F764" t="inlineStr">
        <is>
          <t>Sveaskog</t>
        </is>
      </c>
      <c r="G764" t="n">
        <v>3.5</v>
      </c>
      <c r="H764" t="n">
        <v>0</v>
      </c>
      <c r="I764" t="n">
        <v>0</v>
      </c>
      <c r="J764" t="n">
        <v>0</v>
      </c>
      <c r="K764" t="n">
        <v>0</v>
      </c>
      <c r="L764" t="n">
        <v>0</v>
      </c>
      <c r="M764" t="n">
        <v>0</v>
      </c>
      <c r="N764" t="n">
        <v>0</v>
      </c>
      <c r="O764" t="n">
        <v>0</v>
      </c>
      <c r="P764" t="n">
        <v>0</v>
      </c>
      <c r="Q764" t="n">
        <v>0</v>
      </c>
      <c r="R764" s="2" t="inlineStr"/>
    </row>
    <row r="765" ht="15" customHeight="1">
      <c r="A765" t="inlineStr">
        <is>
          <t>A 8559-2025</t>
        </is>
      </c>
      <c r="B765" s="1" t="n">
        <v>45709.62280092593</v>
      </c>
      <c r="C765" s="1" t="n">
        <v>45925</v>
      </c>
      <c r="D765" t="inlineStr">
        <is>
          <t>KALMAR LÄN</t>
        </is>
      </c>
      <c r="E765" t="inlineStr">
        <is>
          <t>VIMMERBY</t>
        </is>
      </c>
      <c r="G765" t="n">
        <v>8.9</v>
      </c>
      <c r="H765" t="n">
        <v>0</v>
      </c>
      <c r="I765" t="n">
        <v>0</v>
      </c>
      <c r="J765" t="n">
        <v>0</v>
      </c>
      <c r="K765" t="n">
        <v>0</v>
      </c>
      <c r="L765" t="n">
        <v>0</v>
      </c>
      <c r="M765" t="n">
        <v>0</v>
      </c>
      <c r="N765" t="n">
        <v>0</v>
      </c>
      <c r="O765" t="n">
        <v>0</v>
      </c>
      <c r="P765" t="n">
        <v>0</v>
      </c>
      <c r="Q765" t="n">
        <v>0</v>
      </c>
      <c r="R765" s="2" t="inlineStr"/>
    </row>
    <row r="766" ht="15" customHeight="1">
      <c r="A766" t="inlineStr">
        <is>
          <t>A 31872-2025</t>
        </is>
      </c>
      <c r="B766" s="1" t="n">
        <v>45834.65040509259</v>
      </c>
      <c r="C766" s="1" t="n">
        <v>45925</v>
      </c>
      <c r="D766" t="inlineStr">
        <is>
          <t>KALMAR LÄN</t>
        </is>
      </c>
      <c r="E766" t="inlineStr">
        <is>
          <t>VIMMERBY</t>
        </is>
      </c>
      <c r="F766" t="inlineStr">
        <is>
          <t>Sveaskog</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31876-2025</t>
        </is>
      </c>
      <c r="B767" s="1" t="n">
        <v>45834.65197916667</v>
      </c>
      <c r="C767" s="1" t="n">
        <v>45925</v>
      </c>
      <c r="D767" t="inlineStr">
        <is>
          <t>KALMAR LÄN</t>
        </is>
      </c>
      <c r="E767" t="inlineStr">
        <is>
          <t>VIMMERBY</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31551-2025</t>
        </is>
      </c>
      <c r="B768" s="1" t="n">
        <v>45833.64237268519</v>
      </c>
      <c r="C768" s="1" t="n">
        <v>45925</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31987-2025</t>
        </is>
      </c>
      <c r="B769" s="1" t="n">
        <v>45835.36229166666</v>
      </c>
      <c r="C769" s="1" t="n">
        <v>45925</v>
      </c>
      <c r="D769" t="inlineStr">
        <is>
          <t>KALMAR LÄN</t>
        </is>
      </c>
      <c r="E769" t="inlineStr">
        <is>
          <t>VIMMERBY</t>
        </is>
      </c>
      <c r="F769" t="inlineStr">
        <is>
          <t>Kyrkan</t>
        </is>
      </c>
      <c r="G769" t="n">
        <v>1.2</v>
      </c>
      <c r="H769" t="n">
        <v>0</v>
      </c>
      <c r="I769" t="n">
        <v>0</v>
      </c>
      <c r="J769" t="n">
        <v>0</v>
      </c>
      <c r="K769" t="n">
        <v>0</v>
      </c>
      <c r="L769" t="n">
        <v>0</v>
      </c>
      <c r="M769" t="n">
        <v>0</v>
      </c>
      <c r="N769" t="n">
        <v>0</v>
      </c>
      <c r="O769" t="n">
        <v>0</v>
      </c>
      <c r="P769" t="n">
        <v>0</v>
      </c>
      <c r="Q769" t="n">
        <v>0</v>
      </c>
      <c r="R769" s="2" t="inlineStr"/>
    </row>
    <row r="770" ht="15" customHeight="1">
      <c r="A770" t="inlineStr">
        <is>
          <t>A 32120-2025</t>
        </is>
      </c>
      <c r="B770" s="1" t="n">
        <v>45835.4924537037</v>
      </c>
      <c r="C770" s="1" t="n">
        <v>45925</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32116-2025</t>
        </is>
      </c>
      <c r="B771" s="1" t="n">
        <v>45835.48862268519</v>
      </c>
      <c r="C771" s="1" t="n">
        <v>45925</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40929-2022</t>
        </is>
      </c>
      <c r="B772" s="1" t="n">
        <v>44825.4336574074</v>
      </c>
      <c r="C772" s="1" t="n">
        <v>45925</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32380-2025</t>
        </is>
      </c>
      <c r="B773" s="1" t="n">
        <v>45837.77701388889</v>
      </c>
      <c r="C773" s="1" t="n">
        <v>45925</v>
      </c>
      <c r="D773" t="inlineStr">
        <is>
          <t>KALMAR LÄN</t>
        </is>
      </c>
      <c r="E773" t="inlineStr">
        <is>
          <t>VIMMERBY</t>
        </is>
      </c>
      <c r="G773" t="n">
        <v>3.1</v>
      </c>
      <c r="H773" t="n">
        <v>0</v>
      </c>
      <c r="I773" t="n">
        <v>0</v>
      </c>
      <c r="J773" t="n">
        <v>0</v>
      </c>
      <c r="K773" t="n">
        <v>0</v>
      </c>
      <c r="L773" t="n">
        <v>0</v>
      </c>
      <c r="M773" t="n">
        <v>0</v>
      </c>
      <c r="N773" t="n">
        <v>0</v>
      </c>
      <c r="O773" t="n">
        <v>0</v>
      </c>
      <c r="P773" t="n">
        <v>0</v>
      </c>
      <c r="Q773" t="n">
        <v>0</v>
      </c>
      <c r="R773" s="2" t="inlineStr"/>
    </row>
    <row r="774" ht="15" customHeight="1">
      <c r="A774" t="inlineStr">
        <is>
          <t>A 32109-2025</t>
        </is>
      </c>
      <c r="B774" s="1" t="n">
        <v>45835.48267361111</v>
      </c>
      <c r="C774" s="1" t="n">
        <v>45925</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32113-2025</t>
        </is>
      </c>
      <c r="B775" s="1" t="n">
        <v>45835.48445601852</v>
      </c>
      <c r="C775" s="1" t="n">
        <v>45925</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32077-2025</t>
        </is>
      </c>
      <c r="B776" s="1" t="n">
        <v>45835.45099537037</v>
      </c>
      <c r="C776" s="1" t="n">
        <v>45925</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33380-2023</t>
        </is>
      </c>
      <c r="B777" s="1" t="n">
        <v>45128</v>
      </c>
      <c r="C777" s="1" t="n">
        <v>45925</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46144-2023</t>
        </is>
      </c>
      <c r="B778" s="1" t="n">
        <v>45196.57247685185</v>
      </c>
      <c r="C778" s="1" t="n">
        <v>45925</v>
      </c>
      <c r="D778" t="inlineStr">
        <is>
          <t>KALMAR LÄN</t>
        </is>
      </c>
      <c r="E778" t="inlineStr">
        <is>
          <t>VIMMERBY</t>
        </is>
      </c>
      <c r="G778" t="n">
        <v>6.5</v>
      </c>
      <c r="H778" t="n">
        <v>0</v>
      </c>
      <c r="I778" t="n">
        <v>0</v>
      </c>
      <c r="J778" t="n">
        <v>0</v>
      </c>
      <c r="K778" t="n">
        <v>0</v>
      </c>
      <c r="L778" t="n">
        <v>0</v>
      </c>
      <c r="M778" t="n">
        <v>0</v>
      </c>
      <c r="N778" t="n">
        <v>0</v>
      </c>
      <c r="O778" t="n">
        <v>0</v>
      </c>
      <c r="P778" t="n">
        <v>0</v>
      </c>
      <c r="Q778" t="n">
        <v>0</v>
      </c>
      <c r="R778" s="2" t="inlineStr"/>
    </row>
    <row r="779" ht="15" customHeight="1">
      <c r="A779" t="inlineStr">
        <is>
          <t>A 32064-2025</t>
        </is>
      </c>
      <c r="B779" s="1" t="n">
        <v>45835.44709490741</v>
      </c>
      <c r="C779" s="1" t="n">
        <v>45925</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32065-2025</t>
        </is>
      </c>
      <c r="B780" s="1" t="n">
        <v>45835.44732638889</v>
      </c>
      <c r="C780" s="1" t="n">
        <v>45925</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54787-2023</t>
        </is>
      </c>
      <c r="B781" s="1" t="n">
        <v>45236</v>
      </c>
      <c r="C781" s="1" t="n">
        <v>45925</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15715-2022</t>
        </is>
      </c>
      <c r="B782" s="1" t="n">
        <v>44663</v>
      </c>
      <c r="C782" s="1" t="n">
        <v>45925</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33186-2025</t>
        </is>
      </c>
      <c r="B783" s="1" t="n">
        <v>45840.59474537037</v>
      </c>
      <c r="C783" s="1" t="n">
        <v>45925</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43774-2023</t>
        </is>
      </c>
      <c r="B784" s="1" t="n">
        <v>45187</v>
      </c>
      <c r="C784" s="1" t="n">
        <v>45925</v>
      </c>
      <c r="D784" t="inlineStr">
        <is>
          <t>KALMAR LÄN</t>
        </is>
      </c>
      <c r="E784" t="inlineStr">
        <is>
          <t>VIMMERBY</t>
        </is>
      </c>
      <c r="G784" t="n">
        <v>3.4</v>
      </c>
      <c r="H784" t="n">
        <v>0</v>
      </c>
      <c r="I784" t="n">
        <v>0</v>
      </c>
      <c r="J784" t="n">
        <v>0</v>
      </c>
      <c r="K784" t="n">
        <v>0</v>
      </c>
      <c r="L784" t="n">
        <v>0</v>
      </c>
      <c r="M784" t="n">
        <v>0</v>
      </c>
      <c r="N784" t="n">
        <v>0</v>
      </c>
      <c r="O784" t="n">
        <v>0</v>
      </c>
      <c r="P784" t="n">
        <v>0</v>
      </c>
      <c r="Q784" t="n">
        <v>0</v>
      </c>
      <c r="R784" s="2" t="inlineStr"/>
    </row>
    <row r="785" ht="15" customHeight="1">
      <c r="A785" t="inlineStr">
        <is>
          <t>A 43705-2023</t>
        </is>
      </c>
      <c r="B785" s="1" t="n">
        <v>45187.42854166667</v>
      </c>
      <c r="C785" s="1" t="n">
        <v>45925</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7932-2025</t>
        </is>
      </c>
      <c r="B786" s="1" t="n">
        <v>45707.3793287037</v>
      </c>
      <c r="C786" s="1" t="n">
        <v>45925</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30977-2025</t>
        </is>
      </c>
      <c r="B787" s="1" t="n">
        <v>45832.46649305556</v>
      </c>
      <c r="C787" s="1" t="n">
        <v>45925</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13532-2025</t>
        </is>
      </c>
      <c r="B788" s="1" t="n">
        <v>45736.50743055555</v>
      </c>
      <c r="C788" s="1" t="n">
        <v>45925</v>
      </c>
      <c r="D788" t="inlineStr">
        <is>
          <t>KALMAR LÄN</t>
        </is>
      </c>
      <c r="E788" t="inlineStr">
        <is>
          <t>VIMMERBY</t>
        </is>
      </c>
      <c r="G788" t="n">
        <v>3.6</v>
      </c>
      <c r="H788" t="n">
        <v>0</v>
      </c>
      <c r="I788" t="n">
        <v>0</v>
      </c>
      <c r="J788" t="n">
        <v>0</v>
      </c>
      <c r="K788" t="n">
        <v>0</v>
      </c>
      <c r="L788" t="n">
        <v>0</v>
      </c>
      <c r="M788" t="n">
        <v>0</v>
      </c>
      <c r="N788" t="n">
        <v>0</v>
      </c>
      <c r="O788" t="n">
        <v>0</v>
      </c>
      <c r="P788" t="n">
        <v>0</v>
      </c>
      <c r="Q788" t="n">
        <v>0</v>
      </c>
      <c r="R788" s="2" t="inlineStr"/>
    </row>
    <row r="789" ht="15" customHeight="1">
      <c r="A789" t="inlineStr">
        <is>
          <t>A 65049-2020</t>
        </is>
      </c>
      <c r="B789" s="1" t="n">
        <v>44172</v>
      </c>
      <c r="C789" s="1" t="n">
        <v>45925</v>
      </c>
      <c r="D789" t="inlineStr">
        <is>
          <t>KALMAR LÄN</t>
        </is>
      </c>
      <c r="E789" t="inlineStr">
        <is>
          <t>VIMMERBY</t>
        </is>
      </c>
      <c r="G789" t="n">
        <v>2.3</v>
      </c>
      <c r="H789" t="n">
        <v>0</v>
      </c>
      <c r="I789" t="n">
        <v>0</v>
      </c>
      <c r="J789" t="n">
        <v>0</v>
      </c>
      <c r="K789" t="n">
        <v>0</v>
      </c>
      <c r="L789" t="n">
        <v>0</v>
      </c>
      <c r="M789" t="n">
        <v>0</v>
      </c>
      <c r="N789" t="n">
        <v>0</v>
      </c>
      <c r="O789" t="n">
        <v>0</v>
      </c>
      <c r="P789" t="n">
        <v>0</v>
      </c>
      <c r="Q789" t="n">
        <v>0</v>
      </c>
      <c r="R789" s="2" t="inlineStr"/>
    </row>
    <row r="790" ht="15" customHeight="1">
      <c r="A790" t="inlineStr">
        <is>
          <t>A 38604-2025</t>
        </is>
      </c>
      <c r="B790" s="1" t="n">
        <v>45884.50613425926</v>
      </c>
      <c r="C790" s="1" t="n">
        <v>45925</v>
      </c>
      <c r="D790" t="inlineStr">
        <is>
          <t>KALMAR LÄN</t>
        </is>
      </c>
      <c r="E790" t="inlineStr">
        <is>
          <t>VIMMERBY</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33695-2025</t>
        </is>
      </c>
      <c r="B791" s="1" t="n">
        <v>45841.70569444444</v>
      </c>
      <c r="C791" s="1" t="n">
        <v>45925</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33698-2025</t>
        </is>
      </c>
      <c r="B792" s="1" t="n">
        <v>45841.70868055556</v>
      </c>
      <c r="C792" s="1" t="n">
        <v>45925</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33696-2025</t>
        </is>
      </c>
      <c r="B793" s="1" t="n">
        <v>45841.7072337963</v>
      </c>
      <c r="C793" s="1" t="n">
        <v>45925</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1978-2024</t>
        </is>
      </c>
      <c r="B794" s="1" t="n">
        <v>45308.59001157407</v>
      </c>
      <c r="C794" s="1" t="n">
        <v>45925</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6399-2025</t>
        </is>
      </c>
      <c r="B795" s="1" t="n">
        <v>45699.44291666667</v>
      </c>
      <c r="C795" s="1" t="n">
        <v>45925</v>
      </c>
      <c r="D795" t="inlineStr">
        <is>
          <t>KALMAR LÄN</t>
        </is>
      </c>
      <c r="E795" t="inlineStr">
        <is>
          <t>VIMMERBY</t>
        </is>
      </c>
      <c r="G795" t="n">
        <v>3.1</v>
      </c>
      <c r="H795" t="n">
        <v>0</v>
      </c>
      <c r="I795" t="n">
        <v>0</v>
      </c>
      <c r="J795" t="n">
        <v>0</v>
      </c>
      <c r="K795" t="n">
        <v>0</v>
      </c>
      <c r="L795" t="n">
        <v>0</v>
      </c>
      <c r="M795" t="n">
        <v>0</v>
      </c>
      <c r="N795" t="n">
        <v>0</v>
      </c>
      <c r="O795" t="n">
        <v>0</v>
      </c>
      <c r="P795" t="n">
        <v>0</v>
      </c>
      <c r="Q795" t="n">
        <v>0</v>
      </c>
      <c r="R795" s="2" t="inlineStr"/>
    </row>
    <row r="796" ht="15" customHeight="1">
      <c r="A796" t="inlineStr">
        <is>
          <t>A 41311-2023</t>
        </is>
      </c>
      <c r="B796" s="1" t="n">
        <v>45174</v>
      </c>
      <c r="C796" s="1" t="n">
        <v>45925</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28702-2025</t>
        </is>
      </c>
      <c r="B797" s="1" t="n">
        <v>45820.03976851852</v>
      </c>
      <c r="C797" s="1" t="n">
        <v>45925</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10785-2025</t>
        </is>
      </c>
      <c r="B798" s="1" t="n">
        <v>45722.48634259259</v>
      </c>
      <c r="C798" s="1" t="n">
        <v>45925</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38964-2025</t>
        </is>
      </c>
      <c r="B799" s="1" t="n">
        <v>45887.68759259259</v>
      </c>
      <c r="C799" s="1" t="n">
        <v>45925</v>
      </c>
      <c r="D799" t="inlineStr">
        <is>
          <t>KALMAR LÄN</t>
        </is>
      </c>
      <c r="E799" t="inlineStr">
        <is>
          <t>VIMMERBY</t>
        </is>
      </c>
      <c r="G799" t="n">
        <v>7.5</v>
      </c>
      <c r="H799" t="n">
        <v>0</v>
      </c>
      <c r="I799" t="n">
        <v>0</v>
      </c>
      <c r="J799" t="n">
        <v>0</v>
      </c>
      <c r="K799" t="n">
        <v>0</v>
      </c>
      <c r="L799" t="n">
        <v>0</v>
      </c>
      <c r="M799" t="n">
        <v>0</v>
      </c>
      <c r="N799" t="n">
        <v>0</v>
      </c>
      <c r="O799" t="n">
        <v>0</v>
      </c>
      <c r="P799" t="n">
        <v>0</v>
      </c>
      <c r="Q799" t="n">
        <v>0</v>
      </c>
      <c r="R799" s="2" t="inlineStr"/>
    </row>
    <row r="800" ht="15" customHeight="1">
      <c r="A800" t="inlineStr">
        <is>
          <t>A 10211-2025</t>
        </is>
      </c>
      <c r="B800" s="1" t="n">
        <v>45719.84378472222</v>
      </c>
      <c r="C800" s="1" t="n">
        <v>45925</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34060-2025</t>
        </is>
      </c>
      <c r="B801" s="1" t="n">
        <v>45845.42015046296</v>
      </c>
      <c r="C801" s="1" t="n">
        <v>45925</v>
      </c>
      <c r="D801" t="inlineStr">
        <is>
          <t>KALMAR LÄN</t>
        </is>
      </c>
      <c r="E801" t="inlineStr">
        <is>
          <t>VIMMERBY</t>
        </is>
      </c>
      <c r="G801" t="n">
        <v>5.7</v>
      </c>
      <c r="H801" t="n">
        <v>0</v>
      </c>
      <c r="I801" t="n">
        <v>0</v>
      </c>
      <c r="J801" t="n">
        <v>0</v>
      </c>
      <c r="K801" t="n">
        <v>0</v>
      </c>
      <c r="L801" t="n">
        <v>0</v>
      </c>
      <c r="M801" t="n">
        <v>0</v>
      </c>
      <c r="N801" t="n">
        <v>0</v>
      </c>
      <c r="O801" t="n">
        <v>0</v>
      </c>
      <c r="P801" t="n">
        <v>0</v>
      </c>
      <c r="Q801" t="n">
        <v>0</v>
      </c>
      <c r="R801" s="2" t="inlineStr"/>
    </row>
    <row r="802" ht="15" customHeight="1">
      <c r="A802" t="inlineStr">
        <is>
          <t>A 34071-2025</t>
        </is>
      </c>
      <c r="B802" s="1" t="n">
        <v>45845.43803240741</v>
      </c>
      <c r="C802" s="1" t="n">
        <v>45925</v>
      </c>
      <c r="D802" t="inlineStr">
        <is>
          <t>KALMAR LÄN</t>
        </is>
      </c>
      <c r="E802" t="inlineStr">
        <is>
          <t>VIMMERBY</t>
        </is>
      </c>
      <c r="G802" t="n">
        <v>6.8</v>
      </c>
      <c r="H802" t="n">
        <v>0</v>
      </c>
      <c r="I802" t="n">
        <v>0</v>
      </c>
      <c r="J802" t="n">
        <v>0</v>
      </c>
      <c r="K802" t="n">
        <v>0</v>
      </c>
      <c r="L802" t="n">
        <v>0</v>
      </c>
      <c r="M802" t="n">
        <v>0</v>
      </c>
      <c r="N802" t="n">
        <v>0</v>
      </c>
      <c r="O802" t="n">
        <v>0</v>
      </c>
      <c r="P802" t="n">
        <v>0</v>
      </c>
      <c r="Q802" t="n">
        <v>0</v>
      </c>
      <c r="R802" s="2" t="inlineStr"/>
    </row>
    <row r="803" ht="15" customHeight="1">
      <c r="A803" t="inlineStr">
        <is>
          <t>A 34106-2025</t>
        </is>
      </c>
      <c r="B803" s="1" t="n">
        <v>45845.49414351852</v>
      </c>
      <c r="C803" s="1" t="n">
        <v>45925</v>
      </c>
      <c r="D803" t="inlineStr">
        <is>
          <t>KALMAR LÄN</t>
        </is>
      </c>
      <c r="E803" t="inlineStr">
        <is>
          <t>VIMMERBY</t>
        </is>
      </c>
      <c r="G803" t="n">
        <v>6</v>
      </c>
      <c r="H803" t="n">
        <v>0</v>
      </c>
      <c r="I803" t="n">
        <v>0</v>
      </c>
      <c r="J803" t="n">
        <v>0</v>
      </c>
      <c r="K803" t="n">
        <v>0</v>
      </c>
      <c r="L803" t="n">
        <v>0</v>
      </c>
      <c r="M803" t="n">
        <v>0</v>
      </c>
      <c r="N803" t="n">
        <v>0</v>
      </c>
      <c r="O803" t="n">
        <v>0</v>
      </c>
      <c r="P803" t="n">
        <v>0</v>
      </c>
      <c r="Q803" t="n">
        <v>0</v>
      </c>
      <c r="R803" s="2" t="inlineStr"/>
    </row>
    <row r="804" ht="15" customHeight="1">
      <c r="A804" t="inlineStr">
        <is>
          <t>A 18020-2025</t>
        </is>
      </c>
      <c r="B804" s="1" t="n">
        <v>45761.4437962963</v>
      </c>
      <c r="C804" s="1" t="n">
        <v>45925</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585-2024</t>
        </is>
      </c>
      <c r="B805" s="1" t="n">
        <v>45299.62576388889</v>
      </c>
      <c r="C805" s="1" t="n">
        <v>45925</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26956-2025</t>
        </is>
      </c>
      <c r="B806" s="1" t="n">
        <v>45811.45460648148</v>
      </c>
      <c r="C806" s="1" t="n">
        <v>45925</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6802-2025</t>
        </is>
      </c>
      <c r="B807" s="1" t="n">
        <v>45700.68289351852</v>
      </c>
      <c r="C807" s="1" t="n">
        <v>45925</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56020-2024</t>
        </is>
      </c>
      <c r="B808" s="1" t="n">
        <v>45623.9525462963</v>
      </c>
      <c r="C808" s="1" t="n">
        <v>45925</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33842-2022</t>
        </is>
      </c>
      <c r="B809" s="1" t="n">
        <v>44790.49523148148</v>
      </c>
      <c r="C809" s="1" t="n">
        <v>45925</v>
      </c>
      <c r="D809" t="inlineStr">
        <is>
          <t>KALMAR LÄN</t>
        </is>
      </c>
      <c r="E809" t="inlineStr">
        <is>
          <t>VIMMERBY</t>
        </is>
      </c>
      <c r="G809" t="n">
        <v>1.6</v>
      </c>
      <c r="H809" t="n">
        <v>0</v>
      </c>
      <c r="I809" t="n">
        <v>0</v>
      </c>
      <c r="J809" t="n">
        <v>0</v>
      </c>
      <c r="K809" t="n">
        <v>0</v>
      </c>
      <c r="L809" t="n">
        <v>0</v>
      </c>
      <c r="M809" t="n">
        <v>0</v>
      </c>
      <c r="N809" t="n">
        <v>0</v>
      </c>
      <c r="O809" t="n">
        <v>0</v>
      </c>
      <c r="P809" t="n">
        <v>0</v>
      </c>
      <c r="Q809" t="n">
        <v>0</v>
      </c>
      <c r="R809" s="2" t="inlineStr"/>
    </row>
    <row r="810" ht="15" customHeight="1">
      <c r="A810" t="inlineStr">
        <is>
          <t>A 60675-2023</t>
        </is>
      </c>
      <c r="B810" s="1" t="n">
        <v>45260.4716550926</v>
      </c>
      <c r="C810" s="1" t="n">
        <v>45925</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40095-2022</t>
        </is>
      </c>
      <c r="B811" s="1" t="n">
        <v>44820</v>
      </c>
      <c r="C811" s="1" t="n">
        <v>45925</v>
      </c>
      <c r="D811" t="inlineStr">
        <is>
          <t>KALMAR LÄN</t>
        </is>
      </c>
      <c r="E811" t="inlineStr">
        <is>
          <t>VIMMERBY</t>
        </is>
      </c>
      <c r="G811" t="n">
        <v>2.4</v>
      </c>
      <c r="H811" t="n">
        <v>0</v>
      </c>
      <c r="I811" t="n">
        <v>0</v>
      </c>
      <c r="J811" t="n">
        <v>0</v>
      </c>
      <c r="K811" t="n">
        <v>0</v>
      </c>
      <c r="L811" t="n">
        <v>0</v>
      </c>
      <c r="M811" t="n">
        <v>0</v>
      </c>
      <c r="N811" t="n">
        <v>0</v>
      </c>
      <c r="O811" t="n">
        <v>0</v>
      </c>
      <c r="P811" t="n">
        <v>0</v>
      </c>
      <c r="Q811" t="n">
        <v>0</v>
      </c>
      <c r="R811" s="2" t="inlineStr"/>
    </row>
    <row r="812" ht="15" customHeight="1">
      <c r="A812" t="inlineStr">
        <is>
          <t>A 34628-2025</t>
        </is>
      </c>
      <c r="B812" s="1" t="n">
        <v>45847.91280092593</v>
      </c>
      <c r="C812" s="1" t="n">
        <v>45925</v>
      </c>
      <c r="D812" t="inlineStr">
        <is>
          <t>KALMAR LÄN</t>
        </is>
      </c>
      <c r="E812" t="inlineStr">
        <is>
          <t>VIMMERBY</t>
        </is>
      </c>
      <c r="G812" t="n">
        <v>4.2</v>
      </c>
      <c r="H812" t="n">
        <v>0</v>
      </c>
      <c r="I812" t="n">
        <v>0</v>
      </c>
      <c r="J812" t="n">
        <v>0</v>
      </c>
      <c r="K812" t="n">
        <v>0</v>
      </c>
      <c r="L812" t="n">
        <v>0</v>
      </c>
      <c r="M812" t="n">
        <v>0</v>
      </c>
      <c r="N812" t="n">
        <v>0</v>
      </c>
      <c r="O812" t="n">
        <v>0</v>
      </c>
      <c r="P812" t="n">
        <v>0</v>
      </c>
      <c r="Q812" t="n">
        <v>0</v>
      </c>
      <c r="R812" s="2" t="inlineStr"/>
    </row>
    <row r="813" ht="15" customHeight="1">
      <c r="A813" t="inlineStr">
        <is>
          <t>A 19537-2022</t>
        </is>
      </c>
      <c r="B813" s="1" t="n">
        <v>44693.62822916666</v>
      </c>
      <c r="C813" s="1" t="n">
        <v>45925</v>
      </c>
      <c r="D813" t="inlineStr">
        <is>
          <t>KALMAR LÄN</t>
        </is>
      </c>
      <c r="E813" t="inlineStr">
        <is>
          <t>VIMMERBY</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57311-2023</t>
        </is>
      </c>
      <c r="B814" s="1" t="n">
        <v>45245.63574074074</v>
      </c>
      <c r="C814" s="1" t="n">
        <v>45925</v>
      </c>
      <c r="D814" t="inlineStr">
        <is>
          <t>KALMAR LÄN</t>
        </is>
      </c>
      <c r="E814" t="inlineStr">
        <is>
          <t>VIMMERBY</t>
        </is>
      </c>
      <c r="G814" t="n">
        <v>1.6</v>
      </c>
      <c r="H814" t="n">
        <v>0</v>
      </c>
      <c r="I814" t="n">
        <v>0</v>
      </c>
      <c r="J814" t="n">
        <v>0</v>
      </c>
      <c r="K814" t="n">
        <v>0</v>
      </c>
      <c r="L814" t="n">
        <v>0</v>
      </c>
      <c r="M814" t="n">
        <v>0</v>
      </c>
      <c r="N814" t="n">
        <v>0</v>
      </c>
      <c r="O814" t="n">
        <v>0</v>
      </c>
      <c r="P814" t="n">
        <v>0</v>
      </c>
      <c r="Q814" t="n">
        <v>0</v>
      </c>
      <c r="R814" s="2" t="inlineStr"/>
    </row>
    <row r="815" ht="15" customHeight="1">
      <c r="A815" t="inlineStr">
        <is>
          <t>A 64428-2023</t>
        </is>
      </c>
      <c r="B815" s="1" t="n">
        <v>45280.66769675926</v>
      </c>
      <c r="C815" s="1" t="n">
        <v>45925</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4527-2023</t>
        </is>
      </c>
      <c r="B816" s="1" t="n">
        <v>44956</v>
      </c>
      <c r="C816" s="1" t="n">
        <v>45925</v>
      </c>
      <c r="D816" t="inlineStr">
        <is>
          <t>KALMAR LÄN</t>
        </is>
      </c>
      <c r="E816" t="inlineStr">
        <is>
          <t>VIMMERBY</t>
        </is>
      </c>
      <c r="F816" t="inlineStr">
        <is>
          <t>Kommuner</t>
        </is>
      </c>
      <c r="G816" t="n">
        <v>8.5</v>
      </c>
      <c r="H816" t="n">
        <v>0</v>
      </c>
      <c r="I816" t="n">
        <v>0</v>
      </c>
      <c r="J816" t="n">
        <v>0</v>
      </c>
      <c r="K816" t="n">
        <v>0</v>
      </c>
      <c r="L816" t="n">
        <v>0</v>
      </c>
      <c r="M816" t="n">
        <v>0</v>
      </c>
      <c r="N816" t="n">
        <v>0</v>
      </c>
      <c r="O816" t="n">
        <v>0</v>
      </c>
      <c r="P816" t="n">
        <v>0</v>
      </c>
      <c r="Q816" t="n">
        <v>0</v>
      </c>
      <c r="R816" s="2" t="inlineStr"/>
    </row>
    <row r="817" ht="15" customHeight="1">
      <c r="A817" t="inlineStr">
        <is>
          <t>A 3268-2024</t>
        </is>
      </c>
      <c r="B817" s="1" t="n">
        <v>45317</v>
      </c>
      <c r="C817" s="1" t="n">
        <v>45925</v>
      </c>
      <c r="D817" t="inlineStr">
        <is>
          <t>KALMAR LÄN</t>
        </is>
      </c>
      <c r="E817" t="inlineStr">
        <is>
          <t>VIMMERBY</t>
        </is>
      </c>
      <c r="F817" t="inlineStr">
        <is>
          <t>Övriga Aktiebolag</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51408-2023</t>
        </is>
      </c>
      <c r="B818" s="1" t="n">
        <v>45219.69356481481</v>
      </c>
      <c r="C818" s="1" t="n">
        <v>45925</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12480-2024</t>
        </is>
      </c>
      <c r="B819" s="1" t="n">
        <v>45379</v>
      </c>
      <c r="C819" s="1" t="n">
        <v>45925</v>
      </c>
      <c r="D819" t="inlineStr">
        <is>
          <t>KALMAR LÄN</t>
        </is>
      </c>
      <c r="E819" t="inlineStr">
        <is>
          <t>VIMMERBY</t>
        </is>
      </c>
      <c r="G819" t="n">
        <v>2.8</v>
      </c>
      <c r="H819" t="n">
        <v>0</v>
      </c>
      <c r="I819" t="n">
        <v>0</v>
      </c>
      <c r="J819" t="n">
        <v>0</v>
      </c>
      <c r="K819" t="n">
        <v>0</v>
      </c>
      <c r="L819" t="n">
        <v>0</v>
      </c>
      <c r="M819" t="n">
        <v>0</v>
      </c>
      <c r="N819" t="n">
        <v>0</v>
      </c>
      <c r="O819" t="n">
        <v>0</v>
      </c>
      <c r="P819" t="n">
        <v>0</v>
      </c>
      <c r="Q819" t="n">
        <v>0</v>
      </c>
      <c r="R819" s="2" t="inlineStr"/>
    </row>
    <row r="820" ht="15" customHeight="1">
      <c r="A820" t="inlineStr">
        <is>
          <t>A 52588-2023</t>
        </is>
      </c>
      <c r="B820" s="1" t="n">
        <v>45225.60192129629</v>
      </c>
      <c r="C820" s="1" t="n">
        <v>45925</v>
      </c>
      <c r="D820" t="inlineStr">
        <is>
          <t>KALMAR LÄN</t>
        </is>
      </c>
      <c r="E820" t="inlineStr">
        <is>
          <t>VIMMERBY</t>
        </is>
      </c>
      <c r="G820" t="n">
        <v>2.9</v>
      </c>
      <c r="H820" t="n">
        <v>0</v>
      </c>
      <c r="I820" t="n">
        <v>0</v>
      </c>
      <c r="J820" t="n">
        <v>0</v>
      </c>
      <c r="K820" t="n">
        <v>0</v>
      </c>
      <c r="L820" t="n">
        <v>0</v>
      </c>
      <c r="M820" t="n">
        <v>0</v>
      </c>
      <c r="N820" t="n">
        <v>0</v>
      </c>
      <c r="O820" t="n">
        <v>0</v>
      </c>
      <c r="P820" t="n">
        <v>0</v>
      </c>
      <c r="Q820" t="n">
        <v>0</v>
      </c>
      <c r="R820" s="2" t="inlineStr"/>
    </row>
    <row r="821" ht="15" customHeight="1">
      <c r="A821" t="inlineStr">
        <is>
          <t>A 55236-2023</t>
        </is>
      </c>
      <c r="B821" s="1" t="n">
        <v>45237.63225694445</v>
      </c>
      <c r="C821" s="1" t="n">
        <v>45925</v>
      </c>
      <c r="D821" t="inlineStr">
        <is>
          <t>KALMAR LÄN</t>
        </is>
      </c>
      <c r="E821" t="inlineStr">
        <is>
          <t>VIMMERBY</t>
        </is>
      </c>
      <c r="G821" t="n">
        <v>1.1</v>
      </c>
      <c r="H821" t="n">
        <v>0</v>
      </c>
      <c r="I821" t="n">
        <v>0</v>
      </c>
      <c r="J821" t="n">
        <v>0</v>
      </c>
      <c r="K821" t="n">
        <v>0</v>
      </c>
      <c r="L821" t="n">
        <v>0</v>
      </c>
      <c r="M821" t="n">
        <v>0</v>
      </c>
      <c r="N821" t="n">
        <v>0</v>
      </c>
      <c r="O821" t="n">
        <v>0</v>
      </c>
      <c r="P821" t="n">
        <v>0</v>
      </c>
      <c r="Q821" t="n">
        <v>0</v>
      </c>
      <c r="R821" s="2" t="inlineStr"/>
    </row>
    <row r="822" ht="15" customHeight="1">
      <c r="A822" t="inlineStr">
        <is>
          <t>A 55245-2023</t>
        </is>
      </c>
      <c r="B822" s="1" t="n">
        <v>45237.64408564815</v>
      </c>
      <c r="C822" s="1" t="n">
        <v>45925</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19111-2025</t>
        </is>
      </c>
      <c r="B823" s="1" t="n">
        <v>45768.65611111111</v>
      </c>
      <c r="C823" s="1" t="n">
        <v>45925</v>
      </c>
      <c r="D823" t="inlineStr">
        <is>
          <t>KALMAR LÄN</t>
        </is>
      </c>
      <c r="E823" t="inlineStr">
        <is>
          <t>VIMMERBY</t>
        </is>
      </c>
      <c r="G823" t="n">
        <v>6.2</v>
      </c>
      <c r="H823" t="n">
        <v>0</v>
      </c>
      <c r="I823" t="n">
        <v>0</v>
      </c>
      <c r="J823" t="n">
        <v>0</v>
      </c>
      <c r="K823" t="n">
        <v>0</v>
      </c>
      <c r="L823" t="n">
        <v>0</v>
      </c>
      <c r="M823" t="n">
        <v>0</v>
      </c>
      <c r="N823" t="n">
        <v>0</v>
      </c>
      <c r="O823" t="n">
        <v>0</v>
      </c>
      <c r="P823" t="n">
        <v>0</v>
      </c>
      <c r="Q823" t="n">
        <v>0</v>
      </c>
      <c r="R823" s="2" t="inlineStr"/>
    </row>
    <row r="824" ht="15" customHeight="1">
      <c r="A824" t="inlineStr">
        <is>
          <t>A 25370-2022</t>
        </is>
      </c>
      <c r="B824" s="1" t="n">
        <v>44732.3659837963</v>
      </c>
      <c r="C824" s="1" t="n">
        <v>45925</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33838-2022</t>
        </is>
      </c>
      <c r="B825" s="1" t="n">
        <v>44790.49040509259</v>
      </c>
      <c r="C825" s="1" t="n">
        <v>45925</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4058-2024</t>
        </is>
      </c>
      <c r="B826" s="1" t="n">
        <v>45323.53744212963</v>
      </c>
      <c r="C826" s="1" t="n">
        <v>45925</v>
      </c>
      <c r="D826" t="inlineStr">
        <is>
          <t>KALMAR LÄN</t>
        </is>
      </c>
      <c r="E826" t="inlineStr">
        <is>
          <t>VIMMERBY</t>
        </is>
      </c>
      <c r="G826" t="n">
        <v>6.5</v>
      </c>
      <c r="H826" t="n">
        <v>0</v>
      </c>
      <c r="I826" t="n">
        <v>0</v>
      </c>
      <c r="J826" t="n">
        <v>0</v>
      </c>
      <c r="K826" t="n">
        <v>0</v>
      </c>
      <c r="L826" t="n">
        <v>0</v>
      </c>
      <c r="M826" t="n">
        <v>0</v>
      </c>
      <c r="N826" t="n">
        <v>0</v>
      </c>
      <c r="O826" t="n">
        <v>0</v>
      </c>
      <c r="P826" t="n">
        <v>0</v>
      </c>
      <c r="Q826" t="n">
        <v>0</v>
      </c>
      <c r="R826" s="2" t="inlineStr"/>
    </row>
    <row r="827" ht="15" customHeight="1">
      <c r="A827" t="inlineStr">
        <is>
          <t>A 36008-2024</t>
        </is>
      </c>
      <c r="B827" s="1" t="n">
        <v>45533.55362268518</v>
      </c>
      <c r="C827" s="1" t="n">
        <v>45925</v>
      </c>
      <c r="D827" t="inlineStr">
        <is>
          <t>KALMAR LÄN</t>
        </is>
      </c>
      <c r="E827" t="inlineStr">
        <is>
          <t>VIMMERBY</t>
        </is>
      </c>
      <c r="G827" t="n">
        <v>3.7</v>
      </c>
      <c r="H827" t="n">
        <v>0</v>
      </c>
      <c r="I827" t="n">
        <v>0</v>
      </c>
      <c r="J827" t="n">
        <v>0</v>
      </c>
      <c r="K827" t="n">
        <v>0</v>
      </c>
      <c r="L827" t="n">
        <v>0</v>
      </c>
      <c r="M827" t="n">
        <v>0</v>
      </c>
      <c r="N827" t="n">
        <v>0</v>
      </c>
      <c r="O827" t="n">
        <v>0</v>
      </c>
      <c r="P827" t="n">
        <v>0</v>
      </c>
      <c r="Q827" t="n">
        <v>0</v>
      </c>
      <c r="R827" s="2" t="inlineStr"/>
    </row>
    <row r="828" ht="15" customHeight="1">
      <c r="A828" t="inlineStr">
        <is>
          <t>A 18669-2025</t>
        </is>
      </c>
      <c r="B828" s="1" t="n">
        <v>45763.59436342592</v>
      </c>
      <c r="C828" s="1" t="n">
        <v>45925</v>
      </c>
      <c r="D828" t="inlineStr">
        <is>
          <t>KALMAR LÄN</t>
        </is>
      </c>
      <c r="E828" t="inlineStr">
        <is>
          <t>VIMMERBY</t>
        </is>
      </c>
      <c r="G828" t="n">
        <v>2.7</v>
      </c>
      <c r="H828" t="n">
        <v>0</v>
      </c>
      <c r="I828" t="n">
        <v>0</v>
      </c>
      <c r="J828" t="n">
        <v>0</v>
      </c>
      <c r="K828" t="n">
        <v>0</v>
      </c>
      <c r="L828" t="n">
        <v>0</v>
      </c>
      <c r="M828" t="n">
        <v>0</v>
      </c>
      <c r="N828" t="n">
        <v>0</v>
      </c>
      <c r="O828" t="n">
        <v>0</v>
      </c>
      <c r="P828" t="n">
        <v>0</v>
      </c>
      <c r="Q828" t="n">
        <v>0</v>
      </c>
      <c r="R828" s="2" t="inlineStr"/>
    </row>
    <row r="829" ht="15" customHeight="1">
      <c r="A829" t="inlineStr">
        <is>
          <t>A 8540-2024</t>
        </is>
      </c>
      <c r="B829" s="1" t="n">
        <v>45355.54138888889</v>
      </c>
      <c r="C829" s="1" t="n">
        <v>45925</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9623-2024</t>
        </is>
      </c>
      <c r="B830" s="1" t="n">
        <v>45361.87975694444</v>
      </c>
      <c r="C830" s="1" t="n">
        <v>45925</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5146-2024</t>
        </is>
      </c>
      <c r="B831" s="1" t="n">
        <v>45330</v>
      </c>
      <c r="C831" s="1" t="n">
        <v>45925</v>
      </c>
      <c r="D831" t="inlineStr">
        <is>
          <t>KALMAR LÄN</t>
        </is>
      </c>
      <c r="E831" t="inlineStr">
        <is>
          <t>VIMMERBY</t>
        </is>
      </c>
      <c r="G831" t="n">
        <v>5.3</v>
      </c>
      <c r="H831" t="n">
        <v>0</v>
      </c>
      <c r="I831" t="n">
        <v>0</v>
      </c>
      <c r="J831" t="n">
        <v>0</v>
      </c>
      <c r="K831" t="n">
        <v>0</v>
      </c>
      <c r="L831" t="n">
        <v>0</v>
      </c>
      <c r="M831" t="n">
        <v>0</v>
      </c>
      <c r="N831" t="n">
        <v>0</v>
      </c>
      <c r="O831" t="n">
        <v>0</v>
      </c>
      <c r="P831" t="n">
        <v>0</v>
      </c>
      <c r="Q831" t="n">
        <v>0</v>
      </c>
      <c r="R831" s="2" t="inlineStr"/>
    </row>
    <row r="832" ht="15" customHeight="1">
      <c r="A832" t="inlineStr">
        <is>
          <t>A 5148-2024</t>
        </is>
      </c>
      <c r="B832" s="1" t="n">
        <v>45330</v>
      </c>
      <c r="C832" s="1" t="n">
        <v>45925</v>
      </c>
      <c r="D832" t="inlineStr">
        <is>
          <t>KALMAR LÄN</t>
        </is>
      </c>
      <c r="E832" t="inlineStr">
        <is>
          <t>VIMMERBY</t>
        </is>
      </c>
      <c r="G832" t="n">
        <v>5.6</v>
      </c>
      <c r="H832" t="n">
        <v>0</v>
      </c>
      <c r="I832" t="n">
        <v>0</v>
      </c>
      <c r="J832" t="n">
        <v>0</v>
      </c>
      <c r="K832" t="n">
        <v>0</v>
      </c>
      <c r="L832" t="n">
        <v>0</v>
      </c>
      <c r="M832" t="n">
        <v>0</v>
      </c>
      <c r="N832" t="n">
        <v>0</v>
      </c>
      <c r="O832" t="n">
        <v>0</v>
      </c>
      <c r="P832" t="n">
        <v>0</v>
      </c>
      <c r="Q832" t="n">
        <v>0</v>
      </c>
      <c r="R832" s="2" t="inlineStr"/>
    </row>
    <row r="833" ht="15" customHeight="1">
      <c r="A833" t="inlineStr">
        <is>
          <t>A 44179-2022</t>
        </is>
      </c>
      <c r="B833" s="1" t="n">
        <v>44839.4528125</v>
      </c>
      <c r="C833" s="1" t="n">
        <v>45925</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50648-2023</t>
        </is>
      </c>
      <c r="B834" s="1" t="n">
        <v>45217.47834490741</v>
      </c>
      <c r="C834" s="1" t="n">
        <v>45925</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2121-2022</t>
        </is>
      </c>
      <c r="B835" s="1" t="n">
        <v>44578.32717592592</v>
      </c>
      <c r="C835" s="1" t="n">
        <v>45925</v>
      </c>
      <c r="D835" t="inlineStr">
        <is>
          <t>KALMAR LÄN</t>
        </is>
      </c>
      <c r="E835" t="inlineStr">
        <is>
          <t>VIMMERBY</t>
        </is>
      </c>
      <c r="G835" t="n">
        <v>2</v>
      </c>
      <c r="H835" t="n">
        <v>0</v>
      </c>
      <c r="I835" t="n">
        <v>0</v>
      </c>
      <c r="J835" t="n">
        <v>0</v>
      </c>
      <c r="K835" t="n">
        <v>0</v>
      </c>
      <c r="L835" t="n">
        <v>0</v>
      </c>
      <c r="M835" t="n">
        <v>0</v>
      </c>
      <c r="N835" t="n">
        <v>0</v>
      </c>
      <c r="O835" t="n">
        <v>0</v>
      </c>
      <c r="P835" t="n">
        <v>0</v>
      </c>
      <c r="Q835" t="n">
        <v>0</v>
      </c>
      <c r="R835" s="2" t="inlineStr"/>
    </row>
    <row r="836" ht="15" customHeight="1">
      <c r="A836" t="inlineStr">
        <is>
          <t>A 57799-2022</t>
        </is>
      </c>
      <c r="B836" s="1" t="n">
        <v>44897</v>
      </c>
      <c r="C836" s="1" t="n">
        <v>45925</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15394-2025</t>
        </is>
      </c>
      <c r="B837" s="1" t="n">
        <v>45747.43196759259</v>
      </c>
      <c r="C837" s="1" t="n">
        <v>45925</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26318-2023</t>
        </is>
      </c>
      <c r="B838" s="1" t="n">
        <v>45091.67936342592</v>
      </c>
      <c r="C838" s="1" t="n">
        <v>45925</v>
      </c>
      <c r="D838" t="inlineStr">
        <is>
          <t>KALMAR LÄN</t>
        </is>
      </c>
      <c r="E838" t="inlineStr">
        <is>
          <t>VIMMERBY</t>
        </is>
      </c>
      <c r="G838" t="n">
        <v>3.8</v>
      </c>
      <c r="H838" t="n">
        <v>0</v>
      </c>
      <c r="I838" t="n">
        <v>0</v>
      </c>
      <c r="J838" t="n">
        <v>0</v>
      </c>
      <c r="K838" t="n">
        <v>0</v>
      </c>
      <c r="L838" t="n">
        <v>0</v>
      </c>
      <c r="M838" t="n">
        <v>0</v>
      </c>
      <c r="N838" t="n">
        <v>0</v>
      </c>
      <c r="O838" t="n">
        <v>0</v>
      </c>
      <c r="P838" t="n">
        <v>0</v>
      </c>
      <c r="Q838" t="n">
        <v>0</v>
      </c>
      <c r="R838" s="2" t="inlineStr"/>
    </row>
    <row r="839" ht="15" customHeight="1">
      <c r="A839" t="inlineStr">
        <is>
          <t>A 60437-2023</t>
        </is>
      </c>
      <c r="B839" s="1" t="n">
        <v>45259.51916666667</v>
      </c>
      <c r="C839" s="1" t="n">
        <v>45925</v>
      </c>
      <c r="D839" t="inlineStr">
        <is>
          <t>KALMAR LÄN</t>
        </is>
      </c>
      <c r="E839" t="inlineStr">
        <is>
          <t>VIMMERBY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60438-2023</t>
        </is>
      </c>
      <c r="B840" s="1" t="n">
        <v>45259.52020833334</v>
      </c>
      <c r="C840" s="1" t="n">
        <v>45925</v>
      </c>
      <c r="D840" t="inlineStr">
        <is>
          <t>KALMAR LÄN</t>
        </is>
      </c>
      <c r="E840" t="inlineStr">
        <is>
          <t>VIMMERBY</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13076-2025</t>
        </is>
      </c>
      <c r="B841" s="1" t="n">
        <v>45734.62017361111</v>
      </c>
      <c r="C841" s="1" t="n">
        <v>45925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7758-2024</t>
        </is>
      </c>
      <c r="B842" s="1" t="n">
        <v>45349.54434027777</v>
      </c>
      <c r="C842" s="1" t="n">
        <v>45925</v>
      </c>
      <c r="D842" t="inlineStr">
        <is>
          <t>KALMAR LÄN</t>
        </is>
      </c>
      <c r="E842" t="inlineStr">
        <is>
          <t>VIMMERBY</t>
        </is>
      </c>
      <c r="G842" t="n">
        <v>3.5</v>
      </c>
      <c r="H842" t="n">
        <v>0</v>
      </c>
      <c r="I842" t="n">
        <v>0</v>
      </c>
      <c r="J842" t="n">
        <v>0</v>
      </c>
      <c r="K842" t="n">
        <v>0</v>
      </c>
      <c r="L842" t="n">
        <v>0</v>
      </c>
      <c r="M842" t="n">
        <v>0</v>
      </c>
      <c r="N842" t="n">
        <v>0</v>
      </c>
      <c r="O842" t="n">
        <v>0</v>
      </c>
      <c r="P842" t="n">
        <v>0</v>
      </c>
      <c r="Q842" t="n">
        <v>0</v>
      </c>
      <c r="R842" s="2" t="inlineStr"/>
    </row>
    <row r="843" ht="15" customHeight="1">
      <c r="A843" t="inlineStr">
        <is>
          <t>A 7456-2024</t>
        </is>
      </c>
      <c r="B843" s="1" t="n">
        <v>45345.83557870371</v>
      </c>
      <c r="C843" s="1" t="n">
        <v>45925</v>
      </c>
      <c r="D843" t="inlineStr">
        <is>
          <t>KALMAR LÄN</t>
        </is>
      </c>
      <c r="E843" t="inlineStr">
        <is>
          <t>VIMMERBY</t>
        </is>
      </c>
      <c r="G843" t="n">
        <v>4.1</v>
      </c>
      <c r="H843" t="n">
        <v>0</v>
      </c>
      <c r="I843" t="n">
        <v>0</v>
      </c>
      <c r="J843" t="n">
        <v>0</v>
      </c>
      <c r="K843" t="n">
        <v>0</v>
      </c>
      <c r="L843" t="n">
        <v>0</v>
      </c>
      <c r="M843" t="n">
        <v>0</v>
      </c>
      <c r="N843" t="n">
        <v>0</v>
      </c>
      <c r="O843" t="n">
        <v>0</v>
      </c>
      <c r="P843" t="n">
        <v>0</v>
      </c>
      <c r="Q843" t="n">
        <v>0</v>
      </c>
      <c r="R843" s="2" t="inlineStr"/>
    </row>
    <row r="844" ht="15" customHeight="1">
      <c r="A844" t="inlineStr">
        <is>
          <t>A 6082-2022</t>
        </is>
      </c>
      <c r="B844" s="1" t="n">
        <v>44599</v>
      </c>
      <c r="C844" s="1" t="n">
        <v>45925</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46979-2023</t>
        </is>
      </c>
      <c r="B845" s="1" t="n">
        <v>45201</v>
      </c>
      <c r="C845" s="1" t="n">
        <v>45925</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2596-2025</t>
        </is>
      </c>
      <c r="B846" s="1" t="n">
        <v>45674.71810185185</v>
      </c>
      <c r="C846" s="1" t="n">
        <v>45925</v>
      </c>
      <c r="D846" t="inlineStr">
        <is>
          <t>KALMAR LÄN</t>
        </is>
      </c>
      <c r="E846" t="inlineStr">
        <is>
          <t>VIMMERBY</t>
        </is>
      </c>
      <c r="G846" t="n">
        <v>9</v>
      </c>
      <c r="H846" t="n">
        <v>0</v>
      </c>
      <c r="I846" t="n">
        <v>0</v>
      </c>
      <c r="J846" t="n">
        <v>0</v>
      </c>
      <c r="K846" t="n">
        <v>0</v>
      </c>
      <c r="L846" t="n">
        <v>0</v>
      </c>
      <c r="M846" t="n">
        <v>0</v>
      </c>
      <c r="N846" t="n">
        <v>0</v>
      </c>
      <c r="O846" t="n">
        <v>0</v>
      </c>
      <c r="P846" t="n">
        <v>0</v>
      </c>
      <c r="Q846" t="n">
        <v>0</v>
      </c>
      <c r="R846" s="2" t="inlineStr"/>
    </row>
    <row r="847" ht="15" customHeight="1">
      <c r="A847" t="inlineStr">
        <is>
          <t>A 47855-2024</t>
        </is>
      </c>
      <c r="B847" s="1" t="n">
        <v>45588.66457175926</v>
      </c>
      <c r="C847" s="1" t="n">
        <v>45925</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63583-2023</t>
        </is>
      </c>
      <c r="B848" s="1" t="n">
        <v>45275.41833333333</v>
      </c>
      <c r="C848" s="1" t="n">
        <v>45925</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c r="A849" t="inlineStr">
        <is>
          <t>A 60228-2021</t>
        </is>
      </c>
      <c r="B849" s="1" t="n">
        <v>44495</v>
      </c>
      <c r="C849" s="1" t="n">
        <v>45925</v>
      </c>
      <c r="D849" t="inlineStr">
        <is>
          <t>KALMAR LÄN</t>
        </is>
      </c>
      <c r="E849" t="inlineStr">
        <is>
          <t>VIMMERBY</t>
        </is>
      </c>
      <c r="G849" t="n">
        <v>4.1</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2025-09-25T10:39:42Z</dcterms:created>
  <dcterms:modified xmlns:dcterms="http://purl.org/dc/terms/" xmlns:xsi="http://www.w3.org/2001/XMLSchema-instance" xsi:type="dcterms:W3CDTF">2025-09-25T10:39:42Z</dcterms:modified>
</cp:coreProperties>
</file>