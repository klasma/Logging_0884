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46177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46177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46177</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46177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46177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46177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15808-2025</t>
        </is>
      </c>
      <c r="B15" s="1" t="n">
        <v>45748</v>
      </c>
      <c r="C15" s="1" t="n">
        <v>46177</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55604-2025</t>
        </is>
      </c>
      <c r="B16" s="1" t="n">
        <v>45971</v>
      </c>
      <c r="C16" s="1" t="n">
        <v>46177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46177</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46177</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15427-2023</t>
        </is>
      </c>
      <c r="B19" s="1" t="n">
        <v>45020</v>
      </c>
      <c r="C19" s="1" t="n">
        <v>46177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46177</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46177</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46177</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46177</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14024-2023</t>
        </is>
      </c>
      <c r="B24" s="1" t="n">
        <v>45008.60878472222</v>
      </c>
      <c r="C24" s="1" t="n">
        <v>46177</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2518-2023</t>
        </is>
      </c>
      <c r="B25" s="1" t="n">
        <v>44943</v>
      </c>
      <c r="C25" s="1" t="n">
        <v>46177</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46177</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46177</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22396-2025</t>
        </is>
      </c>
      <c r="B28" s="1" t="n">
        <v>45786.52827546297</v>
      </c>
      <c r="C28" s="1" t="n">
        <v>46177</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42802-2025</t>
        </is>
      </c>
      <c r="B29" s="1" t="n">
        <v>45908</v>
      </c>
      <c r="C29" s="1" t="n">
        <v>46177</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19158-2023</t>
        </is>
      </c>
      <c r="B30" s="1" t="n">
        <v>45048</v>
      </c>
      <c r="C30" s="1" t="n">
        <v>46177</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46177</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46177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46177</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25155-2026</t>
        </is>
      </c>
      <c r="B34" s="1" t="n">
        <v>46175.44809027778</v>
      </c>
      <c r="C34" s="1" t="n">
        <v>46177</v>
      </c>
      <c r="D34" t="inlineStr">
        <is>
          <t>KALMAR LÄN</t>
        </is>
      </c>
      <c r="E34" t="inlineStr">
        <is>
          <t>VIMMERBY</t>
        </is>
      </c>
      <c r="G34" t="n">
        <v>2.9</v>
      </c>
      <c r="H34" t="n">
        <v>0</v>
      </c>
      <c r="I34" t="n">
        <v>1</v>
      </c>
      <c r="J34" t="n">
        <v>0</v>
      </c>
      <c r="K34" t="n">
        <v>0</v>
      </c>
      <c r="L34" t="n">
        <v>1</v>
      </c>
      <c r="M34" t="n">
        <v>0</v>
      </c>
      <c r="N34" t="n">
        <v>0</v>
      </c>
      <c r="O34" t="n">
        <v>1</v>
      </c>
      <c r="P34" t="n">
        <v>1</v>
      </c>
      <c r="Q34" t="n">
        <v>2</v>
      </c>
      <c r="R34" s="2" t="inlineStr">
        <is>
          <t>Ryl
Grönpyrola</t>
        </is>
      </c>
      <c r="S34">
        <f>HYPERLINK("https://klasma.github.io/Logging_0884/artfynd/A 25155-2026 artfynd.xlsx", "A 25155-2026")</f>
        <v/>
      </c>
      <c r="T34">
        <f>HYPERLINK("https://klasma.github.io/Logging_0884/kartor/A 25155-2026 karta.png", "A 25155-2026")</f>
        <v/>
      </c>
      <c r="V34">
        <f>HYPERLINK("https://klasma.github.io/Logging_0884/klagomål/A 25155-2026 FSC-klagomål.docx", "A 25155-2026")</f>
        <v/>
      </c>
      <c r="W34">
        <f>HYPERLINK("https://klasma.github.io/Logging_0884/klagomålsmail/A 25155-2026 FSC-klagomål mail.docx", "A 25155-2026")</f>
        <v/>
      </c>
      <c r="X34">
        <f>HYPERLINK("https://klasma.github.io/Logging_0884/tillsyn/A 25155-2026 tillsynsbegäran.docx", "A 25155-2026")</f>
        <v/>
      </c>
      <c r="Y34">
        <f>HYPERLINK("https://klasma.github.io/Logging_0884/tillsynsmail/A 25155-2026 tillsynsbegäran mail.docx", "A 25155-2026")</f>
        <v/>
      </c>
    </row>
    <row r="35" ht="15" customHeight="1">
      <c r="A35" t="inlineStr">
        <is>
          <t>A 32396-2021</t>
        </is>
      </c>
      <c r="B35" s="1" t="n">
        <v>44371</v>
      </c>
      <c r="C35" s="1" t="n">
        <v>46177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15122-2024</t>
        </is>
      </c>
      <c r="B36" s="1" t="n">
        <v>45399.71412037037</v>
      </c>
      <c r="C36" s="1" t="n">
        <v>46177</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46177</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37930-2021</t>
        </is>
      </c>
      <c r="B38" s="1" t="n">
        <v>44403</v>
      </c>
      <c r="C38" s="1" t="n">
        <v>46177</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28852-2023</t>
        </is>
      </c>
      <c r="B39" s="1" t="n">
        <v>45104</v>
      </c>
      <c r="C39" s="1" t="n">
        <v>46177</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46177</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40083-2023</t>
        </is>
      </c>
      <c r="B41" s="1" t="n">
        <v>45168</v>
      </c>
      <c r="C41" s="1" t="n">
        <v>46177</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46177</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1201-2025</t>
        </is>
      </c>
      <c r="B43" s="1" t="n">
        <v>45667</v>
      </c>
      <c r="C43" s="1" t="n">
        <v>46177</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9067-2025</t>
        </is>
      </c>
      <c r="B44" s="1" t="n">
        <v>45713</v>
      </c>
      <c r="C44" s="1" t="n">
        <v>46177</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23602-2023</t>
        </is>
      </c>
      <c r="B45" s="1" t="n">
        <v>45077</v>
      </c>
      <c r="C45" s="1" t="n">
        <v>46177</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53400-2025</t>
        </is>
      </c>
      <c r="B46" s="1" t="n">
        <v>45959.56684027778</v>
      </c>
      <c r="C46" s="1" t="n">
        <v>46177</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46177</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29183-2025</t>
        </is>
      </c>
      <c r="B48" s="1" t="n">
        <v>45821</v>
      </c>
      <c r="C48" s="1" t="n">
        <v>46177</v>
      </c>
      <c r="D48" t="inlineStr">
        <is>
          <t>KALMAR LÄN</t>
        </is>
      </c>
      <c r="E48" t="inlineStr">
        <is>
          <t>VIMMERBY</t>
        </is>
      </c>
      <c r="G48" t="n">
        <v>2.7</v>
      </c>
      <c r="H48" t="n">
        <v>0</v>
      </c>
      <c r="I48" t="n">
        <v>1</v>
      </c>
      <c r="J48" t="n">
        <v>0</v>
      </c>
      <c r="K48" t="n">
        <v>0</v>
      </c>
      <c r="L48" t="n">
        <v>0</v>
      </c>
      <c r="M48" t="n">
        <v>0</v>
      </c>
      <c r="N48" t="n">
        <v>0</v>
      </c>
      <c r="O48" t="n">
        <v>0</v>
      </c>
      <c r="P48" t="n">
        <v>0</v>
      </c>
      <c r="Q48" t="n">
        <v>1</v>
      </c>
      <c r="R48" s="2" t="inlineStr">
        <is>
          <t>Sårläka</t>
        </is>
      </c>
      <c r="S48">
        <f>HYPERLINK("https://klasma.github.io/Logging_0884/artfynd/A 29183-2025 artfynd.xlsx", "A 29183-2025")</f>
        <v/>
      </c>
      <c r="T48">
        <f>HYPERLINK("https://klasma.github.io/Logging_0884/kartor/A 29183-2025 karta.png", "A 29183-2025")</f>
        <v/>
      </c>
      <c r="V48">
        <f>HYPERLINK("https://klasma.github.io/Logging_0884/klagomål/A 29183-2025 FSC-klagomål.docx", "A 29183-2025")</f>
        <v/>
      </c>
      <c r="W48">
        <f>HYPERLINK("https://klasma.github.io/Logging_0884/klagomålsmail/A 29183-2025 FSC-klagomål mail.docx", "A 29183-2025")</f>
        <v/>
      </c>
      <c r="X48">
        <f>HYPERLINK("https://klasma.github.io/Logging_0884/tillsyn/A 29183-2025 tillsynsbegäran.docx", "A 29183-2025")</f>
        <v/>
      </c>
      <c r="Y48">
        <f>HYPERLINK("https://klasma.github.io/Logging_0884/tillsynsmail/A 29183-2025 tillsynsbegäran mail.docx", "A 29183-2025")</f>
        <v/>
      </c>
    </row>
    <row r="49" ht="15" customHeight="1">
      <c r="A49" t="inlineStr">
        <is>
          <t>A 55384-2025</t>
        </is>
      </c>
      <c r="B49" s="1" t="n">
        <v>45971.43178240741</v>
      </c>
      <c r="C49" s="1" t="n">
        <v>46177</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52301-2023</t>
        </is>
      </c>
      <c r="B50" s="1" t="n">
        <v>45224</v>
      </c>
      <c r="C50" s="1" t="n">
        <v>46177</v>
      </c>
      <c r="D50" t="inlineStr">
        <is>
          <t>KALMAR LÄN</t>
        </is>
      </c>
      <c r="E50" t="inlineStr">
        <is>
          <t>VIMMERBY</t>
        </is>
      </c>
      <c r="G50" t="n">
        <v>5.3</v>
      </c>
      <c r="H50" t="n">
        <v>0</v>
      </c>
      <c r="I50" t="n">
        <v>0</v>
      </c>
      <c r="J50" t="n">
        <v>0</v>
      </c>
      <c r="K50" t="n">
        <v>0</v>
      </c>
      <c r="L50" t="n">
        <v>1</v>
      </c>
      <c r="M50" t="n">
        <v>0</v>
      </c>
      <c r="N50" t="n">
        <v>0</v>
      </c>
      <c r="O50" t="n">
        <v>1</v>
      </c>
      <c r="P50" t="n">
        <v>1</v>
      </c>
      <c r="Q50" t="n">
        <v>1</v>
      </c>
      <c r="R50" s="2" t="inlineStr">
        <is>
          <t>Ask</t>
        </is>
      </c>
      <c r="S50">
        <f>HYPERLINK("https://klasma.github.io/Logging_0884/artfynd/A 52301-2023 artfynd.xlsx", "A 52301-2023")</f>
        <v/>
      </c>
      <c r="T50">
        <f>HYPERLINK("https://klasma.github.io/Logging_0884/kartor/A 52301-2023 karta.png", "A 52301-2023")</f>
        <v/>
      </c>
      <c r="V50">
        <f>HYPERLINK("https://klasma.github.io/Logging_0884/klagomål/A 52301-2023 FSC-klagomål.docx", "A 52301-2023")</f>
        <v/>
      </c>
      <c r="W50">
        <f>HYPERLINK("https://klasma.github.io/Logging_0884/klagomålsmail/A 52301-2023 FSC-klagomål mail.docx", "A 52301-2023")</f>
        <v/>
      </c>
      <c r="X50">
        <f>HYPERLINK("https://klasma.github.io/Logging_0884/tillsyn/A 52301-2023 tillsynsbegäran.docx", "A 52301-2023")</f>
        <v/>
      </c>
      <c r="Y50">
        <f>HYPERLINK("https://klasma.github.io/Logging_0884/tillsynsmail/A 52301-2023 tillsynsbegäran mail.docx", "A 52301-2023")</f>
        <v/>
      </c>
    </row>
    <row r="51" ht="15" customHeight="1">
      <c r="A51" t="inlineStr">
        <is>
          <t>A 57062-2025</t>
        </is>
      </c>
      <c r="B51" s="1" t="n">
        <v>45979.37598379629</v>
      </c>
      <c r="C51" s="1" t="n">
        <v>46177</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33436-2021</t>
        </is>
      </c>
      <c r="B52" s="1" t="n">
        <v>44377.61104166666</v>
      </c>
      <c r="C52" s="1" t="n">
        <v>46177</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61860-2024</t>
        </is>
      </c>
      <c r="B53" s="1" t="n">
        <v>45649</v>
      </c>
      <c r="C53" s="1" t="n">
        <v>46177</v>
      </c>
      <c r="D53" t="inlineStr">
        <is>
          <t>KALMAR LÄN</t>
        </is>
      </c>
      <c r="E53" t="inlineStr">
        <is>
          <t>VIMMERBY</t>
        </is>
      </c>
      <c r="G53" t="n">
        <v>4.4</v>
      </c>
      <c r="H53" t="n">
        <v>1</v>
      </c>
      <c r="I53" t="n">
        <v>0</v>
      </c>
      <c r="J53" t="n">
        <v>0</v>
      </c>
      <c r="K53" t="n">
        <v>1</v>
      </c>
      <c r="L53" t="n">
        <v>0</v>
      </c>
      <c r="M53" t="n">
        <v>0</v>
      </c>
      <c r="N53" t="n">
        <v>0</v>
      </c>
      <c r="O53" t="n">
        <v>1</v>
      </c>
      <c r="P53" t="n">
        <v>1</v>
      </c>
      <c r="Q53" t="n">
        <v>1</v>
      </c>
      <c r="R53" s="2" t="inlineStr">
        <is>
          <t>Knärot</t>
        </is>
      </c>
      <c r="S53">
        <f>HYPERLINK("https://klasma.github.io/Logging_0884/artfynd/A 61860-2024 artfynd.xlsx", "A 61860-2024")</f>
        <v/>
      </c>
      <c r="T53">
        <f>HYPERLINK("https://klasma.github.io/Logging_0884/kartor/A 61860-2024 karta.png", "A 61860-2024")</f>
        <v/>
      </c>
      <c r="U53">
        <f>HYPERLINK("https://klasma.github.io/Logging_0884/knärot/A 61860-2024 karta knärot.png", "A 61860-2024")</f>
        <v/>
      </c>
      <c r="V53">
        <f>HYPERLINK("https://klasma.github.io/Logging_0884/klagomål/A 61860-2024 FSC-klagomål.docx", "A 61860-2024")</f>
        <v/>
      </c>
      <c r="W53">
        <f>HYPERLINK("https://klasma.github.io/Logging_0884/klagomålsmail/A 61860-2024 FSC-klagomål mail.docx", "A 61860-2024")</f>
        <v/>
      </c>
      <c r="X53">
        <f>HYPERLINK("https://klasma.github.io/Logging_0884/tillsyn/A 61860-2024 tillsynsbegäran.docx", "A 61860-2024")</f>
        <v/>
      </c>
      <c r="Y53">
        <f>HYPERLINK("https://klasma.github.io/Logging_0884/tillsynsmail/A 61860-2024 tillsynsbegäran mail.docx", "A 61860-2024")</f>
        <v/>
      </c>
    </row>
    <row r="54" ht="15" customHeight="1">
      <c r="A54" t="inlineStr">
        <is>
          <t>A 59070-2021</t>
        </is>
      </c>
      <c r="B54" s="1" t="n">
        <v>44490.38613425926</v>
      </c>
      <c r="C54" s="1" t="n">
        <v>46177</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46177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46177</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46177</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46177</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46177</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46177</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63926-2021</t>
        </is>
      </c>
      <c r="B61" s="1" t="n">
        <v>44509</v>
      </c>
      <c r="C61" s="1" t="n">
        <v>46177</v>
      </c>
      <c r="D61" t="inlineStr">
        <is>
          <t>KALMAR LÄN</t>
        </is>
      </c>
      <c r="E61" t="inlineStr">
        <is>
          <t>VIMMERBY</t>
        </is>
      </c>
      <c r="G61" t="n">
        <v>0.7</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46177</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56378-2021</t>
        </is>
      </c>
      <c r="B63" s="1" t="n">
        <v>44480</v>
      </c>
      <c r="C63" s="1" t="n">
        <v>46177</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3426-2022</t>
        </is>
      </c>
      <c r="B64" s="1" t="n">
        <v>44585.51829861111</v>
      </c>
      <c r="C64" s="1" t="n">
        <v>46177</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40728-2022</t>
        </is>
      </c>
      <c r="B65" s="1" t="n">
        <v>44824.53434027778</v>
      </c>
      <c r="C65" s="1" t="n">
        <v>46177</v>
      </c>
      <c r="D65" t="inlineStr">
        <is>
          <t>KALMAR LÄN</t>
        </is>
      </c>
      <c r="E65" t="inlineStr">
        <is>
          <t>VIMMERBY</t>
        </is>
      </c>
      <c r="G65" t="n">
        <v>1.1</v>
      </c>
      <c r="H65" t="n">
        <v>0</v>
      </c>
      <c r="I65" t="n">
        <v>0</v>
      </c>
      <c r="J65" t="n">
        <v>0</v>
      </c>
      <c r="K65" t="n">
        <v>0</v>
      </c>
      <c r="L65" t="n">
        <v>0</v>
      </c>
      <c r="M65" t="n">
        <v>0</v>
      </c>
      <c r="N65" t="n">
        <v>0</v>
      </c>
      <c r="O65" t="n">
        <v>0</v>
      </c>
      <c r="P65" t="n">
        <v>0</v>
      </c>
      <c r="Q65" t="n">
        <v>0</v>
      </c>
      <c r="R65" s="2" t="inlineStr"/>
    </row>
    <row r="66" ht="15" customHeight="1">
      <c r="A66" t="inlineStr">
        <is>
          <t>A 40073-2021</t>
        </is>
      </c>
      <c r="B66" s="1" t="n">
        <v>44418</v>
      </c>
      <c r="C66" s="1" t="n">
        <v>46177</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33051-2022</t>
        </is>
      </c>
      <c r="B67" s="1" t="n">
        <v>44785.40800925926</v>
      </c>
      <c r="C67" s="1" t="n">
        <v>46177</v>
      </c>
      <c r="D67" t="inlineStr">
        <is>
          <t>KALMAR LÄN</t>
        </is>
      </c>
      <c r="E67" t="inlineStr">
        <is>
          <t>VIMMERBY</t>
        </is>
      </c>
      <c r="G67" t="n">
        <v>0.3</v>
      </c>
      <c r="H67" t="n">
        <v>0</v>
      </c>
      <c r="I67" t="n">
        <v>0</v>
      </c>
      <c r="J67" t="n">
        <v>0</v>
      </c>
      <c r="K67" t="n">
        <v>0</v>
      </c>
      <c r="L67" t="n">
        <v>0</v>
      </c>
      <c r="M67" t="n">
        <v>0</v>
      </c>
      <c r="N67" t="n">
        <v>0</v>
      </c>
      <c r="O67" t="n">
        <v>0</v>
      </c>
      <c r="P67" t="n">
        <v>0</v>
      </c>
      <c r="Q67" t="n">
        <v>0</v>
      </c>
      <c r="R67" s="2" t="inlineStr"/>
    </row>
    <row r="68" ht="15" customHeight="1">
      <c r="A68" t="inlineStr">
        <is>
          <t>A 2183-2022</t>
        </is>
      </c>
      <c r="B68" s="1" t="n">
        <v>44578.47597222222</v>
      </c>
      <c r="C68" s="1" t="n">
        <v>46177</v>
      </c>
      <c r="D68" t="inlineStr">
        <is>
          <t>KALMAR LÄN</t>
        </is>
      </c>
      <c r="E68" t="inlineStr">
        <is>
          <t>VIMMERBY</t>
        </is>
      </c>
      <c r="G68" t="n">
        <v>4.8</v>
      </c>
      <c r="H68" t="n">
        <v>0</v>
      </c>
      <c r="I68" t="n">
        <v>0</v>
      </c>
      <c r="J68" t="n">
        <v>0</v>
      </c>
      <c r="K68" t="n">
        <v>0</v>
      </c>
      <c r="L68" t="n">
        <v>0</v>
      </c>
      <c r="M68" t="n">
        <v>0</v>
      </c>
      <c r="N68" t="n">
        <v>0</v>
      </c>
      <c r="O68" t="n">
        <v>0</v>
      </c>
      <c r="P68" t="n">
        <v>0</v>
      </c>
      <c r="Q68" t="n">
        <v>0</v>
      </c>
      <c r="R68" s="2" t="inlineStr"/>
    </row>
    <row r="69" ht="15" customHeight="1">
      <c r="A69" t="inlineStr">
        <is>
          <t>A 65670-2021</t>
        </is>
      </c>
      <c r="B69" s="1" t="n">
        <v>44516.59703703703</v>
      </c>
      <c r="C69" s="1" t="n">
        <v>46177</v>
      </c>
      <c r="D69" t="inlineStr">
        <is>
          <t>KALMAR LÄN</t>
        </is>
      </c>
      <c r="E69" t="inlineStr">
        <is>
          <t>VIMMERBY</t>
        </is>
      </c>
      <c r="G69" t="n">
        <v>1.9</v>
      </c>
      <c r="H69" t="n">
        <v>0</v>
      </c>
      <c r="I69" t="n">
        <v>0</v>
      </c>
      <c r="J69" t="n">
        <v>0</v>
      </c>
      <c r="K69" t="n">
        <v>0</v>
      </c>
      <c r="L69" t="n">
        <v>0</v>
      </c>
      <c r="M69" t="n">
        <v>0</v>
      </c>
      <c r="N69" t="n">
        <v>0</v>
      </c>
      <c r="O69" t="n">
        <v>0</v>
      </c>
      <c r="P69" t="n">
        <v>0</v>
      </c>
      <c r="Q69" t="n">
        <v>0</v>
      </c>
      <c r="R69" s="2" t="inlineStr"/>
    </row>
    <row r="70" ht="15" customHeight="1">
      <c r="A70" t="inlineStr">
        <is>
          <t>A 41438-2022</t>
        </is>
      </c>
      <c r="B70" s="1" t="n">
        <v>44826.68010416667</v>
      </c>
      <c r="C70" s="1" t="n">
        <v>46177</v>
      </c>
      <c r="D70" t="inlineStr">
        <is>
          <t>KALMAR LÄN</t>
        </is>
      </c>
      <c r="E70" t="inlineStr">
        <is>
          <t>VIMMERBY</t>
        </is>
      </c>
      <c r="G70" t="n">
        <v>3.1</v>
      </c>
      <c r="H70" t="n">
        <v>0</v>
      </c>
      <c r="I70" t="n">
        <v>0</v>
      </c>
      <c r="J70" t="n">
        <v>0</v>
      </c>
      <c r="K70" t="n">
        <v>0</v>
      </c>
      <c r="L70" t="n">
        <v>0</v>
      </c>
      <c r="M70" t="n">
        <v>0</v>
      </c>
      <c r="N70" t="n">
        <v>0</v>
      </c>
      <c r="O70" t="n">
        <v>0</v>
      </c>
      <c r="P70" t="n">
        <v>0</v>
      </c>
      <c r="Q70" t="n">
        <v>0</v>
      </c>
      <c r="R70" s="2" t="inlineStr"/>
    </row>
    <row r="71" ht="15" customHeight="1">
      <c r="A71" t="inlineStr">
        <is>
          <t>A 7049-2022</t>
        </is>
      </c>
      <c r="B71" s="1" t="n">
        <v>44603</v>
      </c>
      <c r="C71" s="1" t="n">
        <v>46177</v>
      </c>
      <c r="D71" t="inlineStr">
        <is>
          <t>KALMAR LÄN</t>
        </is>
      </c>
      <c r="E71" t="inlineStr">
        <is>
          <t>VIMMERBY</t>
        </is>
      </c>
      <c r="G71" t="n">
        <v>2.3</v>
      </c>
      <c r="H71" t="n">
        <v>0</v>
      </c>
      <c r="I71" t="n">
        <v>0</v>
      </c>
      <c r="J71" t="n">
        <v>0</v>
      </c>
      <c r="K71" t="n">
        <v>0</v>
      </c>
      <c r="L71" t="n">
        <v>0</v>
      </c>
      <c r="M71" t="n">
        <v>0</v>
      </c>
      <c r="N71" t="n">
        <v>0</v>
      </c>
      <c r="O71" t="n">
        <v>0</v>
      </c>
      <c r="P71" t="n">
        <v>0</v>
      </c>
      <c r="Q71" t="n">
        <v>0</v>
      </c>
      <c r="R71" s="2" t="inlineStr"/>
    </row>
    <row r="72" ht="15" customHeight="1">
      <c r="A72" t="inlineStr">
        <is>
          <t>A 4296-2022</t>
        </is>
      </c>
      <c r="B72" s="1" t="n">
        <v>44588</v>
      </c>
      <c r="C72" s="1" t="n">
        <v>46177</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50809-2022</t>
        </is>
      </c>
      <c r="B73" s="1" t="n">
        <v>44862</v>
      </c>
      <c r="C73" s="1" t="n">
        <v>46177</v>
      </c>
      <c r="D73" t="inlineStr">
        <is>
          <t>KALMAR LÄN</t>
        </is>
      </c>
      <c r="E73" t="inlineStr">
        <is>
          <t>VIMMERBY</t>
        </is>
      </c>
      <c r="G73" t="n">
        <v>3.7</v>
      </c>
      <c r="H73" t="n">
        <v>0</v>
      </c>
      <c r="I73" t="n">
        <v>0</v>
      </c>
      <c r="J73" t="n">
        <v>0</v>
      </c>
      <c r="K73" t="n">
        <v>0</v>
      </c>
      <c r="L73" t="n">
        <v>0</v>
      </c>
      <c r="M73" t="n">
        <v>0</v>
      </c>
      <c r="N73" t="n">
        <v>0</v>
      </c>
      <c r="O73" t="n">
        <v>0</v>
      </c>
      <c r="P73" t="n">
        <v>0</v>
      </c>
      <c r="Q73" t="n">
        <v>0</v>
      </c>
      <c r="R73" s="2" t="inlineStr"/>
    </row>
    <row r="74" ht="15" customHeight="1">
      <c r="A74" t="inlineStr">
        <is>
          <t>A 38086-2021</t>
        </is>
      </c>
      <c r="B74" s="1" t="n">
        <v>44404.87505787037</v>
      </c>
      <c r="C74" s="1" t="n">
        <v>46177</v>
      </c>
      <c r="D74" t="inlineStr">
        <is>
          <t>KALMAR LÄN</t>
        </is>
      </c>
      <c r="E74" t="inlineStr">
        <is>
          <t>VIMMERBY</t>
        </is>
      </c>
      <c r="G74" t="n">
        <v>4.4</v>
      </c>
      <c r="H74" t="n">
        <v>0</v>
      </c>
      <c r="I74" t="n">
        <v>0</v>
      </c>
      <c r="J74" t="n">
        <v>0</v>
      </c>
      <c r="K74" t="n">
        <v>0</v>
      </c>
      <c r="L74" t="n">
        <v>0</v>
      </c>
      <c r="M74" t="n">
        <v>0</v>
      </c>
      <c r="N74" t="n">
        <v>0</v>
      </c>
      <c r="O74" t="n">
        <v>0</v>
      </c>
      <c r="P74" t="n">
        <v>0</v>
      </c>
      <c r="Q74" t="n">
        <v>0</v>
      </c>
      <c r="R74" s="2" t="inlineStr"/>
    </row>
    <row r="75" ht="15" customHeight="1">
      <c r="A75" t="inlineStr">
        <is>
          <t>A 59791-2021</t>
        </is>
      </c>
      <c r="B75" s="1" t="n">
        <v>44494</v>
      </c>
      <c r="C75" s="1" t="n">
        <v>46177</v>
      </c>
      <c r="D75" t="inlineStr">
        <is>
          <t>KALMAR LÄN</t>
        </is>
      </c>
      <c r="E75" t="inlineStr">
        <is>
          <t>VIMMERBY</t>
        </is>
      </c>
      <c r="G75" t="n">
        <v>0.5</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46177</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27762-2021</t>
        </is>
      </c>
      <c r="B77" s="1" t="n">
        <v>44354</v>
      </c>
      <c r="C77" s="1" t="n">
        <v>46177</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46177</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46177</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33829-2022</t>
        </is>
      </c>
      <c r="B80" s="1" t="n">
        <v>44790</v>
      </c>
      <c r="C80" s="1" t="n">
        <v>46177</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68840-2021</t>
        </is>
      </c>
      <c r="B81" s="1" t="n">
        <v>44530.38055555556</v>
      </c>
      <c r="C81" s="1" t="n">
        <v>46177</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4118-2022</t>
        </is>
      </c>
      <c r="B82" s="1" t="n">
        <v>44588</v>
      </c>
      <c r="C82" s="1" t="n">
        <v>46177</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4126-2022</t>
        </is>
      </c>
      <c r="B83" s="1" t="n">
        <v>44588</v>
      </c>
      <c r="C83" s="1" t="n">
        <v>46177</v>
      </c>
      <c r="D83" t="inlineStr">
        <is>
          <t>KALMAR LÄN</t>
        </is>
      </c>
      <c r="E83" t="inlineStr">
        <is>
          <t>VIMMERBY</t>
        </is>
      </c>
      <c r="G83" t="n">
        <v>0.6</v>
      </c>
      <c r="H83" t="n">
        <v>0</v>
      </c>
      <c r="I83" t="n">
        <v>0</v>
      </c>
      <c r="J83" t="n">
        <v>0</v>
      </c>
      <c r="K83" t="n">
        <v>0</v>
      </c>
      <c r="L83" t="n">
        <v>0</v>
      </c>
      <c r="M83" t="n">
        <v>0</v>
      </c>
      <c r="N83" t="n">
        <v>0</v>
      </c>
      <c r="O83" t="n">
        <v>0</v>
      </c>
      <c r="P83" t="n">
        <v>0</v>
      </c>
      <c r="Q83" t="n">
        <v>0</v>
      </c>
      <c r="R83" s="2" t="inlineStr"/>
    </row>
    <row r="84" ht="15" customHeight="1">
      <c r="A84" t="inlineStr">
        <is>
          <t>A 33820-2022</t>
        </is>
      </c>
      <c r="B84" s="1" t="n">
        <v>44790</v>
      </c>
      <c r="C84" s="1" t="n">
        <v>46177</v>
      </c>
      <c r="D84" t="inlineStr">
        <is>
          <t>KALMAR LÄN</t>
        </is>
      </c>
      <c r="E84" t="inlineStr">
        <is>
          <t>VIMMERBY</t>
        </is>
      </c>
      <c r="G84" t="n">
        <v>3</v>
      </c>
      <c r="H84" t="n">
        <v>0</v>
      </c>
      <c r="I84" t="n">
        <v>0</v>
      </c>
      <c r="J84" t="n">
        <v>0</v>
      </c>
      <c r="K84" t="n">
        <v>0</v>
      </c>
      <c r="L84" t="n">
        <v>0</v>
      </c>
      <c r="M84" t="n">
        <v>0</v>
      </c>
      <c r="N84" t="n">
        <v>0</v>
      </c>
      <c r="O84" t="n">
        <v>0</v>
      </c>
      <c r="P84" t="n">
        <v>0</v>
      </c>
      <c r="Q84" t="n">
        <v>0</v>
      </c>
      <c r="R84" s="2" t="inlineStr"/>
    </row>
    <row r="85" ht="15" customHeight="1">
      <c r="A85" t="inlineStr">
        <is>
          <t>A 33824-2022</t>
        </is>
      </c>
      <c r="B85" s="1" t="n">
        <v>44790.47628472222</v>
      </c>
      <c r="C85" s="1" t="n">
        <v>46177</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55297-2021</t>
        </is>
      </c>
      <c r="B86" s="1" t="n">
        <v>44475</v>
      </c>
      <c r="C86" s="1" t="n">
        <v>46177</v>
      </c>
      <c r="D86" t="inlineStr">
        <is>
          <t>KALMAR LÄN</t>
        </is>
      </c>
      <c r="E86" t="inlineStr">
        <is>
          <t>VIMMERBY</t>
        </is>
      </c>
      <c r="G86" t="n">
        <v>4.1</v>
      </c>
      <c r="H86" t="n">
        <v>0</v>
      </c>
      <c r="I86" t="n">
        <v>0</v>
      </c>
      <c r="J86" t="n">
        <v>0</v>
      </c>
      <c r="K86" t="n">
        <v>0</v>
      </c>
      <c r="L86" t="n">
        <v>0</v>
      </c>
      <c r="M86" t="n">
        <v>0</v>
      </c>
      <c r="N86" t="n">
        <v>0</v>
      </c>
      <c r="O86" t="n">
        <v>0</v>
      </c>
      <c r="P86" t="n">
        <v>0</v>
      </c>
      <c r="Q86" t="n">
        <v>0</v>
      </c>
      <c r="R86" s="2" t="inlineStr"/>
    </row>
    <row r="87" ht="15" customHeight="1">
      <c r="A87" t="inlineStr">
        <is>
          <t>A 35531-2021</t>
        </is>
      </c>
      <c r="B87" s="1" t="n">
        <v>44385</v>
      </c>
      <c r="C87" s="1" t="n">
        <v>46177</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38789-2021</t>
        </is>
      </c>
      <c r="B88" s="1" t="n">
        <v>44410.71038194445</v>
      </c>
      <c r="C88" s="1" t="n">
        <v>46177</v>
      </c>
      <c r="D88" t="inlineStr">
        <is>
          <t>KALMAR LÄN</t>
        </is>
      </c>
      <c r="E88" t="inlineStr">
        <is>
          <t>VIMMERBY</t>
        </is>
      </c>
      <c r="G88" t="n">
        <v>3.7</v>
      </c>
      <c r="H88" t="n">
        <v>0</v>
      </c>
      <c r="I88" t="n">
        <v>0</v>
      </c>
      <c r="J88" t="n">
        <v>0</v>
      </c>
      <c r="K88" t="n">
        <v>0</v>
      </c>
      <c r="L88" t="n">
        <v>0</v>
      </c>
      <c r="M88" t="n">
        <v>0</v>
      </c>
      <c r="N88" t="n">
        <v>0</v>
      </c>
      <c r="O88" t="n">
        <v>0</v>
      </c>
      <c r="P88" t="n">
        <v>0</v>
      </c>
      <c r="Q88" t="n">
        <v>0</v>
      </c>
      <c r="R88" s="2" t="inlineStr"/>
    </row>
    <row r="89" ht="15" customHeight="1">
      <c r="A89" t="inlineStr">
        <is>
          <t>A 16290-2022</t>
        </is>
      </c>
      <c r="B89" s="1" t="n">
        <v>44670</v>
      </c>
      <c r="C89" s="1" t="n">
        <v>46177</v>
      </c>
      <c r="D89" t="inlineStr">
        <is>
          <t>KALMAR LÄN</t>
        </is>
      </c>
      <c r="E89" t="inlineStr">
        <is>
          <t>VIMMERBY</t>
        </is>
      </c>
      <c r="G89" t="n">
        <v>1.2</v>
      </c>
      <c r="H89" t="n">
        <v>0</v>
      </c>
      <c r="I89" t="n">
        <v>0</v>
      </c>
      <c r="J89" t="n">
        <v>0</v>
      </c>
      <c r="K89" t="n">
        <v>0</v>
      </c>
      <c r="L89" t="n">
        <v>0</v>
      </c>
      <c r="M89" t="n">
        <v>0</v>
      </c>
      <c r="N89" t="n">
        <v>0</v>
      </c>
      <c r="O89" t="n">
        <v>0</v>
      </c>
      <c r="P89" t="n">
        <v>0</v>
      </c>
      <c r="Q89" t="n">
        <v>0</v>
      </c>
      <c r="R89" s="2" t="inlineStr"/>
    </row>
    <row r="90" ht="15" customHeight="1">
      <c r="A90" t="inlineStr">
        <is>
          <t>A 30682-2021</t>
        </is>
      </c>
      <c r="B90" s="1" t="n">
        <v>44365</v>
      </c>
      <c r="C90" s="1" t="n">
        <v>46177</v>
      </c>
      <c r="D90" t="inlineStr">
        <is>
          <t>KALMAR LÄN</t>
        </is>
      </c>
      <c r="E90" t="inlineStr">
        <is>
          <t>VIMMERBY</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25049-2022</t>
        </is>
      </c>
      <c r="B91" s="1" t="n">
        <v>44729.28226851852</v>
      </c>
      <c r="C91" s="1" t="n">
        <v>46177</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31533-2022</t>
        </is>
      </c>
      <c r="B92" s="1" t="n">
        <v>44774</v>
      </c>
      <c r="C92" s="1" t="n">
        <v>46177</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25859-2022</t>
        </is>
      </c>
      <c r="B93" s="1" t="n">
        <v>44733</v>
      </c>
      <c r="C93" s="1" t="n">
        <v>46177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25868-2022</t>
        </is>
      </c>
      <c r="B94" s="1" t="n">
        <v>44733</v>
      </c>
      <c r="C94" s="1" t="n">
        <v>46177</v>
      </c>
      <c r="D94" t="inlineStr">
        <is>
          <t>KALMAR LÄN</t>
        </is>
      </c>
      <c r="E94" t="inlineStr">
        <is>
          <t>VIMMERBY</t>
        </is>
      </c>
      <c r="G94" t="n">
        <v>1.7</v>
      </c>
      <c r="H94" t="n">
        <v>0</v>
      </c>
      <c r="I94" t="n">
        <v>0</v>
      </c>
      <c r="J94" t="n">
        <v>0</v>
      </c>
      <c r="K94" t="n">
        <v>0</v>
      </c>
      <c r="L94" t="n">
        <v>0</v>
      </c>
      <c r="M94" t="n">
        <v>0</v>
      </c>
      <c r="N94" t="n">
        <v>0</v>
      </c>
      <c r="O94" t="n">
        <v>0</v>
      </c>
      <c r="P94" t="n">
        <v>0</v>
      </c>
      <c r="Q94" t="n">
        <v>0</v>
      </c>
      <c r="R94" s="2" t="inlineStr"/>
    </row>
    <row r="95" ht="15" customHeight="1">
      <c r="A95" t="inlineStr">
        <is>
          <t>A 32386-2021</t>
        </is>
      </c>
      <c r="B95" s="1" t="n">
        <v>44371.62743055556</v>
      </c>
      <c r="C95" s="1" t="n">
        <v>46177</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35633-2021</t>
        </is>
      </c>
      <c r="B96" s="1" t="n">
        <v>44386.40783564815</v>
      </c>
      <c r="C96" s="1" t="n">
        <v>46177</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56343-2021</t>
        </is>
      </c>
      <c r="B97" s="1" t="n">
        <v>44480</v>
      </c>
      <c r="C97" s="1" t="n">
        <v>46177</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51972-2021</t>
        </is>
      </c>
      <c r="B98" s="1" t="n">
        <v>44463.29439814815</v>
      </c>
      <c r="C98" s="1" t="n">
        <v>46177</v>
      </c>
      <c r="D98" t="inlineStr">
        <is>
          <t>KALMAR LÄN</t>
        </is>
      </c>
      <c r="E98" t="inlineStr">
        <is>
          <t>VIMMERBY</t>
        </is>
      </c>
      <c r="G98" t="n">
        <v>4.5</v>
      </c>
      <c r="H98" t="n">
        <v>0</v>
      </c>
      <c r="I98" t="n">
        <v>0</v>
      </c>
      <c r="J98" t="n">
        <v>0</v>
      </c>
      <c r="K98" t="n">
        <v>0</v>
      </c>
      <c r="L98" t="n">
        <v>0</v>
      </c>
      <c r="M98" t="n">
        <v>0</v>
      </c>
      <c r="N98" t="n">
        <v>0</v>
      </c>
      <c r="O98" t="n">
        <v>0</v>
      </c>
      <c r="P98" t="n">
        <v>0</v>
      </c>
      <c r="Q98" t="n">
        <v>0</v>
      </c>
      <c r="R98" s="2" t="inlineStr"/>
    </row>
    <row r="99" ht="15" customHeight="1">
      <c r="A99" t="inlineStr">
        <is>
          <t>A 4042-2022</t>
        </is>
      </c>
      <c r="B99" s="1" t="n">
        <v>44588</v>
      </c>
      <c r="C99" s="1" t="n">
        <v>46177</v>
      </c>
      <c r="D99" t="inlineStr">
        <is>
          <t>KALMAR LÄN</t>
        </is>
      </c>
      <c r="E99" t="inlineStr">
        <is>
          <t>VIMMERBY</t>
        </is>
      </c>
      <c r="G99" t="n">
        <v>4.7</v>
      </c>
      <c r="H99" t="n">
        <v>0</v>
      </c>
      <c r="I99" t="n">
        <v>0</v>
      </c>
      <c r="J99" t="n">
        <v>0</v>
      </c>
      <c r="K99" t="n">
        <v>0</v>
      </c>
      <c r="L99" t="n">
        <v>0</v>
      </c>
      <c r="M99" t="n">
        <v>0</v>
      </c>
      <c r="N99" t="n">
        <v>0</v>
      </c>
      <c r="O99" t="n">
        <v>0</v>
      </c>
      <c r="P99" t="n">
        <v>0</v>
      </c>
      <c r="Q99" t="n">
        <v>0</v>
      </c>
      <c r="R99" s="2" t="inlineStr"/>
    </row>
    <row r="100" ht="15" customHeight="1">
      <c r="A100" t="inlineStr">
        <is>
          <t>A 33690-2022</t>
        </is>
      </c>
      <c r="B100" s="1" t="n">
        <v>44789</v>
      </c>
      <c r="C100" s="1" t="n">
        <v>46177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67952-2021</t>
        </is>
      </c>
      <c r="B101" s="1" t="n">
        <v>44525.63913194444</v>
      </c>
      <c r="C101" s="1" t="n">
        <v>46177</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15533-2022</t>
        </is>
      </c>
      <c r="B102" s="1" t="n">
        <v>44662</v>
      </c>
      <c r="C102" s="1" t="n">
        <v>46177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35198-2021</t>
        </is>
      </c>
      <c r="B103" s="1" t="n">
        <v>44377</v>
      </c>
      <c r="C103" s="1" t="n">
        <v>46177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46177</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34036-2021</t>
        </is>
      </c>
      <c r="B105" s="1" t="n">
        <v>44379</v>
      </c>
      <c r="C105" s="1" t="n">
        <v>46177</v>
      </c>
      <c r="D105" t="inlineStr">
        <is>
          <t>KALMAR LÄN</t>
        </is>
      </c>
      <c r="E105" t="inlineStr">
        <is>
          <t>VIMMERBY</t>
        </is>
      </c>
      <c r="F105" t="inlineStr">
        <is>
          <t>Sveaskog</t>
        </is>
      </c>
      <c r="G105" t="n">
        <v>7</v>
      </c>
      <c r="H105" t="n">
        <v>0</v>
      </c>
      <c r="I105" t="n">
        <v>0</v>
      </c>
      <c r="J105" t="n">
        <v>0</v>
      </c>
      <c r="K105" t="n">
        <v>0</v>
      </c>
      <c r="L105" t="n">
        <v>0</v>
      </c>
      <c r="M105" t="n">
        <v>0</v>
      </c>
      <c r="N105" t="n">
        <v>0</v>
      </c>
      <c r="O105" t="n">
        <v>0</v>
      </c>
      <c r="P105" t="n">
        <v>0</v>
      </c>
      <c r="Q105" t="n">
        <v>0</v>
      </c>
      <c r="R105" s="2" t="inlineStr"/>
    </row>
    <row r="106" ht="15" customHeight="1">
      <c r="A106" t="inlineStr">
        <is>
          <t>A 63244-2021</t>
        </is>
      </c>
      <c r="B106" s="1" t="n">
        <v>44508</v>
      </c>
      <c r="C106" s="1" t="n">
        <v>46177</v>
      </c>
      <c r="D106" t="inlineStr">
        <is>
          <t>KALMAR LÄN</t>
        </is>
      </c>
      <c r="E106" t="inlineStr">
        <is>
          <t>VIMMERBY</t>
        </is>
      </c>
      <c r="F106" t="inlineStr">
        <is>
          <t>Övriga statliga verk och myndigheter</t>
        </is>
      </c>
      <c r="G106" t="n">
        <v>0.6</v>
      </c>
      <c r="H106" t="n">
        <v>0</v>
      </c>
      <c r="I106" t="n">
        <v>0</v>
      </c>
      <c r="J106" t="n">
        <v>0</v>
      </c>
      <c r="K106" t="n">
        <v>0</v>
      </c>
      <c r="L106" t="n">
        <v>0</v>
      </c>
      <c r="M106" t="n">
        <v>0</v>
      </c>
      <c r="N106" t="n">
        <v>0</v>
      </c>
      <c r="O106" t="n">
        <v>0</v>
      </c>
      <c r="P106" t="n">
        <v>0</v>
      </c>
      <c r="Q106" t="n">
        <v>0</v>
      </c>
      <c r="R106" s="2" t="inlineStr"/>
    </row>
    <row r="107" ht="15" customHeight="1">
      <c r="A107" t="inlineStr">
        <is>
          <t>A 34040-2021</t>
        </is>
      </c>
      <c r="B107" s="1" t="n">
        <v>44379</v>
      </c>
      <c r="C107" s="1" t="n">
        <v>46177</v>
      </c>
      <c r="D107" t="inlineStr">
        <is>
          <t>KALMAR LÄN</t>
        </is>
      </c>
      <c r="E107" t="inlineStr">
        <is>
          <t>VIMMERBY</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12107-2022</t>
        </is>
      </c>
      <c r="B108" s="1" t="n">
        <v>44636</v>
      </c>
      <c r="C108" s="1" t="n">
        <v>46177</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32603-2021</t>
        </is>
      </c>
      <c r="B109" s="1" t="n">
        <v>44375.38789351852</v>
      </c>
      <c r="C109" s="1" t="n">
        <v>46177</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39225-2022</t>
        </is>
      </c>
      <c r="B110" s="1" t="n">
        <v>44817.57988425926</v>
      </c>
      <c r="C110" s="1" t="n">
        <v>46177</v>
      </c>
      <c r="D110" t="inlineStr">
        <is>
          <t>KALMAR LÄN</t>
        </is>
      </c>
      <c r="E110" t="inlineStr">
        <is>
          <t>VIMMERBY</t>
        </is>
      </c>
      <c r="G110" t="n">
        <v>2.2</v>
      </c>
      <c r="H110" t="n">
        <v>0</v>
      </c>
      <c r="I110" t="n">
        <v>0</v>
      </c>
      <c r="J110" t="n">
        <v>0</v>
      </c>
      <c r="K110" t="n">
        <v>0</v>
      </c>
      <c r="L110" t="n">
        <v>0</v>
      </c>
      <c r="M110" t="n">
        <v>0</v>
      </c>
      <c r="N110" t="n">
        <v>0</v>
      </c>
      <c r="O110" t="n">
        <v>0</v>
      </c>
      <c r="P110" t="n">
        <v>0</v>
      </c>
      <c r="Q110" t="n">
        <v>0</v>
      </c>
      <c r="R110" s="2" t="inlineStr"/>
    </row>
    <row r="111" ht="15" customHeight="1">
      <c r="A111" t="inlineStr">
        <is>
          <t>A 36117-2021</t>
        </is>
      </c>
      <c r="B111" s="1" t="n">
        <v>44386</v>
      </c>
      <c r="C111" s="1" t="n">
        <v>46177</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17029-2022</t>
        </is>
      </c>
      <c r="B112" s="1" t="n">
        <v>44676.85248842592</v>
      </c>
      <c r="C112" s="1" t="n">
        <v>46177</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42521-2021</t>
        </is>
      </c>
      <c r="B113" s="1" t="n">
        <v>44427</v>
      </c>
      <c r="C113" s="1" t="n">
        <v>46177</v>
      </c>
      <c r="D113" t="inlineStr">
        <is>
          <t>KALMAR LÄN</t>
        </is>
      </c>
      <c r="E113" t="inlineStr">
        <is>
          <t>VIMMERBY</t>
        </is>
      </c>
      <c r="G113" t="n">
        <v>5.4</v>
      </c>
      <c r="H113" t="n">
        <v>0</v>
      </c>
      <c r="I113" t="n">
        <v>0</v>
      </c>
      <c r="J113" t="n">
        <v>0</v>
      </c>
      <c r="K113" t="n">
        <v>0</v>
      </c>
      <c r="L113" t="n">
        <v>0</v>
      </c>
      <c r="M113" t="n">
        <v>0</v>
      </c>
      <c r="N113" t="n">
        <v>0</v>
      </c>
      <c r="O113" t="n">
        <v>0</v>
      </c>
      <c r="P113" t="n">
        <v>0</v>
      </c>
      <c r="Q113" t="n">
        <v>0</v>
      </c>
      <c r="R113" s="2" t="inlineStr"/>
    </row>
    <row r="114" ht="15" customHeight="1">
      <c r="A114" t="inlineStr">
        <is>
          <t>A 7167-2022</t>
        </is>
      </c>
      <c r="B114" s="1" t="n">
        <v>44604</v>
      </c>
      <c r="C114" s="1" t="n">
        <v>46177</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11814-2022</t>
        </is>
      </c>
      <c r="B115" s="1" t="n">
        <v>44634.69703703704</v>
      </c>
      <c r="C115" s="1" t="n">
        <v>46177</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56385-2021</t>
        </is>
      </c>
      <c r="B116" s="1" t="n">
        <v>44480</v>
      </c>
      <c r="C116" s="1" t="n">
        <v>46177</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31053-2022</t>
        </is>
      </c>
      <c r="B117" s="1" t="n">
        <v>44769.45422453704</v>
      </c>
      <c r="C117" s="1" t="n">
        <v>46177</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35001-2021</t>
        </is>
      </c>
      <c r="B118" s="1" t="n">
        <v>44383</v>
      </c>
      <c r="C118" s="1" t="n">
        <v>46177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46964-2022</t>
        </is>
      </c>
      <c r="B119" s="1" t="n">
        <v>44851.95016203704</v>
      </c>
      <c r="C119" s="1" t="n">
        <v>46177</v>
      </c>
      <c r="D119" t="inlineStr">
        <is>
          <t>KALMAR LÄN</t>
        </is>
      </c>
      <c r="E119" t="inlineStr">
        <is>
          <t>VIMMERBY</t>
        </is>
      </c>
      <c r="G119" t="n">
        <v>0.2</v>
      </c>
      <c r="H119" t="n">
        <v>0</v>
      </c>
      <c r="I119" t="n">
        <v>0</v>
      </c>
      <c r="J119" t="n">
        <v>0</v>
      </c>
      <c r="K119" t="n">
        <v>0</v>
      </c>
      <c r="L119" t="n">
        <v>0</v>
      </c>
      <c r="M119" t="n">
        <v>0</v>
      </c>
      <c r="N119" t="n">
        <v>0</v>
      </c>
      <c r="O119" t="n">
        <v>0</v>
      </c>
      <c r="P119" t="n">
        <v>0</v>
      </c>
      <c r="Q119" t="n">
        <v>0</v>
      </c>
      <c r="R119" s="2" t="inlineStr"/>
    </row>
    <row r="120" ht="15" customHeight="1">
      <c r="A120" t="inlineStr">
        <is>
          <t>A 23825-2022</t>
        </is>
      </c>
      <c r="B120" s="1" t="n">
        <v>44722.48768518519</v>
      </c>
      <c r="C120" s="1" t="n">
        <v>46177</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55674-2021</t>
        </is>
      </c>
      <c r="B121" s="1" t="n">
        <v>44476</v>
      </c>
      <c r="C121" s="1" t="n">
        <v>46177</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46177</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13180-2022</t>
        </is>
      </c>
      <c r="B123" s="1" t="n">
        <v>44644</v>
      </c>
      <c r="C123" s="1" t="n">
        <v>46177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46177</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46177</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65887-2021</t>
        </is>
      </c>
      <c r="B126" s="1" t="n">
        <v>44517</v>
      </c>
      <c r="C126" s="1" t="n">
        <v>46177</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39959-2022</t>
        </is>
      </c>
      <c r="B127" s="1" t="n">
        <v>44819</v>
      </c>
      <c r="C127" s="1" t="n">
        <v>46177</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47473-2021</t>
        </is>
      </c>
      <c r="B128" s="1" t="n">
        <v>44447</v>
      </c>
      <c r="C128" s="1" t="n">
        <v>46177</v>
      </c>
      <c r="D128" t="inlineStr">
        <is>
          <t>KALMAR LÄN</t>
        </is>
      </c>
      <c r="E128" t="inlineStr">
        <is>
          <t>VIMMERBY</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42850-2022</t>
        </is>
      </c>
      <c r="B129" s="1" t="n">
        <v>44832.67608796297</v>
      </c>
      <c r="C129" s="1" t="n">
        <v>46177</v>
      </c>
      <c r="D129" t="inlineStr">
        <is>
          <t>KALMAR LÄN</t>
        </is>
      </c>
      <c r="E129" t="inlineStr">
        <is>
          <t>VIMMERBY</t>
        </is>
      </c>
      <c r="G129" t="n">
        <v>5.9</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46177</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46177</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35316-2021</t>
        </is>
      </c>
      <c r="B132" s="1" t="n">
        <v>44384</v>
      </c>
      <c r="C132" s="1" t="n">
        <v>46177</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33831-2022</t>
        </is>
      </c>
      <c r="B133" s="1" t="n">
        <v>44790.48503472222</v>
      </c>
      <c r="C133" s="1" t="n">
        <v>46177</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47708-2022</t>
        </is>
      </c>
      <c r="B134" s="1" t="n">
        <v>44854.59157407407</v>
      </c>
      <c r="C134" s="1" t="n">
        <v>46177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10086-2022</t>
        </is>
      </c>
      <c r="B135" s="1" t="n">
        <v>44621</v>
      </c>
      <c r="C135" s="1" t="n">
        <v>46177</v>
      </c>
      <c r="D135" t="inlineStr">
        <is>
          <t>KALMAR LÄN</t>
        </is>
      </c>
      <c r="E135" t="inlineStr">
        <is>
          <t>VIMMERBY</t>
        </is>
      </c>
      <c r="G135" t="n">
        <v>1.2</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46177</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46177</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9918-2022</t>
        </is>
      </c>
      <c r="B138" s="1" t="n">
        <v>44620</v>
      </c>
      <c r="C138" s="1" t="n">
        <v>46177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22197-2024</t>
        </is>
      </c>
      <c r="B139" s="1" t="n">
        <v>45446.36774305555</v>
      </c>
      <c r="C139" s="1" t="n">
        <v>46177</v>
      </c>
      <c r="D139" t="inlineStr">
        <is>
          <t>KALMAR LÄN</t>
        </is>
      </c>
      <c r="E139" t="inlineStr">
        <is>
          <t>VIMMERBY</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46177</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46177</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35710-2023</t>
        </is>
      </c>
      <c r="B142" s="1" t="n">
        <v>45147.67096064815</v>
      </c>
      <c r="C142" s="1" t="n">
        <v>46177</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35711-2023</t>
        </is>
      </c>
      <c r="B143" s="1" t="n">
        <v>45147.67172453704</v>
      </c>
      <c r="C143" s="1" t="n">
        <v>46177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41056-2022</t>
        </is>
      </c>
      <c r="B144" s="1" t="n">
        <v>44824</v>
      </c>
      <c r="C144" s="1" t="n">
        <v>46177</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31660-2021</t>
        </is>
      </c>
      <c r="B145" s="1" t="n">
        <v>44369</v>
      </c>
      <c r="C145" s="1" t="n">
        <v>46177</v>
      </c>
      <c r="D145" t="inlineStr">
        <is>
          <t>KALMAR LÄN</t>
        </is>
      </c>
      <c r="E145" t="inlineStr">
        <is>
          <t>VIMMERBY</t>
        </is>
      </c>
      <c r="G145" t="n">
        <v>4.2</v>
      </c>
      <c r="H145" t="n">
        <v>0</v>
      </c>
      <c r="I145" t="n">
        <v>0</v>
      </c>
      <c r="J145" t="n">
        <v>0</v>
      </c>
      <c r="K145" t="n">
        <v>0</v>
      </c>
      <c r="L145" t="n">
        <v>0</v>
      </c>
      <c r="M145" t="n">
        <v>0</v>
      </c>
      <c r="N145" t="n">
        <v>0</v>
      </c>
      <c r="O145" t="n">
        <v>0</v>
      </c>
      <c r="P145" t="n">
        <v>0</v>
      </c>
      <c r="Q145" t="n">
        <v>0</v>
      </c>
      <c r="R145" s="2" t="inlineStr"/>
    </row>
    <row r="146" ht="15" customHeight="1">
      <c r="A146" t="inlineStr">
        <is>
          <t>A 27455-2022</t>
        </is>
      </c>
      <c r="B146" s="1" t="n">
        <v>44742</v>
      </c>
      <c r="C146" s="1" t="n">
        <v>46177</v>
      </c>
      <c r="D146" t="inlineStr">
        <is>
          <t>KALMAR LÄN</t>
        </is>
      </c>
      <c r="E146" t="inlineStr">
        <is>
          <t>VIMMERBY</t>
        </is>
      </c>
      <c r="G146" t="n">
        <v>1.6</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46177</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40971-2021</t>
        </is>
      </c>
      <c r="B148" s="1" t="n">
        <v>44421</v>
      </c>
      <c r="C148" s="1" t="n">
        <v>46177</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56389-2021</t>
        </is>
      </c>
      <c r="B149" s="1" t="n">
        <v>44480</v>
      </c>
      <c r="C149" s="1" t="n">
        <v>46177</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8453-2022</t>
        </is>
      </c>
      <c r="B150" s="1" t="n">
        <v>44612.86554398148</v>
      </c>
      <c r="C150" s="1" t="n">
        <v>46177</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52433-2021</t>
        </is>
      </c>
      <c r="B151" s="1" t="n">
        <v>44466.34726851852</v>
      </c>
      <c r="C151" s="1" t="n">
        <v>46177</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50621-2022</t>
        </is>
      </c>
      <c r="B152" s="1" t="n">
        <v>44866.81100694444</v>
      </c>
      <c r="C152" s="1" t="n">
        <v>46177</v>
      </c>
      <c r="D152" t="inlineStr">
        <is>
          <t>KALMAR LÄN</t>
        </is>
      </c>
      <c r="E152" t="inlineStr">
        <is>
          <t>VIMMERBY</t>
        </is>
      </c>
      <c r="F152" t="inlineStr">
        <is>
          <t>Övriga Aktiebolag</t>
        </is>
      </c>
      <c r="G152" t="n">
        <v>5.1</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46177</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31824-2022</t>
        </is>
      </c>
      <c r="B154" s="1" t="n">
        <v>44776</v>
      </c>
      <c r="C154" s="1" t="n">
        <v>46177</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37187-2024</t>
        </is>
      </c>
      <c r="B155" s="1" t="n">
        <v>45539.65212962963</v>
      </c>
      <c r="C155" s="1" t="n">
        <v>46177</v>
      </c>
      <c r="D155" t="inlineStr">
        <is>
          <t>KALMAR LÄN</t>
        </is>
      </c>
      <c r="E155" t="inlineStr">
        <is>
          <t>VIMMERBY</t>
        </is>
      </c>
      <c r="G155" t="n">
        <v>2.7</v>
      </c>
      <c r="H155" t="n">
        <v>0</v>
      </c>
      <c r="I155" t="n">
        <v>0</v>
      </c>
      <c r="J155" t="n">
        <v>0</v>
      </c>
      <c r="K155" t="n">
        <v>0</v>
      </c>
      <c r="L155" t="n">
        <v>0</v>
      </c>
      <c r="M155" t="n">
        <v>0</v>
      </c>
      <c r="N155" t="n">
        <v>0</v>
      </c>
      <c r="O155" t="n">
        <v>0</v>
      </c>
      <c r="P155" t="n">
        <v>0</v>
      </c>
      <c r="Q155" t="n">
        <v>0</v>
      </c>
      <c r="R155" s="2" t="inlineStr"/>
    </row>
    <row r="156" ht="15" customHeight="1">
      <c r="A156" t="inlineStr">
        <is>
          <t>A 11733-2022</t>
        </is>
      </c>
      <c r="B156" s="1" t="n">
        <v>44634</v>
      </c>
      <c r="C156" s="1" t="n">
        <v>46177</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34588-2024</t>
        </is>
      </c>
      <c r="B157" s="1" t="n">
        <v>45526.3865625</v>
      </c>
      <c r="C157" s="1" t="n">
        <v>46177</v>
      </c>
      <c r="D157" t="inlineStr">
        <is>
          <t>KALMAR LÄN</t>
        </is>
      </c>
      <c r="E157" t="inlineStr">
        <is>
          <t>VIMMERBY</t>
        </is>
      </c>
      <c r="F157" t="inlineStr">
        <is>
          <t>Övriga Aktiebolag</t>
        </is>
      </c>
      <c r="G157" t="n">
        <v>3.3</v>
      </c>
      <c r="H157" t="n">
        <v>0</v>
      </c>
      <c r="I157" t="n">
        <v>0</v>
      </c>
      <c r="J157" t="n">
        <v>0</v>
      </c>
      <c r="K157" t="n">
        <v>0</v>
      </c>
      <c r="L157" t="n">
        <v>0</v>
      </c>
      <c r="M157" t="n">
        <v>0</v>
      </c>
      <c r="N157" t="n">
        <v>0</v>
      </c>
      <c r="O157" t="n">
        <v>0</v>
      </c>
      <c r="P157" t="n">
        <v>0</v>
      </c>
      <c r="Q157" t="n">
        <v>0</v>
      </c>
      <c r="R157" s="2" t="inlineStr"/>
    </row>
    <row r="158" ht="15" customHeight="1">
      <c r="A158" t="inlineStr">
        <is>
          <t>A 7804-2022</t>
        </is>
      </c>
      <c r="B158" s="1" t="n">
        <v>44608.50458333334</v>
      </c>
      <c r="C158" s="1" t="n">
        <v>46177</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56659-2023</t>
        </is>
      </c>
      <c r="B159" s="1" t="n">
        <v>45243.84869212963</v>
      </c>
      <c r="C159" s="1" t="n">
        <v>46177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46177</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29441-2024</t>
        </is>
      </c>
      <c r="B161" s="1" t="n">
        <v>45483.82834490741</v>
      </c>
      <c r="C161" s="1" t="n">
        <v>46177</v>
      </c>
      <c r="D161" t="inlineStr">
        <is>
          <t>KALMAR LÄN</t>
        </is>
      </c>
      <c r="E161" t="inlineStr">
        <is>
          <t>VIMMERBY</t>
        </is>
      </c>
      <c r="G161" t="n">
        <v>1.3</v>
      </c>
      <c r="H161" t="n">
        <v>0</v>
      </c>
      <c r="I161" t="n">
        <v>0</v>
      </c>
      <c r="J161" t="n">
        <v>0</v>
      </c>
      <c r="K161" t="n">
        <v>0</v>
      </c>
      <c r="L161" t="n">
        <v>0</v>
      </c>
      <c r="M161" t="n">
        <v>0</v>
      </c>
      <c r="N161" t="n">
        <v>0</v>
      </c>
      <c r="O161" t="n">
        <v>0</v>
      </c>
      <c r="P161" t="n">
        <v>0</v>
      </c>
      <c r="Q161" t="n">
        <v>0</v>
      </c>
      <c r="R161" s="2" t="inlineStr"/>
    </row>
    <row r="162" ht="15" customHeight="1">
      <c r="A162" t="inlineStr">
        <is>
          <t>A 25728-2023</t>
        </is>
      </c>
      <c r="B162" s="1" t="n">
        <v>45090.38012731481</v>
      </c>
      <c r="C162" s="1" t="n">
        <v>46177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12630-2023</t>
        </is>
      </c>
      <c r="B163" s="1" t="n">
        <v>45000.47998842593</v>
      </c>
      <c r="C163" s="1" t="n">
        <v>46177</v>
      </c>
      <c r="D163" t="inlineStr">
        <is>
          <t>KALMAR LÄN</t>
        </is>
      </c>
      <c r="E163" t="inlineStr">
        <is>
          <t>VIMMERBY</t>
        </is>
      </c>
      <c r="G163" t="n">
        <v>2.1</v>
      </c>
      <c r="H163" t="n">
        <v>0</v>
      </c>
      <c r="I163" t="n">
        <v>0</v>
      </c>
      <c r="J163" t="n">
        <v>0</v>
      </c>
      <c r="K163" t="n">
        <v>0</v>
      </c>
      <c r="L163" t="n">
        <v>0</v>
      </c>
      <c r="M163" t="n">
        <v>0</v>
      </c>
      <c r="N163" t="n">
        <v>0</v>
      </c>
      <c r="O163" t="n">
        <v>0</v>
      </c>
      <c r="P163" t="n">
        <v>0</v>
      </c>
      <c r="Q163" t="n">
        <v>0</v>
      </c>
      <c r="R163" s="2" t="inlineStr"/>
    </row>
    <row r="164" ht="15" customHeight="1">
      <c r="A164" t="inlineStr">
        <is>
          <t>A 39584-2024</t>
        </is>
      </c>
      <c r="B164" s="1" t="n">
        <v>45552.36759259259</v>
      </c>
      <c r="C164" s="1" t="n">
        <v>46177</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27705-2023</t>
        </is>
      </c>
      <c r="B165" s="1" t="n">
        <v>45098.30535879629</v>
      </c>
      <c r="C165" s="1" t="n">
        <v>46177</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3331-2023</t>
        </is>
      </c>
      <c r="B166" s="1" t="n">
        <v>44949</v>
      </c>
      <c r="C166" s="1" t="n">
        <v>46177</v>
      </c>
      <c r="D166" t="inlineStr">
        <is>
          <t>KALMAR LÄN</t>
        </is>
      </c>
      <c r="E166" t="inlineStr">
        <is>
          <t>VIMMERBY</t>
        </is>
      </c>
      <c r="G166" t="n">
        <v>6.2</v>
      </c>
      <c r="H166" t="n">
        <v>0</v>
      </c>
      <c r="I166" t="n">
        <v>0</v>
      </c>
      <c r="J166" t="n">
        <v>0</v>
      </c>
      <c r="K166" t="n">
        <v>0</v>
      </c>
      <c r="L166" t="n">
        <v>0</v>
      </c>
      <c r="M166" t="n">
        <v>0</v>
      </c>
      <c r="N166" t="n">
        <v>0</v>
      </c>
      <c r="O166" t="n">
        <v>0</v>
      </c>
      <c r="P166" t="n">
        <v>0</v>
      </c>
      <c r="Q166" t="n">
        <v>0</v>
      </c>
      <c r="R166" s="2" t="inlineStr"/>
    </row>
    <row r="167" ht="15" customHeight="1">
      <c r="A167" t="inlineStr">
        <is>
          <t>A 40828-2023</t>
        </is>
      </c>
      <c r="B167" s="1" t="n">
        <v>45171.96248842592</v>
      </c>
      <c r="C167" s="1" t="n">
        <v>46177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31013-2023</t>
        </is>
      </c>
      <c r="B168" s="1" t="n">
        <v>45113.56574074074</v>
      </c>
      <c r="C168" s="1" t="n">
        <v>46177</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15388-2025</t>
        </is>
      </c>
      <c r="B169" s="1" t="n">
        <v>45747.42633101852</v>
      </c>
      <c r="C169" s="1" t="n">
        <v>46177</v>
      </c>
      <c r="D169" t="inlineStr">
        <is>
          <t>KALMAR LÄN</t>
        </is>
      </c>
      <c r="E169" t="inlineStr">
        <is>
          <t>VIMMERBY</t>
        </is>
      </c>
      <c r="G169" t="n">
        <v>1.3</v>
      </c>
      <c r="H169" t="n">
        <v>0</v>
      </c>
      <c r="I169" t="n">
        <v>0</v>
      </c>
      <c r="J169" t="n">
        <v>0</v>
      </c>
      <c r="K169" t="n">
        <v>0</v>
      </c>
      <c r="L169" t="n">
        <v>0</v>
      </c>
      <c r="M169" t="n">
        <v>0</v>
      </c>
      <c r="N169" t="n">
        <v>0</v>
      </c>
      <c r="O169" t="n">
        <v>0</v>
      </c>
      <c r="P169" t="n">
        <v>0</v>
      </c>
      <c r="Q169" t="n">
        <v>0</v>
      </c>
      <c r="R169" s="2" t="inlineStr"/>
    </row>
    <row r="170" ht="15" customHeight="1">
      <c r="A170" t="inlineStr">
        <is>
          <t>A 15391-2025</t>
        </is>
      </c>
      <c r="B170" s="1" t="n">
        <v>45747.42958333333</v>
      </c>
      <c r="C170" s="1" t="n">
        <v>46177</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11303-2025</t>
        </is>
      </c>
      <c r="B171" s="1" t="n">
        <v>45726.44471064815</v>
      </c>
      <c r="C171" s="1" t="n">
        <v>46177</v>
      </c>
      <c r="D171" t="inlineStr">
        <is>
          <t>KALMAR LÄN</t>
        </is>
      </c>
      <c r="E171" t="inlineStr">
        <is>
          <t>VIMMERBY</t>
        </is>
      </c>
      <c r="G171" t="n">
        <v>2.1</v>
      </c>
      <c r="H171" t="n">
        <v>0</v>
      </c>
      <c r="I171" t="n">
        <v>0</v>
      </c>
      <c r="J171" t="n">
        <v>0</v>
      </c>
      <c r="K171" t="n">
        <v>0</v>
      </c>
      <c r="L171" t="n">
        <v>0</v>
      </c>
      <c r="M171" t="n">
        <v>0</v>
      </c>
      <c r="N171" t="n">
        <v>0</v>
      </c>
      <c r="O171" t="n">
        <v>0</v>
      </c>
      <c r="P171" t="n">
        <v>0</v>
      </c>
      <c r="Q171" t="n">
        <v>0</v>
      </c>
      <c r="R171" s="2" t="inlineStr"/>
    </row>
    <row r="172" ht="15" customHeight="1">
      <c r="A172" t="inlineStr">
        <is>
          <t>A 16734-2023</t>
        </is>
      </c>
      <c r="B172" s="1" t="n">
        <v>45030.71012731481</v>
      </c>
      <c r="C172" s="1" t="n">
        <v>46177</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33352-2022</t>
        </is>
      </c>
      <c r="B173" s="1" t="n">
        <v>44788</v>
      </c>
      <c r="C173" s="1" t="n">
        <v>46177</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64143-2021</t>
        </is>
      </c>
      <c r="B174" s="1" t="n">
        <v>44510.52157407408</v>
      </c>
      <c r="C174" s="1" t="n">
        <v>46177</v>
      </c>
      <c r="D174" t="inlineStr">
        <is>
          <t>KALMAR LÄN</t>
        </is>
      </c>
      <c r="E174" t="inlineStr">
        <is>
          <t>VIMMERBY</t>
        </is>
      </c>
      <c r="G174" t="n">
        <v>1.6</v>
      </c>
      <c r="H174" t="n">
        <v>0</v>
      </c>
      <c r="I174" t="n">
        <v>0</v>
      </c>
      <c r="J174" t="n">
        <v>0</v>
      </c>
      <c r="K174" t="n">
        <v>0</v>
      </c>
      <c r="L174" t="n">
        <v>0</v>
      </c>
      <c r="M174" t="n">
        <v>0</v>
      </c>
      <c r="N174" t="n">
        <v>0</v>
      </c>
      <c r="O174" t="n">
        <v>0</v>
      </c>
      <c r="P174" t="n">
        <v>0</v>
      </c>
      <c r="Q174" t="n">
        <v>0</v>
      </c>
      <c r="R174" s="2" t="inlineStr"/>
    </row>
    <row r="175" ht="15" customHeight="1">
      <c r="A175" t="inlineStr">
        <is>
          <t>A 46234-2024</t>
        </is>
      </c>
      <c r="B175" s="1" t="n">
        <v>45581.57958333333</v>
      </c>
      <c r="C175" s="1" t="n">
        <v>46177</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55716-2023</t>
        </is>
      </c>
      <c r="B176" s="1" t="n">
        <v>45232</v>
      </c>
      <c r="C176" s="1" t="n">
        <v>46177</v>
      </c>
      <c r="D176" t="inlineStr">
        <is>
          <t>KALMAR LÄN</t>
        </is>
      </c>
      <c r="E176" t="inlineStr">
        <is>
          <t>VIMMERBY</t>
        </is>
      </c>
      <c r="G176" t="n">
        <v>2.3</v>
      </c>
      <c r="H176" t="n">
        <v>0</v>
      </c>
      <c r="I176" t="n">
        <v>0</v>
      </c>
      <c r="J176" t="n">
        <v>0</v>
      </c>
      <c r="K176" t="n">
        <v>0</v>
      </c>
      <c r="L176" t="n">
        <v>0</v>
      </c>
      <c r="M176" t="n">
        <v>0</v>
      </c>
      <c r="N176" t="n">
        <v>0</v>
      </c>
      <c r="O176" t="n">
        <v>0</v>
      </c>
      <c r="P176" t="n">
        <v>0</v>
      </c>
      <c r="Q176" t="n">
        <v>0</v>
      </c>
      <c r="R176" s="2" t="inlineStr"/>
    </row>
    <row r="177" ht="15" customHeight="1">
      <c r="A177" t="inlineStr">
        <is>
          <t>A 9720-2023</t>
        </is>
      </c>
      <c r="B177" s="1" t="n">
        <v>44984</v>
      </c>
      <c r="C177" s="1" t="n">
        <v>46177</v>
      </c>
      <c r="D177" t="inlineStr">
        <is>
          <t>KALMAR LÄN</t>
        </is>
      </c>
      <c r="E177" t="inlineStr">
        <is>
          <t>VIMMERBY</t>
        </is>
      </c>
      <c r="G177" t="n">
        <v>4.4</v>
      </c>
      <c r="H177" t="n">
        <v>0</v>
      </c>
      <c r="I177" t="n">
        <v>0</v>
      </c>
      <c r="J177" t="n">
        <v>0</v>
      </c>
      <c r="K177" t="n">
        <v>0</v>
      </c>
      <c r="L177" t="n">
        <v>0</v>
      </c>
      <c r="M177" t="n">
        <v>0</v>
      </c>
      <c r="N177" t="n">
        <v>0</v>
      </c>
      <c r="O177" t="n">
        <v>0</v>
      </c>
      <c r="P177" t="n">
        <v>0</v>
      </c>
      <c r="Q177" t="n">
        <v>0</v>
      </c>
      <c r="R177" s="2" t="inlineStr"/>
    </row>
    <row r="178" ht="15" customHeight="1">
      <c r="A178" t="inlineStr">
        <is>
          <t>A 5938-2022</t>
        </is>
      </c>
      <c r="B178" s="1" t="n">
        <v>44598</v>
      </c>
      <c r="C178" s="1" t="n">
        <v>46177</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39053-2024</t>
        </is>
      </c>
      <c r="B179" s="1" t="n">
        <v>45548</v>
      </c>
      <c r="C179" s="1" t="n">
        <v>46177</v>
      </c>
      <c r="D179" t="inlineStr">
        <is>
          <t>KALMAR LÄN</t>
        </is>
      </c>
      <c r="E179" t="inlineStr">
        <is>
          <t>VIMMERBY</t>
        </is>
      </c>
      <c r="G179" t="n">
        <v>5</v>
      </c>
      <c r="H179" t="n">
        <v>0</v>
      </c>
      <c r="I179" t="n">
        <v>0</v>
      </c>
      <c r="J179" t="n">
        <v>0</v>
      </c>
      <c r="K179" t="n">
        <v>0</v>
      </c>
      <c r="L179" t="n">
        <v>0</v>
      </c>
      <c r="M179" t="n">
        <v>0</v>
      </c>
      <c r="N179" t="n">
        <v>0</v>
      </c>
      <c r="O179" t="n">
        <v>0</v>
      </c>
      <c r="P179" t="n">
        <v>0</v>
      </c>
      <c r="Q179" t="n">
        <v>0</v>
      </c>
      <c r="R179" s="2" t="inlineStr"/>
    </row>
    <row r="180" ht="15" customHeight="1">
      <c r="A180" t="inlineStr">
        <is>
          <t>A 1687-2023</t>
        </is>
      </c>
      <c r="B180" s="1" t="n">
        <v>44938</v>
      </c>
      <c r="C180" s="1" t="n">
        <v>46177</v>
      </c>
      <c r="D180" t="inlineStr">
        <is>
          <t>KALMAR LÄN</t>
        </is>
      </c>
      <c r="E180" t="inlineStr">
        <is>
          <t>VIMMERBY</t>
        </is>
      </c>
      <c r="F180" t="inlineStr">
        <is>
          <t>Kommuner</t>
        </is>
      </c>
      <c r="G180" t="n">
        <v>2.5</v>
      </c>
      <c r="H180" t="n">
        <v>0</v>
      </c>
      <c r="I180" t="n">
        <v>0</v>
      </c>
      <c r="J180" t="n">
        <v>0</v>
      </c>
      <c r="K180" t="n">
        <v>0</v>
      </c>
      <c r="L180" t="n">
        <v>0</v>
      </c>
      <c r="M180" t="n">
        <v>0</v>
      </c>
      <c r="N180" t="n">
        <v>0</v>
      </c>
      <c r="O180" t="n">
        <v>0</v>
      </c>
      <c r="P180" t="n">
        <v>0</v>
      </c>
      <c r="Q180" t="n">
        <v>0</v>
      </c>
      <c r="R180" s="2" t="inlineStr"/>
    </row>
    <row r="181" ht="15" customHeight="1">
      <c r="A181" t="inlineStr">
        <is>
          <t>A 29440-2024</t>
        </is>
      </c>
      <c r="B181" s="1" t="n">
        <v>45483.82479166667</v>
      </c>
      <c r="C181" s="1" t="n">
        <v>46177</v>
      </c>
      <c r="D181" t="inlineStr">
        <is>
          <t>KALMAR LÄN</t>
        </is>
      </c>
      <c r="E181" t="inlineStr">
        <is>
          <t>VIMMERBY</t>
        </is>
      </c>
      <c r="G181" t="n">
        <v>4.5</v>
      </c>
      <c r="H181" t="n">
        <v>0</v>
      </c>
      <c r="I181" t="n">
        <v>0</v>
      </c>
      <c r="J181" t="n">
        <v>0</v>
      </c>
      <c r="K181" t="n">
        <v>0</v>
      </c>
      <c r="L181" t="n">
        <v>0</v>
      </c>
      <c r="M181" t="n">
        <v>0</v>
      </c>
      <c r="N181" t="n">
        <v>0</v>
      </c>
      <c r="O181" t="n">
        <v>0</v>
      </c>
      <c r="P181" t="n">
        <v>0</v>
      </c>
      <c r="Q181" t="n">
        <v>0</v>
      </c>
      <c r="R181" s="2" t="inlineStr"/>
    </row>
    <row r="182" ht="15" customHeight="1">
      <c r="A182" t="inlineStr">
        <is>
          <t>A 30921-2024</t>
        </is>
      </c>
      <c r="B182" s="1" t="n">
        <v>45498</v>
      </c>
      <c r="C182" s="1" t="n">
        <v>46177</v>
      </c>
      <c r="D182" t="inlineStr">
        <is>
          <t>KALMAR LÄN</t>
        </is>
      </c>
      <c r="E182" t="inlineStr">
        <is>
          <t>VIMMERBY</t>
        </is>
      </c>
      <c r="G182" t="n">
        <v>1.6</v>
      </c>
      <c r="H182" t="n">
        <v>0</v>
      </c>
      <c r="I182" t="n">
        <v>0</v>
      </c>
      <c r="J182" t="n">
        <v>0</v>
      </c>
      <c r="K182" t="n">
        <v>0</v>
      </c>
      <c r="L182" t="n">
        <v>0</v>
      </c>
      <c r="M182" t="n">
        <v>0</v>
      </c>
      <c r="N182" t="n">
        <v>0</v>
      </c>
      <c r="O182" t="n">
        <v>0</v>
      </c>
      <c r="P182" t="n">
        <v>0</v>
      </c>
      <c r="Q182" t="n">
        <v>0</v>
      </c>
      <c r="R182" s="2" t="inlineStr"/>
    </row>
    <row r="183" ht="15" customHeight="1">
      <c r="A183" t="inlineStr">
        <is>
          <t>A 15449-2023</t>
        </is>
      </c>
      <c r="B183" s="1" t="n">
        <v>45020</v>
      </c>
      <c r="C183" s="1" t="n">
        <v>46177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53482-2022</t>
        </is>
      </c>
      <c r="B184" s="1" t="n">
        <v>44879</v>
      </c>
      <c r="C184" s="1" t="n">
        <v>46177</v>
      </c>
      <c r="D184" t="inlineStr">
        <is>
          <t>KALMAR LÄN</t>
        </is>
      </c>
      <c r="E184" t="inlineStr">
        <is>
          <t>VIMMERBY</t>
        </is>
      </c>
      <c r="G184" t="n">
        <v>10.1</v>
      </c>
      <c r="H184" t="n">
        <v>0</v>
      </c>
      <c r="I184" t="n">
        <v>0</v>
      </c>
      <c r="J184" t="n">
        <v>0</v>
      </c>
      <c r="K184" t="n">
        <v>0</v>
      </c>
      <c r="L184" t="n">
        <v>0</v>
      </c>
      <c r="M184" t="n">
        <v>0</v>
      </c>
      <c r="N184" t="n">
        <v>0</v>
      </c>
      <c r="O184" t="n">
        <v>0</v>
      </c>
      <c r="P184" t="n">
        <v>0</v>
      </c>
      <c r="Q184" t="n">
        <v>0</v>
      </c>
      <c r="R184" s="2" t="inlineStr"/>
    </row>
    <row r="185" ht="15" customHeight="1">
      <c r="A185" t="inlineStr">
        <is>
          <t>A 43594-2024</t>
        </is>
      </c>
      <c r="B185" s="1" t="n">
        <v>45569.44295138889</v>
      </c>
      <c r="C185" s="1" t="n">
        <v>46177</v>
      </c>
      <c r="D185" t="inlineStr">
        <is>
          <t>KALMAR LÄN</t>
        </is>
      </c>
      <c r="E185" t="inlineStr">
        <is>
          <t>VIMMERBY</t>
        </is>
      </c>
      <c r="G185" t="n">
        <v>3.9</v>
      </c>
      <c r="H185" t="n">
        <v>0</v>
      </c>
      <c r="I185" t="n">
        <v>0</v>
      </c>
      <c r="J185" t="n">
        <v>0</v>
      </c>
      <c r="K185" t="n">
        <v>0</v>
      </c>
      <c r="L185" t="n">
        <v>0</v>
      </c>
      <c r="M185" t="n">
        <v>0</v>
      </c>
      <c r="N185" t="n">
        <v>0</v>
      </c>
      <c r="O185" t="n">
        <v>0</v>
      </c>
      <c r="P185" t="n">
        <v>0</v>
      </c>
      <c r="Q185" t="n">
        <v>0</v>
      </c>
      <c r="R185" s="2" t="inlineStr"/>
    </row>
    <row r="186" ht="15" customHeight="1">
      <c r="A186" t="inlineStr">
        <is>
          <t>A 17486-2024</t>
        </is>
      </c>
      <c r="B186" s="1" t="n">
        <v>45415.48979166667</v>
      </c>
      <c r="C186" s="1" t="n">
        <v>46177</v>
      </c>
      <c r="D186" t="inlineStr">
        <is>
          <t>KALMAR LÄN</t>
        </is>
      </c>
      <c r="E186" t="inlineStr">
        <is>
          <t>VIMMERBY</t>
        </is>
      </c>
      <c r="G186" t="n">
        <v>2.6</v>
      </c>
      <c r="H186" t="n">
        <v>0</v>
      </c>
      <c r="I186" t="n">
        <v>0</v>
      </c>
      <c r="J186" t="n">
        <v>0</v>
      </c>
      <c r="K186" t="n">
        <v>0</v>
      </c>
      <c r="L186" t="n">
        <v>0</v>
      </c>
      <c r="M186" t="n">
        <v>0</v>
      </c>
      <c r="N186" t="n">
        <v>0</v>
      </c>
      <c r="O186" t="n">
        <v>0</v>
      </c>
      <c r="P186" t="n">
        <v>0</v>
      </c>
      <c r="Q186" t="n">
        <v>0</v>
      </c>
      <c r="R186" s="2" t="inlineStr"/>
    </row>
    <row r="187" ht="15" customHeight="1">
      <c r="A187" t="inlineStr">
        <is>
          <t>A 34386-2024</t>
        </is>
      </c>
      <c r="B187" s="1" t="n">
        <v>45525.41762731481</v>
      </c>
      <c r="C187" s="1" t="n">
        <v>46177</v>
      </c>
      <c r="D187" t="inlineStr">
        <is>
          <t>KALMAR LÄN</t>
        </is>
      </c>
      <c r="E187" t="inlineStr">
        <is>
          <t>VIMMERBY</t>
        </is>
      </c>
      <c r="G187" t="n">
        <v>0.3</v>
      </c>
      <c r="H187" t="n">
        <v>0</v>
      </c>
      <c r="I187" t="n">
        <v>0</v>
      </c>
      <c r="J187" t="n">
        <v>0</v>
      </c>
      <c r="K187" t="n">
        <v>0</v>
      </c>
      <c r="L187" t="n">
        <v>0</v>
      </c>
      <c r="M187" t="n">
        <v>0</v>
      </c>
      <c r="N187" t="n">
        <v>0</v>
      </c>
      <c r="O187" t="n">
        <v>0</v>
      </c>
      <c r="P187" t="n">
        <v>0</v>
      </c>
      <c r="Q187" t="n">
        <v>0</v>
      </c>
      <c r="R187" s="2" t="inlineStr"/>
    </row>
    <row r="188" ht="15" customHeight="1">
      <c r="A188" t="inlineStr">
        <is>
          <t>A 14248-2023</t>
        </is>
      </c>
      <c r="B188" s="1" t="n">
        <v>45009</v>
      </c>
      <c r="C188" s="1" t="n">
        <v>46177</v>
      </c>
      <c r="D188" t="inlineStr">
        <is>
          <t>KALMAR LÄN</t>
        </is>
      </c>
      <c r="E188" t="inlineStr">
        <is>
          <t>VIMMERBY</t>
        </is>
      </c>
      <c r="G188" t="n">
        <v>2.6</v>
      </c>
      <c r="H188" t="n">
        <v>0</v>
      </c>
      <c r="I188" t="n">
        <v>0</v>
      </c>
      <c r="J188" t="n">
        <v>0</v>
      </c>
      <c r="K188" t="n">
        <v>0</v>
      </c>
      <c r="L188" t="n">
        <v>0</v>
      </c>
      <c r="M188" t="n">
        <v>0</v>
      </c>
      <c r="N188" t="n">
        <v>0</v>
      </c>
      <c r="O188" t="n">
        <v>0</v>
      </c>
      <c r="P188" t="n">
        <v>0</v>
      </c>
      <c r="Q188" t="n">
        <v>0</v>
      </c>
      <c r="R188" s="2" t="inlineStr"/>
    </row>
    <row r="189" ht="15" customHeight="1">
      <c r="A189" t="inlineStr">
        <is>
          <t>A 42429-2024</t>
        </is>
      </c>
      <c r="B189" s="1" t="n">
        <v>45565.40657407408</v>
      </c>
      <c r="C189" s="1" t="n">
        <v>46177</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29180-2024</t>
        </is>
      </c>
      <c r="B190" s="1" t="n">
        <v>45482.54108796296</v>
      </c>
      <c r="C190" s="1" t="n">
        <v>46177</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30400-2023</t>
        </is>
      </c>
      <c r="B191" s="1" t="n">
        <v>45111.48225694444</v>
      </c>
      <c r="C191" s="1" t="n">
        <v>46177</v>
      </c>
      <c r="D191" t="inlineStr">
        <is>
          <t>KALMAR LÄN</t>
        </is>
      </c>
      <c r="E191" t="inlineStr">
        <is>
          <t>VIMMERBY</t>
        </is>
      </c>
      <c r="G191" t="n">
        <v>2.7</v>
      </c>
      <c r="H191" t="n">
        <v>0</v>
      </c>
      <c r="I191" t="n">
        <v>0</v>
      </c>
      <c r="J191" t="n">
        <v>0</v>
      </c>
      <c r="K191" t="n">
        <v>0</v>
      </c>
      <c r="L191" t="n">
        <v>0</v>
      </c>
      <c r="M191" t="n">
        <v>0</v>
      </c>
      <c r="N191" t="n">
        <v>0</v>
      </c>
      <c r="O191" t="n">
        <v>0</v>
      </c>
      <c r="P191" t="n">
        <v>0</v>
      </c>
      <c r="Q191" t="n">
        <v>0</v>
      </c>
      <c r="R191" s="2" t="inlineStr"/>
    </row>
    <row r="192" ht="15" customHeight="1">
      <c r="A192" t="inlineStr">
        <is>
          <t>A 30404-2023</t>
        </is>
      </c>
      <c r="B192" s="1" t="n">
        <v>45111.48636574074</v>
      </c>
      <c r="C192" s="1" t="n">
        <v>46177</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55123-2024</t>
        </is>
      </c>
      <c r="B193" s="1" t="n">
        <v>45621.46103009259</v>
      </c>
      <c r="C193" s="1" t="n">
        <v>46177</v>
      </c>
      <c r="D193" t="inlineStr">
        <is>
          <t>KALMAR LÄN</t>
        </is>
      </c>
      <c r="E193" t="inlineStr">
        <is>
          <t>VIMMERBY</t>
        </is>
      </c>
      <c r="G193" t="n">
        <v>3.1</v>
      </c>
      <c r="H193" t="n">
        <v>0</v>
      </c>
      <c r="I193" t="n">
        <v>0</v>
      </c>
      <c r="J193" t="n">
        <v>0</v>
      </c>
      <c r="K193" t="n">
        <v>0</v>
      </c>
      <c r="L193" t="n">
        <v>0</v>
      </c>
      <c r="M193" t="n">
        <v>0</v>
      </c>
      <c r="N193" t="n">
        <v>0</v>
      </c>
      <c r="O193" t="n">
        <v>0</v>
      </c>
      <c r="P193" t="n">
        <v>0</v>
      </c>
      <c r="Q193" t="n">
        <v>0</v>
      </c>
      <c r="R193" s="2" t="inlineStr"/>
    </row>
    <row r="194" ht="15" customHeight="1">
      <c r="A194" t="inlineStr">
        <is>
          <t>A 31405-2023</t>
        </is>
      </c>
      <c r="B194" s="1" t="n">
        <v>45114.58148148148</v>
      </c>
      <c r="C194" s="1" t="n">
        <v>46177</v>
      </c>
      <c r="D194" t="inlineStr">
        <is>
          <t>KALMAR LÄN</t>
        </is>
      </c>
      <c r="E194" t="inlineStr">
        <is>
          <t>VIMMERBY</t>
        </is>
      </c>
      <c r="G194" t="n">
        <v>2.6</v>
      </c>
      <c r="H194" t="n">
        <v>0</v>
      </c>
      <c r="I194" t="n">
        <v>0</v>
      </c>
      <c r="J194" t="n">
        <v>0</v>
      </c>
      <c r="K194" t="n">
        <v>0</v>
      </c>
      <c r="L194" t="n">
        <v>0</v>
      </c>
      <c r="M194" t="n">
        <v>0</v>
      </c>
      <c r="N194" t="n">
        <v>0</v>
      </c>
      <c r="O194" t="n">
        <v>0</v>
      </c>
      <c r="P194" t="n">
        <v>0</v>
      </c>
      <c r="Q194" t="n">
        <v>0</v>
      </c>
      <c r="R194" s="2" t="inlineStr"/>
    </row>
    <row r="195" ht="15" customHeight="1">
      <c r="A195" t="inlineStr">
        <is>
          <t>A 29783-2024</t>
        </is>
      </c>
      <c r="B195" s="1" t="n">
        <v>45485.45778935185</v>
      </c>
      <c r="C195" s="1" t="n">
        <v>46177</v>
      </c>
      <c r="D195" t="inlineStr">
        <is>
          <t>KALMAR LÄN</t>
        </is>
      </c>
      <c r="E195" t="inlineStr">
        <is>
          <t>VIMMERBY</t>
        </is>
      </c>
      <c r="G195" t="n">
        <v>3.1</v>
      </c>
      <c r="H195" t="n">
        <v>0</v>
      </c>
      <c r="I195" t="n">
        <v>0</v>
      </c>
      <c r="J195" t="n">
        <v>0</v>
      </c>
      <c r="K195" t="n">
        <v>0</v>
      </c>
      <c r="L195" t="n">
        <v>0</v>
      </c>
      <c r="M195" t="n">
        <v>0</v>
      </c>
      <c r="N195" t="n">
        <v>0</v>
      </c>
      <c r="O195" t="n">
        <v>0</v>
      </c>
      <c r="P195" t="n">
        <v>0</v>
      </c>
      <c r="Q195" t="n">
        <v>0</v>
      </c>
      <c r="R195" s="2" t="inlineStr"/>
    </row>
    <row r="196" ht="15" customHeight="1">
      <c r="A196" t="inlineStr">
        <is>
          <t>A 52435-2021</t>
        </is>
      </c>
      <c r="B196" s="1" t="n">
        <v>44466.34962962963</v>
      </c>
      <c r="C196" s="1" t="n">
        <v>46177</v>
      </c>
      <c r="D196" t="inlineStr">
        <is>
          <t>KALMAR LÄN</t>
        </is>
      </c>
      <c r="E196" t="inlineStr">
        <is>
          <t>VIMMERBY</t>
        </is>
      </c>
      <c r="G196" t="n">
        <v>2.8</v>
      </c>
      <c r="H196" t="n">
        <v>0</v>
      </c>
      <c r="I196" t="n">
        <v>0</v>
      </c>
      <c r="J196" t="n">
        <v>0</v>
      </c>
      <c r="K196" t="n">
        <v>0</v>
      </c>
      <c r="L196" t="n">
        <v>0</v>
      </c>
      <c r="M196" t="n">
        <v>0</v>
      </c>
      <c r="N196" t="n">
        <v>0</v>
      </c>
      <c r="O196" t="n">
        <v>0</v>
      </c>
      <c r="P196" t="n">
        <v>0</v>
      </c>
      <c r="Q196" t="n">
        <v>0</v>
      </c>
      <c r="R196" s="2" t="inlineStr"/>
    </row>
    <row r="197" ht="15" customHeight="1">
      <c r="A197" t="inlineStr">
        <is>
          <t>A 29093-2023</t>
        </is>
      </c>
      <c r="B197" s="1" t="n">
        <v>45105</v>
      </c>
      <c r="C197" s="1" t="n">
        <v>46177</v>
      </c>
      <c r="D197" t="inlineStr">
        <is>
          <t>KALMAR LÄN</t>
        </is>
      </c>
      <c r="E197" t="inlineStr">
        <is>
          <t>VIMMERBY</t>
        </is>
      </c>
      <c r="G197" t="n">
        <v>2.9</v>
      </c>
      <c r="H197" t="n">
        <v>0</v>
      </c>
      <c r="I197" t="n">
        <v>0</v>
      </c>
      <c r="J197" t="n">
        <v>0</v>
      </c>
      <c r="K197" t="n">
        <v>0</v>
      </c>
      <c r="L197" t="n">
        <v>0</v>
      </c>
      <c r="M197" t="n">
        <v>0</v>
      </c>
      <c r="N197" t="n">
        <v>0</v>
      </c>
      <c r="O197" t="n">
        <v>0</v>
      </c>
      <c r="P197" t="n">
        <v>0</v>
      </c>
      <c r="Q197" t="n">
        <v>0</v>
      </c>
      <c r="R197" s="2" t="inlineStr"/>
    </row>
    <row r="198" ht="15" customHeight="1">
      <c r="A198" t="inlineStr">
        <is>
          <t>A 24707-2024</t>
        </is>
      </c>
      <c r="B198" s="1" t="n">
        <v>45460.62172453704</v>
      </c>
      <c r="C198" s="1" t="n">
        <v>46177</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54838-2024</t>
        </is>
      </c>
      <c r="B199" s="1" t="n">
        <v>45618.56787037037</v>
      </c>
      <c r="C199" s="1" t="n">
        <v>46177</v>
      </c>
      <c r="D199" t="inlineStr">
        <is>
          <t>KALMAR LÄN</t>
        </is>
      </c>
      <c r="E199" t="inlineStr">
        <is>
          <t>VIMMERBY</t>
        </is>
      </c>
      <c r="G199" t="n">
        <v>3.3</v>
      </c>
      <c r="H199" t="n">
        <v>0</v>
      </c>
      <c r="I199" t="n">
        <v>0</v>
      </c>
      <c r="J199" t="n">
        <v>0</v>
      </c>
      <c r="K199" t="n">
        <v>0</v>
      </c>
      <c r="L199" t="n">
        <v>0</v>
      </c>
      <c r="M199" t="n">
        <v>0</v>
      </c>
      <c r="N199" t="n">
        <v>0</v>
      </c>
      <c r="O199" t="n">
        <v>0</v>
      </c>
      <c r="P199" t="n">
        <v>0</v>
      </c>
      <c r="Q199" t="n">
        <v>0</v>
      </c>
      <c r="R199" s="2" t="inlineStr"/>
    </row>
    <row r="200" ht="15" customHeight="1">
      <c r="A200" t="inlineStr">
        <is>
          <t>A 25987-2024</t>
        </is>
      </c>
      <c r="B200" s="1" t="n">
        <v>45467.74417824074</v>
      </c>
      <c r="C200" s="1" t="n">
        <v>46177</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25109-2023</t>
        </is>
      </c>
      <c r="B201" s="1" t="n">
        <v>45086</v>
      </c>
      <c r="C201" s="1" t="n">
        <v>46177</v>
      </c>
      <c r="D201" t="inlineStr">
        <is>
          <t>KALMAR LÄN</t>
        </is>
      </c>
      <c r="E201" t="inlineStr">
        <is>
          <t>VIMMERBY</t>
        </is>
      </c>
      <c r="G201" t="n">
        <v>1.5</v>
      </c>
      <c r="H201" t="n">
        <v>0</v>
      </c>
      <c r="I201" t="n">
        <v>0</v>
      </c>
      <c r="J201" t="n">
        <v>0</v>
      </c>
      <c r="K201" t="n">
        <v>0</v>
      </c>
      <c r="L201" t="n">
        <v>0</v>
      </c>
      <c r="M201" t="n">
        <v>0</v>
      </c>
      <c r="N201" t="n">
        <v>0</v>
      </c>
      <c r="O201" t="n">
        <v>0</v>
      </c>
      <c r="P201" t="n">
        <v>0</v>
      </c>
      <c r="Q201" t="n">
        <v>0</v>
      </c>
      <c r="R201" s="2" t="inlineStr"/>
    </row>
    <row r="202" ht="15" customHeight="1">
      <c r="A202" t="inlineStr">
        <is>
          <t>A 11946-2025</t>
        </is>
      </c>
      <c r="B202" s="1" t="n">
        <v>45728.54832175926</v>
      </c>
      <c r="C202" s="1" t="n">
        <v>46177</v>
      </c>
      <c r="D202" t="inlineStr">
        <is>
          <t>KALMAR LÄN</t>
        </is>
      </c>
      <c r="E202" t="inlineStr">
        <is>
          <t>VIMMERBY</t>
        </is>
      </c>
      <c r="G202" t="n">
        <v>0.4</v>
      </c>
      <c r="H202" t="n">
        <v>0</v>
      </c>
      <c r="I202" t="n">
        <v>0</v>
      </c>
      <c r="J202" t="n">
        <v>0</v>
      </c>
      <c r="K202" t="n">
        <v>0</v>
      </c>
      <c r="L202" t="n">
        <v>0</v>
      </c>
      <c r="M202" t="n">
        <v>0</v>
      </c>
      <c r="N202" t="n">
        <v>0</v>
      </c>
      <c r="O202" t="n">
        <v>0</v>
      </c>
      <c r="P202" t="n">
        <v>0</v>
      </c>
      <c r="Q202" t="n">
        <v>0</v>
      </c>
      <c r="R202" s="2" t="inlineStr"/>
    </row>
    <row r="203" ht="15" customHeight="1">
      <c r="A203" t="inlineStr">
        <is>
          <t>A 36049-2024</t>
        </is>
      </c>
      <c r="B203" s="1" t="n">
        <v>45533.61996527778</v>
      </c>
      <c r="C203" s="1" t="n">
        <v>46177</v>
      </c>
      <c r="D203" t="inlineStr">
        <is>
          <t>KALMAR LÄN</t>
        </is>
      </c>
      <c r="E203" t="inlineStr">
        <is>
          <t>VIMMERBY</t>
        </is>
      </c>
      <c r="F203" t="inlineStr">
        <is>
          <t>Kommuner</t>
        </is>
      </c>
      <c r="G203" t="n">
        <v>2.6</v>
      </c>
      <c r="H203" t="n">
        <v>0</v>
      </c>
      <c r="I203" t="n">
        <v>0</v>
      </c>
      <c r="J203" t="n">
        <v>0</v>
      </c>
      <c r="K203" t="n">
        <v>0</v>
      </c>
      <c r="L203" t="n">
        <v>0</v>
      </c>
      <c r="M203" t="n">
        <v>0</v>
      </c>
      <c r="N203" t="n">
        <v>0</v>
      </c>
      <c r="O203" t="n">
        <v>0</v>
      </c>
      <c r="P203" t="n">
        <v>0</v>
      </c>
      <c r="Q203" t="n">
        <v>0</v>
      </c>
      <c r="R203" s="2" t="inlineStr"/>
    </row>
    <row r="204" ht="15" customHeight="1">
      <c r="A204" t="inlineStr">
        <is>
          <t>A 33359-2021</t>
        </is>
      </c>
      <c r="B204" s="1" t="n">
        <v>44377.49684027778</v>
      </c>
      <c r="C204" s="1" t="n">
        <v>46177</v>
      </c>
      <c r="D204" t="inlineStr">
        <is>
          <t>KALMAR LÄN</t>
        </is>
      </c>
      <c r="E204" t="inlineStr">
        <is>
          <t>VIMMERBY</t>
        </is>
      </c>
      <c r="F204" t="inlineStr">
        <is>
          <t>Kommuner</t>
        </is>
      </c>
      <c r="G204" t="n">
        <v>8</v>
      </c>
      <c r="H204" t="n">
        <v>0</v>
      </c>
      <c r="I204" t="n">
        <v>0</v>
      </c>
      <c r="J204" t="n">
        <v>0</v>
      </c>
      <c r="K204" t="n">
        <v>0</v>
      </c>
      <c r="L204" t="n">
        <v>0</v>
      </c>
      <c r="M204" t="n">
        <v>0</v>
      </c>
      <c r="N204" t="n">
        <v>0</v>
      </c>
      <c r="O204" t="n">
        <v>0</v>
      </c>
      <c r="P204" t="n">
        <v>0</v>
      </c>
      <c r="Q204" t="n">
        <v>0</v>
      </c>
      <c r="R204" s="2" t="inlineStr"/>
    </row>
    <row r="205" ht="15" customHeight="1">
      <c r="A205" t="inlineStr">
        <is>
          <t>A 43038-2022</t>
        </is>
      </c>
      <c r="B205" s="1" t="n">
        <v>44833.60123842592</v>
      </c>
      <c r="C205" s="1" t="n">
        <v>46177</v>
      </c>
      <c r="D205" t="inlineStr">
        <is>
          <t>KALMAR LÄN</t>
        </is>
      </c>
      <c r="E205" t="inlineStr">
        <is>
          <t>VIMMERBY</t>
        </is>
      </c>
      <c r="G205" t="n">
        <v>4.2</v>
      </c>
      <c r="H205" t="n">
        <v>0</v>
      </c>
      <c r="I205" t="n">
        <v>0</v>
      </c>
      <c r="J205" t="n">
        <v>0</v>
      </c>
      <c r="K205" t="n">
        <v>0</v>
      </c>
      <c r="L205" t="n">
        <v>0</v>
      </c>
      <c r="M205" t="n">
        <v>0</v>
      </c>
      <c r="N205" t="n">
        <v>0</v>
      </c>
      <c r="O205" t="n">
        <v>0</v>
      </c>
      <c r="P205" t="n">
        <v>0</v>
      </c>
      <c r="Q205" t="n">
        <v>0</v>
      </c>
      <c r="R205" s="2" t="inlineStr"/>
    </row>
    <row r="206" ht="15" customHeight="1">
      <c r="A206" t="inlineStr">
        <is>
          <t>A 62023-2022</t>
        </is>
      </c>
      <c r="B206" s="1" t="n">
        <v>44918.50106481482</v>
      </c>
      <c r="C206" s="1" t="n">
        <v>46177</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50087-2023</t>
        </is>
      </c>
      <c r="B207" s="1" t="n">
        <v>45215.59743055556</v>
      </c>
      <c r="C207" s="1" t="n">
        <v>46177</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33681-2022</t>
        </is>
      </c>
      <c r="B208" s="1" t="n">
        <v>44789</v>
      </c>
      <c r="C208" s="1" t="n">
        <v>46177</v>
      </c>
      <c r="D208" t="inlineStr">
        <is>
          <t>KALMAR LÄN</t>
        </is>
      </c>
      <c r="E208" t="inlineStr">
        <is>
          <t>VIMMERBY</t>
        </is>
      </c>
      <c r="G208" t="n">
        <v>3.2</v>
      </c>
      <c r="H208" t="n">
        <v>0</v>
      </c>
      <c r="I208" t="n">
        <v>0</v>
      </c>
      <c r="J208" t="n">
        <v>0</v>
      </c>
      <c r="K208" t="n">
        <v>0</v>
      </c>
      <c r="L208" t="n">
        <v>0</v>
      </c>
      <c r="M208" t="n">
        <v>0</v>
      </c>
      <c r="N208" t="n">
        <v>0</v>
      </c>
      <c r="O208" t="n">
        <v>0</v>
      </c>
      <c r="P208" t="n">
        <v>0</v>
      </c>
      <c r="Q208" t="n">
        <v>0</v>
      </c>
      <c r="R208" s="2" t="inlineStr"/>
    </row>
    <row r="209" ht="15" customHeight="1">
      <c r="A209" t="inlineStr">
        <is>
          <t>A 58104-2024</t>
        </is>
      </c>
      <c r="B209" s="1" t="n">
        <v>45632.37459490741</v>
      </c>
      <c r="C209" s="1" t="n">
        <v>46177</v>
      </c>
      <c r="D209" t="inlineStr">
        <is>
          <t>KALMAR LÄN</t>
        </is>
      </c>
      <c r="E209" t="inlineStr">
        <is>
          <t>VIMMERBY</t>
        </is>
      </c>
      <c r="G209" t="n">
        <v>5</v>
      </c>
      <c r="H209" t="n">
        <v>0</v>
      </c>
      <c r="I209" t="n">
        <v>0</v>
      </c>
      <c r="J209" t="n">
        <v>0</v>
      </c>
      <c r="K209" t="n">
        <v>0</v>
      </c>
      <c r="L209" t="n">
        <v>0</v>
      </c>
      <c r="M209" t="n">
        <v>0</v>
      </c>
      <c r="N209" t="n">
        <v>0</v>
      </c>
      <c r="O209" t="n">
        <v>0</v>
      </c>
      <c r="P209" t="n">
        <v>0</v>
      </c>
      <c r="Q209" t="n">
        <v>0</v>
      </c>
      <c r="R209" s="2" t="inlineStr"/>
    </row>
    <row r="210" ht="15" customHeight="1">
      <c r="A210" t="inlineStr">
        <is>
          <t>A 12215-2024</t>
        </is>
      </c>
      <c r="B210" s="1" t="n">
        <v>45378.32185185186</v>
      </c>
      <c r="C210" s="1" t="n">
        <v>46177</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30920-2024</t>
        </is>
      </c>
      <c r="B211" s="1" t="n">
        <v>45498.673125</v>
      </c>
      <c r="C211" s="1" t="n">
        <v>46177</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56536-2022</t>
        </is>
      </c>
      <c r="B212" s="1" t="n">
        <v>44893</v>
      </c>
      <c r="C212" s="1" t="n">
        <v>46177</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63541-2023</t>
        </is>
      </c>
      <c r="B213" s="1" t="n">
        <v>45275.32266203704</v>
      </c>
      <c r="C213" s="1" t="n">
        <v>46177</v>
      </c>
      <c r="D213" t="inlineStr">
        <is>
          <t>KALMAR LÄN</t>
        </is>
      </c>
      <c r="E213" t="inlineStr">
        <is>
          <t>VIMMERBY</t>
        </is>
      </c>
      <c r="G213" t="n">
        <v>1.1</v>
      </c>
      <c r="H213" t="n">
        <v>0</v>
      </c>
      <c r="I213" t="n">
        <v>0</v>
      </c>
      <c r="J213" t="n">
        <v>0</v>
      </c>
      <c r="K213" t="n">
        <v>0</v>
      </c>
      <c r="L213" t="n">
        <v>0</v>
      </c>
      <c r="M213" t="n">
        <v>0</v>
      </c>
      <c r="N213" t="n">
        <v>0</v>
      </c>
      <c r="O213" t="n">
        <v>0</v>
      </c>
      <c r="P213" t="n">
        <v>0</v>
      </c>
      <c r="Q213" t="n">
        <v>0</v>
      </c>
      <c r="R213" s="2" t="inlineStr"/>
    </row>
    <row r="214" ht="15" customHeight="1">
      <c r="A214" t="inlineStr">
        <is>
          <t>A 37323-2024</t>
        </is>
      </c>
      <c r="B214" s="1" t="n">
        <v>45540.50098379629</v>
      </c>
      <c r="C214" s="1" t="n">
        <v>46177</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58159-2024</t>
        </is>
      </c>
      <c r="B215" s="1" t="n">
        <v>45632.44886574074</v>
      </c>
      <c r="C215" s="1" t="n">
        <v>46177</v>
      </c>
      <c r="D215" t="inlineStr">
        <is>
          <t>KALMAR LÄN</t>
        </is>
      </c>
      <c r="E215" t="inlineStr">
        <is>
          <t>VIMMERBY</t>
        </is>
      </c>
      <c r="G215" t="n">
        <v>7.5</v>
      </c>
      <c r="H215" t="n">
        <v>0</v>
      </c>
      <c r="I215" t="n">
        <v>0</v>
      </c>
      <c r="J215" t="n">
        <v>0</v>
      </c>
      <c r="K215" t="n">
        <v>0</v>
      </c>
      <c r="L215" t="n">
        <v>0</v>
      </c>
      <c r="M215" t="n">
        <v>0</v>
      </c>
      <c r="N215" t="n">
        <v>0</v>
      </c>
      <c r="O215" t="n">
        <v>0</v>
      </c>
      <c r="P215" t="n">
        <v>0</v>
      </c>
      <c r="Q215" t="n">
        <v>0</v>
      </c>
      <c r="R215" s="2" t="inlineStr"/>
    </row>
    <row r="216" ht="15" customHeight="1">
      <c r="A216" t="inlineStr">
        <is>
          <t>A 14359-2025</t>
        </is>
      </c>
      <c r="B216" s="1" t="n">
        <v>45741.37270833334</v>
      </c>
      <c r="C216" s="1" t="n">
        <v>46177</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46177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39578-2024</t>
        </is>
      </c>
      <c r="B218" s="1" t="n">
        <v>45552.36484953704</v>
      </c>
      <c r="C218" s="1" t="n">
        <v>46177</v>
      </c>
      <c r="D218" t="inlineStr">
        <is>
          <t>KALMAR LÄN</t>
        </is>
      </c>
      <c r="E218" t="inlineStr">
        <is>
          <t>VIMMERBY</t>
        </is>
      </c>
      <c r="G218" t="n">
        <v>1.5</v>
      </c>
      <c r="H218" t="n">
        <v>0</v>
      </c>
      <c r="I218" t="n">
        <v>0</v>
      </c>
      <c r="J218" t="n">
        <v>0</v>
      </c>
      <c r="K218" t="n">
        <v>0</v>
      </c>
      <c r="L218" t="n">
        <v>0</v>
      </c>
      <c r="M218" t="n">
        <v>0</v>
      </c>
      <c r="N218" t="n">
        <v>0</v>
      </c>
      <c r="O218" t="n">
        <v>0</v>
      </c>
      <c r="P218" t="n">
        <v>0</v>
      </c>
      <c r="Q218" t="n">
        <v>0</v>
      </c>
      <c r="R218" s="2" t="inlineStr"/>
    </row>
    <row r="219" ht="15" customHeight="1">
      <c r="A219" t="inlineStr">
        <is>
          <t>A 11429-2022</t>
        </is>
      </c>
      <c r="B219" s="1" t="n">
        <v>44630</v>
      </c>
      <c r="C219" s="1" t="n">
        <v>46177</v>
      </c>
      <c r="D219" t="inlineStr">
        <is>
          <t>KALMAR LÄN</t>
        </is>
      </c>
      <c r="E219" t="inlineStr">
        <is>
          <t>VIMMERBY</t>
        </is>
      </c>
      <c r="G219" t="n">
        <v>2.6</v>
      </c>
      <c r="H219" t="n">
        <v>0</v>
      </c>
      <c r="I219" t="n">
        <v>0</v>
      </c>
      <c r="J219" t="n">
        <v>0</v>
      </c>
      <c r="K219" t="n">
        <v>0</v>
      </c>
      <c r="L219" t="n">
        <v>0</v>
      </c>
      <c r="M219" t="n">
        <v>0</v>
      </c>
      <c r="N219" t="n">
        <v>0</v>
      </c>
      <c r="O219" t="n">
        <v>0</v>
      </c>
      <c r="P219" t="n">
        <v>0</v>
      </c>
      <c r="Q219" t="n">
        <v>0</v>
      </c>
      <c r="R219" s="2" t="inlineStr"/>
    </row>
    <row r="220" ht="15" customHeight="1">
      <c r="A220" t="inlineStr">
        <is>
          <t>A 12033-2024</t>
        </is>
      </c>
      <c r="B220" s="1" t="n">
        <v>45377.40043981482</v>
      </c>
      <c r="C220" s="1" t="n">
        <v>46177</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56582-2022</t>
        </is>
      </c>
      <c r="B221" s="1" t="n">
        <v>44893</v>
      </c>
      <c r="C221" s="1" t="n">
        <v>46177</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6214-2025</t>
        </is>
      </c>
      <c r="B222" s="1" t="n">
        <v>45698.51711805556</v>
      </c>
      <c r="C222" s="1" t="n">
        <v>46177</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49408-2023</t>
        </is>
      </c>
      <c r="B223" s="1" t="n">
        <v>45211.43555555555</v>
      </c>
      <c r="C223" s="1" t="n">
        <v>46177</v>
      </c>
      <c r="D223" t="inlineStr">
        <is>
          <t>KALMAR LÄN</t>
        </is>
      </c>
      <c r="E223" t="inlineStr">
        <is>
          <t>VIMMERBY</t>
        </is>
      </c>
      <c r="G223" t="n">
        <v>13.1</v>
      </c>
      <c r="H223" t="n">
        <v>0</v>
      </c>
      <c r="I223" t="n">
        <v>0</v>
      </c>
      <c r="J223" t="n">
        <v>0</v>
      </c>
      <c r="K223" t="n">
        <v>0</v>
      </c>
      <c r="L223" t="n">
        <v>0</v>
      </c>
      <c r="M223" t="n">
        <v>0</v>
      </c>
      <c r="N223" t="n">
        <v>0</v>
      </c>
      <c r="O223" t="n">
        <v>0</v>
      </c>
      <c r="P223" t="n">
        <v>0</v>
      </c>
      <c r="Q223" t="n">
        <v>0</v>
      </c>
      <c r="R223" s="2" t="inlineStr"/>
    </row>
    <row r="224" ht="15" customHeight="1">
      <c r="A224" t="inlineStr">
        <is>
          <t>A 27443-2023</t>
        </is>
      </c>
      <c r="B224" s="1" t="n">
        <v>45097.40524305555</v>
      </c>
      <c r="C224" s="1" t="n">
        <v>46177</v>
      </c>
      <c r="D224" t="inlineStr">
        <is>
          <t>KALMAR LÄN</t>
        </is>
      </c>
      <c r="E224" t="inlineStr">
        <is>
          <t>VIMMERBY</t>
        </is>
      </c>
      <c r="F224" t="inlineStr">
        <is>
          <t>Övriga Aktiebolag</t>
        </is>
      </c>
      <c r="G224" t="n">
        <v>2.3</v>
      </c>
      <c r="H224" t="n">
        <v>0</v>
      </c>
      <c r="I224" t="n">
        <v>0</v>
      </c>
      <c r="J224" t="n">
        <v>0</v>
      </c>
      <c r="K224" t="n">
        <v>0</v>
      </c>
      <c r="L224" t="n">
        <v>0</v>
      </c>
      <c r="M224" t="n">
        <v>0</v>
      </c>
      <c r="N224" t="n">
        <v>0</v>
      </c>
      <c r="O224" t="n">
        <v>0</v>
      </c>
      <c r="P224" t="n">
        <v>0</v>
      </c>
      <c r="Q224" t="n">
        <v>0</v>
      </c>
      <c r="R224" s="2" t="inlineStr"/>
    </row>
    <row r="225" ht="15" customHeight="1">
      <c r="A225" t="inlineStr">
        <is>
          <t>A 62779-2023</t>
        </is>
      </c>
      <c r="B225" s="1" t="n">
        <v>45271.66576388889</v>
      </c>
      <c r="C225" s="1" t="n">
        <v>46177</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6408-2025</t>
        </is>
      </c>
      <c r="B226" s="1" t="n">
        <v>45699.45671296296</v>
      </c>
      <c r="C226" s="1" t="n">
        <v>46177</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28395-2023</t>
        </is>
      </c>
      <c r="B227" s="1" t="n">
        <v>45100.4062962963</v>
      </c>
      <c r="C227" s="1" t="n">
        <v>46177</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11609-2023</t>
        </is>
      </c>
      <c r="B228" s="1" t="n">
        <v>44994.40635416667</v>
      </c>
      <c r="C228" s="1" t="n">
        <v>46177</v>
      </c>
      <c r="D228" t="inlineStr">
        <is>
          <t>KALMAR LÄN</t>
        </is>
      </c>
      <c r="E228" t="inlineStr">
        <is>
          <t>VIMMERBY</t>
        </is>
      </c>
      <c r="G228" t="n">
        <v>4.9</v>
      </c>
      <c r="H228" t="n">
        <v>0</v>
      </c>
      <c r="I228" t="n">
        <v>0</v>
      </c>
      <c r="J228" t="n">
        <v>0</v>
      </c>
      <c r="K228" t="n">
        <v>0</v>
      </c>
      <c r="L228" t="n">
        <v>0</v>
      </c>
      <c r="M228" t="n">
        <v>0</v>
      </c>
      <c r="N228" t="n">
        <v>0</v>
      </c>
      <c r="O228" t="n">
        <v>0</v>
      </c>
      <c r="P228" t="n">
        <v>0</v>
      </c>
      <c r="Q228" t="n">
        <v>0</v>
      </c>
      <c r="R228" s="2" t="inlineStr"/>
    </row>
    <row r="229" ht="15" customHeight="1">
      <c r="A229" t="inlineStr">
        <is>
          <t>A 18501-2024</t>
        </is>
      </c>
      <c r="B229" s="1" t="n">
        <v>45425.57538194444</v>
      </c>
      <c r="C229" s="1" t="n">
        <v>46177</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44464-2024</t>
        </is>
      </c>
      <c r="B230" s="1" t="n">
        <v>45574.35809027778</v>
      </c>
      <c r="C230" s="1" t="n">
        <v>46177</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46399-2024</t>
        </is>
      </c>
      <c r="B231" s="1" t="n">
        <v>45582.41200231481</v>
      </c>
      <c r="C231" s="1" t="n">
        <v>46177</v>
      </c>
      <c r="D231" t="inlineStr">
        <is>
          <t>KALMAR LÄN</t>
        </is>
      </c>
      <c r="E231" t="inlineStr">
        <is>
          <t>VIMMERBY</t>
        </is>
      </c>
      <c r="G231" t="n">
        <v>4.6</v>
      </c>
      <c r="H231" t="n">
        <v>0</v>
      </c>
      <c r="I231" t="n">
        <v>0</v>
      </c>
      <c r="J231" t="n">
        <v>0</v>
      </c>
      <c r="K231" t="n">
        <v>0</v>
      </c>
      <c r="L231" t="n">
        <v>0</v>
      </c>
      <c r="M231" t="n">
        <v>0</v>
      </c>
      <c r="N231" t="n">
        <v>0</v>
      </c>
      <c r="O231" t="n">
        <v>0</v>
      </c>
      <c r="P231" t="n">
        <v>0</v>
      </c>
      <c r="Q231" t="n">
        <v>0</v>
      </c>
      <c r="R231" s="2" t="inlineStr"/>
    </row>
    <row r="232" ht="15" customHeight="1">
      <c r="A232" t="inlineStr">
        <is>
          <t>A 41066-2024</t>
        </is>
      </c>
      <c r="B232" s="1" t="n">
        <v>45559.38876157408</v>
      </c>
      <c r="C232" s="1" t="n">
        <v>46177</v>
      </c>
      <c r="D232" t="inlineStr">
        <is>
          <t>KALMAR LÄN</t>
        </is>
      </c>
      <c r="E232" t="inlineStr">
        <is>
          <t>VIMMERBY</t>
        </is>
      </c>
      <c r="G232" t="n">
        <v>2.4</v>
      </c>
      <c r="H232" t="n">
        <v>0</v>
      </c>
      <c r="I232" t="n">
        <v>0</v>
      </c>
      <c r="J232" t="n">
        <v>0</v>
      </c>
      <c r="K232" t="n">
        <v>0</v>
      </c>
      <c r="L232" t="n">
        <v>0</v>
      </c>
      <c r="M232" t="n">
        <v>0</v>
      </c>
      <c r="N232" t="n">
        <v>0</v>
      </c>
      <c r="O232" t="n">
        <v>0</v>
      </c>
      <c r="P232" t="n">
        <v>0</v>
      </c>
      <c r="Q232" t="n">
        <v>0</v>
      </c>
      <c r="R232" s="2" t="inlineStr"/>
    </row>
    <row r="233" ht="15" customHeight="1">
      <c r="A233" t="inlineStr">
        <is>
          <t>A 3425-2022</t>
        </is>
      </c>
      <c r="B233" s="1" t="n">
        <v>44585.51060185185</v>
      </c>
      <c r="C233" s="1" t="n">
        <v>46177</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43962-2024</t>
        </is>
      </c>
      <c r="B234" s="1" t="n">
        <v>45572.48293981481</v>
      </c>
      <c r="C234" s="1" t="n">
        <v>46177</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25799-2023</t>
        </is>
      </c>
      <c r="B235" s="1" t="n">
        <v>45090</v>
      </c>
      <c r="C235" s="1" t="n">
        <v>46177</v>
      </c>
      <c r="D235" t="inlineStr">
        <is>
          <t>KALMAR LÄN</t>
        </is>
      </c>
      <c r="E235" t="inlineStr">
        <is>
          <t>VIMMERBY</t>
        </is>
      </c>
      <c r="G235" t="n">
        <v>7.7</v>
      </c>
      <c r="H235" t="n">
        <v>0</v>
      </c>
      <c r="I235" t="n">
        <v>0</v>
      </c>
      <c r="J235" t="n">
        <v>0</v>
      </c>
      <c r="K235" t="n">
        <v>0</v>
      </c>
      <c r="L235" t="n">
        <v>0</v>
      </c>
      <c r="M235" t="n">
        <v>0</v>
      </c>
      <c r="N235" t="n">
        <v>0</v>
      </c>
      <c r="O235" t="n">
        <v>0</v>
      </c>
      <c r="P235" t="n">
        <v>0</v>
      </c>
      <c r="Q235" t="n">
        <v>0</v>
      </c>
      <c r="R235" s="2" t="inlineStr"/>
    </row>
    <row r="236" ht="15" customHeight="1">
      <c r="A236" t="inlineStr">
        <is>
          <t>A 59943-2023</t>
        </is>
      </c>
      <c r="B236" s="1" t="n">
        <v>45257.67958333333</v>
      </c>
      <c r="C236" s="1" t="n">
        <v>46177</v>
      </c>
      <c r="D236" t="inlineStr">
        <is>
          <t>KALMAR LÄN</t>
        </is>
      </c>
      <c r="E236" t="inlineStr">
        <is>
          <t>VIMMERBY</t>
        </is>
      </c>
      <c r="G236" t="n">
        <v>6.4</v>
      </c>
      <c r="H236" t="n">
        <v>0</v>
      </c>
      <c r="I236" t="n">
        <v>0</v>
      </c>
      <c r="J236" t="n">
        <v>0</v>
      </c>
      <c r="K236" t="n">
        <v>0</v>
      </c>
      <c r="L236" t="n">
        <v>0</v>
      </c>
      <c r="M236" t="n">
        <v>0</v>
      </c>
      <c r="N236" t="n">
        <v>0</v>
      </c>
      <c r="O236" t="n">
        <v>0</v>
      </c>
      <c r="P236" t="n">
        <v>0</v>
      </c>
      <c r="Q236" t="n">
        <v>0</v>
      </c>
      <c r="R236" s="2" t="inlineStr"/>
    </row>
    <row r="237" ht="15" customHeight="1">
      <c r="A237" t="inlineStr">
        <is>
          <t>A 12810-2023</t>
        </is>
      </c>
      <c r="B237" s="1" t="n">
        <v>45001.43854166667</v>
      </c>
      <c r="C237" s="1" t="n">
        <v>46177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16015-2025</t>
        </is>
      </c>
      <c r="B238" s="1" t="n">
        <v>45749.60487268519</v>
      </c>
      <c r="C238" s="1" t="n">
        <v>46177</v>
      </c>
      <c r="D238" t="inlineStr">
        <is>
          <t>KALMAR LÄN</t>
        </is>
      </c>
      <c r="E238" t="inlineStr">
        <is>
          <t>VIMMERBY</t>
        </is>
      </c>
      <c r="F238" t="inlineStr">
        <is>
          <t>Kyrkan</t>
        </is>
      </c>
      <c r="G238" t="n">
        <v>2.7</v>
      </c>
      <c r="H238" t="n">
        <v>0</v>
      </c>
      <c r="I238" t="n">
        <v>0</v>
      </c>
      <c r="J238" t="n">
        <v>0</v>
      </c>
      <c r="K238" t="n">
        <v>0</v>
      </c>
      <c r="L238" t="n">
        <v>0</v>
      </c>
      <c r="M238" t="n">
        <v>0</v>
      </c>
      <c r="N238" t="n">
        <v>0</v>
      </c>
      <c r="O238" t="n">
        <v>0</v>
      </c>
      <c r="P238" t="n">
        <v>0</v>
      </c>
      <c r="Q238" t="n">
        <v>0</v>
      </c>
      <c r="R238" s="2" t="inlineStr"/>
    </row>
    <row r="239" ht="15" customHeight="1">
      <c r="A239" t="inlineStr">
        <is>
          <t>A 3816-2022</t>
        </is>
      </c>
      <c r="B239" s="1" t="n">
        <v>44587</v>
      </c>
      <c r="C239" s="1" t="n">
        <v>46177</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57256-2023</t>
        </is>
      </c>
      <c r="B240" s="1" t="n">
        <v>45245.5735300926</v>
      </c>
      <c r="C240" s="1" t="n">
        <v>46177</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43068-2023</t>
        </is>
      </c>
      <c r="B241" s="1" t="n">
        <v>45182.78834490741</v>
      </c>
      <c r="C241" s="1" t="n">
        <v>46177</v>
      </c>
      <c r="D241" t="inlineStr">
        <is>
          <t>KALMAR LÄN</t>
        </is>
      </c>
      <c r="E241" t="inlineStr">
        <is>
          <t>VIMMERBY</t>
        </is>
      </c>
      <c r="G241" t="n">
        <v>1.5</v>
      </c>
      <c r="H241" t="n">
        <v>0</v>
      </c>
      <c r="I241" t="n">
        <v>0</v>
      </c>
      <c r="J241" t="n">
        <v>0</v>
      </c>
      <c r="K241" t="n">
        <v>0</v>
      </c>
      <c r="L241" t="n">
        <v>0</v>
      </c>
      <c r="M241" t="n">
        <v>0</v>
      </c>
      <c r="N241" t="n">
        <v>0</v>
      </c>
      <c r="O241" t="n">
        <v>0</v>
      </c>
      <c r="P241" t="n">
        <v>0</v>
      </c>
      <c r="Q241" t="n">
        <v>0</v>
      </c>
      <c r="R241" s="2" t="inlineStr"/>
    </row>
    <row r="242" ht="15" customHeight="1">
      <c r="A242" t="inlineStr">
        <is>
          <t>A 23088-2024</t>
        </is>
      </c>
      <c r="B242" s="1" t="n">
        <v>45450.51092592593</v>
      </c>
      <c r="C242" s="1" t="n">
        <v>46177</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15493-2023</t>
        </is>
      </c>
      <c r="B243" s="1" t="n">
        <v>45018</v>
      </c>
      <c r="C243" s="1" t="n">
        <v>46177</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51881-2024</t>
        </is>
      </c>
      <c r="B244" s="1" t="n">
        <v>45607.56773148148</v>
      </c>
      <c r="C244" s="1" t="n">
        <v>46177</v>
      </c>
      <c r="D244" t="inlineStr">
        <is>
          <t>KALMAR LÄN</t>
        </is>
      </c>
      <c r="E244" t="inlineStr">
        <is>
          <t>VIMMERBY</t>
        </is>
      </c>
      <c r="G244" t="n">
        <v>3.4</v>
      </c>
      <c r="H244" t="n">
        <v>0</v>
      </c>
      <c r="I244" t="n">
        <v>0</v>
      </c>
      <c r="J244" t="n">
        <v>0</v>
      </c>
      <c r="K244" t="n">
        <v>0</v>
      </c>
      <c r="L244" t="n">
        <v>0</v>
      </c>
      <c r="M244" t="n">
        <v>0</v>
      </c>
      <c r="N244" t="n">
        <v>0</v>
      </c>
      <c r="O244" t="n">
        <v>0</v>
      </c>
      <c r="P244" t="n">
        <v>0</v>
      </c>
      <c r="Q244" t="n">
        <v>0</v>
      </c>
      <c r="R244" s="2" t="inlineStr"/>
    </row>
    <row r="245" ht="15" customHeight="1">
      <c r="A245" t="inlineStr">
        <is>
          <t>A 1081-2023</t>
        </is>
      </c>
      <c r="B245" s="1" t="n">
        <v>44935</v>
      </c>
      <c r="C245" s="1" t="n">
        <v>46177</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7047-2022</t>
        </is>
      </c>
      <c r="B246" s="1" t="n">
        <v>44603</v>
      </c>
      <c r="C246" s="1" t="n">
        <v>46177</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12499-2023</t>
        </is>
      </c>
      <c r="B247" s="1" t="n">
        <v>44999.86172453704</v>
      </c>
      <c r="C247" s="1" t="n">
        <v>46177</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12500-2023</t>
        </is>
      </c>
      <c r="B248" s="1" t="n">
        <v>44999.8625</v>
      </c>
      <c r="C248" s="1" t="n">
        <v>46177</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57189-2022</t>
        </is>
      </c>
      <c r="B249" s="1" t="n">
        <v>44895.62296296296</v>
      </c>
      <c r="C249" s="1" t="n">
        <v>46177</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6066-2023</t>
        </is>
      </c>
      <c r="B250" s="1" t="n">
        <v>44964.50894675926</v>
      </c>
      <c r="C250" s="1" t="n">
        <v>46177</v>
      </c>
      <c r="D250" t="inlineStr">
        <is>
          <t>KALMAR LÄN</t>
        </is>
      </c>
      <c r="E250" t="inlineStr">
        <is>
          <t>VIMMERBY</t>
        </is>
      </c>
      <c r="G250" t="n">
        <v>2.8</v>
      </c>
      <c r="H250" t="n">
        <v>0</v>
      </c>
      <c r="I250" t="n">
        <v>0</v>
      </c>
      <c r="J250" t="n">
        <v>0</v>
      </c>
      <c r="K250" t="n">
        <v>0</v>
      </c>
      <c r="L250" t="n">
        <v>0</v>
      </c>
      <c r="M250" t="n">
        <v>0</v>
      </c>
      <c r="N250" t="n">
        <v>0</v>
      </c>
      <c r="O250" t="n">
        <v>0</v>
      </c>
      <c r="P250" t="n">
        <v>0</v>
      </c>
      <c r="Q250" t="n">
        <v>0</v>
      </c>
      <c r="R250" s="2" t="inlineStr"/>
    </row>
    <row r="251" ht="15" customHeight="1">
      <c r="A251" t="inlineStr">
        <is>
          <t>A 1987-2024</t>
        </is>
      </c>
      <c r="B251" s="1" t="n">
        <v>45308.61152777778</v>
      </c>
      <c r="C251" s="1" t="n">
        <v>46177</v>
      </c>
      <c r="D251" t="inlineStr">
        <is>
          <t>KALMAR LÄN</t>
        </is>
      </c>
      <c r="E251" t="inlineStr">
        <is>
          <t>VIMMERBY</t>
        </is>
      </c>
      <c r="G251" t="n">
        <v>3</v>
      </c>
      <c r="H251" t="n">
        <v>0</v>
      </c>
      <c r="I251" t="n">
        <v>0</v>
      </c>
      <c r="J251" t="n">
        <v>0</v>
      </c>
      <c r="K251" t="n">
        <v>0</v>
      </c>
      <c r="L251" t="n">
        <v>0</v>
      </c>
      <c r="M251" t="n">
        <v>0</v>
      </c>
      <c r="N251" t="n">
        <v>0</v>
      </c>
      <c r="O251" t="n">
        <v>0</v>
      </c>
      <c r="P251" t="n">
        <v>0</v>
      </c>
      <c r="Q251" t="n">
        <v>0</v>
      </c>
      <c r="R251" s="2" t="inlineStr"/>
    </row>
    <row r="252" ht="15" customHeight="1">
      <c r="A252" t="inlineStr">
        <is>
          <t>A 12075-2024</t>
        </is>
      </c>
      <c r="B252" s="1" t="n">
        <v>45377</v>
      </c>
      <c r="C252" s="1" t="n">
        <v>46177</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527-2024</t>
        </is>
      </c>
      <c r="B253" s="1" t="n">
        <v>45299.47513888889</v>
      </c>
      <c r="C253" s="1" t="n">
        <v>46177</v>
      </c>
      <c r="D253" t="inlineStr">
        <is>
          <t>KALMAR LÄN</t>
        </is>
      </c>
      <c r="E253" t="inlineStr">
        <is>
          <t>VIMMERBY</t>
        </is>
      </c>
      <c r="G253" t="n">
        <v>2.2</v>
      </c>
      <c r="H253" t="n">
        <v>0</v>
      </c>
      <c r="I253" t="n">
        <v>0</v>
      </c>
      <c r="J253" t="n">
        <v>0</v>
      </c>
      <c r="K253" t="n">
        <v>0</v>
      </c>
      <c r="L253" t="n">
        <v>0</v>
      </c>
      <c r="M253" t="n">
        <v>0</v>
      </c>
      <c r="N253" t="n">
        <v>0</v>
      </c>
      <c r="O253" t="n">
        <v>0</v>
      </c>
      <c r="P253" t="n">
        <v>0</v>
      </c>
      <c r="Q253" t="n">
        <v>0</v>
      </c>
      <c r="R253" s="2" t="inlineStr"/>
    </row>
    <row r="254" ht="15" customHeight="1">
      <c r="A254" t="inlineStr">
        <is>
          <t>A 33103-2024</t>
        </is>
      </c>
      <c r="B254" s="1" t="n">
        <v>45517.8162037037</v>
      </c>
      <c r="C254" s="1" t="n">
        <v>46177</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33161-2024</t>
        </is>
      </c>
      <c r="B255" s="1" t="n">
        <v>45518.40657407408</v>
      </c>
      <c r="C255" s="1" t="n">
        <v>46177</v>
      </c>
      <c r="D255" t="inlineStr">
        <is>
          <t>KALMAR LÄN</t>
        </is>
      </c>
      <c r="E255" t="inlineStr">
        <is>
          <t>VIMMERBY</t>
        </is>
      </c>
      <c r="G255" t="n">
        <v>4.7</v>
      </c>
      <c r="H255" t="n">
        <v>0</v>
      </c>
      <c r="I255" t="n">
        <v>0</v>
      </c>
      <c r="J255" t="n">
        <v>0</v>
      </c>
      <c r="K255" t="n">
        <v>0</v>
      </c>
      <c r="L255" t="n">
        <v>0</v>
      </c>
      <c r="M255" t="n">
        <v>0</v>
      </c>
      <c r="N255" t="n">
        <v>0</v>
      </c>
      <c r="O255" t="n">
        <v>0</v>
      </c>
      <c r="P255" t="n">
        <v>0</v>
      </c>
      <c r="Q255" t="n">
        <v>0</v>
      </c>
      <c r="R255" s="2" t="inlineStr"/>
    </row>
    <row r="256" ht="15" customHeight="1">
      <c r="A256" t="inlineStr">
        <is>
          <t>A 12510-2022</t>
        </is>
      </c>
      <c r="B256" s="1" t="n">
        <v>44638.55256944444</v>
      </c>
      <c r="C256" s="1" t="n">
        <v>46177</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1021-2024</t>
        </is>
      </c>
      <c r="B257" s="1" t="n">
        <v>45301.67736111111</v>
      </c>
      <c r="C257" s="1" t="n">
        <v>46177</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37192-2024</t>
        </is>
      </c>
      <c r="B258" s="1" t="n">
        <v>45539.66027777778</v>
      </c>
      <c r="C258" s="1" t="n">
        <v>46177</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1799-2025</t>
        </is>
      </c>
      <c r="B259" s="1" t="n">
        <v>45671.46746527778</v>
      </c>
      <c r="C259" s="1" t="n">
        <v>46177</v>
      </c>
      <c r="D259" t="inlineStr">
        <is>
          <t>KALMAR LÄN</t>
        </is>
      </c>
      <c r="E259" t="inlineStr">
        <is>
          <t>VIMMERBY</t>
        </is>
      </c>
      <c r="G259" t="n">
        <v>3.3</v>
      </c>
      <c r="H259" t="n">
        <v>0</v>
      </c>
      <c r="I259" t="n">
        <v>0</v>
      </c>
      <c r="J259" t="n">
        <v>0</v>
      </c>
      <c r="K259" t="n">
        <v>0</v>
      </c>
      <c r="L259" t="n">
        <v>0</v>
      </c>
      <c r="M259" t="n">
        <v>0</v>
      </c>
      <c r="N259" t="n">
        <v>0</v>
      </c>
      <c r="O259" t="n">
        <v>0</v>
      </c>
      <c r="P259" t="n">
        <v>0</v>
      </c>
      <c r="Q259" t="n">
        <v>0</v>
      </c>
      <c r="R259" s="2" t="inlineStr"/>
    </row>
    <row r="260" ht="15" customHeight="1">
      <c r="A260" t="inlineStr">
        <is>
          <t>A 1146-2025</t>
        </is>
      </c>
      <c r="B260" s="1" t="n">
        <v>45666</v>
      </c>
      <c r="C260" s="1" t="n">
        <v>46177</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12890-2023</t>
        </is>
      </c>
      <c r="B261" s="1" t="n">
        <v>45001.59209490741</v>
      </c>
      <c r="C261" s="1" t="n">
        <v>46177</v>
      </c>
      <c r="D261" t="inlineStr">
        <is>
          <t>KALMAR LÄN</t>
        </is>
      </c>
      <c r="E261" t="inlineStr">
        <is>
          <t>VIMMERBY</t>
        </is>
      </c>
      <c r="G261" t="n">
        <v>2.8</v>
      </c>
      <c r="H261" t="n">
        <v>0</v>
      </c>
      <c r="I261" t="n">
        <v>0</v>
      </c>
      <c r="J261" t="n">
        <v>0</v>
      </c>
      <c r="K261" t="n">
        <v>0</v>
      </c>
      <c r="L261" t="n">
        <v>0</v>
      </c>
      <c r="M261" t="n">
        <v>0</v>
      </c>
      <c r="N261" t="n">
        <v>0</v>
      </c>
      <c r="O261" t="n">
        <v>0</v>
      </c>
      <c r="P261" t="n">
        <v>0</v>
      </c>
      <c r="Q261" t="n">
        <v>0</v>
      </c>
      <c r="R261" s="2" t="inlineStr"/>
    </row>
    <row r="262" ht="15" customHeight="1">
      <c r="A262" t="inlineStr">
        <is>
          <t>A 3902-2022</t>
        </is>
      </c>
      <c r="B262" s="1" t="n">
        <v>44587.48847222222</v>
      </c>
      <c r="C262" s="1" t="n">
        <v>46177</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47063-2022</t>
        </is>
      </c>
      <c r="B263" s="1" t="n">
        <v>44852</v>
      </c>
      <c r="C263" s="1" t="n">
        <v>46177</v>
      </c>
      <c r="D263" t="inlineStr">
        <is>
          <t>KALMAR LÄN</t>
        </is>
      </c>
      <c r="E263" t="inlineStr">
        <is>
          <t>VIMMERBY</t>
        </is>
      </c>
      <c r="G263" t="n">
        <v>2.5</v>
      </c>
      <c r="H263" t="n">
        <v>0</v>
      </c>
      <c r="I263" t="n">
        <v>0</v>
      </c>
      <c r="J263" t="n">
        <v>0</v>
      </c>
      <c r="K263" t="n">
        <v>0</v>
      </c>
      <c r="L263" t="n">
        <v>0</v>
      </c>
      <c r="M263" t="n">
        <v>0</v>
      </c>
      <c r="N263" t="n">
        <v>0</v>
      </c>
      <c r="O263" t="n">
        <v>0</v>
      </c>
      <c r="P263" t="n">
        <v>0</v>
      </c>
      <c r="Q263" t="n">
        <v>0</v>
      </c>
      <c r="R263" s="2" t="inlineStr"/>
    </row>
    <row r="264" ht="15" customHeight="1">
      <c r="A264" t="inlineStr">
        <is>
          <t>A 2462-2022</t>
        </is>
      </c>
      <c r="B264" s="1" t="n">
        <v>44579.62225694444</v>
      </c>
      <c r="C264" s="1" t="n">
        <v>46177</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12819-2024</t>
        </is>
      </c>
      <c r="B265" s="1" t="n">
        <v>45384.66917824074</v>
      </c>
      <c r="C265" s="1" t="n">
        <v>46177</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32569-2024</t>
        </is>
      </c>
      <c r="B266" s="1" t="n">
        <v>45513.55840277778</v>
      </c>
      <c r="C266" s="1" t="n">
        <v>46177</v>
      </c>
      <c r="D266" t="inlineStr">
        <is>
          <t>KALMAR LÄN</t>
        </is>
      </c>
      <c r="E266" t="inlineStr">
        <is>
          <t>VIMMERBY</t>
        </is>
      </c>
      <c r="G266" t="n">
        <v>3.7</v>
      </c>
      <c r="H266" t="n">
        <v>0</v>
      </c>
      <c r="I266" t="n">
        <v>0</v>
      </c>
      <c r="J266" t="n">
        <v>0</v>
      </c>
      <c r="K266" t="n">
        <v>0</v>
      </c>
      <c r="L266" t="n">
        <v>0</v>
      </c>
      <c r="M266" t="n">
        <v>0</v>
      </c>
      <c r="N266" t="n">
        <v>0</v>
      </c>
      <c r="O266" t="n">
        <v>0</v>
      </c>
      <c r="P266" t="n">
        <v>0</v>
      </c>
      <c r="Q266" t="n">
        <v>0</v>
      </c>
      <c r="R266" s="2" t="inlineStr"/>
    </row>
    <row r="267" ht="15" customHeight="1">
      <c r="A267" t="inlineStr">
        <is>
          <t>A 32575-2024</t>
        </is>
      </c>
      <c r="B267" s="1" t="n">
        <v>45513.56527777778</v>
      </c>
      <c r="C267" s="1" t="n">
        <v>46177</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89-2023</t>
        </is>
      </c>
      <c r="B268" s="1" t="n">
        <v>44918</v>
      </c>
      <c r="C268" s="1" t="n">
        <v>46177</v>
      </c>
      <c r="D268" t="inlineStr">
        <is>
          <t>KALMAR LÄN</t>
        </is>
      </c>
      <c r="E268" t="inlineStr">
        <is>
          <t>VIMMERBY</t>
        </is>
      </c>
      <c r="G268" t="n">
        <v>16.1</v>
      </c>
      <c r="H268" t="n">
        <v>0</v>
      </c>
      <c r="I268" t="n">
        <v>0</v>
      </c>
      <c r="J268" t="n">
        <v>0</v>
      </c>
      <c r="K268" t="n">
        <v>0</v>
      </c>
      <c r="L268" t="n">
        <v>0</v>
      </c>
      <c r="M268" t="n">
        <v>0</v>
      </c>
      <c r="N268" t="n">
        <v>0</v>
      </c>
      <c r="O268" t="n">
        <v>0</v>
      </c>
      <c r="P268" t="n">
        <v>0</v>
      </c>
      <c r="Q268" t="n">
        <v>0</v>
      </c>
      <c r="R268" s="2" t="inlineStr"/>
    </row>
    <row r="269" ht="15" customHeight="1">
      <c r="A269" t="inlineStr">
        <is>
          <t>A 5382-2023</t>
        </is>
      </c>
      <c r="B269" s="1" t="n">
        <v>44959.66407407408</v>
      </c>
      <c r="C269" s="1" t="n">
        <v>46177</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30063-2023</t>
        </is>
      </c>
      <c r="B270" s="1" t="n">
        <v>45110.4184375</v>
      </c>
      <c r="C270" s="1" t="n">
        <v>46177</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17482-2024</t>
        </is>
      </c>
      <c r="B271" s="1" t="n">
        <v>45415.47848379629</v>
      </c>
      <c r="C271" s="1" t="n">
        <v>46177</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13817-2024</t>
        </is>
      </c>
      <c r="B272" s="1" t="n">
        <v>45391.41976851852</v>
      </c>
      <c r="C272" s="1" t="n">
        <v>46177</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31382-2023</t>
        </is>
      </c>
      <c r="B273" s="1" t="n">
        <v>45114.55136574074</v>
      </c>
      <c r="C273" s="1" t="n">
        <v>46177</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11073-2023</t>
        </is>
      </c>
      <c r="B274" s="1" t="n">
        <v>44992</v>
      </c>
      <c r="C274" s="1" t="n">
        <v>46177</v>
      </c>
      <c r="D274" t="inlineStr">
        <is>
          <t>KALMAR LÄN</t>
        </is>
      </c>
      <c r="E274" t="inlineStr">
        <is>
          <t>VIMMERBY</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6668-2023</t>
        </is>
      </c>
      <c r="B275" s="1" t="n">
        <v>44966</v>
      </c>
      <c r="C275" s="1" t="n">
        <v>46177</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30406-2023</t>
        </is>
      </c>
      <c r="B276" s="1" t="n">
        <v>45111.48787037037</v>
      </c>
      <c r="C276" s="1" t="n">
        <v>46177</v>
      </c>
      <c r="D276" t="inlineStr">
        <is>
          <t>KALMAR LÄN</t>
        </is>
      </c>
      <c r="E276" t="inlineStr">
        <is>
          <t>VIMMERBY</t>
        </is>
      </c>
      <c r="G276" t="n">
        <v>2.4</v>
      </c>
      <c r="H276" t="n">
        <v>0</v>
      </c>
      <c r="I276" t="n">
        <v>0</v>
      </c>
      <c r="J276" t="n">
        <v>0</v>
      </c>
      <c r="K276" t="n">
        <v>0</v>
      </c>
      <c r="L276" t="n">
        <v>0</v>
      </c>
      <c r="M276" t="n">
        <v>0</v>
      </c>
      <c r="N276" t="n">
        <v>0</v>
      </c>
      <c r="O276" t="n">
        <v>0</v>
      </c>
      <c r="P276" t="n">
        <v>0</v>
      </c>
      <c r="Q276" t="n">
        <v>0</v>
      </c>
      <c r="R276" s="2" t="inlineStr"/>
    </row>
    <row r="277" ht="15" customHeight="1">
      <c r="A277" t="inlineStr">
        <is>
          <t>A 172-2022</t>
        </is>
      </c>
      <c r="B277" s="1" t="n">
        <v>44564.62598379629</v>
      </c>
      <c r="C277" s="1" t="n">
        <v>46177</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30634-2024</t>
        </is>
      </c>
      <c r="B278" s="1" t="n">
        <v>45495</v>
      </c>
      <c r="C278" s="1" t="n">
        <v>46177</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6355-2022</t>
        </is>
      </c>
      <c r="B279" s="1" t="n">
        <v>44600</v>
      </c>
      <c r="C279" s="1" t="n">
        <v>46177</v>
      </c>
      <c r="D279" t="inlineStr">
        <is>
          <t>KALMAR LÄN</t>
        </is>
      </c>
      <c r="E279" t="inlineStr">
        <is>
          <t>VIMMERBY</t>
        </is>
      </c>
      <c r="G279" t="n">
        <v>4.9</v>
      </c>
      <c r="H279" t="n">
        <v>0</v>
      </c>
      <c r="I279" t="n">
        <v>0</v>
      </c>
      <c r="J279" t="n">
        <v>0</v>
      </c>
      <c r="K279" t="n">
        <v>0</v>
      </c>
      <c r="L279" t="n">
        <v>0</v>
      </c>
      <c r="M279" t="n">
        <v>0</v>
      </c>
      <c r="N279" t="n">
        <v>0</v>
      </c>
      <c r="O279" t="n">
        <v>0</v>
      </c>
      <c r="P279" t="n">
        <v>0</v>
      </c>
      <c r="Q279" t="n">
        <v>0</v>
      </c>
      <c r="R279" s="2" t="inlineStr"/>
    </row>
    <row r="280" ht="15" customHeight="1">
      <c r="A280" t="inlineStr">
        <is>
          <t>A 59955-2023</t>
        </is>
      </c>
      <c r="B280" s="1" t="n">
        <v>45257.70313657408</v>
      </c>
      <c r="C280" s="1" t="n">
        <v>46177</v>
      </c>
      <c r="D280" t="inlineStr">
        <is>
          <t>KALMAR LÄN</t>
        </is>
      </c>
      <c r="E280" t="inlineStr">
        <is>
          <t>VIMMERBY</t>
        </is>
      </c>
      <c r="G280" t="n">
        <v>13.8</v>
      </c>
      <c r="H280" t="n">
        <v>0</v>
      </c>
      <c r="I280" t="n">
        <v>0</v>
      </c>
      <c r="J280" t="n">
        <v>0</v>
      </c>
      <c r="K280" t="n">
        <v>0</v>
      </c>
      <c r="L280" t="n">
        <v>0</v>
      </c>
      <c r="M280" t="n">
        <v>0</v>
      </c>
      <c r="N280" t="n">
        <v>0</v>
      </c>
      <c r="O280" t="n">
        <v>0</v>
      </c>
      <c r="P280" t="n">
        <v>0</v>
      </c>
      <c r="Q280" t="n">
        <v>0</v>
      </c>
      <c r="R280" s="2" t="inlineStr"/>
    </row>
    <row r="281" ht="15" customHeight="1">
      <c r="A281" t="inlineStr">
        <is>
          <t>A 13015-2022</t>
        </is>
      </c>
      <c r="B281" s="1" t="n">
        <v>44643</v>
      </c>
      <c r="C281" s="1" t="n">
        <v>46177</v>
      </c>
      <c r="D281" t="inlineStr">
        <is>
          <t>KALMAR LÄN</t>
        </is>
      </c>
      <c r="E281" t="inlineStr">
        <is>
          <t>VIMMERBY</t>
        </is>
      </c>
      <c r="G281" t="n">
        <v>2.4</v>
      </c>
      <c r="H281" t="n">
        <v>0</v>
      </c>
      <c r="I281" t="n">
        <v>0</v>
      </c>
      <c r="J281" t="n">
        <v>0</v>
      </c>
      <c r="K281" t="n">
        <v>0</v>
      </c>
      <c r="L281" t="n">
        <v>0</v>
      </c>
      <c r="M281" t="n">
        <v>0</v>
      </c>
      <c r="N281" t="n">
        <v>0</v>
      </c>
      <c r="O281" t="n">
        <v>0</v>
      </c>
      <c r="P281" t="n">
        <v>0</v>
      </c>
      <c r="Q281" t="n">
        <v>0</v>
      </c>
      <c r="R281" s="2" t="inlineStr"/>
    </row>
    <row r="282" ht="15" customHeight="1">
      <c r="A282" t="inlineStr">
        <is>
          <t>A 16020-2023</t>
        </is>
      </c>
      <c r="B282" s="1" t="n">
        <v>45026.82216435186</v>
      </c>
      <c r="C282" s="1" t="n">
        <v>46177</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4624-2024</t>
        </is>
      </c>
      <c r="B283" s="1" t="n">
        <v>45328.38755787037</v>
      </c>
      <c r="C283" s="1" t="n">
        <v>46177</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9129-2025</t>
        </is>
      </c>
      <c r="B284" s="1" t="n">
        <v>45713.92412037037</v>
      </c>
      <c r="C284" s="1" t="n">
        <v>46177</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36802-2021</t>
        </is>
      </c>
      <c r="B285" s="1" t="n">
        <v>44392</v>
      </c>
      <c r="C285" s="1" t="n">
        <v>46177</v>
      </c>
      <c r="D285" t="inlineStr">
        <is>
          <t>KALMAR LÄN</t>
        </is>
      </c>
      <c r="E285" t="inlineStr">
        <is>
          <t>VIMMERBY</t>
        </is>
      </c>
      <c r="F285" t="inlineStr">
        <is>
          <t>Sveaskog</t>
        </is>
      </c>
      <c r="G285" t="n">
        <v>4.6</v>
      </c>
      <c r="H285" t="n">
        <v>0</v>
      </c>
      <c r="I285" t="n">
        <v>0</v>
      </c>
      <c r="J285" t="n">
        <v>0</v>
      </c>
      <c r="K285" t="n">
        <v>0</v>
      </c>
      <c r="L285" t="n">
        <v>0</v>
      </c>
      <c r="M285" t="n">
        <v>0</v>
      </c>
      <c r="N285" t="n">
        <v>0</v>
      </c>
      <c r="O285" t="n">
        <v>0</v>
      </c>
      <c r="P285" t="n">
        <v>0</v>
      </c>
      <c r="Q285" t="n">
        <v>0</v>
      </c>
      <c r="R285" s="2" t="inlineStr"/>
    </row>
    <row r="286" ht="15" customHeight="1">
      <c r="A286" t="inlineStr">
        <is>
          <t>A 60292-2022</t>
        </is>
      </c>
      <c r="B286" s="1" t="n">
        <v>44910.54231481482</v>
      </c>
      <c r="C286" s="1" t="n">
        <v>46177</v>
      </c>
      <c r="D286" t="inlineStr">
        <is>
          <t>KALMAR LÄN</t>
        </is>
      </c>
      <c r="E286" t="inlineStr">
        <is>
          <t>VIMMERBY</t>
        </is>
      </c>
      <c r="G286" t="n">
        <v>4.4</v>
      </c>
      <c r="H286" t="n">
        <v>0</v>
      </c>
      <c r="I286" t="n">
        <v>0</v>
      </c>
      <c r="J286" t="n">
        <v>0</v>
      </c>
      <c r="K286" t="n">
        <v>0</v>
      </c>
      <c r="L286" t="n">
        <v>0</v>
      </c>
      <c r="M286" t="n">
        <v>0</v>
      </c>
      <c r="N286" t="n">
        <v>0</v>
      </c>
      <c r="O286" t="n">
        <v>0</v>
      </c>
      <c r="P286" t="n">
        <v>0</v>
      </c>
      <c r="Q286" t="n">
        <v>0</v>
      </c>
      <c r="R286" s="2" t="inlineStr"/>
    </row>
    <row r="287" ht="15" customHeight="1">
      <c r="A287" t="inlineStr">
        <is>
          <t>A 61820-2023</t>
        </is>
      </c>
      <c r="B287" s="1" t="n">
        <v>45266.32614583334</v>
      </c>
      <c r="C287" s="1" t="n">
        <v>46177</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43034-2024</t>
        </is>
      </c>
      <c r="B288" s="1" t="n">
        <v>45567.42011574074</v>
      </c>
      <c r="C288" s="1" t="n">
        <v>46177</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40256-2024</t>
        </is>
      </c>
      <c r="B289" s="1" t="n">
        <v>45554.62944444444</v>
      </c>
      <c r="C289" s="1" t="n">
        <v>46177</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3269-2024</t>
        </is>
      </c>
      <c r="B290" s="1" t="n">
        <v>45317.40372685185</v>
      </c>
      <c r="C290" s="1" t="n">
        <v>46177</v>
      </c>
      <c r="D290" t="inlineStr">
        <is>
          <t>KALMAR LÄN</t>
        </is>
      </c>
      <c r="E290" t="inlineStr">
        <is>
          <t>VIMMERBY</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2157-2024</t>
        </is>
      </c>
      <c r="B291" s="1" t="n">
        <v>45309.59487268519</v>
      </c>
      <c r="C291" s="1" t="n">
        <v>46177</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9416-2024</t>
        </is>
      </c>
      <c r="B292" s="1" t="n">
        <v>45359.44837962963</v>
      </c>
      <c r="C292" s="1" t="n">
        <v>46177</v>
      </c>
      <c r="D292" t="inlineStr">
        <is>
          <t>KALMAR LÄN</t>
        </is>
      </c>
      <c r="E292" t="inlineStr">
        <is>
          <t>VIMMERBY</t>
        </is>
      </c>
      <c r="G292" t="n">
        <v>3.2</v>
      </c>
      <c r="H292" t="n">
        <v>0</v>
      </c>
      <c r="I292" t="n">
        <v>0</v>
      </c>
      <c r="J292" t="n">
        <v>0</v>
      </c>
      <c r="K292" t="n">
        <v>0</v>
      </c>
      <c r="L292" t="n">
        <v>0</v>
      </c>
      <c r="M292" t="n">
        <v>0</v>
      </c>
      <c r="N292" t="n">
        <v>0</v>
      </c>
      <c r="O292" t="n">
        <v>0</v>
      </c>
      <c r="P292" t="n">
        <v>0</v>
      </c>
      <c r="Q292" t="n">
        <v>0</v>
      </c>
      <c r="R292" s="2" t="inlineStr"/>
    </row>
    <row r="293" ht="15" customHeight="1">
      <c r="A293" t="inlineStr">
        <is>
          <t>A 58318-2021</t>
        </is>
      </c>
      <c r="B293" s="1" t="n">
        <v>44488.35878472222</v>
      </c>
      <c r="C293" s="1" t="n">
        <v>46177</v>
      </c>
      <c r="D293" t="inlineStr">
        <is>
          <t>KALMAR LÄN</t>
        </is>
      </c>
      <c r="E293" t="inlineStr">
        <is>
          <t>VIMMERBY</t>
        </is>
      </c>
      <c r="G293" t="n">
        <v>4</v>
      </c>
      <c r="H293" t="n">
        <v>0</v>
      </c>
      <c r="I293" t="n">
        <v>0</v>
      </c>
      <c r="J293" t="n">
        <v>0</v>
      </c>
      <c r="K293" t="n">
        <v>0</v>
      </c>
      <c r="L293" t="n">
        <v>0</v>
      </c>
      <c r="M293" t="n">
        <v>0</v>
      </c>
      <c r="N293" t="n">
        <v>0</v>
      </c>
      <c r="O293" t="n">
        <v>0</v>
      </c>
      <c r="P293" t="n">
        <v>0</v>
      </c>
      <c r="Q293" t="n">
        <v>0</v>
      </c>
      <c r="R293" s="2" t="inlineStr"/>
    </row>
    <row r="294" ht="15" customHeight="1">
      <c r="A294" t="inlineStr">
        <is>
          <t>A 53083-2021</t>
        </is>
      </c>
      <c r="B294" s="1" t="n">
        <v>44467.83386574074</v>
      </c>
      <c r="C294" s="1" t="n">
        <v>46177</v>
      </c>
      <c r="D294" t="inlineStr">
        <is>
          <t>KALMAR LÄN</t>
        </is>
      </c>
      <c r="E294" t="inlineStr">
        <is>
          <t>VIMMERBY</t>
        </is>
      </c>
      <c r="G294" t="n">
        <v>6.8</v>
      </c>
      <c r="H294" t="n">
        <v>0</v>
      </c>
      <c r="I294" t="n">
        <v>0</v>
      </c>
      <c r="J294" t="n">
        <v>0</v>
      </c>
      <c r="K294" t="n">
        <v>0</v>
      </c>
      <c r="L294" t="n">
        <v>0</v>
      </c>
      <c r="M294" t="n">
        <v>0</v>
      </c>
      <c r="N294" t="n">
        <v>0</v>
      </c>
      <c r="O294" t="n">
        <v>0</v>
      </c>
      <c r="P294" t="n">
        <v>0</v>
      </c>
      <c r="Q294" t="n">
        <v>0</v>
      </c>
      <c r="R294" s="2" t="inlineStr"/>
    </row>
    <row r="295" ht="15" customHeight="1">
      <c r="A295" t="inlineStr">
        <is>
          <t>A 29173-2024</t>
        </is>
      </c>
      <c r="B295" s="1" t="n">
        <v>45482.52887731481</v>
      </c>
      <c r="C295" s="1" t="n">
        <v>46177</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11111-2024</t>
        </is>
      </c>
      <c r="B296" s="1" t="n">
        <v>45371.36359953704</v>
      </c>
      <c r="C296" s="1" t="n">
        <v>46177</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11141-2024</t>
        </is>
      </c>
      <c r="B297" s="1" t="n">
        <v>45371.45865740741</v>
      </c>
      <c r="C297" s="1" t="n">
        <v>46177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22643-2023</t>
        </is>
      </c>
      <c r="B298" s="1" t="n">
        <v>45071</v>
      </c>
      <c r="C298" s="1" t="n">
        <v>46177</v>
      </c>
      <c r="D298" t="inlineStr">
        <is>
          <t>KALMAR LÄN</t>
        </is>
      </c>
      <c r="E298" t="inlineStr">
        <is>
          <t>VIMMERBY</t>
        </is>
      </c>
      <c r="G298" t="n">
        <v>3.9</v>
      </c>
      <c r="H298" t="n">
        <v>0</v>
      </c>
      <c r="I298" t="n">
        <v>0</v>
      </c>
      <c r="J298" t="n">
        <v>0</v>
      </c>
      <c r="K298" t="n">
        <v>0</v>
      </c>
      <c r="L298" t="n">
        <v>0</v>
      </c>
      <c r="M298" t="n">
        <v>0</v>
      </c>
      <c r="N298" t="n">
        <v>0</v>
      </c>
      <c r="O298" t="n">
        <v>0</v>
      </c>
      <c r="P298" t="n">
        <v>0</v>
      </c>
      <c r="Q298" t="n">
        <v>0</v>
      </c>
      <c r="R298" s="2" t="inlineStr"/>
    </row>
    <row r="299" ht="15" customHeight="1">
      <c r="A299" t="inlineStr">
        <is>
          <t>A 9418-2024</t>
        </is>
      </c>
      <c r="B299" s="1" t="n">
        <v>45359.45038194444</v>
      </c>
      <c r="C299" s="1" t="n">
        <v>46177</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49313-2022</t>
        </is>
      </c>
      <c r="B300" s="1" t="n">
        <v>44861.52505787037</v>
      </c>
      <c r="C300" s="1" t="n">
        <v>46177</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35998-2024</t>
        </is>
      </c>
      <c r="B301" s="1" t="n">
        <v>45533.54429398148</v>
      </c>
      <c r="C301" s="1" t="n">
        <v>46177</v>
      </c>
      <c r="D301" t="inlineStr">
        <is>
          <t>KALMAR LÄN</t>
        </is>
      </c>
      <c r="E301" t="inlineStr">
        <is>
          <t>VIMMERBY</t>
        </is>
      </c>
      <c r="G301" t="n">
        <v>8.6</v>
      </c>
      <c r="H301" t="n">
        <v>0</v>
      </c>
      <c r="I301" t="n">
        <v>0</v>
      </c>
      <c r="J301" t="n">
        <v>0</v>
      </c>
      <c r="K301" t="n">
        <v>0</v>
      </c>
      <c r="L301" t="n">
        <v>0</v>
      </c>
      <c r="M301" t="n">
        <v>0</v>
      </c>
      <c r="N301" t="n">
        <v>0</v>
      </c>
      <c r="O301" t="n">
        <v>0</v>
      </c>
      <c r="P301" t="n">
        <v>0</v>
      </c>
      <c r="Q301" t="n">
        <v>0</v>
      </c>
      <c r="R301" s="2" t="inlineStr"/>
    </row>
    <row r="302" ht="15" customHeight="1">
      <c r="A302" t="inlineStr">
        <is>
          <t>A 36040-2024</t>
        </is>
      </c>
      <c r="B302" s="1" t="n">
        <v>45533.60232638889</v>
      </c>
      <c r="C302" s="1" t="n">
        <v>46177</v>
      </c>
      <c r="D302" t="inlineStr">
        <is>
          <t>KALMAR LÄN</t>
        </is>
      </c>
      <c r="E302" t="inlineStr">
        <is>
          <t>VIMMERBY</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36043-2024</t>
        </is>
      </c>
      <c r="B303" s="1" t="n">
        <v>45533.60770833334</v>
      </c>
      <c r="C303" s="1" t="n">
        <v>46177</v>
      </c>
      <c r="D303" t="inlineStr">
        <is>
          <t>KALMAR LÄN</t>
        </is>
      </c>
      <c r="E303" t="inlineStr">
        <is>
          <t>VIMMERBY</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29020-2024</t>
        </is>
      </c>
      <c r="B304" s="1" t="n">
        <v>45481.58048611111</v>
      </c>
      <c r="C304" s="1" t="n">
        <v>46177</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43093-2024</t>
        </is>
      </c>
      <c r="B305" s="1" t="n">
        <v>45567</v>
      </c>
      <c r="C305" s="1" t="n">
        <v>46177</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35198-2023</t>
        </is>
      </c>
      <c r="B306" s="1" t="n">
        <v>45145</v>
      </c>
      <c r="C306" s="1" t="n">
        <v>46177</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34597-2022</t>
        </is>
      </c>
      <c r="B307" s="1" t="n">
        <v>44795</v>
      </c>
      <c r="C307" s="1" t="n">
        <v>46177</v>
      </c>
      <c r="D307" t="inlineStr">
        <is>
          <t>KALMAR LÄN</t>
        </is>
      </c>
      <c r="E307" t="inlineStr">
        <is>
          <t>VIMMERBY</t>
        </is>
      </c>
      <c r="G307" t="n">
        <v>2.2</v>
      </c>
      <c r="H307" t="n">
        <v>0</v>
      </c>
      <c r="I307" t="n">
        <v>0</v>
      </c>
      <c r="J307" t="n">
        <v>0</v>
      </c>
      <c r="K307" t="n">
        <v>0</v>
      </c>
      <c r="L307" t="n">
        <v>0</v>
      </c>
      <c r="M307" t="n">
        <v>0</v>
      </c>
      <c r="N307" t="n">
        <v>0</v>
      </c>
      <c r="O307" t="n">
        <v>0</v>
      </c>
      <c r="P307" t="n">
        <v>0</v>
      </c>
      <c r="Q307" t="n">
        <v>0</v>
      </c>
      <c r="R307" s="2" t="inlineStr"/>
    </row>
    <row r="308" ht="15" customHeight="1">
      <c r="A308" t="inlineStr">
        <is>
          <t>A 40079-2023</t>
        </is>
      </c>
      <c r="B308" s="1" t="n">
        <v>45168.89298611111</v>
      </c>
      <c r="C308" s="1" t="n">
        <v>46177</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19833-2023</t>
        </is>
      </c>
      <c r="B309" s="1" t="n">
        <v>45052</v>
      </c>
      <c r="C309" s="1" t="n">
        <v>46177</v>
      </c>
      <c r="D309" t="inlineStr">
        <is>
          <t>KALMAR LÄN</t>
        </is>
      </c>
      <c r="E309" t="inlineStr">
        <is>
          <t>VIMMERBY</t>
        </is>
      </c>
      <c r="G309" t="n">
        <v>6.7</v>
      </c>
      <c r="H309" t="n">
        <v>0</v>
      </c>
      <c r="I309" t="n">
        <v>0</v>
      </c>
      <c r="J309" t="n">
        <v>0</v>
      </c>
      <c r="K309" t="n">
        <v>0</v>
      </c>
      <c r="L309" t="n">
        <v>0</v>
      </c>
      <c r="M309" t="n">
        <v>0</v>
      </c>
      <c r="N309" t="n">
        <v>0</v>
      </c>
      <c r="O309" t="n">
        <v>0</v>
      </c>
      <c r="P309" t="n">
        <v>0</v>
      </c>
      <c r="Q309" t="n">
        <v>0</v>
      </c>
      <c r="R309" s="2" t="inlineStr"/>
    </row>
    <row r="310" ht="15" customHeight="1">
      <c r="A310" t="inlineStr">
        <is>
          <t>A 58374-2024</t>
        </is>
      </c>
      <c r="B310" s="1" t="n">
        <v>45632.72635416667</v>
      </c>
      <c r="C310" s="1" t="n">
        <v>46177</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55300-2021</t>
        </is>
      </c>
      <c r="B311" s="1" t="n">
        <v>44475</v>
      </c>
      <c r="C311" s="1" t="n">
        <v>46177</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47263-2023</t>
        </is>
      </c>
      <c r="B312" s="1" t="n">
        <v>45202.4209837963</v>
      </c>
      <c r="C312" s="1" t="n">
        <v>46177</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38604-2025</t>
        </is>
      </c>
      <c r="B313" s="1" t="n">
        <v>45884.50613425926</v>
      </c>
      <c r="C313" s="1" t="n">
        <v>46177</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2536-2023</t>
        </is>
      </c>
      <c r="B314" s="1" t="n">
        <v>44943.62954861111</v>
      </c>
      <c r="C314" s="1" t="n">
        <v>46177</v>
      </c>
      <c r="D314" t="inlineStr">
        <is>
          <t>KALMAR LÄN</t>
        </is>
      </c>
      <c r="E314" t="inlineStr">
        <is>
          <t>VIMMERBY</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2801-2023</t>
        </is>
      </c>
      <c r="B315" s="1" t="n">
        <v>44944.73487268519</v>
      </c>
      <c r="C315" s="1" t="n">
        <v>46177</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17084-2025</t>
        </is>
      </c>
      <c r="B316" s="1" t="n">
        <v>45755.64450231481</v>
      </c>
      <c r="C316" s="1" t="n">
        <v>46177</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56022-2024</t>
        </is>
      </c>
      <c r="B317" s="1" t="n">
        <v>45623.95947916667</v>
      </c>
      <c r="C317" s="1" t="n">
        <v>46177</v>
      </c>
      <c r="D317" t="inlineStr">
        <is>
          <t>KALMAR LÄN</t>
        </is>
      </c>
      <c r="E317" t="inlineStr">
        <is>
          <t>VIMMERBY</t>
        </is>
      </c>
      <c r="G317" t="n">
        <v>0.3</v>
      </c>
      <c r="H317" t="n">
        <v>0</v>
      </c>
      <c r="I317" t="n">
        <v>0</v>
      </c>
      <c r="J317" t="n">
        <v>0</v>
      </c>
      <c r="K317" t="n">
        <v>0</v>
      </c>
      <c r="L317" t="n">
        <v>0</v>
      </c>
      <c r="M317" t="n">
        <v>0</v>
      </c>
      <c r="N317" t="n">
        <v>0</v>
      </c>
      <c r="O317" t="n">
        <v>0</v>
      </c>
      <c r="P317" t="n">
        <v>0</v>
      </c>
      <c r="Q317" t="n">
        <v>0</v>
      </c>
      <c r="R317" s="2" t="inlineStr"/>
    </row>
    <row r="318" ht="15" customHeight="1">
      <c r="A318" t="inlineStr">
        <is>
          <t>A 11928-2022</t>
        </is>
      </c>
      <c r="B318" s="1" t="n">
        <v>44635</v>
      </c>
      <c r="C318" s="1" t="n">
        <v>46177</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17968-2025</t>
        </is>
      </c>
      <c r="B319" s="1" t="n">
        <v>45761.35990740741</v>
      </c>
      <c r="C319" s="1" t="n">
        <v>46177</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5527-2022</t>
        </is>
      </c>
      <c r="B320" s="1" t="n">
        <v>44595.583125</v>
      </c>
      <c r="C320" s="1" t="n">
        <v>46177</v>
      </c>
      <c r="D320" t="inlineStr">
        <is>
          <t>KALMAR LÄN</t>
        </is>
      </c>
      <c r="E320" t="inlineStr">
        <is>
          <t>VIMMERBY</t>
        </is>
      </c>
      <c r="G320" t="n">
        <v>3.6</v>
      </c>
      <c r="H320" t="n">
        <v>0</v>
      </c>
      <c r="I320" t="n">
        <v>0</v>
      </c>
      <c r="J320" t="n">
        <v>0</v>
      </c>
      <c r="K320" t="n">
        <v>0</v>
      </c>
      <c r="L320" t="n">
        <v>0</v>
      </c>
      <c r="M320" t="n">
        <v>0</v>
      </c>
      <c r="N320" t="n">
        <v>0</v>
      </c>
      <c r="O320" t="n">
        <v>0</v>
      </c>
      <c r="P320" t="n">
        <v>0</v>
      </c>
      <c r="Q320" t="n">
        <v>0</v>
      </c>
      <c r="R320" s="2" t="inlineStr"/>
    </row>
    <row r="321" ht="15" customHeight="1">
      <c r="A321" t="inlineStr">
        <is>
          <t>A 14451-2024</t>
        </is>
      </c>
      <c r="B321" s="1" t="n">
        <v>45394.50028935185</v>
      </c>
      <c r="C321" s="1" t="n">
        <v>46177</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46238-2024</t>
        </is>
      </c>
      <c r="B322" s="1" t="n">
        <v>45581.58418981481</v>
      </c>
      <c r="C322" s="1" t="n">
        <v>46177</v>
      </c>
      <c r="D322" t="inlineStr">
        <is>
          <t>KALMAR LÄN</t>
        </is>
      </c>
      <c r="E322" t="inlineStr">
        <is>
          <t>VIMMERBY</t>
        </is>
      </c>
      <c r="G322" t="n">
        <v>2.1</v>
      </c>
      <c r="H322" t="n">
        <v>0</v>
      </c>
      <c r="I322" t="n">
        <v>0</v>
      </c>
      <c r="J322" t="n">
        <v>0</v>
      </c>
      <c r="K322" t="n">
        <v>0</v>
      </c>
      <c r="L322" t="n">
        <v>0</v>
      </c>
      <c r="M322" t="n">
        <v>0</v>
      </c>
      <c r="N322" t="n">
        <v>0</v>
      </c>
      <c r="O322" t="n">
        <v>0</v>
      </c>
      <c r="P322" t="n">
        <v>0</v>
      </c>
      <c r="Q322" t="n">
        <v>0</v>
      </c>
      <c r="R322" s="2" t="inlineStr"/>
    </row>
    <row r="323" ht="15" customHeight="1">
      <c r="A323" t="inlineStr">
        <is>
          <t>A 50993-2022</t>
        </is>
      </c>
      <c r="B323" s="1" t="n">
        <v>44867</v>
      </c>
      <c r="C323" s="1" t="n">
        <v>46177</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46225-2024</t>
        </is>
      </c>
      <c r="B324" s="1" t="n">
        <v>45581.57333333333</v>
      </c>
      <c r="C324" s="1" t="n">
        <v>46177</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49461-2023</t>
        </is>
      </c>
      <c r="B325" s="1" t="n">
        <v>45211.52642361111</v>
      </c>
      <c r="C325" s="1" t="n">
        <v>46177</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49474-2023</t>
        </is>
      </c>
      <c r="B326" s="1" t="n">
        <v>45211.541875</v>
      </c>
      <c r="C326" s="1" t="n">
        <v>46177</v>
      </c>
      <c r="D326" t="inlineStr">
        <is>
          <t>KALMAR LÄN</t>
        </is>
      </c>
      <c r="E326" t="inlineStr">
        <is>
          <t>VIMMERBY</t>
        </is>
      </c>
      <c r="G326" t="n">
        <v>3.6</v>
      </c>
      <c r="H326" t="n">
        <v>0</v>
      </c>
      <c r="I326" t="n">
        <v>0</v>
      </c>
      <c r="J326" t="n">
        <v>0</v>
      </c>
      <c r="K326" t="n">
        <v>0</v>
      </c>
      <c r="L326" t="n">
        <v>0</v>
      </c>
      <c r="M326" t="n">
        <v>0</v>
      </c>
      <c r="N326" t="n">
        <v>0</v>
      </c>
      <c r="O326" t="n">
        <v>0</v>
      </c>
      <c r="P326" t="n">
        <v>0</v>
      </c>
      <c r="Q326" t="n">
        <v>0</v>
      </c>
      <c r="R326" s="2" t="inlineStr"/>
    </row>
    <row r="327" ht="15" customHeight="1">
      <c r="A327" t="inlineStr">
        <is>
          <t>A 36055-2024</t>
        </is>
      </c>
      <c r="B327" s="1" t="n">
        <v>45533.63056712963</v>
      </c>
      <c r="C327" s="1" t="n">
        <v>46177</v>
      </c>
      <c r="D327" t="inlineStr">
        <is>
          <t>KALMAR LÄN</t>
        </is>
      </c>
      <c r="E327" t="inlineStr">
        <is>
          <t>VIMMERBY</t>
        </is>
      </c>
      <c r="F327" t="inlineStr">
        <is>
          <t>Kommuner</t>
        </is>
      </c>
      <c r="G327" t="n">
        <v>1.9</v>
      </c>
      <c r="H327" t="n">
        <v>0</v>
      </c>
      <c r="I327" t="n">
        <v>0</v>
      </c>
      <c r="J327" t="n">
        <v>0</v>
      </c>
      <c r="K327" t="n">
        <v>0</v>
      </c>
      <c r="L327" t="n">
        <v>0</v>
      </c>
      <c r="M327" t="n">
        <v>0</v>
      </c>
      <c r="N327" t="n">
        <v>0</v>
      </c>
      <c r="O327" t="n">
        <v>0</v>
      </c>
      <c r="P327" t="n">
        <v>0</v>
      </c>
      <c r="Q327" t="n">
        <v>0</v>
      </c>
      <c r="R327" s="2" t="inlineStr"/>
    </row>
    <row r="328" ht="15" customHeight="1">
      <c r="A328" t="inlineStr">
        <is>
          <t>A 25582-2024</t>
        </is>
      </c>
      <c r="B328" s="1" t="n">
        <v>45463</v>
      </c>
      <c r="C328" s="1" t="n">
        <v>46177</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61861-2024</t>
        </is>
      </c>
      <c r="B329" s="1" t="n">
        <v>45650.37370370371</v>
      </c>
      <c r="C329" s="1" t="n">
        <v>46177</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47859-2024</t>
        </is>
      </c>
      <c r="B330" s="1" t="n">
        <v>45588.67070601852</v>
      </c>
      <c r="C330" s="1" t="n">
        <v>46177</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32835-2022</t>
        </is>
      </c>
      <c r="B331" s="1" t="n">
        <v>44784.42528935185</v>
      </c>
      <c r="C331" s="1" t="n">
        <v>46177</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45846-2023</t>
        </is>
      </c>
      <c r="B332" s="1" t="n">
        <v>45195.58452546296</v>
      </c>
      <c r="C332" s="1" t="n">
        <v>46177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8167-2024</t>
        </is>
      </c>
      <c r="B333" s="1" t="n">
        <v>45351.6062962963</v>
      </c>
      <c r="C333" s="1" t="n">
        <v>46177</v>
      </c>
      <c r="D333" t="inlineStr">
        <is>
          <t>KALMAR LÄN</t>
        </is>
      </c>
      <c r="E333" t="inlineStr">
        <is>
          <t>VIMMERBY</t>
        </is>
      </c>
      <c r="G333" t="n">
        <v>3.8</v>
      </c>
      <c r="H333" t="n">
        <v>0</v>
      </c>
      <c r="I333" t="n">
        <v>0</v>
      </c>
      <c r="J333" t="n">
        <v>0</v>
      </c>
      <c r="K333" t="n">
        <v>0</v>
      </c>
      <c r="L333" t="n">
        <v>0</v>
      </c>
      <c r="M333" t="n">
        <v>0</v>
      </c>
      <c r="N333" t="n">
        <v>0</v>
      </c>
      <c r="O333" t="n">
        <v>0</v>
      </c>
      <c r="P333" t="n">
        <v>0</v>
      </c>
      <c r="Q333" t="n">
        <v>0</v>
      </c>
      <c r="R333" s="2" t="inlineStr"/>
    </row>
    <row r="334" ht="15" customHeight="1">
      <c r="A334" t="inlineStr">
        <is>
          <t>A 49382-2023</t>
        </is>
      </c>
      <c r="B334" s="1" t="n">
        <v>45208</v>
      </c>
      <c r="C334" s="1" t="n">
        <v>46177</v>
      </c>
      <c r="D334" t="inlineStr">
        <is>
          <t>KALMAR LÄN</t>
        </is>
      </c>
      <c r="E334" t="inlineStr">
        <is>
          <t>VIMMERBY</t>
        </is>
      </c>
      <c r="G334" t="n">
        <v>2.2</v>
      </c>
      <c r="H334" t="n">
        <v>0</v>
      </c>
      <c r="I334" t="n">
        <v>0</v>
      </c>
      <c r="J334" t="n">
        <v>0</v>
      </c>
      <c r="K334" t="n">
        <v>0</v>
      </c>
      <c r="L334" t="n">
        <v>0</v>
      </c>
      <c r="M334" t="n">
        <v>0</v>
      </c>
      <c r="N334" t="n">
        <v>0</v>
      </c>
      <c r="O334" t="n">
        <v>0</v>
      </c>
      <c r="P334" t="n">
        <v>0</v>
      </c>
      <c r="Q334" t="n">
        <v>0</v>
      </c>
      <c r="R334" s="2" t="inlineStr"/>
    </row>
    <row r="335" ht="15" customHeight="1">
      <c r="A335" t="inlineStr">
        <is>
          <t>A 41896-2023</t>
        </is>
      </c>
      <c r="B335" s="1" t="n">
        <v>45176.72427083334</v>
      </c>
      <c r="C335" s="1" t="n">
        <v>46177</v>
      </c>
      <c r="D335" t="inlineStr">
        <is>
          <t>KALMAR LÄN</t>
        </is>
      </c>
      <c r="E335" t="inlineStr">
        <is>
          <t>VIMMERBY</t>
        </is>
      </c>
      <c r="G335" t="n">
        <v>1.3</v>
      </c>
      <c r="H335" t="n">
        <v>0</v>
      </c>
      <c r="I335" t="n">
        <v>0</v>
      </c>
      <c r="J335" t="n">
        <v>0</v>
      </c>
      <c r="K335" t="n">
        <v>0</v>
      </c>
      <c r="L335" t="n">
        <v>0</v>
      </c>
      <c r="M335" t="n">
        <v>0</v>
      </c>
      <c r="N335" t="n">
        <v>0</v>
      </c>
      <c r="O335" t="n">
        <v>0</v>
      </c>
      <c r="P335" t="n">
        <v>0</v>
      </c>
      <c r="Q335" t="n">
        <v>0</v>
      </c>
      <c r="R335" s="2" t="inlineStr"/>
    </row>
    <row r="336" ht="15" customHeight="1">
      <c r="A336" t="inlineStr">
        <is>
          <t>A 12121-2025</t>
        </is>
      </c>
      <c r="B336" s="1" t="n">
        <v>45729.36868055556</v>
      </c>
      <c r="C336" s="1" t="n">
        <v>46177</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35846-2023</t>
        </is>
      </c>
      <c r="B337" s="1" t="n">
        <v>45148</v>
      </c>
      <c r="C337" s="1" t="n">
        <v>46177</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35913-2023</t>
        </is>
      </c>
      <c r="B338" s="1" t="n">
        <v>45148</v>
      </c>
      <c r="C338" s="1" t="n">
        <v>46177</v>
      </c>
      <c r="D338" t="inlineStr">
        <is>
          <t>KALMAR LÄN</t>
        </is>
      </c>
      <c r="E338" t="inlineStr">
        <is>
          <t>VIMMERBY</t>
        </is>
      </c>
      <c r="G338" t="n">
        <v>6.9</v>
      </c>
      <c r="H338" t="n">
        <v>0</v>
      </c>
      <c r="I338" t="n">
        <v>0</v>
      </c>
      <c r="J338" t="n">
        <v>0</v>
      </c>
      <c r="K338" t="n">
        <v>0</v>
      </c>
      <c r="L338" t="n">
        <v>0</v>
      </c>
      <c r="M338" t="n">
        <v>0</v>
      </c>
      <c r="N338" t="n">
        <v>0</v>
      </c>
      <c r="O338" t="n">
        <v>0</v>
      </c>
      <c r="P338" t="n">
        <v>0</v>
      </c>
      <c r="Q338" t="n">
        <v>0</v>
      </c>
      <c r="R338" s="2" t="inlineStr"/>
    </row>
    <row r="339" ht="15" customHeight="1">
      <c r="A339" t="inlineStr">
        <is>
          <t>A 57578-2024</t>
        </is>
      </c>
      <c r="B339" s="1" t="n">
        <v>45630.47564814815</v>
      </c>
      <c r="C339" s="1" t="n">
        <v>46177</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29726-2025</t>
        </is>
      </c>
      <c r="B340" s="1" t="n">
        <v>45825.57805555555</v>
      </c>
      <c r="C340" s="1" t="n">
        <v>46177</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38757-2023</t>
        </is>
      </c>
      <c r="B341" s="1" t="n">
        <v>45163.41376157408</v>
      </c>
      <c r="C341" s="1" t="n">
        <v>46177</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20136-2024</t>
        </is>
      </c>
      <c r="B342" s="1" t="n">
        <v>45434.56291666667</v>
      </c>
      <c r="C342" s="1" t="n">
        <v>46177</v>
      </c>
      <c r="D342" t="inlineStr">
        <is>
          <t>KALMAR LÄN</t>
        </is>
      </c>
      <c r="E342" t="inlineStr">
        <is>
          <t>VIMMERBY</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43606-2024</t>
        </is>
      </c>
      <c r="B343" s="1" t="n">
        <v>45569.45017361111</v>
      </c>
      <c r="C343" s="1" t="n">
        <v>46177</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12325-2023</t>
        </is>
      </c>
      <c r="B344" s="1" t="n">
        <v>44999.35858796296</v>
      </c>
      <c r="C344" s="1" t="n">
        <v>46177</v>
      </c>
      <c r="D344" t="inlineStr">
        <is>
          <t>KALMAR LÄN</t>
        </is>
      </c>
      <c r="E344" t="inlineStr">
        <is>
          <t>VIMMERBY</t>
        </is>
      </c>
      <c r="G344" t="n">
        <v>3.4</v>
      </c>
      <c r="H344" t="n">
        <v>0</v>
      </c>
      <c r="I344" t="n">
        <v>0</v>
      </c>
      <c r="J344" t="n">
        <v>0</v>
      </c>
      <c r="K344" t="n">
        <v>0</v>
      </c>
      <c r="L344" t="n">
        <v>0</v>
      </c>
      <c r="M344" t="n">
        <v>0</v>
      </c>
      <c r="N344" t="n">
        <v>0</v>
      </c>
      <c r="O344" t="n">
        <v>0</v>
      </c>
      <c r="P344" t="n">
        <v>0</v>
      </c>
      <c r="Q344" t="n">
        <v>0</v>
      </c>
      <c r="R344" s="2" t="inlineStr"/>
    </row>
    <row r="345" ht="15" customHeight="1">
      <c r="A345" t="inlineStr">
        <is>
          <t>A 24283-2023</t>
        </is>
      </c>
      <c r="B345" s="1" t="n">
        <v>45079.87827546296</v>
      </c>
      <c r="C345" s="1" t="n">
        <v>46177</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8945-2025</t>
        </is>
      </c>
      <c r="B346" s="1" t="n">
        <v>45713.45311342592</v>
      </c>
      <c r="C346" s="1" t="n">
        <v>46177</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38964-2025</t>
        </is>
      </c>
      <c r="B347" s="1" t="n">
        <v>45887.68759259259</v>
      </c>
      <c r="C347" s="1" t="n">
        <v>46177</v>
      </c>
      <c r="D347" t="inlineStr">
        <is>
          <t>KALMAR LÄN</t>
        </is>
      </c>
      <c r="E347" t="inlineStr">
        <is>
          <t>VIMMERBY</t>
        </is>
      </c>
      <c r="G347" t="n">
        <v>7.5</v>
      </c>
      <c r="H347" t="n">
        <v>0</v>
      </c>
      <c r="I347" t="n">
        <v>0</v>
      </c>
      <c r="J347" t="n">
        <v>0</v>
      </c>
      <c r="K347" t="n">
        <v>0</v>
      </c>
      <c r="L347" t="n">
        <v>0</v>
      </c>
      <c r="M347" t="n">
        <v>0</v>
      </c>
      <c r="N347" t="n">
        <v>0</v>
      </c>
      <c r="O347" t="n">
        <v>0</v>
      </c>
      <c r="P347" t="n">
        <v>0</v>
      </c>
      <c r="Q347" t="n">
        <v>0</v>
      </c>
      <c r="R347" s="2" t="inlineStr"/>
    </row>
    <row r="348" ht="15" customHeight="1">
      <c r="A348" t="inlineStr">
        <is>
          <t>A 40665-2023</t>
        </is>
      </c>
      <c r="B348" s="1" t="n">
        <v>45170</v>
      </c>
      <c r="C348" s="1" t="n">
        <v>46177</v>
      </c>
      <c r="D348" t="inlineStr">
        <is>
          <t>KALMAR LÄN</t>
        </is>
      </c>
      <c r="E348" t="inlineStr">
        <is>
          <t>VIMMERBY</t>
        </is>
      </c>
      <c r="G348" t="n">
        <v>2.6</v>
      </c>
      <c r="H348" t="n">
        <v>0</v>
      </c>
      <c r="I348" t="n">
        <v>0</v>
      </c>
      <c r="J348" t="n">
        <v>0</v>
      </c>
      <c r="K348" t="n">
        <v>0</v>
      </c>
      <c r="L348" t="n">
        <v>0</v>
      </c>
      <c r="M348" t="n">
        <v>0</v>
      </c>
      <c r="N348" t="n">
        <v>0</v>
      </c>
      <c r="O348" t="n">
        <v>0</v>
      </c>
      <c r="P348" t="n">
        <v>0</v>
      </c>
      <c r="Q348" t="n">
        <v>0</v>
      </c>
      <c r="R348" s="2" t="inlineStr"/>
    </row>
    <row r="349" ht="15" customHeight="1">
      <c r="A349" t="inlineStr">
        <is>
          <t>A 13307-2025</t>
        </is>
      </c>
      <c r="B349" s="1" t="n">
        <v>45735.58024305556</v>
      </c>
      <c r="C349" s="1" t="n">
        <v>46177</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28034-2022</t>
        </is>
      </c>
      <c r="B350" s="1" t="n">
        <v>44746.38834490741</v>
      </c>
      <c r="C350" s="1" t="n">
        <v>46177</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59598-2023</t>
        </is>
      </c>
      <c r="B351" s="1" t="n">
        <v>45254.62489583333</v>
      </c>
      <c r="C351" s="1" t="n">
        <v>46177</v>
      </c>
      <c r="D351" t="inlineStr">
        <is>
          <t>KALMAR LÄN</t>
        </is>
      </c>
      <c r="E351" t="inlineStr">
        <is>
          <t>VIMMERBY</t>
        </is>
      </c>
      <c r="F351" t="inlineStr">
        <is>
          <t>Övriga Aktiebolag</t>
        </is>
      </c>
      <c r="G351" t="n">
        <v>4</v>
      </c>
      <c r="H351" t="n">
        <v>0</v>
      </c>
      <c r="I351" t="n">
        <v>0</v>
      </c>
      <c r="J351" t="n">
        <v>0</v>
      </c>
      <c r="K351" t="n">
        <v>0</v>
      </c>
      <c r="L351" t="n">
        <v>0</v>
      </c>
      <c r="M351" t="n">
        <v>0</v>
      </c>
      <c r="N351" t="n">
        <v>0</v>
      </c>
      <c r="O351" t="n">
        <v>0</v>
      </c>
      <c r="P351" t="n">
        <v>0</v>
      </c>
      <c r="Q351" t="n">
        <v>0</v>
      </c>
      <c r="R351" s="2" t="inlineStr"/>
    </row>
    <row r="352" ht="15" customHeight="1">
      <c r="A352" t="inlineStr">
        <is>
          <t>A 30920-2023</t>
        </is>
      </c>
      <c r="B352" s="1" t="n">
        <v>45113.43921296296</v>
      </c>
      <c r="C352" s="1" t="n">
        <v>46177</v>
      </c>
      <c r="D352" t="inlineStr">
        <is>
          <t>KALMAR LÄN</t>
        </is>
      </c>
      <c r="E352" t="inlineStr">
        <is>
          <t>VIMMERBY</t>
        </is>
      </c>
      <c r="G352" t="n">
        <v>3.1</v>
      </c>
      <c r="H352" t="n">
        <v>0</v>
      </c>
      <c r="I352" t="n">
        <v>0</v>
      </c>
      <c r="J352" t="n">
        <v>0</v>
      </c>
      <c r="K352" t="n">
        <v>0</v>
      </c>
      <c r="L352" t="n">
        <v>0</v>
      </c>
      <c r="M352" t="n">
        <v>0</v>
      </c>
      <c r="N352" t="n">
        <v>0</v>
      </c>
      <c r="O352" t="n">
        <v>0</v>
      </c>
      <c r="P352" t="n">
        <v>0</v>
      </c>
      <c r="Q352" t="n">
        <v>0</v>
      </c>
      <c r="R352" s="2" t="inlineStr"/>
    </row>
    <row r="353" ht="15" customHeight="1">
      <c r="A353" t="inlineStr">
        <is>
          <t>A 55605-2024</t>
        </is>
      </c>
      <c r="B353" s="1" t="n">
        <v>45622</v>
      </c>
      <c r="C353" s="1" t="n">
        <v>46177</v>
      </c>
      <c r="D353" t="inlineStr">
        <is>
          <t>KALMAR LÄN</t>
        </is>
      </c>
      <c r="E353" t="inlineStr">
        <is>
          <t>VIMMERBY</t>
        </is>
      </c>
      <c r="G353" t="n">
        <v>1.1</v>
      </c>
      <c r="H353" t="n">
        <v>0</v>
      </c>
      <c r="I353" t="n">
        <v>0</v>
      </c>
      <c r="J353" t="n">
        <v>0</v>
      </c>
      <c r="K353" t="n">
        <v>0</v>
      </c>
      <c r="L353" t="n">
        <v>0</v>
      </c>
      <c r="M353" t="n">
        <v>0</v>
      </c>
      <c r="N353" t="n">
        <v>0</v>
      </c>
      <c r="O353" t="n">
        <v>0</v>
      </c>
      <c r="P353" t="n">
        <v>0</v>
      </c>
      <c r="Q353" t="n">
        <v>0</v>
      </c>
      <c r="R353" s="2" t="inlineStr"/>
    </row>
    <row r="354" ht="15" customHeight="1">
      <c r="A354" t="inlineStr">
        <is>
          <t>A 42165-2024</t>
        </is>
      </c>
      <c r="B354" s="1" t="n">
        <v>45562.46342592593</v>
      </c>
      <c r="C354" s="1" t="n">
        <v>46177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20129-2024</t>
        </is>
      </c>
      <c r="B355" s="1" t="n">
        <v>45434.55831018519</v>
      </c>
      <c r="C355" s="1" t="n">
        <v>46177</v>
      </c>
      <c r="D355" t="inlineStr">
        <is>
          <t>KALMAR LÄN</t>
        </is>
      </c>
      <c r="E355" t="inlineStr">
        <is>
          <t>VIMMERBY</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20137-2024</t>
        </is>
      </c>
      <c r="B356" s="1" t="n">
        <v>45434.56398148148</v>
      </c>
      <c r="C356" s="1" t="n">
        <v>46177</v>
      </c>
      <c r="D356" t="inlineStr">
        <is>
          <t>KALMAR LÄN</t>
        </is>
      </c>
      <c r="E356" t="inlineStr">
        <is>
          <t>VIMMERBY</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39801-2025</t>
        </is>
      </c>
      <c r="B357" s="1" t="n">
        <v>45891.50216435185</v>
      </c>
      <c r="C357" s="1" t="n">
        <v>46177</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39807-2025</t>
        </is>
      </c>
      <c r="B358" s="1" t="n">
        <v>45891.50986111111</v>
      </c>
      <c r="C358" s="1" t="n">
        <v>46177</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23095-2023</t>
        </is>
      </c>
      <c r="B359" s="1" t="n">
        <v>45075.43059027778</v>
      </c>
      <c r="C359" s="1" t="n">
        <v>46177</v>
      </c>
      <c r="D359" t="inlineStr">
        <is>
          <t>KALMAR LÄN</t>
        </is>
      </c>
      <c r="E359" t="inlineStr">
        <is>
          <t>VIMMERBY</t>
        </is>
      </c>
      <c r="G359" t="n">
        <v>1</v>
      </c>
      <c r="H359" t="n">
        <v>0</v>
      </c>
      <c r="I359" t="n">
        <v>0</v>
      </c>
      <c r="J359" t="n">
        <v>0</v>
      </c>
      <c r="K359" t="n">
        <v>0</v>
      </c>
      <c r="L359" t="n">
        <v>0</v>
      </c>
      <c r="M359" t="n">
        <v>0</v>
      </c>
      <c r="N359" t="n">
        <v>0</v>
      </c>
      <c r="O359" t="n">
        <v>0</v>
      </c>
      <c r="P359" t="n">
        <v>0</v>
      </c>
      <c r="Q359" t="n">
        <v>0</v>
      </c>
      <c r="R359" s="2" t="inlineStr"/>
    </row>
    <row r="360" ht="15" customHeight="1">
      <c r="A360" t="inlineStr">
        <is>
          <t>A 32919-2022</t>
        </is>
      </c>
      <c r="B360" s="1" t="n">
        <v>44784.62724537037</v>
      </c>
      <c r="C360" s="1" t="n">
        <v>46177</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40929-2022</t>
        </is>
      </c>
      <c r="B361" s="1" t="n">
        <v>44825.4336574074</v>
      </c>
      <c r="C361" s="1" t="n">
        <v>46177</v>
      </c>
      <c r="D361" t="inlineStr">
        <is>
          <t>KALMAR LÄN</t>
        </is>
      </c>
      <c r="E361" t="inlineStr">
        <is>
          <t>VIMMERBY</t>
        </is>
      </c>
      <c r="G361" t="n">
        <v>2.5</v>
      </c>
      <c r="H361" t="n">
        <v>0</v>
      </c>
      <c r="I361" t="n">
        <v>0</v>
      </c>
      <c r="J361" t="n">
        <v>0</v>
      </c>
      <c r="K361" t="n">
        <v>0</v>
      </c>
      <c r="L361" t="n">
        <v>0</v>
      </c>
      <c r="M361" t="n">
        <v>0</v>
      </c>
      <c r="N361" t="n">
        <v>0</v>
      </c>
      <c r="O361" t="n">
        <v>0</v>
      </c>
      <c r="P361" t="n">
        <v>0</v>
      </c>
      <c r="Q361" t="n">
        <v>0</v>
      </c>
      <c r="R361" s="2" t="inlineStr"/>
    </row>
    <row r="362" ht="15" customHeight="1">
      <c r="A362" t="inlineStr">
        <is>
          <t>A 39736-2025</t>
        </is>
      </c>
      <c r="B362" s="1" t="n">
        <v>45891</v>
      </c>
      <c r="C362" s="1" t="n">
        <v>46177</v>
      </c>
      <c r="D362" t="inlineStr">
        <is>
          <t>KALMAR LÄN</t>
        </is>
      </c>
      <c r="E362" t="inlineStr">
        <is>
          <t>VIMMERBY</t>
        </is>
      </c>
      <c r="G362" t="n">
        <v>12.8</v>
      </c>
      <c r="H362" t="n">
        <v>0</v>
      </c>
      <c r="I362" t="n">
        <v>0</v>
      </c>
      <c r="J362" t="n">
        <v>0</v>
      </c>
      <c r="K362" t="n">
        <v>0</v>
      </c>
      <c r="L362" t="n">
        <v>0</v>
      </c>
      <c r="M362" t="n">
        <v>0</v>
      </c>
      <c r="N362" t="n">
        <v>0</v>
      </c>
      <c r="O362" t="n">
        <v>0</v>
      </c>
      <c r="P362" t="n">
        <v>0</v>
      </c>
      <c r="Q362" t="n">
        <v>0</v>
      </c>
      <c r="R362" s="2" t="inlineStr"/>
    </row>
    <row r="363" ht="15" customHeight="1">
      <c r="A363" t="inlineStr">
        <is>
          <t>A 33380-2023</t>
        </is>
      </c>
      <c r="B363" s="1" t="n">
        <v>45128</v>
      </c>
      <c r="C363" s="1" t="n">
        <v>46177</v>
      </c>
      <c r="D363" t="inlineStr">
        <is>
          <t>KALMAR LÄN</t>
        </is>
      </c>
      <c r="E363" t="inlineStr">
        <is>
          <t>VIMMERBY</t>
        </is>
      </c>
      <c r="G363" t="n">
        <v>5.2</v>
      </c>
      <c r="H363" t="n">
        <v>0</v>
      </c>
      <c r="I363" t="n">
        <v>0</v>
      </c>
      <c r="J363" t="n">
        <v>0</v>
      </c>
      <c r="K363" t="n">
        <v>0</v>
      </c>
      <c r="L363" t="n">
        <v>0</v>
      </c>
      <c r="M363" t="n">
        <v>0</v>
      </c>
      <c r="N363" t="n">
        <v>0</v>
      </c>
      <c r="O363" t="n">
        <v>0</v>
      </c>
      <c r="P363" t="n">
        <v>0</v>
      </c>
      <c r="Q363" t="n">
        <v>0</v>
      </c>
      <c r="R363" s="2" t="inlineStr"/>
    </row>
    <row r="364" ht="15" customHeight="1">
      <c r="A364" t="inlineStr">
        <is>
          <t>A 39803-2025</t>
        </is>
      </c>
      <c r="B364" s="1" t="n">
        <v>45891.50525462963</v>
      </c>
      <c r="C364" s="1" t="n">
        <v>46177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46144-2023</t>
        </is>
      </c>
      <c r="B365" s="1" t="n">
        <v>45196.57247685185</v>
      </c>
      <c r="C365" s="1" t="n">
        <v>46177</v>
      </c>
      <c r="D365" t="inlineStr">
        <is>
          <t>KALMAR LÄN</t>
        </is>
      </c>
      <c r="E365" t="inlineStr">
        <is>
          <t>VIMMERBY</t>
        </is>
      </c>
      <c r="G365" t="n">
        <v>6.5</v>
      </c>
      <c r="H365" t="n">
        <v>0</v>
      </c>
      <c r="I365" t="n">
        <v>0</v>
      </c>
      <c r="J365" t="n">
        <v>0</v>
      </c>
      <c r="K365" t="n">
        <v>0</v>
      </c>
      <c r="L365" t="n">
        <v>0</v>
      </c>
      <c r="M365" t="n">
        <v>0</v>
      </c>
      <c r="N365" t="n">
        <v>0</v>
      </c>
      <c r="O365" t="n">
        <v>0</v>
      </c>
      <c r="P365" t="n">
        <v>0</v>
      </c>
      <c r="Q365" t="n">
        <v>0</v>
      </c>
      <c r="R365" s="2" t="inlineStr"/>
    </row>
    <row r="366" ht="15" customHeight="1">
      <c r="A366" t="inlineStr">
        <is>
          <t>A 39889-2025</t>
        </is>
      </c>
      <c r="B366" s="1" t="n">
        <v>45891</v>
      </c>
      <c r="C366" s="1" t="n">
        <v>46177</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7068-2024</t>
        </is>
      </c>
      <c r="B367" s="1" t="n">
        <v>45343.68038194445</v>
      </c>
      <c r="C367" s="1" t="n">
        <v>46177</v>
      </c>
      <c r="D367" t="inlineStr">
        <is>
          <t>KALMAR LÄN</t>
        </is>
      </c>
      <c r="E367" t="inlineStr">
        <is>
          <t>VIMMERBY</t>
        </is>
      </c>
      <c r="G367" t="n">
        <v>2.5</v>
      </c>
      <c r="H367" t="n">
        <v>0</v>
      </c>
      <c r="I367" t="n">
        <v>0</v>
      </c>
      <c r="J367" t="n">
        <v>0</v>
      </c>
      <c r="K367" t="n">
        <v>0</v>
      </c>
      <c r="L367" t="n">
        <v>0</v>
      </c>
      <c r="M367" t="n">
        <v>0</v>
      </c>
      <c r="N367" t="n">
        <v>0</v>
      </c>
      <c r="O367" t="n">
        <v>0</v>
      </c>
      <c r="P367" t="n">
        <v>0</v>
      </c>
      <c r="Q367" t="n">
        <v>0</v>
      </c>
      <c r="R367" s="2" t="inlineStr"/>
    </row>
    <row r="368" ht="15" customHeight="1">
      <c r="A368" t="inlineStr">
        <is>
          <t>A 54787-2023</t>
        </is>
      </c>
      <c r="B368" s="1" t="n">
        <v>45236</v>
      </c>
      <c r="C368" s="1" t="n">
        <v>46177</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15715-2022</t>
        </is>
      </c>
      <c r="B369" s="1" t="n">
        <v>44663</v>
      </c>
      <c r="C369" s="1" t="n">
        <v>46177</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43774-2023</t>
        </is>
      </c>
      <c r="B370" s="1" t="n">
        <v>45187</v>
      </c>
      <c r="C370" s="1" t="n">
        <v>46177</v>
      </c>
      <c r="D370" t="inlineStr">
        <is>
          <t>KALMAR LÄN</t>
        </is>
      </c>
      <c r="E370" t="inlineStr">
        <is>
          <t>VIMMERBY</t>
        </is>
      </c>
      <c r="G370" t="n">
        <v>3.4</v>
      </c>
      <c r="H370" t="n">
        <v>0</v>
      </c>
      <c r="I370" t="n">
        <v>0</v>
      </c>
      <c r="J370" t="n">
        <v>0</v>
      </c>
      <c r="K370" t="n">
        <v>0</v>
      </c>
      <c r="L370" t="n">
        <v>0</v>
      </c>
      <c r="M370" t="n">
        <v>0</v>
      </c>
      <c r="N370" t="n">
        <v>0</v>
      </c>
      <c r="O370" t="n">
        <v>0</v>
      </c>
      <c r="P370" t="n">
        <v>0</v>
      </c>
      <c r="Q370" t="n">
        <v>0</v>
      </c>
      <c r="R370" s="2" t="inlineStr"/>
    </row>
    <row r="371" ht="15" customHeight="1">
      <c r="A371" t="inlineStr">
        <is>
          <t>A 43705-2023</t>
        </is>
      </c>
      <c r="B371" s="1" t="n">
        <v>45187.42854166667</v>
      </c>
      <c r="C371" s="1" t="n">
        <v>46177</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7932-2025</t>
        </is>
      </c>
      <c r="B372" s="1" t="n">
        <v>45707.3793287037</v>
      </c>
      <c r="C372" s="1" t="n">
        <v>46177</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13532-2025</t>
        </is>
      </c>
      <c r="B373" s="1" t="n">
        <v>45736.50743055555</v>
      </c>
      <c r="C373" s="1" t="n">
        <v>46177</v>
      </c>
      <c r="D373" t="inlineStr">
        <is>
          <t>KALMAR LÄN</t>
        </is>
      </c>
      <c r="E373" t="inlineStr">
        <is>
          <t>VIMMERBY</t>
        </is>
      </c>
      <c r="G373" t="n">
        <v>3.6</v>
      </c>
      <c r="H373" t="n">
        <v>0</v>
      </c>
      <c r="I373" t="n">
        <v>0</v>
      </c>
      <c r="J373" t="n">
        <v>0</v>
      </c>
      <c r="K373" t="n">
        <v>0</v>
      </c>
      <c r="L373" t="n">
        <v>0</v>
      </c>
      <c r="M373" t="n">
        <v>0</v>
      </c>
      <c r="N373" t="n">
        <v>0</v>
      </c>
      <c r="O373" t="n">
        <v>0</v>
      </c>
      <c r="P373" t="n">
        <v>0</v>
      </c>
      <c r="Q373" t="n">
        <v>0</v>
      </c>
      <c r="R373" s="2" t="inlineStr"/>
    </row>
    <row r="374" ht="15" customHeight="1">
      <c r="A374" t="inlineStr">
        <is>
          <t>A 32655-2023</t>
        </is>
      </c>
      <c r="B374" s="1" t="n">
        <v>45121.61318287037</v>
      </c>
      <c r="C374" s="1" t="n">
        <v>46177</v>
      </c>
      <c r="D374" t="inlineStr">
        <is>
          <t>KALMAR LÄN</t>
        </is>
      </c>
      <c r="E374" t="inlineStr">
        <is>
          <t>VIMMERBY</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54409-2024</t>
        </is>
      </c>
      <c r="B375" s="1" t="n">
        <v>45617.47570601852</v>
      </c>
      <c r="C375" s="1" t="n">
        <v>46177</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40970-2025</t>
        </is>
      </c>
      <c r="B376" s="1" t="n">
        <v>45897.88706018519</v>
      </c>
      <c r="C376" s="1" t="n">
        <v>46177</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40973-2025</t>
        </is>
      </c>
      <c r="B377" s="1" t="n">
        <v>45897.89737268518</v>
      </c>
      <c r="C377" s="1" t="n">
        <v>46177</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41224-2025</t>
        </is>
      </c>
      <c r="B378" s="1" t="n">
        <v>45898.58861111111</v>
      </c>
      <c r="C378" s="1" t="n">
        <v>46177</v>
      </c>
      <c r="D378" t="inlineStr">
        <is>
          <t>KALMAR LÄN</t>
        </is>
      </c>
      <c r="E378" t="inlineStr">
        <is>
          <t>VIMMERBY</t>
        </is>
      </c>
      <c r="G378" t="n">
        <v>4.4</v>
      </c>
      <c r="H378" t="n">
        <v>0</v>
      </c>
      <c r="I378" t="n">
        <v>0</v>
      </c>
      <c r="J378" t="n">
        <v>0</v>
      </c>
      <c r="K378" t="n">
        <v>0</v>
      </c>
      <c r="L378" t="n">
        <v>0</v>
      </c>
      <c r="M378" t="n">
        <v>0</v>
      </c>
      <c r="N378" t="n">
        <v>0</v>
      </c>
      <c r="O378" t="n">
        <v>0</v>
      </c>
      <c r="P378" t="n">
        <v>0</v>
      </c>
      <c r="Q378" t="n">
        <v>0</v>
      </c>
      <c r="R378" s="2" t="inlineStr"/>
    </row>
    <row r="379" ht="15" customHeight="1">
      <c r="A379" t="inlineStr">
        <is>
          <t>A 1978-2024</t>
        </is>
      </c>
      <c r="B379" s="1" t="n">
        <v>45308.59001157407</v>
      </c>
      <c r="C379" s="1" t="n">
        <v>46177</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6399-2025</t>
        </is>
      </c>
      <c r="B380" s="1" t="n">
        <v>45699.44291666667</v>
      </c>
      <c r="C380" s="1" t="n">
        <v>46177</v>
      </c>
      <c r="D380" t="inlineStr">
        <is>
          <t>KALMAR LÄN</t>
        </is>
      </c>
      <c r="E380" t="inlineStr">
        <is>
          <t>VIMMERBY</t>
        </is>
      </c>
      <c r="G380" t="n">
        <v>3.1</v>
      </c>
      <c r="H380" t="n">
        <v>0</v>
      </c>
      <c r="I380" t="n">
        <v>0</v>
      </c>
      <c r="J380" t="n">
        <v>0</v>
      </c>
      <c r="K380" t="n">
        <v>0</v>
      </c>
      <c r="L380" t="n">
        <v>0</v>
      </c>
      <c r="M380" t="n">
        <v>0</v>
      </c>
      <c r="N380" t="n">
        <v>0</v>
      </c>
      <c r="O380" t="n">
        <v>0</v>
      </c>
      <c r="P380" t="n">
        <v>0</v>
      </c>
      <c r="Q380" t="n">
        <v>0</v>
      </c>
      <c r="R380" s="2" t="inlineStr"/>
    </row>
    <row r="381" ht="15" customHeight="1">
      <c r="A381" t="inlineStr">
        <is>
          <t>A 9475-2023</t>
        </is>
      </c>
      <c r="B381" s="1" t="n">
        <v>44981.58834490741</v>
      </c>
      <c r="C381" s="1" t="n">
        <v>46177</v>
      </c>
      <c r="D381" t="inlineStr">
        <is>
          <t>KALMAR LÄN</t>
        </is>
      </c>
      <c r="E381" t="inlineStr">
        <is>
          <t>VIMMERBY</t>
        </is>
      </c>
      <c r="G381" t="n">
        <v>2</v>
      </c>
      <c r="H381" t="n">
        <v>0</v>
      </c>
      <c r="I381" t="n">
        <v>0</v>
      </c>
      <c r="J381" t="n">
        <v>0</v>
      </c>
      <c r="K381" t="n">
        <v>0</v>
      </c>
      <c r="L381" t="n">
        <v>0</v>
      </c>
      <c r="M381" t="n">
        <v>0</v>
      </c>
      <c r="N381" t="n">
        <v>0</v>
      </c>
      <c r="O381" t="n">
        <v>0</v>
      </c>
      <c r="P381" t="n">
        <v>0</v>
      </c>
      <c r="Q381" t="n">
        <v>0</v>
      </c>
      <c r="R381" s="2" t="inlineStr"/>
    </row>
    <row r="382" ht="15" customHeight="1">
      <c r="A382" t="inlineStr">
        <is>
          <t>A 41311-2023</t>
        </is>
      </c>
      <c r="B382" s="1" t="n">
        <v>45174</v>
      </c>
      <c r="C382" s="1" t="n">
        <v>46177</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22399-2025</t>
        </is>
      </c>
      <c r="B383" s="1" t="n">
        <v>45786.52996527778</v>
      </c>
      <c r="C383" s="1" t="n">
        <v>46177</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40925-2025</t>
        </is>
      </c>
      <c r="B384" s="1" t="n">
        <v>45897.64208333333</v>
      </c>
      <c r="C384" s="1" t="n">
        <v>46177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40921-2025</t>
        </is>
      </c>
      <c r="B385" s="1" t="n">
        <v>45897.63520833333</v>
      </c>
      <c r="C385" s="1" t="n">
        <v>46177</v>
      </c>
      <c r="D385" t="inlineStr">
        <is>
          <t>KALMAR LÄN</t>
        </is>
      </c>
      <c r="E385" t="inlineStr">
        <is>
          <t>VIMMERBY</t>
        </is>
      </c>
      <c r="G385" t="n">
        <v>4.2</v>
      </c>
      <c r="H385" t="n">
        <v>0</v>
      </c>
      <c r="I385" t="n">
        <v>0</v>
      </c>
      <c r="J385" t="n">
        <v>0</v>
      </c>
      <c r="K385" t="n">
        <v>0</v>
      </c>
      <c r="L385" t="n">
        <v>0</v>
      </c>
      <c r="M385" t="n">
        <v>0</v>
      </c>
      <c r="N385" t="n">
        <v>0</v>
      </c>
      <c r="O385" t="n">
        <v>0</v>
      </c>
      <c r="P385" t="n">
        <v>0</v>
      </c>
      <c r="Q385" t="n">
        <v>0</v>
      </c>
      <c r="R385" s="2" t="inlineStr"/>
    </row>
    <row r="386" ht="15" customHeight="1">
      <c r="A386" t="inlineStr">
        <is>
          <t>A 40971-2025</t>
        </is>
      </c>
      <c r="B386" s="1" t="n">
        <v>45897.88836805556</v>
      </c>
      <c r="C386" s="1" t="n">
        <v>46177</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43092-2024</t>
        </is>
      </c>
      <c r="B387" s="1" t="n">
        <v>45567</v>
      </c>
      <c r="C387" s="1" t="n">
        <v>46177</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10785-2025</t>
        </is>
      </c>
      <c r="B388" s="1" t="n">
        <v>45722.48634259259</v>
      </c>
      <c r="C388" s="1" t="n">
        <v>46177</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41591-2025</t>
        </is>
      </c>
      <c r="B389" s="1" t="n">
        <v>45901.6327662037</v>
      </c>
      <c r="C389" s="1" t="n">
        <v>46177</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41589-2025</t>
        </is>
      </c>
      <c r="B390" s="1" t="n">
        <v>45901.63219907408</v>
      </c>
      <c r="C390" s="1" t="n">
        <v>46177</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11619-2023</t>
        </is>
      </c>
      <c r="B391" s="1" t="n">
        <v>44994.42113425926</v>
      </c>
      <c r="C391" s="1" t="n">
        <v>46177</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22397-2025</t>
        </is>
      </c>
      <c r="B392" s="1" t="n">
        <v>45786.52878472222</v>
      </c>
      <c r="C392" s="1" t="n">
        <v>46177</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5074-2023</t>
        </is>
      </c>
      <c r="B393" s="1" t="n">
        <v>44958.61047453704</v>
      </c>
      <c r="C393" s="1" t="n">
        <v>46177</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6368-2023</t>
        </is>
      </c>
      <c r="B394" s="1" t="n">
        <v>44965</v>
      </c>
      <c r="C394" s="1" t="n">
        <v>46177</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11442-2025</t>
        </is>
      </c>
      <c r="B395" s="1" t="n">
        <v>45726.62721064815</v>
      </c>
      <c r="C395" s="1" t="n">
        <v>46177</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5701-2024</t>
        </is>
      </c>
      <c r="B396" s="1" t="n">
        <v>45334.78826388889</v>
      </c>
      <c r="C396" s="1" t="n">
        <v>46177</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18020-2025</t>
        </is>
      </c>
      <c r="B397" s="1" t="n">
        <v>45761.4437962963</v>
      </c>
      <c r="C397" s="1" t="n">
        <v>46177</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6307-2025</t>
        </is>
      </c>
      <c r="B398" s="1" t="n">
        <v>45698.69016203703</v>
      </c>
      <c r="C398" s="1" t="n">
        <v>46177</v>
      </c>
      <c r="D398" t="inlineStr">
        <is>
          <t>KALMAR LÄN</t>
        </is>
      </c>
      <c r="E398" t="inlineStr">
        <is>
          <t>VIMMERBY</t>
        </is>
      </c>
      <c r="G398" t="n">
        <v>3</v>
      </c>
      <c r="H398" t="n">
        <v>0</v>
      </c>
      <c r="I398" t="n">
        <v>0</v>
      </c>
      <c r="J398" t="n">
        <v>0</v>
      </c>
      <c r="K398" t="n">
        <v>0</v>
      </c>
      <c r="L398" t="n">
        <v>0</v>
      </c>
      <c r="M398" t="n">
        <v>0</v>
      </c>
      <c r="N398" t="n">
        <v>0</v>
      </c>
      <c r="O398" t="n">
        <v>0</v>
      </c>
      <c r="P398" t="n">
        <v>0</v>
      </c>
      <c r="Q398" t="n">
        <v>0</v>
      </c>
      <c r="R398" s="2" t="inlineStr"/>
    </row>
    <row r="399" ht="15" customHeight="1">
      <c r="A399" t="inlineStr">
        <is>
          <t>A 34090-2025</t>
        </is>
      </c>
      <c r="B399" s="1" t="n">
        <v>45845</v>
      </c>
      <c r="C399" s="1" t="n">
        <v>46177</v>
      </c>
      <c r="D399" t="inlineStr">
        <is>
          <t>KALMAR LÄN</t>
        </is>
      </c>
      <c r="E399" t="inlineStr">
        <is>
          <t>VIMMERBY</t>
        </is>
      </c>
      <c r="G399" t="n">
        <v>2.8</v>
      </c>
      <c r="H399" t="n">
        <v>0</v>
      </c>
      <c r="I399" t="n">
        <v>0</v>
      </c>
      <c r="J399" t="n">
        <v>0</v>
      </c>
      <c r="K399" t="n">
        <v>0</v>
      </c>
      <c r="L399" t="n">
        <v>0</v>
      </c>
      <c r="M399" t="n">
        <v>0</v>
      </c>
      <c r="N399" t="n">
        <v>0</v>
      </c>
      <c r="O399" t="n">
        <v>0</v>
      </c>
      <c r="P399" t="n">
        <v>0</v>
      </c>
      <c r="Q399" t="n">
        <v>0</v>
      </c>
      <c r="R399" s="2" t="inlineStr"/>
    </row>
    <row r="400" ht="15" customHeight="1">
      <c r="A400" t="inlineStr">
        <is>
          <t>A 23394-2025</t>
        </is>
      </c>
      <c r="B400" s="1" t="n">
        <v>45791.89865740741</v>
      </c>
      <c r="C400" s="1" t="n">
        <v>46177</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585-2024</t>
        </is>
      </c>
      <c r="B401" s="1" t="n">
        <v>45299.62576388889</v>
      </c>
      <c r="C401" s="1" t="n">
        <v>46177</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41735-2025</t>
        </is>
      </c>
      <c r="B402" s="1" t="n">
        <v>45902.47164351852</v>
      </c>
      <c r="C402" s="1" t="n">
        <v>46177</v>
      </c>
      <c r="D402" t="inlineStr">
        <is>
          <t>KALMAR LÄN</t>
        </is>
      </c>
      <c r="E402" t="inlineStr">
        <is>
          <t>VIMMERBY</t>
        </is>
      </c>
      <c r="G402" t="n">
        <v>3</v>
      </c>
      <c r="H402" t="n">
        <v>0</v>
      </c>
      <c r="I402" t="n">
        <v>0</v>
      </c>
      <c r="J402" t="n">
        <v>0</v>
      </c>
      <c r="K402" t="n">
        <v>0</v>
      </c>
      <c r="L402" t="n">
        <v>0</v>
      </c>
      <c r="M402" t="n">
        <v>0</v>
      </c>
      <c r="N402" t="n">
        <v>0</v>
      </c>
      <c r="O402" t="n">
        <v>0</v>
      </c>
      <c r="P402" t="n">
        <v>0</v>
      </c>
      <c r="Q402" t="n">
        <v>0</v>
      </c>
      <c r="R402" s="2" t="inlineStr"/>
    </row>
    <row r="403" ht="15" customHeight="1">
      <c r="A403" t="inlineStr">
        <is>
          <t>A 6802-2025</t>
        </is>
      </c>
      <c r="B403" s="1" t="n">
        <v>45700.68289351852</v>
      </c>
      <c r="C403" s="1" t="n">
        <v>46177</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7797-2023</t>
        </is>
      </c>
      <c r="B404" s="1" t="n">
        <v>44973.43075231482</v>
      </c>
      <c r="C404" s="1" t="n">
        <v>46177</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23984-2025</t>
        </is>
      </c>
      <c r="B405" s="1" t="n">
        <v>45796</v>
      </c>
      <c r="C405" s="1" t="n">
        <v>46177</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56020-2024</t>
        </is>
      </c>
      <c r="B406" s="1" t="n">
        <v>45623.9525462963</v>
      </c>
      <c r="C406" s="1" t="n">
        <v>46177</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33842-2022</t>
        </is>
      </c>
      <c r="B407" s="1" t="n">
        <v>44790.49523148148</v>
      </c>
      <c r="C407" s="1" t="n">
        <v>46177</v>
      </c>
      <c r="D407" t="inlineStr">
        <is>
          <t>KALMAR LÄN</t>
        </is>
      </c>
      <c r="E407" t="inlineStr">
        <is>
          <t>VIMMERBY</t>
        </is>
      </c>
      <c r="G407" t="n">
        <v>1.6</v>
      </c>
      <c r="H407" t="n">
        <v>0</v>
      </c>
      <c r="I407" t="n">
        <v>0</v>
      </c>
      <c r="J407" t="n">
        <v>0</v>
      </c>
      <c r="K407" t="n">
        <v>0</v>
      </c>
      <c r="L407" t="n">
        <v>0</v>
      </c>
      <c r="M407" t="n">
        <v>0</v>
      </c>
      <c r="N407" t="n">
        <v>0</v>
      </c>
      <c r="O407" t="n">
        <v>0</v>
      </c>
      <c r="P407" t="n">
        <v>0</v>
      </c>
      <c r="Q407" t="n">
        <v>0</v>
      </c>
      <c r="R407" s="2" t="inlineStr"/>
    </row>
    <row r="408" ht="15" customHeight="1">
      <c r="A408" t="inlineStr">
        <is>
          <t>A 60675-2023</t>
        </is>
      </c>
      <c r="B408" s="1" t="n">
        <v>45260.4716550926</v>
      </c>
      <c r="C408" s="1" t="n">
        <v>46177</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8410-2023</t>
        </is>
      </c>
      <c r="B409" s="1" t="n">
        <v>44977</v>
      </c>
      <c r="C409" s="1" t="n">
        <v>46177</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42828-2025</t>
        </is>
      </c>
      <c r="B410" s="1" t="n">
        <v>45908.57716435185</v>
      </c>
      <c r="C410" s="1" t="n">
        <v>46177</v>
      </c>
      <c r="D410" t="inlineStr">
        <is>
          <t>KALMAR LÄN</t>
        </is>
      </c>
      <c r="E410" t="inlineStr">
        <is>
          <t>VIMMERBY</t>
        </is>
      </c>
      <c r="G410" t="n">
        <v>5.2</v>
      </c>
      <c r="H410" t="n">
        <v>0</v>
      </c>
      <c r="I410" t="n">
        <v>0</v>
      </c>
      <c r="J410" t="n">
        <v>0</v>
      </c>
      <c r="K410" t="n">
        <v>0</v>
      </c>
      <c r="L410" t="n">
        <v>0</v>
      </c>
      <c r="M410" t="n">
        <v>0</v>
      </c>
      <c r="N410" t="n">
        <v>0</v>
      </c>
      <c r="O410" t="n">
        <v>0</v>
      </c>
      <c r="P410" t="n">
        <v>0</v>
      </c>
      <c r="Q410" t="n">
        <v>0</v>
      </c>
      <c r="R410" s="2" t="inlineStr"/>
    </row>
    <row r="411" ht="15" customHeight="1">
      <c r="A411" t="inlineStr">
        <is>
          <t>A 40095-2022</t>
        </is>
      </c>
      <c r="B411" s="1" t="n">
        <v>44820</v>
      </c>
      <c r="C411" s="1" t="n">
        <v>46177</v>
      </c>
      <c r="D411" t="inlineStr">
        <is>
          <t>KALMAR LÄN</t>
        </is>
      </c>
      <c r="E411" t="inlineStr">
        <is>
          <t>VIMMERBY</t>
        </is>
      </c>
      <c r="G411" t="n">
        <v>2.4</v>
      </c>
      <c r="H411" t="n">
        <v>0</v>
      </c>
      <c r="I411" t="n">
        <v>0</v>
      </c>
      <c r="J411" t="n">
        <v>0</v>
      </c>
      <c r="K411" t="n">
        <v>0</v>
      </c>
      <c r="L411" t="n">
        <v>0</v>
      </c>
      <c r="M411" t="n">
        <v>0</v>
      </c>
      <c r="N411" t="n">
        <v>0</v>
      </c>
      <c r="O411" t="n">
        <v>0</v>
      </c>
      <c r="P411" t="n">
        <v>0</v>
      </c>
      <c r="Q411" t="n">
        <v>0</v>
      </c>
      <c r="R411" s="2" t="inlineStr"/>
    </row>
    <row r="412" ht="15" customHeight="1">
      <c r="A412" t="inlineStr">
        <is>
          <t>A 19537-2022</t>
        </is>
      </c>
      <c r="B412" s="1" t="n">
        <v>44693.62822916666</v>
      </c>
      <c r="C412" s="1" t="n">
        <v>46177</v>
      </c>
      <c r="D412" t="inlineStr">
        <is>
          <t>KALMAR LÄN</t>
        </is>
      </c>
      <c r="E412" t="inlineStr">
        <is>
          <t>VIMMERBY</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6028-2023</t>
        </is>
      </c>
      <c r="B413" s="1" t="n">
        <v>44964.44356481481</v>
      </c>
      <c r="C413" s="1" t="n">
        <v>46177</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42794-2025</t>
        </is>
      </c>
      <c r="B414" s="1" t="n">
        <v>45908</v>
      </c>
      <c r="C414" s="1" t="n">
        <v>46177</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52823-2024</t>
        </is>
      </c>
      <c r="B415" s="1" t="n">
        <v>45610.59094907407</v>
      </c>
      <c r="C415" s="1" t="n">
        <v>46177</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57311-2023</t>
        </is>
      </c>
      <c r="B416" s="1" t="n">
        <v>45245.63574074074</v>
      </c>
      <c r="C416" s="1" t="n">
        <v>46177</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64428-2023</t>
        </is>
      </c>
      <c r="B417" s="1" t="n">
        <v>45280.66769675926</v>
      </c>
      <c r="C417" s="1" t="n">
        <v>46177</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4527-2023</t>
        </is>
      </c>
      <c r="B418" s="1" t="n">
        <v>44956</v>
      </c>
      <c r="C418" s="1" t="n">
        <v>46177</v>
      </c>
      <c r="D418" t="inlineStr">
        <is>
          <t>KALMAR LÄN</t>
        </is>
      </c>
      <c r="E418" t="inlineStr">
        <is>
          <t>VIMMERBY</t>
        </is>
      </c>
      <c r="F418" t="inlineStr">
        <is>
          <t>Kommuner</t>
        </is>
      </c>
      <c r="G418" t="n">
        <v>8.5</v>
      </c>
      <c r="H418" t="n">
        <v>0</v>
      </c>
      <c r="I418" t="n">
        <v>0</v>
      </c>
      <c r="J418" t="n">
        <v>0</v>
      </c>
      <c r="K418" t="n">
        <v>0</v>
      </c>
      <c r="L418" t="n">
        <v>0</v>
      </c>
      <c r="M418" t="n">
        <v>0</v>
      </c>
      <c r="N418" t="n">
        <v>0</v>
      </c>
      <c r="O418" t="n">
        <v>0</v>
      </c>
      <c r="P418" t="n">
        <v>0</v>
      </c>
      <c r="Q418" t="n">
        <v>0</v>
      </c>
      <c r="R418" s="2" t="inlineStr"/>
    </row>
    <row r="419" ht="15" customHeight="1">
      <c r="A419" t="inlineStr">
        <is>
          <t>A 42820-2025</t>
        </is>
      </c>
      <c r="B419" s="1" t="n">
        <v>45908</v>
      </c>
      <c r="C419" s="1" t="n">
        <v>46177</v>
      </c>
      <c r="D419" t="inlineStr">
        <is>
          <t>KALMAR LÄN</t>
        </is>
      </c>
      <c r="E419" t="inlineStr">
        <is>
          <t>VIMMERBY</t>
        </is>
      </c>
      <c r="G419" t="n">
        <v>1.2</v>
      </c>
      <c r="H419" t="n">
        <v>0</v>
      </c>
      <c r="I419" t="n">
        <v>0</v>
      </c>
      <c r="J419" t="n">
        <v>0</v>
      </c>
      <c r="K419" t="n">
        <v>0</v>
      </c>
      <c r="L419" t="n">
        <v>0</v>
      </c>
      <c r="M419" t="n">
        <v>0</v>
      </c>
      <c r="N419" t="n">
        <v>0</v>
      </c>
      <c r="O419" t="n">
        <v>0</v>
      </c>
      <c r="P419" t="n">
        <v>0</v>
      </c>
      <c r="Q419" t="n">
        <v>0</v>
      </c>
      <c r="R419" s="2" t="inlineStr"/>
    </row>
    <row r="420" ht="15" customHeight="1">
      <c r="A420" t="inlineStr">
        <is>
          <t>A 56853-2022</t>
        </is>
      </c>
      <c r="B420" s="1" t="n">
        <v>44894.49538194444</v>
      </c>
      <c r="C420" s="1" t="n">
        <v>46177</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11152-2023</t>
        </is>
      </c>
      <c r="B421" s="1" t="n">
        <v>44992</v>
      </c>
      <c r="C421" s="1" t="n">
        <v>46177</v>
      </c>
      <c r="D421" t="inlineStr">
        <is>
          <t>KALMAR LÄN</t>
        </is>
      </c>
      <c r="E421" t="inlineStr">
        <is>
          <t>VIMMERBY</t>
        </is>
      </c>
      <c r="G421" t="n">
        <v>10.6</v>
      </c>
      <c r="H421" t="n">
        <v>0</v>
      </c>
      <c r="I421" t="n">
        <v>0</v>
      </c>
      <c r="J421" t="n">
        <v>0</v>
      </c>
      <c r="K421" t="n">
        <v>0</v>
      </c>
      <c r="L421" t="n">
        <v>0</v>
      </c>
      <c r="M421" t="n">
        <v>0</v>
      </c>
      <c r="N421" t="n">
        <v>0</v>
      </c>
      <c r="O421" t="n">
        <v>0</v>
      </c>
      <c r="P421" t="n">
        <v>0</v>
      </c>
      <c r="Q421" t="n">
        <v>0</v>
      </c>
      <c r="R421" s="2" t="inlineStr"/>
    </row>
    <row r="422" ht="15" customHeight="1">
      <c r="A422" t="inlineStr">
        <is>
          <t>A 3268-2024</t>
        </is>
      </c>
      <c r="B422" s="1" t="n">
        <v>45317</v>
      </c>
      <c r="C422" s="1" t="n">
        <v>46177</v>
      </c>
      <c r="D422" t="inlineStr">
        <is>
          <t>KALMAR LÄN</t>
        </is>
      </c>
      <c r="E422" t="inlineStr">
        <is>
          <t>VIMMERBY</t>
        </is>
      </c>
      <c r="F422" t="inlineStr">
        <is>
          <t>Övriga Aktiebolag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15550-2023</t>
        </is>
      </c>
      <c r="B423" s="1" t="n">
        <v>45020</v>
      </c>
      <c r="C423" s="1" t="n">
        <v>46177</v>
      </c>
      <c r="D423" t="inlineStr">
        <is>
          <t>KALMAR LÄN</t>
        </is>
      </c>
      <c r="E423" t="inlineStr">
        <is>
          <t>VIMMERBY</t>
        </is>
      </c>
      <c r="G423" t="n">
        <v>0.5</v>
      </c>
      <c r="H423" t="n">
        <v>0</v>
      </c>
      <c r="I423" t="n">
        <v>0</v>
      </c>
      <c r="J423" t="n">
        <v>0</v>
      </c>
      <c r="K423" t="n">
        <v>0</v>
      </c>
      <c r="L423" t="n">
        <v>0</v>
      </c>
      <c r="M423" t="n">
        <v>0</v>
      </c>
      <c r="N423" t="n">
        <v>0</v>
      </c>
      <c r="O423" t="n">
        <v>0</v>
      </c>
      <c r="P423" t="n">
        <v>0</v>
      </c>
      <c r="Q423" t="n">
        <v>0</v>
      </c>
      <c r="R423" s="2" t="inlineStr"/>
    </row>
    <row r="424" ht="15" customHeight="1">
      <c r="A424" t="inlineStr">
        <is>
          <t>A 51408-2023</t>
        </is>
      </c>
      <c r="B424" s="1" t="n">
        <v>45219.69356481481</v>
      </c>
      <c r="C424" s="1" t="n">
        <v>46177</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34060-2025</t>
        </is>
      </c>
      <c r="B425" s="1" t="n">
        <v>45845.42015046296</v>
      </c>
      <c r="C425" s="1" t="n">
        <v>46177</v>
      </c>
      <c r="D425" t="inlineStr">
        <is>
          <t>KALMAR LÄN</t>
        </is>
      </c>
      <c r="E425" t="inlineStr">
        <is>
          <t>VIMMERBY</t>
        </is>
      </c>
      <c r="G425" t="n">
        <v>5.7</v>
      </c>
      <c r="H425" t="n">
        <v>0</v>
      </c>
      <c r="I425" t="n">
        <v>0</v>
      </c>
      <c r="J425" t="n">
        <v>0</v>
      </c>
      <c r="K425" t="n">
        <v>0</v>
      </c>
      <c r="L425" t="n">
        <v>0</v>
      </c>
      <c r="M425" t="n">
        <v>0</v>
      </c>
      <c r="N425" t="n">
        <v>0</v>
      </c>
      <c r="O425" t="n">
        <v>0</v>
      </c>
      <c r="P425" t="n">
        <v>0</v>
      </c>
      <c r="Q425" t="n">
        <v>0</v>
      </c>
      <c r="R425" s="2" t="inlineStr"/>
    </row>
    <row r="426" ht="15" customHeight="1">
      <c r="A426" t="inlineStr">
        <is>
          <t>A 12480-2024</t>
        </is>
      </c>
      <c r="B426" s="1" t="n">
        <v>45379</v>
      </c>
      <c r="C426" s="1" t="n">
        <v>46177</v>
      </c>
      <c r="D426" t="inlineStr">
        <is>
          <t>KALMAR LÄN</t>
        </is>
      </c>
      <c r="E426" t="inlineStr">
        <is>
          <t>VIMMERBY</t>
        </is>
      </c>
      <c r="G426" t="n">
        <v>2.8</v>
      </c>
      <c r="H426" t="n">
        <v>0</v>
      </c>
      <c r="I426" t="n">
        <v>0</v>
      </c>
      <c r="J426" t="n">
        <v>0</v>
      </c>
      <c r="K426" t="n">
        <v>0</v>
      </c>
      <c r="L426" t="n">
        <v>0</v>
      </c>
      <c r="M426" t="n">
        <v>0</v>
      </c>
      <c r="N426" t="n">
        <v>0</v>
      </c>
      <c r="O426" t="n">
        <v>0</v>
      </c>
      <c r="P426" t="n">
        <v>0</v>
      </c>
      <c r="Q426" t="n">
        <v>0</v>
      </c>
      <c r="R426" s="2" t="inlineStr"/>
    </row>
    <row r="427" ht="15" customHeight="1">
      <c r="A427" t="inlineStr">
        <is>
          <t>A 31355-2023</t>
        </is>
      </c>
      <c r="B427" s="1" t="n">
        <v>45114.49505787037</v>
      </c>
      <c r="C427" s="1" t="n">
        <v>46177</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52588-2023</t>
        </is>
      </c>
      <c r="B428" s="1" t="n">
        <v>45225.60192129629</v>
      </c>
      <c r="C428" s="1" t="n">
        <v>46177</v>
      </c>
      <c r="D428" t="inlineStr">
        <is>
          <t>KALMAR LÄN</t>
        </is>
      </c>
      <c r="E428" t="inlineStr">
        <is>
          <t>VIMMERBY</t>
        </is>
      </c>
      <c r="G428" t="n">
        <v>2.9</v>
      </c>
      <c r="H428" t="n">
        <v>0</v>
      </c>
      <c r="I428" t="n">
        <v>0</v>
      </c>
      <c r="J428" t="n">
        <v>0</v>
      </c>
      <c r="K428" t="n">
        <v>0</v>
      </c>
      <c r="L428" t="n">
        <v>0</v>
      </c>
      <c r="M428" t="n">
        <v>0</v>
      </c>
      <c r="N428" t="n">
        <v>0</v>
      </c>
      <c r="O428" t="n">
        <v>0</v>
      </c>
      <c r="P428" t="n">
        <v>0</v>
      </c>
      <c r="Q428" t="n">
        <v>0</v>
      </c>
      <c r="R428" s="2" t="inlineStr"/>
    </row>
    <row r="429" ht="15" customHeight="1">
      <c r="A429" t="inlineStr">
        <is>
          <t>A 18330-2023</t>
        </is>
      </c>
      <c r="B429" s="1" t="n">
        <v>45041</v>
      </c>
      <c r="C429" s="1" t="n">
        <v>46177</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55236-2023</t>
        </is>
      </c>
      <c r="B430" s="1" t="n">
        <v>45237.63225694445</v>
      </c>
      <c r="C430" s="1" t="n">
        <v>46177</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55245-2023</t>
        </is>
      </c>
      <c r="B431" s="1" t="n">
        <v>45237.64408564815</v>
      </c>
      <c r="C431" s="1" t="n">
        <v>46177</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58100-2024</t>
        </is>
      </c>
      <c r="B432" s="1" t="n">
        <v>45632.36706018518</v>
      </c>
      <c r="C432" s="1" t="n">
        <v>46177</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43617-2025</t>
        </is>
      </c>
      <c r="B433" s="1" t="n">
        <v>45911.67798611111</v>
      </c>
      <c r="C433" s="1" t="n">
        <v>46177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19111-2025</t>
        </is>
      </c>
      <c r="B434" s="1" t="n">
        <v>45768.65611111111</v>
      </c>
      <c r="C434" s="1" t="n">
        <v>46177</v>
      </c>
      <c r="D434" t="inlineStr">
        <is>
          <t>KALMAR LÄN</t>
        </is>
      </c>
      <c r="E434" t="inlineStr">
        <is>
          <t>VIMMERBY</t>
        </is>
      </c>
      <c r="G434" t="n">
        <v>6.2</v>
      </c>
      <c r="H434" t="n">
        <v>0</v>
      </c>
      <c r="I434" t="n">
        <v>0</v>
      </c>
      <c r="J434" t="n">
        <v>0</v>
      </c>
      <c r="K434" t="n">
        <v>0</v>
      </c>
      <c r="L434" t="n">
        <v>0</v>
      </c>
      <c r="M434" t="n">
        <v>0</v>
      </c>
      <c r="N434" t="n">
        <v>0</v>
      </c>
      <c r="O434" t="n">
        <v>0</v>
      </c>
      <c r="P434" t="n">
        <v>0</v>
      </c>
      <c r="Q434" t="n">
        <v>0</v>
      </c>
      <c r="R434" s="2" t="inlineStr"/>
    </row>
    <row r="435" ht="15" customHeight="1">
      <c r="A435" t="inlineStr">
        <is>
          <t>A 27993-2022</t>
        </is>
      </c>
      <c r="B435" s="1" t="n">
        <v>44745.84396990741</v>
      </c>
      <c r="C435" s="1" t="n">
        <v>46177</v>
      </c>
      <c r="D435" t="inlineStr">
        <is>
          <t>KALMAR LÄN</t>
        </is>
      </c>
      <c r="E435" t="inlineStr">
        <is>
          <t>VIMMERBY</t>
        </is>
      </c>
      <c r="G435" t="n">
        <v>2.8</v>
      </c>
      <c r="H435" t="n">
        <v>0</v>
      </c>
      <c r="I435" t="n">
        <v>0</v>
      </c>
      <c r="J435" t="n">
        <v>0</v>
      </c>
      <c r="K435" t="n">
        <v>0</v>
      </c>
      <c r="L435" t="n">
        <v>0</v>
      </c>
      <c r="M435" t="n">
        <v>0</v>
      </c>
      <c r="N435" t="n">
        <v>0</v>
      </c>
      <c r="O435" t="n">
        <v>0</v>
      </c>
      <c r="P435" t="n">
        <v>0</v>
      </c>
      <c r="Q435" t="n">
        <v>0</v>
      </c>
      <c r="R435" s="2" t="inlineStr"/>
    </row>
    <row r="436" ht="15" customHeight="1">
      <c r="A436" t="inlineStr">
        <is>
          <t>A 38969-2023</t>
        </is>
      </c>
      <c r="B436" s="1" t="n">
        <v>45163.63621527778</v>
      </c>
      <c r="C436" s="1" t="n">
        <v>46177</v>
      </c>
      <c r="D436" t="inlineStr">
        <is>
          <t>KALMAR LÄN</t>
        </is>
      </c>
      <c r="E436" t="inlineStr">
        <is>
          <t>VIMMERBY</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25370-2022</t>
        </is>
      </c>
      <c r="B437" s="1" t="n">
        <v>44732.3659837963</v>
      </c>
      <c r="C437" s="1" t="n">
        <v>46177</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43465-2025</t>
        </is>
      </c>
      <c r="B438" s="1" t="n">
        <v>45911.47138888889</v>
      </c>
      <c r="C438" s="1" t="n">
        <v>46177</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53752-2024</t>
        </is>
      </c>
      <c r="B439" s="1" t="n">
        <v>45615.48927083334</v>
      </c>
      <c r="C439" s="1" t="n">
        <v>46177</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33838-2022</t>
        </is>
      </c>
      <c r="B440" s="1" t="n">
        <v>44790.49040509259</v>
      </c>
      <c r="C440" s="1" t="n">
        <v>46177</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4058-2024</t>
        </is>
      </c>
      <c r="B441" s="1" t="n">
        <v>45323.53744212963</v>
      </c>
      <c r="C441" s="1" t="n">
        <v>46177</v>
      </c>
      <c r="D441" t="inlineStr">
        <is>
          <t>KALMAR LÄN</t>
        </is>
      </c>
      <c r="E441" t="inlineStr">
        <is>
          <t>VIMMERBY</t>
        </is>
      </c>
      <c r="G441" t="n">
        <v>6.5</v>
      </c>
      <c r="H441" t="n">
        <v>0</v>
      </c>
      <c r="I441" t="n">
        <v>0</v>
      </c>
      <c r="J441" t="n">
        <v>0</v>
      </c>
      <c r="K441" t="n">
        <v>0</v>
      </c>
      <c r="L441" t="n">
        <v>0</v>
      </c>
      <c r="M441" t="n">
        <v>0</v>
      </c>
      <c r="N441" t="n">
        <v>0</v>
      </c>
      <c r="O441" t="n">
        <v>0</v>
      </c>
      <c r="P441" t="n">
        <v>0</v>
      </c>
      <c r="Q441" t="n">
        <v>0</v>
      </c>
      <c r="R441" s="2" t="inlineStr"/>
    </row>
    <row r="442" ht="15" customHeight="1">
      <c r="A442" t="inlineStr">
        <is>
          <t>A 36008-2024</t>
        </is>
      </c>
      <c r="B442" s="1" t="n">
        <v>45533.55362268518</v>
      </c>
      <c r="C442" s="1" t="n">
        <v>46177</v>
      </c>
      <c r="D442" t="inlineStr">
        <is>
          <t>KALMAR LÄN</t>
        </is>
      </c>
      <c r="E442" t="inlineStr">
        <is>
          <t>VIMMERBY</t>
        </is>
      </c>
      <c r="G442" t="n">
        <v>3.7</v>
      </c>
      <c r="H442" t="n">
        <v>0</v>
      </c>
      <c r="I442" t="n">
        <v>0</v>
      </c>
      <c r="J442" t="n">
        <v>0</v>
      </c>
      <c r="K442" t="n">
        <v>0</v>
      </c>
      <c r="L442" t="n">
        <v>0</v>
      </c>
      <c r="M442" t="n">
        <v>0</v>
      </c>
      <c r="N442" t="n">
        <v>0</v>
      </c>
      <c r="O442" t="n">
        <v>0</v>
      </c>
      <c r="P442" t="n">
        <v>0</v>
      </c>
      <c r="Q442" t="n">
        <v>0</v>
      </c>
      <c r="R442" s="2" t="inlineStr"/>
    </row>
    <row r="443" ht="15" customHeight="1">
      <c r="A443" t="inlineStr">
        <is>
          <t>A 44329-2025</t>
        </is>
      </c>
      <c r="B443" s="1" t="n">
        <v>45916.41019675926</v>
      </c>
      <c r="C443" s="1" t="n">
        <v>46177</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18669-2025</t>
        </is>
      </c>
      <c r="B444" s="1" t="n">
        <v>45763.59436342592</v>
      </c>
      <c r="C444" s="1" t="n">
        <v>46177</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8540-2024</t>
        </is>
      </c>
      <c r="B445" s="1" t="n">
        <v>45355.54138888889</v>
      </c>
      <c r="C445" s="1" t="n">
        <v>46177</v>
      </c>
      <c r="D445" t="inlineStr">
        <is>
          <t>KALMAR LÄN</t>
        </is>
      </c>
      <c r="E445" t="inlineStr">
        <is>
          <t>VIMMERBY</t>
        </is>
      </c>
      <c r="G445" t="n">
        <v>1.9</v>
      </c>
      <c r="H445" t="n">
        <v>0</v>
      </c>
      <c r="I445" t="n">
        <v>0</v>
      </c>
      <c r="J445" t="n">
        <v>0</v>
      </c>
      <c r="K445" t="n">
        <v>0</v>
      </c>
      <c r="L445" t="n">
        <v>0</v>
      </c>
      <c r="M445" t="n">
        <v>0</v>
      </c>
      <c r="N445" t="n">
        <v>0</v>
      </c>
      <c r="O445" t="n">
        <v>0</v>
      </c>
      <c r="P445" t="n">
        <v>0</v>
      </c>
      <c r="Q445" t="n">
        <v>0</v>
      </c>
      <c r="R445" s="2" t="inlineStr"/>
    </row>
    <row r="446" ht="15" customHeight="1">
      <c r="A446" t="inlineStr">
        <is>
          <t>A 9623-2024</t>
        </is>
      </c>
      <c r="B446" s="1" t="n">
        <v>45361.87975694444</v>
      </c>
      <c r="C446" s="1" t="n">
        <v>46177</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44517-2025</t>
        </is>
      </c>
      <c r="B447" s="1" t="n">
        <v>45916.7103587963</v>
      </c>
      <c r="C447" s="1" t="n">
        <v>46177</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5146-2024</t>
        </is>
      </c>
      <c r="B448" s="1" t="n">
        <v>45330</v>
      </c>
      <c r="C448" s="1" t="n">
        <v>46177</v>
      </c>
      <c r="D448" t="inlineStr">
        <is>
          <t>KALMAR LÄN</t>
        </is>
      </c>
      <c r="E448" t="inlineStr">
        <is>
          <t>VIMMERBY</t>
        </is>
      </c>
      <c r="G448" t="n">
        <v>5.3</v>
      </c>
      <c r="H448" t="n">
        <v>0</v>
      </c>
      <c r="I448" t="n">
        <v>0</v>
      </c>
      <c r="J448" t="n">
        <v>0</v>
      </c>
      <c r="K448" t="n">
        <v>0</v>
      </c>
      <c r="L448" t="n">
        <v>0</v>
      </c>
      <c r="M448" t="n">
        <v>0</v>
      </c>
      <c r="N448" t="n">
        <v>0</v>
      </c>
      <c r="O448" t="n">
        <v>0</v>
      </c>
      <c r="P448" t="n">
        <v>0</v>
      </c>
      <c r="Q448" t="n">
        <v>0</v>
      </c>
      <c r="R448" s="2" t="inlineStr"/>
    </row>
    <row r="449" ht="15" customHeight="1">
      <c r="A449" t="inlineStr">
        <is>
          <t>A 5148-2024</t>
        </is>
      </c>
      <c r="B449" s="1" t="n">
        <v>45330</v>
      </c>
      <c r="C449" s="1" t="n">
        <v>46177</v>
      </c>
      <c r="D449" t="inlineStr">
        <is>
          <t>KALMAR LÄN</t>
        </is>
      </c>
      <c r="E449" t="inlineStr">
        <is>
          <t>VIMMERBY</t>
        </is>
      </c>
      <c r="G449" t="n">
        <v>5.6</v>
      </c>
      <c r="H449" t="n">
        <v>0</v>
      </c>
      <c r="I449" t="n">
        <v>0</v>
      </c>
      <c r="J449" t="n">
        <v>0</v>
      </c>
      <c r="K449" t="n">
        <v>0</v>
      </c>
      <c r="L449" t="n">
        <v>0</v>
      </c>
      <c r="M449" t="n">
        <v>0</v>
      </c>
      <c r="N449" t="n">
        <v>0</v>
      </c>
      <c r="O449" t="n">
        <v>0</v>
      </c>
      <c r="P449" t="n">
        <v>0</v>
      </c>
      <c r="Q449" t="n">
        <v>0</v>
      </c>
      <c r="R449" s="2" t="inlineStr"/>
    </row>
    <row r="450" ht="15" customHeight="1">
      <c r="A450" t="inlineStr">
        <is>
          <t>A 58728-2024</t>
        </is>
      </c>
      <c r="B450" s="1" t="n">
        <v>45635.66695601852</v>
      </c>
      <c r="C450" s="1" t="n">
        <v>46177</v>
      </c>
      <c r="D450" t="inlineStr">
        <is>
          <t>KALMAR LÄN</t>
        </is>
      </c>
      <c r="E450" t="inlineStr">
        <is>
          <t>VIMMERBY</t>
        </is>
      </c>
      <c r="G450" t="n">
        <v>0.4</v>
      </c>
      <c r="H450" t="n">
        <v>0</v>
      </c>
      <c r="I450" t="n">
        <v>0</v>
      </c>
      <c r="J450" t="n">
        <v>0</v>
      </c>
      <c r="K450" t="n">
        <v>0</v>
      </c>
      <c r="L450" t="n">
        <v>0</v>
      </c>
      <c r="M450" t="n">
        <v>0</v>
      </c>
      <c r="N450" t="n">
        <v>0</v>
      </c>
      <c r="O450" t="n">
        <v>0</v>
      </c>
      <c r="P450" t="n">
        <v>0</v>
      </c>
      <c r="Q450" t="n">
        <v>0</v>
      </c>
      <c r="R450" s="2" t="inlineStr"/>
    </row>
    <row r="451" ht="15" customHeight="1">
      <c r="A451" t="inlineStr">
        <is>
          <t>A 43242-2024</t>
        </is>
      </c>
      <c r="B451" s="1" t="n">
        <v>45568.30189814815</v>
      </c>
      <c r="C451" s="1" t="n">
        <v>46177</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16983-2023</t>
        </is>
      </c>
      <c r="B452" s="1" t="n">
        <v>45033.76043981482</v>
      </c>
      <c r="C452" s="1" t="n">
        <v>46177</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44179-2022</t>
        </is>
      </c>
      <c r="B453" s="1" t="n">
        <v>44839.4528125</v>
      </c>
      <c r="C453" s="1" t="n">
        <v>46177</v>
      </c>
      <c r="D453" t="inlineStr">
        <is>
          <t>KALMAR LÄN</t>
        </is>
      </c>
      <c r="E453" t="inlineStr">
        <is>
          <t>VIMMERBY</t>
        </is>
      </c>
      <c r="G453" t="n">
        <v>2.8</v>
      </c>
      <c r="H453" t="n">
        <v>0</v>
      </c>
      <c r="I453" t="n">
        <v>0</v>
      </c>
      <c r="J453" t="n">
        <v>0</v>
      </c>
      <c r="K453" t="n">
        <v>0</v>
      </c>
      <c r="L453" t="n">
        <v>0</v>
      </c>
      <c r="M453" t="n">
        <v>0</v>
      </c>
      <c r="N453" t="n">
        <v>0</v>
      </c>
      <c r="O453" t="n">
        <v>0</v>
      </c>
      <c r="P453" t="n">
        <v>0</v>
      </c>
      <c r="Q453" t="n">
        <v>0</v>
      </c>
      <c r="R453" s="2" t="inlineStr"/>
    </row>
    <row r="454" ht="15" customHeight="1">
      <c r="A454" t="inlineStr">
        <is>
          <t>A 50648-2023</t>
        </is>
      </c>
      <c r="B454" s="1" t="n">
        <v>45217.47834490741</v>
      </c>
      <c r="C454" s="1" t="n">
        <v>46177</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6405-2025</t>
        </is>
      </c>
      <c r="B455" s="1" t="n">
        <v>45699.45392361111</v>
      </c>
      <c r="C455" s="1" t="n">
        <v>46177</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36843-2023</t>
        </is>
      </c>
      <c r="B456" s="1" t="n">
        <v>45154.49831018518</v>
      </c>
      <c r="C456" s="1" t="n">
        <v>46177</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44091-2025</t>
        </is>
      </c>
      <c r="B457" s="1" t="n">
        <v>45915.55950231481</v>
      </c>
      <c r="C457" s="1" t="n">
        <v>46177</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51278-2024</t>
        </is>
      </c>
      <c r="B458" s="1" t="n">
        <v>45603.74959490741</v>
      </c>
      <c r="C458" s="1" t="n">
        <v>46177</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57486-2024</t>
        </is>
      </c>
      <c r="B459" s="1" t="n">
        <v>45630.35827546296</v>
      </c>
      <c r="C459" s="1" t="n">
        <v>46177</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44095-2025</t>
        </is>
      </c>
      <c r="B460" s="1" t="n">
        <v>45915.56430555556</v>
      </c>
      <c r="C460" s="1" t="n">
        <v>46177</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2121-2022</t>
        </is>
      </c>
      <c r="B461" s="1" t="n">
        <v>44578.32717592592</v>
      </c>
      <c r="C461" s="1" t="n">
        <v>46177</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57799-2022</t>
        </is>
      </c>
      <c r="B462" s="1" t="n">
        <v>44897</v>
      </c>
      <c r="C462" s="1" t="n">
        <v>46177</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15394-2025</t>
        </is>
      </c>
      <c r="B463" s="1" t="n">
        <v>45747.43196759259</v>
      </c>
      <c r="C463" s="1" t="n">
        <v>46177</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44742-2025</t>
        </is>
      </c>
      <c r="B464" s="1" t="n">
        <v>45917.67054398148</v>
      </c>
      <c r="C464" s="1" t="n">
        <v>46177</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26318-2023</t>
        </is>
      </c>
      <c r="B465" s="1" t="n">
        <v>45091.67936342592</v>
      </c>
      <c r="C465" s="1" t="n">
        <v>46177</v>
      </c>
      <c r="D465" t="inlineStr">
        <is>
          <t>KALMAR LÄN</t>
        </is>
      </c>
      <c r="E465" t="inlineStr">
        <is>
          <t>VIMMERBY</t>
        </is>
      </c>
      <c r="G465" t="n">
        <v>3.8</v>
      </c>
      <c r="H465" t="n">
        <v>0</v>
      </c>
      <c r="I465" t="n">
        <v>0</v>
      </c>
      <c r="J465" t="n">
        <v>0</v>
      </c>
      <c r="K465" t="n">
        <v>0</v>
      </c>
      <c r="L465" t="n">
        <v>0</v>
      </c>
      <c r="M465" t="n">
        <v>0</v>
      </c>
      <c r="N465" t="n">
        <v>0</v>
      </c>
      <c r="O465" t="n">
        <v>0</v>
      </c>
      <c r="P465" t="n">
        <v>0</v>
      </c>
      <c r="Q465" t="n">
        <v>0</v>
      </c>
      <c r="R465" s="2" t="inlineStr"/>
    </row>
    <row r="466" ht="15" customHeight="1">
      <c r="A466" t="inlineStr">
        <is>
          <t>A 60437-2023</t>
        </is>
      </c>
      <c r="B466" s="1" t="n">
        <v>45259.51916666667</v>
      </c>
      <c r="C466" s="1" t="n">
        <v>46177</v>
      </c>
      <c r="D466" t="inlineStr">
        <is>
          <t>KALMAR LÄN</t>
        </is>
      </c>
      <c r="E466" t="inlineStr">
        <is>
          <t>VIMMERBY</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60438-2023</t>
        </is>
      </c>
      <c r="B467" s="1" t="n">
        <v>45259.52020833334</v>
      </c>
      <c r="C467" s="1" t="n">
        <v>46177</v>
      </c>
      <c r="D467" t="inlineStr">
        <is>
          <t>KALMAR LÄN</t>
        </is>
      </c>
      <c r="E467" t="inlineStr">
        <is>
          <t>VIMMERBY</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41896-2025</t>
        </is>
      </c>
      <c r="B468" s="1" t="n">
        <v>45903.38800925926</v>
      </c>
      <c r="C468" s="1" t="n">
        <v>46177</v>
      </c>
      <c r="D468" t="inlineStr">
        <is>
          <t>KALMAR LÄN</t>
        </is>
      </c>
      <c r="E468" t="inlineStr">
        <is>
          <t>VIMMERBY</t>
        </is>
      </c>
      <c r="G468" t="n">
        <v>2.9</v>
      </c>
      <c r="H468" t="n">
        <v>0</v>
      </c>
      <c r="I468" t="n">
        <v>0</v>
      </c>
      <c r="J468" t="n">
        <v>0</v>
      </c>
      <c r="K468" t="n">
        <v>0</v>
      </c>
      <c r="L468" t="n">
        <v>0</v>
      </c>
      <c r="M468" t="n">
        <v>0</v>
      </c>
      <c r="N468" t="n">
        <v>0</v>
      </c>
      <c r="O468" t="n">
        <v>0</v>
      </c>
      <c r="P468" t="n">
        <v>0</v>
      </c>
      <c r="Q468" t="n">
        <v>0</v>
      </c>
      <c r="R468" s="2" t="inlineStr"/>
    </row>
    <row r="469" ht="15" customHeight="1">
      <c r="A469" t="inlineStr">
        <is>
          <t>A 44423-2023</t>
        </is>
      </c>
      <c r="B469" s="1" t="n">
        <v>45189</v>
      </c>
      <c r="C469" s="1" t="n">
        <v>46177</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20-2025</t>
        </is>
      </c>
      <c r="B470" s="1" t="n">
        <v>45658.80232638889</v>
      </c>
      <c r="C470" s="1" t="n">
        <v>46177</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23-2025</t>
        </is>
      </c>
      <c r="B471" s="1" t="n">
        <v>45658.80827546296</v>
      </c>
      <c r="C471" s="1" t="n">
        <v>46177</v>
      </c>
      <c r="D471" t="inlineStr">
        <is>
          <t>KALMAR LÄN</t>
        </is>
      </c>
      <c r="E471" t="inlineStr">
        <is>
          <t>VIMMERBY</t>
        </is>
      </c>
      <c r="G471" t="n">
        <v>1.8</v>
      </c>
      <c r="H471" t="n">
        <v>0</v>
      </c>
      <c r="I471" t="n">
        <v>0</v>
      </c>
      <c r="J471" t="n">
        <v>0</v>
      </c>
      <c r="K471" t="n">
        <v>0</v>
      </c>
      <c r="L471" t="n">
        <v>0</v>
      </c>
      <c r="M471" t="n">
        <v>0</v>
      </c>
      <c r="N471" t="n">
        <v>0</v>
      </c>
      <c r="O471" t="n">
        <v>0</v>
      </c>
      <c r="P471" t="n">
        <v>0</v>
      </c>
      <c r="Q471" t="n">
        <v>0</v>
      </c>
      <c r="R471" s="2" t="inlineStr"/>
    </row>
    <row r="472" ht="15" customHeight="1">
      <c r="A472" t="inlineStr">
        <is>
          <t>A 21496-2023</t>
        </is>
      </c>
      <c r="B472" s="1" t="n">
        <v>45063.49936342592</v>
      </c>
      <c r="C472" s="1" t="n">
        <v>46177</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35082-2024</t>
        </is>
      </c>
      <c r="B473" s="1" t="n">
        <v>45527.68784722222</v>
      </c>
      <c r="C473" s="1" t="n">
        <v>46177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7758-2024</t>
        </is>
      </c>
      <c r="B474" s="1" t="n">
        <v>45349.54434027777</v>
      </c>
      <c r="C474" s="1" t="n">
        <v>46177</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31056-2022</t>
        </is>
      </c>
      <c r="B475" s="1" t="n">
        <v>44769.45805555556</v>
      </c>
      <c r="C475" s="1" t="n">
        <v>46177</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44582-2024</t>
        </is>
      </c>
      <c r="B476" s="1" t="n">
        <v>45574.49298611111</v>
      </c>
      <c r="C476" s="1" t="n">
        <v>46177</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7456-2024</t>
        </is>
      </c>
      <c r="B477" s="1" t="n">
        <v>45345.83557870371</v>
      </c>
      <c r="C477" s="1" t="n">
        <v>46177</v>
      </c>
      <c r="D477" t="inlineStr">
        <is>
          <t>KALMAR LÄN</t>
        </is>
      </c>
      <c r="E477" t="inlineStr">
        <is>
          <t>VIMMERBY</t>
        </is>
      </c>
      <c r="G477" t="n">
        <v>4.1</v>
      </c>
      <c r="H477" t="n">
        <v>0</v>
      </c>
      <c r="I477" t="n">
        <v>0</v>
      </c>
      <c r="J477" t="n">
        <v>0</v>
      </c>
      <c r="K477" t="n">
        <v>0</v>
      </c>
      <c r="L477" t="n">
        <v>0</v>
      </c>
      <c r="M477" t="n">
        <v>0</v>
      </c>
      <c r="N477" t="n">
        <v>0</v>
      </c>
      <c r="O477" t="n">
        <v>0</v>
      </c>
      <c r="P477" t="n">
        <v>0</v>
      </c>
      <c r="Q477" t="n">
        <v>0</v>
      </c>
      <c r="R477" s="2" t="inlineStr"/>
    </row>
    <row r="478" ht="15" customHeight="1">
      <c r="A478" t="inlineStr">
        <is>
          <t>A 9456-2025</t>
        </is>
      </c>
      <c r="B478" s="1" t="n">
        <v>45715.44159722222</v>
      </c>
      <c r="C478" s="1" t="n">
        <v>46177</v>
      </c>
      <c r="D478" t="inlineStr">
        <is>
          <t>KALMAR LÄN</t>
        </is>
      </c>
      <c r="E478" t="inlineStr">
        <is>
          <t>VIMMERBY</t>
        </is>
      </c>
      <c r="G478" t="n">
        <v>1.5</v>
      </c>
      <c r="H478" t="n">
        <v>0</v>
      </c>
      <c r="I478" t="n">
        <v>0</v>
      </c>
      <c r="J478" t="n">
        <v>0</v>
      </c>
      <c r="K478" t="n">
        <v>0</v>
      </c>
      <c r="L478" t="n">
        <v>0</v>
      </c>
      <c r="M478" t="n">
        <v>0</v>
      </c>
      <c r="N478" t="n">
        <v>0</v>
      </c>
      <c r="O478" t="n">
        <v>0</v>
      </c>
      <c r="P478" t="n">
        <v>0</v>
      </c>
      <c r="Q478" t="n">
        <v>0</v>
      </c>
      <c r="R478" s="2" t="inlineStr"/>
    </row>
    <row r="479" ht="15" customHeight="1">
      <c r="A479" t="inlineStr">
        <is>
          <t>A 45319-2025</t>
        </is>
      </c>
      <c r="B479" s="1" t="n">
        <v>45921.95611111111</v>
      </c>
      <c r="C479" s="1" t="n">
        <v>46177</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45320-2025</t>
        </is>
      </c>
      <c r="B480" s="1" t="n">
        <v>45921.96395833333</v>
      </c>
      <c r="C480" s="1" t="n">
        <v>46177</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6082-2022</t>
        </is>
      </c>
      <c r="B481" s="1" t="n">
        <v>44599</v>
      </c>
      <c r="C481" s="1" t="n">
        <v>46177</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72701-2021</t>
        </is>
      </c>
      <c r="B482" s="1" t="n">
        <v>44546</v>
      </c>
      <c r="C482" s="1" t="n">
        <v>46177</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52294-2023</t>
        </is>
      </c>
      <c r="B483" s="1" t="n">
        <v>45224.60075231481</v>
      </c>
      <c r="C483" s="1" t="n">
        <v>46177</v>
      </c>
      <c r="D483" t="inlineStr">
        <is>
          <t>KALMAR LÄN</t>
        </is>
      </c>
      <c r="E483" t="inlineStr">
        <is>
          <t>VIMMERBY</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46979-2023</t>
        </is>
      </c>
      <c r="B484" s="1" t="n">
        <v>45201</v>
      </c>
      <c r="C484" s="1" t="n">
        <v>46177</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45114-2025</t>
        </is>
      </c>
      <c r="B485" s="1" t="n">
        <v>45919.42387731482</v>
      </c>
      <c r="C485" s="1" t="n">
        <v>46177</v>
      </c>
      <c r="D485" t="inlineStr">
        <is>
          <t>KALMAR LÄN</t>
        </is>
      </c>
      <c r="E485" t="inlineStr">
        <is>
          <t>VIMMERBY</t>
        </is>
      </c>
      <c r="G485" t="n">
        <v>2.7</v>
      </c>
      <c r="H485" t="n">
        <v>0</v>
      </c>
      <c r="I485" t="n">
        <v>0</v>
      </c>
      <c r="J485" t="n">
        <v>0</v>
      </c>
      <c r="K485" t="n">
        <v>0</v>
      </c>
      <c r="L485" t="n">
        <v>0</v>
      </c>
      <c r="M485" t="n">
        <v>0</v>
      </c>
      <c r="N485" t="n">
        <v>0</v>
      </c>
      <c r="O485" t="n">
        <v>0</v>
      </c>
      <c r="P485" t="n">
        <v>0</v>
      </c>
      <c r="Q485" t="n">
        <v>0</v>
      </c>
      <c r="R485" s="2" t="inlineStr"/>
    </row>
    <row r="486" ht="15" customHeight="1">
      <c r="A486" t="inlineStr">
        <is>
          <t>A 61355-2024</t>
        </is>
      </c>
      <c r="B486" s="1" t="n">
        <v>45646.38200231481</v>
      </c>
      <c r="C486" s="1" t="n">
        <v>46177</v>
      </c>
      <c r="D486" t="inlineStr">
        <is>
          <t>KALMAR LÄN</t>
        </is>
      </c>
      <c r="E486" t="inlineStr">
        <is>
          <t>VIMMERBY</t>
        </is>
      </c>
      <c r="G486" t="n">
        <v>2.7</v>
      </c>
      <c r="H486" t="n">
        <v>0</v>
      </c>
      <c r="I486" t="n">
        <v>0</v>
      </c>
      <c r="J486" t="n">
        <v>0</v>
      </c>
      <c r="K486" t="n">
        <v>0</v>
      </c>
      <c r="L486" t="n">
        <v>0</v>
      </c>
      <c r="M486" t="n">
        <v>0</v>
      </c>
      <c r="N486" t="n">
        <v>0</v>
      </c>
      <c r="O486" t="n">
        <v>0</v>
      </c>
      <c r="P486" t="n">
        <v>0</v>
      </c>
      <c r="Q486" t="n">
        <v>0</v>
      </c>
      <c r="R486" s="2" t="inlineStr"/>
    </row>
    <row r="487" ht="15" customHeight="1">
      <c r="A487" t="inlineStr">
        <is>
          <t>A 2596-2025</t>
        </is>
      </c>
      <c r="B487" s="1" t="n">
        <v>45674.71810185185</v>
      </c>
      <c r="C487" s="1" t="n">
        <v>46177</v>
      </c>
      <c r="D487" t="inlineStr">
        <is>
          <t>KALMAR LÄN</t>
        </is>
      </c>
      <c r="E487" t="inlineStr">
        <is>
          <t>VIMMERBY</t>
        </is>
      </c>
      <c r="G487" t="n">
        <v>9</v>
      </c>
      <c r="H487" t="n">
        <v>0</v>
      </c>
      <c r="I487" t="n">
        <v>0</v>
      </c>
      <c r="J487" t="n">
        <v>0</v>
      </c>
      <c r="K487" t="n">
        <v>0</v>
      </c>
      <c r="L487" t="n">
        <v>0</v>
      </c>
      <c r="M487" t="n">
        <v>0</v>
      </c>
      <c r="N487" t="n">
        <v>0</v>
      </c>
      <c r="O487" t="n">
        <v>0</v>
      </c>
      <c r="P487" t="n">
        <v>0</v>
      </c>
      <c r="Q487" t="n">
        <v>0</v>
      </c>
      <c r="R487" s="2" t="inlineStr"/>
    </row>
    <row r="488" ht="15" customHeight="1">
      <c r="A488" t="inlineStr">
        <is>
          <t>A 47855-2024</t>
        </is>
      </c>
      <c r="B488" s="1" t="n">
        <v>45588.66457175926</v>
      </c>
      <c r="C488" s="1" t="n">
        <v>46177</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63583-2023</t>
        </is>
      </c>
      <c r="B489" s="1" t="n">
        <v>45275.41833333333</v>
      </c>
      <c r="C489" s="1" t="n">
        <v>46177</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46177</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46118-2025</t>
        </is>
      </c>
      <c r="B491" s="1" t="n">
        <v>45924.57697916667</v>
      </c>
      <c r="C491" s="1" t="n">
        <v>46177</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11111-2023</t>
        </is>
      </c>
      <c r="B492" s="1" t="n">
        <v>44992.4255787037</v>
      </c>
      <c r="C492" s="1" t="n">
        <v>46177</v>
      </c>
      <c r="D492" t="inlineStr">
        <is>
          <t>KALMAR LÄN</t>
        </is>
      </c>
      <c r="E492" t="inlineStr">
        <is>
          <t>VIMMERBY</t>
        </is>
      </c>
      <c r="G492" t="n">
        <v>0.8</v>
      </c>
      <c r="H492" t="n">
        <v>0</v>
      </c>
      <c r="I492" t="n">
        <v>0</v>
      </c>
      <c r="J492" t="n">
        <v>0</v>
      </c>
      <c r="K492" t="n">
        <v>0</v>
      </c>
      <c r="L492" t="n">
        <v>0</v>
      </c>
      <c r="M492" t="n">
        <v>0</v>
      </c>
      <c r="N492" t="n">
        <v>0</v>
      </c>
      <c r="O492" t="n">
        <v>0</v>
      </c>
      <c r="P492" t="n">
        <v>0</v>
      </c>
      <c r="Q492" t="n">
        <v>0</v>
      </c>
      <c r="R492" s="2" t="inlineStr"/>
    </row>
    <row r="493" ht="15" customHeight="1">
      <c r="A493" t="inlineStr">
        <is>
          <t>A 10759-2023</t>
        </is>
      </c>
      <c r="B493" s="1" t="n">
        <v>44988</v>
      </c>
      <c r="C493" s="1" t="n">
        <v>46177</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18899-2025</t>
        </is>
      </c>
      <c r="B494" s="1" t="n">
        <v>45764.44931712963</v>
      </c>
      <c r="C494" s="1" t="n">
        <v>46177</v>
      </c>
      <c r="D494" t="inlineStr">
        <is>
          <t>KALMAR LÄN</t>
        </is>
      </c>
      <c r="E494" t="inlineStr">
        <is>
          <t>VIMMERBY</t>
        </is>
      </c>
      <c r="F494" t="inlineStr">
        <is>
          <t>Kommuner</t>
        </is>
      </c>
      <c r="G494" t="n">
        <v>4</v>
      </c>
      <c r="H494" t="n">
        <v>0</v>
      </c>
      <c r="I494" t="n">
        <v>0</v>
      </c>
      <c r="J494" t="n">
        <v>0</v>
      </c>
      <c r="K494" t="n">
        <v>0</v>
      </c>
      <c r="L494" t="n">
        <v>0</v>
      </c>
      <c r="M494" t="n">
        <v>0</v>
      </c>
      <c r="N494" t="n">
        <v>0</v>
      </c>
      <c r="O494" t="n">
        <v>0</v>
      </c>
      <c r="P494" t="n">
        <v>0</v>
      </c>
      <c r="Q494" t="n">
        <v>0</v>
      </c>
      <c r="R494" s="2" t="inlineStr"/>
    </row>
    <row r="495" ht="15" customHeight="1">
      <c r="A495" t="inlineStr">
        <is>
          <t>A 60228-2021</t>
        </is>
      </c>
      <c r="B495" s="1" t="n">
        <v>44495</v>
      </c>
      <c r="C495" s="1" t="n">
        <v>46177</v>
      </c>
      <c r="D495" t="inlineStr">
        <is>
          <t>KALMAR LÄN</t>
        </is>
      </c>
      <c r="E495" t="inlineStr">
        <is>
          <t>VIMMERBY</t>
        </is>
      </c>
      <c r="G495" t="n">
        <v>4.1</v>
      </c>
      <c r="H495" t="n">
        <v>0</v>
      </c>
      <c r="I495" t="n">
        <v>0</v>
      </c>
      <c r="J495" t="n">
        <v>0</v>
      </c>
      <c r="K495" t="n">
        <v>0</v>
      </c>
      <c r="L495" t="n">
        <v>0</v>
      </c>
      <c r="M495" t="n">
        <v>0</v>
      </c>
      <c r="N495" t="n">
        <v>0</v>
      </c>
      <c r="O495" t="n">
        <v>0</v>
      </c>
      <c r="P495" t="n">
        <v>0</v>
      </c>
      <c r="Q495" t="n">
        <v>0</v>
      </c>
      <c r="R495" s="2" t="inlineStr"/>
    </row>
    <row r="496" ht="15" customHeight="1">
      <c r="A496" t="inlineStr">
        <is>
          <t>A 58724-2024</t>
        </is>
      </c>
      <c r="B496" s="1" t="n">
        <v>45635.66409722222</v>
      </c>
      <c r="C496" s="1" t="n">
        <v>46177</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15494-2024</t>
        </is>
      </c>
      <c r="B497" s="1" t="n">
        <v>45401.53033564815</v>
      </c>
      <c r="C497" s="1" t="n">
        <v>46177</v>
      </c>
      <c r="D497" t="inlineStr">
        <is>
          <t>KALMAR LÄN</t>
        </is>
      </c>
      <c r="E497" t="inlineStr">
        <is>
          <t>VIMMERBY</t>
        </is>
      </c>
      <c r="G497" t="n">
        <v>3.2</v>
      </c>
      <c r="H497" t="n">
        <v>0</v>
      </c>
      <c r="I497" t="n">
        <v>0</v>
      </c>
      <c r="J497" t="n">
        <v>0</v>
      </c>
      <c r="K497" t="n">
        <v>0</v>
      </c>
      <c r="L497" t="n">
        <v>0</v>
      </c>
      <c r="M497" t="n">
        <v>0</v>
      </c>
      <c r="N497" t="n">
        <v>0</v>
      </c>
      <c r="O497" t="n">
        <v>0</v>
      </c>
      <c r="P497" t="n">
        <v>0</v>
      </c>
      <c r="Q497" t="n">
        <v>0</v>
      </c>
      <c r="R497" s="2" t="inlineStr"/>
    </row>
    <row r="498" ht="15" customHeight="1">
      <c r="A498" t="inlineStr">
        <is>
          <t>A 46522-2022</t>
        </is>
      </c>
      <c r="B498" s="1" t="n">
        <v>44848.59133101852</v>
      </c>
      <c r="C498" s="1" t="n">
        <v>46177</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21109-2024</t>
        </is>
      </c>
      <c r="B499" s="1" t="n">
        <v>45440.28329861111</v>
      </c>
      <c r="C499" s="1" t="n">
        <v>46177</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26039-2025</t>
        </is>
      </c>
      <c r="B500" s="1" t="n">
        <v>45804.6953587963</v>
      </c>
      <c r="C500" s="1" t="n">
        <v>46177</v>
      </c>
      <c r="D500" t="inlineStr">
        <is>
          <t>KALMAR LÄN</t>
        </is>
      </c>
      <c r="E500" t="inlineStr">
        <is>
          <t>VIMMERBY</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26046-2025</t>
        </is>
      </c>
      <c r="B501" s="1" t="n">
        <v>45804.708125</v>
      </c>
      <c r="C501" s="1" t="n">
        <v>46177</v>
      </c>
      <c r="D501" t="inlineStr">
        <is>
          <t>KALMAR LÄN</t>
        </is>
      </c>
      <c r="E501" t="inlineStr">
        <is>
          <t>VIMMERBY</t>
        </is>
      </c>
      <c r="F501" t="inlineStr">
        <is>
          <t>Sveaskog</t>
        </is>
      </c>
      <c r="G501" t="n">
        <v>5.1</v>
      </c>
      <c r="H501" t="n">
        <v>0</v>
      </c>
      <c r="I501" t="n">
        <v>0</v>
      </c>
      <c r="J501" t="n">
        <v>0</v>
      </c>
      <c r="K501" t="n">
        <v>0</v>
      </c>
      <c r="L501" t="n">
        <v>0</v>
      </c>
      <c r="M501" t="n">
        <v>0</v>
      </c>
      <c r="N501" t="n">
        <v>0</v>
      </c>
      <c r="O501" t="n">
        <v>0</v>
      </c>
      <c r="P501" t="n">
        <v>0</v>
      </c>
      <c r="Q501" t="n">
        <v>0</v>
      </c>
      <c r="R501" s="2" t="inlineStr"/>
    </row>
    <row r="502" ht="15" customHeight="1">
      <c r="A502" t="inlineStr">
        <is>
          <t>A 25792-2025</t>
        </is>
      </c>
      <c r="B502" s="1" t="n">
        <v>45804.39141203704</v>
      </c>
      <c r="C502" s="1" t="n">
        <v>46177</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25830-2025</t>
        </is>
      </c>
      <c r="B503" s="1" t="n">
        <v>45804.44519675926</v>
      </c>
      <c r="C503" s="1" t="n">
        <v>46177</v>
      </c>
      <c r="D503" t="inlineStr">
        <is>
          <t>KALMAR LÄN</t>
        </is>
      </c>
      <c r="E503" t="inlineStr">
        <is>
          <t>VIMMERBY</t>
        </is>
      </c>
      <c r="G503" t="n">
        <v>4.9</v>
      </c>
      <c r="H503" t="n">
        <v>0</v>
      </c>
      <c r="I503" t="n">
        <v>0</v>
      </c>
      <c r="J503" t="n">
        <v>0</v>
      </c>
      <c r="K503" t="n">
        <v>0</v>
      </c>
      <c r="L503" t="n">
        <v>0</v>
      </c>
      <c r="M503" t="n">
        <v>0</v>
      </c>
      <c r="N503" t="n">
        <v>0</v>
      </c>
      <c r="O503" t="n">
        <v>0</v>
      </c>
      <c r="P503" t="n">
        <v>0</v>
      </c>
      <c r="Q503" t="n">
        <v>0</v>
      </c>
      <c r="R503" s="2" t="inlineStr"/>
    </row>
    <row r="504" ht="15" customHeight="1">
      <c r="A504" t="inlineStr">
        <is>
          <t>A 32614-2023</t>
        </is>
      </c>
      <c r="B504" s="1" t="n">
        <v>45121</v>
      </c>
      <c r="C504" s="1" t="n">
        <v>46177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26124-2025</t>
        </is>
      </c>
      <c r="B505" s="1" t="n">
        <v>45805.39247685186</v>
      </c>
      <c r="C505" s="1" t="n">
        <v>46177</v>
      </c>
      <c r="D505" t="inlineStr">
        <is>
          <t>KALMAR LÄN</t>
        </is>
      </c>
      <c r="E505" t="inlineStr">
        <is>
          <t>VIMMERBY</t>
        </is>
      </c>
      <c r="G505" t="n">
        <v>6.6</v>
      </c>
      <c r="H505" t="n">
        <v>0</v>
      </c>
      <c r="I505" t="n">
        <v>0</v>
      </c>
      <c r="J505" t="n">
        <v>0</v>
      </c>
      <c r="K505" t="n">
        <v>0</v>
      </c>
      <c r="L505" t="n">
        <v>0</v>
      </c>
      <c r="M505" t="n">
        <v>0</v>
      </c>
      <c r="N505" t="n">
        <v>0</v>
      </c>
      <c r="O505" t="n">
        <v>0</v>
      </c>
      <c r="P505" t="n">
        <v>0</v>
      </c>
      <c r="Q505" t="n">
        <v>0</v>
      </c>
      <c r="R505" s="2" t="inlineStr"/>
    </row>
    <row r="506" ht="15" customHeight="1">
      <c r="A506" t="inlineStr">
        <is>
          <t>A 26254-2025</t>
        </is>
      </c>
      <c r="B506" s="1" t="n">
        <v>45805</v>
      </c>
      <c r="C506" s="1" t="n">
        <v>46177</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61939-2021</t>
        </is>
      </c>
      <c r="B507" s="1" t="n">
        <v>44502</v>
      </c>
      <c r="C507" s="1" t="n">
        <v>46177</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33815-2022</t>
        </is>
      </c>
      <c r="B508" s="1" t="n">
        <v>44790.45876157407</v>
      </c>
      <c r="C508" s="1" t="n">
        <v>46177</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26207-2025</t>
        </is>
      </c>
      <c r="B509" s="1" t="n">
        <v>45805.52983796296</v>
      </c>
      <c r="C509" s="1" t="n">
        <v>46177</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49461-2022</t>
        </is>
      </c>
      <c r="B510" s="1" t="n">
        <v>44861</v>
      </c>
      <c r="C510" s="1" t="n">
        <v>46177</v>
      </c>
      <c r="D510" t="inlineStr">
        <is>
          <t>KALMAR LÄN</t>
        </is>
      </c>
      <c r="E510" t="inlineStr">
        <is>
          <t>VIMMERBY</t>
        </is>
      </c>
      <c r="G510" t="n">
        <v>3.2</v>
      </c>
      <c r="H510" t="n">
        <v>0</v>
      </c>
      <c r="I510" t="n">
        <v>0</v>
      </c>
      <c r="J510" t="n">
        <v>0</v>
      </c>
      <c r="K510" t="n">
        <v>0</v>
      </c>
      <c r="L510" t="n">
        <v>0</v>
      </c>
      <c r="M510" t="n">
        <v>0</v>
      </c>
      <c r="N510" t="n">
        <v>0</v>
      </c>
      <c r="O510" t="n">
        <v>0</v>
      </c>
      <c r="P510" t="n">
        <v>0</v>
      </c>
      <c r="Q510" t="n">
        <v>0</v>
      </c>
      <c r="R510" s="2" t="inlineStr"/>
    </row>
    <row r="511" ht="15" customHeight="1">
      <c r="A511" t="inlineStr">
        <is>
          <t>A 45854-2025</t>
        </is>
      </c>
      <c r="B511" s="1" t="n">
        <v>45923</v>
      </c>
      <c r="C511" s="1" t="n">
        <v>46177</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45855-2025</t>
        </is>
      </c>
      <c r="B512" s="1" t="n">
        <v>45923</v>
      </c>
      <c r="C512" s="1" t="n">
        <v>46177</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53542-2022</t>
        </is>
      </c>
      <c r="B513" s="1" t="n">
        <v>44879.62173611111</v>
      </c>
      <c r="C513" s="1" t="n">
        <v>46177</v>
      </c>
      <c r="D513" t="inlineStr">
        <is>
          <t>KALMAR LÄN</t>
        </is>
      </c>
      <c r="E513" t="inlineStr">
        <is>
          <t>VIMMERBY</t>
        </is>
      </c>
      <c r="G513" t="n">
        <v>2.6</v>
      </c>
      <c r="H513" t="n">
        <v>0</v>
      </c>
      <c r="I513" t="n">
        <v>0</v>
      </c>
      <c r="J513" t="n">
        <v>0</v>
      </c>
      <c r="K513" t="n">
        <v>0</v>
      </c>
      <c r="L513" t="n">
        <v>0</v>
      </c>
      <c r="M513" t="n">
        <v>0</v>
      </c>
      <c r="N513" t="n">
        <v>0</v>
      </c>
      <c r="O513" t="n">
        <v>0</v>
      </c>
      <c r="P513" t="n">
        <v>0</v>
      </c>
      <c r="Q513" t="n">
        <v>0</v>
      </c>
      <c r="R513" s="2" t="inlineStr"/>
    </row>
    <row r="514" ht="15" customHeight="1">
      <c r="A514" t="inlineStr">
        <is>
          <t>A 35713-2023</t>
        </is>
      </c>
      <c r="B514" s="1" t="n">
        <v>45147</v>
      </c>
      <c r="C514" s="1" t="n">
        <v>46177</v>
      </c>
      <c r="D514" t="inlineStr">
        <is>
          <t>KALMAR LÄN</t>
        </is>
      </c>
      <c r="E514" t="inlineStr">
        <is>
          <t>VIMMERBY</t>
        </is>
      </c>
      <c r="G514" t="n">
        <v>1.6</v>
      </c>
      <c r="H514" t="n">
        <v>0</v>
      </c>
      <c r="I514" t="n">
        <v>0</v>
      </c>
      <c r="J514" t="n">
        <v>0</v>
      </c>
      <c r="K514" t="n">
        <v>0</v>
      </c>
      <c r="L514" t="n">
        <v>0</v>
      </c>
      <c r="M514" t="n">
        <v>0</v>
      </c>
      <c r="N514" t="n">
        <v>0</v>
      </c>
      <c r="O514" t="n">
        <v>0</v>
      </c>
      <c r="P514" t="n">
        <v>0</v>
      </c>
      <c r="Q514" t="n">
        <v>0</v>
      </c>
      <c r="R514" s="2" t="inlineStr"/>
    </row>
    <row r="515" ht="15" customHeight="1">
      <c r="A515" t="inlineStr">
        <is>
          <t>A 10424-2023</t>
        </is>
      </c>
      <c r="B515" s="1" t="n">
        <v>44987.54104166666</v>
      </c>
      <c r="C515" s="1" t="n">
        <v>46177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46361-2025</t>
        </is>
      </c>
      <c r="B516" s="1" t="n">
        <v>45925.49670138889</v>
      </c>
      <c r="C516" s="1" t="n">
        <v>46177</v>
      </c>
      <c r="D516" t="inlineStr">
        <is>
          <t>KALMAR LÄN</t>
        </is>
      </c>
      <c r="E516" t="inlineStr">
        <is>
          <t>VIMMERBY</t>
        </is>
      </c>
      <c r="G516" t="n">
        <v>4.2</v>
      </c>
      <c r="H516" t="n">
        <v>0</v>
      </c>
      <c r="I516" t="n">
        <v>0</v>
      </c>
      <c r="J516" t="n">
        <v>0</v>
      </c>
      <c r="K516" t="n">
        <v>0</v>
      </c>
      <c r="L516" t="n">
        <v>0</v>
      </c>
      <c r="M516" t="n">
        <v>0</v>
      </c>
      <c r="N516" t="n">
        <v>0</v>
      </c>
      <c r="O516" t="n">
        <v>0</v>
      </c>
      <c r="P516" t="n">
        <v>0</v>
      </c>
      <c r="Q516" t="n">
        <v>0</v>
      </c>
      <c r="R516" s="2" t="inlineStr"/>
    </row>
    <row r="517" ht="15" customHeight="1">
      <c r="A517" t="inlineStr">
        <is>
          <t>A 46365-2025</t>
        </is>
      </c>
      <c r="B517" s="1" t="n">
        <v>45925.50075231482</v>
      </c>
      <c r="C517" s="1" t="n">
        <v>46177</v>
      </c>
      <c r="D517" t="inlineStr">
        <is>
          <t>KALMAR LÄN</t>
        </is>
      </c>
      <c r="E517" t="inlineStr">
        <is>
          <t>VIMMERBY</t>
        </is>
      </c>
      <c r="G517" t="n">
        <v>5.6</v>
      </c>
      <c r="H517" t="n">
        <v>0</v>
      </c>
      <c r="I517" t="n">
        <v>0</v>
      </c>
      <c r="J517" t="n">
        <v>0</v>
      </c>
      <c r="K517" t="n">
        <v>0</v>
      </c>
      <c r="L517" t="n">
        <v>0</v>
      </c>
      <c r="M517" t="n">
        <v>0</v>
      </c>
      <c r="N517" t="n">
        <v>0</v>
      </c>
      <c r="O517" t="n">
        <v>0</v>
      </c>
      <c r="P517" t="n">
        <v>0</v>
      </c>
      <c r="Q517" t="n">
        <v>0</v>
      </c>
      <c r="R517" s="2" t="inlineStr"/>
    </row>
    <row r="518" ht="15" customHeight="1">
      <c r="A518" t="inlineStr">
        <is>
          <t>A 45856-2025</t>
        </is>
      </c>
      <c r="B518" s="1" t="n">
        <v>45923</v>
      </c>
      <c r="C518" s="1" t="n">
        <v>46177</v>
      </c>
      <c r="D518" t="inlineStr">
        <is>
          <t>KALMAR LÄN</t>
        </is>
      </c>
      <c r="E518" t="inlineStr">
        <is>
          <t>VIMMERBY</t>
        </is>
      </c>
      <c r="G518" t="n">
        <v>2.1</v>
      </c>
      <c r="H518" t="n">
        <v>0</v>
      </c>
      <c r="I518" t="n">
        <v>0</v>
      </c>
      <c r="J518" t="n">
        <v>0</v>
      </c>
      <c r="K518" t="n">
        <v>0</v>
      </c>
      <c r="L518" t="n">
        <v>0</v>
      </c>
      <c r="M518" t="n">
        <v>0</v>
      </c>
      <c r="N518" t="n">
        <v>0</v>
      </c>
      <c r="O518" t="n">
        <v>0</v>
      </c>
      <c r="P518" t="n">
        <v>0</v>
      </c>
      <c r="Q518" t="n">
        <v>0</v>
      </c>
      <c r="R518" s="2" t="inlineStr"/>
    </row>
    <row r="519" ht="15" customHeight="1">
      <c r="A519" t="inlineStr">
        <is>
          <t>A 28290-2025</t>
        </is>
      </c>
      <c r="B519" s="1" t="n">
        <v>45818.59261574074</v>
      </c>
      <c r="C519" s="1" t="n">
        <v>46177</v>
      </c>
      <c r="D519" t="inlineStr">
        <is>
          <t>KALMAR LÄN</t>
        </is>
      </c>
      <c r="E519" t="inlineStr">
        <is>
          <t>VIMMERBY</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28280-2025</t>
        </is>
      </c>
      <c r="B520" s="1" t="n">
        <v>45818.5862037037</v>
      </c>
      <c r="C520" s="1" t="n">
        <v>46177</v>
      </c>
      <c r="D520" t="inlineStr">
        <is>
          <t>KALMAR LÄN</t>
        </is>
      </c>
      <c r="E520" t="inlineStr">
        <is>
          <t>VIMMERBY</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28286-2025</t>
        </is>
      </c>
      <c r="B521" s="1" t="n">
        <v>45818.58993055556</v>
      </c>
      <c r="C521" s="1" t="n">
        <v>46177</v>
      </c>
      <c r="D521" t="inlineStr">
        <is>
          <t>KALMAR LÄN</t>
        </is>
      </c>
      <c r="E521" t="inlineStr">
        <is>
          <t>VIMMERBY</t>
        </is>
      </c>
      <c r="F521" t="inlineStr">
        <is>
          <t>Sveaskog</t>
        </is>
      </c>
      <c r="G521" t="n">
        <v>8</v>
      </c>
      <c r="H521" t="n">
        <v>0</v>
      </c>
      <c r="I521" t="n">
        <v>0</v>
      </c>
      <c r="J521" t="n">
        <v>0</v>
      </c>
      <c r="K521" t="n">
        <v>0</v>
      </c>
      <c r="L521" t="n">
        <v>0</v>
      </c>
      <c r="M521" t="n">
        <v>0</v>
      </c>
      <c r="N521" t="n">
        <v>0</v>
      </c>
      <c r="O521" t="n">
        <v>0</v>
      </c>
      <c r="P521" t="n">
        <v>0</v>
      </c>
      <c r="Q521" t="n">
        <v>0</v>
      </c>
      <c r="R521" s="2" t="inlineStr"/>
    </row>
    <row r="522" ht="15" customHeight="1">
      <c r="A522" t="inlineStr">
        <is>
          <t>A 46887-2025</t>
        </is>
      </c>
      <c r="B522" s="1" t="n">
        <v>45929.3672337963</v>
      </c>
      <c r="C522" s="1" t="n">
        <v>46177</v>
      </c>
      <c r="D522" t="inlineStr">
        <is>
          <t>KALMAR LÄN</t>
        </is>
      </c>
      <c r="E522" t="inlineStr">
        <is>
          <t>VIMMERBY</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47227-2025</t>
        </is>
      </c>
      <c r="B523" s="1" t="n">
        <v>45930.39769675926</v>
      </c>
      <c r="C523" s="1" t="n">
        <v>46177</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6218-2025</t>
        </is>
      </c>
      <c r="B524" s="1" t="n">
        <v>45698.53336805556</v>
      </c>
      <c r="C524" s="1" t="n">
        <v>46177</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40076-2021</t>
        </is>
      </c>
      <c r="B525" s="1" t="n">
        <v>44418</v>
      </c>
      <c r="C525" s="1" t="n">
        <v>46177</v>
      </c>
      <c r="D525" t="inlineStr">
        <is>
          <t>KALMAR LÄN</t>
        </is>
      </c>
      <c r="E525" t="inlineStr">
        <is>
          <t>VIMMERBY</t>
        </is>
      </c>
      <c r="G525" t="n">
        <v>2</v>
      </c>
      <c r="H525" t="n">
        <v>0</v>
      </c>
      <c r="I525" t="n">
        <v>0</v>
      </c>
      <c r="J525" t="n">
        <v>0</v>
      </c>
      <c r="K525" t="n">
        <v>0</v>
      </c>
      <c r="L525" t="n">
        <v>0</v>
      </c>
      <c r="M525" t="n">
        <v>0</v>
      </c>
      <c r="N525" t="n">
        <v>0</v>
      </c>
      <c r="O525" t="n">
        <v>0</v>
      </c>
      <c r="P525" t="n">
        <v>0</v>
      </c>
      <c r="Q525" t="n">
        <v>0</v>
      </c>
      <c r="R525" s="2" t="inlineStr"/>
    </row>
    <row r="526" ht="15" customHeight="1">
      <c r="A526" t="inlineStr">
        <is>
          <t>A 33340-2023</t>
        </is>
      </c>
      <c r="B526" s="1" t="n">
        <v>45128.37305555555</v>
      </c>
      <c r="C526" s="1" t="n">
        <v>46177</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29017-2024</t>
        </is>
      </c>
      <c r="B527" s="1" t="n">
        <v>45481.56722222222</v>
      </c>
      <c r="C527" s="1" t="n">
        <v>46177</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58046-2022</t>
        </is>
      </c>
      <c r="B528" s="1" t="n">
        <v>44900.57393518519</v>
      </c>
      <c r="C528" s="1" t="n">
        <v>46177</v>
      </c>
      <c r="D528" t="inlineStr">
        <is>
          <t>KALMAR LÄN</t>
        </is>
      </c>
      <c r="E528" t="inlineStr">
        <is>
          <t>VIMMERBY</t>
        </is>
      </c>
      <c r="G528" t="n">
        <v>2.5</v>
      </c>
      <c r="H528" t="n">
        <v>0</v>
      </c>
      <c r="I528" t="n">
        <v>0</v>
      </c>
      <c r="J528" t="n">
        <v>0</v>
      </c>
      <c r="K528" t="n">
        <v>0</v>
      </c>
      <c r="L528" t="n">
        <v>0</v>
      </c>
      <c r="M528" t="n">
        <v>0</v>
      </c>
      <c r="N528" t="n">
        <v>0</v>
      </c>
      <c r="O528" t="n">
        <v>0</v>
      </c>
      <c r="P528" t="n">
        <v>0</v>
      </c>
      <c r="Q528" t="n">
        <v>0</v>
      </c>
      <c r="R528" s="2" t="inlineStr"/>
    </row>
    <row r="529" ht="15" customHeight="1">
      <c r="A529" t="inlineStr">
        <is>
          <t>A 14548-2024</t>
        </is>
      </c>
      <c r="B529" s="1" t="n">
        <v>45394.66887731481</v>
      </c>
      <c r="C529" s="1" t="n">
        <v>46177</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48120-2022</t>
        </is>
      </c>
      <c r="B530" s="1" t="n">
        <v>44857.65989583333</v>
      </c>
      <c r="C530" s="1" t="n">
        <v>46177</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3423-2022</t>
        </is>
      </c>
      <c r="B531" s="1" t="n">
        <v>44585.50431712963</v>
      </c>
      <c r="C531" s="1" t="n">
        <v>46177</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11074-2023</t>
        </is>
      </c>
      <c r="B532" s="1" t="n">
        <v>44992.34151620371</v>
      </c>
      <c r="C532" s="1" t="n">
        <v>46177</v>
      </c>
      <c r="D532" t="inlineStr">
        <is>
          <t>KALMAR LÄN</t>
        </is>
      </c>
      <c r="E532" t="inlineStr">
        <is>
          <t>VIMMERBY</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71631-2021</t>
        </is>
      </c>
      <c r="B533" s="1" t="n">
        <v>44542.90072916666</v>
      </c>
      <c r="C533" s="1" t="n">
        <v>46177</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47965-2025</t>
        </is>
      </c>
      <c r="B534" s="1" t="n">
        <v>45932.59597222223</v>
      </c>
      <c r="C534" s="1" t="n">
        <v>46177</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12588-2025</t>
        </is>
      </c>
      <c r="B535" s="1" t="n">
        <v>45732.76936342593</v>
      </c>
      <c r="C535" s="1" t="n">
        <v>46177</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25979-2023</t>
        </is>
      </c>
      <c r="B536" s="1" t="n">
        <v>45090.89653935185</v>
      </c>
      <c r="C536" s="1" t="n">
        <v>46177</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25980-2023</t>
        </is>
      </c>
      <c r="B537" s="1" t="n">
        <v>45090.89880787037</v>
      </c>
      <c r="C537" s="1" t="n">
        <v>46177</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49039-2021</t>
        </is>
      </c>
      <c r="B538" s="1" t="n">
        <v>44453.56578703703</v>
      </c>
      <c r="C538" s="1" t="n">
        <v>46177</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47955-2025</t>
        </is>
      </c>
      <c r="B539" s="1" t="n">
        <v>45932.58896990741</v>
      </c>
      <c r="C539" s="1" t="n">
        <v>46177</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46921-2023</t>
        </is>
      </c>
      <c r="B540" s="1" t="n">
        <v>45201.39996527778</v>
      </c>
      <c r="C540" s="1" t="n">
        <v>46177</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10837-2023</t>
        </is>
      </c>
      <c r="B541" s="1" t="n">
        <v>44991.30547453704</v>
      </c>
      <c r="C541" s="1" t="n">
        <v>46177</v>
      </c>
      <c r="D541" t="inlineStr">
        <is>
          <t>KALMAR LÄN</t>
        </is>
      </c>
      <c r="E541" t="inlineStr">
        <is>
          <t>VIMMERBY</t>
        </is>
      </c>
      <c r="G541" t="n">
        <v>7.3</v>
      </c>
      <c r="H541" t="n">
        <v>0</v>
      </c>
      <c r="I541" t="n">
        <v>0</v>
      </c>
      <c r="J541" t="n">
        <v>0</v>
      </c>
      <c r="K541" t="n">
        <v>0</v>
      </c>
      <c r="L541" t="n">
        <v>0</v>
      </c>
      <c r="M541" t="n">
        <v>0</v>
      </c>
      <c r="N541" t="n">
        <v>0</v>
      </c>
      <c r="O541" t="n">
        <v>0</v>
      </c>
      <c r="P541" t="n">
        <v>0</v>
      </c>
      <c r="Q541" t="n">
        <v>0</v>
      </c>
      <c r="R541" s="2" t="inlineStr"/>
    </row>
    <row r="542" ht="15" customHeight="1">
      <c r="A542" t="inlineStr">
        <is>
          <t>A 10838-2023</t>
        </is>
      </c>
      <c r="B542" s="1" t="n">
        <v>44991</v>
      </c>
      <c r="C542" s="1" t="n">
        <v>46177</v>
      </c>
      <c r="D542" t="inlineStr">
        <is>
          <t>KALMAR LÄN</t>
        </is>
      </c>
      <c r="E542" t="inlineStr">
        <is>
          <t>VIMMERBY</t>
        </is>
      </c>
      <c r="G542" t="n">
        <v>5.1</v>
      </c>
      <c r="H542" t="n">
        <v>0</v>
      </c>
      <c r="I542" t="n">
        <v>0</v>
      </c>
      <c r="J542" t="n">
        <v>0</v>
      </c>
      <c r="K542" t="n">
        <v>0</v>
      </c>
      <c r="L542" t="n">
        <v>0</v>
      </c>
      <c r="M542" t="n">
        <v>0</v>
      </c>
      <c r="N542" t="n">
        <v>0</v>
      </c>
      <c r="O542" t="n">
        <v>0</v>
      </c>
      <c r="P542" t="n">
        <v>0</v>
      </c>
      <c r="Q542" t="n">
        <v>0</v>
      </c>
      <c r="R542" s="2" t="inlineStr"/>
    </row>
    <row r="543" ht="15" customHeight="1">
      <c r="A543" t="inlineStr">
        <is>
          <t>A 42918-2021</t>
        </is>
      </c>
      <c r="B543" s="1" t="n">
        <v>44431</v>
      </c>
      <c r="C543" s="1" t="n">
        <v>46177</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529-2022</t>
        </is>
      </c>
      <c r="B544" s="1" t="n">
        <v>44566</v>
      </c>
      <c r="C544" s="1" t="n">
        <v>46177</v>
      </c>
      <c r="D544" t="inlineStr">
        <is>
          <t>KALMAR LÄN</t>
        </is>
      </c>
      <c r="E544" t="inlineStr">
        <is>
          <t>VIMMERBY</t>
        </is>
      </c>
      <c r="G544" t="n">
        <v>1.5</v>
      </c>
      <c r="H544" t="n">
        <v>0</v>
      </c>
      <c r="I544" t="n">
        <v>0</v>
      </c>
      <c r="J544" t="n">
        <v>0</v>
      </c>
      <c r="K544" t="n">
        <v>0</v>
      </c>
      <c r="L544" t="n">
        <v>0</v>
      </c>
      <c r="M544" t="n">
        <v>0</v>
      </c>
      <c r="N544" t="n">
        <v>0</v>
      </c>
      <c r="O544" t="n">
        <v>0</v>
      </c>
      <c r="P544" t="n">
        <v>0</v>
      </c>
      <c r="Q544" t="n">
        <v>0</v>
      </c>
      <c r="R544" s="2" t="inlineStr"/>
    </row>
    <row r="545" ht="15" customHeight="1">
      <c r="A545" t="inlineStr">
        <is>
          <t>A 30912-2023</t>
        </is>
      </c>
      <c r="B545" s="1" t="n">
        <v>45113.41633101852</v>
      </c>
      <c r="C545" s="1" t="n">
        <v>46177</v>
      </c>
      <c r="D545" t="inlineStr">
        <is>
          <t>KALMAR LÄN</t>
        </is>
      </c>
      <c r="E545" t="inlineStr">
        <is>
          <t>VIMMERBY</t>
        </is>
      </c>
      <c r="G545" t="n">
        <v>5</v>
      </c>
      <c r="H545" t="n">
        <v>0</v>
      </c>
      <c r="I545" t="n">
        <v>0</v>
      </c>
      <c r="J545" t="n">
        <v>0</v>
      </c>
      <c r="K545" t="n">
        <v>0</v>
      </c>
      <c r="L545" t="n">
        <v>0</v>
      </c>
      <c r="M545" t="n">
        <v>0</v>
      </c>
      <c r="N545" t="n">
        <v>0</v>
      </c>
      <c r="O545" t="n">
        <v>0</v>
      </c>
      <c r="P545" t="n">
        <v>0</v>
      </c>
      <c r="Q545" t="n">
        <v>0</v>
      </c>
      <c r="R545" s="2" t="inlineStr"/>
    </row>
    <row r="546" ht="15" customHeight="1">
      <c r="A546" t="inlineStr">
        <is>
          <t>A 48299-2025</t>
        </is>
      </c>
      <c r="B546" s="1" t="n">
        <v>45933.60982638889</v>
      </c>
      <c r="C546" s="1" t="n">
        <v>46177</v>
      </c>
      <c r="D546" t="inlineStr">
        <is>
          <t>KALMAR LÄN</t>
        </is>
      </c>
      <c r="E546" t="inlineStr">
        <is>
          <t>VIMMERBY</t>
        </is>
      </c>
      <c r="G546" t="n">
        <v>1.8</v>
      </c>
      <c r="H546" t="n">
        <v>0</v>
      </c>
      <c r="I546" t="n">
        <v>0</v>
      </c>
      <c r="J546" t="n">
        <v>0</v>
      </c>
      <c r="K546" t="n">
        <v>0</v>
      </c>
      <c r="L546" t="n">
        <v>0</v>
      </c>
      <c r="M546" t="n">
        <v>0</v>
      </c>
      <c r="N546" t="n">
        <v>0</v>
      </c>
      <c r="O546" t="n">
        <v>0</v>
      </c>
      <c r="P546" t="n">
        <v>0</v>
      </c>
      <c r="Q546" t="n">
        <v>0</v>
      </c>
      <c r="R546" s="2" t="inlineStr"/>
    </row>
    <row r="547" ht="15" customHeight="1">
      <c r="A547" t="inlineStr">
        <is>
          <t>A 14855-2025</t>
        </is>
      </c>
      <c r="B547" s="1" t="n">
        <v>45743.41148148148</v>
      </c>
      <c r="C547" s="1" t="n">
        <v>46177</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55436-2023</t>
        </is>
      </c>
      <c r="B548" s="1" t="n">
        <v>45238.4328587963</v>
      </c>
      <c r="C548" s="1" t="n">
        <v>46177</v>
      </c>
      <c r="D548" t="inlineStr">
        <is>
          <t>KALMAR LÄN</t>
        </is>
      </c>
      <c r="E548" t="inlineStr">
        <is>
          <t>VIMMERBY</t>
        </is>
      </c>
      <c r="G548" t="n">
        <v>5.6</v>
      </c>
      <c r="H548" t="n">
        <v>0</v>
      </c>
      <c r="I548" t="n">
        <v>0</v>
      </c>
      <c r="J548" t="n">
        <v>0</v>
      </c>
      <c r="K548" t="n">
        <v>0</v>
      </c>
      <c r="L548" t="n">
        <v>0</v>
      </c>
      <c r="M548" t="n">
        <v>0</v>
      </c>
      <c r="N548" t="n">
        <v>0</v>
      </c>
      <c r="O548" t="n">
        <v>0</v>
      </c>
      <c r="P548" t="n">
        <v>0</v>
      </c>
      <c r="Q548" t="n">
        <v>0</v>
      </c>
      <c r="R548" s="2" t="inlineStr"/>
    </row>
    <row r="549" ht="15" customHeight="1">
      <c r="A549" t="inlineStr">
        <is>
          <t>A 60951-2023</t>
        </is>
      </c>
      <c r="B549" s="1" t="n">
        <v>45261.44914351852</v>
      </c>
      <c r="C549" s="1" t="n">
        <v>46177</v>
      </c>
      <c r="D549" t="inlineStr">
        <is>
          <t>KALMAR LÄN</t>
        </is>
      </c>
      <c r="E549" t="inlineStr">
        <is>
          <t>VIMMERBY</t>
        </is>
      </c>
      <c r="G549" t="n">
        <v>4.3</v>
      </c>
      <c r="H549" t="n">
        <v>0</v>
      </c>
      <c r="I549" t="n">
        <v>0</v>
      </c>
      <c r="J549" t="n">
        <v>0</v>
      </c>
      <c r="K549" t="n">
        <v>0</v>
      </c>
      <c r="L549" t="n">
        <v>0</v>
      </c>
      <c r="M549" t="n">
        <v>0</v>
      </c>
      <c r="N549" t="n">
        <v>0</v>
      </c>
      <c r="O549" t="n">
        <v>0</v>
      </c>
      <c r="P549" t="n">
        <v>0</v>
      </c>
      <c r="Q549" t="n">
        <v>0</v>
      </c>
      <c r="R549" s="2" t="inlineStr"/>
    </row>
    <row r="550" ht="15" customHeight="1">
      <c r="A550" t="inlineStr">
        <is>
          <t>A 19162-2023</t>
        </is>
      </c>
      <c r="B550" s="1" t="n">
        <v>45048.59699074074</v>
      </c>
      <c r="C550" s="1" t="n">
        <v>46177</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48723-2025</t>
        </is>
      </c>
      <c r="B551" s="1" t="n">
        <v>45936.65121527778</v>
      </c>
      <c r="C551" s="1" t="n">
        <v>46177</v>
      </c>
      <c r="D551" t="inlineStr">
        <is>
          <t>KALMAR LÄN</t>
        </is>
      </c>
      <c r="E551" t="inlineStr">
        <is>
          <t>VIMMERBY</t>
        </is>
      </c>
      <c r="G551" t="n">
        <v>3</v>
      </c>
      <c r="H551" t="n">
        <v>0</v>
      </c>
      <c r="I551" t="n">
        <v>0</v>
      </c>
      <c r="J551" t="n">
        <v>0</v>
      </c>
      <c r="K551" t="n">
        <v>0</v>
      </c>
      <c r="L551" t="n">
        <v>0</v>
      </c>
      <c r="M551" t="n">
        <v>0</v>
      </c>
      <c r="N551" t="n">
        <v>0</v>
      </c>
      <c r="O551" t="n">
        <v>0</v>
      </c>
      <c r="P551" t="n">
        <v>0</v>
      </c>
      <c r="Q551" t="n">
        <v>0</v>
      </c>
      <c r="R551" s="2" t="inlineStr"/>
    </row>
    <row r="552" ht="15" customHeight="1">
      <c r="A552" t="inlineStr">
        <is>
          <t>A 21507-2023</t>
        </is>
      </c>
      <c r="B552" s="1" t="n">
        <v>45063.508125</v>
      </c>
      <c r="C552" s="1" t="n">
        <v>46177</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51187-2023</t>
        </is>
      </c>
      <c r="B553" s="1" t="n">
        <v>45219.40528935185</v>
      </c>
      <c r="C553" s="1" t="n">
        <v>46177</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31209-2024</t>
        </is>
      </c>
      <c r="B554" s="1" t="n">
        <v>45503.5658912037</v>
      </c>
      <c r="C554" s="1" t="n">
        <v>46177</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28282-2025</t>
        </is>
      </c>
      <c r="B555" s="1" t="n">
        <v>45818.58769675926</v>
      </c>
      <c r="C555" s="1" t="n">
        <v>46177</v>
      </c>
      <c r="D555" t="inlineStr">
        <is>
          <t>KALMAR LÄN</t>
        </is>
      </c>
      <c r="E555" t="inlineStr">
        <is>
          <t>VIMMERBY</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28294-2025</t>
        </is>
      </c>
      <c r="B556" s="1" t="n">
        <v>45818.595625</v>
      </c>
      <c r="C556" s="1" t="n">
        <v>46177</v>
      </c>
      <c r="D556" t="inlineStr">
        <is>
          <t>KALMAR LÄN</t>
        </is>
      </c>
      <c r="E556" t="inlineStr">
        <is>
          <t>VIMMERBY</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48600-2025</t>
        </is>
      </c>
      <c r="B557" s="1" t="n">
        <v>45935</v>
      </c>
      <c r="C557" s="1" t="n">
        <v>46177</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13290-2025</t>
        </is>
      </c>
      <c r="B558" s="1" t="n">
        <v>45735.56751157407</v>
      </c>
      <c r="C558" s="1" t="n">
        <v>46177</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45560-2021</t>
        </is>
      </c>
      <c r="B559" s="1" t="n">
        <v>44440</v>
      </c>
      <c r="C559" s="1" t="n">
        <v>46177</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48408-2025</t>
        </is>
      </c>
      <c r="B560" s="1" t="n">
        <v>45934.40527777778</v>
      </c>
      <c r="C560" s="1" t="n">
        <v>46177</v>
      </c>
      <c r="D560" t="inlineStr">
        <is>
          <t>KALMAR LÄN</t>
        </is>
      </c>
      <c r="E560" t="inlineStr">
        <is>
          <t>VIMMERBY</t>
        </is>
      </c>
      <c r="G560" t="n">
        <v>2.4</v>
      </c>
      <c r="H560" t="n">
        <v>0</v>
      </c>
      <c r="I560" t="n">
        <v>0</v>
      </c>
      <c r="J560" t="n">
        <v>0</v>
      </c>
      <c r="K560" t="n">
        <v>0</v>
      </c>
      <c r="L560" t="n">
        <v>0</v>
      </c>
      <c r="M560" t="n">
        <v>0</v>
      </c>
      <c r="N560" t="n">
        <v>0</v>
      </c>
      <c r="O560" t="n">
        <v>0</v>
      </c>
      <c r="P560" t="n">
        <v>0</v>
      </c>
      <c r="Q560" t="n">
        <v>0</v>
      </c>
      <c r="R560" s="2" t="inlineStr"/>
    </row>
    <row r="561" ht="15" customHeight="1">
      <c r="A561" t="inlineStr">
        <is>
          <t>A 48409-2025</t>
        </is>
      </c>
      <c r="B561" s="1" t="n">
        <v>45934.41387731482</v>
      </c>
      <c r="C561" s="1" t="n">
        <v>46177</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5864-2022</t>
        </is>
      </c>
      <c r="B562" s="1" t="n">
        <v>44596</v>
      </c>
      <c r="C562" s="1" t="n">
        <v>46177</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48712-2025</t>
        </is>
      </c>
      <c r="B563" s="1" t="n">
        <v>45936.63373842592</v>
      </c>
      <c r="C563" s="1" t="n">
        <v>46177</v>
      </c>
      <c r="D563" t="inlineStr">
        <is>
          <t>KALMAR LÄN</t>
        </is>
      </c>
      <c r="E563" t="inlineStr">
        <is>
          <t>VIMMERBY</t>
        </is>
      </c>
      <c r="G563" t="n">
        <v>3</v>
      </c>
      <c r="H563" t="n">
        <v>0</v>
      </c>
      <c r="I563" t="n">
        <v>0</v>
      </c>
      <c r="J563" t="n">
        <v>0</v>
      </c>
      <c r="K563" t="n">
        <v>0</v>
      </c>
      <c r="L563" t="n">
        <v>0</v>
      </c>
      <c r="M563" t="n">
        <v>0</v>
      </c>
      <c r="N563" t="n">
        <v>0</v>
      </c>
      <c r="O563" t="n">
        <v>0</v>
      </c>
      <c r="P563" t="n">
        <v>0</v>
      </c>
      <c r="Q563" t="n">
        <v>0</v>
      </c>
      <c r="R563" s="2" t="inlineStr"/>
    </row>
    <row r="564" ht="15" customHeight="1">
      <c r="A564" t="inlineStr">
        <is>
          <t>A 16622-2025</t>
        </is>
      </c>
      <c r="B564" s="1" t="n">
        <v>45754.33641203704</v>
      </c>
      <c r="C564" s="1" t="n">
        <v>46177</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3938-2023</t>
        </is>
      </c>
      <c r="B565" s="1" t="n">
        <v>44952.35775462963</v>
      </c>
      <c r="C565" s="1" t="n">
        <v>46177</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26937-2023</t>
        </is>
      </c>
      <c r="B566" s="1" t="n">
        <v>45093.62777777778</v>
      </c>
      <c r="C566" s="1" t="n">
        <v>46177</v>
      </c>
      <c r="D566" t="inlineStr">
        <is>
          <t>KALMAR LÄN</t>
        </is>
      </c>
      <c r="E566" t="inlineStr">
        <is>
          <t>VIMMERBY</t>
        </is>
      </c>
      <c r="F566" t="inlineStr">
        <is>
          <t>Sveaskog</t>
        </is>
      </c>
      <c r="G566" t="n">
        <v>14.5</v>
      </c>
      <c r="H566" t="n">
        <v>0</v>
      </c>
      <c r="I566" t="n">
        <v>0</v>
      </c>
      <c r="J566" t="n">
        <v>0</v>
      </c>
      <c r="K566" t="n">
        <v>0</v>
      </c>
      <c r="L566" t="n">
        <v>0</v>
      </c>
      <c r="M566" t="n">
        <v>0</v>
      </c>
      <c r="N566" t="n">
        <v>0</v>
      </c>
      <c r="O566" t="n">
        <v>0</v>
      </c>
      <c r="P566" t="n">
        <v>0</v>
      </c>
      <c r="Q566" t="n">
        <v>0</v>
      </c>
      <c r="R566" s="2" t="inlineStr"/>
    </row>
    <row r="567" ht="15" customHeight="1">
      <c r="A567" t="inlineStr">
        <is>
          <t>A 50085-2023</t>
        </is>
      </c>
      <c r="B567" s="1" t="n">
        <v>45215.5959375</v>
      </c>
      <c r="C567" s="1" t="n">
        <v>46177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31340-2023</t>
        </is>
      </c>
      <c r="B568" s="1" t="n">
        <v>45114.47895833333</v>
      </c>
      <c r="C568" s="1" t="n">
        <v>46177</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11219-2023</t>
        </is>
      </c>
      <c r="B569" s="1" t="n">
        <v>44992.62498842592</v>
      </c>
      <c r="C569" s="1" t="n">
        <v>46177</v>
      </c>
      <c r="D569" t="inlineStr">
        <is>
          <t>KALMAR LÄN</t>
        </is>
      </c>
      <c r="E569" t="inlineStr">
        <is>
          <t>VIMMERBY</t>
        </is>
      </c>
      <c r="G569" t="n">
        <v>2.5</v>
      </c>
      <c r="H569" t="n">
        <v>0</v>
      </c>
      <c r="I569" t="n">
        <v>0</v>
      </c>
      <c r="J569" t="n">
        <v>0</v>
      </c>
      <c r="K569" t="n">
        <v>0</v>
      </c>
      <c r="L569" t="n">
        <v>0</v>
      </c>
      <c r="M569" t="n">
        <v>0</v>
      </c>
      <c r="N569" t="n">
        <v>0</v>
      </c>
      <c r="O569" t="n">
        <v>0</v>
      </c>
      <c r="P569" t="n">
        <v>0</v>
      </c>
      <c r="Q569" t="n">
        <v>0</v>
      </c>
      <c r="R569" s="2" t="inlineStr"/>
    </row>
    <row r="570" ht="15" customHeight="1">
      <c r="A570" t="inlineStr">
        <is>
          <t>A 29168-2024</t>
        </is>
      </c>
      <c r="B570" s="1" t="n">
        <v>45482.49870370371</v>
      </c>
      <c r="C570" s="1" t="n">
        <v>46177</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29186-2024</t>
        </is>
      </c>
      <c r="B571" s="1" t="n">
        <v>45482.54844907407</v>
      </c>
      <c r="C571" s="1" t="n">
        <v>46177</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35895-2024</t>
        </is>
      </c>
      <c r="B572" s="1" t="n">
        <v>45533.38870370371</v>
      </c>
      <c r="C572" s="1" t="n">
        <v>46177</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12590-2025</t>
        </is>
      </c>
      <c r="B573" s="1" t="n">
        <v>45732.79925925926</v>
      </c>
      <c r="C573" s="1" t="n">
        <v>46177</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30318-2023</t>
        </is>
      </c>
      <c r="B574" s="1" t="n">
        <v>45111.30824074074</v>
      </c>
      <c r="C574" s="1" t="n">
        <v>46177</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43186-2021</t>
        </is>
      </c>
      <c r="B575" s="1" t="n">
        <v>44431.84840277778</v>
      </c>
      <c r="C575" s="1" t="n">
        <v>46177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60215-2022</t>
        </is>
      </c>
      <c r="B576" s="1" t="n">
        <v>44910.41346064815</v>
      </c>
      <c r="C576" s="1" t="n">
        <v>46177</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60230-2022</t>
        </is>
      </c>
      <c r="B577" s="1" t="n">
        <v>44910</v>
      </c>
      <c r="C577" s="1" t="n">
        <v>46177</v>
      </c>
      <c r="D577" t="inlineStr">
        <is>
          <t>KALMAR LÄN</t>
        </is>
      </c>
      <c r="E577" t="inlineStr">
        <is>
          <t>VIMMERBY</t>
        </is>
      </c>
      <c r="G577" t="n">
        <v>11.3</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44598.7384837963</v>
      </c>
      <c r="C578" s="1" t="n">
        <v>46177</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845-2023</t>
        </is>
      </c>
      <c r="B579" s="1" t="n">
        <v>44931</v>
      </c>
      <c r="C579" s="1" t="n">
        <v>46177</v>
      </c>
      <c r="D579" t="inlineStr">
        <is>
          <t>KALMAR LÄN</t>
        </is>
      </c>
      <c r="E579" t="inlineStr">
        <is>
          <t>VIMMERBY</t>
        </is>
      </c>
      <c r="F579" t="inlineStr">
        <is>
          <t>Övriga Aktiebolag</t>
        </is>
      </c>
      <c r="G579" t="n">
        <v>19</v>
      </c>
      <c r="H579" t="n">
        <v>0</v>
      </c>
      <c r="I579" t="n">
        <v>0</v>
      </c>
      <c r="J579" t="n">
        <v>0</v>
      </c>
      <c r="K579" t="n">
        <v>0</v>
      </c>
      <c r="L579" t="n">
        <v>0</v>
      </c>
      <c r="M579" t="n">
        <v>0</v>
      </c>
      <c r="N579" t="n">
        <v>0</v>
      </c>
      <c r="O579" t="n">
        <v>0</v>
      </c>
      <c r="P579" t="n">
        <v>0</v>
      </c>
      <c r="Q579" t="n">
        <v>0</v>
      </c>
      <c r="R579" s="2" t="inlineStr"/>
    </row>
    <row r="580" ht="15" customHeight="1">
      <c r="A580" t="inlineStr">
        <is>
          <t>A 16119-2023</t>
        </is>
      </c>
      <c r="B580" s="1" t="n">
        <v>45027.59450231482</v>
      </c>
      <c r="C580" s="1" t="n">
        <v>46177</v>
      </c>
      <c r="D580" t="inlineStr">
        <is>
          <t>KALMAR LÄN</t>
        </is>
      </c>
      <c r="E580" t="inlineStr">
        <is>
          <t>VIMMERBY</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30588-2023</t>
        </is>
      </c>
      <c r="B581" s="1" t="n">
        <v>45112.33599537037</v>
      </c>
      <c r="C581" s="1" t="n">
        <v>46177</v>
      </c>
      <c r="D581" t="inlineStr">
        <is>
          <t>KALMAR LÄN</t>
        </is>
      </c>
      <c r="E581" t="inlineStr">
        <is>
          <t>VIMMERBY</t>
        </is>
      </c>
      <c r="G581" t="n">
        <v>2.7</v>
      </c>
      <c r="H581" t="n">
        <v>0</v>
      </c>
      <c r="I581" t="n">
        <v>0</v>
      </c>
      <c r="J581" t="n">
        <v>0</v>
      </c>
      <c r="K581" t="n">
        <v>0</v>
      </c>
      <c r="L581" t="n">
        <v>0</v>
      </c>
      <c r="M581" t="n">
        <v>0</v>
      </c>
      <c r="N581" t="n">
        <v>0</v>
      </c>
      <c r="O581" t="n">
        <v>0</v>
      </c>
      <c r="P581" t="n">
        <v>0</v>
      </c>
      <c r="Q581" t="n">
        <v>0</v>
      </c>
      <c r="R581" s="2" t="inlineStr"/>
    </row>
    <row r="582" ht="15" customHeight="1">
      <c r="A582" t="inlineStr">
        <is>
          <t>A 6850-2023</t>
        </is>
      </c>
      <c r="B582" s="1" t="n">
        <v>44967.44255787037</v>
      </c>
      <c r="C582" s="1" t="n">
        <v>46177</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6358-2022</t>
        </is>
      </c>
      <c r="B583" s="1" t="n">
        <v>44600</v>
      </c>
      <c r="C583" s="1" t="n">
        <v>46177</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45528-2021</t>
        </is>
      </c>
      <c r="B584" s="1" t="n">
        <v>44440.60415509259</v>
      </c>
      <c r="C584" s="1" t="n">
        <v>46177</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49871-2025</t>
        </is>
      </c>
      <c r="B585" s="1" t="n">
        <v>45940.54104166666</v>
      </c>
      <c r="C585" s="1" t="n">
        <v>46177</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43853-2023</t>
        </is>
      </c>
      <c r="B586" s="1" t="n">
        <v>45187.60813657408</v>
      </c>
      <c r="C586" s="1" t="n">
        <v>46177</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48673-2021</t>
        </is>
      </c>
      <c r="B587" s="1" t="n">
        <v>44452</v>
      </c>
      <c r="C587" s="1" t="n">
        <v>46177</v>
      </c>
      <c r="D587" t="inlineStr">
        <is>
          <t>KALMAR LÄN</t>
        </is>
      </c>
      <c r="E587" t="inlineStr">
        <is>
          <t>VIMMERBY</t>
        </is>
      </c>
      <c r="G587" t="n">
        <v>1.3</v>
      </c>
      <c r="H587" t="n">
        <v>0</v>
      </c>
      <c r="I587" t="n">
        <v>0</v>
      </c>
      <c r="J587" t="n">
        <v>0</v>
      </c>
      <c r="K587" t="n">
        <v>0</v>
      </c>
      <c r="L587" t="n">
        <v>0</v>
      </c>
      <c r="M587" t="n">
        <v>0</v>
      </c>
      <c r="N587" t="n">
        <v>0</v>
      </c>
      <c r="O587" t="n">
        <v>0</v>
      </c>
      <c r="P587" t="n">
        <v>0</v>
      </c>
      <c r="Q587" t="n">
        <v>0</v>
      </c>
      <c r="R587" s="2" t="inlineStr"/>
    </row>
    <row r="588" ht="15" customHeight="1">
      <c r="A588" t="inlineStr">
        <is>
          <t>A 16516-2023</t>
        </is>
      </c>
      <c r="B588" s="1" t="n">
        <v>45029</v>
      </c>
      <c r="C588" s="1" t="n">
        <v>46177</v>
      </c>
      <c r="D588" t="inlineStr">
        <is>
          <t>KALMAR LÄN</t>
        </is>
      </c>
      <c r="E588" t="inlineStr">
        <is>
          <t>VIMMERBY</t>
        </is>
      </c>
      <c r="G588" t="n">
        <v>4.3</v>
      </c>
      <c r="H588" t="n">
        <v>0</v>
      </c>
      <c r="I588" t="n">
        <v>0</v>
      </c>
      <c r="J588" t="n">
        <v>0</v>
      </c>
      <c r="K588" t="n">
        <v>0</v>
      </c>
      <c r="L588" t="n">
        <v>0</v>
      </c>
      <c r="M588" t="n">
        <v>0</v>
      </c>
      <c r="N588" t="n">
        <v>0</v>
      </c>
      <c r="O588" t="n">
        <v>0</v>
      </c>
      <c r="P588" t="n">
        <v>0</v>
      </c>
      <c r="Q588" t="n">
        <v>0</v>
      </c>
      <c r="R588" s="2" t="inlineStr"/>
    </row>
    <row r="589" ht="15" customHeight="1">
      <c r="A589" t="inlineStr">
        <is>
          <t>A 2510-2023</t>
        </is>
      </c>
      <c r="B589" s="1" t="n">
        <v>44943.57309027778</v>
      </c>
      <c r="C589" s="1" t="n">
        <v>46177</v>
      </c>
      <c r="D589" t="inlineStr">
        <is>
          <t>KALMAR LÄN</t>
        </is>
      </c>
      <c r="E589" t="inlineStr">
        <is>
          <t>VIMMERBY</t>
        </is>
      </c>
      <c r="G589" t="n">
        <v>8.6</v>
      </c>
      <c r="H589" t="n">
        <v>0</v>
      </c>
      <c r="I589" t="n">
        <v>0</v>
      </c>
      <c r="J589" t="n">
        <v>0</v>
      </c>
      <c r="K589" t="n">
        <v>0</v>
      </c>
      <c r="L589" t="n">
        <v>0</v>
      </c>
      <c r="M589" t="n">
        <v>0</v>
      </c>
      <c r="N589" t="n">
        <v>0</v>
      </c>
      <c r="O589" t="n">
        <v>0</v>
      </c>
      <c r="P589" t="n">
        <v>0</v>
      </c>
      <c r="Q589" t="n">
        <v>0</v>
      </c>
      <c r="R589" s="2" t="inlineStr"/>
    </row>
    <row r="590" ht="15" customHeight="1">
      <c r="A590" t="inlineStr">
        <is>
          <t>A 14137-2023</t>
        </is>
      </c>
      <c r="B590" s="1" t="n">
        <v>45009.4671875</v>
      </c>
      <c r="C590" s="1" t="n">
        <v>46177</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7630-2025</t>
        </is>
      </c>
      <c r="B591" s="1" t="n">
        <v>45705.74418981482</v>
      </c>
      <c r="C591" s="1" t="n">
        <v>46177</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50324-2025</t>
        </is>
      </c>
      <c r="B592" s="1" t="n">
        <v>45944.45962962963</v>
      </c>
      <c r="C592" s="1" t="n">
        <v>46177</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48373-2021</t>
        </is>
      </c>
      <c r="B593" s="1" t="n">
        <v>44451</v>
      </c>
      <c r="C593" s="1" t="n">
        <v>46177</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38780-2021</t>
        </is>
      </c>
      <c r="B594" s="1" t="n">
        <v>44410</v>
      </c>
      <c r="C594" s="1" t="n">
        <v>46177</v>
      </c>
      <c r="D594" t="inlineStr">
        <is>
          <t>KALMAR LÄN</t>
        </is>
      </c>
      <c r="E594" t="inlineStr">
        <is>
          <t>VIMMERBY</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30503-2023</t>
        </is>
      </c>
      <c r="B595" s="1" t="n">
        <v>45111</v>
      </c>
      <c r="C595" s="1" t="n">
        <v>46177</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7485-2024</t>
        </is>
      </c>
      <c r="B596" s="1" t="n">
        <v>45346.67184027778</v>
      </c>
      <c r="C596" s="1" t="n">
        <v>46177</v>
      </c>
      <c r="D596" t="inlineStr">
        <is>
          <t>KALMAR LÄN</t>
        </is>
      </c>
      <c r="E596" t="inlineStr">
        <is>
          <t>VIMMERBY</t>
        </is>
      </c>
      <c r="G596" t="n">
        <v>1.9</v>
      </c>
      <c r="H596" t="n">
        <v>0</v>
      </c>
      <c r="I596" t="n">
        <v>0</v>
      </c>
      <c r="J596" t="n">
        <v>0</v>
      </c>
      <c r="K596" t="n">
        <v>0</v>
      </c>
      <c r="L596" t="n">
        <v>0</v>
      </c>
      <c r="M596" t="n">
        <v>0</v>
      </c>
      <c r="N596" t="n">
        <v>0</v>
      </c>
      <c r="O596" t="n">
        <v>0</v>
      </c>
      <c r="P596" t="n">
        <v>0</v>
      </c>
      <c r="Q596" t="n">
        <v>0</v>
      </c>
      <c r="R596" s="2" t="inlineStr"/>
    </row>
    <row r="597" ht="15" customHeight="1">
      <c r="A597" t="inlineStr">
        <is>
          <t>A 60110-2022</t>
        </is>
      </c>
      <c r="B597" s="1" t="n">
        <v>44909</v>
      </c>
      <c r="C597" s="1" t="n">
        <v>46177</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59300-2024</t>
        </is>
      </c>
      <c r="B598" s="1" t="n">
        <v>45637.66542824074</v>
      </c>
      <c r="C598" s="1" t="n">
        <v>46177</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6574-2023</t>
        </is>
      </c>
      <c r="B599" s="1" t="n">
        <v>44966</v>
      </c>
      <c r="C599" s="1" t="n">
        <v>46177</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20054-2023</t>
        </is>
      </c>
      <c r="B600" s="1" t="n">
        <v>45054.6750462963</v>
      </c>
      <c r="C600" s="1" t="n">
        <v>46177</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58750-2022</t>
        </is>
      </c>
      <c r="B601" s="1" t="n">
        <v>44903.33363425926</v>
      </c>
      <c r="C601" s="1" t="n">
        <v>46177</v>
      </c>
      <c r="D601" t="inlineStr">
        <is>
          <t>KALMAR LÄN</t>
        </is>
      </c>
      <c r="E601" t="inlineStr">
        <is>
          <t>VIMMERBY</t>
        </is>
      </c>
      <c r="G601" t="n">
        <v>3.3</v>
      </c>
      <c r="H601" t="n">
        <v>0</v>
      </c>
      <c r="I601" t="n">
        <v>0</v>
      </c>
      <c r="J601" t="n">
        <v>0</v>
      </c>
      <c r="K601" t="n">
        <v>0</v>
      </c>
      <c r="L601" t="n">
        <v>0</v>
      </c>
      <c r="M601" t="n">
        <v>0</v>
      </c>
      <c r="N601" t="n">
        <v>0</v>
      </c>
      <c r="O601" t="n">
        <v>0</v>
      </c>
      <c r="P601" t="n">
        <v>0</v>
      </c>
      <c r="Q601" t="n">
        <v>0</v>
      </c>
      <c r="R601" s="2" t="inlineStr"/>
    </row>
    <row r="602" ht="15" customHeight="1">
      <c r="A602" t="inlineStr">
        <is>
          <t>A 50544-2025</t>
        </is>
      </c>
      <c r="B602" s="1" t="n">
        <v>45945.50736111111</v>
      </c>
      <c r="C602" s="1" t="n">
        <v>46177</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18329-2023</t>
        </is>
      </c>
      <c r="B603" s="1" t="n">
        <v>45041.63380787037</v>
      </c>
      <c r="C603" s="1" t="n">
        <v>46177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5720-2023</t>
        </is>
      </c>
      <c r="B604" s="1" t="n">
        <v>44961</v>
      </c>
      <c r="C604" s="1" t="n">
        <v>46177</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61538-2022</t>
        </is>
      </c>
      <c r="B605" s="1" t="n">
        <v>44916.55414351852</v>
      </c>
      <c r="C605" s="1" t="n">
        <v>46177</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2260-2022</t>
        </is>
      </c>
      <c r="B606" s="1" t="n">
        <v>44578.62943287037</v>
      </c>
      <c r="C606" s="1" t="n">
        <v>46177</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694-2024</t>
        </is>
      </c>
      <c r="B607" s="1" t="n">
        <v>45300.3794212963</v>
      </c>
      <c r="C607" s="1" t="n">
        <v>46177</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50860-2022</t>
        </is>
      </c>
      <c r="B608" s="1" t="n">
        <v>44867</v>
      </c>
      <c r="C608" s="1" t="n">
        <v>46177</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51062-2025</t>
        </is>
      </c>
      <c r="B609" s="1" t="n">
        <v>45947.44685185186</v>
      </c>
      <c r="C609" s="1" t="n">
        <v>46177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53483-2022</t>
        </is>
      </c>
      <c r="B610" s="1" t="n">
        <v>44879.55940972222</v>
      </c>
      <c r="C610" s="1" t="n">
        <v>46177</v>
      </c>
      <c r="D610" t="inlineStr">
        <is>
          <t>KALMAR LÄN</t>
        </is>
      </c>
      <c r="E610" t="inlineStr">
        <is>
          <t>VIMMERBY</t>
        </is>
      </c>
      <c r="G610" t="n">
        <v>1.4</v>
      </c>
      <c r="H610" t="n">
        <v>0</v>
      </c>
      <c r="I610" t="n">
        <v>0</v>
      </c>
      <c r="J610" t="n">
        <v>0</v>
      </c>
      <c r="K610" t="n">
        <v>0</v>
      </c>
      <c r="L610" t="n">
        <v>0</v>
      </c>
      <c r="M610" t="n">
        <v>0</v>
      </c>
      <c r="N610" t="n">
        <v>0</v>
      </c>
      <c r="O610" t="n">
        <v>0</v>
      </c>
      <c r="P610" t="n">
        <v>0</v>
      </c>
      <c r="Q610" t="n">
        <v>0</v>
      </c>
      <c r="R610" s="2" t="inlineStr"/>
    </row>
    <row r="611" ht="15" customHeight="1">
      <c r="A611" t="inlineStr">
        <is>
          <t>A 57114-2023</t>
        </is>
      </c>
      <c r="B611" s="1" t="n">
        <v>45245.36174768519</v>
      </c>
      <c r="C611" s="1" t="n">
        <v>46177</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28713-2025</t>
        </is>
      </c>
      <c r="B612" s="1" t="n">
        <v>45820.33930555556</v>
      </c>
      <c r="C612" s="1" t="n">
        <v>46177</v>
      </c>
      <c r="D612" t="inlineStr">
        <is>
          <t>KALMAR LÄN</t>
        </is>
      </c>
      <c r="E612" t="inlineStr">
        <is>
          <t>VIMMERBY</t>
        </is>
      </c>
      <c r="G612" t="n">
        <v>2.3</v>
      </c>
      <c r="H612" t="n">
        <v>0</v>
      </c>
      <c r="I612" t="n">
        <v>0</v>
      </c>
      <c r="J612" t="n">
        <v>0</v>
      </c>
      <c r="K612" t="n">
        <v>0</v>
      </c>
      <c r="L612" t="n">
        <v>0</v>
      </c>
      <c r="M612" t="n">
        <v>0</v>
      </c>
      <c r="N612" t="n">
        <v>0</v>
      </c>
      <c r="O612" t="n">
        <v>0</v>
      </c>
      <c r="P612" t="n">
        <v>0</v>
      </c>
      <c r="Q612" t="n">
        <v>0</v>
      </c>
      <c r="R612" s="2" t="inlineStr"/>
    </row>
    <row r="613" ht="15" customHeight="1">
      <c r="A613" t="inlineStr">
        <is>
          <t>A 58962-2022</t>
        </is>
      </c>
      <c r="B613" s="1" t="n">
        <v>44903</v>
      </c>
      <c r="C613" s="1" t="n">
        <v>46177</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58967-2022</t>
        </is>
      </c>
      <c r="B614" s="1" t="n">
        <v>44896</v>
      </c>
      <c r="C614" s="1" t="n">
        <v>46177</v>
      </c>
      <c r="D614" t="inlineStr">
        <is>
          <t>KALMAR LÄN</t>
        </is>
      </c>
      <c r="E614" t="inlineStr">
        <is>
          <t>VIMMERBY</t>
        </is>
      </c>
      <c r="G614" t="n">
        <v>5</v>
      </c>
      <c r="H614" t="n">
        <v>0</v>
      </c>
      <c r="I614" t="n">
        <v>0</v>
      </c>
      <c r="J614" t="n">
        <v>0</v>
      </c>
      <c r="K614" t="n">
        <v>0</v>
      </c>
      <c r="L614" t="n">
        <v>0</v>
      </c>
      <c r="M614" t="n">
        <v>0</v>
      </c>
      <c r="N614" t="n">
        <v>0</v>
      </c>
      <c r="O614" t="n">
        <v>0</v>
      </c>
      <c r="P614" t="n">
        <v>0</v>
      </c>
      <c r="Q614" t="n">
        <v>0</v>
      </c>
      <c r="R614" s="2" t="inlineStr"/>
    </row>
    <row r="615" ht="15" customHeight="1">
      <c r="A615" t="inlineStr">
        <is>
          <t>A 57682-2022</t>
        </is>
      </c>
      <c r="B615" s="1" t="n">
        <v>44890</v>
      </c>
      <c r="C615" s="1" t="n">
        <v>46177</v>
      </c>
      <c r="D615" t="inlineStr">
        <is>
          <t>KALMAR LÄN</t>
        </is>
      </c>
      <c r="E615" t="inlineStr">
        <is>
          <t>VIMMERBY</t>
        </is>
      </c>
      <c r="G615" t="n">
        <v>1.5</v>
      </c>
      <c r="H615" t="n">
        <v>0</v>
      </c>
      <c r="I615" t="n">
        <v>0</v>
      </c>
      <c r="J615" t="n">
        <v>0</v>
      </c>
      <c r="K615" t="n">
        <v>0</v>
      </c>
      <c r="L615" t="n">
        <v>0</v>
      </c>
      <c r="M615" t="n">
        <v>0</v>
      </c>
      <c r="N615" t="n">
        <v>0</v>
      </c>
      <c r="O615" t="n">
        <v>0</v>
      </c>
      <c r="P615" t="n">
        <v>0</v>
      </c>
      <c r="Q615" t="n">
        <v>0</v>
      </c>
      <c r="R615" s="2" t="inlineStr"/>
    </row>
    <row r="616" ht="15" customHeight="1">
      <c r="A616" t="inlineStr">
        <is>
          <t>A 12327-2023</t>
        </is>
      </c>
      <c r="B616" s="1" t="n">
        <v>44999.36081018519</v>
      </c>
      <c r="C616" s="1" t="n">
        <v>46177</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4076-2022</t>
        </is>
      </c>
      <c r="B617" s="1" t="n">
        <v>44588.37998842593</v>
      </c>
      <c r="C617" s="1" t="n">
        <v>46177</v>
      </c>
      <c r="D617" t="inlineStr">
        <is>
          <t>KALMAR LÄN</t>
        </is>
      </c>
      <c r="E617" t="inlineStr">
        <is>
          <t>VIMMERBY</t>
        </is>
      </c>
      <c r="G617" t="n">
        <v>3</v>
      </c>
      <c r="H617" t="n">
        <v>0</v>
      </c>
      <c r="I617" t="n">
        <v>0</v>
      </c>
      <c r="J617" t="n">
        <v>0</v>
      </c>
      <c r="K617" t="n">
        <v>0</v>
      </c>
      <c r="L617" t="n">
        <v>0</v>
      </c>
      <c r="M617" t="n">
        <v>0</v>
      </c>
      <c r="N617" t="n">
        <v>0</v>
      </c>
      <c r="O617" t="n">
        <v>0</v>
      </c>
      <c r="P617" t="n">
        <v>0</v>
      </c>
      <c r="Q617" t="n">
        <v>0</v>
      </c>
      <c r="R617" s="2" t="inlineStr"/>
    </row>
    <row r="618" ht="15" customHeight="1">
      <c r="A618" t="inlineStr">
        <is>
          <t>A 4122-2022</t>
        </is>
      </c>
      <c r="B618" s="1" t="n">
        <v>44588</v>
      </c>
      <c r="C618" s="1" t="n">
        <v>46177</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30633-2024</t>
        </is>
      </c>
      <c r="B619" s="1" t="n">
        <v>45495</v>
      </c>
      <c r="C619" s="1" t="n">
        <v>46177</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33424-2023</t>
        </is>
      </c>
      <c r="B620" s="1" t="n">
        <v>45128.9325</v>
      </c>
      <c r="C620" s="1" t="n">
        <v>46177</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33425-2023</t>
        </is>
      </c>
      <c r="B621" s="1" t="n">
        <v>45128.93540509259</v>
      </c>
      <c r="C621" s="1" t="n">
        <v>46177</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3609-2024</t>
        </is>
      </c>
      <c r="B622" s="1" t="n">
        <v>45320.89128472222</v>
      </c>
      <c r="C622" s="1" t="n">
        <v>46177</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51993-2025</t>
        </is>
      </c>
      <c r="B623" s="1" t="n">
        <v>45952.58194444444</v>
      </c>
      <c r="C623" s="1" t="n">
        <v>46177</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9624-2024</t>
        </is>
      </c>
      <c r="B624" s="1" t="n">
        <v>45361.90282407407</v>
      </c>
      <c r="C624" s="1" t="n">
        <v>46177</v>
      </c>
      <c r="D624" t="inlineStr">
        <is>
          <t>KALMAR LÄN</t>
        </is>
      </c>
      <c r="E624" t="inlineStr">
        <is>
          <t>VIMMERBY</t>
        </is>
      </c>
      <c r="G624" t="n">
        <v>3.8</v>
      </c>
      <c r="H624" t="n">
        <v>0</v>
      </c>
      <c r="I624" t="n">
        <v>0</v>
      </c>
      <c r="J624" t="n">
        <v>0</v>
      </c>
      <c r="K624" t="n">
        <v>0</v>
      </c>
      <c r="L624" t="n">
        <v>0</v>
      </c>
      <c r="M624" t="n">
        <v>0</v>
      </c>
      <c r="N624" t="n">
        <v>0</v>
      </c>
      <c r="O624" t="n">
        <v>0</v>
      </c>
      <c r="P624" t="n">
        <v>0</v>
      </c>
      <c r="Q624" t="n">
        <v>0</v>
      </c>
      <c r="R624" s="2" t="inlineStr"/>
    </row>
    <row r="625" ht="15" customHeight="1">
      <c r="A625" t="inlineStr">
        <is>
          <t>A 52327-2023</t>
        </is>
      </c>
      <c r="B625" s="1" t="n">
        <v>45224.6515162037</v>
      </c>
      <c r="C625" s="1" t="n">
        <v>46177</v>
      </c>
      <c r="D625" t="inlineStr">
        <is>
          <t>KALMAR LÄN</t>
        </is>
      </c>
      <c r="E625" t="inlineStr">
        <is>
          <t>VIMMERBY</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29616-2022</t>
        </is>
      </c>
      <c r="B626" s="1" t="n">
        <v>44754</v>
      </c>
      <c r="C626" s="1" t="n">
        <v>46177</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29348-2023</t>
        </is>
      </c>
      <c r="B627" s="1" t="n">
        <v>45106.25025462963</v>
      </c>
      <c r="C627" s="1" t="n">
        <v>46177</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28403-2023</t>
        </is>
      </c>
      <c r="B628" s="1" t="n">
        <v>45100.85270833333</v>
      </c>
      <c r="C628" s="1" t="n">
        <v>46177</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51990-2025</t>
        </is>
      </c>
      <c r="B629" s="1" t="n">
        <v>45952.58061342593</v>
      </c>
      <c r="C629" s="1" t="n">
        <v>46177</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17511-2024</t>
        </is>
      </c>
      <c r="B630" s="1" t="n">
        <v>45415.57682870371</v>
      </c>
      <c r="C630" s="1" t="n">
        <v>46177</v>
      </c>
      <c r="D630" t="inlineStr">
        <is>
          <t>KALMAR LÄN</t>
        </is>
      </c>
      <c r="E630" t="inlineStr">
        <is>
          <t>VIMMERBY</t>
        </is>
      </c>
      <c r="G630" t="n">
        <v>5.3</v>
      </c>
      <c r="H630" t="n">
        <v>0</v>
      </c>
      <c r="I630" t="n">
        <v>0</v>
      </c>
      <c r="J630" t="n">
        <v>0</v>
      </c>
      <c r="K630" t="n">
        <v>0</v>
      </c>
      <c r="L630" t="n">
        <v>0</v>
      </c>
      <c r="M630" t="n">
        <v>0</v>
      </c>
      <c r="N630" t="n">
        <v>0</v>
      </c>
      <c r="O630" t="n">
        <v>0</v>
      </c>
      <c r="P630" t="n">
        <v>0</v>
      </c>
      <c r="Q630" t="n">
        <v>0</v>
      </c>
      <c r="R630" s="2" t="inlineStr"/>
    </row>
    <row r="631" ht="15" customHeight="1">
      <c r="A631" t="inlineStr">
        <is>
          <t>A 66022-2021</t>
        </is>
      </c>
      <c r="B631" s="1" t="n">
        <v>44517</v>
      </c>
      <c r="C631" s="1" t="n">
        <v>46177</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52473-2025</t>
        </is>
      </c>
      <c r="B632" s="1" t="n">
        <v>45954.45947916667</v>
      </c>
      <c r="C632" s="1" t="n">
        <v>46177</v>
      </c>
      <c r="D632" t="inlineStr">
        <is>
          <t>KALMAR LÄN</t>
        </is>
      </c>
      <c r="E632" t="inlineStr">
        <is>
          <t>VIMMERBY</t>
        </is>
      </c>
      <c r="G632" t="n">
        <v>2.4</v>
      </c>
      <c r="H632" t="n">
        <v>0</v>
      </c>
      <c r="I632" t="n">
        <v>0</v>
      </c>
      <c r="J632" t="n">
        <v>0</v>
      </c>
      <c r="K632" t="n">
        <v>0</v>
      </c>
      <c r="L632" t="n">
        <v>0</v>
      </c>
      <c r="M632" t="n">
        <v>0</v>
      </c>
      <c r="N632" t="n">
        <v>0</v>
      </c>
      <c r="O632" t="n">
        <v>0</v>
      </c>
      <c r="P632" t="n">
        <v>0</v>
      </c>
      <c r="Q632" t="n">
        <v>0</v>
      </c>
      <c r="R632" s="2" t="inlineStr"/>
    </row>
    <row r="633" ht="15" customHeight="1">
      <c r="A633" t="inlineStr">
        <is>
          <t>A 52480-2025</t>
        </is>
      </c>
      <c r="B633" s="1" t="n">
        <v>45954.47172453703</v>
      </c>
      <c r="C633" s="1" t="n">
        <v>46177</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29973-2023</t>
        </is>
      </c>
      <c r="B634" s="1" t="n">
        <v>45108.703125</v>
      </c>
      <c r="C634" s="1" t="n">
        <v>46177</v>
      </c>
      <c r="D634" t="inlineStr">
        <is>
          <t>KALMAR LÄN</t>
        </is>
      </c>
      <c r="E634" t="inlineStr">
        <is>
          <t>VIMMERBY</t>
        </is>
      </c>
      <c r="G634" t="n">
        <v>4</v>
      </c>
      <c r="H634" t="n">
        <v>0</v>
      </c>
      <c r="I634" t="n">
        <v>0</v>
      </c>
      <c r="J634" t="n">
        <v>0</v>
      </c>
      <c r="K634" t="n">
        <v>0</v>
      </c>
      <c r="L634" t="n">
        <v>0</v>
      </c>
      <c r="M634" t="n">
        <v>0</v>
      </c>
      <c r="N634" t="n">
        <v>0</v>
      </c>
      <c r="O634" t="n">
        <v>0</v>
      </c>
      <c r="P634" t="n">
        <v>0</v>
      </c>
      <c r="Q634" t="n">
        <v>0</v>
      </c>
      <c r="R634" s="2" t="inlineStr"/>
    </row>
    <row r="635" ht="15" customHeight="1">
      <c r="A635" t="inlineStr">
        <is>
          <t>A 8650-2022</t>
        </is>
      </c>
      <c r="B635" s="1" t="n">
        <v>44613</v>
      </c>
      <c r="C635" s="1" t="n">
        <v>46177</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30070-2023</t>
        </is>
      </c>
      <c r="B636" s="1" t="n">
        <v>45110.4275</v>
      </c>
      <c r="C636" s="1" t="n">
        <v>46177</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52466-2025</t>
        </is>
      </c>
      <c r="B637" s="1" t="n">
        <v>45954.44707175926</v>
      </c>
      <c r="C637" s="1" t="n">
        <v>46177</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52516-2025</t>
        </is>
      </c>
      <c r="B638" s="1" t="n">
        <v>45954.51412037037</v>
      </c>
      <c r="C638" s="1" t="n">
        <v>46177</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52465-2025</t>
        </is>
      </c>
      <c r="B639" s="1" t="n">
        <v>45954.44543981482</v>
      </c>
      <c r="C639" s="1" t="n">
        <v>46177</v>
      </c>
      <c r="D639" t="inlineStr">
        <is>
          <t>KALMAR LÄN</t>
        </is>
      </c>
      <c r="E639" t="inlineStr">
        <is>
          <t>VIMMERBY</t>
        </is>
      </c>
      <c r="G639" t="n">
        <v>0.9</v>
      </c>
      <c r="H639" t="n">
        <v>0</v>
      </c>
      <c r="I639" t="n">
        <v>0</v>
      </c>
      <c r="J639" t="n">
        <v>0</v>
      </c>
      <c r="K639" t="n">
        <v>0</v>
      </c>
      <c r="L639" t="n">
        <v>0</v>
      </c>
      <c r="M639" t="n">
        <v>0</v>
      </c>
      <c r="N639" t="n">
        <v>0</v>
      </c>
      <c r="O639" t="n">
        <v>0</v>
      </c>
      <c r="P639" t="n">
        <v>0</v>
      </c>
      <c r="Q639" t="n">
        <v>0</v>
      </c>
      <c r="R639" s="2" t="inlineStr"/>
    </row>
    <row r="640" ht="15" customHeight="1">
      <c r="A640" t="inlineStr">
        <is>
          <t>A 46078-2023</t>
        </is>
      </c>
      <c r="B640" s="1" t="n">
        <v>45196</v>
      </c>
      <c r="C640" s="1" t="n">
        <v>46177</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11147-2023</t>
        </is>
      </c>
      <c r="B641" s="1" t="n">
        <v>44992</v>
      </c>
      <c r="C641" s="1" t="n">
        <v>46177</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7643-2022</t>
        </is>
      </c>
      <c r="B642" s="1" t="n">
        <v>44607</v>
      </c>
      <c r="C642" s="1" t="n">
        <v>46177</v>
      </c>
      <c r="D642" t="inlineStr">
        <is>
          <t>KALMAR LÄN</t>
        </is>
      </c>
      <c r="E642" t="inlineStr">
        <is>
          <t>VIMMERBY</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3494-2023</t>
        </is>
      </c>
      <c r="B643" s="1" t="n">
        <v>44949</v>
      </c>
      <c r="C643" s="1" t="n">
        <v>46177</v>
      </c>
      <c r="D643" t="inlineStr">
        <is>
          <t>KALMAR LÄN</t>
        </is>
      </c>
      <c r="E643" t="inlineStr">
        <is>
          <t>VIMMERBY</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28712-2025</t>
        </is>
      </c>
      <c r="B644" s="1" t="n">
        <v>45820.33708333333</v>
      </c>
      <c r="C644" s="1" t="n">
        <v>46177</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28714-2025</t>
        </is>
      </c>
      <c r="B645" s="1" t="n">
        <v>45820.34128472222</v>
      </c>
      <c r="C645" s="1" t="n">
        <v>46177</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32633-2023</t>
        </is>
      </c>
      <c r="B646" s="1" t="n">
        <v>45121.58699074074</v>
      </c>
      <c r="C646" s="1" t="n">
        <v>46177</v>
      </c>
      <c r="D646" t="inlineStr">
        <is>
          <t>KALMAR LÄN</t>
        </is>
      </c>
      <c r="E646" t="inlineStr">
        <is>
          <t>VIMMERBY</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43601-2024</t>
        </is>
      </c>
      <c r="B647" s="1" t="n">
        <v>45569.44684027778</v>
      </c>
      <c r="C647" s="1" t="n">
        <v>46177</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28620-2025</t>
        </is>
      </c>
      <c r="B648" s="1" t="n">
        <v>45819.61060185185</v>
      </c>
      <c r="C648" s="1" t="n">
        <v>46177</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16676-2023</t>
        </is>
      </c>
      <c r="B649" s="1" t="n">
        <v>45028</v>
      </c>
      <c r="C649" s="1" t="n">
        <v>46177</v>
      </c>
      <c r="D649" t="inlineStr">
        <is>
          <t>KALMAR LÄN</t>
        </is>
      </c>
      <c r="E649" t="inlineStr">
        <is>
          <t>VIMMERBY</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13813-2024</t>
        </is>
      </c>
      <c r="B650" s="1" t="n">
        <v>45391.41310185185</v>
      </c>
      <c r="C650" s="1" t="n">
        <v>46177</v>
      </c>
      <c r="D650" t="inlineStr">
        <is>
          <t>KALMAR LÄN</t>
        </is>
      </c>
      <c r="E650" t="inlineStr">
        <is>
          <t>VIMMERBY</t>
        </is>
      </c>
      <c r="G650" t="n">
        <v>0.4</v>
      </c>
      <c r="H650" t="n">
        <v>0</v>
      </c>
      <c r="I650" t="n">
        <v>0</v>
      </c>
      <c r="J650" t="n">
        <v>0</v>
      </c>
      <c r="K650" t="n">
        <v>0</v>
      </c>
      <c r="L650" t="n">
        <v>0</v>
      </c>
      <c r="M650" t="n">
        <v>0</v>
      </c>
      <c r="N650" t="n">
        <v>0</v>
      </c>
      <c r="O650" t="n">
        <v>0</v>
      </c>
      <c r="P650" t="n">
        <v>0</v>
      </c>
      <c r="Q650" t="n">
        <v>0</v>
      </c>
      <c r="R650" s="2" t="inlineStr"/>
    </row>
    <row r="651" ht="15" customHeight="1">
      <c r="A651" t="inlineStr">
        <is>
          <t>A 23263-2024</t>
        </is>
      </c>
      <c r="B651" s="1" t="n">
        <v>45453.36854166666</v>
      </c>
      <c r="C651" s="1" t="n">
        <v>46177</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25234-2023</t>
        </is>
      </c>
      <c r="B652" s="1" t="n">
        <v>45086.63194444445</v>
      </c>
      <c r="C652" s="1" t="n">
        <v>46177</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25236-2023</t>
        </is>
      </c>
      <c r="B653" s="1" t="n">
        <v>45086.63334490741</v>
      </c>
      <c r="C653" s="1" t="n">
        <v>46177</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52475-2025</t>
        </is>
      </c>
      <c r="B654" s="1" t="n">
        <v>45954.468125</v>
      </c>
      <c r="C654" s="1" t="n">
        <v>46177</v>
      </c>
      <c r="D654" t="inlineStr">
        <is>
          <t>KALMAR LÄN</t>
        </is>
      </c>
      <c r="E654" t="inlineStr">
        <is>
          <t>VIMMERBY</t>
        </is>
      </c>
      <c r="G654" t="n">
        <v>1.5</v>
      </c>
      <c r="H654" t="n">
        <v>0</v>
      </c>
      <c r="I654" t="n">
        <v>0</v>
      </c>
      <c r="J654" t="n">
        <v>0</v>
      </c>
      <c r="K654" t="n">
        <v>0</v>
      </c>
      <c r="L654" t="n">
        <v>0</v>
      </c>
      <c r="M654" t="n">
        <v>0</v>
      </c>
      <c r="N654" t="n">
        <v>0</v>
      </c>
      <c r="O654" t="n">
        <v>0</v>
      </c>
      <c r="P654" t="n">
        <v>0</v>
      </c>
      <c r="Q654" t="n">
        <v>0</v>
      </c>
      <c r="R654" s="2" t="inlineStr"/>
    </row>
    <row r="655" ht="15" customHeight="1">
      <c r="A655" t="inlineStr">
        <is>
          <t>A 25244-2023</t>
        </is>
      </c>
      <c r="B655" s="1" t="n">
        <v>45086</v>
      </c>
      <c r="C655" s="1" t="n">
        <v>46177</v>
      </c>
      <c r="D655" t="inlineStr">
        <is>
          <t>KALMAR LÄN</t>
        </is>
      </c>
      <c r="E655" t="inlineStr">
        <is>
          <t>VIMMERBY</t>
        </is>
      </c>
      <c r="G655" t="n">
        <v>4.7</v>
      </c>
      <c r="H655" t="n">
        <v>0</v>
      </c>
      <c r="I655" t="n">
        <v>0</v>
      </c>
      <c r="J655" t="n">
        <v>0</v>
      </c>
      <c r="K655" t="n">
        <v>0</v>
      </c>
      <c r="L655" t="n">
        <v>0</v>
      </c>
      <c r="M655" t="n">
        <v>0</v>
      </c>
      <c r="N655" t="n">
        <v>0</v>
      </c>
      <c r="O655" t="n">
        <v>0</v>
      </c>
      <c r="P655" t="n">
        <v>0</v>
      </c>
      <c r="Q655" t="n">
        <v>0</v>
      </c>
      <c r="R655" s="2" t="inlineStr"/>
    </row>
    <row r="656" ht="15" customHeight="1">
      <c r="A656" t="inlineStr">
        <is>
          <t>A 53220-2025</t>
        </is>
      </c>
      <c r="B656" s="1" t="n">
        <v>45958.60146990741</v>
      </c>
      <c r="C656" s="1" t="n">
        <v>46177</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49488-2023</t>
        </is>
      </c>
      <c r="B657" s="1" t="n">
        <v>45211.55472222222</v>
      </c>
      <c r="C657" s="1" t="n">
        <v>46177</v>
      </c>
      <c r="D657" t="inlineStr">
        <is>
          <t>KALMAR LÄN</t>
        </is>
      </c>
      <c r="E657" t="inlineStr">
        <is>
          <t>VIMMERBY</t>
        </is>
      </c>
      <c r="F657" t="inlineStr">
        <is>
          <t>Sveaskog</t>
        </is>
      </c>
      <c r="G657" t="n">
        <v>6.2</v>
      </c>
      <c r="H657" t="n">
        <v>0</v>
      </c>
      <c r="I657" t="n">
        <v>0</v>
      </c>
      <c r="J657" t="n">
        <v>0</v>
      </c>
      <c r="K657" t="n">
        <v>0</v>
      </c>
      <c r="L657" t="n">
        <v>0</v>
      </c>
      <c r="M657" t="n">
        <v>0</v>
      </c>
      <c r="N657" t="n">
        <v>0</v>
      </c>
      <c r="O657" t="n">
        <v>0</v>
      </c>
      <c r="P657" t="n">
        <v>0</v>
      </c>
      <c r="Q657" t="n">
        <v>0</v>
      </c>
      <c r="R657" s="2" t="inlineStr"/>
    </row>
    <row r="658" ht="15" customHeight="1">
      <c r="A658" t="inlineStr">
        <is>
          <t>A 52451-2025</t>
        </is>
      </c>
      <c r="B658" s="1" t="n">
        <v>45954.42326388889</v>
      </c>
      <c r="C658" s="1" t="n">
        <v>46177</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53393-2025</t>
        </is>
      </c>
      <c r="B659" s="1" t="n">
        <v>45959.55284722222</v>
      </c>
      <c r="C659" s="1" t="n">
        <v>46177</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53398-2025</t>
        </is>
      </c>
      <c r="B660" s="1" t="n">
        <v>45959.56247685185</v>
      </c>
      <c r="C660" s="1" t="n">
        <v>46177</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53397-2025</t>
        </is>
      </c>
      <c r="B661" s="1" t="n">
        <v>45959.55918981481</v>
      </c>
      <c r="C661" s="1" t="n">
        <v>46177</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53416-2025</t>
        </is>
      </c>
      <c r="B662" s="1" t="n">
        <v>45959.58387731481</v>
      </c>
      <c r="C662" s="1" t="n">
        <v>46177</v>
      </c>
      <c r="D662" t="inlineStr">
        <is>
          <t>KALMAR LÄN</t>
        </is>
      </c>
      <c r="E662" t="inlineStr">
        <is>
          <t>VIMMERBY</t>
        </is>
      </c>
      <c r="G662" t="n">
        <v>4.4</v>
      </c>
      <c r="H662" t="n">
        <v>0</v>
      </c>
      <c r="I662" t="n">
        <v>0</v>
      </c>
      <c r="J662" t="n">
        <v>0</v>
      </c>
      <c r="K662" t="n">
        <v>0</v>
      </c>
      <c r="L662" t="n">
        <v>0</v>
      </c>
      <c r="M662" t="n">
        <v>0</v>
      </c>
      <c r="N662" t="n">
        <v>0</v>
      </c>
      <c r="O662" t="n">
        <v>0</v>
      </c>
      <c r="P662" t="n">
        <v>0</v>
      </c>
      <c r="Q662" t="n">
        <v>0</v>
      </c>
      <c r="R662" s="2" t="inlineStr"/>
    </row>
    <row r="663" ht="15" customHeight="1">
      <c r="A663" t="inlineStr">
        <is>
          <t>A 23341-2022</t>
        </is>
      </c>
      <c r="B663" s="1" t="n">
        <v>44720.53898148148</v>
      </c>
      <c r="C663" s="1" t="n">
        <v>46177</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59768-2024</t>
        </is>
      </c>
      <c r="B664" s="1" t="n">
        <v>45639.56185185185</v>
      </c>
      <c r="C664" s="1" t="n">
        <v>46177</v>
      </c>
      <c r="D664" t="inlineStr">
        <is>
          <t>KALMAR LÄN</t>
        </is>
      </c>
      <c r="E664" t="inlineStr">
        <is>
          <t>VIMMERBY</t>
        </is>
      </c>
      <c r="G664" t="n">
        <v>5.9</v>
      </c>
      <c r="H664" t="n">
        <v>0</v>
      </c>
      <c r="I664" t="n">
        <v>0</v>
      </c>
      <c r="J664" t="n">
        <v>0</v>
      </c>
      <c r="K664" t="n">
        <v>0</v>
      </c>
      <c r="L664" t="n">
        <v>0</v>
      </c>
      <c r="M664" t="n">
        <v>0</v>
      </c>
      <c r="N664" t="n">
        <v>0</v>
      </c>
      <c r="O664" t="n">
        <v>0</v>
      </c>
      <c r="P664" t="n">
        <v>0</v>
      </c>
      <c r="Q664" t="n">
        <v>0</v>
      </c>
      <c r="R664" s="2" t="inlineStr"/>
    </row>
    <row r="665" ht="15" customHeight="1">
      <c r="A665" t="inlineStr">
        <is>
          <t>A 53413-2025</t>
        </is>
      </c>
      <c r="B665" s="1" t="n">
        <v>45959.5787037037</v>
      </c>
      <c r="C665" s="1" t="n">
        <v>46177</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72067-2021</t>
        </is>
      </c>
      <c r="B666" s="1" t="n">
        <v>44540</v>
      </c>
      <c r="C666" s="1" t="n">
        <v>46177</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71793-2021</t>
        </is>
      </c>
      <c r="B667" s="1" t="n">
        <v>44539</v>
      </c>
      <c r="C667" s="1" t="n">
        <v>46177</v>
      </c>
      <c r="D667" t="inlineStr">
        <is>
          <t>KALMAR LÄN</t>
        </is>
      </c>
      <c r="E667" t="inlineStr">
        <is>
          <t>VIMMERBY</t>
        </is>
      </c>
      <c r="G667" t="n">
        <v>2.7</v>
      </c>
      <c r="H667" t="n">
        <v>0</v>
      </c>
      <c r="I667" t="n">
        <v>0</v>
      </c>
      <c r="J667" t="n">
        <v>0</v>
      </c>
      <c r="K667" t="n">
        <v>0</v>
      </c>
      <c r="L667" t="n">
        <v>0</v>
      </c>
      <c r="M667" t="n">
        <v>0</v>
      </c>
      <c r="N667" t="n">
        <v>0</v>
      </c>
      <c r="O667" t="n">
        <v>0</v>
      </c>
      <c r="P667" t="n">
        <v>0</v>
      </c>
      <c r="Q667" t="n">
        <v>0</v>
      </c>
      <c r="R667" s="2" t="inlineStr"/>
    </row>
    <row r="668" ht="15" customHeight="1">
      <c r="A668" t="inlineStr">
        <is>
          <t>A 41158-2023</t>
        </is>
      </c>
      <c r="B668" s="1" t="n">
        <v>45174.31395833333</v>
      </c>
      <c r="C668" s="1" t="n">
        <v>46177</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22198-2024</t>
        </is>
      </c>
      <c r="B669" s="1" t="n">
        <v>45446.36865740741</v>
      </c>
      <c r="C669" s="1" t="n">
        <v>46177</v>
      </c>
      <c r="D669" t="inlineStr">
        <is>
          <t>KALMAR LÄN</t>
        </is>
      </c>
      <c r="E669" t="inlineStr">
        <is>
          <t>VIMMERBY</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73938-2021</t>
        </is>
      </c>
      <c r="B670" s="1" t="n">
        <v>44553</v>
      </c>
      <c r="C670" s="1" t="n">
        <v>46177</v>
      </c>
      <c r="D670" t="inlineStr">
        <is>
          <t>KALMAR LÄN</t>
        </is>
      </c>
      <c r="E670" t="inlineStr">
        <is>
          <t>VIMMERBY</t>
        </is>
      </c>
      <c r="G670" t="n">
        <v>3.2</v>
      </c>
      <c r="H670" t="n">
        <v>0</v>
      </c>
      <c r="I670" t="n">
        <v>0</v>
      </c>
      <c r="J670" t="n">
        <v>0</v>
      </c>
      <c r="K670" t="n">
        <v>0</v>
      </c>
      <c r="L670" t="n">
        <v>0</v>
      </c>
      <c r="M670" t="n">
        <v>0</v>
      </c>
      <c r="N670" t="n">
        <v>0</v>
      </c>
      <c r="O670" t="n">
        <v>0</v>
      </c>
      <c r="P670" t="n">
        <v>0</v>
      </c>
      <c r="Q670" t="n">
        <v>0</v>
      </c>
      <c r="R670" s="2" t="inlineStr"/>
    </row>
    <row r="671" ht="15" customHeight="1">
      <c r="A671" t="inlineStr">
        <is>
          <t>A 9511-2023</t>
        </is>
      </c>
      <c r="B671" s="1" t="n">
        <v>44981.64725694444</v>
      </c>
      <c r="C671" s="1" t="n">
        <v>46177</v>
      </c>
      <c r="D671" t="inlineStr">
        <is>
          <t>KALMAR LÄN</t>
        </is>
      </c>
      <c r="E671" t="inlineStr">
        <is>
          <t>VIMMERBY</t>
        </is>
      </c>
      <c r="G671" t="n">
        <v>3.5</v>
      </c>
      <c r="H671" t="n">
        <v>0</v>
      </c>
      <c r="I671" t="n">
        <v>0</v>
      </c>
      <c r="J671" t="n">
        <v>0</v>
      </c>
      <c r="K671" t="n">
        <v>0</v>
      </c>
      <c r="L671" t="n">
        <v>0</v>
      </c>
      <c r="M671" t="n">
        <v>0</v>
      </c>
      <c r="N671" t="n">
        <v>0</v>
      </c>
      <c r="O671" t="n">
        <v>0</v>
      </c>
      <c r="P671" t="n">
        <v>0</v>
      </c>
      <c r="Q671" t="n">
        <v>0</v>
      </c>
      <c r="R671" s="2" t="inlineStr"/>
    </row>
    <row r="672" ht="15" customHeight="1">
      <c r="A672" t="inlineStr">
        <is>
          <t>A 6069-2023</t>
        </is>
      </c>
      <c r="B672" s="1" t="n">
        <v>44964.5115162037</v>
      </c>
      <c r="C672" s="1" t="n">
        <v>46177</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53396-2025</t>
        </is>
      </c>
      <c r="B673" s="1" t="n">
        <v>45959.55577546296</v>
      </c>
      <c r="C673" s="1" t="n">
        <v>46177</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53788-2025</t>
        </is>
      </c>
      <c r="B674" s="1" t="n">
        <v>45960</v>
      </c>
      <c r="C674" s="1" t="n">
        <v>46177</v>
      </c>
      <c r="D674" t="inlineStr">
        <is>
          <t>KALMAR LÄN</t>
        </is>
      </c>
      <c r="E674" t="inlineStr">
        <is>
          <t>VIMMERBY</t>
        </is>
      </c>
      <c r="F674" t="inlineStr">
        <is>
          <t>Övriga statliga verk och myndigheter</t>
        </is>
      </c>
      <c r="G674" t="n">
        <v>6.3</v>
      </c>
      <c r="H674" t="n">
        <v>0</v>
      </c>
      <c r="I674" t="n">
        <v>0</v>
      </c>
      <c r="J674" t="n">
        <v>0</v>
      </c>
      <c r="K674" t="n">
        <v>0</v>
      </c>
      <c r="L674" t="n">
        <v>0</v>
      </c>
      <c r="M674" t="n">
        <v>0</v>
      </c>
      <c r="N674" t="n">
        <v>0</v>
      </c>
      <c r="O674" t="n">
        <v>0</v>
      </c>
      <c r="P674" t="n">
        <v>0</v>
      </c>
      <c r="Q674" t="n">
        <v>0</v>
      </c>
      <c r="R674" s="2" t="inlineStr"/>
    </row>
    <row r="675" ht="15" customHeight="1">
      <c r="A675" t="inlineStr">
        <is>
          <t>A 53927-2025</t>
        </is>
      </c>
      <c r="B675" s="1" t="n">
        <v>45961.46740740741</v>
      </c>
      <c r="C675" s="1" t="n">
        <v>46177</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53933-2025</t>
        </is>
      </c>
      <c r="B676" s="1" t="n">
        <v>45961.47650462963</v>
      </c>
      <c r="C676" s="1" t="n">
        <v>46177</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54236-2025</t>
        </is>
      </c>
      <c r="B677" s="1" t="n">
        <v>45964.62671296296</v>
      </c>
      <c r="C677" s="1" t="n">
        <v>46177</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53923-2025</t>
        </is>
      </c>
      <c r="B678" s="1" t="n">
        <v>45961.4569212963</v>
      </c>
      <c r="C678" s="1" t="n">
        <v>46177</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53920-2025</t>
        </is>
      </c>
      <c r="B679" s="1" t="n">
        <v>45961.44951388889</v>
      </c>
      <c r="C679" s="1" t="n">
        <v>46177</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54234-2025</t>
        </is>
      </c>
      <c r="B680" s="1" t="n">
        <v>45964.62486111111</v>
      </c>
      <c r="C680" s="1" t="n">
        <v>46177</v>
      </c>
      <c r="D680" t="inlineStr">
        <is>
          <t>KALMAR LÄN</t>
        </is>
      </c>
      <c r="E680" t="inlineStr">
        <is>
          <t>VIMMERBY</t>
        </is>
      </c>
      <c r="G680" t="n">
        <v>4.1</v>
      </c>
      <c r="H680" t="n">
        <v>0</v>
      </c>
      <c r="I680" t="n">
        <v>0</v>
      </c>
      <c r="J680" t="n">
        <v>0</v>
      </c>
      <c r="K680" t="n">
        <v>0</v>
      </c>
      <c r="L680" t="n">
        <v>0</v>
      </c>
      <c r="M680" t="n">
        <v>0</v>
      </c>
      <c r="N680" t="n">
        <v>0</v>
      </c>
      <c r="O680" t="n">
        <v>0</v>
      </c>
      <c r="P680" t="n">
        <v>0</v>
      </c>
      <c r="Q680" t="n">
        <v>0</v>
      </c>
      <c r="R680" s="2" t="inlineStr"/>
    </row>
    <row r="681" ht="15" customHeight="1">
      <c r="A681" t="inlineStr">
        <is>
          <t>A 50995-2022</t>
        </is>
      </c>
      <c r="B681" s="1" t="n">
        <v>44867</v>
      </c>
      <c r="C681" s="1" t="n">
        <v>46177</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53789-2025</t>
        </is>
      </c>
      <c r="B682" s="1" t="n">
        <v>45960</v>
      </c>
      <c r="C682" s="1" t="n">
        <v>46177</v>
      </c>
      <c r="D682" t="inlineStr">
        <is>
          <t>KALMAR LÄN</t>
        </is>
      </c>
      <c r="E682" t="inlineStr">
        <is>
          <t>VIMMERBY</t>
        </is>
      </c>
      <c r="F682" t="inlineStr">
        <is>
          <t>Övriga statliga verk och myndigheter</t>
        </is>
      </c>
      <c r="G682" t="n">
        <v>1.6</v>
      </c>
      <c r="H682" t="n">
        <v>0</v>
      </c>
      <c r="I682" t="n">
        <v>0</v>
      </c>
      <c r="J682" t="n">
        <v>0</v>
      </c>
      <c r="K682" t="n">
        <v>0</v>
      </c>
      <c r="L682" t="n">
        <v>0</v>
      </c>
      <c r="M682" t="n">
        <v>0</v>
      </c>
      <c r="N682" t="n">
        <v>0</v>
      </c>
      <c r="O682" t="n">
        <v>0</v>
      </c>
      <c r="P682" t="n">
        <v>0</v>
      </c>
      <c r="Q682" t="n">
        <v>0</v>
      </c>
      <c r="R682" s="2" t="inlineStr"/>
    </row>
    <row r="683" ht="15" customHeight="1">
      <c r="A683" t="inlineStr">
        <is>
          <t>A 27122-2023</t>
        </is>
      </c>
      <c r="B683" s="1" t="n">
        <v>45096.45247685185</v>
      </c>
      <c r="C683" s="1" t="n">
        <v>46177</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30402-2023</t>
        </is>
      </c>
      <c r="B684" s="1" t="n">
        <v>45111.48395833333</v>
      </c>
      <c r="C684" s="1" t="n">
        <v>46177</v>
      </c>
      <c r="D684" t="inlineStr">
        <is>
          <t>KALMAR LÄN</t>
        </is>
      </c>
      <c r="E684" t="inlineStr">
        <is>
          <t>VIMMERBY</t>
        </is>
      </c>
      <c r="G684" t="n">
        <v>0.7</v>
      </c>
      <c r="H684" t="n">
        <v>0</v>
      </c>
      <c r="I684" t="n">
        <v>0</v>
      </c>
      <c r="J684" t="n">
        <v>0</v>
      </c>
      <c r="K684" t="n">
        <v>0</v>
      </c>
      <c r="L684" t="n">
        <v>0</v>
      </c>
      <c r="M684" t="n">
        <v>0</v>
      </c>
      <c r="N684" t="n">
        <v>0</v>
      </c>
      <c r="O684" t="n">
        <v>0</v>
      </c>
      <c r="P684" t="n">
        <v>0</v>
      </c>
      <c r="Q684" t="n">
        <v>0</v>
      </c>
      <c r="R684" s="2" t="inlineStr"/>
    </row>
    <row r="685" ht="15" customHeight="1">
      <c r="A685" t="inlineStr">
        <is>
          <t>A 34205-2023</t>
        </is>
      </c>
      <c r="B685" s="1" t="n">
        <v>45138</v>
      </c>
      <c r="C685" s="1" t="n">
        <v>46177</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53903-2025</t>
        </is>
      </c>
      <c r="B686" s="1" t="n">
        <v>45961.43738425926</v>
      </c>
      <c r="C686" s="1" t="n">
        <v>46177</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54737-2025</t>
        </is>
      </c>
      <c r="B687" s="1" t="n">
        <v>45966.56826388889</v>
      </c>
      <c r="C687" s="1" t="n">
        <v>46177</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57091-2022</t>
        </is>
      </c>
      <c r="B688" s="1" t="n">
        <v>44895.46524305556</v>
      </c>
      <c r="C688" s="1" t="n">
        <v>46177</v>
      </c>
      <c r="D688" t="inlineStr">
        <is>
          <t>KALMAR LÄN</t>
        </is>
      </c>
      <c r="E688" t="inlineStr">
        <is>
          <t>VIMMERBY</t>
        </is>
      </c>
      <c r="G688" t="n">
        <v>2.6</v>
      </c>
      <c r="H688" t="n">
        <v>0</v>
      </c>
      <c r="I688" t="n">
        <v>0</v>
      </c>
      <c r="J688" t="n">
        <v>0</v>
      </c>
      <c r="K688" t="n">
        <v>0</v>
      </c>
      <c r="L688" t="n">
        <v>0</v>
      </c>
      <c r="M688" t="n">
        <v>0</v>
      </c>
      <c r="N688" t="n">
        <v>0</v>
      </c>
      <c r="O688" t="n">
        <v>0</v>
      </c>
      <c r="P688" t="n">
        <v>0</v>
      </c>
      <c r="Q688" t="n">
        <v>0</v>
      </c>
      <c r="R688" s="2" t="inlineStr"/>
    </row>
    <row r="689" ht="15" customHeight="1">
      <c r="A689" t="inlineStr">
        <is>
          <t>A 47842-2024</t>
        </is>
      </c>
      <c r="B689" s="1" t="n">
        <v>45588.65545138889</v>
      </c>
      <c r="C689" s="1" t="n">
        <v>46177</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6857-2023</t>
        </is>
      </c>
      <c r="B690" s="1" t="n">
        <v>44967.45122685185</v>
      </c>
      <c r="C690" s="1" t="n">
        <v>46177</v>
      </c>
      <c r="D690" t="inlineStr">
        <is>
          <t>KALMAR LÄN</t>
        </is>
      </c>
      <c r="E690" t="inlineStr">
        <is>
          <t>VIMMERBY</t>
        </is>
      </c>
      <c r="G690" t="n">
        <v>2.1</v>
      </c>
      <c r="H690" t="n">
        <v>0</v>
      </c>
      <c r="I690" t="n">
        <v>0</v>
      </c>
      <c r="J690" t="n">
        <v>0</v>
      </c>
      <c r="K690" t="n">
        <v>0</v>
      </c>
      <c r="L690" t="n">
        <v>0</v>
      </c>
      <c r="M690" t="n">
        <v>0</v>
      </c>
      <c r="N690" t="n">
        <v>0</v>
      </c>
      <c r="O690" t="n">
        <v>0</v>
      </c>
      <c r="P690" t="n">
        <v>0</v>
      </c>
      <c r="Q690" t="n">
        <v>0</v>
      </c>
      <c r="R690" s="2" t="inlineStr"/>
    </row>
    <row r="691" ht="15" customHeight="1">
      <c r="A691" t="inlineStr">
        <is>
          <t>A 2604-2025</t>
        </is>
      </c>
      <c r="B691" s="1" t="n">
        <v>45674.74094907408</v>
      </c>
      <c r="C691" s="1" t="n">
        <v>46177</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54813-2025</t>
        </is>
      </c>
      <c r="B692" s="1" t="n">
        <v>45966.64881944445</v>
      </c>
      <c r="C692" s="1" t="n">
        <v>46177</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46224-2024</t>
        </is>
      </c>
      <c r="B693" s="1" t="n">
        <v>45581.57016203704</v>
      </c>
      <c r="C693" s="1" t="n">
        <v>46177</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6807-2025</t>
        </is>
      </c>
      <c r="B694" s="1" t="n">
        <v>45700.68672453704</v>
      </c>
      <c r="C694" s="1" t="n">
        <v>46177</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38851-2023</t>
        </is>
      </c>
      <c r="B695" s="1" t="n">
        <v>45163</v>
      </c>
      <c r="C695" s="1" t="n">
        <v>46177</v>
      </c>
      <c r="D695" t="inlineStr">
        <is>
          <t>KALMAR LÄN</t>
        </is>
      </c>
      <c r="E695" t="inlineStr">
        <is>
          <t>VIMMERBY</t>
        </is>
      </c>
      <c r="G695" t="n">
        <v>4.3</v>
      </c>
      <c r="H695" t="n">
        <v>0</v>
      </c>
      <c r="I695" t="n">
        <v>0</v>
      </c>
      <c r="J695" t="n">
        <v>0</v>
      </c>
      <c r="K695" t="n">
        <v>0</v>
      </c>
      <c r="L695" t="n">
        <v>0</v>
      </c>
      <c r="M695" t="n">
        <v>0</v>
      </c>
      <c r="N695" t="n">
        <v>0</v>
      </c>
      <c r="O695" t="n">
        <v>0</v>
      </c>
      <c r="P695" t="n">
        <v>0</v>
      </c>
      <c r="Q695" t="n">
        <v>0</v>
      </c>
      <c r="R695" s="2" t="inlineStr"/>
    </row>
    <row r="696" ht="15" customHeight="1">
      <c r="A696" t="inlineStr">
        <is>
          <t>A 29013-2024</t>
        </is>
      </c>
      <c r="B696" s="1" t="n">
        <v>45481.55984953704</v>
      </c>
      <c r="C696" s="1" t="n">
        <v>46177</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23252-2024</t>
        </is>
      </c>
      <c r="B697" s="1" t="n">
        <v>45453.36067129629</v>
      </c>
      <c r="C697" s="1" t="n">
        <v>46177</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37028-2024</t>
        </is>
      </c>
      <c r="B698" s="1" t="n">
        <v>45539.38744212963</v>
      </c>
      <c r="C698" s="1" t="n">
        <v>46177</v>
      </c>
      <c r="D698" t="inlineStr">
        <is>
          <t>KALMAR LÄN</t>
        </is>
      </c>
      <c r="E698" t="inlineStr">
        <is>
          <t>VIMMERBY</t>
        </is>
      </c>
      <c r="G698" t="n">
        <v>5.2</v>
      </c>
      <c r="H698" t="n">
        <v>0</v>
      </c>
      <c r="I698" t="n">
        <v>0</v>
      </c>
      <c r="J698" t="n">
        <v>0</v>
      </c>
      <c r="K698" t="n">
        <v>0</v>
      </c>
      <c r="L698" t="n">
        <v>0</v>
      </c>
      <c r="M698" t="n">
        <v>0</v>
      </c>
      <c r="N698" t="n">
        <v>0</v>
      </c>
      <c r="O698" t="n">
        <v>0</v>
      </c>
      <c r="P698" t="n">
        <v>0</v>
      </c>
      <c r="Q698" t="n">
        <v>0</v>
      </c>
      <c r="R698" s="2" t="inlineStr"/>
    </row>
    <row r="699" ht="15" customHeight="1">
      <c r="A699" t="inlineStr">
        <is>
          <t>A 29727-2025</t>
        </is>
      </c>
      <c r="B699" s="1" t="n">
        <v>45825.5796875</v>
      </c>
      <c r="C699" s="1" t="n">
        <v>46177</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29737-2025</t>
        </is>
      </c>
      <c r="B700" s="1" t="n">
        <v>45825.58672453704</v>
      </c>
      <c r="C700" s="1" t="n">
        <v>46177</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5792-2023</t>
        </is>
      </c>
      <c r="B701" s="1" t="n">
        <v>44963.44769675926</v>
      </c>
      <c r="C701" s="1" t="n">
        <v>46177</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2797-2023</t>
        </is>
      </c>
      <c r="B702" s="1" t="n">
        <v>44944.71386574074</v>
      </c>
      <c r="C702" s="1" t="n">
        <v>46177</v>
      </c>
      <c r="D702" t="inlineStr">
        <is>
          <t>KALMAR LÄN</t>
        </is>
      </c>
      <c r="E702" t="inlineStr">
        <is>
          <t>VIMMERBY</t>
        </is>
      </c>
      <c r="G702" t="n">
        <v>3.4</v>
      </c>
      <c r="H702" t="n">
        <v>0</v>
      </c>
      <c r="I702" t="n">
        <v>0</v>
      </c>
      <c r="J702" t="n">
        <v>0</v>
      </c>
      <c r="K702" t="n">
        <v>0</v>
      </c>
      <c r="L702" t="n">
        <v>0</v>
      </c>
      <c r="M702" t="n">
        <v>0</v>
      </c>
      <c r="N702" t="n">
        <v>0</v>
      </c>
      <c r="O702" t="n">
        <v>0</v>
      </c>
      <c r="P702" t="n">
        <v>0</v>
      </c>
      <c r="Q702" t="n">
        <v>0</v>
      </c>
      <c r="R702" s="2" t="inlineStr"/>
    </row>
    <row r="703" ht="15" customHeight="1">
      <c r="A703" t="inlineStr">
        <is>
          <t>A 2799-2023</t>
        </is>
      </c>
      <c r="B703" s="1" t="n">
        <v>44944.72100694444</v>
      </c>
      <c r="C703" s="1" t="n">
        <v>46177</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6220-2025</t>
        </is>
      </c>
      <c r="B704" s="1" t="n">
        <v>45698.53725694444</v>
      </c>
      <c r="C704" s="1" t="n">
        <v>46177</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55385-2025</t>
        </is>
      </c>
      <c r="B705" s="1" t="n">
        <v>45971.43350694444</v>
      </c>
      <c r="C705" s="1" t="n">
        <v>46177</v>
      </c>
      <c r="D705" t="inlineStr">
        <is>
          <t>KALMAR LÄN</t>
        </is>
      </c>
      <c r="E705" t="inlineStr">
        <is>
          <t>VIMMERBY</t>
        </is>
      </c>
      <c r="G705" t="n">
        <v>5</v>
      </c>
      <c r="H705" t="n">
        <v>0</v>
      </c>
      <c r="I705" t="n">
        <v>0</v>
      </c>
      <c r="J705" t="n">
        <v>0</v>
      </c>
      <c r="K705" t="n">
        <v>0</v>
      </c>
      <c r="L705" t="n">
        <v>0</v>
      </c>
      <c r="M705" t="n">
        <v>0</v>
      </c>
      <c r="N705" t="n">
        <v>0</v>
      </c>
      <c r="O705" t="n">
        <v>0</v>
      </c>
      <c r="P705" t="n">
        <v>0</v>
      </c>
      <c r="Q705" t="n">
        <v>0</v>
      </c>
      <c r="R705" s="2" t="inlineStr"/>
    </row>
    <row r="706" ht="15" customHeight="1">
      <c r="A706" t="inlineStr">
        <is>
          <t>A 58278-2023</t>
        </is>
      </c>
      <c r="B706" s="1" t="n">
        <v>45250.5278587963</v>
      </c>
      <c r="C706" s="1" t="n">
        <v>46177</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36259-2022</t>
        </is>
      </c>
      <c r="B707" s="1" t="n">
        <v>44803.59118055556</v>
      </c>
      <c r="C707" s="1" t="n">
        <v>46177</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36526-2023</t>
        </is>
      </c>
      <c r="B708" s="1" t="n">
        <v>45153.32778935185</v>
      </c>
      <c r="C708" s="1" t="n">
        <v>46177</v>
      </c>
      <c r="D708" t="inlineStr">
        <is>
          <t>KALMAR LÄN</t>
        </is>
      </c>
      <c r="E708" t="inlineStr">
        <is>
          <t>VIMMERBY</t>
        </is>
      </c>
      <c r="G708" t="n">
        <v>2.7</v>
      </c>
      <c r="H708" t="n">
        <v>0</v>
      </c>
      <c r="I708" t="n">
        <v>0</v>
      </c>
      <c r="J708" t="n">
        <v>0</v>
      </c>
      <c r="K708" t="n">
        <v>0</v>
      </c>
      <c r="L708" t="n">
        <v>0</v>
      </c>
      <c r="M708" t="n">
        <v>0</v>
      </c>
      <c r="N708" t="n">
        <v>0</v>
      </c>
      <c r="O708" t="n">
        <v>0</v>
      </c>
      <c r="P708" t="n">
        <v>0</v>
      </c>
      <c r="Q708" t="n">
        <v>0</v>
      </c>
      <c r="R708" s="2" t="inlineStr"/>
    </row>
    <row r="709" ht="15" customHeight="1">
      <c r="A709" t="inlineStr">
        <is>
          <t>A 17988-2025</t>
        </is>
      </c>
      <c r="B709" s="1" t="n">
        <v>45761.39600694444</v>
      </c>
      <c r="C709" s="1" t="n">
        <v>46177</v>
      </c>
      <c r="D709" t="inlineStr">
        <is>
          <t>KALMAR LÄN</t>
        </is>
      </c>
      <c r="E709" t="inlineStr">
        <is>
          <t>VIMMERBY</t>
        </is>
      </c>
      <c r="G709" t="n">
        <v>2.8</v>
      </c>
      <c r="H709" t="n">
        <v>0</v>
      </c>
      <c r="I709" t="n">
        <v>0</v>
      </c>
      <c r="J709" t="n">
        <v>0</v>
      </c>
      <c r="K709" t="n">
        <v>0</v>
      </c>
      <c r="L709" t="n">
        <v>0</v>
      </c>
      <c r="M709" t="n">
        <v>0</v>
      </c>
      <c r="N709" t="n">
        <v>0</v>
      </c>
      <c r="O709" t="n">
        <v>0</v>
      </c>
      <c r="P709" t="n">
        <v>0</v>
      </c>
      <c r="Q709" t="n">
        <v>0</v>
      </c>
      <c r="R709" s="2" t="inlineStr"/>
    </row>
    <row r="710" ht="15" customHeight="1">
      <c r="A710" t="inlineStr">
        <is>
          <t>A 55602-2025</t>
        </is>
      </c>
      <c r="B710" s="1" t="n">
        <v>45971</v>
      </c>
      <c r="C710" s="1" t="n">
        <v>46177</v>
      </c>
      <c r="D710" t="inlineStr">
        <is>
          <t>KALMAR LÄN</t>
        </is>
      </c>
      <c r="E710" t="inlineStr">
        <is>
          <t>VIMMERBY</t>
        </is>
      </c>
      <c r="G710" t="n">
        <v>2.7</v>
      </c>
      <c r="H710" t="n">
        <v>0</v>
      </c>
      <c r="I710" t="n">
        <v>0</v>
      </c>
      <c r="J710" t="n">
        <v>0</v>
      </c>
      <c r="K710" t="n">
        <v>0</v>
      </c>
      <c r="L710" t="n">
        <v>0</v>
      </c>
      <c r="M710" t="n">
        <v>0</v>
      </c>
      <c r="N710" t="n">
        <v>0</v>
      </c>
      <c r="O710" t="n">
        <v>0</v>
      </c>
      <c r="P710" t="n">
        <v>0</v>
      </c>
      <c r="Q710" t="n">
        <v>0</v>
      </c>
      <c r="R710" s="2" t="inlineStr"/>
    </row>
    <row r="711" ht="15" customHeight="1">
      <c r="A711" t="inlineStr">
        <is>
          <t>A 55603-2025</t>
        </is>
      </c>
      <c r="B711" s="1" t="n">
        <v>45971</v>
      </c>
      <c r="C711" s="1" t="n">
        <v>46177</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55605-2025</t>
        </is>
      </c>
      <c r="B712" s="1" t="n">
        <v>45971</v>
      </c>
      <c r="C712" s="1" t="n">
        <v>46177</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29350-2023</t>
        </is>
      </c>
      <c r="B713" s="1" t="n">
        <v>45106</v>
      </c>
      <c r="C713" s="1" t="n">
        <v>46177</v>
      </c>
      <c r="D713" t="inlineStr">
        <is>
          <t>KALMAR LÄN</t>
        </is>
      </c>
      <c r="E713" t="inlineStr">
        <is>
          <t>VIMMERBY</t>
        </is>
      </c>
      <c r="G713" t="n">
        <v>0.8</v>
      </c>
      <c r="H713" t="n">
        <v>0</v>
      </c>
      <c r="I713" t="n">
        <v>0</v>
      </c>
      <c r="J713" t="n">
        <v>0</v>
      </c>
      <c r="K713" t="n">
        <v>0</v>
      </c>
      <c r="L713" t="n">
        <v>0</v>
      </c>
      <c r="M713" t="n">
        <v>0</v>
      </c>
      <c r="N713" t="n">
        <v>0</v>
      </c>
      <c r="O713" t="n">
        <v>0</v>
      </c>
      <c r="P713" t="n">
        <v>0</v>
      </c>
      <c r="Q713" t="n">
        <v>0</v>
      </c>
      <c r="R713" s="2" t="inlineStr"/>
    </row>
    <row r="714" ht="15" customHeight="1">
      <c r="A714" t="inlineStr">
        <is>
          <t>A 29351-2023</t>
        </is>
      </c>
      <c r="B714" s="1" t="n">
        <v>45106.2610300926</v>
      </c>
      <c r="C714" s="1" t="n">
        <v>46177</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6474-2025</t>
        </is>
      </c>
      <c r="B715" s="1" t="n">
        <v>45699.60055555555</v>
      </c>
      <c r="C715" s="1" t="n">
        <v>46177</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30293-2025</t>
        </is>
      </c>
      <c r="B716" s="1" t="n">
        <v>45827</v>
      </c>
      <c r="C716" s="1" t="n">
        <v>46177</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46177</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30290-2025</t>
        </is>
      </c>
      <c r="B718" s="1" t="n">
        <v>45827</v>
      </c>
      <c r="C718" s="1" t="n">
        <v>46177</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57555-2024</t>
        </is>
      </c>
      <c r="B719" s="1" t="n">
        <v>45630.45069444444</v>
      </c>
      <c r="C719" s="1" t="n">
        <v>46177</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30850-2025</t>
        </is>
      </c>
      <c r="B720" s="1" t="n">
        <v>45831</v>
      </c>
      <c r="C720" s="1" t="n">
        <v>46177</v>
      </c>
      <c r="D720" t="inlineStr">
        <is>
          <t>KALMAR LÄN</t>
        </is>
      </c>
      <c r="E720" t="inlineStr">
        <is>
          <t>VIMMERBY</t>
        </is>
      </c>
      <c r="G720" t="n">
        <v>2.7</v>
      </c>
      <c r="H720" t="n">
        <v>0</v>
      </c>
      <c r="I720" t="n">
        <v>0</v>
      </c>
      <c r="J720" t="n">
        <v>0</v>
      </c>
      <c r="K720" t="n">
        <v>0</v>
      </c>
      <c r="L720" t="n">
        <v>0</v>
      </c>
      <c r="M720" t="n">
        <v>0</v>
      </c>
      <c r="N720" t="n">
        <v>0</v>
      </c>
      <c r="O720" t="n">
        <v>0</v>
      </c>
      <c r="P720" t="n">
        <v>0</v>
      </c>
      <c r="Q720" t="n">
        <v>0</v>
      </c>
      <c r="R720" s="2" t="inlineStr"/>
    </row>
    <row r="721" ht="15" customHeight="1">
      <c r="A721" t="inlineStr">
        <is>
          <t>A 52279-2023</t>
        </is>
      </c>
      <c r="B721" s="1" t="n">
        <v>45224</v>
      </c>
      <c r="C721" s="1" t="n">
        <v>46177</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52324-2023</t>
        </is>
      </c>
      <c r="B722" s="1" t="n">
        <v>45224.64659722222</v>
      </c>
      <c r="C722" s="1" t="n">
        <v>46177</v>
      </c>
      <c r="D722" t="inlineStr">
        <is>
          <t>KALMAR LÄN</t>
        </is>
      </c>
      <c r="E722" t="inlineStr">
        <is>
          <t>VIMMERBY</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30882-2025</t>
        </is>
      </c>
      <c r="B723" s="1" t="n">
        <v>45832.34540509259</v>
      </c>
      <c r="C723" s="1" t="n">
        <v>46177</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46177</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32639-2023</t>
        </is>
      </c>
      <c r="B725" s="1" t="n">
        <v>45121.5965162037</v>
      </c>
      <c r="C725" s="1" t="n">
        <v>46177</v>
      </c>
      <c r="D725" t="inlineStr">
        <is>
          <t>KALMAR LÄN</t>
        </is>
      </c>
      <c r="E725" t="inlineStr">
        <is>
          <t>VIMMERBY</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32642-2023</t>
        </is>
      </c>
      <c r="B726" s="1" t="n">
        <v>45121.59954861111</v>
      </c>
      <c r="C726" s="1" t="n">
        <v>46177</v>
      </c>
      <c r="D726" t="inlineStr">
        <is>
          <t>KALMAR LÄN</t>
        </is>
      </c>
      <c r="E726" t="inlineStr">
        <is>
          <t>VIMMERBY</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32651-2023</t>
        </is>
      </c>
      <c r="B727" s="1" t="n">
        <v>45121.6096875</v>
      </c>
      <c r="C727" s="1" t="n">
        <v>46177</v>
      </c>
      <c r="D727" t="inlineStr">
        <is>
          <t>KALMAR LÄN</t>
        </is>
      </c>
      <c r="E727" t="inlineStr">
        <is>
          <t>VIMMERBY</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40730-2024</t>
        </is>
      </c>
      <c r="B728" s="1" t="n">
        <v>45558.44914351852</v>
      </c>
      <c r="C728" s="1" t="n">
        <v>46177</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31552-2025</t>
        </is>
      </c>
      <c r="B729" s="1" t="n">
        <v>45833.64563657407</v>
      </c>
      <c r="C729" s="1" t="n">
        <v>46177</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31555-2025</t>
        </is>
      </c>
      <c r="B730" s="1" t="n">
        <v>45833.64814814815</v>
      </c>
      <c r="C730" s="1" t="n">
        <v>46177</v>
      </c>
      <c r="D730" t="inlineStr">
        <is>
          <t>KALMAR LÄN</t>
        </is>
      </c>
      <c r="E730" t="inlineStr">
        <is>
          <t>VIMMERBY</t>
        </is>
      </c>
      <c r="G730" t="n">
        <v>1.8</v>
      </c>
      <c r="H730" t="n">
        <v>0</v>
      </c>
      <c r="I730" t="n">
        <v>0</v>
      </c>
      <c r="J730" t="n">
        <v>0</v>
      </c>
      <c r="K730" t="n">
        <v>0</v>
      </c>
      <c r="L730" t="n">
        <v>0</v>
      </c>
      <c r="M730" t="n">
        <v>0</v>
      </c>
      <c r="N730" t="n">
        <v>0</v>
      </c>
      <c r="O730" t="n">
        <v>0</v>
      </c>
      <c r="P730" t="n">
        <v>0</v>
      </c>
      <c r="Q730" t="n">
        <v>0</v>
      </c>
      <c r="R730" s="2" t="inlineStr"/>
    </row>
    <row r="731" ht="15" customHeight="1">
      <c r="A731" t="inlineStr">
        <is>
          <t>A 9643-2023</t>
        </is>
      </c>
      <c r="B731" s="1" t="n">
        <v>44984</v>
      </c>
      <c r="C731" s="1" t="n">
        <v>46177</v>
      </c>
      <c r="D731" t="inlineStr">
        <is>
          <t>KALMAR LÄN</t>
        </is>
      </c>
      <c r="E731" t="inlineStr">
        <is>
          <t>VIMMERBY</t>
        </is>
      </c>
      <c r="G731" t="n">
        <v>2</v>
      </c>
      <c r="H731" t="n">
        <v>0</v>
      </c>
      <c r="I731" t="n">
        <v>0</v>
      </c>
      <c r="J731" t="n">
        <v>0</v>
      </c>
      <c r="K731" t="n">
        <v>0</v>
      </c>
      <c r="L731" t="n">
        <v>0</v>
      </c>
      <c r="M731" t="n">
        <v>0</v>
      </c>
      <c r="N731" t="n">
        <v>0</v>
      </c>
      <c r="O731" t="n">
        <v>0</v>
      </c>
      <c r="P731" t="n">
        <v>0</v>
      </c>
      <c r="Q731" t="n">
        <v>0</v>
      </c>
      <c r="R731" s="2" t="inlineStr"/>
    </row>
    <row r="732" ht="15" customHeight="1">
      <c r="A732" t="inlineStr">
        <is>
          <t>A 56213-2024</t>
        </is>
      </c>
      <c r="B732" s="1" t="n">
        <v>45624.60141203704</v>
      </c>
      <c r="C732" s="1" t="n">
        <v>46177</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20126-2024</t>
        </is>
      </c>
      <c r="B733" s="1" t="n">
        <v>45434.55471064815</v>
      </c>
      <c r="C733" s="1" t="n">
        <v>46177</v>
      </c>
      <c r="D733" t="inlineStr">
        <is>
          <t>KALMAR LÄN</t>
        </is>
      </c>
      <c r="E733" t="inlineStr">
        <is>
          <t>VIMMERBY</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9694-2023</t>
        </is>
      </c>
      <c r="B734" s="1" t="n">
        <v>44984.45895833334</v>
      </c>
      <c r="C734" s="1" t="n">
        <v>46177</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9710-2023</t>
        </is>
      </c>
      <c r="B735" s="1" t="n">
        <v>44984</v>
      </c>
      <c r="C735" s="1" t="n">
        <v>46177</v>
      </c>
      <c r="D735" t="inlineStr">
        <is>
          <t>KALMAR LÄN</t>
        </is>
      </c>
      <c r="E735" t="inlineStr">
        <is>
          <t>VIMMERBY</t>
        </is>
      </c>
      <c r="G735" t="n">
        <v>3.7</v>
      </c>
      <c r="H735" t="n">
        <v>0</v>
      </c>
      <c r="I735" t="n">
        <v>0</v>
      </c>
      <c r="J735" t="n">
        <v>0</v>
      </c>
      <c r="K735" t="n">
        <v>0</v>
      </c>
      <c r="L735" t="n">
        <v>0</v>
      </c>
      <c r="M735" t="n">
        <v>0</v>
      </c>
      <c r="N735" t="n">
        <v>0</v>
      </c>
      <c r="O735" t="n">
        <v>0</v>
      </c>
      <c r="P735" t="n">
        <v>0</v>
      </c>
      <c r="Q735" t="n">
        <v>0</v>
      </c>
      <c r="R735" s="2" t="inlineStr"/>
    </row>
    <row r="736" ht="15" customHeight="1">
      <c r="A736" t="inlineStr">
        <is>
          <t>A 6216-2025</t>
        </is>
      </c>
      <c r="B736" s="1" t="n">
        <v>45698.52806712963</v>
      </c>
      <c r="C736" s="1" t="n">
        <v>46177</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31870-2025</t>
        </is>
      </c>
      <c r="B737" s="1" t="n">
        <v>45834.64667824074</v>
      </c>
      <c r="C737" s="1" t="n">
        <v>46177</v>
      </c>
      <c r="D737" t="inlineStr">
        <is>
          <t>KALMAR LÄN</t>
        </is>
      </c>
      <c r="E737" t="inlineStr">
        <is>
          <t>VIMMERBY</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8559-2025</t>
        </is>
      </c>
      <c r="B738" s="1" t="n">
        <v>45709.62280092593</v>
      </c>
      <c r="C738" s="1" t="n">
        <v>46177</v>
      </c>
      <c r="D738" t="inlineStr">
        <is>
          <t>KALMAR LÄN</t>
        </is>
      </c>
      <c r="E738" t="inlineStr">
        <is>
          <t>VIMMERBY</t>
        </is>
      </c>
      <c r="G738" t="n">
        <v>8.9</v>
      </c>
      <c r="H738" t="n">
        <v>0</v>
      </c>
      <c r="I738" t="n">
        <v>0</v>
      </c>
      <c r="J738" t="n">
        <v>0</v>
      </c>
      <c r="K738" t="n">
        <v>0</v>
      </c>
      <c r="L738" t="n">
        <v>0</v>
      </c>
      <c r="M738" t="n">
        <v>0</v>
      </c>
      <c r="N738" t="n">
        <v>0</v>
      </c>
      <c r="O738" t="n">
        <v>0</v>
      </c>
      <c r="P738" t="n">
        <v>0</v>
      </c>
      <c r="Q738" t="n">
        <v>0</v>
      </c>
      <c r="R738" s="2" t="inlineStr"/>
    </row>
    <row r="739" ht="15" customHeight="1">
      <c r="A739" t="inlineStr">
        <is>
          <t>A 31872-2025</t>
        </is>
      </c>
      <c r="B739" s="1" t="n">
        <v>45834.65040509259</v>
      </c>
      <c r="C739" s="1" t="n">
        <v>46177</v>
      </c>
      <c r="D739" t="inlineStr">
        <is>
          <t>KALMAR LÄN</t>
        </is>
      </c>
      <c r="E739" t="inlineStr">
        <is>
          <t>VIMMERBY</t>
        </is>
      </c>
      <c r="F739" t="inlineStr">
        <is>
          <t>Sveaskog</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31876-2025</t>
        </is>
      </c>
      <c r="B740" s="1" t="n">
        <v>45834.65197916667</v>
      </c>
      <c r="C740" s="1" t="n">
        <v>46177</v>
      </c>
      <c r="D740" t="inlineStr">
        <is>
          <t>KALMAR LÄN</t>
        </is>
      </c>
      <c r="E740" t="inlineStr">
        <is>
          <t>VIMMERBY</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31551-2025</t>
        </is>
      </c>
      <c r="B741" s="1" t="n">
        <v>45833.64237268519</v>
      </c>
      <c r="C741" s="1" t="n">
        <v>46177</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31987-2025</t>
        </is>
      </c>
      <c r="B742" s="1" t="n">
        <v>45835.36229166666</v>
      </c>
      <c r="C742" s="1" t="n">
        <v>46177</v>
      </c>
      <c r="D742" t="inlineStr">
        <is>
          <t>KALMAR LÄN</t>
        </is>
      </c>
      <c r="E742" t="inlineStr">
        <is>
          <t>VIMMERBY</t>
        </is>
      </c>
      <c r="F742" t="inlineStr">
        <is>
          <t>Kyrkan</t>
        </is>
      </c>
      <c r="G742" t="n">
        <v>1.2</v>
      </c>
      <c r="H742" t="n">
        <v>0</v>
      </c>
      <c r="I742" t="n">
        <v>0</v>
      </c>
      <c r="J742" t="n">
        <v>0</v>
      </c>
      <c r="K742" t="n">
        <v>0</v>
      </c>
      <c r="L742" t="n">
        <v>0</v>
      </c>
      <c r="M742" t="n">
        <v>0</v>
      </c>
      <c r="N742" t="n">
        <v>0</v>
      </c>
      <c r="O742" t="n">
        <v>0</v>
      </c>
      <c r="P742" t="n">
        <v>0</v>
      </c>
      <c r="Q742" t="n">
        <v>0</v>
      </c>
      <c r="R742" s="2" t="inlineStr"/>
    </row>
    <row r="743" ht="15" customHeight="1">
      <c r="A743" t="inlineStr">
        <is>
          <t>A 32120-2025</t>
        </is>
      </c>
      <c r="B743" s="1" t="n">
        <v>45835.4924537037</v>
      </c>
      <c r="C743" s="1" t="n">
        <v>46177</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32116-2025</t>
        </is>
      </c>
      <c r="B744" s="1" t="n">
        <v>45835.48862268519</v>
      </c>
      <c r="C744" s="1" t="n">
        <v>46177</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32380-2025</t>
        </is>
      </c>
      <c r="B745" s="1" t="n">
        <v>45837.77701388889</v>
      </c>
      <c r="C745" s="1" t="n">
        <v>46177</v>
      </c>
      <c r="D745" t="inlineStr">
        <is>
          <t>KALMAR LÄN</t>
        </is>
      </c>
      <c r="E745" t="inlineStr">
        <is>
          <t>VIMMERBY</t>
        </is>
      </c>
      <c r="G745" t="n">
        <v>3.1</v>
      </c>
      <c r="H745" t="n">
        <v>0</v>
      </c>
      <c r="I745" t="n">
        <v>0</v>
      </c>
      <c r="J745" t="n">
        <v>0</v>
      </c>
      <c r="K745" t="n">
        <v>0</v>
      </c>
      <c r="L745" t="n">
        <v>0</v>
      </c>
      <c r="M745" t="n">
        <v>0</v>
      </c>
      <c r="N745" t="n">
        <v>0</v>
      </c>
      <c r="O745" t="n">
        <v>0</v>
      </c>
      <c r="P745" t="n">
        <v>0</v>
      </c>
      <c r="Q745" t="n">
        <v>0</v>
      </c>
      <c r="R745" s="2" t="inlineStr"/>
    </row>
    <row r="746" ht="15" customHeight="1">
      <c r="A746" t="inlineStr">
        <is>
          <t>A 32109-2025</t>
        </is>
      </c>
      <c r="B746" s="1" t="n">
        <v>45835.48267361111</v>
      </c>
      <c r="C746" s="1" t="n">
        <v>46177</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32113-2025</t>
        </is>
      </c>
      <c r="B747" s="1" t="n">
        <v>45835.48445601852</v>
      </c>
      <c r="C747" s="1" t="n">
        <v>46177</v>
      </c>
      <c r="D747" t="inlineStr">
        <is>
          <t>KALMAR LÄN</t>
        </is>
      </c>
      <c r="E747" t="inlineStr">
        <is>
          <t>VIMMERBY</t>
        </is>
      </c>
      <c r="G747" t="n">
        <v>3.5</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46177</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32064-2025</t>
        </is>
      </c>
      <c r="B749" s="1" t="n">
        <v>45835.44709490741</v>
      </c>
      <c r="C749" s="1" t="n">
        <v>46177</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32065-2025</t>
        </is>
      </c>
      <c r="B750" s="1" t="n">
        <v>45835.44732638889</v>
      </c>
      <c r="C750" s="1" t="n">
        <v>46177</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7944-2024</t>
        </is>
      </c>
      <c r="B751" s="1" t="n">
        <v>45350.53306712963</v>
      </c>
      <c r="C751" s="1" t="n">
        <v>46177</v>
      </c>
      <c r="D751" t="inlineStr">
        <is>
          <t>KALMAR LÄN</t>
        </is>
      </c>
      <c r="E751" t="inlineStr">
        <is>
          <t>VIMMERBY</t>
        </is>
      </c>
      <c r="G751" t="n">
        <v>1.2</v>
      </c>
      <c r="H751" t="n">
        <v>0</v>
      </c>
      <c r="I751" t="n">
        <v>0</v>
      </c>
      <c r="J751" t="n">
        <v>0</v>
      </c>
      <c r="K751" t="n">
        <v>0</v>
      </c>
      <c r="L751" t="n">
        <v>0</v>
      </c>
      <c r="M751" t="n">
        <v>0</v>
      </c>
      <c r="N751" t="n">
        <v>0</v>
      </c>
      <c r="O751" t="n">
        <v>0</v>
      </c>
      <c r="P751" t="n">
        <v>0</v>
      </c>
      <c r="Q751" t="n">
        <v>0</v>
      </c>
      <c r="R751" s="2" t="inlineStr"/>
    </row>
    <row r="752" ht="15" customHeight="1">
      <c r="A752" t="inlineStr">
        <is>
          <t>A 57728-2025</t>
        </is>
      </c>
      <c r="B752" s="1" t="n">
        <v>45981</v>
      </c>
      <c r="C752" s="1" t="n">
        <v>46177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598-2025</t>
        </is>
      </c>
      <c r="B753" s="1" t="n">
        <v>45660</v>
      </c>
      <c r="C753" s="1" t="n">
        <v>46177</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33186-2025</t>
        </is>
      </c>
      <c r="B754" s="1" t="n">
        <v>45840.59474537037</v>
      </c>
      <c r="C754" s="1" t="n">
        <v>46177</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30977-2025</t>
        </is>
      </c>
      <c r="B755" s="1" t="n">
        <v>45832.46649305556</v>
      </c>
      <c r="C755" s="1" t="n">
        <v>46177</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58442-2025</t>
        </is>
      </c>
      <c r="B756" s="1" t="n">
        <v>45985.61635416667</v>
      </c>
      <c r="C756" s="1" t="n">
        <v>46177</v>
      </c>
      <c r="D756" t="inlineStr">
        <is>
          <t>KALMAR LÄN</t>
        </is>
      </c>
      <c r="E756" t="inlineStr">
        <is>
          <t>VIMMERBY</t>
        </is>
      </c>
      <c r="G756" t="n">
        <v>0.8</v>
      </c>
      <c r="H756" t="n">
        <v>0</v>
      </c>
      <c r="I756" t="n">
        <v>0</v>
      </c>
      <c r="J756" t="n">
        <v>0</v>
      </c>
      <c r="K756" t="n">
        <v>0</v>
      </c>
      <c r="L756" t="n">
        <v>0</v>
      </c>
      <c r="M756" t="n">
        <v>0</v>
      </c>
      <c r="N756" t="n">
        <v>0</v>
      </c>
      <c r="O756" t="n">
        <v>0</v>
      </c>
      <c r="P756" t="n">
        <v>0</v>
      </c>
      <c r="Q756" t="n">
        <v>0</v>
      </c>
      <c r="R756" s="2" t="inlineStr"/>
    </row>
    <row r="757" ht="15" customHeight="1">
      <c r="A757" t="inlineStr">
        <is>
          <t>A 58498-2025</t>
        </is>
      </c>
      <c r="B757" s="1" t="n">
        <v>45985.68671296296</v>
      </c>
      <c r="C757" s="1" t="n">
        <v>46177</v>
      </c>
      <c r="D757" t="inlineStr">
        <is>
          <t>KALMAR LÄN</t>
        </is>
      </c>
      <c r="E757" t="inlineStr">
        <is>
          <t>VIMMERBY</t>
        </is>
      </c>
      <c r="G757" t="n">
        <v>2.1</v>
      </c>
      <c r="H757" t="n">
        <v>0</v>
      </c>
      <c r="I757" t="n">
        <v>0</v>
      </c>
      <c r="J757" t="n">
        <v>0</v>
      </c>
      <c r="K757" t="n">
        <v>0</v>
      </c>
      <c r="L757" t="n">
        <v>0</v>
      </c>
      <c r="M757" t="n">
        <v>0</v>
      </c>
      <c r="N757" t="n">
        <v>0</v>
      </c>
      <c r="O757" t="n">
        <v>0</v>
      </c>
      <c r="P757" t="n">
        <v>0</v>
      </c>
      <c r="Q757" t="n">
        <v>0</v>
      </c>
      <c r="R757" s="2" t="inlineStr"/>
    </row>
    <row r="758" ht="15" customHeight="1">
      <c r="A758" t="inlineStr">
        <is>
          <t>A 58501-2025</t>
        </is>
      </c>
      <c r="B758" s="1" t="n">
        <v>45985.69153935185</v>
      </c>
      <c r="C758" s="1" t="n">
        <v>46177</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58514-2025</t>
        </is>
      </c>
      <c r="B759" s="1" t="n">
        <v>45985.70513888889</v>
      </c>
      <c r="C759" s="1" t="n">
        <v>46177</v>
      </c>
      <c r="D759" t="inlineStr">
        <is>
          <t>KALMAR LÄN</t>
        </is>
      </c>
      <c r="E759" t="inlineStr">
        <is>
          <t>VIMMERBY</t>
        </is>
      </c>
      <c r="G759" t="n">
        <v>3.7</v>
      </c>
      <c r="H759" t="n">
        <v>0</v>
      </c>
      <c r="I759" t="n">
        <v>0</v>
      </c>
      <c r="J759" t="n">
        <v>0</v>
      </c>
      <c r="K759" t="n">
        <v>0</v>
      </c>
      <c r="L759" t="n">
        <v>0</v>
      </c>
      <c r="M759" t="n">
        <v>0</v>
      </c>
      <c r="N759" t="n">
        <v>0</v>
      </c>
      <c r="O759" t="n">
        <v>0</v>
      </c>
      <c r="P759" t="n">
        <v>0</v>
      </c>
      <c r="Q759" t="n">
        <v>0</v>
      </c>
      <c r="R759" s="2" t="inlineStr"/>
    </row>
    <row r="760" ht="15" customHeight="1">
      <c r="A760" t="inlineStr">
        <is>
          <t>A 10807-2024</t>
        </is>
      </c>
      <c r="B760" s="1" t="n">
        <v>45369.62780092593</v>
      </c>
      <c r="C760" s="1" t="n">
        <v>46177</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33695-2025</t>
        </is>
      </c>
      <c r="B761" s="1" t="n">
        <v>45841.70569444444</v>
      </c>
      <c r="C761" s="1" t="n">
        <v>46177</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33698-2025</t>
        </is>
      </c>
      <c r="B762" s="1" t="n">
        <v>45841.70868055556</v>
      </c>
      <c r="C762" s="1" t="n">
        <v>46177</v>
      </c>
      <c r="D762" t="inlineStr">
        <is>
          <t>KALMAR LÄN</t>
        </is>
      </c>
      <c r="E762" t="inlineStr">
        <is>
          <t>VIMMERBY</t>
        </is>
      </c>
      <c r="G762" t="n">
        <v>3.7</v>
      </c>
      <c r="H762" t="n">
        <v>0</v>
      </c>
      <c r="I762" t="n">
        <v>0</v>
      </c>
      <c r="J762" t="n">
        <v>0</v>
      </c>
      <c r="K762" t="n">
        <v>0</v>
      </c>
      <c r="L762" t="n">
        <v>0</v>
      </c>
      <c r="M762" t="n">
        <v>0</v>
      </c>
      <c r="N762" t="n">
        <v>0</v>
      </c>
      <c r="O762" t="n">
        <v>0</v>
      </c>
      <c r="P762" t="n">
        <v>0</v>
      </c>
      <c r="Q762" t="n">
        <v>0</v>
      </c>
      <c r="R762" s="2" t="inlineStr"/>
    </row>
    <row r="763" ht="15" customHeight="1">
      <c r="A763" t="inlineStr">
        <is>
          <t>A 58503-2025</t>
        </is>
      </c>
      <c r="B763" s="1" t="n">
        <v>45985.69509259259</v>
      </c>
      <c r="C763" s="1" t="n">
        <v>46177</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58446-2025</t>
        </is>
      </c>
      <c r="B764" s="1" t="n">
        <v>45985.62168981481</v>
      </c>
      <c r="C764" s="1" t="n">
        <v>46177</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58500-2025</t>
        </is>
      </c>
      <c r="B765" s="1" t="n">
        <v>45985.69008101852</v>
      </c>
      <c r="C765" s="1" t="n">
        <v>46177</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33696-2025</t>
        </is>
      </c>
      <c r="B766" s="1" t="n">
        <v>45841.7072337963</v>
      </c>
      <c r="C766" s="1" t="n">
        <v>46177</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40260-2024</t>
        </is>
      </c>
      <c r="B767" s="1" t="n">
        <v>45554.63225694445</v>
      </c>
      <c r="C767" s="1" t="n">
        <v>46177</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10787-2025</t>
        </is>
      </c>
      <c r="B768" s="1" t="n">
        <v>45722.48915509259</v>
      </c>
      <c r="C768" s="1" t="n">
        <v>46177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58435-2025</t>
        </is>
      </c>
      <c r="B769" s="1" t="n">
        <v>45985.61501157407</v>
      </c>
      <c r="C769" s="1" t="n">
        <v>46177</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58577-2024</t>
        </is>
      </c>
      <c r="B770" s="1" t="n">
        <v>45635.4874537037</v>
      </c>
      <c r="C770" s="1" t="n">
        <v>46177</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38198-2024</t>
        </is>
      </c>
      <c r="B771" s="1" t="n">
        <v>45545.49508101852</v>
      </c>
      <c r="C771" s="1" t="n">
        <v>46177</v>
      </c>
      <c r="D771" t="inlineStr">
        <is>
          <t>KALMAR LÄN</t>
        </is>
      </c>
      <c r="E771" t="inlineStr">
        <is>
          <t>VIMMERBY</t>
        </is>
      </c>
      <c r="G771" t="n">
        <v>7.9</v>
      </c>
      <c r="H771" t="n">
        <v>0</v>
      </c>
      <c r="I771" t="n">
        <v>0</v>
      </c>
      <c r="J771" t="n">
        <v>0</v>
      </c>
      <c r="K771" t="n">
        <v>0</v>
      </c>
      <c r="L771" t="n">
        <v>0</v>
      </c>
      <c r="M771" t="n">
        <v>0</v>
      </c>
      <c r="N771" t="n">
        <v>0</v>
      </c>
      <c r="O771" t="n">
        <v>0</v>
      </c>
      <c r="P771" t="n">
        <v>0</v>
      </c>
      <c r="Q771" t="n">
        <v>0</v>
      </c>
      <c r="R771" s="2" t="inlineStr"/>
    </row>
    <row r="772" ht="15" customHeight="1">
      <c r="A772" t="inlineStr">
        <is>
          <t>A 43617-2024</t>
        </is>
      </c>
      <c r="B772" s="1" t="n">
        <v>45569.47494212963</v>
      </c>
      <c r="C772" s="1" t="n">
        <v>46177</v>
      </c>
      <c r="D772" t="inlineStr">
        <is>
          <t>KALMAR LÄN</t>
        </is>
      </c>
      <c r="E772" t="inlineStr">
        <is>
          <t>VIMMERBY</t>
        </is>
      </c>
      <c r="G772" t="n">
        <v>2.7</v>
      </c>
      <c r="H772" t="n">
        <v>0</v>
      </c>
      <c r="I772" t="n">
        <v>0</v>
      </c>
      <c r="J772" t="n">
        <v>0</v>
      </c>
      <c r="K772" t="n">
        <v>0</v>
      </c>
      <c r="L772" t="n">
        <v>0</v>
      </c>
      <c r="M772" t="n">
        <v>0</v>
      </c>
      <c r="N772" t="n">
        <v>0</v>
      </c>
      <c r="O772" t="n">
        <v>0</v>
      </c>
      <c r="P772" t="n">
        <v>0</v>
      </c>
      <c r="Q772" t="n">
        <v>0</v>
      </c>
      <c r="R772" s="2" t="inlineStr"/>
    </row>
    <row r="773" ht="15" customHeight="1">
      <c r="A773" t="inlineStr">
        <is>
          <t>A 59037-2025</t>
        </is>
      </c>
      <c r="B773" s="1" t="n">
        <v>45988.36508101852</v>
      </c>
      <c r="C773" s="1" t="n">
        <v>46177</v>
      </c>
      <c r="D773" t="inlineStr">
        <is>
          <t>KALMAR LÄN</t>
        </is>
      </c>
      <c r="E773" t="inlineStr">
        <is>
          <t>VIMMERBY</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28702-2025</t>
        </is>
      </c>
      <c r="B774" s="1" t="n">
        <v>45820.03976851852</v>
      </c>
      <c r="C774" s="1" t="n">
        <v>46177</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59034-2025</t>
        </is>
      </c>
      <c r="B775" s="1" t="n">
        <v>45988.36243055556</v>
      </c>
      <c r="C775" s="1" t="n">
        <v>46177</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59068-2025</t>
        </is>
      </c>
      <c r="B776" s="1" t="n">
        <v>45988.41725694444</v>
      </c>
      <c r="C776" s="1" t="n">
        <v>46177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58858-2025</t>
        </is>
      </c>
      <c r="B777" s="1" t="n">
        <v>45987.4243287037</v>
      </c>
      <c r="C777" s="1" t="n">
        <v>46177</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59039-2025</t>
        </is>
      </c>
      <c r="B778" s="1" t="n">
        <v>45988.36790509259</v>
      </c>
      <c r="C778" s="1" t="n">
        <v>46177</v>
      </c>
      <c r="D778" t="inlineStr">
        <is>
          <t>KALMAR LÄN</t>
        </is>
      </c>
      <c r="E778" t="inlineStr">
        <is>
          <t>VIMMERBY</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22264-2023</t>
        </is>
      </c>
      <c r="B779" s="1" t="n">
        <v>45070.3665625</v>
      </c>
      <c r="C779" s="1" t="n">
        <v>46177</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22266-2023</t>
        </is>
      </c>
      <c r="B780" s="1" t="n">
        <v>45070</v>
      </c>
      <c r="C780" s="1" t="n">
        <v>46177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50091-2023</t>
        </is>
      </c>
      <c r="B781" s="1" t="n">
        <v>45215.60199074074</v>
      </c>
      <c r="C781" s="1" t="n">
        <v>46177</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10303-2025</t>
        </is>
      </c>
      <c r="B782" s="1" t="n">
        <v>45720.44217592593</v>
      </c>
      <c r="C782" s="1" t="n">
        <v>46177</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58841-2025</t>
        </is>
      </c>
      <c r="B783" s="1" t="n">
        <v>45987.36275462963</v>
      </c>
      <c r="C783" s="1" t="n">
        <v>46177</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11027-2023</t>
        </is>
      </c>
      <c r="B784" s="1" t="n">
        <v>44991.89657407408</v>
      </c>
      <c r="C784" s="1" t="n">
        <v>46177</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34071-2025</t>
        </is>
      </c>
      <c r="B785" s="1" t="n">
        <v>45845.43803240741</v>
      </c>
      <c r="C785" s="1" t="n">
        <v>46177</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34106-2025</t>
        </is>
      </c>
      <c r="B786" s="1" t="n">
        <v>45845.49414351852</v>
      </c>
      <c r="C786" s="1" t="n">
        <v>46177</v>
      </c>
      <c r="D786" t="inlineStr">
        <is>
          <t>KALMAR LÄN</t>
        </is>
      </c>
      <c r="E786" t="inlineStr">
        <is>
          <t>VIMMERBY</t>
        </is>
      </c>
      <c r="G786" t="n">
        <v>6</v>
      </c>
      <c r="H786" t="n">
        <v>0</v>
      </c>
      <c r="I786" t="n">
        <v>0</v>
      </c>
      <c r="J786" t="n">
        <v>0</v>
      </c>
      <c r="K786" t="n">
        <v>0</v>
      </c>
      <c r="L786" t="n">
        <v>0</v>
      </c>
      <c r="M786" t="n">
        <v>0</v>
      </c>
      <c r="N786" t="n">
        <v>0</v>
      </c>
      <c r="O786" t="n">
        <v>0</v>
      </c>
      <c r="P786" t="n">
        <v>0</v>
      </c>
      <c r="Q786" t="n">
        <v>0</v>
      </c>
      <c r="R786" s="2" t="inlineStr"/>
    </row>
    <row r="787" ht="15" customHeight="1">
      <c r="A787" t="inlineStr">
        <is>
          <t>A 11661-2023</t>
        </is>
      </c>
      <c r="B787" s="1" t="n">
        <v>44994.46908564815</v>
      </c>
      <c r="C787" s="1" t="n">
        <v>46177</v>
      </c>
      <c r="D787" t="inlineStr">
        <is>
          <t>KALMAR LÄN</t>
        </is>
      </c>
      <c r="E787" t="inlineStr">
        <is>
          <t>VIMMERBY</t>
        </is>
      </c>
      <c r="G787" t="n">
        <v>2.7</v>
      </c>
      <c r="H787" t="n">
        <v>0</v>
      </c>
      <c r="I787" t="n">
        <v>0</v>
      </c>
      <c r="J787" t="n">
        <v>0</v>
      </c>
      <c r="K787" t="n">
        <v>0</v>
      </c>
      <c r="L787" t="n">
        <v>0</v>
      </c>
      <c r="M787" t="n">
        <v>0</v>
      </c>
      <c r="N787" t="n">
        <v>0</v>
      </c>
      <c r="O787" t="n">
        <v>0</v>
      </c>
      <c r="P787" t="n">
        <v>0</v>
      </c>
      <c r="Q787" t="n">
        <v>0</v>
      </c>
      <c r="R787" s="2" t="inlineStr"/>
    </row>
    <row r="788" ht="15" customHeight="1">
      <c r="A788" t="inlineStr">
        <is>
          <t>A 36155-2023</t>
        </is>
      </c>
      <c r="B788" s="1" t="n">
        <v>45149.60917824074</v>
      </c>
      <c r="C788" s="1" t="n">
        <v>46177</v>
      </c>
      <c r="D788" t="inlineStr">
        <is>
          <t>KALMAR LÄN</t>
        </is>
      </c>
      <c r="E788" t="inlineStr">
        <is>
          <t>VIMMERBY</t>
        </is>
      </c>
      <c r="G788" t="n">
        <v>5</v>
      </c>
      <c r="H788" t="n">
        <v>0</v>
      </c>
      <c r="I788" t="n">
        <v>0</v>
      </c>
      <c r="J788" t="n">
        <v>0</v>
      </c>
      <c r="K788" t="n">
        <v>0</v>
      </c>
      <c r="L788" t="n">
        <v>0</v>
      </c>
      <c r="M788" t="n">
        <v>0</v>
      </c>
      <c r="N788" t="n">
        <v>0</v>
      </c>
      <c r="O788" t="n">
        <v>0</v>
      </c>
      <c r="P788" t="n">
        <v>0</v>
      </c>
      <c r="Q788" t="n">
        <v>0</v>
      </c>
      <c r="R788" s="2" t="inlineStr"/>
    </row>
    <row r="789" ht="15" customHeight="1">
      <c r="A789" t="inlineStr">
        <is>
          <t>A 40147-2023</t>
        </is>
      </c>
      <c r="B789" s="1" t="n">
        <v>45169</v>
      </c>
      <c r="C789" s="1" t="n">
        <v>46177</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63950-2023</t>
        </is>
      </c>
      <c r="B790" s="1" t="n">
        <v>45278</v>
      </c>
      <c r="C790" s="1" t="n">
        <v>46177</v>
      </c>
      <c r="D790" t="inlineStr">
        <is>
          <t>KALMAR LÄN</t>
        </is>
      </c>
      <c r="E790" t="inlineStr">
        <is>
          <t>VIMMERBY</t>
        </is>
      </c>
      <c r="F790" t="inlineStr">
        <is>
          <t>Kyrkan</t>
        </is>
      </c>
      <c r="G790" t="n">
        <v>2.7</v>
      </c>
      <c r="H790" t="n">
        <v>0</v>
      </c>
      <c r="I790" t="n">
        <v>0</v>
      </c>
      <c r="J790" t="n">
        <v>0</v>
      </c>
      <c r="K790" t="n">
        <v>0</v>
      </c>
      <c r="L790" t="n">
        <v>0</v>
      </c>
      <c r="M790" t="n">
        <v>0</v>
      </c>
      <c r="N790" t="n">
        <v>0</v>
      </c>
      <c r="O790" t="n">
        <v>0</v>
      </c>
      <c r="P790" t="n">
        <v>0</v>
      </c>
      <c r="Q790" t="n">
        <v>0</v>
      </c>
      <c r="R790" s="2" t="inlineStr"/>
    </row>
    <row r="791" ht="15" customHeight="1">
      <c r="A791" t="inlineStr">
        <is>
          <t>A 26956-2025</t>
        </is>
      </c>
      <c r="B791" s="1" t="n">
        <v>45811.45460648148</v>
      </c>
      <c r="C791" s="1" t="n">
        <v>46177</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24096-2024</t>
        </is>
      </c>
      <c r="B792" s="1" t="n">
        <v>45456.59289351852</v>
      </c>
      <c r="C792" s="1" t="n">
        <v>46177</v>
      </c>
      <c r="D792" t="inlineStr">
        <is>
          <t>KALMAR LÄN</t>
        </is>
      </c>
      <c r="E792" t="inlineStr">
        <is>
          <t>VIMMERBY</t>
        </is>
      </c>
      <c r="G792" t="n">
        <v>2.3</v>
      </c>
      <c r="H792" t="n">
        <v>0</v>
      </c>
      <c r="I792" t="n">
        <v>0</v>
      </c>
      <c r="J792" t="n">
        <v>0</v>
      </c>
      <c r="K792" t="n">
        <v>0</v>
      </c>
      <c r="L792" t="n">
        <v>0</v>
      </c>
      <c r="M792" t="n">
        <v>0</v>
      </c>
      <c r="N792" t="n">
        <v>0</v>
      </c>
      <c r="O792" t="n">
        <v>0</v>
      </c>
      <c r="P792" t="n">
        <v>0</v>
      </c>
      <c r="Q792" t="n">
        <v>0</v>
      </c>
      <c r="R792" s="2" t="inlineStr"/>
    </row>
    <row r="793" ht="15" customHeight="1">
      <c r="A793" t="inlineStr">
        <is>
          <t>A 13015-2023</t>
        </is>
      </c>
      <c r="B793" s="1" t="n">
        <v>45002</v>
      </c>
      <c r="C793" s="1" t="n">
        <v>46177</v>
      </c>
      <c r="D793" t="inlineStr">
        <is>
          <t>KALMAR LÄN</t>
        </is>
      </c>
      <c r="E793" t="inlineStr">
        <is>
          <t>VIMMERBY</t>
        </is>
      </c>
      <c r="G793" t="n">
        <v>3.2</v>
      </c>
      <c r="H793" t="n">
        <v>0</v>
      </c>
      <c r="I793" t="n">
        <v>0</v>
      </c>
      <c r="J793" t="n">
        <v>0</v>
      </c>
      <c r="K793" t="n">
        <v>0</v>
      </c>
      <c r="L793" t="n">
        <v>0</v>
      </c>
      <c r="M793" t="n">
        <v>0</v>
      </c>
      <c r="N793" t="n">
        <v>0</v>
      </c>
      <c r="O793" t="n">
        <v>0</v>
      </c>
      <c r="P793" t="n">
        <v>0</v>
      </c>
      <c r="Q793" t="n">
        <v>0</v>
      </c>
      <c r="R793" s="2" t="inlineStr"/>
    </row>
    <row r="794" ht="15" customHeight="1">
      <c r="A794" t="inlineStr">
        <is>
          <t>A 41199-2023</t>
        </is>
      </c>
      <c r="B794" s="1" t="n">
        <v>45174.40454861111</v>
      </c>
      <c r="C794" s="1" t="n">
        <v>46177</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36014-2024</t>
        </is>
      </c>
      <c r="B795" s="1" t="n">
        <v>45533.56108796296</v>
      </c>
      <c r="C795" s="1" t="n">
        <v>46177</v>
      </c>
      <c r="D795" t="inlineStr">
        <is>
          <t>KALMAR LÄN</t>
        </is>
      </c>
      <c r="E795" t="inlineStr">
        <is>
          <t>VIMMERBY</t>
        </is>
      </c>
      <c r="G795" t="n">
        <v>2.3</v>
      </c>
      <c r="H795" t="n">
        <v>0</v>
      </c>
      <c r="I795" t="n">
        <v>0</v>
      </c>
      <c r="J795" t="n">
        <v>0</v>
      </c>
      <c r="K795" t="n">
        <v>0</v>
      </c>
      <c r="L795" t="n">
        <v>0</v>
      </c>
      <c r="M795" t="n">
        <v>0</v>
      </c>
      <c r="N795" t="n">
        <v>0</v>
      </c>
      <c r="O795" t="n">
        <v>0</v>
      </c>
      <c r="P795" t="n">
        <v>0</v>
      </c>
      <c r="Q795" t="n">
        <v>0</v>
      </c>
      <c r="R795" s="2" t="inlineStr"/>
    </row>
    <row r="796" ht="15" customHeight="1">
      <c r="A796" t="inlineStr">
        <is>
          <t>A 36030-2024</t>
        </is>
      </c>
      <c r="B796" s="1" t="n">
        <v>45533.58302083334</v>
      </c>
      <c r="C796" s="1" t="n">
        <v>46177</v>
      </c>
      <c r="D796" t="inlineStr">
        <is>
          <t>KALMAR LÄN</t>
        </is>
      </c>
      <c r="E796" t="inlineStr">
        <is>
          <t>VIMMERBY</t>
        </is>
      </c>
      <c r="F796" t="inlineStr">
        <is>
          <t>Kommuner</t>
        </is>
      </c>
      <c r="G796" t="n">
        <v>4</v>
      </c>
      <c r="H796" t="n">
        <v>0</v>
      </c>
      <c r="I796" t="n">
        <v>0</v>
      </c>
      <c r="J796" t="n">
        <v>0</v>
      </c>
      <c r="K796" t="n">
        <v>0</v>
      </c>
      <c r="L796" t="n">
        <v>0</v>
      </c>
      <c r="M796" t="n">
        <v>0</v>
      </c>
      <c r="N796" t="n">
        <v>0</v>
      </c>
      <c r="O796" t="n">
        <v>0</v>
      </c>
      <c r="P796" t="n">
        <v>0</v>
      </c>
      <c r="Q796" t="n">
        <v>0</v>
      </c>
      <c r="R796" s="2" t="inlineStr"/>
    </row>
    <row r="797" ht="15" customHeight="1">
      <c r="A797" t="inlineStr">
        <is>
          <t>A 59579-2025</t>
        </is>
      </c>
      <c r="B797" s="1" t="n">
        <v>45992.30569444445</v>
      </c>
      <c r="C797" s="1" t="n">
        <v>46177</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60180-2025</t>
        </is>
      </c>
      <c r="B798" s="1" t="n">
        <v>45994.46428240741</v>
      </c>
      <c r="C798" s="1" t="n">
        <v>46177</v>
      </c>
      <c r="D798" t="inlineStr">
        <is>
          <t>KALMAR LÄN</t>
        </is>
      </c>
      <c r="E798" t="inlineStr">
        <is>
          <t>VIMMERBY</t>
        </is>
      </c>
      <c r="G798" t="n">
        <v>6.8</v>
      </c>
      <c r="H798" t="n">
        <v>0</v>
      </c>
      <c r="I798" t="n">
        <v>0</v>
      </c>
      <c r="J798" t="n">
        <v>0</v>
      </c>
      <c r="K798" t="n">
        <v>0</v>
      </c>
      <c r="L798" t="n">
        <v>0</v>
      </c>
      <c r="M798" t="n">
        <v>0</v>
      </c>
      <c r="N798" t="n">
        <v>0</v>
      </c>
      <c r="O798" t="n">
        <v>0</v>
      </c>
      <c r="P798" t="n">
        <v>0</v>
      </c>
      <c r="Q798" t="n">
        <v>0</v>
      </c>
      <c r="R798" s="2" t="inlineStr"/>
    </row>
    <row r="799" ht="15" customHeight="1">
      <c r="A799" t="inlineStr">
        <is>
          <t>A 34628-2025</t>
        </is>
      </c>
      <c r="B799" s="1" t="n">
        <v>45847.91280092593</v>
      </c>
      <c r="C799" s="1" t="n">
        <v>46177</v>
      </c>
      <c r="D799" t="inlineStr">
        <is>
          <t>KALMAR LÄN</t>
        </is>
      </c>
      <c r="E799" t="inlineStr">
        <is>
          <t>VIMMERBY</t>
        </is>
      </c>
      <c r="G799" t="n">
        <v>4.2</v>
      </c>
      <c r="H799" t="n">
        <v>0</v>
      </c>
      <c r="I799" t="n">
        <v>0</v>
      </c>
      <c r="J799" t="n">
        <v>0</v>
      </c>
      <c r="K799" t="n">
        <v>0</v>
      </c>
      <c r="L799" t="n">
        <v>0</v>
      </c>
      <c r="M799" t="n">
        <v>0</v>
      </c>
      <c r="N799" t="n">
        <v>0</v>
      </c>
      <c r="O799" t="n">
        <v>0</v>
      </c>
      <c r="P799" t="n">
        <v>0</v>
      </c>
      <c r="Q799" t="n">
        <v>0</v>
      </c>
      <c r="R799" s="2" t="inlineStr"/>
    </row>
    <row r="800" ht="15" customHeight="1">
      <c r="A800" t="inlineStr">
        <is>
          <t>A 6321-2023</t>
        </is>
      </c>
      <c r="B800" s="1" t="n">
        <v>44965.4815162037</v>
      </c>
      <c r="C800" s="1" t="n">
        <v>46177</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60297-2025</t>
        </is>
      </c>
      <c r="B801" s="1" t="n">
        <v>45994</v>
      </c>
      <c r="C801" s="1" t="n">
        <v>46177</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52755-2022</t>
        </is>
      </c>
      <c r="B802" s="1" t="n">
        <v>44875.27736111111</v>
      </c>
      <c r="C802" s="1" t="n">
        <v>46177</v>
      </c>
      <c r="D802" t="inlineStr">
        <is>
          <t>KALMAR LÄN</t>
        </is>
      </c>
      <c r="E802" t="inlineStr">
        <is>
          <t>VIMMERBY</t>
        </is>
      </c>
      <c r="G802" t="n">
        <v>1.1</v>
      </c>
      <c r="H802" t="n">
        <v>0</v>
      </c>
      <c r="I802" t="n">
        <v>0</v>
      </c>
      <c r="J802" t="n">
        <v>0</v>
      </c>
      <c r="K802" t="n">
        <v>0</v>
      </c>
      <c r="L802" t="n">
        <v>0</v>
      </c>
      <c r="M802" t="n">
        <v>0</v>
      </c>
      <c r="N802" t="n">
        <v>0</v>
      </c>
      <c r="O802" t="n">
        <v>0</v>
      </c>
      <c r="P802" t="n">
        <v>0</v>
      </c>
      <c r="Q802" t="n">
        <v>0</v>
      </c>
      <c r="R802" s="2" t="inlineStr"/>
    </row>
    <row r="803" ht="15" customHeight="1">
      <c r="A803" t="inlineStr">
        <is>
          <t>A 40823-2023</t>
        </is>
      </c>
      <c r="B803" s="1" t="n">
        <v>45171.77335648148</v>
      </c>
      <c r="C803" s="1" t="n">
        <v>46177</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35270-2025</t>
        </is>
      </c>
      <c r="B804" s="1" t="n">
        <v>45853.87112268519</v>
      </c>
      <c r="C804" s="1" t="n">
        <v>46177</v>
      </c>
      <c r="D804" t="inlineStr">
        <is>
          <t>KALMAR LÄN</t>
        </is>
      </c>
      <c r="E804" t="inlineStr">
        <is>
          <t>VIMMERBY</t>
        </is>
      </c>
      <c r="G804" t="n">
        <v>2.4</v>
      </c>
      <c r="H804" t="n">
        <v>0</v>
      </c>
      <c r="I804" t="n">
        <v>0</v>
      </c>
      <c r="J804" t="n">
        <v>0</v>
      </c>
      <c r="K804" t="n">
        <v>0</v>
      </c>
      <c r="L804" t="n">
        <v>0</v>
      </c>
      <c r="M804" t="n">
        <v>0</v>
      </c>
      <c r="N804" t="n">
        <v>0</v>
      </c>
      <c r="O804" t="n">
        <v>0</v>
      </c>
      <c r="P804" t="n">
        <v>0</v>
      </c>
      <c r="Q804" t="n">
        <v>0</v>
      </c>
      <c r="R804" s="2" t="inlineStr"/>
    </row>
    <row r="805" ht="15" customHeight="1">
      <c r="A805" t="inlineStr">
        <is>
          <t>A 35271-2025</t>
        </is>
      </c>
      <c r="B805" s="1" t="n">
        <v>45853.87599537037</v>
      </c>
      <c r="C805" s="1" t="n">
        <v>46177</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35272-2025</t>
        </is>
      </c>
      <c r="B806" s="1" t="n">
        <v>45853.88070601852</v>
      </c>
      <c r="C806" s="1" t="n">
        <v>46177</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27761-2024</t>
        </is>
      </c>
      <c r="B807" s="1" t="n">
        <v>45475.49018518518</v>
      </c>
      <c r="C807" s="1" t="n">
        <v>46177</v>
      </c>
      <c r="D807" t="inlineStr">
        <is>
          <t>KALMAR LÄN</t>
        </is>
      </c>
      <c r="E807" t="inlineStr">
        <is>
          <t>VIMMERBY</t>
        </is>
      </c>
      <c r="G807" t="n">
        <v>0.6</v>
      </c>
      <c r="H807" t="n">
        <v>0</v>
      </c>
      <c r="I807" t="n">
        <v>0</v>
      </c>
      <c r="J807" t="n">
        <v>0</v>
      </c>
      <c r="K807" t="n">
        <v>0</v>
      </c>
      <c r="L807" t="n">
        <v>0</v>
      </c>
      <c r="M807" t="n">
        <v>0</v>
      </c>
      <c r="N807" t="n">
        <v>0</v>
      </c>
      <c r="O807" t="n">
        <v>0</v>
      </c>
      <c r="P807" t="n">
        <v>0</v>
      </c>
      <c r="Q807" t="n">
        <v>0</v>
      </c>
      <c r="R807" s="2" t="inlineStr"/>
    </row>
    <row r="808" ht="15" customHeight="1">
      <c r="A808" t="inlineStr">
        <is>
          <t>A 21028-2023</t>
        </is>
      </c>
      <c r="B808" s="1" t="n">
        <v>45061</v>
      </c>
      <c r="C808" s="1" t="n">
        <v>46177</v>
      </c>
      <c r="D808" t="inlineStr">
        <is>
          <t>KALMAR LÄN</t>
        </is>
      </c>
      <c r="E808" t="inlineStr">
        <is>
          <t>VIMMERBY</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16953-2025</t>
        </is>
      </c>
      <c r="B809" s="1" t="n">
        <v>45755.44333333334</v>
      </c>
      <c r="C809" s="1" t="n">
        <v>46177</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64203-2021</t>
        </is>
      </c>
      <c r="B810" s="1" t="n">
        <v>44510.60921296296</v>
      </c>
      <c r="C810" s="1" t="n">
        <v>46177</v>
      </c>
      <c r="D810" t="inlineStr">
        <is>
          <t>KALMAR LÄN</t>
        </is>
      </c>
      <c r="E810" t="inlineStr">
        <is>
          <t>VIMMERBY</t>
        </is>
      </c>
      <c r="F810" t="inlineStr">
        <is>
          <t>Övriga Aktiebolag</t>
        </is>
      </c>
      <c r="G810" t="n">
        <v>5.4</v>
      </c>
      <c r="H810" t="n">
        <v>0</v>
      </c>
      <c r="I810" t="n">
        <v>0</v>
      </c>
      <c r="J810" t="n">
        <v>0</v>
      </c>
      <c r="K810" t="n">
        <v>0</v>
      </c>
      <c r="L810" t="n">
        <v>0</v>
      </c>
      <c r="M810" t="n">
        <v>0</v>
      </c>
      <c r="N810" t="n">
        <v>0</v>
      </c>
      <c r="O810" t="n">
        <v>0</v>
      </c>
      <c r="P810" t="n">
        <v>0</v>
      </c>
      <c r="Q810" t="n">
        <v>0</v>
      </c>
      <c r="R810" s="2" t="inlineStr"/>
    </row>
    <row r="811" ht="15" customHeight="1">
      <c r="A811" t="inlineStr">
        <is>
          <t>A 1016-2024</t>
        </is>
      </c>
      <c r="B811" s="1" t="n">
        <v>45301</v>
      </c>
      <c r="C811" s="1" t="n">
        <v>46177</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1024-2024</t>
        </is>
      </c>
      <c r="B812" s="1" t="n">
        <v>45301.68237268519</v>
      </c>
      <c r="C812" s="1" t="n">
        <v>46177</v>
      </c>
      <c r="D812" t="inlineStr">
        <is>
          <t>KALMAR LÄN</t>
        </is>
      </c>
      <c r="E812" t="inlineStr">
        <is>
          <t>VIMMERBY</t>
        </is>
      </c>
      <c r="G812" t="n">
        <v>13</v>
      </c>
      <c r="H812" t="n">
        <v>0</v>
      </c>
      <c r="I812" t="n">
        <v>0</v>
      </c>
      <c r="J812" t="n">
        <v>0</v>
      </c>
      <c r="K812" t="n">
        <v>0</v>
      </c>
      <c r="L812" t="n">
        <v>0</v>
      </c>
      <c r="M812" t="n">
        <v>0</v>
      </c>
      <c r="N812" t="n">
        <v>0</v>
      </c>
      <c r="O812" t="n">
        <v>0</v>
      </c>
      <c r="P812" t="n">
        <v>0</v>
      </c>
      <c r="Q812" t="n">
        <v>0</v>
      </c>
      <c r="R812" s="2" t="inlineStr"/>
    </row>
    <row r="813" ht="15" customHeight="1">
      <c r="A813" t="inlineStr">
        <is>
          <t>A 27758-2024</t>
        </is>
      </c>
      <c r="B813" s="1" t="n">
        <v>45475.48303240741</v>
      </c>
      <c r="C813" s="1" t="n">
        <v>46177</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32865-2023</t>
        </is>
      </c>
      <c r="B814" s="1" t="n">
        <v>45124</v>
      </c>
      <c r="C814" s="1" t="n">
        <v>46177</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22194-2024</t>
        </is>
      </c>
      <c r="B815" s="1" t="n">
        <v>45446.36482638889</v>
      </c>
      <c r="C815" s="1" t="n">
        <v>46177</v>
      </c>
      <c r="D815" t="inlineStr">
        <is>
          <t>KALMAR LÄN</t>
        </is>
      </c>
      <c r="E815" t="inlineStr">
        <is>
          <t>VIMMERBY</t>
        </is>
      </c>
      <c r="F815" t="inlineStr">
        <is>
          <t>Sveaskog</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17926-2025</t>
        </is>
      </c>
      <c r="B816" s="1" t="n">
        <v>45759.38987268518</v>
      </c>
      <c r="C816" s="1" t="n">
        <v>46177</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35127-2024</t>
        </is>
      </c>
      <c r="B817" s="1" t="n">
        <v>45530.33202546297</v>
      </c>
      <c r="C817" s="1" t="n">
        <v>46177</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61790-2025</t>
        </is>
      </c>
      <c r="B818" s="1" t="n">
        <v>46002.68768518518</v>
      </c>
      <c r="C818" s="1" t="n">
        <v>46177</v>
      </c>
      <c r="D818" t="inlineStr">
        <is>
          <t>KALMAR LÄN</t>
        </is>
      </c>
      <c r="E818" t="inlineStr">
        <is>
          <t>VIMMERBY</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61726-2025</t>
        </is>
      </c>
      <c r="B819" s="1" t="n">
        <v>46002.58822916666</v>
      </c>
      <c r="C819" s="1" t="n">
        <v>46177</v>
      </c>
      <c r="D819" t="inlineStr">
        <is>
          <t>KALMAR LÄN</t>
        </is>
      </c>
      <c r="E819" t="inlineStr">
        <is>
          <t>VIMMERBY</t>
        </is>
      </c>
      <c r="F819" t="inlineStr">
        <is>
          <t>Sveaskog</t>
        </is>
      </c>
      <c r="G819" t="n">
        <v>0.2</v>
      </c>
      <c r="H819" t="n">
        <v>0</v>
      </c>
      <c r="I819" t="n">
        <v>0</v>
      </c>
      <c r="J819" t="n">
        <v>0</v>
      </c>
      <c r="K819" t="n">
        <v>0</v>
      </c>
      <c r="L819" t="n">
        <v>0</v>
      </c>
      <c r="M819" t="n">
        <v>0</v>
      </c>
      <c r="N819" t="n">
        <v>0</v>
      </c>
      <c r="O819" t="n">
        <v>0</v>
      </c>
      <c r="P819" t="n">
        <v>0</v>
      </c>
      <c r="Q819" t="n">
        <v>0</v>
      </c>
      <c r="R819" s="2" t="inlineStr"/>
    </row>
    <row r="820" ht="15" customHeight="1">
      <c r="A820" t="inlineStr">
        <is>
          <t>A 33383-2023</t>
        </is>
      </c>
      <c r="B820" s="1" t="n">
        <v>45128.58414351852</v>
      </c>
      <c r="C820" s="1" t="n">
        <v>46177</v>
      </c>
      <c r="D820" t="inlineStr">
        <is>
          <t>KALMAR LÄN</t>
        </is>
      </c>
      <c r="E820" t="inlineStr">
        <is>
          <t>VIMMERBY</t>
        </is>
      </c>
      <c r="G820" t="n">
        <v>2.3</v>
      </c>
      <c r="H820" t="n">
        <v>0</v>
      </c>
      <c r="I820" t="n">
        <v>0</v>
      </c>
      <c r="J820" t="n">
        <v>0</v>
      </c>
      <c r="K820" t="n">
        <v>0</v>
      </c>
      <c r="L820" t="n">
        <v>0</v>
      </c>
      <c r="M820" t="n">
        <v>0</v>
      </c>
      <c r="N820" t="n">
        <v>0</v>
      </c>
      <c r="O820" t="n">
        <v>0</v>
      </c>
      <c r="P820" t="n">
        <v>0</v>
      </c>
      <c r="Q820" t="n">
        <v>0</v>
      </c>
      <c r="R820" s="2" t="inlineStr"/>
    </row>
    <row r="821" ht="15" customHeight="1">
      <c r="A821" t="inlineStr">
        <is>
          <t>A 61725-2025</t>
        </is>
      </c>
      <c r="B821" s="1" t="n">
        <v>46002.58680555555</v>
      </c>
      <c r="C821" s="1" t="n">
        <v>46177</v>
      </c>
      <c r="D821" t="inlineStr">
        <is>
          <t>KALMAR LÄN</t>
        </is>
      </c>
      <c r="E821" t="inlineStr">
        <is>
          <t>VIMMERBY</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4297-2022</t>
        </is>
      </c>
      <c r="B822" s="1" t="n">
        <v>44588</v>
      </c>
      <c r="C822" s="1" t="n">
        <v>46177</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35597-2025</t>
        </is>
      </c>
      <c r="B823" s="1" t="n">
        <v>45858.66019675926</v>
      </c>
      <c r="C823" s="1" t="n">
        <v>46177</v>
      </c>
      <c r="D823" t="inlineStr">
        <is>
          <t>KALMAR LÄN</t>
        </is>
      </c>
      <c r="E823" t="inlineStr">
        <is>
          <t>VIMMERBY</t>
        </is>
      </c>
      <c r="G823" t="n">
        <v>6.4</v>
      </c>
      <c r="H823" t="n">
        <v>0</v>
      </c>
      <c r="I823" t="n">
        <v>0</v>
      </c>
      <c r="J823" t="n">
        <v>0</v>
      </c>
      <c r="K823" t="n">
        <v>0</v>
      </c>
      <c r="L823" t="n">
        <v>0</v>
      </c>
      <c r="M823" t="n">
        <v>0</v>
      </c>
      <c r="N823" t="n">
        <v>0</v>
      </c>
      <c r="O823" t="n">
        <v>0</v>
      </c>
      <c r="P823" t="n">
        <v>0</v>
      </c>
      <c r="Q823" t="n">
        <v>0</v>
      </c>
      <c r="R823" s="2" t="inlineStr"/>
    </row>
    <row r="824" ht="15" customHeight="1">
      <c r="A824" t="inlineStr">
        <is>
          <t>A 35596-2025</t>
        </is>
      </c>
      <c r="B824" s="1" t="n">
        <v>45858.60641203704</v>
      </c>
      <c r="C824" s="1" t="n">
        <v>46177</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19502-2025</t>
        </is>
      </c>
      <c r="B825" s="1" t="n">
        <v>45769</v>
      </c>
      <c r="C825" s="1" t="n">
        <v>46177</v>
      </c>
      <c r="D825" t="inlineStr">
        <is>
          <t>KALMAR LÄN</t>
        </is>
      </c>
      <c r="E825" t="inlineStr">
        <is>
          <t>VIMMERBY</t>
        </is>
      </c>
      <c r="G825" t="n">
        <v>1.9</v>
      </c>
      <c r="H825" t="n">
        <v>0</v>
      </c>
      <c r="I825" t="n">
        <v>0</v>
      </c>
      <c r="J825" t="n">
        <v>0</v>
      </c>
      <c r="K825" t="n">
        <v>0</v>
      </c>
      <c r="L825" t="n">
        <v>0</v>
      </c>
      <c r="M825" t="n">
        <v>0</v>
      </c>
      <c r="N825" t="n">
        <v>0</v>
      </c>
      <c r="O825" t="n">
        <v>0</v>
      </c>
      <c r="P825" t="n">
        <v>0</v>
      </c>
      <c r="Q825" t="n">
        <v>0</v>
      </c>
      <c r="R825" s="2" t="inlineStr"/>
    </row>
    <row r="826" ht="15" customHeight="1">
      <c r="A826" t="inlineStr">
        <is>
          <t>A 36273-2025</t>
        </is>
      </c>
      <c r="B826" s="1" t="n">
        <v>45867.63094907408</v>
      </c>
      <c r="C826" s="1" t="n">
        <v>46177</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36299-2025</t>
        </is>
      </c>
      <c r="B827" s="1" t="n">
        <v>45867.69346064814</v>
      </c>
      <c r="C827" s="1" t="n">
        <v>46177</v>
      </c>
      <c r="D827" t="inlineStr">
        <is>
          <t>KALMAR LÄN</t>
        </is>
      </c>
      <c r="E827" t="inlineStr">
        <is>
          <t>VIMMERBY</t>
        </is>
      </c>
      <c r="G827" t="n">
        <v>7.6</v>
      </c>
      <c r="H827" t="n">
        <v>0</v>
      </c>
      <c r="I827" t="n">
        <v>0</v>
      </c>
      <c r="J827" t="n">
        <v>0</v>
      </c>
      <c r="K827" t="n">
        <v>0</v>
      </c>
      <c r="L827" t="n">
        <v>0</v>
      </c>
      <c r="M827" t="n">
        <v>0</v>
      </c>
      <c r="N827" t="n">
        <v>0</v>
      </c>
      <c r="O827" t="n">
        <v>0</v>
      </c>
      <c r="P827" t="n">
        <v>0</v>
      </c>
      <c r="Q827" t="n">
        <v>0</v>
      </c>
      <c r="R827" s="2" t="inlineStr"/>
    </row>
    <row r="828" ht="15" customHeight="1">
      <c r="A828" t="inlineStr">
        <is>
          <t>A 36221-2025</t>
        </is>
      </c>
      <c r="B828" s="1" t="n">
        <v>45867.50792824074</v>
      </c>
      <c r="C828" s="1" t="n">
        <v>46177</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36226-2025</t>
        </is>
      </c>
      <c r="B829" s="1" t="n">
        <v>45867.51630787037</v>
      </c>
      <c r="C829" s="1" t="n">
        <v>46177</v>
      </c>
      <c r="D829" t="inlineStr">
        <is>
          <t>KALMAR LÄN</t>
        </is>
      </c>
      <c r="E829" t="inlineStr">
        <is>
          <t>VIMMERBY</t>
        </is>
      </c>
      <c r="G829" t="n">
        <v>3.1</v>
      </c>
      <c r="H829" t="n">
        <v>0</v>
      </c>
      <c r="I829" t="n">
        <v>0</v>
      </c>
      <c r="J829" t="n">
        <v>0</v>
      </c>
      <c r="K829" t="n">
        <v>0</v>
      </c>
      <c r="L829" t="n">
        <v>0</v>
      </c>
      <c r="M829" t="n">
        <v>0</v>
      </c>
      <c r="N829" t="n">
        <v>0</v>
      </c>
      <c r="O829" t="n">
        <v>0</v>
      </c>
      <c r="P829" t="n">
        <v>0</v>
      </c>
      <c r="Q829" t="n">
        <v>0</v>
      </c>
      <c r="R829" s="2" t="inlineStr"/>
    </row>
    <row r="830" ht="15" customHeight="1">
      <c r="A830" t="inlineStr">
        <is>
          <t>A 36297-2025</t>
        </is>
      </c>
      <c r="B830" s="1" t="n">
        <v>45867.68625</v>
      </c>
      <c r="C830" s="1" t="n">
        <v>46177</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36246-2025</t>
        </is>
      </c>
      <c r="B831" s="1" t="n">
        <v>45867.56320601852</v>
      </c>
      <c r="C831" s="1" t="n">
        <v>46177</v>
      </c>
      <c r="D831" t="inlineStr">
        <is>
          <t>KALMAR LÄN</t>
        </is>
      </c>
      <c r="E831" t="inlineStr">
        <is>
          <t>VIMMERBY</t>
        </is>
      </c>
      <c r="G831" t="n">
        <v>1</v>
      </c>
      <c r="H831" t="n">
        <v>0</v>
      </c>
      <c r="I831" t="n">
        <v>0</v>
      </c>
      <c r="J831" t="n">
        <v>0</v>
      </c>
      <c r="K831" t="n">
        <v>0</v>
      </c>
      <c r="L831" t="n">
        <v>0</v>
      </c>
      <c r="M831" t="n">
        <v>0</v>
      </c>
      <c r="N831" t="n">
        <v>0</v>
      </c>
      <c r="O831" t="n">
        <v>0</v>
      </c>
      <c r="P831" t="n">
        <v>0</v>
      </c>
      <c r="Q831" t="n">
        <v>0</v>
      </c>
      <c r="R831" s="2" t="inlineStr"/>
    </row>
    <row r="832" ht="15" customHeight="1">
      <c r="A832" t="inlineStr">
        <is>
          <t>A 36282-2025</t>
        </is>
      </c>
      <c r="B832" s="1" t="n">
        <v>45867.64663194444</v>
      </c>
      <c r="C832" s="1" t="n">
        <v>46177</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61937-2025</t>
        </is>
      </c>
      <c r="B833" s="1" t="n">
        <v>46003</v>
      </c>
      <c r="C833" s="1" t="n">
        <v>46177</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36538-2025</t>
        </is>
      </c>
      <c r="B834" s="1" t="n">
        <v>45869.62276620371</v>
      </c>
      <c r="C834" s="1" t="n">
        <v>46177</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63711-2025</t>
        </is>
      </c>
      <c r="B835" s="1" t="n">
        <v>46014.62724537037</v>
      </c>
      <c r="C835" s="1" t="n">
        <v>46177</v>
      </c>
      <c r="D835" t="inlineStr">
        <is>
          <t>KALMAR LÄN</t>
        </is>
      </c>
      <c r="E835" t="inlineStr">
        <is>
          <t>VIMMERBY</t>
        </is>
      </c>
      <c r="G835" t="n">
        <v>2.1</v>
      </c>
      <c r="H835" t="n">
        <v>0</v>
      </c>
      <c r="I835" t="n">
        <v>0</v>
      </c>
      <c r="J835" t="n">
        <v>0</v>
      </c>
      <c r="K835" t="n">
        <v>0</v>
      </c>
      <c r="L835" t="n">
        <v>0</v>
      </c>
      <c r="M835" t="n">
        <v>0</v>
      </c>
      <c r="N835" t="n">
        <v>0</v>
      </c>
      <c r="O835" t="n">
        <v>0</v>
      </c>
      <c r="P835" t="n">
        <v>0</v>
      </c>
      <c r="Q835" t="n">
        <v>0</v>
      </c>
      <c r="R835" s="2" t="inlineStr"/>
    </row>
    <row r="836" ht="15" customHeight="1">
      <c r="A836" t="inlineStr">
        <is>
          <t>A 36598-2025</t>
        </is>
      </c>
      <c r="B836" s="1" t="n">
        <v>45870.51708333333</v>
      </c>
      <c r="C836" s="1" t="n">
        <v>46177</v>
      </c>
      <c r="D836" t="inlineStr">
        <is>
          <t>KALMAR LÄN</t>
        </is>
      </c>
      <c r="E836" t="inlineStr">
        <is>
          <t>VIMMERBY</t>
        </is>
      </c>
      <c r="G836" t="n">
        <v>3.7</v>
      </c>
      <c r="H836" t="n">
        <v>0</v>
      </c>
      <c r="I836" t="n">
        <v>0</v>
      </c>
      <c r="J836" t="n">
        <v>0</v>
      </c>
      <c r="K836" t="n">
        <v>0</v>
      </c>
      <c r="L836" t="n">
        <v>0</v>
      </c>
      <c r="M836" t="n">
        <v>0</v>
      </c>
      <c r="N836" t="n">
        <v>0</v>
      </c>
      <c r="O836" t="n">
        <v>0</v>
      </c>
      <c r="P836" t="n">
        <v>0</v>
      </c>
      <c r="Q836" t="n">
        <v>0</v>
      </c>
      <c r="R836" s="2" t="inlineStr"/>
    </row>
    <row r="837" ht="15" customHeight="1">
      <c r="A837" t="inlineStr">
        <is>
          <t>A 36602-2025</t>
        </is>
      </c>
      <c r="B837" s="1" t="n">
        <v>45870.52111111111</v>
      </c>
      <c r="C837" s="1" t="n">
        <v>46177</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36600-2025</t>
        </is>
      </c>
      <c r="B838" s="1" t="n">
        <v>45870.51958333333</v>
      </c>
      <c r="C838" s="1" t="n">
        <v>46177</v>
      </c>
      <c r="D838" t="inlineStr">
        <is>
          <t>KALMAR LÄN</t>
        </is>
      </c>
      <c r="E838" t="inlineStr">
        <is>
          <t>VIMMERBY</t>
        </is>
      </c>
      <c r="G838" t="n">
        <v>2</v>
      </c>
      <c r="H838" t="n">
        <v>0</v>
      </c>
      <c r="I838" t="n">
        <v>0</v>
      </c>
      <c r="J838" t="n">
        <v>0</v>
      </c>
      <c r="K838" t="n">
        <v>0</v>
      </c>
      <c r="L838" t="n">
        <v>0</v>
      </c>
      <c r="M838" t="n">
        <v>0</v>
      </c>
      <c r="N838" t="n">
        <v>0</v>
      </c>
      <c r="O838" t="n">
        <v>0</v>
      </c>
      <c r="P838" t="n">
        <v>0</v>
      </c>
      <c r="Q838" t="n">
        <v>0</v>
      </c>
      <c r="R838" s="2" t="inlineStr"/>
    </row>
    <row r="839" ht="15" customHeight="1">
      <c r="A839" t="inlineStr">
        <is>
          <t>A 36601-2025</t>
        </is>
      </c>
      <c r="B839" s="1" t="n">
        <v>45870.52005787037</v>
      </c>
      <c r="C839" s="1" t="n">
        <v>46177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36603-2025</t>
        </is>
      </c>
      <c r="B840" s="1" t="n">
        <v>45870.52142361111</v>
      </c>
      <c r="C840" s="1" t="n">
        <v>46177</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63845-2025</t>
        </is>
      </c>
      <c r="B841" s="1" t="n">
        <v>46020.43715277778</v>
      </c>
      <c r="C841" s="1" t="n">
        <v>46177</v>
      </c>
      <c r="D841" t="inlineStr">
        <is>
          <t>KALMAR LÄN</t>
        </is>
      </c>
      <c r="E841" t="inlineStr">
        <is>
          <t>VIMMERBY</t>
        </is>
      </c>
      <c r="G841" t="n">
        <v>3.8</v>
      </c>
      <c r="H841" t="n">
        <v>0</v>
      </c>
      <c r="I841" t="n">
        <v>0</v>
      </c>
      <c r="J841" t="n">
        <v>0</v>
      </c>
      <c r="K841" t="n">
        <v>0</v>
      </c>
      <c r="L841" t="n">
        <v>0</v>
      </c>
      <c r="M841" t="n">
        <v>0</v>
      </c>
      <c r="N841" t="n">
        <v>0</v>
      </c>
      <c r="O841" t="n">
        <v>0</v>
      </c>
      <c r="P841" t="n">
        <v>0</v>
      </c>
      <c r="Q841" t="n">
        <v>0</v>
      </c>
      <c r="R841" s="2" t="inlineStr"/>
    </row>
    <row r="842" ht="15" customHeight="1">
      <c r="A842" t="inlineStr">
        <is>
          <t>A 63848-2025</t>
        </is>
      </c>
      <c r="B842" s="1" t="n">
        <v>46020.44902777778</v>
      </c>
      <c r="C842" s="1" t="n">
        <v>46177</v>
      </c>
      <c r="D842" t="inlineStr">
        <is>
          <t>KALMAR LÄN</t>
        </is>
      </c>
      <c r="E842" t="inlineStr">
        <is>
          <t>VIMMERBY</t>
        </is>
      </c>
      <c r="G842" t="n">
        <v>3.4</v>
      </c>
      <c r="H842" t="n">
        <v>0</v>
      </c>
      <c r="I842" t="n">
        <v>0</v>
      </c>
      <c r="J842" t="n">
        <v>0</v>
      </c>
      <c r="K842" t="n">
        <v>0</v>
      </c>
      <c r="L842" t="n">
        <v>0</v>
      </c>
      <c r="M842" t="n">
        <v>0</v>
      </c>
      <c r="N842" t="n">
        <v>0</v>
      </c>
      <c r="O842" t="n">
        <v>0</v>
      </c>
      <c r="P842" t="n">
        <v>0</v>
      </c>
      <c r="Q842" t="n">
        <v>0</v>
      </c>
      <c r="R842" s="2" t="inlineStr"/>
    </row>
    <row r="843" ht="15" customHeight="1">
      <c r="A843" t="inlineStr">
        <is>
          <t>A 63758-2025</t>
        </is>
      </c>
      <c r="B843" s="1" t="n">
        <v>46018.46483796297</v>
      </c>
      <c r="C843" s="1" t="n">
        <v>46177</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63839-2025</t>
        </is>
      </c>
      <c r="B844" s="1" t="n">
        <v>46020.41998842593</v>
      </c>
      <c r="C844" s="1" t="n">
        <v>46177</v>
      </c>
      <c r="D844" t="inlineStr">
        <is>
          <t>KALMAR LÄN</t>
        </is>
      </c>
      <c r="E844" t="inlineStr">
        <is>
          <t>VIMMERBY</t>
        </is>
      </c>
      <c r="G844" t="n">
        <v>2.9</v>
      </c>
      <c r="H844" t="n">
        <v>0</v>
      </c>
      <c r="I844" t="n">
        <v>0</v>
      </c>
      <c r="J844" t="n">
        <v>0</v>
      </c>
      <c r="K844" t="n">
        <v>0</v>
      </c>
      <c r="L844" t="n">
        <v>0</v>
      </c>
      <c r="M844" t="n">
        <v>0</v>
      </c>
      <c r="N844" t="n">
        <v>0</v>
      </c>
      <c r="O844" t="n">
        <v>0</v>
      </c>
      <c r="P844" t="n">
        <v>0</v>
      </c>
      <c r="Q844" t="n">
        <v>0</v>
      </c>
      <c r="R844" s="2" t="inlineStr"/>
    </row>
    <row r="845" ht="15" customHeight="1">
      <c r="A845" t="inlineStr">
        <is>
          <t>A 63762-2025</t>
        </is>
      </c>
      <c r="B845" s="1" t="n">
        <v>46018.67197916667</v>
      </c>
      <c r="C845" s="1" t="n">
        <v>46177</v>
      </c>
      <c r="D845" t="inlineStr">
        <is>
          <t>KALMAR LÄN</t>
        </is>
      </c>
      <c r="E845" t="inlineStr">
        <is>
          <t>VIMMERBY</t>
        </is>
      </c>
      <c r="G845" t="n">
        <v>2.5</v>
      </c>
      <c r="H845" t="n">
        <v>0</v>
      </c>
      <c r="I845" t="n">
        <v>0</v>
      </c>
      <c r="J845" t="n">
        <v>0</v>
      </c>
      <c r="K845" t="n">
        <v>0</v>
      </c>
      <c r="L845" t="n">
        <v>0</v>
      </c>
      <c r="M845" t="n">
        <v>0</v>
      </c>
      <c r="N845" t="n">
        <v>0</v>
      </c>
      <c r="O845" t="n">
        <v>0</v>
      </c>
      <c r="P845" t="n">
        <v>0</v>
      </c>
      <c r="Q845" t="n">
        <v>0</v>
      </c>
      <c r="R845" s="2" t="inlineStr"/>
    </row>
    <row r="846" ht="15" customHeight="1">
      <c r="A846" t="inlineStr">
        <is>
          <t>A 409-2026</t>
        </is>
      </c>
      <c r="B846" s="1" t="n">
        <v>46028.69432870371</v>
      </c>
      <c r="C846" s="1" t="n">
        <v>46177</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36934-2025</t>
        </is>
      </c>
      <c r="B847" s="1" t="n">
        <v>45874.57109953704</v>
      </c>
      <c r="C847" s="1" t="n">
        <v>46177</v>
      </c>
      <c r="D847" t="inlineStr">
        <is>
          <t>KALMAR LÄN</t>
        </is>
      </c>
      <c r="E847" t="inlineStr">
        <is>
          <t>VIMMERBY</t>
        </is>
      </c>
      <c r="G847" t="n">
        <v>4.2</v>
      </c>
      <c r="H847" t="n">
        <v>0</v>
      </c>
      <c r="I847" t="n">
        <v>0</v>
      </c>
      <c r="J847" t="n">
        <v>0</v>
      </c>
      <c r="K847" t="n">
        <v>0</v>
      </c>
      <c r="L847" t="n">
        <v>0</v>
      </c>
      <c r="M847" t="n">
        <v>0</v>
      </c>
      <c r="N847" t="n">
        <v>0</v>
      </c>
      <c r="O847" t="n">
        <v>0</v>
      </c>
      <c r="P847" t="n">
        <v>0</v>
      </c>
      <c r="Q847" t="n">
        <v>0</v>
      </c>
      <c r="R847" s="2" t="inlineStr"/>
    </row>
    <row r="848" ht="15" customHeight="1">
      <c r="A848" t="inlineStr">
        <is>
          <t>A 406-2026</t>
        </is>
      </c>
      <c r="B848" s="1" t="n">
        <v>46028.68663194445</v>
      </c>
      <c r="C848" s="1" t="n">
        <v>46177</v>
      </c>
      <c r="D848" t="inlineStr">
        <is>
          <t>KALMAR LÄN</t>
        </is>
      </c>
      <c r="E848" t="inlineStr">
        <is>
          <t>VIMMERBY</t>
        </is>
      </c>
      <c r="G848" t="n">
        <v>1.8</v>
      </c>
      <c r="H848" t="n">
        <v>0</v>
      </c>
      <c r="I848" t="n">
        <v>0</v>
      </c>
      <c r="J848" t="n">
        <v>0</v>
      </c>
      <c r="K848" t="n">
        <v>0</v>
      </c>
      <c r="L848" t="n">
        <v>0</v>
      </c>
      <c r="M848" t="n">
        <v>0</v>
      </c>
      <c r="N848" t="n">
        <v>0</v>
      </c>
      <c r="O848" t="n">
        <v>0</v>
      </c>
      <c r="P848" t="n">
        <v>0</v>
      </c>
      <c r="Q848" t="n">
        <v>0</v>
      </c>
      <c r="R848" s="2" t="inlineStr"/>
    </row>
    <row r="849" ht="15" customHeight="1">
      <c r="A849" t="inlineStr">
        <is>
          <t>A 579-2026</t>
        </is>
      </c>
      <c r="B849" s="1" t="n">
        <v>46029.47912037037</v>
      </c>
      <c r="C849" s="1" t="n">
        <v>46177</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37088-2025</t>
        </is>
      </c>
      <c r="B850" s="1" t="n">
        <v>45875.45716435185</v>
      </c>
      <c r="C850" s="1" t="n">
        <v>46177</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37102-2025</t>
        </is>
      </c>
      <c r="B851" s="1" t="n">
        <v>45875.47454861111</v>
      </c>
      <c r="C851" s="1" t="n">
        <v>46177</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842-2026</t>
        </is>
      </c>
      <c r="B852" s="1" t="n">
        <v>46030.380625</v>
      </c>
      <c r="C852" s="1" t="n">
        <v>46177</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1069-2026</t>
        </is>
      </c>
      <c r="B853" s="1" t="n">
        <v>46030</v>
      </c>
      <c r="C853" s="1" t="n">
        <v>46177</v>
      </c>
      <c r="D853" t="inlineStr">
        <is>
          <t>KALMAR LÄN</t>
        </is>
      </c>
      <c r="E853" t="inlineStr">
        <is>
          <t>VIMMERBY</t>
        </is>
      </c>
      <c r="G853" t="n">
        <v>3.3</v>
      </c>
      <c r="H853" t="n">
        <v>0</v>
      </c>
      <c r="I853" t="n">
        <v>0</v>
      </c>
      <c r="J853" t="n">
        <v>0</v>
      </c>
      <c r="K853" t="n">
        <v>0</v>
      </c>
      <c r="L853" t="n">
        <v>0</v>
      </c>
      <c r="M853" t="n">
        <v>0</v>
      </c>
      <c r="N853" t="n">
        <v>0</v>
      </c>
      <c r="O853" t="n">
        <v>0</v>
      </c>
      <c r="P853" t="n">
        <v>0</v>
      </c>
      <c r="Q853" t="n">
        <v>0</v>
      </c>
      <c r="R853" s="2" t="inlineStr"/>
    </row>
    <row r="854" ht="15" customHeight="1">
      <c r="A854" t="inlineStr">
        <is>
          <t>A 37079-2025</t>
        </is>
      </c>
      <c r="B854" s="1" t="n">
        <v>45875.42716435185</v>
      </c>
      <c r="C854" s="1" t="n">
        <v>46177</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37668-2025</t>
        </is>
      </c>
      <c r="B855" s="1" t="n">
        <v>45880.51550925926</v>
      </c>
      <c r="C855" s="1" t="n">
        <v>46177</v>
      </c>
      <c r="D855" t="inlineStr">
        <is>
          <t>KALMAR LÄN</t>
        </is>
      </c>
      <c r="E855" t="inlineStr">
        <is>
          <t>VIMMERBY</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37578-2025</t>
        </is>
      </c>
      <c r="B856" s="1" t="n">
        <v>45880.38380787037</v>
      </c>
      <c r="C856" s="1" t="n">
        <v>46177</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1734-2026</t>
        </is>
      </c>
      <c r="B857" s="1" t="n">
        <v>46034</v>
      </c>
      <c r="C857" s="1" t="n">
        <v>46177</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1743-2026</t>
        </is>
      </c>
      <c r="B858" s="1" t="n">
        <v>46034</v>
      </c>
      <c r="C858" s="1" t="n">
        <v>46177</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1748-2026</t>
        </is>
      </c>
      <c r="B859" s="1" t="n">
        <v>46034.65589120371</v>
      </c>
      <c r="C859" s="1" t="n">
        <v>46177</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1862-2026</t>
        </is>
      </c>
      <c r="B860" s="1" t="n">
        <v>46035.44689814815</v>
      </c>
      <c r="C860" s="1" t="n">
        <v>46177</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37866-2025</t>
        </is>
      </c>
      <c r="B861" s="1" t="n">
        <v>45881</v>
      </c>
      <c r="C861" s="1" t="n">
        <v>46177</v>
      </c>
      <c r="D861" t="inlineStr">
        <is>
          <t>KALMAR LÄN</t>
        </is>
      </c>
      <c r="E861" t="inlineStr">
        <is>
          <t>VIMMERBY</t>
        </is>
      </c>
      <c r="G861" t="n">
        <v>3.4</v>
      </c>
      <c r="H861" t="n">
        <v>0</v>
      </c>
      <c r="I861" t="n">
        <v>0</v>
      </c>
      <c r="J861" t="n">
        <v>0</v>
      </c>
      <c r="K861" t="n">
        <v>0</v>
      </c>
      <c r="L861" t="n">
        <v>0</v>
      </c>
      <c r="M861" t="n">
        <v>0</v>
      </c>
      <c r="N861" t="n">
        <v>0</v>
      </c>
      <c r="O861" t="n">
        <v>0</v>
      </c>
      <c r="P861" t="n">
        <v>0</v>
      </c>
      <c r="Q861" t="n">
        <v>0</v>
      </c>
      <c r="R861" s="2" t="inlineStr"/>
    </row>
    <row r="862" ht="15" customHeight="1">
      <c r="A862" t="inlineStr">
        <is>
          <t>A 37939-2025</t>
        </is>
      </c>
      <c r="B862" s="1" t="n">
        <v>45881.59877314815</v>
      </c>
      <c r="C862" s="1" t="n">
        <v>46177</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2523-2026</t>
        </is>
      </c>
      <c r="B863" s="1" t="n">
        <v>46037.42825231481</v>
      </c>
      <c r="C863" s="1" t="n">
        <v>46177</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2514-2026</t>
        </is>
      </c>
      <c r="B864" s="1" t="n">
        <v>46037.42219907408</v>
      </c>
      <c r="C864" s="1" t="n">
        <v>46177</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2518-2026</t>
        </is>
      </c>
      <c r="B865" s="1" t="n">
        <v>46037.42511574074</v>
      </c>
      <c r="C865" s="1" t="n">
        <v>46177</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3266-2026</t>
        </is>
      </c>
      <c r="B866" s="1" t="n">
        <v>46041</v>
      </c>
      <c r="C866" s="1" t="n">
        <v>46177</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3292-2026</t>
        </is>
      </c>
      <c r="B867" s="1" t="n">
        <v>46041</v>
      </c>
      <c r="C867" s="1" t="n">
        <v>46177</v>
      </c>
      <c r="D867" t="inlineStr">
        <is>
          <t>KALMAR LÄN</t>
        </is>
      </c>
      <c r="E867" t="inlineStr">
        <is>
          <t>VIMMERBY</t>
        </is>
      </c>
      <c r="G867" t="n">
        <v>3.9</v>
      </c>
      <c r="H867" t="n">
        <v>0</v>
      </c>
      <c r="I867" t="n">
        <v>0</v>
      </c>
      <c r="J867" t="n">
        <v>0</v>
      </c>
      <c r="K867" t="n">
        <v>0</v>
      </c>
      <c r="L867" t="n">
        <v>0</v>
      </c>
      <c r="M867" t="n">
        <v>0</v>
      </c>
      <c r="N867" t="n">
        <v>0</v>
      </c>
      <c r="O867" t="n">
        <v>0</v>
      </c>
      <c r="P867" t="n">
        <v>0</v>
      </c>
      <c r="Q867" t="n">
        <v>0</v>
      </c>
      <c r="R867" s="2" t="inlineStr"/>
    </row>
    <row r="868" ht="15" customHeight="1">
      <c r="A868" t="inlineStr">
        <is>
          <t>A 3965-2026</t>
        </is>
      </c>
      <c r="B868" s="1" t="n">
        <v>46044.34563657407</v>
      </c>
      <c r="C868" s="1" t="n">
        <v>46177</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3868-2026</t>
        </is>
      </c>
      <c r="B869" s="1" t="n">
        <v>46043.6360300926</v>
      </c>
      <c r="C869" s="1" t="n">
        <v>46177</v>
      </c>
      <c r="D869" t="inlineStr">
        <is>
          <t>KALMAR LÄN</t>
        </is>
      </c>
      <c r="E869" t="inlineStr">
        <is>
          <t>VIMMERBY</t>
        </is>
      </c>
      <c r="G869" t="n">
        <v>0.9</v>
      </c>
      <c r="H869" t="n">
        <v>0</v>
      </c>
      <c r="I869" t="n">
        <v>0</v>
      </c>
      <c r="J869" t="n">
        <v>0</v>
      </c>
      <c r="K869" t="n">
        <v>0</v>
      </c>
      <c r="L869" t="n">
        <v>0</v>
      </c>
      <c r="M869" t="n">
        <v>0</v>
      </c>
      <c r="N869" t="n">
        <v>0</v>
      </c>
      <c r="O869" t="n">
        <v>0</v>
      </c>
      <c r="P869" t="n">
        <v>0</v>
      </c>
      <c r="Q869" t="n">
        <v>0</v>
      </c>
      <c r="R869" s="2" t="inlineStr"/>
    </row>
    <row r="870" ht="15" customHeight="1">
      <c r="A870" t="inlineStr">
        <is>
          <t>A 3869-2026</t>
        </is>
      </c>
      <c r="B870" s="1" t="n">
        <v>46043.63940972222</v>
      </c>
      <c r="C870" s="1" t="n">
        <v>46177</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6817-2026</t>
        </is>
      </c>
      <c r="B871" s="1" t="n">
        <v>46057.38412037037</v>
      </c>
      <c r="C871" s="1" t="n">
        <v>46177</v>
      </c>
      <c r="D871" t="inlineStr">
        <is>
          <t>KALMAR LÄN</t>
        </is>
      </c>
      <c r="E871" t="inlineStr">
        <is>
          <t>VIMMERBY</t>
        </is>
      </c>
      <c r="G871" t="n">
        <v>0.7</v>
      </c>
      <c r="H871" t="n">
        <v>0</v>
      </c>
      <c r="I871" t="n">
        <v>0</v>
      </c>
      <c r="J871" t="n">
        <v>0</v>
      </c>
      <c r="K871" t="n">
        <v>0</v>
      </c>
      <c r="L871" t="n">
        <v>0</v>
      </c>
      <c r="M871" t="n">
        <v>0</v>
      </c>
      <c r="N871" t="n">
        <v>0</v>
      </c>
      <c r="O871" t="n">
        <v>0</v>
      </c>
      <c r="P871" t="n">
        <v>0</v>
      </c>
      <c r="Q871" t="n">
        <v>0</v>
      </c>
      <c r="R871" s="2" t="inlineStr"/>
    </row>
    <row r="872" ht="15" customHeight="1">
      <c r="A872" t="inlineStr">
        <is>
          <t>A 8696-2026</t>
        </is>
      </c>
      <c r="B872" s="1" t="n">
        <v>46066.45273148148</v>
      </c>
      <c r="C872" s="1" t="n">
        <v>46177</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8595-2026</t>
        </is>
      </c>
      <c r="B873" s="1" t="n">
        <v>46065.7372337963</v>
      </c>
      <c r="C873" s="1" t="n">
        <v>46177</v>
      </c>
      <c r="D873" t="inlineStr">
        <is>
          <t>KALMAR LÄN</t>
        </is>
      </c>
      <c r="E873" t="inlineStr">
        <is>
          <t>VIMMERBY</t>
        </is>
      </c>
      <c r="G873" t="n">
        <v>0.8</v>
      </c>
      <c r="H873" t="n">
        <v>0</v>
      </c>
      <c r="I873" t="n">
        <v>0</v>
      </c>
      <c r="J873" t="n">
        <v>0</v>
      </c>
      <c r="K873" t="n">
        <v>0</v>
      </c>
      <c r="L873" t="n">
        <v>0</v>
      </c>
      <c r="M873" t="n">
        <v>0</v>
      </c>
      <c r="N873" t="n">
        <v>0</v>
      </c>
      <c r="O873" t="n">
        <v>0</v>
      </c>
      <c r="P873" t="n">
        <v>0</v>
      </c>
      <c r="Q873" t="n">
        <v>0</v>
      </c>
      <c r="R873" s="2" t="inlineStr"/>
    </row>
    <row r="874" ht="15" customHeight="1">
      <c r="A874" t="inlineStr">
        <is>
          <t>A 10965-2026</t>
        </is>
      </c>
      <c r="B874" s="1" t="n">
        <v>46079.43295138889</v>
      </c>
      <c r="C874" s="1" t="n">
        <v>46177</v>
      </c>
      <c r="D874" t="inlineStr">
        <is>
          <t>KALMAR LÄN</t>
        </is>
      </c>
      <c r="E874" t="inlineStr">
        <is>
          <t>VIMMERBY</t>
        </is>
      </c>
      <c r="G874" t="n">
        <v>0.8</v>
      </c>
      <c r="H874" t="n">
        <v>0</v>
      </c>
      <c r="I874" t="n">
        <v>0</v>
      </c>
      <c r="J874" t="n">
        <v>0</v>
      </c>
      <c r="K874" t="n">
        <v>0</v>
      </c>
      <c r="L874" t="n">
        <v>0</v>
      </c>
      <c r="M874" t="n">
        <v>0</v>
      </c>
      <c r="N874" t="n">
        <v>0</v>
      </c>
      <c r="O874" t="n">
        <v>0</v>
      </c>
      <c r="P874" t="n">
        <v>0</v>
      </c>
      <c r="Q874" t="n">
        <v>0</v>
      </c>
      <c r="R874" s="2" t="inlineStr"/>
    </row>
    <row r="875" ht="15" customHeight="1">
      <c r="A875" t="inlineStr">
        <is>
          <t>A 11407-2026</t>
        </is>
      </c>
      <c r="B875" s="1" t="n">
        <v>46083</v>
      </c>
      <c r="C875" s="1" t="n">
        <v>46177</v>
      </c>
      <c r="D875" t="inlineStr">
        <is>
          <t>KALMAR LÄN</t>
        </is>
      </c>
      <c r="E875" t="inlineStr">
        <is>
          <t>VIMMERBY</t>
        </is>
      </c>
      <c r="G875" t="n">
        <v>2.3</v>
      </c>
      <c r="H875" t="n">
        <v>0</v>
      </c>
      <c r="I875" t="n">
        <v>0</v>
      </c>
      <c r="J875" t="n">
        <v>0</v>
      </c>
      <c r="K875" t="n">
        <v>0</v>
      </c>
      <c r="L875" t="n">
        <v>0</v>
      </c>
      <c r="M875" t="n">
        <v>0</v>
      </c>
      <c r="N875" t="n">
        <v>0</v>
      </c>
      <c r="O875" t="n">
        <v>0</v>
      </c>
      <c r="P875" t="n">
        <v>0</v>
      </c>
      <c r="Q875" t="n">
        <v>0</v>
      </c>
      <c r="R875" s="2" t="inlineStr"/>
    </row>
    <row r="876" ht="15" customHeight="1">
      <c r="A876" t="inlineStr">
        <is>
          <t>A 11273-2026</t>
        </is>
      </c>
      <c r="B876" s="1" t="n">
        <v>46080.57634259259</v>
      </c>
      <c r="C876" s="1" t="n">
        <v>46177</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11415-2026</t>
        </is>
      </c>
      <c r="B877" s="1" t="n">
        <v>46083</v>
      </c>
      <c r="C877" s="1" t="n">
        <v>46177</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11798-2026</t>
        </is>
      </c>
      <c r="B878" s="1" t="n">
        <v>46085.34020833333</v>
      </c>
      <c r="C878" s="1" t="n">
        <v>46177</v>
      </c>
      <c r="D878" t="inlineStr">
        <is>
          <t>KALMAR LÄN</t>
        </is>
      </c>
      <c r="E878" t="inlineStr">
        <is>
          <t>VIMMERBY</t>
        </is>
      </c>
      <c r="G878" t="n">
        <v>0.7</v>
      </c>
      <c r="H878" t="n">
        <v>0</v>
      </c>
      <c r="I878" t="n">
        <v>0</v>
      </c>
      <c r="J878" t="n">
        <v>0</v>
      </c>
      <c r="K878" t="n">
        <v>0</v>
      </c>
      <c r="L878" t="n">
        <v>0</v>
      </c>
      <c r="M878" t="n">
        <v>0</v>
      </c>
      <c r="N878" t="n">
        <v>0</v>
      </c>
      <c r="O878" t="n">
        <v>0</v>
      </c>
      <c r="P878" t="n">
        <v>0</v>
      </c>
      <c r="Q878" t="n">
        <v>0</v>
      </c>
      <c r="R878" s="2" t="inlineStr"/>
    </row>
    <row r="879" ht="15" customHeight="1">
      <c r="A879" t="inlineStr">
        <is>
          <t>A 12730-2026</t>
        </is>
      </c>
      <c r="B879" s="1" t="n">
        <v>46091</v>
      </c>
      <c r="C879" s="1" t="n">
        <v>46177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12820-2026</t>
        </is>
      </c>
      <c r="B880" s="1" t="n">
        <v>46092.40909722223</v>
      </c>
      <c r="C880" s="1" t="n">
        <v>46177</v>
      </c>
      <c r="D880" t="inlineStr">
        <is>
          <t>KALMAR LÄN</t>
        </is>
      </c>
      <c r="E880" t="inlineStr">
        <is>
          <t>VIMMERBY</t>
        </is>
      </c>
      <c r="G880" t="n">
        <v>4.3</v>
      </c>
      <c r="H880" t="n">
        <v>0</v>
      </c>
      <c r="I880" t="n">
        <v>0</v>
      </c>
      <c r="J880" t="n">
        <v>0</v>
      </c>
      <c r="K880" t="n">
        <v>0</v>
      </c>
      <c r="L880" t="n">
        <v>0</v>
      </c>
      <c r="M880" t="n">
        <v>0</v>
      </c>
      <c r="N880" t="n">
        <v>0</v>
      </c>
      <c r="O880" t="n">
        <v>0</v>
      </c>
      <c r="P880" t="n">
        <v>0</v>
      </c>
      <c r="Q880" t="n">
        <v>0</v>
      </c>
      <c r="R880" s="2" t="inlineStr"/>
    </row>
    <row r="881" ht="15" customHeight="1">
      <c r="A881" t="inlineStr">
        <is>
          <t>A 12821-2026</t>
        </is>
      </c>
      <c r="B881" s="1" t="n">
        <v>46092.41256944444</v>
      </c>
      <c r="C881" s="1" t="n">
        <v>46177</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12825-2026</t>
        </is>
      </c>
      <c r="B882" s="1" t="n">
        <v>46092.41561342592</v>
      </c>
      <c r="C882" s="1" t="n">
        <v>46177</v>
      </c>
      <c r="D882" t="inlineStr">
        <is>
          <t>KALMAR LÄN</t>
        </is>
      </c>
      <c r="E882" t="inlineStr">
        <is>
          <t>VIMMERBY</t>
        </is>
      </c>
      <c r="G882" t="n">
        <v>2.6</v>
      </c>
      <c r="H882" t="n">
        <v>0</v>
      </c>
      <c r="I882" t="n">
        <v>0</v>
      </c>
      <c r="J882" t="n">
        <v>0</v>
      </c>
      <c r="K882" t="n">
        <v>0</v>
      </c>
      <c r="L882" t="n">
        <v>0</v>
      </c>
      <c r="M882" t="n">
        <v>0</v>
      </c>
      <c r="N882" t="n">
        <v>0</v>
      </c>
      <c r="O882" t="n">
        <v>0</v>
      </c>
      <c r="P882" t="n">
        <v>0</v>
      </c>
      <c r="Q882" t="n">
        <v>0</v>
      </c>
      <c r="R882" s="2" t="inlineStr"/>
    </row>
    <row r="883" ht="15" customHeight="1">
      <c r="A883" t="inlineStr">
        <is>
          <t>A 20017-2026</t>
        </is>
      </c>
      <c r="B883" s="1" t="n">
        <v>46136.49986111111</v>
      </c>
      <c r="C883" s="1" t="n">
        <v>46177</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20018-2026</t>
        </is>
      </c>
      <c r="B884" s="1" t="n">
        <v>46136.50282407407</v>
      </c>
      <c r="C884" s="1" t="n">
        <v>46177</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13667-2026</t>
        </is>
      </c>
      <c r="B885" s="1" t="n">
        <v>46097</v>
      </c>
      <c r="C885" s="1" t="n">
        <v>46177</v>
      </c>
      <c r="D885" t="inlineStr">
        <is>
          <t>KALMAR LÄN</t>
        </is>
      </c>
      <c r="E885" t="inlineStr">
        <is>
          <t>VIMMERBY</t>
        </is>
      </c>
      <c r="G885" t="n">
        <v>6.8</v>
      </c>
      <c r="H885" t="n">
        <v>0</v>
      </c>
      <c r="I885" t="n">
        <v>0</v>
      </c>
      <c r="J885" t="n">
        <v>0</v>
      </c>
      <c r="K885" t="n">
        <v>0</v>
      </c>
      <c r="L885" t="n">
        <v>0</v>
      </c>
      <c r="M885" t="n">
        <v>0</v>
      </c>
      <c r="N885" t="n">
        <v>0</v>
      </c>
      <c r="O885" t="n">
        <v>0</v>
      </c>
      <c r="P885" t="n">
        <v>0</v>
      </c>
      <c r="Q885" t="n">
        <v>0</v>
      </c>
      <c r="R885" s="2" t="inlineStr"/>
    </row>
    <row r="886" ht="15" customHeight="1">
      <c r="A886" t="inlineStr">
        <is>
          <t>A 13714-2026</t>
        </is>
      </c>
      <c r="B886" s="1" t="n">
        <v>46097.58472222222</v>
      </c>
      <c r="C886" s="1" t="n">
        <v>46177</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13793-2026</t>
        </is>
      </c>
      <c r="B887" s="1" t="n">
        <v>46097.79199074074</v>
      </c>
      <c r="C887" s="1" t="n">
        <v>46177</v>
      </c>
      <c r="D887" t="inlineStr">
        <is>
          <t>KALMAR LÄN</t>
        </is>
      </c>
      <c r="E887" t="inlineStr">
        <is>
          <t>VIMMERBY</t>
        </is>
      </c>
      <c r="G887" t="n">
        <v>2.9</v>
      </c>
      <c r="H887" t="n">
        <v>0</v>
      </c>
      <c r="I887" t="n">
        <v>0</v>
      </c>
      <c r="J887" t="n">
        <v>0</v>
      </c>
      <c r="K887" t="n">
        <v>0</v>
      </c>
      <c r="L887" t="n">
        <v>0</v>
      </c>
      <c r="M887" t="n">
        <v>0</v>
      </c>
      <c r="N887" t="n">
        <v>0</v>
      </c>
      <c r="O887" t="n">
        <v>0</v>
      </c>
      <c r="P887" t="n">
        <v>0</v>
      </c>
      <c r="Q887" t="n">
        <v>0</v>
      </c>
      <c r="R887" s="2" t="inlineStr"/>
    </row>
    <row r="888" ht="15" customHeight="1">
      <c r="A888" t="inlineStr">
        <is>
          <t>A 14279-2026</t>
        </is>
      </c>
      <c r="B888" s="1" t="n">
        <v>46099.66826388889</v>
      </c>
      <c r="C888" s="1" t="n">
        <v>46177</v>
      </c>
      <c r="D888" t="inlineStr">
        <is>
          <t>KALMAR LÄN</t>
        </is>
      </c>
      <c r="E888" t="inlineStr">
        <is>
          <t>VIMMERBY</t>
        </is>
      </c>
      <c r="G888" t="n">
        <v>2.8</v>
      </c>
      <c r="H888" t="n">
        <v>0</v>
      </c>
      <c r="I888" t="n">
        <v>0</v>
      </c>
      <c r="J888" t="n">
        <v>0</v>
      </c>
      <c r="K888" t="n">
        <v>0</v>
      </c>
      <c r="L888" t="n">
        <v>0</v>
      </c>
      <c r="M888" t="n">
        <v>0</v>
      </c>
      <c r="N888" t="n">
        <v>0</v>
      </c>
      <c r="O888" t="n">
        <v>0</v>
      </c>
      <c r="P888" t="n">
        <v>0</v>
      </c>
      <c r="Q888" t="n">
        <v>0</v>
      </c>
      <c r="R888" s="2" t="inlineStr"/>
    </row>
    <row r="889" ht="15" customHeight="1">
      <c r="A889" t="inlineStr">
        <is>
          <t>A 14277-2026</t>
        </is>
      </c>
      <c r="B889" s="1" t="n">
        <v>46099.66305555555</v>
      </c>
      <c r="C889" s="1" t="n">
        <v>46177</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14320-2026</t>
        </is>
      </c>
      <c r="B890" s="1" t="n">
        <v>46099.88449074074</v>
      </c>
      <c r="C890" s="1" t="n">
        <v>46177</v>
      </c>
      <c r="D890" t="inlineStr">
        <is>
          <t>KALMAR LÄN</t>
        </is>
      </c>
      <c r="E890" t="inlineStr">
        <is>
          <t>VIMMERBY</t>
        </is>
      </c>
      <c r="G890" t="n">
        <v>2.3</v>
      </c>
      <c r="H890" t="n">
        <v>0</v>
      </c>
      <c r="I890" t="n">
        <v>0</v>
      </c>
      <c r="J890" t="n">
        <v>0</v>
      </c>
      <c r="K890" t="n">
        <v>0</v>
      </c>
      <c r="L890" t="n">
        <v>0</v>
      </c>
      <c r="M890" t="n">
        <v>0</v>
      </c>
      <c r="N890" t="n">
        <v>0</v>
      </c>
      <c r="O890" t="n">
        <v>0</v>
      </c>
      <c r="P890" t="n">
        <v>0</v>
      </c>
      <c r="Q890" t="n">
        <v>0</v>
      </c>
      <c r="R890" s="2" t="inlineStr"/>
    </row>
    <row r="891" ht="15" customHeight="1">
      <c r="A891" t="inlineStr">
        <is>
          <t>A 14318-2026</t>
        </is>
      </c>
      <c r="B891" s="1" t="n">
        <v>46099.87961805556</v>
      </c>
      <c r="C891" s="1" t="n">
        <v>46177</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15205-2026</t>
        </is>
      </c>
      <c r="B892" s="1" t="n">
        <v>46105.48628472222</v>
      </c>
      <c r="C892" s="1" t="n">
        <v>46177</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15054-2026</t>
        </is>
      </c>
      <c r="B893" s="1" t="n">
        <v>46104.6815162037</v>
      </c>
      <c r="C893" s="1" t="n">
        <v>46177</v>
      </c>
      <c r="D893" t="inlineStr">
        <is>
          <t>KALMAR LÄN</t>
        </is>
      </c>
      <c r="E893" t="inlineStr">
        <is>
          <t>VIMMERBY</t>
        </is>
      </c>
      <c r="G893" t="n">
        <v>1.4</v>
      </c>
      <c r="H893" t="n">
        <v>0</v>
      </c>
      <c r="I893" t="n">
        <v>0</v>
      </c>
      <c r="J893" t="n">
        <v>0</v>
      </c>
      <c r="K893" t="n">
        <v>0</v>
      </c>
      <c r="L893" t="n">
        <v>0</v>
      </c>
      <c r="M893" t="n">
        <v>0</v>
      </c>
      <c r="N893" t="n">
        <v>0</v>
      </c>
      <c r="O893" t="n">
        <v>0</v>
      </c>
      <c r="P893" t="n">
        <v>0</v>
      </c>
      <c r="Q893" t="n">
        <v>0</v>
      </c>
      <c r="R893" s="2" t="inlineStr"/>
    </row>
    <row r="894" ht="15" customHeight="1">
      <c r="A894" t="inlineStr">
        <is>
          <t>A 14793-2026</t>
        </is>
      </c>
      <c r="B894" s="1" t="n">
        <v>46101.92108796296</v>
      </c>
      <c r="C894" s="1" t="n">
        <v>46177</v>
      </c>
      <c r="D894" t="inlineStr">
        <is>
          <t>KALMAR LÄN</t>
        </is>
      </c>
      <c r="E894" t="inlineStr">
        <is>
          <t>VIMMERBY</t>
        </is>
      </c>
      <c r="G894" t="n">
        <v>5.7</v>
      </c>
      <c r="H894" t="n">
        <v>0</v>
      </c>
      <c r="I894" t="n">
        <v>0</v>
      </c>
      <c r="J894" t="n">
        <v>0</v>
      </c>
      <c r="K894" t="n">
        <v>0</v>
      </c>
      <c r="L894" t="n">
        <v>0</v>
      </c>
      <c r="M894" t="n">
        <v>0</v>
      </c>
      <c r="N894" t="n">
        <v>0</v>
      </c>
      <c r="O894" t="n">
        <v>0</v>
      </c>
      <c r="P894" t="n">
        <v>0</v>
      </c>
      <c r="Q894" t="n">
        <v>0</v>
      </c>
      <c r="R894" s="2" t="inlineStr"/>
    </row>
    <row r="895" ht="15" customHeight="1">
      <c r="A895" t="inlineStr">
        <is>
          <t>A 14792-2026</t>
        </is>
      </c>
      <c r="B895" s="1" t="n">
        <v>46101.91993055555</v>
      </c>
      <c r="C895" s="1" t="n">
        <v>46177</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21882-2026</t>
        </is>
      </c>
      <c r="B896" s="1" t="n">
        <v>46150.59287037037</v>
      </c>
      <c r="C896" s="1" t="n">
        <v>46177</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16183-2026</t>
        </is>
      </c>
      <c r="B897" s="1" t="n">
        <v>46111</v>
      </c>
      <c r="C897" s="1" t="n">
        <v>46177</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16632-2026</t>
        </is>
      </c>
      <c r="B898" s="1" t="n">
        <v>46112.62212962963</v>
      </c>
      <c r="C898" s="1" t="n">
        <v>46177</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16653-2026</t>
        </is>
      </c>
      <c r="B899" s="1" t="n">
        <v>46112.64597222222</v>
      </c>
      <c r="C899" s="1" t="n">
        <v>46177</v>
      </c>
      <c r="D899" t="inlineStr">
        <is>
          <t>KALMAR LÄN</t>
        </is>
      </c>
      <c r="E899" t="inlineStr">
        <is>
          <t>VIMMERBY</t>
        </is>
      </c>
      <c r="F899" t="inlineStr">
        <is>
          <t>Kommuner</t>
        </is>
      </c>
      <c r="G899" t="n">
        <v>4.4</v>
      </c>
      <c r="H899" t="n">
        <v>0</v>
      </c>
      <c r="I899" t="n">
        <v>0</v>
      </c>
      <c r="J899" t="n">
        <v>0</v>
      </c>
      <c r="K899" t="n">
        <v>0</v>
      </c>
      <c r="L899" t="n">
        <v>0</v>
      </c>
      <c r="M899" t="n">
        <v>0</v>
      </c>
      <c r="N899" t="n">
        <v>0</v>
      </c>
      <c r="O899" t="n">
        <v>0</v>
      </c>
      <c r="P899" t="n">
        <v>0</v>
      </c>
      <c r="Q899" t="n">
        <v>0</v>
      </c>
      <c r="R899" s="2" t="inlineStr"/>
    </row>
    <row r="900" ht="15" customHeight="1">
      <c r="A900" t="inlineStr">
        <is>
          <t>A 16672-2026</t>
        </is>
      </c>
      <c r="B900" s="1" t="n">
        <v>46112.67336805556</v>
      </c>
      <c r="C900" s="1" t="n">
        <v>46177</v>
      </c>
      <c r="D900" t="inlineStr">
        <is>
          <t>KALMAR LÄN</t>
        </is>
      </c>
      <c r="E900" t="inlineStr">
        <is>
          <t>VIMMERBY</t>
        </is>
      </c>
      <c r="F900" t="inlineStr">
        <is>
          <t>Kommuner</t>
        </is>
      </c>
      <c r="G900" t="n">
        <v>1.4</v>
      </c>
      <c r="H900" t="n">
        <v>0</v>
      </c>
      <c r="I900" t="n">
        <v>0</v>
      </c>
      <c r="J900" t="n">
        <v>0</v>
      </c>
      <c r="K900" t="n">
        <v>0</v>
      </c>
      <c r="L900" t="n">
        <v>0</v>
      </c>
      <c r="M900" t="n">
        <v>0</v>
      </c>
      <c r="N900" t="n">
        <v>0</v>
      </c>
      <c r="O900" t="n">
        <v>0</v>
      </c>
      <c r="P900" t="n">
        <v>0</v>
      </c>
      <c r="Q900" t="n">
        <v>0</v>
      </c>
      <c r="R900" s="2" t="inlineStr"/>
    </row>
    <row r="901" ht="15" customHeight="1">
      <c r="A901" t="inlineStr">
        <is>
          <t>A 16870-2026</t>
        </is>
      </c>
      <c r="B901" s="1" t="n">
        <v>46113.5822800926</v>
      </c>
      <c r="C901" s="1" t="n">
        <v>46177</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16795-2026</t>
        </is>
      </c>
      <c r="B902" s="1" t="n">
        <v>46113.47216435185</v>
      </c>
      <c r="C902" s="1" t="n">
        <v>46177</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16799-2026</t>
        </is>
      </c>
      <c r="B903" s="1" t="n">
        <v>46113.47913194444</v>
      </c>
      <c r="C903" s="1" t="n">
        <v>46177</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16801-2026</t>
        </is>
      </c>
      <c r="B904" s="1" t="n">
        <v>46113.48400462963</v>
      </c>
      <c r="C904" s="1" t="n">
        <v>46177</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16675-2026</t>
        </is>
      </c>
      <c r="B905" s="1" t="n">
        <v>46112.68202546296</v>
      </c>
      <c r="C905" s="1" t="n">
        <v>46177</v>
      </c>
      <c r="D905" t="inlineStr">
        <is>
          <t>KALMAR LÄN</t>
        </is>
      </c>
      <c r="E905" t="inlineStr">
        <is>
          <t>VIMMERBY</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16678-2026</t>
        </is>
      </c>
      <c r="B906" s="1" t="n">
        <v>46112.69435185185</v>
      </c>
      <c r="C906" s="1" t="n">
        <v>46177</v>
      </c>
      <c r="D906" t="inlineStr">
        <is>
          <t>KALMAR LÄN</t>
        </is>
      </c>
      <c r="E906" t="inlineStr">
        <is>
          <t>VIMMERBY</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16648-2026</t>
        </is>
      </c>
      <c r="B907" s="1" t="n">
        <v>46112.64032407408</v>
      </c>
      <c r="C907" s="1" t="n">
        <v>46177</v>
      </c>
      <c r="D907" t="inlineStr">
        <is>
          <t>KALMAR LÄN</t>
        </is>
      </c>
      <c r="E907" t="inlineStr">
        <is>
          <t>VIMMERBY</t>
        </is>
      </c>
      <c r="F907" t="inlineStr">
        <is>
          <t>Kommuner</t>
        </is>
      </c>
      <c r="G907" t="n">
        <v>0.9</v>
      </c>
      <c r="H907" t="n">
        <v>0</v>
      </c>
      <c r="I907" t="n">
        <v>0</v>
      </c>
      <c r="J907" t="n">
        <v>0</v>
      </c>
      <c r="K907" t="n">
        <v>0</v>
      </c>
      <c r="L907" t="n">
        <v>0</v>
      </c>
      <c r="M907" t="n">
        <v>0</v>
      </c>
      <c r="N907" t="n">
        <v>0</v>
      </c>
      <c r="O907" t="n">
        <v>0</v>
      </c>
      <c r="P907" t="n">
        <v>0</v>
      </c>
      <c r="Q907" t="n">
        <v>0</v>
      </c>
      <c r="R907" s="2" t="inlineStr"/>
    </row>
    <row r="908" ht="15" customHeight="1">
      <c r="A908" t="inlineStr">
        <is>
          <t>A 16656-2026</t>
        </is>
      </c>
      <c r="B908" s="1" t="n">
        <v>46112.65111111111</v>
      </c>
      <c r="C908" s="1" t="n">
        <v>46177</v>
      </c>
      <c r="D908" t="inlineStr">
        <is>
          <t>KALMAR LÄN</t>
        </is>
      </c>
      <c r="E908" t="inlineStr">
        <is>
          <t>VIMMERBY</t>
        </is>
      </c>
      <c r="F908" t="inlineStr">
        <is>
          <t>Kommuner</t>
        </is>
      </c>
      <c r="G908" t="n">
        <v>5.5</v>
      </c>
      <c r="H908" t="n">
        <v>0</v>
      </c>
      <c r="I908" t="n">
        <v>0</v>
      </c>
      <c r="J908" t="n">
        <v>0</v>
      </c>
      <c r="K908" t="n">
        <v>0</v>
      </c>
      <c r="L908" t="n">
        <v>0</v>
      </c>
      <c r="M908" t="n">
        <v>0</v>
      </c>
      <c r="N908" t="n">
        <v>0</v>
      </c>
      <c r="O908" t="n">
        <v>0</v>
      </c>
      <c r="P908" t="n">
        <v>0</v>
      </c>
      <c r="Q908" t="n">
        <v>0</v>
      </c>
      <c r="R908" s="2" t="inlineStr"/>
    </row>
    <row r="909" ht="15" customHeight="1">
      <c r="A909" t="inlineStr">
        <is>
          <t>A 16823-2026</t>
        </is>
      </c>
      <c r="B909" s="1" t="n">
        <v>46113.51649305555</v>
      </c>
      <c r="C909" s="1" t="n">
        <v>46177</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16617-2026</t>
        </is>
      </c>
      <c r="B910" s="1" t="n">
        <v>46112.60607638889</v>
      </c>
      <c r="C910" s="1" t="n">
        <v>46177</v>
      </c>
      <c r="D910" t="inlineStr">
        <is>
          <t>KALMAR LÄN</t>
        </is>
      </c>
      <c r="E910" t="inlineStr">
        <is>
          <t>VIMMERBY</t>
        </is>
      </c>
      <c r="F910" t="inlineStr">
        <is>
          <t>Kommuner</t>
        </is>
      </c>
      <c r="G910" t="n">
        <v>0.6</v>
      </c>
      <c r="H910" t="n">
        <v>0</v>
      </c>
      <c r="I910" t="n">
        <v>0</v>
      </c>
      <c r="J910" t="n">
        <v>0</v>
      </c>
      <c r="K910" t="n">
        <v>0</v>
      </c>
      <c r="L910" t="n">
        <v>0</v>
      </c>
      <c r="M910" t="n">
        <v>0</v>
      </c>
      <c r="N910" t="n">
        <v>0</v>
      </c>
      <c r="O910" t="n">
        <v>0</v>
      </c>
      <c r="P910" t="n">
        <v>0</v>
      </c>
      <c r="Q910" t="n">
        <v>0</v>
      </c>
      <c r="R910" s="2" t="inlineStr"/>
    </row>
    <row r="911" ht="15" customHeight="1">
      <c r="A911" t="inlineStr">
        <is>
          <t>A 17713-2026</t>
        </is>
      </c>
      <c r="B911" s="1" t="n">
        <v>46121.72810185186</v>
      </c>
      <c r="C911" s="1" t="n">
        <v>46177</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18122-2026</t>
        </is>
      </c>
      <c r="B912" s="1" t="n">
        <v>46125.58524305555</v>
      </c>
      <c r="C912" s="1" t="n">
        <v>46177</v>
      </c>
      <c r="D912" t="inlineStr">
        <is>
          <t>KALMAR LÄN</t>
        </is>
      </c>
      <c r="E912" t="inlineStr">
        <is>
          <t>VIMMERBY</t>
        </is>
      </c>
      <c r="G912" t="n">
        <v>1.3</v>
      </c>
      <c r="H912" t="n">
        <v>0</v>
      </c>
      <c r="I912" t="n">
        <v>0</v>
      </c>
      <c r="J912" t="n">
        <v>0</v>
      </c>
      <c r="K912" t="n">
        <v>0</v>
      </c>
      <c r="L912" t="n">
        <v>0</v>
      </c>
      <c r="M912" t="n">
        <v>0</v>
      </c>
      <c r="N912" t="n">
        <v>0</v>
      </c>
      <c r="O912" t="n">
        <v>0</v>
      </c>
      <c r="P912" t="n">
        <v>0</v>
      </c>
      <c r="Q912" t="n">
        <v>0</v>
      </c>
      <c r="R912" s="2" t="inlineStr"/>
    </row>
    <row r="913" ht="15" customHeight="1">
      <c r="A913" t="inlineStr">
        <is>
          <t>A 24932-2026</t>
        </is>
      </c>
      <c r="B913" s="1" t="n">
        <v>46174.5197800926</v>
      </c>
      <c r="C913" s="1" t="n">
        <v>46177</v>
      </c>
      <c r="D913" t="inlineStr">
        <is>
          <t>KALMAR LÄN</t>
        </is>
      </c>
      <c r="E913" t="inlineStr">
        <is>
          <t>VIMMERBY</t>
        </is>
      </c>
      <c r="G913" t="n">
        <v>2.3</v>
      </c>
      <c r="H913" t="n">
        <v>0</v>
      </c>
      <c r="I913" t="n">
        <v>0</v>
      </c>
      <c r="J913" t="n">
        <v>0</v>
      </c>
      <c r="K913" t="n">
        <v>0</v>
      </c>
      <c r="L913" t="n">
        <v>0</v>
      </c>
      <c r="M913" t="n">
        <v>0</v>
      </c>
      <c r="N913" t="n">
        <v>0</v>
      </c>
      <c r="O913" t="n">
        <v>0</v>
      </c>
      <c r="P913" t="n">
        <v>0</v>
      </c>
      <c r="Q913" t="n">
        <v>0</v>
      </c>
      <c r="R913" s="2" t="inlineStr"/>
    </row>
    <row r="914" ht="15" customHeight="1">
      <c r="A914" t="inlineStr">
        <is>
          <t>A 18633-2026</t>
        </is>
      </c>
      <c r="B914" s="1" t="n">
        <v>46128.26289351852</v>
      </c>
      <c r="C914" s="1" t="n">
        <v>46177</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24930-2026</t>
        </is>
      </c>
      <c r="B915" s="1" t="n">
        <v>46174.51430555555</v>
      </c>
      <c r="C915" s="1" t="n">
        <v>46177</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25194-2026</t>
        </is>
      </c>
      <c r="B916" s="1" t="n">
        <v>46175.58986111111</v>
      </c>
      <c r="C916" s="1" t="n">
        <v>46177</v>
      </c>
      <c r="D916" t="inlineStr">
        <is>
          <t>KALMAR LÄN</t>
        </is>
      </c>
      <c r="E916" t="inlineStr">
        <is>
          <t>VIMMERBY</t>
        </is>
      </c>
      <c r="G916" t="n">
        <v>3.4</v>
      </c>
      <c r="H916" t="n">
        <v>0</v>
      </c>
      <c r="I916" t="n">
        <v>0</v>
      </c>
      <c r="J916" t="n">
        <v>0</v>
      </c>
      <c r="K916" t="n">
        <v>0</v>
      </c>
      <c r="L916" t="n">
        <v>0</v>
      </c>
      <c r="M916" t="n">
        <v>0</v>
      </c>
      <c r="N916" t="n">
        <v>0</v>
      </c>
      <c r="O916" t="n">
        <v>0</v>
      </c>
      <c r="P916" t="n">
        <v>0</v>
      </c>
      <c r="Q916" t="n">
        <v>0</v>
      </c>
      <c r="R916" s="2" t="inlineStr"/>
    </row>
    <row r="917" ht="15" customHeight="1">
      <c r="A917" t="inlineStr">
        <is>
          <t>A 25106-2026</t>
        </is>
      </c>
      <c r="B917" s="1" t="n">
        <v>46175.35026620371</v>
      </c>
      <c r="C917" s="1" t="n">
        <v>46177</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25284-2026</t>
        </is>
      </c>
      <c r="B918" s="1" t="n">
        <v>46176.40210648148</v>
      </c>
      <c r="C918" s="1" t="n">
        <v>46177</v>
      </c>
      <c r="D918" t="inlineStr">
        <is>
          <t>KALMAR LÄN</t>
        </is>
      </c>
      <c r="E918" t="inlineStr">
        <is>
          <t>VIMMERBY</t>
        </is>
      </c>
      <c r="G918" t="n">
        <v>1.6</v>
      </c>
      <c r="H918" t="n">
        <v>0</v>
      </c>
      <c r="I918" t="n">
        <v>0</v>
      </c>
      <c r="J918" t="n">
        <v>0</v>
      </c>
      <c r="K918" t="n">
        <v>0</v>
      </c>
      <c r="L918" t="n">
        <v>0</v>
      </c>
      <c r="M918" t="n">
        <v>0</v>
      </c>
      <c r="N918" t="n">
        <v>0</v>
      </c>
      <c r="O918" t="n">
        <v>0</v>
      </c>
      <c r="P918" t="n">
        <v>0</v>
      </c>
      <c r="Q918" t="n">
        <v>0</v>
      </c>
      <c r="R918" s="2" t="inlineStr"/>
    </row>
    <row r="919" ht="15" customHeight="1">
      <c r="A919" t="inlineStr">
        <is>
          <t>A 25192-2026</t>
        </is>
      </c>
      <c r="B919" s="1" t="n">
        <v>46175.5820949074</v>
      </c>
      <c r="C919" s="1" t="n">
        <v>46177</v>
      </c>
      <c r="D919" t="inlineStr">
        <is>
          <t>KALMAR LÄN</t>
        </is>
      </c>
      <c r="E919" t="inlineStr">
        <is>
          <t>VIMMERBY</t>
        </is>
      </c>
      <c r="G919" t="n">
        <v>3.2</v>
      </c>
      <c r="H919" t="n">
        <v>0</v>
      </c>
      <c r="I919" t="n">
        <v>0</v>
      </c>
      <c r="J919" t="n">
        <v>0</v>
      </c>
      <c r="K919" t="n">
        <v>0</v>
      </c>
      <c r="L919" t="n">
        <v>0</v>
      </c>
      <c r="M919" t="n">
        <v>0</v>
      </c>
      <c r="N919" t="n">
        <v>0</v>
      </c>
      <c r="O919" t="n">
        <v>0</v>
      </c>
      <c r="P919" t="n">
        <v>0</v>
      </c>
      <c r="Q919" t="n">
        <v>0</v>
      </c>
      <c r="R919" s="2" t="inlineStr"/>
    </row>
    <row r="920" ht="15" customHeight="1">
      <c r="A920" t="inlineStr">
        <is>
          <t>A 25105-2026</t>
        </is>
      </c>
      <c r="B920" s="1" t="n">
        <v>46175.34893518518</v>
      </c>
      <c r="C920" s="1" t="n">
        <v>46177</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25345-2026</t>
        </is>
      </c>
      <c r="B921" s="1" t="n">
        <v>46176.58015046296</v>
      </c>
      <c r="C921" s="1" t="n">
        <v>46177</v>
      </c>
      <c r="D921" t="inlineStr">
        <is>
          <t>KALMAR LÄN</t>
        </is>
      </c>
      <c r="E921" t="inlineStr">
        <is>
          <t>VIMMERBY</t>
        </is>
      </c>
      <c r="G921" t="n">
        <v>1.9</v>
      </c>
      <c r="H921" t="n">
        <v>0</v>
      </c>
      <c r="I921" t="n">
        <v>0</v>
      </c>
      <c r="J921" t="n">
        <v>0</v>
      </c>
      <c r="K921" t="n">
        <v>0</v>
      </c>
      <c r="L921" t="n">
        <v>0</v>
      </c>
      <c r="M921" t="n">
        <v>0</v>
      </c>
      <c r="N921" t="n">
        <v>0</v>
      </c>
      <c r="O921" t="n">
        <v>0</v>
      </c>
      <c r="P921" t="n">
        <v>0</v>
      </c>
      <c r="Q921" t="n">
        <v>0</v>
      </c>
      <c r="R921" s="2" t="inlineStr"/>
    </row>
    <row r="922" ht="15" customHeight="1">
      <c r="A922" t="inlineStr">
        <is>
          <t>A 25395-2026</t>
        </is>
      </c>
      <c r="B922" s="1" t="n">
        <v>46176.73450231482</v>
      </c>
      <c r="C922" s="1" t="n">
        <v>46177</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c r="A923" t="inlineStr">
        <is>
          <t>A 25158-2026</t>
        </is>
      </c>
      <c r="B923" s="1" t="n">
        <v>46175.45645833333</v>
      </c>
      <c r="C923" s="1" t="n">
        <v>46177</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2026-06-04T11:03:35Z</dcterms:created>
  <dcterms:modified xmlns:dcterms="http://purl.org/dc/terms/" xmlns:xsi="http://www.w3.org/2001/XMLSchema-instance" xsi:type="dcterms:W3CDTF">2026-06-04T11:03:35Z</dcterms:modified>
</cp:coreProperties>
</file>