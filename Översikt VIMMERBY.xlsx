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45956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45956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45956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45956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45956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45956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45956</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45956</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45956</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46824-2025</t>
        </is>
      </c>
      <c r="B11" s="1" t="n">
        <v>45926.90006944445</v>
      </c>
      <c r="C11" s="1" t="n">
        <v>45956</v>
      </c>
      <c r="D11" t="inlineStr">
        <is>
          <t>KALMAR LÄN</t>
        </is>
      </c>
      <c r="E11" t="inlineStr">
        <is>
          <t>VIMMERBY</t>
        </is>
      </c>
      <c r="G11" t="n">
        <v>2.8</v>
      </c>
      <c r="H11" t="n">
        <v>2</v>
      </c>
      <c r="I11" t="n">
        <v>2</v>
      </c>
      <c r="J11" t="n">
        <v>0</v>
      </c>
      <c r="K11" t="n">
        <v>1</v>
      </c>
      <c r="L11" t="n">
        <v>0</v>
      </c>
      <c r="M11" t="n">
        <v>0</v>
      </c>
      <c r="N11" t="n">
        <v>0</v>
      </c>
      <c r="O11" t="n">
        <v>1</v>
      </c>
      <c r="P11" t="n">
        <v>1</v>
      </c>
      <c r="Q11" t="n">
        <v>4</v>
      </c>
      <c r="R11" s="2" t="inlineStr">
        <is>
          <t>Knärot
Dropptaggsvamp
Fjällig taggsvamp s.str.
Kungsfågel</t>
        </is>
      </c>
      <c r="S11">
        <f>HYPERLINK("https://klasma.github.io/Logging_0884/artfynd/A 46824-2025 artfynd.xlsx", "A 46824-2025")</f>
        <v/>
      </c>
      <c r="T11">
        <f>HYPERLINK("https://klasma.github.io/Logging_0884/kartor/A 46824-2025 karta.png", "A 46824-2025")</f>
        <v/>
      </c>
      <c r="U11">
        <f>HYPERLINK("https://klasma.github.io/Logging_0884/knärot/A 46824-2025 karta knärot.png", "A 46824-2025")</f>
        <v/>
      </c>
      <c r="V11">
        <f>HYPERLINK("https://klasma.github.io/Logging_0884/klagomål/A 46824-2025 FSC-klagomål.docx", "A 46824-2025")</f>
        <v/>
      </c>
      <c r="W11">
        <f>HYPERLINK("https://klasma.github.io/Logging_0884/klagomålsmail/A 46824-2025 FSC-klagomål mail.docx", "A 46824-2025")</f>
        <v/>
      </c>
      <c r="X11">
        <f>HYPERLINK("https://klasma.github.io/Logging_0884/tillsyn/A 46824-2025 tillsynsbegäran.docx", "A 46824-2025")</f>
        <v/>
      </c>
      <c r="Y11">
        <f>HYPERLINK("https://klasma.github.io/Logging_0884/tillsynsmail/A 46824-2025 tillsynsbegäran mail.docx", "A 46824-2025")</f>
        <v/>
      </c>
      <c r="Z11">
        <f>HYPERLINK("https://klasma.github.io/Logging_0884/fåglar/A 46824-2025 prioriterade fågelarter.docx", "A 46824-2025")</f>
        <v/>
      </c>
    </row>
    <row r="12" ht="15" customHeight="1">
      <c r="A12" t="inlineStr">
        <is>
          <t>A 32645-2023</t>
        </is>
      </c>
      <c r="B12" s="1" t="n">
        <v>45121.60543981481</v>
      </c>
      <c r="C12" s="1" t="n">
        <v>45956</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v>
      </c>
      <c r="C13" s="1" t="n">
        <v>45956</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15808-2025</t>
        </is>
      </c>
      <c r="B14" s="1" t="n">
        <v>45748</v>
      </c>
      <c r="C14" s="1" t="n">
        <v>45956</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8411-2021</t>
        </is>
      </c>
      <c r="B15" s="1" t="n">
        <v>44245</v>
      </c>
      <c r="C15" s="1" t="n">
        <v>45956</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45956</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14584-2025</t>
        </is>
      </c>
      <c r="B17" s="1" t="n">
        <v>45742</v>
      </c>
      <c r="C17" s="1" t="n">
        <v>45956</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37667-2025</t>
        </is>
      </c>
      <c r="B18" s="1" t="n">
        <v>45880.51413194444</v>
      </c>
      <c r="C18" s="1" t="n">
        <v>45956</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45956</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45956</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45956</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45956</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45956</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14024-2023</t>
        </is>
      </c>
      <c r="B24" s="1" t="n">
        <v>45008.60878472222</v>
      </c>
      <c r="C24" s="1" t="n">
        <v>45956</v>
      </c>
      <c r="D24" t="inlineStr">
        <is>
          <t>KALMAR LÄN</t>
        </is>
      </c>
      <c r="E24" t="inlineStr">
        <is>
          <t>VIMMERBY</t>
        </is>
      </c>
      <c r="G24" t="n">
        <v>3.2</v>
      </c>
      <c r="H24" t="n">
        <v>1</v>
      </c>
      <c r="I24" t="n">
        <v>1</v>
      </c>
      <c r="J24" t="n">
        <v>0</v>
      </c>
      <c r="K24" t="n">
        <v>0</v>
      </c>
      <c r="L24" t="n">
        <v>1</v>
      </c>
      <c r="M24" t="n">
        <v>0</v>
      </c>
      <c r="N24" t="n">
        <v>0</v>
      </c>
      <c r="O24" t="n">
        <v>1</v>
      </c>
      <c r="P24" t="n">
        <v>1</v>
      </c>
      <c r="Q24" t="n">
        <v>2</v>
      </c>
      <c r="R24" s="2" t="inlineStr">
        <is>
          <t>Ryl
Purpurknipprot</t>
        </is>
      </c>
      <c r="S24">
        <f>HYPERLINK("https://klasma.github.io/Logging_0884/artfynd/A 14024-2023 artfynd.xlsx", "A 14024-2023")</f>
        <v/>
      </c>
      <c r="T24">
        <f>HYPERLINK("https://klasma.github.io/Logging_0884/kartor/A 14024-2023 karta.png", "A 14024-2023")</f>
        <v/>
      </c>
      <c r="V24">
        <f>HYPERLINK("https://klasma.github.io/Logging_0884/klagomål/A 14024-2023 FSC-klagomål.docx", "A 14024-2023")</f>
        <v/>
      </c>
      <c r="W24">
        <f>HYPERLINK("https://klasma.github.io/Logging_0884/klagomålsmail/A 14024-2023 FSC-klagomål mail.docx", "A 14024-2023")</f>
        <v/>
      </c>
      <c r="X24">
        <f>HYPERLINK("https://klasma.github.io/Logging_0884/tillsyn/A 14024-2023 tillsynsbegäran.docx", "A 14024-2023")</f>
        <v/>
      </c>
      <c r="Y24">
        <f>HYPERLINK("https://klasma.github.io/Logging_0884/tillsynsmail/A 14024-2023 tillsynsbegäran mail.docx", "A 14024-2023")</f>
        <v/>
      </c>
    </row>
    <row r="25" ht="15" customHeight="1">
      <c r="A25" t="inlineStr">
        <is>
          <t>A 2518-2023</t>
        </is>
      </c>
      <c r="B25" s="1" t="n">
        <v>44943</v>
      </c>
      <c r="C25" s="1" t="n">
        <v>45956</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45956</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40684-2025</t>
        </is>
      </c>
      <c r="B27" s="1" t="n">
        <v>45896.86820601852</v>
      </c>
      <c r="C27" s="1" t="n">
        <v>45956</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45956</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22825-2023</t>
        </is>
      </c>
      <c r="B29" s="1" t="n">
        <v>45072</v>
      </c>
      <c r="C29" s="1" t="n">
        <v>45956</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19158-2023</t>
        </is>
      </c>
      <c r="B30" s="1" t="n">
        <v>45048</v>
      </c>
      <c r="C30" s="1" t="n">
        <v>45956</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32396-2021</t>
        </is>
      </c>
      <c r="B31" s="1" t="n">
        <v>44371</v>
      </c>
      <c r="C31" s="1" t="n">
        <v>45956</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45956</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38602-2025</t>
        </is>
      </c>
      <c r="B33" s="1" t="n">
        <v>45884.50331018519</v>
      </c>
      <c r="C33" s="1" t="n">
        <v>45956</v>
      </c>
      <c r="D33" t="inlineStr">
        <is>
          <t>KALMAR LÄN</t>
        </is>
      </c>
      <c r="E33" t="inlineStr">
        <is>
          <t>VIMMERBY</t>
        </is>
      </c>
      <c r="F33" t="inlineStr">
        <is>
          <t>Sveaskog</t>
        </is>
      </c>
      <c r="G33" t="n">
        <v>4.9</v>
      </c>
      <c r="H33" t="n">
        <v>1</v>
      </c>
      <c r="I33" t="n">
        <v>0</v>
      </c>
      <c r="J33" t="n">
        <v>0</v>
      </c>
      <c r="K33" t="n">
        <v>1</v>
      </c>
      <c r="L33" t="n">
        <v>0</v>
      </c>
      <c r="M33" t="n">
        <v>0</v>
      </c>
      <c r="N33" t="n">
        <v>0</v>
      </c>
      <c r="O33" t="n">
        <v>1</v>
      </c>
      <c r="P33" t="n">
        <v>1</v>
      </c>
      <c r="Q33" t="n">
        <v>1</v>
      </c>
      <c r="R33" s="2" t="inlineStr">
        <is>
          <t>Knärot</t>
        </is>
      </c>
      <c r="S33">
        <f>HYPERLINK("https://klasma.github.io/Logging_0884/artfynd/A 38602-2025 artfynd.xlsx", "A 38602-2025")</f>
        <v/>
      </c>
      <c r="T33">
        <f>HYPERLINK("https://klasma.github.io/Logging_0884/kartor/A 38602-2025 karta.png", "A 38602-2025")</f>
        <v/>
      </c>
      <c r="U33">
        <f>HYPERLINK("https://klasma.github.io/Logging_0884/knärot/A 38602-2025 karta knärot.png", "A 38602-2025")</f>
        <v/>
      </c>
      <c r="V33">
        <f>HYPERLINK("https://klasma.github.io/Logging_0884/klagomål/A 38602-2025 FSC-klagomål.docx", "A 38602-2025")</f>
        <v/>
      </c>
      <c r="W33">
        <f>HYPERLINK("https://klasma.github.io/Logging_0884/klagomålsmail/A 38602-2025 FSC-klagomål mail.docx", "A 38602-2025")</f>
        <v/>
      </c>
      <c r="X33">
        <f>HYPERLINK("https://klasma.github.io/Logging_0884/tillsyn/A 38602-2025 tillsynsbegäran.docx", "A 38602-2025")</f>
        <v/>
      </c>
      <c r="Y33">
        <f>HYPERLINK("https://klasma.github.io/Logging_0884/tillsynsmail/A 38602-2025 tillsynsbegäran mail.docx", "A 38602-2025")</f>
        <v/>
      </c>
    </row>
    <row r="34" ht="15" customHeight="1">
      <c r="A34" t="inlineStr">
        <is>
          <t>A 15122-2024</t>
        </is>
      </c>
      <c r="B34" s="1" t="n">
        <v>45399.71412037037</v>
      </c>
      <c r="C34" s="1" t="n">
        <v>45956</v>
      </c>
      <c r="D34" t="inlineStr">
        <is>
          <t>KALMAR LÄN</t>
        </is>
      </c>
      <c r="E34" t="inlineStr">
        <is>
          <t>VIMMERBY</t>
        </is>
      </c>
      <c r="G34" t="n">
        <v>1.7</v>
      </c>
      <c r="H34" t="n">
        <v>0</v>
      </c>
      <c r="I34" t="n">
        <v>0</v>
      </c>
      <c r="J34" t="n">
        <v>0</v>
      </c>
      <c r="K34" t="n">
        <v>1</v>
      </c>
      <c r="L34" t="n">
        <v>0</v>
      </c>
      <c r="M34" t="n">
        <v>0</v>
      </c>
      <c r="N34" t="n">
        <v>0</v>
      </c>
      <c r="O34" t="n">
        <v>1</v>
      </c>
      <c r="P34" t="n">
        <v>1</v>
      </c>
      <c r="Q34" t="n">
        <v>1</v>
      </c>
      <c r="R34" s="2" t="inlineStr">
        <is>
          <t>Sågfibbla</t>
        </is>
      </c>
      <c r="S34">
        <f>HYPERLINK("https://klasma.github.io/Logging_0884/artfynd/A 15122-2024 artfynd.xlsx", "A 15122-2024")</f>
        <v/>
      </c>
      <c r="T34">
        <f>HYPERLINK("https://klasma.github.io/Logging_0884/kartor/A 15122-2024 karta.png", "A 15122-2024")</f>
        <v/>
      </c>
      <c r="V34">
        <f>HYPERLINK("https://klasma.github.io/Logging_0884/klagomål/A 15122-2024 FSC-klagomål.docx", "A 15122-2024")</f>
        <v/>
      </c>
      <c r="W34">
        <f>HYPERLINK("https://klasma.github.io/Logging_0884/klagomålsmail/A 15122-2024 FSC-klagomål mail.docx", "A 15122-2024")</f>
        <v/>
      </c>
      <c r="X34">
        <f>HYPERLINK("https://klasma.github.io/Logging_0884/tillsyn/A 15122-2024 tillsynsbegäran.docx", "A 15122-2024")</f>
        <v/>
      </c>
      <c r="Y34">
        <f>HYPERLINK("https://klasma.github.io/Logging_0884/tillsynsmail/A 15122-2024 tillsynsbegäran mail.docx", "A 15122-2024")</f>
        <v/>
      </c>
    </row>
    <row r="35" ht="15" customHeight="1">
      <c r="A35" t="inlineStr">
        <is>
          <t>A 32985-2023</t>
        </is>
      </c>
      <c r="B35" s="1" t="n">
        <v>45125</v>
      </c>
      <c r="C35" s="1" t="n">
        <v>45956</v>
      </c>
      <c r="D35" t="inlineStr">
        <is>
          <t>KALMAR LÄN</t>
        </is>
      </c>
      <c r="E35" t="inlineStr">
        <is>
          <t>VIMMERBY</t>
        </is>
      </c>
      <c r="G35" t="n">
        <v>1.9</v>
      </c>
      <c r="H35" t="n">
        <v>0</v>
      </c>
      <c r="I35" t="n">
        <v>0</v>
      </c>
      <c r="J35" t="n">
        <v>0</v>
      </c>
      <c r="K35" t="n">
        <v>0</v>
      </c>
      <c r="L35" t="n">
        <v>1</v>
      </c>
      <c r="M35" t="n">
        <v>0</v>
      </c>
      <c r="N35" t="n">
        <v>0</v>
      </c>
      <c r="O35" t="n">
        <v>1</v>
      </c>
      <c r="P35" t="n">
        <v>1</v>
      </c>
      <c r="Q35" t="n">
        <v>1</v>
      </c>
      <c r="R35" s="2" t="inlineStr">
        <is>
          <t>Ryl</t>
        </is>
      </c>
      <c r="S35">
        <f>HYPERLINK("https://klasma.github.io/Logging_0884/artfynd/A 32985-2023 artfynd.xlsx", "A 32985-2023")</f>
        <v/>
      </c>
      <c r="T35">
        <f>HYPERLINK("https://klasma.github.io/Logging_0884/kartor/A 32985-2023 karta.png", "A 32985-2023")</f>
        <v/>
      </c>
      <c r="V35">
        <f>HYPERLINK("https://klasma.github.io/Logging_0884/klagomål/A 32985-2023 FSC-klagomål.docx", "A 32985-2023")</f>
        <v/>
      </c>
      <c r="W35">
        <f>HYPERLINK("https://klasma.github.io/Logging_0884/klagomålsmail/A 32985-2023 FSC-klagomål mail.docx", "A 32985-2023")</f>
        <v/>
      </c>
      <c r="X35">
        <f>HYPERLINK("https://klasma.github.io/Logging_0884/tillsyn/A 32985-2023 tillsynsbegäran.docx", "A 32985-2023")</f>
        <v/>
      </c>
      <c r="Y35">
        <f>HYPERLINK("https://klasma.github.io/Logging_0884/tillsynsmail/A 32985-2023 tillsynsbegäran mail.docx", "A 32985-2023")</f>
        <v/>
      </c>
    </row>
    <row r="36" ht="15" customHeight="1">
      <c r="A36" t="inlineStr">
        <is>
          <t>A 6841-2021</t>
        </is>
      </c>
      <c r="B36" s="1" t="n">
        <v>44236</v>
      </c>
      <c r="C36" s="1" t="n">
        <v>45956</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1201-2025</t>
        </is>
      </c>
      <c r="B37" s="1" t="n">
        <v>45667</v>
      </c>
      <c r="C37" s="1" t="n">
        <v>45956</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61860-2024</t>
        </is>
      </c>
      <c r="B38" s="1" t="n">
        <v>45649</v>
      </c>
      <c r="C38" s="1" t="n">
        <v>45956</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28852-2023</t>
        </is>
      </c>
      <c r="B39" s="1" t="n">
        <v>45104</v>
      </c>
      <c r="C39" s="1" t="n">
        <v>45956</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29183-2025</t>
        </is>
      </c>
      <c r="B40" s="1" t="n">
        <v>45821</v>
      </c>
      <c r="C40" s="1" t="n">
        <v>45956</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44515-2024</t>
        </is>
      </c>
      <c r="B41" s="1" t="n">
        <v>45574.42767361111</v>
      </c>
      <c r="C41" s="1" t="n">
        <v>45956</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40083-2023</t>
        </is>
      </c>
      <c r="B42" s="1" t="n">
        <v>45168</v>
      </c>
      <c r="C42" s="1" t="n">
        <v>45956</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45956</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9067-2025</t>
        </is>
      </c>
      <c r="B44" s="1" t="n">
        <v>45713</v>
      </c>
      <c r="C44" s="1" t="n">
        <v>45956</v>
      </c>
      <c r="D44" t="inlineStr">
        <is>
          <t>KALMAR LÄN</t>
        </is>
      </c>
      <c r="E44" t="inlineStr">
        <is>
          <t>VIMMERBY</t>
        </is>
      </c>
      <c r="G44" t="n">
        <v>3.9</v>
      </c>
      <c r="H44" t="n">
        <v>0</v>
      </c>
      <c r="I44" t="n">
        <v>1</v>
      </c>
      <c r="J44" t="n">
        <v>0</v>
      </c>
      <c r="K44" t="n">
        <v>0</v>
      </c>
      <c r="L44" t="n">
        <v>0</v>
      </c>
      <c r="M44" t="n">
        <v>0</v>
      </c>
      <c r="N44" t="n">
        <v>0</v>
      </c>
      <c r="O44" t="n">
        <v>0</v>
      </c>
      <c r="P44" t="n">
        <v>0</v>
      </c>
      <c r="Q44" t="n">
        <v>1</v>
      </c>
      <c r="R44" s="2" t="inlineStr">
        <is>
          <t>Ögonpyrola</t>
        </is>
      </c>
      <c r="S44">
        <f>HYPERLINK("https://klasma.github.io/Logging_0884/artfynd/A 9067-2025 artfynd.xlsx", "A 9067-2025")</f>
        <v/>
      </c>
      <c r="T44">
        <f>HYPERLINK("https://klasma.github.io/Logging_0884/kartor/A 9067-2025 karta.png", "A 9067-2025")</f>
        <v/>
      </c>
      <c r="V44">
        <f>HYPERLINK("https://klasma.github.io/Logging_0884/klagomål/A 9067-2025 FSC-klagomål.docx", "A 9067-2025")</f>
        <v/>
      </c>
      <c r="W44">
        <f>HYPERLINK("https://klasma.github.io/Logging_0884/klagomålsmail/A 9067-2025 FSC-klagomål mail.docx", "A 9067-2025")</f>
        <v/>
      </c>
      <c r="X44">
        <f>HYPERLINK("https://klasma.github.io/Logging_0884/tillsyn/A 9067-2025 tillsynsbegäran.docx", "A 9067-2025")</f>
        <v/>
      </c>
      <c r="Y44">
        <f>HYPERLINK("https://klasma.github.io/Logging_0884/tillsynsmail/A 9067-2025 tillsynsbegäran mail.docx", "A 9067-2025")</f>
        <v/>
      </c>
    </row>
    <row r="45" ht="15" customHeight="1">
      <c r="A45" t="inlineStr">
        <is>
          <t>A 52301-2023</t>
        </is>
      </c>
      <c r="B45" s="1" t="n">
        <v>45224</v>
      </c>
      <c r="C45" s="1" t="n">
        <v>45956</v>
      </c>
      <c r="D45" t="inlineStr">
        <is>
          <t>KALMAR LÄN</t>
        </is>
      </c>
      <c r="E45" t="inlineStr">
        <is>
          <t>VIMMERBY</t>
        </is>
      </c>
      <c r="G45" t="n">
        <v>5.3</v>
      </c>
      <c r="H45" t="n">
        <v>0</v>
      </c>
      <c r="I45" t="n">
        <v>0</v>
      </c>
      <c r="J45" t="n">
        <v>0</v>
      </c>
      <c r="K45" t="n">
        <v>0</v>
      </c>
      <c r="L45" t="n">
        <v>1</v>
      </c>
      <c r="M45" t="n">
        <v>0</v>
      </c>
      <c r="N45" t="n">
        <v>0</v>
      </c>
      <c r="O45" t="n">
        <v>1</v>
      </c>
      <c r="P45" t="n">
        <v>1</v>
      </c>
      <c r="Q45" t="n">
        <v>1</v>
      </c>
      <c r="R45" s="2" t="inlineStr">
        <is>
          <t>Ask</t>
        </is>
      </c>
      <c r="S45">
        <f>HYPERLINK("https://klasma.github.io/Logging_0884/artfynd/A 52301-2023 artfynd.xlsx", "A 52301-2023")</f>
        <v/>
      </c>
      <c r="T45">
        <f>HYPERLINK("https://klasma.github.io/Logging_0884/kartor/A 52301-2023 karta.png", "A 52301-2023")</f>
        <v/>
      </c>
      <c r="V45">
        <f>HYPERLINK("https://klasma.github.io/Logging_0884/klagomål/A 52301-2023 FSC-klagomål.docx", "A 52301-2023")</f>
        <v/>
      </c>
      <c r="W45">
        <f>HYPERLINK("https://klasma.github.io/Logging_0884/klagomålsmail/A 52301-2023 FSC-klagomål mail.docx", "A 52301-2023")</f>
        <v/>
      </c>
      <c r="X45">
        <f>HYPERLINK("https://klasma.github.io/Logging_0884/tillsyn/A 52301-2023 tillsynsbegäran.docx", "A 52301-2023")</f>
        <v/>
      </c>
      <c r="Y45">
        <f>HYPERLINK("https://klasma.github.io/Logging_0884/tillsynsmail/A 52301-2023 tillsynsbegäran mail.docx", "A 52301-2023")</f>
        <v/>
      </c>
    </row>
    <row r="46" ht="15" customHeight="1">
      <c r="A46" t="inlineStr">
        <is>
          <t>A 23602-2023</t>
        </is>
      </c>
      <c r="B46" s="1" t="n">
        <v>45077</v>
      </c>
      <c r="C46" s="1" t="n">
        <v>45956</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33436-2021</t>
        </is>
      </c>
      <c r="B47" s="1" t="n">
        <v>44377.61104166666</v>
      </c>
      <c r="C47" s="1" t="n">
        <v>45956</v>
      </c>
      <c r="D47" t="inlineStr">
        <is>
          <t>KALMAR LÄN</t>
        </is>
      </c>
      <c r="E47" t="inlineStr">
        <is>
          <t>VIMMERBY</t>
        </is>
      </c>
      <c r="G47" t="n">
        <v>11.8</v>
      </c>
      <c r="H47" t="n">
        <v>1</v>
      </c>
      <c r="I47" t="n">
        <v>0</v>
      </c>
      <c r="J47" t="n">
        <v>0</v>
      </c>
      <c r="K47" t="n">
        <v>1</v>
      </c>
      <c r="L47" t="n">
        <v>0</v>
      </c>
      <c r="M47" t="n">
        <v>0</v>
      </c>
      <c r="N47" t="n">
        <v>0</v>
      </c>
      <c r="O47" t="n">
        <v>1</v>
      </c>
      <c r="P47" t="n">
        <v>1</v>
      </c>
      <c r="Q47" t="n">
        <v>1</v>
      </c>
      <c r="R47" s="2" t="inlineStr">
        <is>
          <t>Knärot</t>
        </is>
      </c>
      <c r="S47">
        <f>HYPERLINK("https://klasma.github.io/Logging_0884/artfynd/A 33436-2021 artfynd.xlsx", "A 33436-2021")</f>
        <v/>
      </c>
      <c r="T47">
        <f>HYPERLINK("https://klasma.github.io/Logging_0884/kartor/A 33436-2021 karta.png", "A 33436-2021")</f>
        <v/>
      </c>
      <c r="U47">
        <f>HYPERLINK("https://klasma.github.io/Logging_0884/knärot/A 33436-2021 karta knärot.png", "A 33436-2021")</f>
        <v/>
      </c>
      <c r="V47">
        <f>HYPERLINK("https://klasma.github.io/Logging_0884/klagomål/A 33436-2021 FSC-klagomål.docx", "A 33436-2021")</f>
        <v/>
      </c>
      <c r="W47">
        <f>HYPERLINK("https://klasma.github.io/Logging_0884/klagomålsmail/A 33436-2021 FSC-klagomål mail.docx", "A 33436-2021")</f>
        <v/>
      </c>
      <c r="X47">
        <f>HYPERLINK("https://klasma.github.io/Logging_0884/tillsyn/A 33436-2021 tillsynsbegäran.docx", "A 33436-2021")</f>
        <v/>
      </c>
      <c r="Y47">
        <f>HYPERLINK("https://klasma.github.io/Logging_0884/tillsynsmail/A 33436-2021 tillsynsbegäran mail.docx", "A 33436-2021")</f>
        <v/>
      </c>
    </row>
    <row r="48" ht="15" customHeight="1">
      <c r="A48" t="inlineStr">
        <is>
          <t>A 55053-2020</t>
        </is>
      </c>
      <c r="B48" s="1" t="n">
        <v>44130</v>
      </c>
      <c r="C48" s="1" t="n">
        <v>45956</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15092-2021</t>
        </is>
      </c>
      <c r="B49" s="1" t="n">
        <v>44281.79269675926</v>
      </c>
      <c r="C49" s="1" t="n">
        <v>45956</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45956</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45956</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47205-2021</t>
        </is>
      </c>
      <c r="B52" s="1" t="n">
        <v>44447</v>
      </c>
      <c r="C52" s="1" t="n">
        <v>45956</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45956</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45956</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45956</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45956</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45956</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2654-2021</t>
        </is>
      </c>
      <c r="B58" s="1" t="n">
        <v>44215</v>
      </c>
      <c r="C58" s="1" t="n">
        <v>45956</v>
      </c>
      <c r="D58" t="inlineStr">
        <is>
          <t>KALMAR LÄN</t>
        </is>
      </c>
      <c r="E58" t="inlineStr">
        <is>
          <t>VIMMERBY</t>
        </is>
      </c>
      <c r="G58" t="n">
        <v>1.2</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45956</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45956</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45956</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45956</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45956</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45956</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45956</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45956</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45956</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45956</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45956</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7515-2021</t>
        </is>
      </c>
      <c r="B70" s="1" t="n">
        <v>44238</v>
      </c>
      <c r="C70" s="1" t="n">
        <v>45956</v>
      </c>
      <c r="D70" t="inlineStr">
        <is>
          <t>KALMAR LÄN</t>
        </is>
      </c>
      <c r="E70" t="inlineStr">
        <is>
          <t>VIMMERBY</t>
        </is>
      </c>
      <c r="G70" t="n">
        <v>20.9</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45956</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45956</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45956</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45956</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45956</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45956</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45956</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45956</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45956</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45956</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45956</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45956</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45956</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45956</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45956</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45956</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45956</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45956</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45956</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45956</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4118-2022</t>
        </is>
      </c>
      <c r="B91" s="1" t="n">
        <v>44588</v>
      </c>
      <c r="C91" s="1" t="n">
        <v>45956</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4126-2022</t>
        </is>
      </c>
      <c r="B92" s="1" t="n">
        <v>44588</v>
      </c>
      <c r="C92" s="1" t="n">
        <v>45956</v>
      </c>
      <c r="D92" t="inlineStr">
        <is>
          <t>KALMAR LÄN</t>
        </is>
      </c>
      <c r="E92" t="inlineStr">
        <is>
          <t>VIMMERBY</t>
        </is>
      </c>
      <c r="G92" t="n">
        <v>0.6</v>
      </c>
      <c r="H92" t="n">
        <v>0</v>
      </c>
      <c r="I92" t="n">
        <v>0</v>
      </c>
      <c r="J92" t="n">
        <v>0</v>
      </c>
      <c r="K92" t="n">
        <v>0</v>
      </c>
      <c r="L92" t="n">
        <v>0</v>
      </c>
      <c r="M92" t="n">
        <v>0</v>
      </c>
      <c r="N92" t="n">
        <v>0</v>
      </c>
      <c r="O92" t="n">
        <v>0</v>
      </c>
      <c r="P92" t="n">
        <v>0</v>
      </c>
      <c r="Q92" t="n">
        <v>0</v>
      </c>
      <c r="R92" s="2" t="inlineStr"/>
    </row>
    <row r="93" ht="15" customHeight="1">
      <c r="A93" t="inlineStr">
        <is>
          <t>A 33820-2022</t>
        </is>
      </c>
      <c r="B93" s="1" t="n">
        <v>44790</v>
      </c>
      <c r="C93" s="1" t="n">
        <v>45956</v>
      </c>
      <c r="D93" t="inlineStr">
        <is>
          <t>KALMAR LÄN</t>
        </is>
      </c>
      <c r="E93" t="inlineStr">
        <is>
          <t>VIMMERBY</t>
        </is>
      </c>
      <c r="G93" t="n">
        <v>3</v>
      </c>
      <c r="H93" t="n">
        <v>0</v>
      </c>
      <c r="I93" t="n">
        <v>0</v>
      </c>
      <c r="J93" t="n">
        <v>0</v>
      </c>
      <c r="K93" t="n">
        <v>0</v>
      </c>
      <c r="L93" t="n">
        <v>0</v>
      </c>
      <c r="M93" t="n">
        <v>0</v>
      </c>
      <c r="N93" t="n">
        <v>0</v>
      </c>
      <c r="O93" t="n">
        <v>0</v>
      </c>
      <c r="P93" t="n">
        <v>0</v>
      </c>
      <c r="Q93" t="n">
        <v>0</v>
      </c>
      <c r="R93" s="2" t="inlineStr"/>
    </row>
    <row r="94" ht="15" customHeight="1">
      <c r="A94" t="inlineStr">
        <is>
          <t>A 33824-2022</t>
        </is>
      </c>
      <c r="B94" s="1" t="n">
        <v>44790.47628472222</v>
      </c>
      <c r="C94" s="1" t="n">
        <v>45956</v>
      </c>
      <c r="D94" t="inlineStr">
        <is>
          <t>KALMAR LÄN</t>
        </is>
      </c>
      <c r="E94" t="inlineStr">
        <is>
          <t>VIMMERBY</t>
        </is>
      </c>
      <c r="G94" t="n">
        <v>2.3</v>
      </c>
      <c r="H94" t="n">
        <v>0</v>
      </c>
      <c r="I94" t="n">
        <v>0</v>
      </c>
      <c r="J94" t="n">
        <v>0</v>
      </c>
      <c r="K94" t="n">
        <v>0</v>
      </c>
      <c r="L94" t="n">
        <v>0</v>
      </c>
      <c r="M94" t="n">
        <v>0</v>
      </c>
      <c r="N94" t="n">
        <v>0</v>
      </c>
      <c r="O94" t="n">
        <v>0</v>
      </c>
      <c r="P94" t="n">
        <v>0</v>
      </c>
      <c r="Q94" t="n">
        <v>0</v>
      </c>
      <c r="R94" s="2" t="inlineStr"/>
    </row>
    <row r="95" ht="15" customHeight="1">
      <c r="A95" t="inlineStr">
        <is>
          <t>A 65952-2020</t>
        </is>
      </c>
      <c r="B95" s="1" t="n">
        <v>44175.3815625</v>
      </c>
      <c r="C95" s="1" t="n">
        <v>45956</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65973-2020</t>
        </is>
      </c>
      <c r="B96" s="1" t="n">
        <v>44175.40881944444</v>
      </c>
      <c r="C96" s="1" t="n">
        <v>45956</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45956</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55297-2021</t>
        </is>
      </c>
      <c r="B98" s="1" t="n">
        <v>44475</v>
      </c>
      <c r="C98" s="1" t="n">
        <v>45956</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35531-2021</t>
        </is>
      </c>
      <c r="B99" s="1" t="n">
        <v>44385</v>
      </c>
      <c r="C99" s="1" t="n">
        <v>45956</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7072-2021</t>
        </is>
      </c>
      <c r="B100" s="1" t="n">
        <v>44237.8550925926</v>
      </c>
      <c r="C100" s="1" t="n">
        <v>45956</v>
      </c>
      <c r="D100" t="inlineStr">
        <is>
          <t>KALMAR LÄN</t>
        </is>
      </c>
      <c r="E100" t="inlineStr">
        <is>
          <t>VIMMERBY</t>
        </is>
      </c>
      <c r="G100" t="n">
        <v>1.1</v>
      </c>
      <c r="H100" t="n">
        <v>0</v>
      </c>
      <c r="I100" t="n">
        <v>0</v>
      </c>
      <c r="J100" t="n">
        <v>0</v>
      </c>
      <c r="K100" t="n">
        <v>0</v>
      </c>
      <c r="L100" t="n">
        <v>0</v>
      </c>
      <c r="M100" t="n">
        <v>0</v>
      </c>
      <c r="N100" t="n">
        <v>0</v>
      </c>
      <c r="O100" t="n">
        <v>0</v>
      </c>
      <c r="P100" t="n">
        <v>0</v>
      </c>
      <c r="Q100" t="n">
        <v>0</v>
      </c>
      <c r="R100" s="2" t="inlineStr"/>
    </row>
    <row r="101" ht="15" customHeight="1">
      <c r="A101" t="inlineStr">
        <is>
          <t>A 38789-2021</t>
        </is>
      </c>
      <c r="B101" s="1" t="n">
        <v>44410.71038194445</v>
      </c>
      <c r="C101" s="1" t="n">
        <v>45956</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66913-2020</t>
        </is>
      </c>
      <c r="B102" s="1" t="n">
        <v>44175</v>
      </c>
      <c r="C102" s="1" t="n">
        <v>45956</v>
      </c>
      <c r="D102" t="inlineStr">
        <is>
          <t>KALMAR LÄN</t>
        </is>
      </c>
      <c r="E102" t="inlineStr">
        <is>
          <t>VIMMERBY</t>
        </is>
      </c>
      <c r="G102" t="n">
        <v>5.6</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45956</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45956</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45956</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45956</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45956</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45956</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45956</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45956</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45956</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45956</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45956</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45956</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45956</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45956</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45956</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45956</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45956</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45956</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45956</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45956</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45956</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45956</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45956</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45956</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45956</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11814-2022</t>
        </is>
      </c>
      <c r="B128" s="1" t="n">
        <v>44634.69703703704</v>
      </c>
      <c r="C128" s="1" t="n">
        <v>45956</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45956</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24738-2021</t>
        </is>
      </c>
      <c r="B130" s="1" t="n">
        <v>44340.58002314815</v>
      </c>
      <c r="C130" s="1" t="n">
        <v>45956</v>
      </c>
      <c r="D130" t="inlineStr">
        <is>
          <t>KALMAR LÄN</t>
        </is>
      </c>
      <c r="E130" t="inlineStr">
        <is>
          <t>VIMMERBY</t>
        </is>
      </c>
      <c r="G130" t="n">
        <v>3.5</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45956</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8454-2022</t>
        </is>
      </c>
      <c r="B132" s="1" t="n">
        <v>44612.86762731482</v>
      </c>
      <c r="C132" s="1" t="n">
        <v>45956</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65887-2021</t>
        </is>
      </c>
      <c r="B133" s="1" t="n">
        <v>44517</v>
      </c>
      <c r="C133" s="1" t="n">
        <v>45956</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39959-2022</t>
        </is>
      </c>
      <c r="B134" s="1" t="n">
        <v>44819</v>
      </c>
      <c r="C134" s="1" t="n">
        <v>45956</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12661-2021</t>
        </is>
      </c>
      <c r="B135" s="1" t="n">
        <v>44270</v>
      </c>
      <c r="C135" s="1" t="n">
        <v>45956</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45956</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45956</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24999-2021</t>
        </is>
      </c>
      <c r="B138" s="1" t="n">
        <v>44341</v>
      </c>
      <c r="C138" s="1" t="n">
        <v>45956</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16705-2021</t>
        </is>
      </c>
      <c r="B139" s="1" t="n">
        <v>44294</v>
      </c>
      <c r="C139" s="1" t="n">
        <v>45956</v>
      </c>
      <c r="D139" t="inlineStr">
        <is>
          <t>KALMAR LÄN</t>
        </is>
      </c>
      <c r="E139" t="inlineStr">
        <is>
          <t>VIMMERBY</t>
        </is>
      </c>
      <c r="G139" t="n">
        <v>2.6</v>
      </c>
      <c r="H139" t="n">
        <v>0</v>
      </c>
      <c r="I139" t="n">
        <v>0</v>
      </c>
      <c r="J139" t="n">
        <v>0</v>
      </c>
      <c r="K139" t="n">
        <v>0</v>
      </c>
      <c r="L139" t="n">
        <v>0</v>
      </c>
      <c r="M139" t="n">
        <v>0</v>
      </c>
      <c r="N139" t="n">
        <v>0</v>
      </c>
      <c r="O139" t="n">
        <v>0</v>
      </c>
      <c r="P139" t="n">
        <v>0</v>
      </c>
      <c r="Q139" t="n">
        <v>0</v>
      </c>
      <c r="R139" s="2" t="inlineStr"/>
    </row>
    <row r="140" ht="15" customHeight="1">
      <c r="A140" t="inlineStr">
        <is>
          <t>A 8453-2022</t>
        </is>
      </c>
      <c r="B140" s="1" t="n">
        <v>44612.86554398148</v>
      </c>
      <c r="C140" s="1" t="n">
        <v>45956</v>
      </c>
      <c r="D140" t="inlineStr">
        <is>
          <t>KALMAR LÄN</t>
        </is>
      </c>
      <c r="E140" t="inlineStr">
        <is>
          <t>VIMMERBY</t>
        </is>
      </c>
      <c r="G140" t="n">
        <v>1.7</v>
      </c>
      <c r="H140" t="n">
        <v>0</v>
      </c>
      <c r="I140" t="n">
        <v>0</v>
      </c>
      <c r="J140" t="n">
        <v>0</v>
      </c>
      <c r="K140" t="n">
        <v>0</v>
      </c>
      <c r="L140" t="n">
        <v>0</v>
      </c>
      <c r="M140" t="n">
        <v>0</v>
      </c>
      <c r="N140" t="n">
        <v>0</v>
      </c>
      <c r="O140" t="n">
        <v>0</v>
      </c>
      <c r="P140" t="n">
        <v>0</v>
      </c>
      <c r="Q140" t="n">
        <v>0</v>
      </c>
      <c r="R140" s="2" t="inlineStr"/>
    </row>
    <row r="141" ht="15" customHeight="1">
      <c r="A141" t="inlineStr">
        <is>
          <t>A 52433-2021</t>
        </is>
      </c>
      <c r="B141" s="1" t="n">
        <v>44466.34726851852</v>
      </c>
      <c r="C141" s="1" t="n">
        <v>45956</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50621-2022</t>
        </is>
      </c>
      <c r="B142" s="1" t="n">
        <v>44866.81100694444</v>
      </c>
      <c r="C142" s="1" t="n">
        <v>45956</v>
      </c>
      <c r="D142" t="inlineStr">
        <is>
          <t>KALMAR LÄN</t>
        </is>
      </c>
      <c r="E142" t="inlineStr">
        <is>
          <t>VIMMERBY</t>
        </is>
      </c>
      <c r="F142" t="inlineStr">
        <is>
          <t>Övriga Aktiebolag</t>
        </is>
      </c>
      <c r="G142" t="n">
        <v>5.1</v>
      </c>
      <c r="H142" t="n">
        <v>0</v>
      </c>
      <c r="I142" t="n">
        <v>0</v>
      </c>
      <c r="J142" t="n">
        <v>0</v>
      </c>
      <c r="K142" t="n">
        <v>0</v>
      </c>
      <c r="L142" t="n">
        <v>0</v>
      </c>
      <c r="M142" t="n">
        <v>0</v>
      </c>
      <c r="N142" t="n">
        <v>0</v>
      </c>
      <c r="O142" t="n">
        <v>0</v>
      </c>
      <c r="P142" t="n">
        <v>0</v>
      </c>
      <c r="Q142" t="n">
        <v>0</v>
      </c>
      <c r="R142" s="2" t="inlineStr"/>
    </row>
    <row r="143" ht="15" customHeight="1">
      <c r="A143" t="inlineStr">
        <is>
          <t>A 54065-2021</t>
        </is>
      </c>
      <c r="B143" s="1" t="n">
        <v>44470.44232638889</v>
      </c>
      <c r="C143" s="1" t="n">
        <v>45956</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31824-2022</t>
        </is>
      </c>
      <c r="B144" s="1" t="n">
        <v>44776</v>
      </c>
      <c r="C144" s="1" t="n">
        <v>45956</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11733-2022</t>
        </is>
      </c>
      <c r="B145" s="1" t="n">
        <v>44634</v>
      </c>
      <c r="C145" s="1" t="n">
        <v>45956</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56389-2021</t>
        </is>
      </c>
      <c r="B146" s="1" t="n">
        <v>44480</v>
      </c>
      <c r="C146" s="1" t="n">
        <v>45956</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32603-2021</t>
        </is>
      </c>
      <c r="B147" s="1" t="n">
        <v>44375.38789351852</v>
      </c>
      <c r="C147" s="1" t="n">
        <v>45956</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618-2021</t>
        </is>
      </c>
      <c r="B148" s="1" t="n">
        <v>44203</v>
      </c>
      <c r="C148" s="1" t="n">
        <v>45956</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7804-2022</t>
        </is>
      </c>
      <c r="B149" s="1" t="n">
        <v>44608.50458333334</v>
      </c>
      <c r="C149" s="1" t="n">
        <v>45956</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36117-2021</t>
        </is>
      </c>
      <c r="B150" s="1" t="n">
        <v>44386</v>
      </c>
      <c r="C150" s="1" t="n">
        <v>45956</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39042-2022</t>
        </is>
      </c>
      <c r="B151" s="1" t="n">
        <v>44817</v>
      </c>
      <c r="C151" s="1" t="n">
        <v>45956</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42521-2021</t>
        </is>
      </c>
      <c r="B152" s="1" t="n">
        <v>44427</v>
      </c>
      <c r="C152" s="1" t="n">
        <v>45956</v>
      </c>
      <c r="D152" t="inlineStr">
        <is>
          <t>KALMAR LÄN</t>
        </is>
      </c>
      <c r="E152" t="inlineStr">
        <is>
          <t>VIMMERBY</t>
        </is>
      </c>
      <c r="G152" t="n">
        <v>5.4</v>
      </c>
      <c r="H152" t="n">
        <v>0</v>
      </c>
      <c r="I152" t="n">
        <v>0</v>
      </c>
      <c r="J152" t="n">
        <v>0</v>
      </c>
      <c r="K152" t="n">
        <v>0</v>
      </c>
      <c r="L152" t="n">
        <v>0</v>
      </c>
      <c r="M152" t="n">
        <v>0</v>
      </c>
      <c r="N152" t="n">
        <v>0</v>
      </c>
      <c r="O152" t="n">
        <v>0</v>
      </c>
      <c r="P152" t="n">
        <v>0</v>
      </c>
      <c r="Q152" t="n">
        <v>0</v>
      </c>
      <c r="R152" s="2" t="inlineStr"/>
    </row>
    <row r="153" ht="15" customHeight="1">
      <c r="A153" t="inlineStr">
        <is>
          <t>A 67952-2021</t>
        </is>
      </c>
      <c r="B153" s="1" t="n">
        <v>44525.63913194444</v>
      </c>
      <c r="C153" s="1" t="n">
        <v>45956</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16288-2021</t>
        </is>
      </c>
      <c r="B154" s="1" t="n">
        <v>44292</v>
      </c>
      <c r="C154" s="1" t="n">
        <v>45956</v>
      </c>
      <c r="D154" t="inlineStr">
        <is>
          <t>KALMAR LÄN</t>
        </is>
      </c>
      <c r="E154" t="inlineStr">
        <is>
          <t>VIMMERBY</t>
        </is>
      </c>
      <c r="F154" t="inlineStr">
        <is>
          <t>Övriga Aktiebolag</t>
        </is>
      </c>
      <c r="G154" t="n">
        <v>27.6</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45956</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29441-2024</t>
        </is>
      </c>
      <c r="B156" s="1" t="n">
        <v>45483.82834490741</v>
      </c>
      <c r="C156" s="1" t="n">
        <v>45956</v>
      </c>
      <c r="D156" t="inlineStr">
        <is>
          <t>KALMAR LÄN</t>
        </is>
      </c>
      <c r="E156" t="inlineStr">
        <is>
          <t>VIMMERBY</t>
        </is>
      </c>
      <c r="G156" t="n">
        <v>1.3</v>
      </c>
      <c r="H156" t="n">
        <v>0</v>
      </c>
      <c r="I156" t="n">
        <v>0</v>
      </c>
      <c r="J156" t="n">
        <v>0</v>
      </c>
      <c r="K156" t="n">
        <v>0</v>
      </c>
      <c r="L156" t="n">
        <v>0</v>
      </c>
      <c r="M156" t="n">
        <v>0</v>
      </c>
      <c r="N156" t="n">
        <v>0</v>
      </c>
      <c r="O156" t="n">
        <v>0</v>
      </c>
      <c r="P156" t="n">
        <v>0</v>
      </c>
      <c r="Q156" t="n">
        <v>0</v>
      </c>
      <c r="R156" s="2" t="inlineStr"/>
    </row>
    <row r="157" ht="15" customHeight="1">
      <c r="A157" t="inlineStr">
        <is>
          <t>A 14521-2021</t>
        </is>
      </c>
      <c r="B157" s="1" t="n">
        <v>44279.64934027778</v>
      </c>
      <c r="C157" s="1" t="n">
        <v>45956</v>
      </c>
      <c r="D157" t="inlineStr">
        <is>
          <t>KALMAR LÄN</t>
        </is>
      </c>
      <c r="E157" t="inlineStr">
        <is>
          <t>VIMMERBY</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15533-2022</t>
        </is>
      </c>
      <c r="B158" s="1" t="n">
        <v>44662</v>
      </c>
      <c r="C158" s="1" t="n">
        <v>45956</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25728-2023</t>
        </is>
      </c>
      <c r="B159" s="1" t="n">
        <v>45090.38012731481</v>
      </c>
      <c r="C159" s="1" t="n">
        <v>45956</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12662-2021</t>
        </is>
      </c>
      <c r="B160" s="1" t="n">
        <v>44270.49743055556</v>
      </c>
      <c r="C160" s="1" t="n">
        <v>45956</v>
      </c>
      <c r="D160" t="inlineStr">
        <is>
          <t>KALMAR LÄN</t>
        </is>
      </c>
      <c r="E160" t="inlineStr">
        <is>
          <t>VIMMERBY</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165-2022</t>
        </is>
      </c>
      <c r="B161" s="1" t="n">
        <v>44564</v>
      </c>
      <c r="C161" s="1" t="n">
        <v>45956</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46964-2022</t>
        </is>
      </c>
      <c r="B162" s="1" t="n">
        <v>44851.95016203704</v>
      </c>
      <c r="C162" s="1" t="n">
        <v>45956</v>
      </c>
      <c r="D162" t="inlineStr">
        <is>
          <t>KALMAR LÄN</t>
        </is>
      </c>
      <c r="E162" t="inlineStr">
        <is>
          <t>VIMMERBY</t>
        </is>
      </c>
      <c r="G162" t="n">
        <v>0.2</v>
      </c>
      <c r="H162" t="n">
        <v>0</v>
      </c>
      <c r="I162" t="n">
        <v>0</v>
      </c>
      <c r="J162" t="n">
        <v>0</v>
      </c>
      <c r="K162" t="n">
        <v>0</v>
      </c>
      <c r="L162" t="n">
        <v>0</v>
      </c>
      <c r="M162" t="n">
        <v>0</v>
      </c>
      <c r="N162" t="n">
        <v>0</v>
      </c>
      <c r="O162" t="n">
        <v>0</v>
      </c>
      <c r="P162" t="n">
        <v>0</v>
      </c>
      <c r="Q162" t="n">
        <v>0</v>
      </c>
      <c r="R162" s="2" t="inlineStr"/>
    </row>
    <row r="163" ht="15" customHeight="1">
      <c r="A163" t="inlineStr">
        <is>
          <t>A 23825-2022</t>
        </is>
      </c>
      <c r="B163" s="1" t="n">
        <v>44722.48768518519</v>
      </c>
      <c r="C163" s="1" t="n">
        <v>45956</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34040-2021</t>
        </is>
      </c>
      <c r="B164" s="1" t="n">
        <v>44379</v>
      </c>
      <c r="C164" s="1" t="n">
        <v>45956</v>
      </c>
      <c r="D164" t="inlineStr">
        <is>
          <t>KALMAR LÄN</t>
        </is>
      </c>
      <c r="E164" t="inlineStr">
        <is>
          <t>VIMMERBY</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15200-2021</t>
        </is>
      </c>
      <c r="B165" s="1" t="n">
        <v>44284.44574074074</v>
      </c>
      <c r="C165" s="1" t="n">
        <v>45956</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13180-2022</t>
        </is>
      </c>
      <c r="B166" s="1" t="n">
        <v>44644</v>
      </c>
      <c r="C166" s="1" t="n">
        <v>45956</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12107-2022</t>
        </is>
      </c>
      <c r="B167" s="1" t="n">
        <v>44636</v>
      </c>
      <c r="C167" s="1" t="n">
        <v>45956</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57948-2020</t>
        </is>
      </c>
      <c r="B168" s="1" t="n">
        <v>44142</v>
      </c>
      <c r="C168" s="1" t="n">
        <v>45956</v>
      </c>
      <c r="D168" t="inlineStr">
        <is>
          <t>KALMAR LÄN</t>
        </is>
      </c>
      <c r="E168" t="inlineStr">
        <is>
          <t>VIMMERBY</t>
        </is>
      </c>
      <c r="G168" t="n">
        <v>7.1</v>
      </c>
      <c r="H168" t="n">
        <v>0</v>
      </c>
      <c r="I168" t="n">
        <v>0</v>
      </c>
      <c r="J168" t="n">
        <v>0</v>
      </c>
      <c r="K168" t="n">
        <v>0</v>
      </c>
      <c r="L168" t="n">
        <v>0</v>
      </c>
      <c r="M168" t="n">
        <v>0</v>
      </c>
      <c r="N168" t="n">
        <v>0</v>
      </c>
      <c r="O168" t="n">
        <v>0</v>
      </c>
      <c r="P168" t="n">
        <v>0</v>
      </c>
      <c r="Q168" t="n">
        <v>0</v>
      </c>
      <c r="R168" s="2" t="inlineStr"/>
    </row>
    <row r="169" ht="15" customHeight="1">
      <c r="A169" t="inlineStr">
        <is>
          <t>A 39225-2022</t>
        </is>
      </c>
      <c r="B169" s="1" t="n">
        <v>44817.57988425926</v>
      </c>
      <c r="C169" s="1" t="n">
        <v>45956</v>
      </c>
      <c r="D169" t="inlineStr">
        <is>
          <t>KALMAR LÄN</t>
        </is>
      </c>
      <c r="E169" t="inlineStr">
        <is>
          <t>VIMMERBY</t>
        </is>
      </c>
      <c r="G169" t="n">
        <v>2.2</v>
      </c>
      <c r="H169" t="n">
        <v>0</v>
      </c>
      <c r="I169" t="n">
        <v>0</v>
      </c>
      <c r="J169" t="n">
        <v>0</v>
      </c>
      <c r="K169" t="n">
        <v>0</v>
      </c>
      <c r="L169" t="n">
        <v>0</v>
      </c>
      <c r="M169" t="n">
        <v>0</v>
      </c>
      <c r="N169" t="n">
        <v>0</v>
      </c>
      <c r="O169" t="n">
        <v>0</v>
      </c>
      <c r="P169" t="n">
        <v>0</v>
      </c>
      <c r="Q169" t="n">
        <v>0</v>
      </c>
      <c r="R169" s="2" t="inlineStr"/>
    </row>
    <row r="170" ht="15" customHeight="1">
      <c r="A170" t="inlineStr">
        <is>
          <t>A 18276-2021</t>
        </is>
      </c>
      <c r="B170" s="1" t="n">
        <v>44305.40046296296</v>
      </c>
      <c r="C170" s="1" t="n">
        <v>45956</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47473-2021</t>
        </is>
      </c>
      <c r="B171" s="1" t="n">
        <v>44447</v>
      </c>
      <c r="C171" s="1" t="n">
        <v>45956</v>
      </c>
      <c r="D171" t="inlineStr">
        <is>
          <t>KALMAR LÄN</t>
        </is>
      </c>
      <c r="E171" t="inlineStr">
        <is>
          <t>VIMMERBY</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16602-2021</t>
        </is>
      </c>
      <c r="B172" s="1" t="n">
        <v>44294</v>
      </c>
      <c r="C172" s="1" t="n">
        <v>45956</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16607-2021</t>
        </is>
      </c>
      <c r="B173" s="1" t="n">
        <v>44294</v>
      </c>
      <c r="C173" s="1" t="n">
        <v>45956</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52435-2021</t>
        </is>
      </c>
      <c r="B174" s="1" t="n">
        <v>44466.34962962963</v>
      </c>
      <c r="C174" s="1" t="n">
        <v>45956</v>
      </c>
      <c r="D174" t="inlineStr">
        <is>
          <t>KALMAR LÄN</t>
        </is>
      </c>
      <c r="E174" t="inlineStr">
        <is>
          <t>VIMMERBY</t>
        </is>
      </c>
      <c r="G174" t="n">
        <v>2.8</v>
      </c>
      <c r="H174" t="n">
        <v>0</v>
      </c>
      <c r="I174" t="n">
        <v>0</v>
      </c>
      <c r="J174" t="n">
        <v>0</v>
      </c>
      <c r="K174" t="n">
        <v>0</v>
      </c>
      <c r="L174" t="n">
        <v>0</v>
      </c>
      <c r="M174" t="n">
        <v>0</v>
      </c>
      <c r="N174" t="n">
        <v>0</v>
      </c>
      <c r="O174" t="n">
        <v>0</v>
      </c>
      <c r="P174" t="n">
        <v>0</v>
      </c>
      <c r="Q174" t="n">
        <v>0</v>
      </c>
      <c r="R174" s="2" t="inlineStr"/>
    </row>
    <row r="175" ht="15" customHeight="1">
      <c r="A175" t="inlineStr">
        <is>
          <t>A 29093-2023</t>
        </is>
      </c>
      <c r="B175" s="1" t="n">
        <v>45105</v>
      </c>
      <c r="C175" s="1" t="n">
        <v>45956</v>
      </c>
      <c r="D175" t="inlineStr">
        <is>
          <t>KALMAR LÄN</t>
        </is>
      </c>
      <c r="E175" t="inlineStr">
        <is>
          <t>VIMMERBY</t>
        </is>
      </c>
      <c r="G175" t="n">
        <v>2.9</v>
      </c>
      <c r="H175" t="n">
        <v>0</v>
      </c>
      <c r="I175" t="n">
        <v>0</v>
      </c>
      <c r="J175" t="n">
        <v>0</v>
      </c>
      <c r="K175" t="n">
        <v>0</v>
      </c>
      <c r="L175" t="n">
        <v>0</v>
      </c>
      <c r="M175" t="n">
        <v>0</v>
      </c>
      <c r="N175" t="n">
        <v>0</v>
      </c>
      <c r="O175" t="n">
        <v>0</v>
      </c>
      <c r="P175" t="n">
        <v>0</v>
      </c>
      <c r="Q175" t="n">
        <v>0</v>
      </c>
      <c r="R175" s="2" t="inlineStr"/>
    </row>
    <row r="176" ht="15" customHeight="1">
      <c r="A176" t="inlineStr">
        <is>
          <t>A 17029-2022</t>
        </is>
      </c>
      <c r="B176" s="1" t="n">
        <v>44676.85248842592</v>
      </c>
      <c r="C176" s="1" t="n">
        <v>45956</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14220-2021</t>
        </is>
      </c>
      <c r="B177" s="1" t="n">
        <v>44278.54855324074</v>
      </c>
      <c r="C177" s="1" t="n">
        <v>45956</v>
      </c>
      <c r="D177" t="inlineStr">
        <is>
          <t>KALMAR LÄN</t>
        </is>
      </c>
      <c r="E177" t="inlineStr">
        <is>
          <t>VIMMERBY</t>
        </is>
      </c>
      <c r="G177" t="n">
        <v>0.3</v>
      </c>
      <c r="H177" t="n">
        <v>0</v>
      </c>
      <c r="I177" t="n">
        <v>0</v>
      </c>
      <c r="J177" t="n">
        <v>0</v>
      </c>
      <c r="K177" t="n">
        <v>0</v>
      </c>
      <c r="L177" t="n">
        <v>0</v>
      </c>
      <c r="M177" t="n">
        <v>0</v>
      </c>
      <c r="N177" t="n">
        <v>0</v>
      </c>
      <c r="O177" t="n">
        <v>0</v>
      </c>
      <c r="P177" t="n">
        <v>0</v>
      </c>
      <c r="Q177" t="n">
        <v>0</v>
      </c>
      <c r="R177" s="2" t="inlineStr"/>
    </row>
    <row r="178" ht="15" customHeight="1">
      <c r="A178" t="inlineStr">
        <is>
          <t>A 7167-2022</t>
        </is>
      </c>
      <c r="B178" s="1" t="n">
        <v>44604</v>
      </c>
      <c r="C178" s="1" t="n">
        <v>45956</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33359-2021</t>
        </is>
      </c>
      <c r="B179" s="1" t="n">
        <v>44377.49684027778</v>
      </c>
      <c r="C179" s="1" t="n">
        <v>45956</v>
      </c>
      <c r="D179" t="inlineStr">
        <is>
          <t>KALMAR LÄN</t>
        </is>
      </c>
      <c r="E179" t="inlineStr">
        <is>
          <t>VIMMERBY</t>
        </is>
      </c>
      <c r="F179" t="inlineStr">
        <is>
          <t>Kommuner</t>
        </is>
      </c>
      <c r="G179" t="n">
        <v>8</v>
      </c>
      <c r="H179" t="n">
        <v>0</v>
      </c>
      <c r="I179" t="n">
        <v>0</v>
      </c>
      <c r="J179" t="n">
        <v>0</v>
      </c>
      <c r="K179" t="n">
        <v>0</v>
      </c>
      <c r="L179" t="n">
        <v>0</v>
      </c>
      <c r="M179" t="n">
        <v>0</v>
      </c>
      <c r="N179" t="n">
        <v>0</v>
      </c>
      <c r="O179" t="n">
        <v>0</v>
      </c>
      <c r="P179" t="n">
        <v>0</v>
      </c>
      <c r="Q179" t="n">
        <v>0</v>
      </c>
      <c r="R179" s="2" t="inlineStr"/>
    </row>
    <row r="180" ht="15" customHeight="1">
      <c r="A180" t="inlineStr">
        <is>
          <t>A 43038-2022</t>
        </is>
      </c>
      <c r="B180" s="1" t="n">
        <v>44833.60123842592</v>
      </c>
      <c r="C180" s="1" t="n">
        <v>45956</v>
      </c>
      <c r="D180" t="inlineStr">
        <is>
          <t>KALMAR LÄN</t>
        </is>
      </c>
      <c r="E180" t="inlineStr">
        <is>
          <t>VIMMERBY</t>
        </is>
      </c>
      <c r="G180" t="n">
        <v>4.2</v>
      </c>
      <c r="H180" t="n">
        <v>0</v>
      </c>
      <c r="I180" t="n">
        <v>0</v>
      </c>
      <c r="J180" t="n">
        <v>0</v>
      </c>
      <c r="K180" t="n">
        <v>0</v>
      </c>
      <c r="L180" t="n">
        <v>0</v>
      </c>
      <c r="M180" t="n">
        <v>0</v>
      </c>
      <c r="N180" t="n">
        <v>0</v>
      </c>
      <c r="O180" t="n">
        <v>0</v>
      </c>
      <c r="P180" t="n">
        <v>0</v>
      </c>
      <c r="Q180" t="n">
        <v>0</v>
      </c>
      <c r="R180" s="2" t="inlineStr"/>
    </row>
    <row r="181" ht="15" customHeight="1">
      <c r="A181" t="inlineStr">
        <is>
          <t>A 42850-2022</t>
        </is>
      </c>
      <c r="B181" s="1" t="n">
        <v>44832.67608796297</v>
      </c>
      <c r="C181" s="1" t="n">
        <v>45956</v>
      </c>
      <c r="D181" t="inlineStr">
        <is>
          <t>KALMAR LÄN</t>
        </is>
      </c>
      <c r="E181" t="inlineStr">
        <is>
          <t>VIMMERBY</t>
        </is>
      </c>
      <c r="G181" t="n">
        <v>5.9</v>
      </c>
      <c r="H181" t="n">
        <v>0</v>
      </c>
      <c r="I181" t="n">
        <v>0</v>
      </c>
      <c r="J181" t="n">
        <v>0</v>
      </c>
      <c r="K181" t="n">
        <v>0</v>
      </c>
      <c r="L181" t="n">
        <v>0</v>
      </c>
      <c r="M181" t="n">
        <v>0</v>
      </c>
      <c r="N181" t="n">
        <v>0</v>
      </c>
      <c r="O181" t="n">
        <v>0</v>
      </c>
      <c r="P181" t="n">
        <v>0</v>
      </c>
      <c r="Q181" t="n">
        <v>0</v>
      </c>
      <c r="R181" s="2" t="inlineStr"/>
    </row>
    <row r="182" ht="15" customHeight="1">
      <c r="A182" t="inlineStr">
        <is>
          <t>A 50087-2023</t>
        </is>
      </c>
      <c r="B182" s="1" t="n">
        <v>45215.59743055556</v>
      </c>
      <c r="C182" s="1" t="n">
        <v>45956</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18356-2021</t>
        </is>
      </c>
      <c r="B183" s="1" t="n">
        <v>44305</v>
      </c>
      <c r="C183" s="1" t="n">
        <v>45956</v>
      </c>
      <c r="D183" t="inlineStr">
        <is>
          <t>KALMAR LÄN</t>
        </is>
      </c>
      <c r="E183" t="inlineStr">
        <is>
          <t>VIMMERBY</t>
        </is>
      </c>
      <c r="G183" t="n">
        <v>3.4</v>
      </c>
      <c r="H183" t="n">
        <v>0</v>
      </c>
      <c r="I183" t="n">
        <v>0</v>
      </c>
      <c r="J183" t="n">
        <v>0</v>
      </c>
      <c r="K183" t="n">
        <v>0</v>
      </c>
      <c r="L183" t="n">
        <v>0</v>
      </c>
      <c r="M183" t="n">
        <v>0</v>
      </c>
      <c r="N183" t="n">
        <v>0</v>
      </c>
      <c r="O183" t="n">
        <v>0</v>
      </c>
      <c r="P183" t="n">
        <v>0</v>
      </c>
      <c r="Q183" t="n">
        <v>0</v>
      </c>
      <c r="R183" s="2" t="inlineStr"/>
    </row>
    <row r="184" ht="15" customHeight="1">
      <c r="A184" t="inlineStr">
        <is>
          <t>A 33681-2022</t>
        </is>
      </c>
      <c r="B184" s="1" t="n">
        <v>44789</v>
      </c>
      <c r="C184" s="1" t="n">
        <v>45956</v>
      </c>
      <c r="D184" t="inlineStr">
        <is>
          <t>KALMAR LÄN</t>
        </is>
      </c>
      <c r="E184" t="inlineStr">
        <is>
          <t>VIMMERBY</t>
        </is>
      </c>
      <c r="G184" t="n">
        <v>3.2</v>
      </c>
      <c r="H184" t="n">
        <v>0</v>
      </c>
      <c r="I184" t="n">
        <v>0</v>
      </c>
      <c r="J184" t="n">
        <v>0</v>
      </c>
      <c r="K184" t="n">
        <v>0</v>
      </c>
      <c r="L184" t="n">
        <v>0</v>
      </c>
      <c r="M184" t="n">
        <v>0</v>
      </c>
      <c r="N184" t="n">
        <v>0</v>
      </c>
      <c r="O184" t="n">
        <v>0</v>
      </c>
      <c r="P184" t="n">
        <v>0</v>
      </c>
      <c r="Q184" t="n">
        <v>0</v>
      </c>
      <c r="R184" s="2" t="inlineStr"/>
    </row>
    <row r="185" ht="15" customHeight="1">
      <c r="A185" t="inlineStr">
        <is>
          <t>A 41056-2022</t>
        </is>
      </c>
      <c r="B185" s="1" t="n">
        <v>44824</v>
      </c>
      <c r="C185" s="1" t="n">
        <v>45956</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31660-2021</t>
        </is>
      </c>
      <c r="B186" s="1" t="n">
        <v>44369</v>
      </c>
      <c r="C186" s="1" t="n">
        <v>45956</v>
      </c>
      <c r="D186" t="inlineStr">
        <is>
          <t>KALMAR LÄN</t>
        </is>
      </c>
      <c r="E186" t="inlineStr">
        <is>
          <t>VIMMERBY</t>
        </is>
      </c>
      <c r="G186" t="n">
        <v>4.2</v>
      </c>
      <c r="H186" t="n">
        <v>0</v>
      </c>
      <c r="I186" t="n">
        <v>0</v>
      </c>
      <c r="J186" t="n">
        <v>0</v>
      </c>
      <c r="K186" t="n">
        <v>0</v>
      </c>
      <c r="L186" t="n">
        <v>0</v>
      </c>
      <c r="M186" t="n">
        <v>0</v>
      </c>
      <c r="N186" t="n">
        <v>0</v>
      </c>
      <c r="O186" t="n">
        <v>0</v>
      </c>
      <c r="P186" t="n">
        <v>0</v>
      </c>
      <c r="Q186" t="n">
        <v>0</v>
      </c>
      <c r="R186" s="2" t="inlineStr"/>
    </row>
    <row r="187" ht="15" customHeight="1">
      <c r="A187" t="inlineStr">
        <is>
          <t>A 27455-2022</t>
        </is>
      </c>
      <c r="B187" s="1" t="n">
        <v>44742</v>
      </c>
      <c r="C187" s="1" t="n">
        <v>45956</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10086-2022</t>
        </is>
      </c>
      <c r="B188" s="1" t="n">
        <v>44621</v>
      </c>
      <c r="C188" s="1" t="n">
        <v>45956</v>
      </c>
      <c r="D188" t="inlineStr">
        <is>
          <t>KALMAR LÄN</t>
        </is>
      </c>
      <c r="E188" t="inlineStr">
        <is>
          <t>VIMMERBY</t>
        </is>
      </c>
      <c r="G188" t="n">
        <v>1.2</v>
      </c>
      <c r="H188" t="n">
        <v>0</v>
      </c>
      <c r="I188" t="n">
        <v>0</v>
      </c>
      <c r="J188" t="n">
        <v>0</v>
      </c>
      <c r="K188" t="n">
        <v>0</v>
      </c>
      <c r="L188" t="n">
        <v>0</v>
      </c>
      <c r="M188" t="n">
        <v>0</v>
      </c>
      <c r="N188" t="n">
        <v>0</v>
      </c>
      <c r="O188" t="n">
        <v>0</v>
      </c>
      <c r="P188" t="n">
        <v>0</v>
      </c>
      <c r="Q188" t="n">
        <v>0</v>
      </c>
      <c r="R188" s="2" t="inlineStr"/>
    </row>
    <row r="189" ht="15" customHeight="1">
      <c r="A189" t="inlineStr">
        <is>
          <t>A 35001-2021</t>
        </is>
      </c>
      <c r="B189" s="1" t="n">
        <v>44383</v>
      </c>
      <c r="C189" s="1" t="n">
        <v>45956</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16825-2024</t>
        </is>
      </c>
      <c r="B190" s="1" t="n">
        <v>45411.47335648148</v>
      </c>
      <c r="C190" s="1" t="n">
        <v>45956</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55674-2021</t>
        </is>
      </c>
      <c r="B191" s="1" t="n">
        <v>44476</v>
      </c>
      <c r="C191" s="1" t="n">
        <v>45956</v>
      </c>
      <c r="D191" t="inlineStr">
        <is>
          <t>KALMAR LÄN</t>
        </is>
      </c>
      <c r="E191" t="inlineStr">
        <is>
          <t>VIMMERBY</t>
        </is>
      </c>
      <c r="G191" t="n">
        <v>2.1</v>
      </c>
      <c r="H191" t="n">
        <v>0</v>
      </c>
      <c r="I191" t="n">
        <v>0</v>
      </c>
      <c r="J191" t="n">
        <v>0</v>
      </c>
      <c r="K191" t="n">
        <v>0</v>
      </c>
      <c r="L191" t="n">
        <v>0</v>
      </c>
      <c r="M191" t="n">
        <v>0</v>
      </c>
      <c r="N191" t="n">
        <v>0</v>
      </c>
      <c r="O191" t="n">
        <v>0</v>
      </c>
      <c r="P191" t="n">
        <v>0</v>
      </c>
      <c r="Q191" t="n">
        <v>0</v>
      </c>
      <c r="R191" s="2" t="inlineStr"/>
    </row>
    <row r="192" ht="15" customHeight="1">
      <c r="A192" t="inlineStr">
        <is>
          <t>A 3330-2021</t>
        </is>
      </c>
      <c r="B192" s="1" t="n">
        <v>44217.79856481482</v>
      </c>
      <c r="C192" s="1" t="n">
        <v>45956</v>
      </c>
      <c r="D192" t="inlineStr">
        <is>
          <t>KALMAR LÄN</t>
        </is>
      </c>
      <c r="E192" t="inlineStr">
        <is>
          <t>VIMMERBY</t>
        </is>
      </c>
      <c r="G192" t="n">
        <v>11.1</v>
      </c>
      <c r="H192" t="n">
        <v>0</v>
      </c>
      <c r="I192" t="n">
        <v>0</v>
      </c>
      <c r="J192" t="n">
        <v>0</v>
      </c>
      <c r="K192" t="n">
        <v>0</v>
      </c>
      <c r="L192" t="n">
        <v>0</v>
      </c>
      <c r="M192" t="n">
        <v>0</v>
      </c>
      <c r="N192" t="n">
        <v>0</v>
      </c>
      <c r="O192" t="n">
        <v>0</v>
      </c>
      <c r="P192" t="n">
        <v>0</v>
      </c>
      <c r="Q192" t="n">
        <v>0</v>
      </c>
      <c r="R192" s="2" t="inlineStr"/>
    </row>
    <row r="193" ht="15" customHeight="1">
      <c r="A193" t="inlineStr">
        <is>
          <t>A 12033-2024</t>
        </is>
      </c>
      <c r="B193" s="1" t="n">
        <v>45377.40043981482</v>
      </c>
      <c r="C193" s="1" t="n">
        <v>45956</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65564-2020</t>
        </is>
      </c>
      <c r="B194" s="1" t="n">
        <v>44172</v>
      </c>
      <c r="C194" s="1" t="n">
        <v>45956</v>
      </c>
      <c r="D194" t="inlineStr">
        <is>
          <t>KALMAR LÄN</t>
        </is>
      </c>
      <c r="E194" t="inlineStr">
        <is>
          <t>VIMMERBY</t>
        </is>
      </c>
      <c r="G194" t="n">
        <v>4.1</v>
      </c>
      <c r="H194" t="n">
        <v>0</v>
      </c>
      <c r="I194" t="n">
        <v>0</v>
      </c>
      <c r="J194" t="n">
        <v>0</v>
      </c>
      <c r="K194" t="n">
        <v>0</v>
      </c>
      <c r="L194" t="n">
        <v>0</v>
      </c>
      <c r="M194" t="n">
        <v>0</v>
      </c>
      <c r="N194" t="n">
        <v>0</v>
      </c>
      <c r="O194" t="n">
        <v>0</v>
      </c>
      <c r="P194" t="n">
        <v>0</v>
      </c>
      <c r="Q194" t="n">
        <v>0</v>
      </c>
      <c r="R194" s="2" t="inlineStr"/>
    </row>
    <row r="195" ht="15" customHeight="1">
      <c r="A195" t="inlineStr">
        <is>
          <t>A 40077-2021</t>
        </is>
      </c>
      <c r="B195" s="1" t="n">
        <v>44418</v>
      </c>
      <c r="C195" s="1" t="n">
        <v>45956</v>
      </c>
      <c r="D195" t="inlineStr">
        <is>
          <t>KALMAR LÄN</t>
        </is>
      </c>
      <c r="E195" t="inlineStr">
        <is>
          <t>VIMMERBY</t>
        </is>
      </c>
      <c r="G195" t="n">
        <v>2.9</v>
      </c>
      <c r="H195" t="n">
        <v>0</v>
      </c>
      <c r="I195" t="n">
        <v>0</v>
      </c>
      <c r="J195" t="n">
        <v>0</v>
      </c>
      <c r="K195" t="n">
        <v>0</v>
      </c>
      <c r="L195" t="n">
        <v>0</v>
      </c>
      <c r="M195" t="n">
        <v>0</v>
      </c>
      <c r="N195" t="n">
        <v>0</v>
      </c>
      <c r="O195" t="n">
        <v>0</v>
      </c>
      <c r="P195" t="n">
        <v>0</v>
      </c>
      <c r="Q195" t="n">
        <v>0</v>
      </c>
      <c r="R195" s="2" t="inlineStr"/>
    </row>
    <row r="196" ht="15" customHeight="1">
      <c r="A196" t="inlineStr">
        <is>
          <t>A 6214-2025</t>
        </is>
      </c>
      <c r="B196" s="1" t="n">
        <v>45698.51711805556</v>
      </c>
      <c r="C196" s="1" t="n">
        <v>45956</v>
      </c>
      <c r="D196" t="inlineStr">
        <is>
          <t>KALMAR LÄN</t>
        </is>
      </c>
      <c r="E196" t="inlineStr">
        <is>
          <t>VIMMERBY</t>
        </is>
      </c>
      <c r="G196" t="n">
        <v>1.2</v>
      </c>
      <c r="H196" t="n">
        <v>0</v>
      </c>
      <c r="I196" t="n">
        <v>0</v>
      </c>
      <c r="J196" t="n">
        <v>0</v>
      </c>
      <c r="K196" t="n">
        <v>0</v>
      </c>
      <c r="L196" t="n">
        <v>0</v>
      </c>
      <c r="M196" t="n">
        <v>0</v>
      </c>
      <c r="N196" t="n">
        <v>0</v>
      </c>
      <c r="O196" t="n">
        <v>0</v>
      </c>
      <c r="P196" t="n">
        <v>0</v>
      </c>
      <c r="Q196" t="n">
        <v>0</v>
      </c>
      <c r="R196" s="2" t="inlineStr"/>
    </row>
    <row r="197" ht="15" customHeight="1">
      <c r="A197" t="inlineStr">
        <is>
          <t>A 49408-2023</t>
        </is>
      </c>
      <c r="B197" s="1" t="n">
        <v>45211.43555555555</v>
      </c>
      <c r="C197" s="1" t="n">
        <v>45956</v>
      </c>
      <c r="D197" t="inlineStr">
        <is>
          <t>KALMAR LÄN</t>
        </is>
      </c>
      <c r="E197" t="inlineStr">
        <is>
          <t>VIMMERBY</t>
        </is>
      </c>
      <c r="G197" t="n">
        <v>13.1</v>
      </c>
      <c r="H197" t="n">
        <v>0</v>
      </c>
      <c r="I197" t="n">
        <v>0</v>
      </c>
      <c r="J197" t="n">
        <v>0</v>
      </c>
      <c r="K197" t="n">
        <v>0</v>
      </c>
      <c r="L197" t="n">
        <v>0</v>
      </c>
      <c r="M197" t="n">
        <v>0</v>
      </c>
      <c r="N197" t="n">
        <v>0</v>
      </c>
      <c r="O197" t="n">
        <v>0</v>
      </c>
      <c r="P197" t="n">
        <v>0</v>
      </c>
      <c r="Q197" t="n">
        <v>0</v>
      </c>
      <c r="R197" s="2" t="inlineStr"/>
    </row>
    <row r="198" ht="15" customHeight="1">
      <c r="A198" t="inlineStr">
        <is>
          <t>A 53145-2022</t>
        </is>
      </c>
      <c r="B198" s="1" t="n">
        <v>44876.48346064815</v>
      </c>
      <c r="C198" s="1" t="n">
        <v>45956</v>
      </c>
      <c r="D198" t="inlineStr">
        <is>
          <t>KALMAR LÄN</t>
        </is>
      </c>
      <c r="E198" t="inlineStr">
        <is>
          <t>VIMMERBY</t>
        </is>
      </c>
      <c r="G198" t="n">
        <v>0.4</v>
      </c>
      <c r="H198" t="n">
        <v>0</v>
      </c>
      <c r="I198" t="n">
        <v>0</v>
      </c>
      <c r="J198" t="n">
        <v>0</v>
      </c>
      <c r="K198" t="n">
        <v>0</v>
      </c>
      <c r="L198" t="n">
        <v>0</v>
      </c>
      <c r="M198" t="n">
        <v>0</v>
      </c>
      <c r="N198" t="n">
        <v>0</v>
      </c>
      <c r="O198" t="n">
        <v>0</v>
      </c>
      <c r="P198" t="n">
        <v>0</v>
      </c>
      <c r="Q198" t="n">
        <v>0</v>
      </c>
      <c r="R198" s="2" t="inlineStr"/>
    </row>
    <row r="199" ht="15" customHeight="1">
      <c r="A199" t="inlineStr">
        <is>
          <t>A 47769-2022</t>
        </is>
      </c>
      <c r="B199" s="1" t="n">
        <v>44854</v>
      </c>
      <c r="C199" s="1" t="n">
        <v>45956</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25738-2022</t>
        </is>
      </c>
      <c r="B200" s="1" t="n">
        <v>44733.43092592592</v>
      </c>
      <c r="C200" s="1" t="n">
        <v>45956</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27443-2023</t>
        </is>
      </c>
      <c r="B201" s="1" t="n">
        <v>45097.40524305555</v>
      </c>
      <c r="C201" s="1" t="n">
        <v>45956</v>
      </c>
      <c r="D201" t="inlineStr">
        <is>
          <t>KALMAR LÄN</t>
        </is>
      </c>
      <c r="E201" t="inlineStr">
        <is>
          <t>VIMMERBY</t>
        </is>
      </c>
      <c r="F201" t="inlineStr">
        <is>
          <t>Övriga Aktiebolag</t>
        </is>
      </c>
      <c r="G201" t="n">
        <v>2.3</v>
      </c>
      <c r="H201" t="n">
        <v>0</v>
      </c>
      <c r="I201" t="n">
        <v>0</v>
      </c>
      <c r="J201" t="n">
        <v>0</v>
      </c>
      <c r="K201" t="n">
        <v>0</v>
      </c>
      <c r="L201" t="n">
        <v>0</v>
      </c>
      <c r="M201" t="n">
        <v>0</v>
      </c>
      <c r="N201" t="n">
        <v>0</v>
      </c>
      <c r="O201" t="n">
        <v>0</v>
      </c>
      <c r="P201" t="n">
        <v>0</v>
      </c>
      <c r="Q201" t="n">
        <v>0</v>
      </c>
      <c r="R201" s="2" t="inlineStr"/>
    </row>
    <row r="202" ht="15" customHeight="1">
      <c r="A202" t="inlineStr">
        <is>
          <t>A 28395-2023</t>
        </is>
      </c>
      <c r="B202" s="1" t="n">
        <v>45100.4062962963</v>
      </c>
      <c r="C202" s="1" t="n">
        <v>45956</v>
      </c>
      <c r="D202" t="inlineStr">
        <is>
          <t>KALMAR LÄN</t>
        </is>
      </c>
      <c r="E202" t="inlineStr">
        <is>
          <t>VIMMERBY</t>
        </is>
      </c>
      <c r="G202" t="n">
        <v>1.4</v>
      </c>
      <c r="H202" t="n">
        <v>0</v>
      </c>
      <c r="I202" t="n">
        <v>0</v>
      </c>
      <c r="J202" t="n">
        <v>0</v>
      </c>
      <c r="K202" t="n">
        <v>0</v>
      </c>
      <c r="L202" t="n">
        <v>0</v>
      </c>
      <c r="M202" t="n">
        <v>0</v>
      </c>
      <c r="N202" t="n">
        <v>0</v>
      </c>
      <c r="O202" t="n">
        <v>0</v>
      </c>
      <c r="P202" t="n">
        <v>0</v>
      </c>
      <c r="Q202" t="n">
        <v>0</v>
      </c>
      <c r="R202" s="2" t="inlineStr"/>
    </row>
    <row r="203" ht="15" customHeight="1">
      <c r="A203" t="inlineStr">
        <is>
          <t>A 18501-2024</t>
        </is>
      </c>
      <c r="B203" s="1" t="n">
        <v>45425.57538194444</v>
      </c>
      <c r="C203" s="1" t="n">
        <v>45956</v>
      </c>
      <c r="D203" t="inlineStr">
        <is>
          <t>KALMAR LÄN</t>
        </is>
      </c>
      <c r="E203" t="inlineStr">
        <is>
          <t>VIMMERBY</t>
        </is>
      </c>
      <c r="G203" t="n">
        <v>2</v>
      </c>
      <c r="H203" t="n">
        <v>0</v>
      </c>
      <c r="I203" t="n">
        <v>0</v>
      </c>
      <c r="J203" t="n">
        <v>0</v>
      </c>
      <c r="K203" t="n">
        <v>0</v>
      </c>
      <c r="L203" t="n">
        <v>0</v>
      </c>
      <c r="M203" t="n">
        <v>0</v>
      </c>
      <c r="N203" t="n">
        <v>0</v>
      </c>
      <c r="O203" t="n">
        <v>0</v>
      </c>
      <c r="P203" t="n">
        <v>0</v>
      </c>
      <c r="Q203" t="n">
        <v>0</v>
      </c>
      <c r="R203" s="2" t="inlineStr"/>
    </row>
    <row r="204" ht="15" customHeight="1">
      <c r="A204" t="inlineStr">
        <is>
          <t>A 8194-2022</t>
        </is>
      </c>
      <c r="B204" s="1" t="n">
        <v>44609</v>
      </c>
      <c r="C204" s="1" t="n">
        <v>45956</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15191-2021</t>
        </is>
      </c>
      <c r="B205" s="1" t="n">
        <v>44284.42348379629</v>
      </c>
      <c r="C205" s="1" t="n">
        <v>45956</v>
      </c>
      <c r="D205" t="inlineStr">
        <is>
          <t>KALMAR LÄN</t>
        </is>
      </c>
      <c r="E205" t="inlineStr">
        <is>
          <t>VIMMERBY</t>
        </is>
      </c>
      <c r="G205" t="n">
        <v>1.3</v>
      </c>
      <c r="H205" t="n">
        <v>0</v>
      </c>
      <c r="I205" t="n">
        <v>0</v>
      </c>
      <c r="J205" t="n">
        <v>0</v>
      </c>
      <c r="K205" t="n">
        <v>0</v>
      </c>
      <c r="L205" t="n">
        <v>0</v>
      </c>
      <c r="M205" t="n">
        <v>0</v>
      </c>
      <c r="N205" t="n">
        <v>0</v>
      </c>
      <c r="O205" t="n">
        <v>0</v>
      </c>
      <c r="P205" t="n">
        <v>0</v>
      </c>
      <c r="Q205" t="n">
        <v>0</v>
      </c>
      <c r="R205" s="2" t="inlineStr"/>
    </row>
    <row r="206" ht="15" customHeight="1">
      <c r="A206" t="inlineStr">
        <is>
          <t>A 25799-2023</t>
        </is>
      </c>
      <c r="B206" s="1" t="n">
        <v>45090</v>
      </c>
      <c r="C206" s="1" t="n">
        <v>45956</v>
      </c>
      <c r="D206" t="inlineStr">
        <is>
          <t>KALMAR LÄN</t>
        </is>
      </c>
      <c r="E206" t="inlineStr">
        <is>
          <t>VIMMERBY</t>
        </is>
      </c>
      <c r="G206" t="n">
        <v>7.7</v>
      </c>
      <c r="H206" t="n">
        <v>0</v>
      </c>
      <c r="I206" t="n">
        <v>0</v>
      </c>
      <c r="J206" t="n">
        <v>0</v>
      </c>
      <c r="K206" t="n">
        <v>0</v>
      </c>
      <c r="L206" t="n">
        <v>0</v>
      </c>
      <c r="M206" t="n">
        <v>0</v>
      </c>
      <c r="N206" t="n">
        <v>0</v>
      </c>
      <c r="O206" t="n">
        <v>0</v>
      </c>
      <c r="P206" t="n">
        <v>0</v>
      </c>
      <c r="Q206" t="n">
        <v>0</v>
      </c>
      <c r="R206" s="2" t="inlineStr"/>
    </row>
    <row r="207" ht="15" customHeight="1">
      <c r="A207" t="inlineStr">
        <is>
          <t>A 40971-2021</t>
        </is>
      </c>
      <c r="B207" s="1" t="n">
        <v>44421</v>
      </c>
      <c r="C207" s="1" t="n">
        <v>45956</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68744-2020</t>
        </is>
      </c>
      <c r="B208" s="1" t="n">
        <v>44186</v>
      </c>
      <c r="C208" s="1" t="n">
        <v>45956</v>
      </c>
      <c r="D208" t="inlineStr">
        <is>
          <t>KALMAR LÄN</t>
        </is>
      </c>
      <c r="E208" t="inlineStr">
        <is>
          <t>VIMMERBY</t>
        </is>
      </c>
      <c r="G208" t="n">
        <v>2.5</v>
      </c>
      <c r="H208" t="n">
        <v>0</v>
      </c>
      <c r="I208" t="n">
        <v>0</v>
      </c>
      <c r="J208" t="n">
        <v>0</v>
      </c>
      <c r="K208" t="n">
        <v>0</v>
      </c>
      <c r="L208" t="n">
        <v>0</v>
      </c>
      <c r="M208" t="n">
        <v>0</v>
      </c>
      <c r="N208" t="n">
        <v>0</v>
      </c>
      <c r="O208" t="n">
        <v>0</v>
      </c>
      <c r="P208" t="n">
        <v>0</v>
      </c>
      <c r="Q208" t="n">
        <v>0</v>
      </c>
      <c r="R208" s="2" t="inlineStr"/>
    </row>
    <row r="209" ht="15" customHeight="1">
      <c r="A209" t="inlineStr">
        <is>
          <t>A 16015-2025</t>
        </is>
      </c>
      <c r="B209" s="1" t="n">
        <v>45749.60487268519</v>
      </c>
      <c r="C209" s="1" t="n">
        <v>45956</v>
      </c>
      <c r="D209" t="inlineStr">
        <is>
          <t>KALMAR LÄN</t>
        </is>
      </c>
      <c r="E209" t="inlineStr">
        <is>
          <t>VIMMERBY</t>
        </is>
      </c>
      <c r="F209" t="inlineStr">
        <is>
          <t>Kyrkan</t>
        </is>
      </c>
      <c r="G209" t="n">
        <v>2.7</v>
      </c>
      <c r="H209" t="n">
        <v>0</v>
      </c>
      <c r="I209" t="n">
        <v>0</v>
      </c>
      <c r="J209" t="n">
        <v>0</v>
      </c>
      <c r="K209" t="n">
        <v>0</v>
      </c>
      <c r="L209" t="n">
        <v>0</v>
      </c>
      <c r="M209" t="n">
        <v>0</v>
      </c>
      <c r="N209" t="n">
        <v>0</v>
      </c>
      <c r="O209" t="n">
        <v>0</v>
      </c>
      <c r="P209" t="n">
        <v>0</v>
      </c>
      <c r="Q209" t="n">
        <v>0</v>
      </c>
      <c r="R209" s="2" t="inlineStr"/>
    </row>
    <row r="210" ht="15" customHeight="1">
      <c r="A210" t="inlineStr">
        <is>
          <t>A 48377-2021</t>
        </is>
      </c>
      <c r="B210" s="1" t="n">
        <v>44451.8375</v>
      </c>
      <c r="C210" s="1" t="n">
        <v>45956</v>
      </c>
      <c r="D210" t="inlineStr">
        <is>
          <t>KALMAR LÄN</t>
        </is>
      </c>
      <c r="E210" t="inlineStr">
        <is>
          <t>VIMMERBY</t>
        </is>
      </c>
      <c r="G210" t="n">
        <v>0.4</v>
      </c>
      <c r="H210" t="n">
        <v>0</v>
      </c>
      <c r="I210" t="n">
        <v>0</v>
      </c>
      <c r="J210" t="n">
        <v>0</v>
      </c>
      <c r="K210" t="n">
        <v>0</v>
      </c>
      <c r="L210" t="n">
        <v>0</v>
      </c>
      <c r="M210" t="n">
        <v>0</v>
      </c>
      <c r="N210" t="n">
        <v>0</v>
      </c>
      <c r="O210" t="n">
        <v>0</v>
      </c>
      <c r="P210" t="n">
        <v>0</v>
      </c>
      <c r="Q210" t="n">
        <v>0</v>
      </c>
      <c r="R210" s="2" t="inlineStr"/>
    </row>
    <row r="211" ht="15" customHeight="1">
      <c r="A211" t="inlineStr">
        <is>
          <t>A 40472-2022</t>
        </is>
      </c>
      <c r="B211" s="1" t="n">
        <v>44823</v>
      </c>
      <c r="C211" s="1" t="n">
        <v>45956</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57256-2023</t>
        </is>
      </c>
      <c r="B212" s="1" t="n">
        <v>45245.5735300926</v>
      </c>
      <c r="C212" s="1" t="n">
        <v>45956</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13457-2021</t>
        </is>
      </c>
      <c r="B213" s="1" t="n">
        <v>44273</v>
      </c>
      <c r="C213" s="1" t="n">
        <v>45956</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23088-2024</t>
        </is>
      </c>
      <c r="B214" s="1" t="n">
        <v>45450.51092592593</v>
      </c>
      <c r="C214" s="1" t="n">
        <v>45956</v>
      </c>
      <c r="D214" t="inlineStr">
        <is>
          <t>KALMAR LÄN</t>
        </is>
      </c>
      <c r="E214" t="inlineStr">
        <is>
          <t>VIMMERBY</t>
        </is>
      </c>
      <c r="G214" t="n">
        <v>1.9</v>
      </c>
      <c r="H214" t="n">
        <v>0</v>
      </c>
      <c r="I214" t="n">
        <v>0</v>
      </c>
      <c r="J214" t="n">
        <v>0</v>
      </c>
      <c r="K214" t="n">
        <v>0</v>
      </c>
      <c r="L214" t="n">
        <v>0</v>
      </c>
      <c r="M214" t="n">
        <v>0</v>
      </c>
      <c r="N214" t="n">
        <v>0</v>
      </c>
      <c r="O214" t="n">
        <v>0</v>
      </c>
      <c r="P214" t="n">
        <v>0</v>
      </c>
      <c r="Q214" t="n">
        <v>0</v>
      </c>
      <c r="R214" s="2" t="inlineStr"/>
    </row>
    <row r="215" ht="15" customHeight="1">
      <c r="A215" t="inlineStr">
        <is>
          <t>A 14278-2021</t>
        </is>
      </c>
      <c r="B215" s="1" t="n">
        <v>44278.63479166666</v>
      </c>
      <c r="C215" s="1" t="n">
        <v>45956</v>
      </c>
      <c r="D215" t="inlineStr">
        <is>
          <t>KALMAR LÄN</t>
        </is>
      </c>
      <c r="E215" t="inlineStr">
        <is>
          <t>VIMMERBY</t>
        </is>
      </c>
      <c r="F215" t="inlineStr">
        <is>
          <t>Övriga statliga verk och myndigheter</t>
        </is>
      </c>
      <c r="G215" t="n">
        <v>0.8</v>
      </c>
      <c r="H215" t="n">
        <v>0</v>
      </c>
      <c r="I215" t="n">
        <v>0</v>
      </c>
      <c r="J215" t="n">
        <v>0</v>
      </c>
      <c r="K215" t="n">
        <v>0</v>
      </c>
      <c r="L215" t="n">
        <v>0</v>
      </c>
      <c r="M215" t="n">
        <v>0</v>
      </c>
      <c r="N215" t="n">
        <v>0</v>
      </c>
      <c r="O215" t="n">
        <v>0</v>
      </c>
      <c r="P215" t="n">
        <v>0</v>
      </c>
      <c r="Q215" t="n">
        <v>0</v>
      </c>
      <c r="R215" s="2" t="inlineStr"/>
    </row>
    <row r="216" ht="15" customHeight="1">
      <c r="A216" t="inlineStr">
        <is>
          <t>A 7485-2024</t>
        </is>
      </c>
      <c r="B216" s="1" t="n">
        <v>45346.67184027778</v>
      </c>
      <c r="C216" s="1" t="n">
        <v>45956</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35316-2021</t>
        </is>
      </c>
      <c r="B217" s="1" t="n">
        <v>44384</v>
      </c>
      <c r="C217" s="1" t="n">
        <v>45956</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33831-2022</t>
        </is>
      </c>
      <c r="B218" s="1" t="n">
        <v>44790.48503472222</v>
      </c>
      <c r="C218" s="1" t="n">
        <v>45956</v>
      </c>
      <c r="D218" t="inlineStr">
        <is>
          <t>KALMAR LÄN</t>
        </is>
      </c>
      <c r="E218" t="inlineStr">
        <is>
          <t>VIMMERBY</t>
        </is>
      </c>
      <c r="G218" t="n">
        <v>1.1</v>
      </c>
      <c r="H218" t="n">
        <v>0</v>
      </c>
      <c r="I218" t="n">
        <v>0</v>
      </c>
      <c r="J218" t="n">
        <v>0</v>
      </c>
      <c r="K218" t="n">
        <v>0</v>
      </c>
      <c r="L218" t="n">
        <v>0</v>
      </c>
      <c r="M218" t="n">
        <v>0</v>
      </c>
      <c r="N218" t="n">
        <v>0</v>
      </c>
      <c r="O218" t="n">
        <v>0</v>
      </c>
      <c r="P218" t="n">
        <v>0</v>
      </c>
      <c r="Q218" t="n">
        <v>0</v>
      </c>
      <c r="R218" s="2" t="inlineStr"/>
    </row>
    <row r="219" ht="15" customHeight="1">
      <c r="A219" t="inlineStr">
        <is>
          <t>A 47708-2022</t>
        </is>
      </c>
      <c r="B219" s="1" t="n">
        <v>44854.59157407407</v>
      </c>
      <c r="C219" s="1" t="n">
        <v>45956</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6574-2023</t>
        </is>
      </c>
      <c r="B220" s="1" t="n">
        <v>44966</v>
      </c>
      <c r="C220" s="1" t="n">
        <v>45956</v>
      </c>
      <c r="D220" t="inlineStr">
        <is>
          <t>KALMAR LÄN</t>
        </is>
      </c>
      <c r="E220" t="inlineStr">
        <is>
          <t>VIMMERBY</t>
        </is>
      </c>
      <c r="G220" t="n">
        <v>2.5</v>
      </c>
      <c r="H220" t="n">
        <v>0</v>
      </c>
      <c r="I220" t="n">
        <v>0</v>
      </c>
      <c r="J220" t="n">
        <v>0</v>
      </c>
      <c r="K220" t="n">
        <v>0</v>
      </c>
      <c r="L220" t="n">
        <v>0</v>
      </c>
      <c r="M220" t="n">
        <v>0</v>
      </c>
      <c r="N220" t="n">
        <v>0</v>
      </c>
      <c r="O220" t="n">
        <v>0</v>
      </c>
      <c r="P220" t="n">
        <v>0</v>
      </c>
      <c r="Q220" t="n">
        <v>0</v>
      </c>
      <c r="R220" s="2" t="inlineStr"/>
    </row>
    <row r="221" ht="15" customHeight="1">
      <c r="A221" t="inlineStr">
        <is>
          <t>A 57189-2022</t>
        </is>
      </c>
      <c r="B221" s="1" t="n">
        <v>44895.62296296296</v>
      </c>
      <c r="C221" s="1" t="n">
        <v>45956</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9918-2022</t>
        </is>
      </c>
      <c r="B222" s="1" t="n">
        <v>44620</v>
      </c>
      <c r="C222" s="1" t="n">
        <v>45956</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20054-2023</t>
        </is>
      </c>
      <c r="B223" s="1" t="n">
        <v>45054.6750462963</v>
      </c>
      <c r="C223" s="1" t="n">
        <v>45956</v>
      </c>
      <c r="D223" t="inlineStr">
        <is>
          <t>KALMAR LÄN</t>
        </is>
      </c>
      <c r="E223" t="inlineStr">
        <is>
          <t>VIMMERBY</t>
        </is>
      </c>
      <c r="G223" t="n">
        <v>2.4</v>
      </c>
      <c r="H223" t="n">
        <v>0</v>
      </c>
      <c r="I223" t="n">
        <v>0</v>
      </c>
      <c r="J223" t="n">
        <v>0</v>
      </c>
      <c r="K223" t="n">
        <v>0</v>
      </c>
      <c r="L223" t="n">
        <v>0</v>
      </c>
      <c r="M223" t="n">
        <v>0</v>
      </c>
      <c r="N223" t="n">
        <v>0</v>
      </c>
      <c r="O223" t="n">
        <v>0</v>
      </c>
      <c r="P223" t="n">
        <v>0</v>
      </c>
      <c r="Q223" t="n">
        <v>0</v>
      </c>
      <c r="R223" s="2" t="inlineStr"/>
    </row>
    <row r="224" ht="15" customHeight="1">
      <c r="A224" t="inlineStr">
        <is>
          <t>A 1987-2024</t>
        </is>
      </c>
      <c r="B224" s="1" t="n">
        <v>45308.61152777778</v>
      </c>
      <c r="C224" s="1" t="n">
        <v>45956</v>
      </c>
      <c r="D224" t="inlineStr">
        <is>
          <t>KALMAR LÄN</t>
        </is>
      </c>
      <c r="E224" t="inlineStr">
        <is>
          <t>VIMMERBY</t>
        </is>
      </c>
      <c r="G224" t="n">
        <v>3</v>
      </c>
      <c r="H224" t="n">
        <v>0</v>
      </c>
      <c r="I224" t="n">
        <v>0</v>
      </c>
      <c r="J224" t="n">
        <v>0</v>
      </c>
      <c r="K224" t="n">
        <v>0</v>
      </c>
      <c r="L224" t="n">
        <v>0</v>
      </c>
      <c r="M224" t="n">
        <v>0</v>
      </c>
      <c r="N224" t="n">
        <v>0</v>
      </c>
      <c r="O224" t="n">
        <v>0</v>
      </c>
      <c r="P224" t="n">
        <v>0</v>
      </c>
      <c r="Q224" t="n">
        <v>0</v>
      </c>
      <c r="R224" s="2" t="inlineStr"/>
    </row>
    <row r="225" ht="15" customHeight="1">
      <c r="A225" t="inlineStr">
        <is>
          <t>A 527-2024</t>
        </is>
      </c>
      <c r="B225" s="1" t="n">
        <v>45299.47513888889</v>
      </c>
      <c r="C225" s="1" t="n">
        <v>45956</v>
      </c>
      <c r="D225" t="inlineStr">
        <is>
          <t>KALMAR LÄN</t>
        </is>
      </c>
      <c r="E225" t="inlineStr">
        <is>
          <t>VIMMERBY</t>
        </is>
      </c>
      <c r="G225" t="n">
        <v>2.2</v>
      </c>
      <c r="H225" t="n">
        <v>0</v>
      </c>
      <c r="I225" t="n">
        <v>0</v>
      </c>
      <c r="J225" t="n">
        <v>0</v>
      </c>
      <c r="K225" t="n">
        <v>0</v>
      </c>
      <c r="L225" t="n">
        <v>0</v>
      </c>
      <c r="M225" t="n">
        <v>0</v>
      </c>
      <c r="N225" t="n">
        <v>0</v>
      </c>
      <c r="O225" t="n">
        <v>0</v>
      </c>
      <c r="P225" t="n">
        <v>0</v>
      </c>
      <c r="Q225" t="n">
        <v>0</v>
      </c>
      <c r="R225" s="2" t="inlineStr"/>
    </row>
    <row r="226" ht="15" customHeight="1">
      <c r="A226" t="inlineStr">
        <is>
          <t>A 58750-2022</t>
        </is>
      </c>
      <c r="B226" s="1" t="n">
        <v>44903.33363425926</v>
      </c>
      <c r="C226" s="1" t="n">
        <v>45956</v>
      </c>
      <c r="D226" t="inlineStr">
        <is>
          <t>KALMAR LÄN</t>
        </is>
      </c>
      <c r="E226" t="inlineStr">
        <is>
          <t>VIMMERBY</t>
        </is>
      </c>
      <c r="G226" t="n">
        <v>3.3</v>
      </c>
      <c r="H226" t="n">
        <v>0</v>
      </c>
      <c r="I226" t="n">
        <v>0</v>
      </c>
      <c r="J226" t="n">
        <v>0</v>
      </c>
      <c r="K226" t="n">
        <v>0</v>
      </c>
      <c r="L226" t="n">
        <v>0</v>
      </c>
      <c r="M226" t="n">
        <v>0</v>
      </c>
      <c r="N226" t="n">
        <v>0</v>
      </c>
      <c r="O226" t="n">
        <v>0</v>
      </c>
      <c r="P226" t="n">
        <v>0</v>
      </c>
      <c r="Q226" t="n">
        <v>0</v>
      </c>
      <c r="R226" s="2" t="inlineStr"/>
    </row>
    <row r="227" ht="15" customHeight="1">
      <c r="A227" t="inlineStr">
        <is>
          <t>A 55716-2023</t>
        </is>
      </c>
      <c r="B227" s="1" t="n">
        <v>45232</v>
      </c>
      <c r="C227" s="1" t="n">
        <v>45956</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34386-2024</t>
        </is>
      </c>
      <c r="B228" s="1" t="n">
        <v>45525.41762731481</v>
      </c>
      <c r="C228" s="1" t="n">
        <v>45956</v>
      </c>
      <c r="D228" t="inlineStr">
        <is>
          <t>KALMAR LÄN</t>
        </is>
      </c>
      <c r="E228" t="inlineStr">
        <is>
          <t>VIMMERBY</t>
        </is>
      </c>
      <c r="G228" t="n">
        <v>0.3</v>
      </c>
      <c r="H228" t="n">
        <v>0</v>
      </c>
      <c r="I228" t="n">
        <v>0</v>
      </c>
      <c r="J228" t="n">
        <v>0</v>
      </c>
      <c r="K228" t="n">
        <v>0</v>
      </c>
      <c r="L228" t="n">
        <v>0</v>
      </c>
      <c r="M228" t="n">
        <v>0</v>
      </c>
      <c r="N228" t="n">
        <v>0</v>
      </c>
      <c r="O228" t="n">
        <v>0</v>
      </c>
      <c r="P228" t="n">
        <v>0</v>
      </c>
      <c r="Q228" t="n">
        <v>0</v>
      </c>
      <c r="R228" s="2" t="inlineStr"/>
    </row>
    <row r="229" ht="15" customHeight="1">
      <c r="A229" t="inlineStr">
        <is>
          <t>A 37192-2024</t>
        </is>
      </c>
      <c r="B229" s="1" t="n">
        <v>45539.66027777778</v>
      </c>
      <c r="C229" s="1" t="n">
        <v>45956</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42429-2024</t>
        </is>
      </c>
      <c r="B230" s="1" t="n">
        <v>45565.40657407408</v>
      </c>
      <c r="C230" s="1" t="n">
        <v>45956</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11946-2025</t>
        </is>
      </c>
      <c r="B231" s="1" t="n">
        <v>45728.54832175926</v>
      </c>
      <c r="C231" s="1" t="n">
        <v>45956</v>
      </c>
      <c r="D231" t="inlineStr">
        <is>
          <t>KALMAR LÄN</t>
        </is>
      </c>
      <c r="E231" t="inlineStr">
        <is>
          <t>VIMMERBY</t>
        </is>
      </c>
      <c r="G231" t="n">
        <v>0.4</v>
      </c>
      <c r="H231" t="n">
        <v>0</v>
      </c>
      <c r="I231" t="n">
        <v>0</v>
      </c>
      <c r="J231" t="n">
        <v>0</v>
      </c>
      <c r="K231" t="n">
        <v>0</v>
      </c>
      <c r="L231" t="n">
        <v>0</v>
      </c>
      <c r="M231" t="n">
        <v>0</v>
      </c>
      <c r="N231" t="n">
        <v>0</v>
      </c>
      <c r="O231" t="n">
        <v>0</v>
      </c>
      <c r="P231" t="n">
        <v>0</v>
      </c>
      <c r="Q231" t="n">
        <v>0</v>
      </c>
      <c r="R231" s="2" t="inlineStr"/>
    </row>
    <row r="232" ht="15" customHeight="1">
      <c r="A232" t="inlineStr">
        <is>
          <t>A 59943-2023</t>
        </is>
      </c>
      <c r="B232" s="1" t="n">
        <v>45257.67958333333</v>
      </c>
      <c r="C232" s="1" t="n">
        <v>45956</v>
      </c>
      <c r="D232" t="inlineStr">
        <is>
          <t>KALMAR LÄN</t>
        </is>
      </c>
      <c r="E232" t="inlineStr">
        <is>
          <t>VIMMERBY</t>
        </is>
      </c>
      <c r="G232" t="n">
        <v>6.4</v>
      </c>
      <c r="H232" t="n">
        <v>0</v>
      </c>
      <c r="I232" t="n">
        <v>0</v>
      </c>
      <c r="J232" t="n">
        <v>0</v>
      </c>
      <c r="K232" t="n">
        <v>0</v>
      </c>
      <c r="L232" t="n">
        <v>0</v>
      </c>
      <c r="M232" t="n">
        <v>0</v>
      </c>
      <c r="N232" t="n">
        <v>0</v>
      </c>
      <c r="O232" t="n">
        <v>0</v>
      </c>
      <c r="P232" t="n">
        <v>0</v>
      </c>
      <c r="Q232" t="n">
        <v>0</v>
      </c>
      <c r="R232" s="2" t="inlineStr"/>
    </row>
    <row r="233" ht="15" customHeight="1">
      <c r="A233" t="inlineStr">
        <is>
          <t>A 15493-2023</t>
        </is>
      </c>
      <c r="B233" s="1" t="n">
        <v>45018</v>
      </c>
      <c r="C233" s="1" t="n">
        <v>45956</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51881-2024</t>
        </is>
      </c>
      <c r="B234" s="1" t="n">
        <v>45607.56773148148</v>
      </c>
      <c r="C234" s="1" t="n">
        <v>45956</v>
      </c>
      <c r="D234" t="inlineStr">
        <is>
          <t>KALMAR LÄN</t>
        </is>
      </c>
      <c r="E234" t="inlineStr">
        <is>
          <t>VIMMERBY</t>
        </is>
      </c>
      <c r="G234" t="n">
        <v>3.4</v>
      </c>
      <c r="H234" t="n">
        <v>0</v>
      </c>
      <c r="I234" t="n">
        <v>0</v>
      </c>
      <c r="J234" t="n">
        <v>0</v>
      </c>
      <c r="K234" t="n">
        <v>0</v>
      </c>
      <c r="L234" t="n">
        <v>0</v>
      </c>
      <c r="M234" t="n">
        <v>0</v>
      </c>
      <c r="N234" t="n">
        <v>0</v>
      </c>
      <c r="O234" t="n">
        <v>0</v>
      </c>
      <c r="P234" t="n">
        <v>0</v>
      </c>
      <c r="Q234" t="n">
        <v>0</v>
      </c>
      <c r="R234" s="2" t="inlineStr"/>
    </row>
    <row r="235" ht="15" customHeight="1">
      <c r="A235" t="inlineStr">
        <is>
          <t>A 1021-2024</t>
        </is>
      </c>
      <c r="B235" s="1" t="n">
        <v>45301.67736111111</v>
      </c>
      <c r="C235" s="1" t="n">
        <v>45956</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32569-2024</t>
        </is>
      </c>
      <c r="B236" s="1" t="n">
        <v>45513.55840277778</v>
      </c>
      <c r="C236" s="1" t="n">
        <v>45956</v>
      </c>
      <c r="D236" t="inlineStr">
        <is>
          <t>KALMAR LÄN</t>
        </is>
      </c>
      <c r="E236" t="inlineStr">
        <is>
          <t>VIMMERBY</t>
        </is>
      </c>
      <c r="G236" t="n">
        <v>3.7</v>
      </c>
      <c r="H236" t="n">
        <v>0</v>
      </c>
      <c r="I236" t="n">
        <v>0</v>
      </c>
      <c r="J236" t="n">
        <v>0</v>
      </c>
      <c r="K236" t="n">
        <v>0</v>
      </c>
      <c r="L236" t="n">
        <v>0</v>
      </c>
      <c r="M236" t="n">
        <v>0</v>
      </c>
      <c r="N236" t="n">
        <v>0</v>
      </c>
      <c r="O236" t="n">
        <v>0</v>
      </c>
      <c r="P236" t="n">
        <v>0</v>
      </c>
      <c r="Q236" t="n">
        <v>0</v>
      </c>
      <c r="R236" s="2" t="inlineStr"/>
    </row>
    <row r="237" ht="15" customHeight="1">
      <c r="A237" t="inlineStr">
        <is>
          <t>A 32575-2024</t>
        </is>
      </c>
      <c r="B237" s="1" t="n">
        <v>45513.56527777778</v>
      </c>
      <c r="C237" s="1" t="n">
        <v>45956</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30063-2023</t>
        </is>
      </c>
      <c r="B238" s="1" t="n">
        <v>45110.4184375</v>
      </c>
      <c r="C238" s="1" t="n">
        <v>45956</v>
      </c>
      <c r="D238" t="inlineStr">
        <is>
          <t>KALMAR LÄN</t>
        </is>
      </c>
      <c r="E238" t="inlineStr">
        <is>
          <t>VIMMERBY</t>
        </is>
      </c>
      <c r="G238" t="n">
        <v>1.2</v>
      </c>
      <c r="H238" t="n">
        <v>0</v>
      </c>
      <c r="I238" t="n">
        <v>0</v>
      </c>
      <c r="J238" t="n">
        <v>0</v>
      </c>
      <c r="K238" t="n">
        <v>0</v>
      </c>
      <c r="L238" t="n">
        <v>0</v>
      </c>
      <c r="M238" t="n">
        <v>0</v>
      </c>
      <c r="N238" t="n">
        <v>0</v>
      </c>
      <c r="O238" t="n">
        <v>0</v>
      </c>
      <c r="P238" t="n">
        <v>0</v>
      </c>
      <c r="Q238" t="n">
        <v>0</v>
      </c>
      <c r="R238" s="2" t="inlineStr"/>
    </row>
    <row r="239" ht="15" customHeight="1">
      <c r="A239" t="inlineStr">
        <is>
          <t>A 2260-2022</t>
        </is>
      </c>
      <c r="B239" s="1" t="n">
        <v>44578.62943287037</v>
      </c>
      <c r="C239" s="1" t="n">
        <v>45956</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17482-2024</t>
        </is>
      </c>
      <c r="B240" s="1" t="n">
        <v>45415.47848379629</v>
      </c>
      <c r="C240" s="1" t="n">
        <v>45956</v>
      </c>
      <c r="D240" t="inlineStr">
        <is>
          <t>KALMAR LÄN</t>
        </is>
      </c>
      <c r="E240" t="inlineStr">
        <is>
          <t>VIMMERBY</t>
        </is>
      </c>
      <c r="G240" t="n">
        <v>1.7</v>
      </c>
      <c r="H240" t="n">
        <v>0</v>
      </c>
      <c r="I240" t="n">
        <v>0</v>
      </c>
      <c r="J240" t="n">
        <v>0</v>
      </c>
      <c r="K240" t="n">
        <v>0</v>
      </c>
      <c r="L240" t="n">
        <v>0</v>
      </c>
      <c r="M240" t="n">
        <v>0</v>
      </c>
      <c r="N240" t="n">
        <v>0</v>
      </c>
      <c r="O240" t="n">
        <v>0</v>
      </c>
      <c r="P240" t="n">
        <v>0</v>
      </c>
      <c r="Q240" t="n">
        <v>0</v>
      </c>
      <c r="R240" s="2" t="inlineStr"/>
    </row>
    <row r="241" ht="15" customHeight="1">
      <c r="A241" t="inlineStr">
        <is>
          <t>A 47063-2022</t>
        </is>
      </c>
      <c r="B241" s="1" t="n">
        <v>44852</v>
      </c>
      <c r="C241" s="1" t="n">
        <v>45956</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12819-2024</t>
        </is>
      </c>
      <c r="B242" s="1" t="n">
        <v>45384.66917824074</v>
      </c>
      <c r="C242" s="1" t="n">
        <v>45956</v>
      </c>
      <c r="D242" t="inlineStr">
        <is>
          <t>KALMAR LÄN</t>
        </is>
      </c>
      <c r="E242" t="inlineStr">
        <is>
          <t>VIMMERBY</t>
        </is>
      </c>
      <c r="G242" t="n">
        <v>5.1</v>
      </c>
      <c r="H242" t="n">
        <v>0</v>
      </c>
      <c r="I242" t="n">
        <v>0</v>
      </c>
      <c r="J242" t="n">
        <v>0</v>
      </c>
      <c r="K242" t="n">
        <v>0</v>
      </c>
      <c r="L242" t="n">
        <v>0</v>
      </c>
      <c r="M242" t="n">
        <v>0</v>
      </c>
      <c r="N242" t="n">
        <v>0</v>
      </c>
      <c r="O242" t="n">
        <v>0</v>
      </c>
      <c r="P242" t="n">
        <v>0</v>
      </c>
      <c r="Q242" t="n">
        <v>0</v>
      </c>
      <c r="R242" s="2" t="inlineStr"/>
    </row>
    <row r="243" ht="15" customHeight="1">
      <c r="A243" t="inlineStr">
        <is>
          <t>A 50860-2022</t>
        </is>
      </c>
      <c r="B243" s="1" t="n">
        <v>44867</v>
      </c>
      <c r="C243" s="1" t="n">
        <v>45956</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13817-2024</t>
        </is>
      </c>
      <c r="B244" s="1" t="n">
        <v>45391.41976851852</v>
      </c>
      <c r="C244" s="1" t="n">
        <v>45956</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53483-2022</t>
        </is>
      </c>
      <c r="B245" s="1" t="n">
        <v>44879.55940972222</v>
      </c>
      <c r="C245" s="1" t="n">
        <v>45956</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30406-2023</t>
        </is>
      </c>
      <c r="B246" s="1" t="n">
        <v>45111.48787037037</v>
      </c>
      <c r="C246" s="1" t="n">
        <v>45956</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58962-2022</t>
        </is>
      </c>
      <c r="B247" s="1" t="n">
        <v>44903</v>
      </c>
      <c r="C247" s="1" t="n">
        <v>45956</v>
      </c>
      <c r="D247" t="inlineStr">
        <is>
          <t>KALMAR LÄN</t>
        </is>
      </c>
      <c r="E247" t="inlineStr">
        <is>
          <t>VIMMERBY</t>
        </is>
      </c>
      <c r="G247" t="n">
        <v>1.1</v>
      </c>
      <c r="H247" t="n">
        <v>0</v>
      </c>
      <c r="I247" t="n">
        <v>0</v>
      </c>
      <c r="J247" t="n">
        <v>0</v>
      </c>
      <c r="K247" t="n">
        <v>0</v>
      </c>
      <c r="L247" t="n">
        <v>0</v>
      </c>
      <c r="M247" t="n">
        <v>0</v>
      </c>
      <c r="N247" t="n">
        <v>0</v>
      </c>
      <c r="O247" t="n">
        <v>0</v>
      </c>
      <c r="P247" t="n">
        <v>0</v>
      </c>
      <c r="Q247" t="n">
        <v>0</v>
      </c>
      <c r="R247" s="2" t="inlineStr"/>
    </row>
    <row r="248" ht="15" customHeight="1">
      <c r="A248" t="inlineStr">
        <is>
          <t>A 29020-2024</t>
        </is>
      </c>
      <c r="B248" s="1" t="n">
        <v>45481.58048611111</v>
      </c>
      <c r="C248" s="1" t="n">
        <v>45956</v>
      </c>
      <c r="D248" t="inlineStr">
        <is>
          <t>KALMAR LÄN</t>
        </is>
      </c>
      <c r="E248" t="inlineStr">
        <is>
          <t>VIMMERBY</t>
        </is>
      </c>
      <c r="G248" t="n">
        <v>2.3</v>
      </c>
      <c r="H248" t="n">
        <v>0</v>
      </c>
      <c r="I248" t="n">
        <v>0</v>
      </c>
      <c r="J248" t="n">
        <v>0</v>
      </c>
      <c r="K248" t="n">
        <v>0</v>
      </c>
      <c r="L248" t="n">
        <v>0</v>
      </c>
      <c r="M248" t="n">
        <v>0</v>
      </c>
      <c r="N248" t="n">
        <v>0</v>
      </c>
      <c r="O248" t="n">
        <v>0</v>
      </c>
      <c r="P248" t="n">
        <v>0</v>
      </c>
      <c r="Q248" t="n">
        <v>0</v>
      </c>
      <c r="R248" s="2" t="inlineStr"/>
    </row>
    <row r="249" ht="15" customHeight="1">
      <c r="A249" t="inlineStr">
        <is>
          <t>A 58967-2022</t>
        </is>
      </c>
      <c r="B249" s="1" t="n">
        <v>44896</v>
      </c>
      <c r="C249" s="1" t="n">
        <v>45956</v>
      </c>
      <c r="D249" t="inlineStr">
        <is>
          <t>KALMAR LÄN</t>
        </is>
      </c>
      <c r="E249" t="inlineStr">
        <is>
          <t>VIMMERBY</t>
        </is>
      </c>
      <c r="G249" t="n">
        <v>5</v>
      </c>
      <c r="H249" t="n">
        <v>0</v>
      </c>
      <c r="I249" t="n">
        <v>0</v>
      </c>
      <c r="J249" t="n">
        <v>0</v>
      </c>
      <c r="K249" t="n">
        <v>0</v>
      </c>
      <c r="L249" t="n">
        <v>0</v>
      </c>
      <c r="M249" t="n">
        <v>0</v>
      </c>
      <c r="N249" t="n">
        <v>0</v>
      </c>
      <c r="O249" t="n">
        <v>0</v>
      </c>
      <c r="P249" t="n">
        <v>0</v>
      </c>
      <c r="Q249" t="n">
        <v>0</v>
      </c>
      <c r="R249" s="2" t="inlineStr"/>
    </row>
    <row r="250" ht="15" customHeight="1">
      <c r="A250" t="inlineStr">
        <is>
          <t>A 57682-2022</t>
        </is>
      </c>
      <c r="B250" s="1" t="n">
        <v>44890</v>
      </c>
      <c r="C250" s="1" t="n">
        <v>45956</v>
      </c>
      <c r="D250" t="inlineStr">
        <is>
          <t>KALMAR LÄN</t>
        </is>
      </c>
      <c r="E250" t="inlineStr">
        <is>
          <t>VIMMERBY</t>
        </is>
      </c>
      <c r="G250" t="n">
        <v>1.5</v>
      </c>
      <c r="H250" t="n">
        <v>0</v>
      </c>
      <c r="I250" t="n">
        <v>0</v>
      </c>
      <c r="J250" t="n">
        <v>0</v>
      </c>
      <c r="K250" t="n">
        <v>0</v>
      </c>
      <c r="L250" t="n">
        <v>0</v>
      </c>
      <c r="M250" t="n">
        <v>0</v>
      </c>
      <c r="N250" t="n">
        <v>0</v>
      </c>
      <c r="O250" t="n">
        <v>0</v>
      </c>
      <c r="P250" t="n">
        <v>0</v>
      </c>
      <c r="Q250" t="n">
        <v>0</v>
      </c>
      <c r="R250" s="2" t="inlineStr"/>
    </row>
    <row r="251" ht="15" customHeight="1">
      <c r="A251" t="inlineStr">
        <is>
          <t>A 31382-2023</t>
        </is>
      </c>
      <c r="B251" s="1" t="n">
        <v>45114.55136574074</v>
      </c>
      <c r="C251" s="1" t="n">
        <v>45956</v>
      </c>
      <c r="D251" t="inlineStr">
        <is>
          <t>KALMAR LÄN</t>
        </is>
      </c>
      <c r="E251" t="inlineStr">
        <is>
          <t>VIMMERBY</t>
        </is>
      </c>
      <c r="G251" t="n">
        <v>3.7</v>
      </c>
      <c r="H251" t="n">
        <v>0</v>
      </c>
      <c r="I251" t="n">
        <v>0</v>
      </c>
      <c r="J251" t="n">
        <v>0</v>
      </c>
      <c r="K251" t="n">
        <v>0</v>
      </c>
      <c r="L251" t="n">
        <v>0</v>
      </c>
      <c r="M251" t="n">
        <v>0</v>
      </c>
      <c r="N251" t="n">
        <v>0</v>
      </c>
      <c r="O251" t="n">
        <v>0</v>
      </c>
      <c r="P251" t="n">
        <v>0</v>
      </c>
      <c r="Q251" t="n">
        <v>0</v>
      </c>
      <c r="R251" s="2" t="inlineStr"/>
    </row>
    <row r="252" ht="15" customHeight="1">
      <c r="A252" t="inlineStr">
        <is>
          <t>A 11073-2023</t>
        </is>
      </c>
      <c r="B252" s="1" t="n">
        <v>44992</v>
      </c>
      <c r="C252" s="1" t="n">
        <v>45956</v>
      </c>
      <c r="D252" t="inlineStr">
        <is>
          <t>KALMAR LÄN</t>
        </is>
      </c>
      <c r="E252" t="inlineStr">
        <is>
          <t>VIMMERBY</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59955-2023</t>
        </is>
      </c>
      <c r="B253" s="1" t="n">
        <v>45257.70313657408</v>
      </c>
      <c r="C253" s="1" t="n">
        <v>45956</v>
      </c>
      <c r="D253" t="inlineStr">
        <is>
          <t>KALMAR LÄN</t>
        </is>
      </c>
      <c r="E253" t="inlineStr">
        <is>
          <t>VIMMERBY</t>
        </is>
      </c>
      <c r="G253" t="n">
        <v>13.8</v>
      </c>
      <c r="H253" t="n">
        <v>0</v>
      </c>
      <c r="I253" t="n">
        <v>0</v>
      </c>
      <c r="J253" t="n">
        <v>0</v>
      </c>
      <c r="K253" t="n">
        <v>0</v>
      </c>
      <c r="L253" t="n">
        <v>0</v>
      </c>
      <c r="M253" t="n">
        <v>0</v>
      </c>
      <c r="N253" t="n">
        <v>0</v>
      </c>
      <c r="O253" t="n">
        <v>0</v>
      </c>
      <c r="P253" t="n">
        <v>0</v>
      </c>
      <c r="Q253" t="n">
        <v>0</v>
      </c>
      <c r="R253" s="2" t="inlineStr"/>
    </row>
    <row r="254" ht="15" customHeight="1">
      <c r="A254" t="inlineStr">
        <is>
          <t>A 36802-2021</t>
        </is>
      </c>
      <c r="B254" s="1" t="n">
        <v>44392</v>
      </c>
      <c r="C254" s="1" t="n">
        <v>45956</v>
      </c>
      <c r="D254" t="inlineStr">
        <is>
          <t>KALMAR LÄN</t>
        </is>
      </c>
      <c r="E254" t="inlineStr">
        <is>
          <t>VIMMERBY</t>
        </is>
      </c>
      <c r="F254" t="inlineStr">
        <is>
          <t>Sveaskog</t>
        </is>
      </c>
      <c r="G254" t="n">
        <v>4.6</v>
      </c>
      <c r="H254" t="n">
        <v>0</v>
      </c>
      <c r="I254" t="n">
        <v>0</v>
      </c>
      <c r="J254" t="n">
        <v>0</v>
      </c>
      <c r="K254" t="n">
        <v>0</v>
      </c>
      <c r="L254" t="n">
        <v>0</v>
      </c>
      <c r="M254" t="n">
        <v>0</v>
      </c>
      <c r="N254" t="n">
        <v>0</v>
      </c>
      <c r="O254" t="n">
        <v>0</v>
      </c>
      <c r="P254" t="n">
        <v>0</v>
      </c>
      <c r="Q254" t="n">
        <v>0</v>
      </c>
      <c r="R254" s="2" t="inlineStr"/>
    </row>
    <row r="255" ht="15" customHeight="1">
      <c r="A255" t="inlineStr">
        <is>
          <t>A 61820-2023</t>
        </is>
      </c>
      <c r="B255" s="1" t="n">
        <v>45266.32614583334</v>
      </c>
      <c r="C255" s="1" t="n">
        <v>45956</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4076-2022</t>
        </is>
      </c>
      <c r="B256" s="1" t="n">
        <v>44588.37998842593</v>
      </c>
      <c r="C256" s="1" t="n">
        <v>45956</v>
      </c>
      <c r="D256" t="inlineStr">
        <is>
          <t>KALMAR LÄN</t>
        </is>
      </c>
      <c r="E256" t="inlineStr">
        <is>
          <t>VIMMERBY</t>
        </is>
      </c>
      <c r="G256" t="n">
        <v>3</v>
      </c>
      <c r="H256" t="n">
        <v>0</v>
      </c>
      <c r="I256" t="n">
        <v>0</v>
      </c>
      <c r="J256" t="n">
        <v>0</v>
      </c>
      <c r="K256" t="n">
        <v>0</v>
      </c>
      <c r="L256" t="n">
        <v>0</v>
      </c>
      <c r="M256" t="n">
        <v>0</v>
      </c>
      <c r="N256" t="n">
        <v>0</v>
      </c>
      <c r="O256" t="n">
        <v>0</v>
      </c>
      <c r="P256" t="n">
        <v>0</v>
      </c>
      <c r="Q256" t="n">
        <v>0</v>
      </c>
      <c r="R256" s="2" t="inlineStr"/>
    </row>
    <row r="257" ht="15" customHeight="1">
      <c r="A257" t="inlineStr">
        <is>
          <t>A 4122-2022</t>
        </is>
      </c>
      <c r="B257" s="1" t="n">
        <v>44588</v>
      </c>
      <c r="C257" s="1" t="n">
        <v>45956</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3269-2024</t>
        </is>
      </c>
      <c r="B258" s="1" t="n">
        <v>45317.40372685185</v>
      </c>
      <c r="C258" s="1" t="n">
        <v>45956</v>
      </c>
      <c r="D258" t="inlineStr">
        <is>
          <t>KALMAR LÄN</t>
        </is>
      </c>
      <c r="E258" t="inlineStr">
        <is>
          <t>VIMMERBY</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2157-2024</t>
        </is>
      </c>
      <c r="B259" s="1" t="n">
        <v>45309.59487268519</v>
      </c>
      <c r="C259" s="1" t="n">
        <v>45956</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9416-2024</t>
        </is>
      </c>
      <c r="B260" s="1" t="n">
        <v>45359.44837962963</v>
      </c>
      <c r="C260" s="1" t="n">
        <v>45956</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58318-2021</t>
        </is>
      </c>
      <c r="B261" s="1" t="n">
        <v>44488.35878472222</v>
      </c>
      <c r="C261" s="1" t="n">
        <v>45956</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65961-2020</t>
        </is>
      </c>
      <c r="B262" s="1" t="n">
        <v>44175.39748842592</v>
      </c>
      <c r="C262" s="1" t="n">
        <v>45956</v>
      </c>
      <c r="D262" t="inlineStr">
        <is>
          <t>KALMAR LÄN</t>
        </is>
      </c>
      <c r="E262" t="inlineStr">
        <is>
          <t>VIMMERBY</t>
        </is>
      </c>
      <c r="G262" t="n">
        <v>2.6</v>
      </c>
      <c r="H262" t="n">
        <v>0</v>
      </c>
      <c r="I262" t="n">
        <v>0</v>
      </c>
      <c r="J262" t="n">
        <v>0</v>
      </c>
      <c r="K262" t="n">
        <v>0</v>
      </c>
      <c r="L262" t="n">
        <v>0</v>
      </c>
      <c r="M262" t="n">
        <v>0</v>
      </c>
      <c r="N262" t="n">
        <v>0</v>
      </c>
      <c r="O262" t="n">
        <v>0</v>
      </c>
      <c r="P262" t="n">
        <v>0</v>
      </c>
      <c r="Q262" t="n">
        <v>0</v>
      </c>
      <c r="R262" s="2" t="inlineStr"/>
    </row>
    <row r="263" ht="15" customHeight="1">
      <c r="A263" t="inlineStr">
        <is>
          <t>A 53083-2021</t>
        </is>
      </c>
      <c r="B263" s="1" t="n">
        <v>44467.83386574074</v>
      </c>
      <c r="C263" s="1" t="n">
        <v>45956</v>
      </c>
      <c r="D263" t="inlineStr">
        <is>
          <t>KALMAR LÄN</t>
        </is>
      </c>
      <c r="E263" t="inlineStr">
        <is>
          <t>VIMMERBY</t>
        </is>
      </c>
      <c r="G263" t="n">
        <v>6.8</v>
      </c>
      <c r="H263" t="n">
        <v>0</v>
      </c>
      <c r="I263" t="n">
        <v>0</v>
      </c>
      <c r="J263" t="n">
        <v>0</v>
      </c>
      <c r="K263" t="n">
        <v>0</v>
      </c>
      <c r="L263" t="n">
        <v>0</v>
      </c>
      <c r="M263" t="n">
        <v>0</v>
      </c>
      <c r="N263" t="n">
        <v>0</v>
      </c>
      <c r="O263" t="n">
        <v>0</v>
      </c>
      <c r="P263" t="n">
        <v>0</v>
      </c>
      <c r="Q263" t="n">
        <v>0</v>
      </c>
      <c r="R263" s="2" t="inlineStr"/>
    </row>
    <row r="264" ht="15" customHeight="1">
      <c r="A264" t="inlineStr">
        <is>
          <t>A 29173-2024</t>
        </is>
      </c>
      <c r="B264" s="1" t="n">
        <v>45482.52887731481</v>
      </c>
      <c r="C264" s="1" t="n">
        <v>45956</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11111-2024</t>
        </is>
      </c>
      <c r="B265" s="1" t="n">
        <v>45371.36359953704</v>
      </c>
      <c r="C265" s="1" t="n">
        <v>45956</v>
      </c>
      <c r="D265" t="inlineStr">
        <is>
          <t>KALMAR LÄN</t>
        </is>
      </c>
      <c r="E265" t="inlineStr">
        <is>
          <t>VIMMERBY</t>
        </is>
      </c>
      <c r="G265" t="n">
        <v>1.4</v>
      </c>
      <c r="H265" t="n">
        <v>0</v>
      </c>
      <c r="I265" t="n">
        <v>0</v>
      </c>
      <c r="J265" t="n">
        <v>0</v>
      </c>
      <c r="K265" t="n">
        <v>0</v>
      </c>
      <c r="L265" t="n">
        <v>0</v>
      </c>
      <c r="M265" t="n">
        <v>0</v>
      </c>
      <c r="N265" t="n">
        <v>0</v>
      </c>
      <c r="O265" t="n">
        <v>0</v>
      </c>
      <c r="P265" t="n">
        <v>0</v>
      </c>
      <c r="Q265" t="n">
        <v>0</v>
      </c>
      <c r="R265" s="2" t="inlineStr"/>
    </row>
    <row r="266" ht="15" customHeight="1">
      <c r="A266" t="inlineStr">
        <is>
          <t>A 11141-2024</t>
        </is>
      </c>
      <c r="B266" s="1" t="n">
        <v>45371.45865740741</v>
      </c>
      <c r="C266" s="1" t="n">
        <v>45956</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9418-2024</t>
        </is>
      </c>
      <c r="B267" s="1" t="n">
        <v>45359.45038194444</v>
      </c>
      <c r="C267" s="1" t="n">
        <v>45956</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49313-2022</t>
        </is>
      </c>
      <c r="B268" s="1" t="n">
        <v>44861.52505787037</v>
      </c>
      <c r="C268" s="1" t="n">
        <v>45956</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35998-2024</t>
        </is>
      </c>
      <c r="B269" s="1" t="n">
        <v>45533.54429398148</v>
      </c>
      <c r="C269" s="1" t="n">
        <v>45956</v>
      </c>
      <c r="D269" t="inlineStr">
        <is>
          <t>KALMAR LÄN</t>
        </is>
      </c>
      <c r="E269" t="inlineStr">
        <is>
          <t>VIMMERBY</t>
        </is>
      </c>
      <c r="G269" t="n">
        <v>8.6</v>
      </c>
      <c r="H269" t="n">
        <v>0</v>
      </c>
      <c r="I269" t="n">
        <v>0</v>
      </c>
      <c r="J269" t="n">
        <v>0</v>
      </c>
      <c r="K269" t="n">
        <v>0</v>
      </c>
      <c r="L269" t="n">
        <v>0</v>
      </c>
      <c r="M269" t="n">
        <v>0</v>
      </c>
      <c r="N269" t="n">
        <v>0</v>
      </c>
      <c r="O269" t="n">
        <v>0</v>
      </c>
      <c r="P269" t="n">
        <v>0</v>
      </c>
      <c r="Q269" t="n">
        <v>0</v>
      </c>
      <c r="R269" s="2" t="inlineStr"/>
    </row>
    <row r="270" ht="15" customHeight="1">
      <c r="A270" t="inlineStr">
        <is>
          <t>A 36040-2024</t>
        </is>
      </c>
      <c r="B270" s="1" t="n">
        <v>45533.60232638889</v>
      </c>
      <c r="C270" s="1" t="n">
        <v>45956</v>
      </c>
      <c r="D270" t="inlineStr">
        <is>
          <t>KALMAR LÄN</t>
        </is>
      </c>
      <c r="E270" t="inlineStr">
        <is>
          <t>VIMMERBY</t>
        </is>
      </c>
      <c r="F270" t="inlineStr">
        <is>
          <t>Kommuner</t>
        </is>
      </c>
      <c r="G270" t="n">
        <v>3.6</v>
      </c>
      <c r="H270" t="n">
        <v>0</v>
      </c>
      <c r="I270" t="n">
        <v>0</v>
      </c>
      <c r="J270" t="n">
        <v>0</v>
      </c>
      <c r="K270" t="n">
        <v>0</v>
      </c>
      <c r="L270" t="n">
        <v>0</v>
      </c>
      <c r="M270" t="n">
        <v>0</v>
      </c>
      <c r="N270" t="n">
        <v>0</v>
      </c>
      <c r="O270" t="n">
        <v>0</v>
      </c>
      <c r="P270" t="n">
        <v>0</v>
      </c>
      <c r="Q270" t="n">
        <v>0</v>
      </c>
      <c r="R270" s="2" t="inlineStr"/>
    </row>
    <row r="271" ht="15" customHeight="1">
      <c r="A271" t="inlineStr">
        <is>
          <t>A 36043-2024</t>
        </is>
      </c>
      <c r="B271" s="1" t="n">
        <v>45533.60770833334</v>
      </c>
      <c r="C271" s="1" t="n">
        <v>45956</v>
      </c>
      <c r="D271" t="inlineStr">
        <is>
          <t>KALMAR LÄN</t>
        </is>
      </c>
      <c r="E271" t="inlineStr">
        <is>
          <t>VIMMERBY</t>
        </is>
      </c>
      <c r="F271" t="inlineStr">
        <is>
          <t>Kommuner</t>
        </is>
      </c>
      <c r="G271" t="n">
        <v>1.5</v>
      </c>
      <c r="H271" t="n">
        <v>0</v>
      </c>
      <c r="I271" t="n">
        <v>0</v>
      </c>
      <c r="J271" t="n">
        <v>0</v>
      </c>
      <c r="K271" t="n">
        <v>0</v>
      </c>
      <c r="L271" t="n">
        <v>0</v>
      </c>
      <c r="M271" t="n">
        <v>0</v>
      </c>
      <c r="N271" t="n">
        <v>0</v>
      </c>
      <c r="O271" t="n">
        <v>0</v>
      </c>
      <c r="P271" t="n">
        <v>0</v>
      </c>
      <c r="Q271" t="n">
        <v>0</v>
      </c>
      <c r="R271" s="2" t="inlineStr"/>
    </row>
    <row r="272" ht="15" customHeight="1">
      <c r="A272" t="inlineStr">
        <is>
          <t>A 9624-2024</t>
        </is>
      </c>
      <c r="B272" s="1" t="n">
        <v>45361.90282407407</v>
      </c>
      <c r="C272" s="1" t="n">
        <v>45956</v>
      </c>
      <c r="D272" t="inlineStr">
        <is>
          <t>KALMAR LÄN</t>
        </is>
      </c>
      <c r="E272" t="inlineStr">
        <is>
          <t>VIMMERBY</t>
        </is>
      </c>
      <c r="G272" t="n">
        <v>3.8</v>
      </c>
      <c r="H272" t="n">
        <v>0</v>
      </c>
      <c r="I272" t="n">
        <v>0</v>
      </c>
      <c r="J272" t="n">
        <v>0</v>
      </c>
      <c r="K272" t="n">
        <v>0</v>
      </c>
      <c r="L272" t="n">
        <v>0</v>
      </c>
      <c r="M272" t="n">
        <v>0</v>
      </c>
      <c r="N272" t="n">
        <v>0</v>
      </c>
      <c r="O272" t="n">
        <v>0</v>
      </c>
      <c r="P272" t="n">
        <v>0</v>
      </c>
      <c r="Q272" t="n">
        <v>0</v>
      </c>
      <c r="R272" s="2" t="inlineStr"/>
    </row>
    <row r="273" ht="15" customHeight="1">
      <c r="A273" t="inlineStr">
        <is>
          <t>A 52327-2023</t>
        </is>
      </c>
      <c r="B273" s="1" t="n">
        <v>45224.6515162037</v>
      </c>
      <c r="C273" s="1" t="n">
        <v>45956</v>
      </c>
      <c r="D273" t="inlineStr">
        <is>
          <t>KALMAR LÄN</t>
        </is>
      </c>
      <c r="E273" t="inlineStr">
        <is>
          <t>VIMMERBY</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46365-2025</t>
        </is>
      </c>
      <c r="B274" s="1" t="n">
        <v>45925.50075231482</v>
      </c>
      <c r="C274" s="1" t="n">
        <v>45956</v>
      </c>
      <c r="D274" t="inlineStr">
        <is>
          <t>KALMAR LÄN</t>
        </is>
      </c>
      <c r="E274" t="inlineStr">
        <is>
          <t>VIMMERBY</t>
        </is>
      </c>
      <c r="G274" t="n">
        <v>5.6</v>
      </c>
      <c r="H274" t="n">
        <v>0</v>
      </c>
      <c r="I274" t="n">
        <v>0</v>
      </c>
      <c r="J274" t="n">
        <v>0</v>
      </c>
      <c r="K274" t="n">
        <v>0</v>
      </c>
      <c r="L274" t="n">
        <v>0</v>
      </c>
      <c r="M274" t="n">
        <v>0</v>
      </c>
      <c r="N274" t="n">
        <v>0</v>
      </c>
      <c r="O274" t="n">
        <v>0</v>
      </c>
      <c r="P274" t="n">
        <v>0</v>
      </c>
      <c r="Q274" t="n">
        <v>0</v>
      </c>
      <c r="R274" s="2" t="inlineStr"/>
    </row>
    <row r="275" ht="15" customHeight="1">
      <c r="A275" t="inlineStr">
        <is>
          <t>A 22197-2024</t>
        </is>
      </c>
      <c r="B275" s="1" t="n">
        <v>45446.36774305555</v>
      </c>
      <c r="C275" s="1" t="n">
        <v>45956</v>
      </c>
      <c r="D275" t="inlineStr">
        <is>
          <t>KALMAR LÄN</t>
        </is>
      </c>
      <c r="E275" t="inlineStr">
        <is>
          <t>VIMMERBY</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25582-2024</t>
        </is>
      </c>
      <c r="B276" s="1" t="n">
        <v>45463</v>
      </c>
      <c r="C276" s="1" t="n">
        <v>45956</v>
      </c>
      <c r="D276" t="inlineStr">
        <is>
          <t>KALMAR LÄN</t>
        </is>
      </c>
      <c r="E276" t="inlineStr">
        <is>
          <t>VIMMERBY</t>
        </is>
      </c>
      <c r="G276" t="n">
        <v>1.4</v>
      </c>
      <c r="H276" t="n">
        <v>0</v>
      </c>
      <c r="I276" t="n">
        <v>0</v>
      </c>
      <c r="J276" t="n">
        <v>0</v>
      </c>
      <c r="K276" t="n">
        <v>0</v>
      </c>
      <c r="L276" t="n">
        <v>0</v>
      </c>
      <c r="M276" t="n">
        <v>0</v>
      </c>
      <c r="N276" t="n">
        <v>0</v>
      </c>
      <c r="O276" t="n">
        <v>0</v>
      </c>
      <c r="P276" t="n">
        <v>0</v>
      </c>
      <c r="Q276" t="n">
        <v>0</v>
      </c>
      <c r="R276" s="2" t="inlineStr"/>
    </row>
    <row r="277" ht="15" customHeight="1">
      <c r="A277" t="inlineStr">
        <is>
          <t>A 57578-2024</t>
        </is>
      </c>
      <c r="B277" s="1" t="n">
        <v>45630.47564814815</v>
      </c>
      <c r="C277" s="1" t="n">
        <v>45956</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29616-2022</t>
        </is>
      </c>
      <c r="B278" s="1" t="n">
        <v>44754</v>
      </c>
      <c r="C278" s="1" t="n">
        <v>45956</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29348-2023</t>
        </is>
      </c>
      <c r="B279" s="1" t="n">
        <v>45106.25025462963</v>
      </c>
      <c r="C279" s="1" t="n">
        <v>45956</v>
      </c>
      <c r="D279" t="inlineStr">
        <is>
          <t>KALMAR LÄN</t>
        </is>
      </c>
      <c r="E279" t="inlineStr">
        <is>
          <t>VIMMERBY</t>
        </is>
      </c>
      <c r="G279" t="n">
        <v>2.4</v>
      </c>
      <c r="H279" t="n">
        <v>0</v>
      </c>
      <c r="I279" t="n">
        <v>0</v>
      </c>
      <c r="J279" t="n">
        <v>0</v>
      </c>
      <c r="K279" t="n">
        <v>0</v>
      </c>
      <c r="L279" t="n">
        <v>0</v>
      </c>
      <c r="M279" t="n">
        <v>0</v>
      </c>
      <c r="N279" t="n">
        <v>0</v>
      </c>
      <c r="O279" t="n">
        <v>0</v>
      </c>
      <c r="P279" t="n">
        <v>0</v>
      </c>
      <c r="Q279" t="n">
        <v>0</v>
      </c>
      <c r="R279" s="2" t="inlineStr"/>
    </row>
    <row r="280" ht="15" customHeight="1">
      <c r="A280" t="inlineStr">
        <is>
          <t>A 28403-2023</t>
        </is>
      </c>
      <c r="B280" s="1" t="n">
        <v>45100.85270833333</v>
      </c>
      <c r="C280" s="1" t="n">
        <v>45956</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35710-2023</t>
        </is>
      </c>
      <c r="B281" s="1" t="n">
        <v>45147.67096064815</v>
      </c>
      <c r="C281" s="1" t="n">
        <v>45956</v>
      </c>
      <c r="D281" t="inlineStr">
        <is>
          <t>KALMAR LÄN</t>
        </is>
      </c>
      <c r="E281" t="inlineStr">
        <is>
          <t>VIMMERBY</t>
        </is>
      </c>
      <c r="G281" t="n">
        <v>3.1</v>
      </c>
      <c r="H281" t="n">
        <v>0</v>
      </c>
      <c r="I281" t="n">
        <v>0</v>
      </c>
      <c r="J281" t="n">
        <v>0</v>
      </c>
      <c r="K281" t="n">
        <v>0</v>
      </c>
      <c r="L281" t="n">
        <v>0</v>
      </c>
      <c r="M281" t="n">
        <v>0</v>
      </c>
      <c r="N281" t="n">
        <v>0</v>
      </c>
      <c r="O281" t="n">
        <v>0</v>
      </c>
      <c r="P281" t="n">
        <v>0</v>
      </c>
      <c r="Q281" t="n">
        <v>0</v>
      </c>
      <c r="R281" s="2" t="inlineStr"/>
    </row>
    <row r="282" ht="15" customHeight="1">
      <c r="A282" t="inlineStr">
        <is>
          <t>A 35711-2023</t>
        </is>
      </c>
      <c r="B282" s="1" t="n">
        <v>45147.67172453704</v>
      </c>
      <c r="C282" s="1" t="n">
        <v>45956</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17511-2024</t>
        </is>
      </c>
      <c r="B283" s="1" t="n">
        <v>45415.57682870371</v>
      </c>
      <c r="C283" s="1" t="n">
        <v>45956</v>
      </c>
      <c r="D283" t="inlineStr">
        <is>
          <t>KALMAR LÄN</t>
        </is>
      </c>
      <c r="E283" t="inlineStr">
        <is>
          <t>VIMMERBY</t>
        </is>
      </c>
      <c r="G283" t="n">
        <v>5.3</v>
      </c>
      <c r="H283" t="n">
        <v>0</v>
      </c>
      <c r="I283" t="n">
        <v>0</v>
      </c>
      <c r="J283" t="n">
        <v>0</v>
      </c>
      <c r="K283" t="n">
        <v>0</v>
      </c>
      <c r="L283" t="n">
        <v>0</v>
      </c>
      <c r="M283" t="n">
        <v>0</v>
      </c>
      <c r="N283" t="n">
        <v>0</v>
      </c>
      <c r="O283" t="n">
        <v>0</v>
      </c>
      <c r="P283" t="n">
        <v>0</v>
      </c>
      <c r="Q283" t="n">
        <v>0</v>
      </c>
      <c r="R283" s="2" t="inlineStr"/>
    </row>
    <row r="284" ht="15" customHeight="1">
      <c r="A284" t="inlineStr">
        <is>
          <t>A 66022-2021</t>
        </is>
      </c>
      <c r="B284" s="1" t="n">
        <v>44517</v>
      </c>
      <c r="C284" s="1" t="n">
        <v>45956</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29973-2023</t>
        </is>
      </c>
      <c r="B285" s="1" t="n">
        <v>45108.703125</v>
      </c>
      <c r="C285" s="1" t="n">
        <v>45956</v>
      </c>
      <c r="D285" t="inlineStr">
        <is>
          <t>KALMAR LÄN</t>
        </is>
      </c>
      <c r="E285" t="inlineStr">
        <is>
          <t>VIMMERBY</t>
        </is>
      </c>
      <c r="G285" t="n">
        <v>4</v>
      </c>
      <c r="H285" t="n">
        <v>0</v>
      </c>
      <c r="I285" t="n">
        <v>0</v>
      </c>
      <c r="J285" t="n">
        <v>0</v>
      </c>
      <c r="K285" t="n">
        <v>0</v>
      </c>
      <c r="L285" t="n">
        <v>0</v>
      </c>
      <c r="M285" t="n">
        <v>0</v>
      </c>
      <c r="N285" t="n">
        <v>0</v>
      </c>
      <c r="O285" t="n">
        <v>0</v>
      </c>
      <c r="P285" t="n">
        <v>0</v>
      </c>
      <c r="Q285" t="n">
        <v>0</v>
      </c>
      <c r="R285" s="2" t="inlineStr"/>
    </row>
    <row r="286" ht="15" customHeight="1">
      <c r="A286" t="inlineStr">
        <is>
          <t>A 30070-2023</t>
        </is>
      </c>
      <c r="B286" s="1" t="n">
        <v>45110.4275</v>
      </c>
      <c r="C286" s="1" t="n">
        <v>45956</v>
      </c>
      <c r="D286" t="inlineStr">
        <is>
          <t>KALMAR LÄN</t>
        </is>
      </c>
      <c r="E286" t="inlineStr">
        <is>
          <t>VIMMERBY</t>
        </is>
      </c>
      <c r="G286" t="n">
        <v>1.6</v>
      </c>
      <c r="H286" t="n">
        <v>0</v>
      </c>
      <c r="I286" t="n">
        <v>0</v>
      </c>
      <c r="J286" t="n">
        <v>0</v>
      </c>
      <c r="K286" t="n">
        <v>0</v>
      </c>
      <c r="L286" t="n">
        <v>0</v>
      </c>
      <c r="M286" t="n">
        <v>0</v>
      </c>
      <c r="N286" t="n">
        <v>0</v>
      </c>
      <c r="O286" t="n">
        <v>0</v>
      </c>
      <c r="P286" t="n">
        <v>0</v>
      </c>
      <c r="Q286" t="n">
        <v>0</v>
      </c>
      <c r="R286" s="2" t="inlineStr"/>
    </row>
    <row r="287" ht="15" customHeight="1">
      <c r="A287" t="inlineStr">
        <is>
          <t>A 46078-2023</t>
        </is>
      </c>
      <c r="B287" s="1" t="n">
        <v>45196</v>
      </c>
      <c r="C287" s="1" t="n">
        <v>45956</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7643-2022</t>
        </is>
      </c>
      <c r="B288" s="1" t="n">
        <v>44607</v>
      </c>
      <c r="C288" s="1" t="n">
        <v>45956</v>
      </c>
      <c r="D288" t="inlineStr">
        <is>
          <t>KALMAR LÄN</t>
        </is>
      </c>
      <c r="E288" t="inlineStr">
        <is>
          <t>VIMMERBY</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3494-2023</t>
        </is>
      </c>
      <c r="B289" s="1" t="n">
        <v>44949</v>
      </c>
      <c r="C289" s="1" t="n">
        <v>45956</v>
      </c>
      <c r="D289" t="inlineStr">
        <is>
          <t>KALMAR LÄN</t>
        </is>
      </c>
      <c r="E289" t="inlineStr">
        <is>
          <t>VIMMERBY</t>
        </is>
      </c>
      <c r="F289" t="inlineStr">
        <is>
          <t>Kyrkan</t>
        </is>
      </c>
      <c r="G289" t="n">
        <v>0.8</v>
      </c>
      <c r="H289" t="n">
        <v>0</v>
      </c>
      <c r="I289" t="n">
        <v>0</v>
      </c>
      <c r="J289" t="n">
        <v>0</v>
      </c>
      <c r="K289" t="n">
        <v>0</v>
      </c>
      <c r="L289" t="n">
        <v>0</v>
      </c>
      <c r="M289" t="n">
        <v>0</v>
      </c>
      <c r="N289" t="n">
        <v>0</v>
      </c>
      <c r="O289" t="n">
        <v>0</v>
      </c>
      <c r="P289" t="n">
        <v>0</v>
      </c>
      <c r="Q289" t="n">
        <v>0</v>
      </c>
      <c r="R289" s="2" t="inlineStr"/>
    </row>
    <row r="290" ht="15" customHeight="1">
      <c r="A290" t="inlineStr">
        <is>
          <t>A 32633-2023</t>
        </is>
      </c>
      <c r="B290" s="1" t="n">
        <v>45121.58699074074</v>
      </c>
      <c r="C290" s="1" t="n">
        <v>45956</v>
      </c>
      <c r="D290" t="inlineStr">
        <is>
          <t>KALMAR LÄN</t>
        </is>
      </c>
      <c r="E290" t="inlineStr">
        <is>
          <t>VIMMERBY</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43601-2024</t>
        </is>
      </c>
      <c r="B291" s="1" t="n">
        <v>45569.44684027778</v>
      </c>
      <c r="C291" s="1" t="n">
        <v>45956</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45856-2025</t>
        </is>
      </c>
      <c r="B292" s="1" t="n">
        <v>45923</v>
      </c>
      <c r="C292" s="1" t="n">
        <v>45956</v>
      </c>
      <c r="D292" t="inlineStr">
        <is>
          <t>KALMAR LÄN</t>
        </is>
      </c>
      <c r="E292" t="inlineStr">
        <is>
          <t>VIMMERBY</t>
        </is>
      </c>
      <c r="G292" t="n">
        <v>2.1</v>
      </c>
      <c r="H292" t="n">
        <v>0</v>
      </c>
      <c r="I292" t="n">
        <v>0</v>
      </c>
      <c r="J292" t="n">
        <v>0</v>
      </c>
      <c r="K292" t="n">
        <v>0</v>
      </c>
      <c r="L292" t="n">
        <v>0</v>
      </c>
      <c r="M292" t="n">
        <v>0</v>
      </c>
      <c r="N292" t="n">
        <v>0</v>
      </c>
      <c r="O292" t="n">
        <v>0</v>
      </c>
      <c r="P292" t="n">
        <v>0</v>
      </c>
      <c r="Q292" t="n">
        <v>0</v>
      </c>
      <c r="R292" s="2" t="inlineStr"/>
    </row>
    <row r="293" ht="15" customHeight="1">
      <c r="A293" t="inlineStr">
        <is>
          <t>A 13813-2024</t>
        </is>
      </c>
      <c r="B293" s="1" t="n">
        <v>45391.41310185185</v>
      </c>
      <c r="C293" s="1" t="n">
        <v>45956</v>
      </c>
      <c r="D293" t="inlineStr">
        <is>
          <t>KALMAR LÄN</t>
        </is>
      </c>
      <c r="E293" t="inlineStr">
        <is>
          <t>VIMMERBY</t>
        </is>
      </c>
      <c r="G293" t="n">
        <v>0.4</v>
      </c>
      <c r="H293" t="n">
        <v>0</v>
      </c>
      <c r="I293" t="n">
        <v>0</v>
      </c>
      <c r="J293" t="n">
        <v>0</v>
      </c>
      <c r="K293" t="n">
        <v>0</v>
      </c>
      <c r="L293" t="n">
        <v>0</v>
      </c>
      <c r="M293" t="n">
        <v>0</v>
      </c>
      <c r="N293" t="n">
        <v>0</v>
      </c>
      <c r="O293" t="n">
        <v>0</v>
      </c>
      <c r="P293" t="n">
        <v>0</v>
      </c>
      <c r="Q293" t="n">
        <v>0</v>
      </c>
      <c r="R293" s="2" t="inlineStr"/>
    </row>
    <row r="294" ht="15" customHeight="1">
      <c r="A294" t="inlineStr">
        <is>
          <t>A 25234-2023</t>
        </is>
      </c>
      <c r="B294" s="1" t="n">
        <v>45086.63194444445</v>
      </c>
      <c r="C294" s="1" t="n">
        <v>45956</v>
      </c>
      <c r="D294" t="inlineStr">
        <is>
          <t>KALMAR LÄN</t>
        </is>
      </c>
      <c r="E294" t="inlineStr">
        <is>
          <t>VIMMERBY</t>
        </is>
      </c>
      <c r="G294" t="n">
        <v>2.1</v>
      </c>
      <c r="H294" t="n">
        <v>0</v>
      </c>
      <c r="I294" t="n">
        <v>0</v>
      </c>
      <c r="J294" t="n">
        <v>0</v>
      </c>
      <c r="K294" t="n">
        <v>0</v>
      </c>
      <c r="L294" t="n">
        <v>0</v>
      </c>
      <c r="M294" t="n">
        <v>0</v>
      </c>
      <c r="N294" t="n">
        <v>0</v>
      </c>
      <c r="O294" t="n">
        <v>0</v>
      </c>
      <c r="P294" t="n">
        <v>0</v>
      </c>
      <c r="Q294" t="n">
        <v>0</v>
      </c>
      <c r="R294" s="2" t="inlineStr"/>
    </row>
    <row r="295" ht="15" customHeight="1">
      <c r="A295" t="inlineStr">
        <is>
          <t>A 25236-2023</t>
        </is>
      </c>
      <c r="B295" s="1" t="n">
        <v>45086.63334490741</v>
      </c>
      <c r="C295" s="1" t="n">
        <v>45956</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25244-2023</t>
        </is>
      </c>
      <c r="B296" s="1" t="n">
        <v>45086</v>
      </c>
      <c r="C296" s="1" t="n">
        <v>45956</v>
      </c>
      <c r="D296" t="inlineStr">
        <is>
          <t>KALMAR LÄN</t>
        </is>
      </c>
      <c r="E296" t="inlineStr">
        <is>
          <t>VIMMERBY</t>
        </is>
      </c>
      <c r="G296" t="n">
        <v>4.7</v>
      </c>
      <c r="H296" t="n">
        <v>0</v>
      </c>
      <c r="I296" t="n">
        <v>0</v>
      </c>
      <c r="J296" t="n">
        <v>0</v>
      </c>
      <c r="K296" t="n">
        <v>0</v>
      </c>
      <c r="L296" t="n">
        <v>0</v>
      </c>
      <c r="M296" t="n">
        <v>0</v>
      </c>
      <c r="N296" t="n">
        <v>0</v>
      </c>
      <c r="O296" t="n">
        <v>0</v>
      </c>
      <c r="P296" t="n">
        <v>0</v>
      </c>
      <c r="Q296" t="n">
        <v>0</v>
      </c>
      <c r="R296" s="2" t="inlineStr"/>
    </row>
    <row r="297" ht="15" customHeight="1">
      <c r="A297" t="inlineStr">
        <is>
          <t>A 23341-2022</t>
        </is>
      </c>
      <c r="B297" s="1" t="n">
        <v>44720.53898148148</v>
      </c>
      <c r="C297" s="1" t="n">
        <v>45956</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8086-2021</t>
        </is>
      </c>
      <c r="B298" s="1" t="n">
        <v>44243</v>
      </c>
      <c r="C298" s="1" t="n">
        <v>45956</v>
      </c>
      <c r="D298" t="inlineStr">
        <is>
          <t>KALMAR LÄN</t>
        </is>
      </c>
      <c r="E298" t="inlineStr">
        <is>
          <t>VIMMERBY</t>
        </is>
      </c>
      <c r="G298" t="n">
        <v>4.1</v>
      </c>
      <c r="H298" t="n">
        <v>0</v>
      </c>
      <c r="I298" t="n">
        <v>0</v>
      </c>
      <c r="J298" t="n">
        <v>0</v>
      </c>
      <c r="K298" t="n">
        <v>0</v>
      </c>
      <c r="L298" t="n">
        <v>0</v>
      </c>
      <c r="M298" t="n">
        <v>0</v>
      </c>
      <c r="N298" t="n">
        <v>0</v>
      </c>
      <c r="O298" t="n">
        <v>0</v>
      </c>
      <c r="P298" t="n">
        <v>0</v>
      </c>
      <c r="Q298" t="n">
        <v>0</v>
      </c>
      <c r="R298" s="2" t="inlineStr"/>
    </row>
    <row r="299" ht="15" customHeight="1">
      <c r="A299" t="inlineStr">
        <is>
          <t>A 22399-2025</t>
        </is>
      </c>
      <c r="B299" s="1" t="n">
        <v>45786.52996527778</v>
      </c>
      <c r="C299" s="1" t="n">
        <v>45956</v>
      </c>
      <c r="D299" t="inlineStr">
        <is>
          <t>KALMAR LÄN</t>
        </is>
      </c>
      <c r="E299" t="inlineStr">
        <is>
          <t>VIMMERBY</t>
        </is>
      </c>
      <c r="G299" t="n">
        <v>2.1</v>
      </c>
      <c r="H299" t="n">
        <v>0</v>
      </c>
      <c r="I299" t="n">
        <v>0</v>
      </c>
      <c r="J299" t="n">
        <v>0</v>
      </c>
      <c r="K299" t="n">
        <v>0</v>
      </c>
      <c r="L299" t="n">
        <v>0</v>
      </c>
      <c r="M299" t="n">
        <v>0</v>
      </c>
      <c r="N299" t="n">
        <v>0</v>
      </c>
      <c r="O299" t="n">
        <v>0</v>
      </c>
      <c r="P299" t="n">
        <v>0</v>
      </c>
      <c r="Q299" t="n">
        <v>0</v>
      </c>
      <c r="R299" s="2" t="inlineStr"/>
    </row>
    <row r="300" ht="15" customHeight="1">
      <c r="A300" t="inlineStr">
        <is>
          <t>A 71793-2021</t>
        </is>
      </c>
      <c r="B300" s="1" t="n">
        <v>44539</v>
      </c>
      <c r="C300" s="1" t="n">
        <v>45956</v>
      </c>
      <c r="D300" t="inlineStr">
        <is>
          <t>KALMAR LÄN</t>
        </is>
      </c>
      <c r="E300" t="inlineStr">
        <is>
          <t>VIMMERBY</t>
        </is>
      </c>
      <c r="G300" t="n">
        <v>2.7</v>
      </c>
      <c r="H300" t="n">
        <v>0</v>
      </c>
      <c r="I300" t="n">
        <v>0</v>
      </c>
      <c r="J300" t="n">
        <v>0</v>
      </c>
      <c r="K300" t="n">
        <v>0</v>
      </c>
      <c r="L300" t="n">
        <v>0</v>
      </c>
      <c r="M300" t="n">
        <v>0</v>
      </c>
      <c r="N300" t="n">
        <v>0</v>
      </c>
      <c r="O300" t="n">
        <v>0</v>
      </c>
      <c r="P300" t="n">
        <v>0</v>
      </c>
      <c r="Q300" t="n">
        <v>0</v>
      </c>
      <c r="R300" s="2" t="inlineStr"/>
    </row>
    <row r="301" ht="15" customHeight="1">
      <c r="A301" t="inlineStr">
        <is>
          <t>A 34588-2024</t>
        </is>
      </c>
      <c r="B301" s="1" t="n">
        <v>45526.3865625</v>
      </c>
      <c r="C301" s="1" t="n">
        <v>45956</v>
      </c>
      <c r="D301" t="inlineStr">
        <is>
          <t>KALMAR LÄN</t>
        </is>
      </c>
      <c r="E301" t="inlineStr">
        <is>
          <t>VIMMERBY</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73938-2021</t>
        </is>
      </c>
      <c r="B302" s="1" t="n">
        <v>44553</v>
      </c>
      <c r="C302" s="1" t="n">
        <v>45956</v>
      </c>
      <c r="D302" t="inlineStr">
        <is>
          <t>KALMAR LÄN</t>
        </is>
      </c>
      <c r="E302" t="inlineStr">
        <is>
          <t>VIMMERBY</t>
        </is>
      </c>
      <c r="G302" t="n">
        <v>3.2</v>
      </c>
      <c r="H302" t="n">
        <v>0</v>
      </c>
      <c r="I302" t="n">
        <v>0</v>
      </c>
      <c r="J302" t="n">
        <v>0</v>
      </c>
      <c r="K302" t="n">
        <v>0</v>
      </c>
      <c r="L302" t="n">
        <v>0</v>
      </c>
      <c r="M302" t="n">
        <v>0</v>
      </c>
      <c r="N302" t="n">
        <v>0</v>
      </c>
      <c r="O302" t="n">
        <v>0</v>
      </c>
      <c r="P302" t="n">
        <v>0</v>
      </c>
      <c r="Q302" t="n">
        <v>0</v>
      </c>
      <c r="R302" s="2" t="inlineStr"/>
    </row>
    <row r="303" ht="15" customHeight="1">
      <c r="A303" t="inlineStr">
        <is>
          <t>A 56659-2023</t>
        </is>
      </c>
      <c r="B303" s="1" t="n">
        <v>45243.84869212963</v>
      </c>
      <c r="C303" s="1" t="n">
        <v>45956</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6069-2023</t>
        </is>
      </c>
      <c r="B304" s="1" t="n">
        <v>44964.5115162037</v>
      </c>
      <c r="C304" s="1" t="n">
        <v>45956</v>
      </c>
      <c r="D304" t="inlineStr">
        <is>
          <t>KALMAR LÄN</t>
        </is>
      </c>
      <c r="E304" t="inlineStr">
        <is>
          <t>VIMMERBY</t>
        </is>
      </c>
      <c r="G304" t="n">
        <v>1.1</v>
      </c>
      <c r="H304" t="n">
        <v>0</v>
      </c>
      <c r="I304" t="n">
        <v>0</v>
      </c>
      <c r="J304" t="n">
        <v>0</v>
      </c>
      <c r="K304" t="n">
        <v>0</v>
      </c>
      <c r="L304" t="n">
        <v>0</v>
      </c>
      <c r="M304" t="n">
        <v>0</v>
      </c>
      <c r="N304" t="n">
        <v>0</v>
      </c>
      <c r="O304" t="n">
        <v>0</v>
      </c>
      <c r="P304" t="n">
        <v>0</v>
      </c>
      <c r="Q304" t="n">
        <v>0</v>
      </c>
      <c r="R304" s="2" t="inlineStr"/>
    </row>
    <row r="305" ht="15" customHeight="1">
      <c r="A305" t="inlineStr">
        <is>
          <t>A 22397-2025</t>
        </is>
      </c>
      <c r="B305" s="1" t="n">
        <v>45786.52878472222</v>
      </c>
      <c r="C305" s="1" t="n">
        <v>45956</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50995-2022</t>
        </is>
      </c>
      <c r="B306" s="1" t="n">
        <v>44867</v>
      </c>
      <c r="C306" s="1" t="n">
        <v>45956</v>
      </c>
      <c r="D306" t="inlineStr">
        <is>
          <t>KALMAR LÄN</t>
        </is>
      </c>
      <c r="E306" t="inlineStr">
        <is>
          <t>VIMMERBY</t>
        </is>
      </c>
      <c r="G306" t="n">
        <v>2.4</v>
      </c>
      <c r="H306" t="n">
        <v>0</v>
      </c>
      <c r="I306" t="n">
        <v>0</v>
      </c>
      <c r="J306" t="n">
        <v>0</v>
      </c>
      <c r="K306" t="n">
        <v>0</v>
      </c>
      <c r="L306" t="n">
        <v>0</v>
      </c>
      <c r="M306" t="n">
        <v>0</v>
      </c>
      <c r="N306" t="n">
        <v>0</v>
      </c>
      <c r="O306" t="n">
        <v>0</v>
      </c>
      <c r="P306" t="n">
        <v>0</v>
      </c>
      <c r="Q306" t="n">
        <v>0</v>
      </c>
      <c r="R306" s="2" t="inlineStr"/>
    </row>
    <row r="307" ht="15" customHeight="1">
      <c r="A307" t="inlineStr">
        <is>
          <t>A 3331-2023</t>
        </is>
      </c>
      <c r="B307" s="1" t="n">
        <v>44949</v>
      </c>
      <c r="C307" s="1" t="n">
        <v>45956</v>
      </c>
      <c r="D307" t="inlineStr">
        <is>
          <t>KALMAR LÄN</t>
        </is>
      </c>
      <c r="E307" t="inlineStr">
        <is>
          <t>VIMMERBY</t>
        </is>
      </c>
      <c r="G307" t="n">
        <v>6.2</v>
      </c>
      <c r="H307" t="n">
        <v>0</v>
      </c>
      <c r="I307" t="n">
        <v>0</v>
      </c>
      <c r="J307" t="n">
        <v>0</v>
      </c>
      <c r="K307" t="n">
        <v>0</v>
      </c>
      <c r="L307" t="n">
        <v>0</v>
      </c>
      <c r="M307" t="n">
        <v>0</v>
      </c>
      <c r="N307" t="n">
        <v>0</v>
      </c>
      <c r="O307" t="n">
        <v>0</v>
      </c>
      <c r="P307" t="n">
        <v>0</v>
      </c>
      <c r="Q307" t="n">
        <v>0</v>
      </c>
      <c r="R307" s="2" t="inlineStr"/>
    </row>
    <row r="308" ht="15" customHeight="1">
      <c r="A308" t="inlineStr">
        <is>
          <t>A 27122-2023</t>
        </is>
      </c>
      <c r="B308" s="1" t="n">
        <v>45096.45247685185</v>
      </c>
      <c r="C308" s="1" t="n">
        <v>45956</v>
      </c>
      <c r="D308" t="inlineStr">
        <is>
          <t>KALMAR LÄN</t>
        </is>
      </c>
      <c r="E308" t="inlineStr">
        <is>
          <t>VIMMERBY</t>
        </is>
      </c>
      <c r="G308" t="n">
        <v>1.7</v>
      </c>
      <c r="H308" t="n">
        <v>0</v>
      </c>
      <c r="I308" t="n">
        <v>0</v>
      </c>
      <c r="J308" t="n">
        <v>0</v>
      </c>
      <c r="K308" t="n">
        <v>0</v>
      </c>
      <c r="L308" t="n">
        <v>0</v>
      </c>
      <c r="M308" t="n">
        <v>0</v>
      </c>
      <c r="N308" t="n">
        <v>0</v>
      </c>
      <c r="O308" t="n">
        <v>0</v>
      </c>
      <c r="P308" t="n">
        <v>0</v>
      </c>
      <c r="Q308" t="n">
        <v>0</v>
      </c>
      <c r="R308" s="2" t="inlineStr"/>
    </row>
    <row r="309" ht="15" customHeight="1">
      <c r="A309" t="inlineStr">
        <is>
          <t>A 30402-2023</t>
        </is>
      </c>
      <c r="B309" s="1" t="n">
        <v>45111.48395833333</v>
      </c>
      <c r="C309" s="1" t="n">
        <v>45956</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11442-2025</t>
        </is>
      </c>
      <c r="B310" s="1" t="n">
        <v>45726.62721064815</v>
      </c>
      <c r="C310" s="1" t="n">
        <v>45956</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40828-2023</t>
        </is>
      </c>
      <c r="B311" s="1" t="n">
        <v>45171.96248842592</v>
      </c>
      <c r="C311" s="1" t="n">
        <v>45956</v>
      </c>
      <c r="D311" t="inlineStr">
        <is>
          <t>KALMAR LÄN</t>
        </is>
      </c>
      <c r="E311" t="inlineStr">
        <is>
          <t>VIMMERBY</t>
        </is>
      </c>
      <c r="G311" t="n">
        <v>0.6</v>
      </c>
      <c r="H311" t="n">
        <v>0</v>
      </c>
      <c r="I311" t="n">
        <v>0</v>
      </c>
      <c r="J311" t="n">
        <v>0</v>
      </c>
      <c r="K311" t="n">
        <v>0</v>
      </c>
      <c r="L311" t="n">
        <v>0</v>
      </c>
      <c r="M311" t="n">
        <v>0</v>
      </c>
      <c r="N311" t="n">
        <v>0</v>
      </c>
      <c r="O311" t="n">
        <v>0</v>
      </c>
      <c r="P311" t="n">
        <v>0</v>
      </c>
      <c r="Q311" t="n">
        <v>0</v>
      </c>
      <c r="R311" s="2" t="inlineStr"/>
    </row>
    <row r="312" ht="15" customHeight="1">
      <c r="A312" t="inlineStr">
        <is>
          <t>A 6307-2025</t>
        </is>
      </c>
      <c r="B312" s="1" t="n">
        <v>45698.69016203703</v>
      </c>
      <c r="C312" s="1" t="n">
        <v>45956</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16734-2023</t>
        </is>
      </c>
      <c r="B313" s="1" t="n">
        <v>45030.71012731481</v>
      </c>
      <c r="C313" s="1" t="n">
        <v>45956</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64143-2021</t>
        </is>
      </c>
      <c r="B314" s="1" t="n">
        <v>44510.52157407408</v>
      </c>
      <c r="C314" s="1" t="n">
        <v>45956</v>
      </c>
      <c r="D314" t="inlineStr">
        <is>
          <t>KALMAR LÄN</t>
        </is>
      </c>
      <c r="E314" t="inlineStr">
        <is>
          <t>VIMMERBY</t>
        </is>
      </c>
      <c r="G314" t="n">
        <v>1.6</v>
      </c>
      <c r="H314" t="n">
        <v>0</v>
      </c>
      <c r="I314" t="n">
        <v>0</v>
      </c>
      <c r="J314" t="n">
        <v>0</v>
      </c>
      <c r="K314" t="n">
        <v>0</v>
      </c>
      <c r="L314" t="n">
        <v>0</v>
      </c>
      <c r="M314" t="n">
        <v>0</v>
      </c>
      <c r="N314" t="n">
        <v>0</v>
      </c>
      <c r="O314" t="n">
        <v>0</v>
      </c>
      <c r="P314" t="n">
        <v>0</v>
      </c>
      <c r="Q314" t="n">
        <v>0</v>
      </c>
      <c r="R314" s="2" t="inlineStr"/>
    </row>
    <row r="315" ht="15" customHeight="1">
      <c r="A315" t="inlineStr">
        <is>
          <t>A 46361-2025</t>
        </is>
      </c>
      <c r="B315" s="1" t="n">
        <v>45925.49670138889</v>
      </c>
      <c r="C315" s="1" t="n">
        <v>45956</v>
      </c>
      <c r="D315" t="inlineStr">
        <is>
          <t>KALMAR LÄN</t>
        </is>
      </c>
      <c r="E315" t="inlineStr">
        <is>
          <t>VIMMERBY</t>
        </is>
      </c>
      <c r="G315" t="n">
        <v>4.2</v>
      </c>
      <c r="H315" t="n">
        <v>0</v>
      </c>
      <c r="I315" t="n">
        <v>0</v>
      </c>
      <c r="J315" t="n">
        <v>0</v>
      </c>
      <c r="K315" t="n">
        <v>0</v>
      </c>
      <c r="L315" t="n">
        <v>0</v>
      </c>
      <c r="M315" t="n">
        <v>0</v>
      </c>
      <c r="N315" t="n">
        <v>0</v>
      </c>
      <c r="O315" t="n">
        <v>0</v>
      </c>
      <c r="P315" t="n">
        <v>0</v>
      </c>
      <c r="Q315" t="n">
        <v>0</v>
      </c>
      <c r="R315" s="2" t="inlineStr"/>
    </row>
    <row r="316" ht="15" customHeight="1">
      <c r="A316" t="inlineStr">
        <is>
          <t>A 9720-2023</t>
        </is>
      </c>
      <c r="B316" s="1" t="n">
        <v>44984</v>
      </c>
      <c r="C316" s="1" t="n">
        <v>45956</v>
      </c>
      <c r="D316" t="inlineStr">
        <is>
          <t>KALMAR LÄN</t>
        </is>
      </c>
      <c r="E316" t="inlineStr">
        <is>
          <t>VIMMERBY</t>
        </is>
      </c>
      <c r="G316" t="n">
        <v>4.4</v>
      </c>
      <c r="H316" t="n">
        <v>0</v>
      </c>
      <c r="I316" t="n">
        <v>0</v>
      </c>
      <c r="J316" t="n">
        <v>0</v>
      </c>
      <c r="K316" t="n">
        <v>0</v>
      </c>
      <c r="L316" t="n">
        <v>0</v>
      </c>
      <c r="M316" t="n">
        <v>0</v>
      </c>
      <c r="N316" t="n">
        <v>0</v>
      </c>
      <c r="O316" t="n">
        <v>0</v>
      </c>
      <c r="P316" t="n">
        <v>0</v>
      </c>
      <c r="Q316" t="n">
        <v>0</v>
      </c>
      <c r="R316" s="2" t="inlineStr"/>
    </row>
    <row r="317" ht="15" customHeight="1">
      <c r="A317" t="inlineStr">
        <is>
          <t>A 5938-2022</t>
        </is>
      </c>
      <c r="B317" s="1" t="n">
        <v>44598</v>
      </c>
      <c r="C317" s="1" t="n">
        <v>45956</v>
      </c>
      <c r="D317" t="inlineStr">
        <is>
          <t>KALMAR LÄN</t>
        </is>
      </c>
      <c r="E317" t="inlineStr">
        <is>
          <t>VIMMERBY</t>
        </is>
      </c>
      <c r="G317" t="n">
        <v>2.4</v>
      </c>
      <c r="H317" t="n">
        <v>0</v>
      </c>
      <c r="I317" t="n">
        <v>0</v>
      </c>
      <c r="J317" t="n">
        <v>0</v>
      </c>
      <c r="K317" t="n">
        <v>0</v>
      </c>
      <c r="L317" t="n">
        <v>0</v>
      </c>
      <c r="M317" t="n">
        <v>0</v>
      </c>
      <c r="N317" t="n">
        <v>0</v>
      </c>
      <c r="O317" t="n">
        <v>0</v>
      </c>
      <c r="P317" t="n">
        <v>0</v>
      </c>
      <c r="Q317" t="n">
        <v>0</v>
      </c>
      <c r="R317" s="2" t="inlineStr"/>
    </row>
    <row r="318" ht="15" customHeight="1">
      <c r="A318" t="inlineStr">
        <is>
          <t>A 47842-2024</t>
        </is>
      </c>
      <c r="B318" s="1" t="n">
        <v>45588.65545138889</v>
      </c>
      <c r="C318" s="1" t="n">
        <v>45956</v>
      </c>
      <c r="D318" t="inlineStr">
        <is>
          <t>KALMAR LÄN</t>
        </is>
      </c>
      <c r="E318" t="inlineStr">
        <is>
          <t>VIMMERBY</t>
        </is>
      </c>
      <c r="G318" t="n">
        <v>2.4</v>
      </c>
      <c r="H318" t="n">
        <v>0</v>
      </c>
      <c r="I318" t="n">
        <v>0</v>
      </c>
      <c r="J318" t="n">
        <v>0</v>
      </c>
      <c r="K318" t="n">
        <v>0</v>
      </c>
      <c r="L318" t="n">
        <v>0</v>
      </c>
      <c r="M318" t="n">
        <v>0</v>
      </c>
      <c r="N318" t="n">
        <v>0</v>
      </c>
      <c r="O318" t="n">
        <v>0</v>
      </c>
      <c r="P318" t="n">
        <v>0</v>
      </c>
      <c r="Q318" t="n">
        <v>0</v>
      </c>
      <c r="R318" s="2" t="inlineStr"/>
    </row>
    <row r="319" ht="15" customHeight="1">
      <c r="A319" t="inlineStr">
        <is>
          <t>A 1687-2023</t>
        </is>
      </c>
      <c r="B319" s="1" t="n">
        <v>44938</v>
      </c>
      <c r="C319" s="1" t="n">
        <v>45956</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29440-2024</t>
        </is>
      </c>
      <c r="B320" s="1" t="n">
        <v>45483.82479166667</v>
      </c>
      <c r="C320" s="1" t="n">
        <v>45956</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30921-2024</t>
        </is>
      </c>
      <c r="B321" s="1" t="n">
        <v>45498</v>
      </c>
      <c r="C321" s="1" t="n">
        <v>45956</v>
      </c>
      <c r="D321" t="inlineStr">
        <is>
          <t>KALMAR LÄN</t>
        </is>
      </c>
      <c r="E321" t="inlineStr">
        <is>
          <t>VIMMERBY</t>
        </is>
      </c>
      <c r="G321" t="n">
        <v>1.6</v>
      </c>
      <c r="H321" t="n">
        <v>0</v>
      </c>
      <c r="I321" t="n">
        <v>0</v>
      </c>
      <c r="J321" t="n">
        <v>0</v>
      </c>
      <c r="K321" t="n">
        <v>0</v>
      </c>
      <c r="L321" t="n">
        <v>0</v>
      </c>
      <c r="M321" t="n">
        <v>0</v>
      </c>
      <c r="N321" t="n">
        <v>0</v>
      </c>
      <c r="O321" t="n">
        <v>0</v>
      </c>
      <c r="P321" t="n">
        <v>0</v>
      </c>
      <c r="Q321" t="n">
        <v>0</v>
      </c>
      <c r="R321" s="2" t="inlineStr"/>
    </row>
    <row r="322" ht="15" customHeight="1">
      <c r="A322" t="inlineStr">
        <is>
          <t>A 53482-2022</t>
        </is>
      </c>
      <c r="B322" s="1" t="n">
        <v>44879</v>
      </c>
      <c r="C322" s="1" t="n">
        <v>45956</v>
      </c>
      <c r="D322" t="inlineStr">
        <is>
          <t>KALMAR LÄN</t>
        </is>
      </c>
      <c r="E322" t="inlineStr">
        <is>
          <t>VIMMERBY</t>
        </is>
      </c>
      <c r="G322" t="n">
        <v>10.1</v>
      </c>
      <c r="H322" t="n">
        <v>0</v>
      </c>
      <c r="I322" t="n">
        <v>0</v>
      </c>
      <c r="J322" t="n">
        <v>0</v>
      </c>
      <c r="K322" t="n">
        <v>0</v>
      </c>
      <c r="L322" t="n">
        <v>0</v>
      </c>
      <c r="M322" t="n">
        <v>0</v>
      </c>
      <c r="N322" t="n">
        <v>0</v>
      </c>
      <c r="O322" t="n">
        <v>0</v>
      </c>
      <c r="P322" t="n">
        <v>0</v>
      </c>
      <c r="Q322" t="n">
        <v>0</v>
      </c>
      <c r="R322" s="2" t="inlineStr"/>
    </row>
    <row r="323" ht="15" customHeight="1">
      <c r="A323" t="inlineStr">
        <is>
          <t>A 6857-2023</t>
        </is>
      </c>
      <c r="B323" s="1" t="n">
        <v>44967.45122685185</v>
      </c>
      <c r="C323" s="1" t="n">
        <v>45956</v>
      </c>
      <c r="D323" t="inlineStr">
        <is>
          <t>KALMAR LÄN</t>
        </is>
      </c>
      <c r="E323" t="inlineStr">
        <is>
          <t>VIMMERBY</t>
        </is>
      </c>
      <c r="G323" t="n">
        <v>2.1</v>
      </c>
      <c r="H323" t="n">
        <v>0</v>
      </c>
      <c r="I323" t="n">
        <v>0</v>
      </c>
      <c r="J323" t="n">
        <v>0</v>
      </c>
      <c r="K323" t="n">
        <v>0</v>
      </c>
      <c r="L323" t="n">
        <v>0</v>
      </c>
      <c r="M323" t="n">
        <v>0</v>
      </c>
      <c r="N323" t="n">
        <v>0</v>
      </c>
      <c r="O323" t="n">
        <v>0</v>
      </c>
      <c r="P323" t="n">
        <v>0</v>
      </c>
      <c r="Q323" t="n">
        <v>0</v>
      </c>
      <c r="R323" s="2" t="inlineStr"/>
    </row>
    <row r="324" ht="15" customHeight="1">
      <c r="A324" t="inlineStr">
        <is>
          <t>A 23394-2025</t>
        </is>
      </c>
      <c r="B324" s="1" t="n">
        <v>45791.89865740741</v>
      </c>
      <c r="C324" s="1" t="n">
        <v>45956</v>
      </c>
      <c r="D324" t="inlineStr">
        <is>
          <t>KALMAR LÄN</t>
        </is>
      </c>
      <c r="E324" t="inlineStr">
        <is>
          <t>VIMMERBY</t>
        </is>
      </c>
      <c r="G324" t="n">
        <v>3.1</v>
      </c>
      <c r="H324" t="n">
        <v>0</v>
      </c>
      <c r="I324" t="n">
        <v>0</v>
      </c>
      <c r="J324" t="n">
        <v>0</v>
      </c>
      <c r="K324" t="n">
        <v>0</v>
      </c>
      <c r="L324" t="n">
        <v>0</v>
      </c>
      <c r="M324" t="n">
        <v>0</v>
      </c>
      <c r="N324" t="n">
        <v>0</v>
      </c>
      <c r="O324" t="n">
        <v>0</v>
      </c>
      <c r="P324" t="n">
        <v>0</v>
      </c>
      <c r="Q324" t="n">
        <v>0</v>
      </c>
      <c r="R324" s="2" t="inlineStr"/>
    </row>
    <row r="325" ht="15" customHeight="1">
      <c r="A325" t="inlineStr">
        <is>
          <t>A 29180-2024</t>
        </is>
      </c>
      <c r="B325" s="1" t="n">
        <v>45482.54108796296</v>
      </c>
      <c r="C325" s="1" t="n">
        <v>45956</v>
      </c>
      <c r="D325" t="inlineStr">
        <is>
          <t>KALMAR LÄN</t>
        </is>
      </c>
      <c r="E325" t="inlineStr">
        <is>
          <t>VIMMERBY</t>
        </is>
      </c>
      <c r="G325" t="n">
        <v>3.8</v>
      </c>
      <c r="H325" t="n">
        <v>0</v>
      </c>
      <c r="I325" t="n">
        <v>0</v>
      </c>
      <c r="J325" t="n">
        <v>0</v>
      </c>
      <c r="K325" t="n">
        <v>0</v>
      </c>
      <c r="L325" t="n">
        <v>0</v>
      </c>
      <c r="M325" t="n">
        <v>0</v>
      </c>
      <c r="N325" t="n">
        <v>0</v>
      </c>
      <c r="O325" t="n">
        <v>0</v>
      </c>
      <c r="P325" t="n">
        <v>0</v>
      </c>
      <c r="Q325" t="n">
        <v>0</v>
      </c>
      <c r="R325" s="2" t="inlineStr"/>
    </row>
    <row r="326" ht="15" customHeight="1">
      <c r="A326" t="inlineStr">
        <is>
          <t>A 46224-2024</t>
        </is>
      </c>
      <c r="B326" s="1" t="n">
        <v>45581.57016203704</v>
      </c>
      <c r="C326" s="1" t="n">
        <v>45956</v>
      </c>
      <c r="D326" t="inlineStr">
        <is>
          <t>KALMAR LÄN</t>
        </is>
      </c>
      <c r="E326" t="inlineStr">
        <is>
          <t>VIMMERBY</t>
        </is>
      </c>
      <c r="G326" t="n">
        <v>3.1</v>
      </c>
      <c r="H326" t="n">
        <v>0</v>
      </c>
      <c r="I326" t="n">
        <v>0</v>
      </c>
      <c r="J326" t="n">
        <v>0</v>
      </c>
      <c r="K326" t="n">
        <v>0</v>
      </c>
      <c r="L326" t="n">
        <v>0</v>
      </c>
      <c r="M326" t="n">
        <v>0</v>
      </c>
      <c r="N326" t="n">
        <v>0</v>
      </c>
      <c r="O326" t="n">
        <v>0</v>
      </c>
      <c r="P326" t="n">
        <v>0</v>
      </c>
      <c r="Q326" t="n">
        <v>0</v>
      </c>
      <c r="R326" s="2" t="inlineStr"/>
    </row>
    <row r="327" ht="15" customHeight="1">
      <c r="A327" t="inlineStr">
        <is>
          <t>A 29013-2024</t>
        </is>
      </c>
      <c r="B327" s="1" t="n">
        <v>45481.55984953704</v>
      </c>
      <c r="C327" s="1" t="n">
        <v>45956</v>
      </c>
      <c r="D327" t="inlineStr">
        <is>
          <t>KALMAR LÄN</t>
        </is>
      </c>
      <c r="E327" t="inlineStr">
        <is>
          <t>VIMMERBY</t>
        </is>
      </c>
      <c r="G327" t="n">
        <v>3.4</v>
      </c>
      <c r="H327" t="n">
        <v>0</v>
      </c>
      <c r="I327" t="n">
        <v>0</v>
      </c>
      <c r="J327" t="n">
        <v>0</v>
      </c>
      <c r="K327" t="n">
        <v>0</v>
      </c>
      <c r="L327" t="n">
        <v>0</v>
      </c>
      <c r="M327" t="n">
        <v>0</v>
      </c>
      <c r="N327" t="n">
        <v>0</v>
      </c>
      <c r="O327" t="n">
        <v>0</v>
      </c>
      <c r="P327" t="n">
        <v>0</v>
      </c>
      <c r="Q327" t="n">
        <v>0</v>
      </c>
      <c r="R327" s="2" t="inlineStr"/>
    </row>
    <row r="328" ht="15" customHeight="1">
      <c r="A328" t="inlineStr">
        <is>
          <t>A 37028-2024</t>
        </is>
      </c>
      <c r="B328" s="1" t="n">
        <v>45539.38744212963</v>
      </c>
      <c r="C328" s="1" t="n">
        <v>45956</v>
      </c>
      <c r="D328" t="inlineStr">
        <is>
          <t>KALMAR LÄN</t>
        </is>
      </c>
      <c r="E328" t="inlineStr">
        <is>
          <t>VIMMERBY</t>
        </is>
      </c>
      <c r="G328" t="n">
        <v>5.2</v>
      </c>
      <c r="H328" t="n">
        <v>0</v>
      </c>
      <c r="I328" t="n">
        <v>0</v>
      </c>
      <c r="J328" t="n">
        <v>0</v>
      </c>
      <c r="K328" t="n">
        <v>0</v>
      </c>
      <c r="L328" t="n">
        <v>0</v>
      </c>
      <c r="M328" t="n">
        <v>0</v>
      </c>
      <c r="N328" t="n">
        <v>0</v>
      </c>
      <c r="O328" t="n">
        <v>0</v>
      </c>
      <c r="P328" t="n">
        <v>0</v>
      </c>
      <c r="Q328" t="n">
        <v>0</v>
      </c>
      <c r="R328" s="2" t="inlineStr"/>
    </row>
    <row r="329" ht="15" customHeight="1">
      <c r="A329" t="inlineStr">
        <is>
          <t>A 29783-2024</t>
        </is>
      </c>
      <c r="B329" s="1" t="n">
        <v>45485.45778935185</v>
      </c>
      <c r="C329" s="1" t="n">
        <v>45956</v>
      </c>
      <c r="D329" t="inlineStr">
        <is>
          <t>KALMAR LÄN</t>
        </is>
      </c>
      <c r="E329" t="inlineStr">
        <is>
          <t>VIMMERBY</t>
        </is>
      </c>
      <c r="G329" t="n">
        <v>3.1</v>
      </c>
      <c r="H329" t="n">
        <v>0</v>
      </c>
      <c r="I329" t="n">
        <v>0</v>
      </c>
      <c r="J329" t="n">
        <v>0</v>
      </c>
      <c r="K329" t="n">
        <v>0</v>
      </c>
      <c r="L329" t="n">
        <v>0</v>
      </c>
      <c r="M329" t="n">
        <v>0</v>
      </c>
      <c r="N329" t="n">
        <v>0</v>
      </c>
      <c r="O329" t="n">
        <v>0</v>
      </c>
      <c r="P329" t="n">
        <v>0</v>
      </c>
      <c r="Q329" t="n">
        <v>0</v>
      </c>
      <c r="R329" s="2" t="inlineStr"/>
    </row>
    <row r="330" ht="15" customHeight="1">
      <c r="A330" t="inlineStr">
        <is>
          <t>A 37187-2024</t>
        </is>
      </c>
      <c r="B330" s="1" t="n">
        <v>45539.65212962963</v>
      </c>
      <c r="C330" s="1" t="n">
        <v>45956</v>
      </c>
      <c r="D330" t="inlineStr">
        <is>
          <t>KALMAR LÄN</t>
        </is>
      </c>
      <c r="E330" t="inlineStr">
        <is>
          <t>VIMMERBY</t>
        </is>
      </c>
      <c r="G330" t="n">
        <v>2.7</v>
      </c>
      <c r="H330" t="n">
        <v>0</v>
      </c>
      <c r="I330" t="n">
        <v>0</v>
      </c>
      <c r="J330" t="n">
        <v>0</v>
      </c>
      <c r="K330" t="n">
        <v>0</v>
      </c>
      <c r="L330" t="n">
        <v>0</v>
      </c>
      <c r="M330" t="n">
        <v>0</v>
      </c>
      <c r="N330" t="n">
        <v>0</v>
      </c>
      <c r="O330" t="n">
        <v>0</v>
      </c>
      <c r="P330" t="n">
        <v>0</v>
      </c>
      <c r="Q330" t="n">
        <v>0</v>
      </c>
      <c r="R330" s="2" t="inlineStr"/>
    </row>
    <row r="331" ht="15" customHeight="1">
      <c r="A331" t="inlineStr">
        <is>
          <t>A 54838-2024</t>
        </is>
      </c>
      <c r="B331" s="1" t="n">
        <v>45618.56787037037</v>
      </c>
      <c r="C331" s="1" t="n">
        <v>45956</v>
      </c>
      <c r="D331" t="inlineStr">
        <is>
          <t>KALMAR LÄN</t>
        </is>
      </c>
      <c r="E331" t="inlineStr">
        <is>
          <t>VIMMERBY</t>
        </is>
      </c>
      <c r="G331" t="n">
        <v>3.3</v>
      </c>
      <c r="H331" t="n">
        <v>0</v>
      </c>
      <c r="I331" t="n">
        <v>0</v>
      </c>
      <c r="J331" t="n">
        <v>0</v>
      </c>
      <c r="K331" t="n">
        <v>0</v>
      </c>
      <c r="L331" t="n">
        <v>0</v>
      </c>
      <c r="M331" t="n">
        <v>0</v>
      </c>
      <c r="N331" t="n">
        <v>0</v>
      </c>
      <c r="O331" t="n">
        <v>0</v>
      </c>
      <c r="P331" t="n">
        <v>0</v>
      </c>
      <c r="Q331" t="n">
        <v>0</v>
      </c>
      <c r="R331" s="2" t="inlineStr"/>
    </row>
    <row r="332" ht="15" customHeight="1">
      <c r="A332" t="inlineStr">
        <is>
          <t>A 25987-2024</t>
        </is>
      </c>
      <c r="B332" s="1" t="n">
        <v>45467.74417824074</v>
      </c>
      <c r="C332" s="1" t="n">
        <v>45956</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25109-2023</t>
        </is>
      </c>
      <c r="B333" s="1" t="n">
        <v>45086</v>
      </c>
      <c r="C333" s="1" t="n">
        <v>45956</v>
      </c>
      <c r="D333" t="inlineStr">
        <is>
          <t>KALMAR LÄN</t>
        </is>
      </c>
      <c r="E333" t="inlineStr">
        <is>
          <t>VIMMERBY</t>
        </is>
      </c>
      <c r="G333" t="n">
        <v>1.5</v>
      </c>
      <c r="H333" t="n">
        <v>0</v>
      </c>
      <c r="I333" t="n">
        <v>0</v>
      </c>
      <c r="J333" t="n">
        <v>0</v>
      </c>
      <c r="K333" t="n">
        <v>0</v>
      </c>
      <c r="L333" t="n">
        <v>0</v>
      </c>
      <c r="M333" t="n">
        <v>0</v>
      </c>
      <c r="N333" t="n">
        <v>0</v>
      </c>
      <c r="O333" t="n">
        <v>0</v>
      </c>
      <c r="P333" t="n">
        <v>0</v>
      </c>
      <c r="Q333" t="n">
        <v>0</v>
      </c>
      <c r="R333" s="2" t="inlineStr"/>
    </row>
    <row r="334" ht="15" customHeight="1">
      <c r="A334" t="inlineStr">
        <is>
          <t>A 61878-2020</t>
        </is>
      </c>
      <c r="B334" s="1" t="n">
        <v>44159</v>
      </c>
      <c r="C334" s="1" t="n">
        <v>45956</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62023-2022</t>
        </is>
      </c>
      <c r="B335" s="1" t="n">
        <v>44918.50106481482</v>
      </c>
      <c r="C335" s="1" t="n">
        <v>45956</v>
      </c>
      <c r="D335" t="inlineStr">
        <is>
          <t>KALMAR LÄN</t>
        </is>
      </c>
      <c r="E335" t="inlineStr">
        <is>
          <t>VIMMERBY</t>
        </is>
      </c>
      <c r="G335" t="n">
        <v>0.3</v>
      </c>
      <c r="H335" t="n">
        <v>0</v>
      </c>
      <c r="I335" t="n">
        <v>0</v>
      </c>
      <c r="J335" t="n">
        <v>0</v>
      </c>
      <c r="K335" t="n">
        <v>0</v>
      </c>
      <c r="L335" t="n">
        <v>0</v>
      </c>
      <c r="M335" t="n">
        <v>0</v>
      </c>
      <c r="N335" t="n">
        <v>0</v>
      </c>
      <c r="O335" t="n">
        <v>0</v>
      </c>
      <c r="P335" t="n">
        <v>0</v>
      </c>
      <c r="Q335" t="n">
        <v>0</v>
      </c>
      <c r="R335" s="2" t="inlineStr"/>
    </row>
    <row r="336" ht="15" customHeight="1">
      <c r="A336" t="inlineStr">
        <is>
          <t>A 38604-2025</t>
        </is>
      </c>
      <c r="B336" s="1" t="n">
        <v>45884.50613425926</v>
      </c>
      <c r="C336" s="1" t="n">
        <v>45956</v>
      </c>
      <c r="D336" t="inlineStr">
        <is>
          <t>KALMAR LÄN</t>
        </is>
      </c>
      <c r="E336" t="inlineStr">
        <is>
          <t>VIMMERBY</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58104-2024</t>
        </is>
      </c>
      <c r="B337" s="1" t="n">
        <v>45632.37459490741</v>
      </c>
      <c r="C337" s="1" t="n">
        <v>45956</v>
      </c>
      <c r="D337" t="inlineStr">
        <is>
          <t>KALMAR LÄN</t>
        </is>
      </c>
      <c r="E337" t="inlineStr">
        <is>
          <t>VIMMERBY</t>
        </is>
      </c>
      <c r="G337" t="n">
        <v>5</v>
      </c>
      <c r="H337" t="n">
        <v>0</v>
      </c>
      <c r="I337" t="n">
        <v>0</v>
      </c>
      <c r="J337" t="n">
        <v>0</v>
      </c>
      <c r="K337" t="n">
        <v>0</v>
      </c>
      <c r="L337" t="n">
        <v>0</v>
      </c>
      <c r="M337" t="n">
        <v>0</v>
      </c>
      <c r="N337" t="n">
        <v>0</v>
      </c>
      <c r="O337" t="n">
        <v>0</v>
      </c>
      <c r="P337" t="n">
        <v>0</v>
      </c>
      <c r="Q337" t="n">
        <v>0</v>
      </c>
      <c r="R337" s="2" t="inlineStr"/>
    </row>
    <row r="338" ht="15" customHeight="1">
      <c r="A338" t="inlineStr">
        <is>
          <t>A 12215-2024</t>
        </is>
      </c>
      <c r="B338" s="1" t="n">
        <v>45378.32185185186</v>
      </c>
      <c r="C338" s="1" t="n">
        <v>45956</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30920-2024</t>
        </is>
      </c>
      <c r="B339" s="1" t="n">
        <v>45498.673125</v>
      </c>
      <c r="C339" s="1" t="n">
        <v>45956</v>
      </c>
      <c r="D339" t="inlineStr">
        <is>
          <t>KALMAR LÄN</t>
        </is>
      </c>
      <c r="E339" t="inlineStr">
        <is>
          <t>VIMMERBY</t>
        </is>
      </c>
      <c r="G339" t="n">
        <v>1.3</v>
      </c>
      <c r="H339" t="n">
        <v>0</v>
      </c>
      <c r="I339" t="n">
        <v>0</v>
      </c>
      <c r="J339" t="n">
        <v>0</v>
      </c>
      <c r="K339" t="n">
        <v>0</v>
      </c>
      <c r="L339" t="n">
        <v>0</v>
      </c>
      <c r="M339" t="n">
        <v>0</v>
      </c>
      <c r="N339" t="n">
        <v>0</v>
      </c>
      <c r="O339" t="n">
        <v>0</v>
      </c>
      <c r="P339" t="n">
        <v>0</v>
      </c>
      <c r="Q339" t="n">
        <v>0</v>
      </c>
      <c r="R339" s="2" t="inlineStr"/>
    </row>
    <row r="340" ht="15" customHeight="1">
      <c r="A340" t="inlineStr">
        <is>
          <t>A 56536-2022</t>
        </is>
      </c>
      <c r="B340" s="1" t="n">
        <v>44893</v>
      </c>
      <c r="C340" s="1" t="n">
        <v>45956</v>
      </c>
      <c r="D340" t="inlineStr">
        <is>
          <t>KALMAR LÄN</t>
        </is>
      </c>
      <c r="E340" t="inlineStr">
        <is>
          <t>VIMMERBY</t>
        </is>
      </c>
      <c r="G340" t="n">
        <v>3.2</v>
      </c>
      <c r="H340" t="n">
        <v>0</v>
      </c>
      <c r="I340" t="n">
        <v>0</v>
      </c>
      <c r="J340" t="n">
        <v>0</v>
      </c>
      <c r="K340" t="n">
        <v>0</v>
      </c>
      <c r="L340" t="n">
        <v>0</v>
      </c>
      <c r="M340" t="n">
        <v>0</v>
      </c>
      <c r="N340" t="n">
        <v>0</v>
      </c>
      <c r="O340" t="n">
        <v>0</v>
      </c>
      <c r="P340" t="n">
        <v>0</v>
      </c>
      <c r="Q340" t="n">
        <v>0</v>
      </c>
      <c r="R340" s="2" t="inlineStr"/>
    </row>
    <row r="341" ht="15" customHeight="1">
      <c r="A341" t="inlineStr">
        <is>
          <t>A 12630-2023</t>
        </is>
      </c>
      <c r="B341" s="1" t="n">
        <v>45000.47998842593</v>
      </c>
      <c r="C341" s="1" t="n">
        <v>45956</v>
      </c>
      <c r="D341" t="inlineStr">
        <is>
          <t>KALMAR LÄN</t>
        </is>
      </c>
      <c r="E341" t="inlineStr">
        <is>
          <t>VIMMERBY</t>
        </is>
      </c>
      <c r="G341" t="n">
        <v>2.1</v>
      </c>
      <c r="H341" t="n">
        <v>0</v>
      </c>
      <c r="I341" t="n">
        <v>0</v>
      </c>
      <c r="J341" t="n">
        <v>0</v>
      </c>
      <c r="K341" t="n">
        <v>0</v>
      </c>
      <c r="L341" t="n">
        <v>0</v>
      </c>
      <c r="M341" t="n">
        <v>0</v>
      </c>
      <c r="N341" t="n">
        <v>0</v>
      </c>
      <c r="O341" t="n">
        <v>0</v>
      </c>
      <c r="P341" t="n">
        <v>0</v>
      </c>
      <c r="Q341" t="n">
        <v>0</v>
      </c>
      <c r="R341" s="2" t="inlineStr"/>
    </row>
    <row r="342" ht="15" customHeight="1">
      <c r="A342" t="inlineStr">
        <is>
          <t>A 63541-2023</t>
        </is>
      </c>
      <c r="B342" s="1" t="n">
        <v>45275.32266203704</v>
      </c>
      <c r="C342" s="1" t="n">
        <v>45956</v>
      </c>
      <c r="D342" t="inlineStr">
        <is>
          <t>KALMAR LÄN</t>
        </is>
      </c>
      <c r="E342" t="inlineStr">
        <is>
          <t>VIMMERBY</t>
        </is>
      </c>
      <c r="G342" t="n">
        <v>1.1</v>
      </c>
      <c r="H342" t="n">
        <v>0</v>
      </c>
      <c r="I342" t="n">
        <v>0</v>
      </c>
      <c r="J342" t="n">
        <v>0</v>
      </c>
      <c r="K342" t="n">
        <v>0</v>
      </c>
      <c r="L342" t="n">
        <v>0</v>
      </c>
      <c r="M342" t="n">
        <v>0</v>
      </c>
      <c r="N342" t="n">
        <v>0</v>
      </c>
      <c r="O342" t="n">
        <v>0</v>
      </c>
      <c r="P342" t="n">
        <v>0</v>
      </c>
      <c r="Q342" t="n">
        <v>0</v>
      </c>
      <c r="R342" s="2" t="inlineStr"/>
    </row>
    <row r="343" ht="15" customHeight="1">
      <c r="A343" t="inlineStr">
        <is>
          <t>A 37323-2024</t>
        </is>
      </c>
      <c r="B343" s="1" t="n">
        <v>45540.50098379629</v>
      </c>
      <c r="C343" s="1" t="n">
        <v>45956</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39584-2024</t>
        </is>
      </c>
      <c r="B344" s="1" t="n">
        <v>45552.36759259259</v>
      </c>
      <c r="C344" s="1" t="n">
        <v>45956</v>
      </c>
      <c r="D344" t="inlineStr">
        <is>
          <t>KALMAR LÄN</t>
        </is>
      </c>
      <c r="E344" t="inlineStr">
        <is>
          <t>VIMMERBY</t>
        </is>
      </c>
      <c r="G344" t="n">
        <v>1.9</v>
      </c>
      <c r="H344" t="n">
        <v>0</v>
      </c>
      <c r="I344" t="n">
        <v>0</v>
      </c>
      <c r="J344" t="n">
        <v>0</v>
      </c>
      <c r="K344" t="n">
        <v>0</v>
      </c>
      <c r="L344" t="n">
        <v>0</v>
      </c>
      <c r="M344" t="n">
        <v>0</v>
      </c>
      <c r="N344" t="n">
        <v>0</v>
      </c>
      <c r="O344" t="n">
        <v>0</v>
      </c>
      <c r="P344" t="n">
        <v>0</v>
      </c>
      <c r="Q344" t="n">
        <v>0</v>
      </c>
      <c r="R344" s="2" t="inlineStr"/>
    </row>
    <row r="345" ht="15" customHeight="1">
      <c r="A345" t="inlineStr">
        <is>
          <t>A 27705-2023</t>
        </is>
      </c>
      <c r="B345" s="1" t="n">
        <v>45098.30535879629</v>
      </c>
      <c r="C345" s="1" t="n">
        <v>45956</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23984-2025</t>
        </is>
      </c>
      <c r="B346" s="1" t="n">
        <v>45796</v>
      </c>
      <c r="C346" s="1" t="n">
        <v>45956</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11429-2022</t>
        </is>
      </c>
      <c r="B347" s="1" t="n">
        <v>44630</v>
      </c>
      <c r="C347" s="1" t="n">
        <v>45956</v>
      </c>
      <c r="D347" t="inlineStr">
        <is>
          <t>KALMAR LÄN</t>
        </is>
      </c>
      <c r="E347" t="inlineStr">
        <is>
          <t>VIMMERBY</t>
        </is>
      </c>
      <c r="G347" t="n">
        <v>2.6</v>
      </c>
      <c r="H347" t="n">
        <v>0</v>
      </c>
      <c r="I347" t="n">
        <v>0</v>
      </c>
      <c r="J347" t="n">
        <v>0</v>
      </c>
      <c r="K347" t="n">
        <v>0</v>
      </c>
      <c r="L347" t="n">
        <v>0</v>
      </c>
      <c r="M347" t="n">
        <v>0</v>
      </c>
      <c r="N347" t="n">
        <v>0</v>
      </c>
      <c r="O347" t="n">
        <v>0</v>
      </c>
      <c r="P347" t="n">
        <v>0</v>
      </c>
      <c r="Q347" t="n">
        <v>0</v>
      </c>
      <c r="R347" s="2" t="inlineStr"/>
    </row>
    <row r="348" ht="15" customHeight="1">
      <c r="A348" t="inlineStr">
        <is>
          <t>A 31013-2023</t>
        </is>
      </c>
      <c r="B348" s="1" t="n">
        <v>45113.56574074074</v>
      </c>
      <c r="C348" s="1" t="n">
        <v>45956</v>
      </c>
      <c r="D348" t="inlineStr">
        <is>
          <t>KALMAR LÄN</t>
        </is>
      </c>
      <c r="E348" t="inlineStr">
        <is>
          <t>VIMMERBY</t>
        </is>
      </c>
      <c r="G348" t="n">
        <v>1</v>
      </c>
      <c r="H348" t="n">
        <v>0</v>
      </c>
      <c r="I348" t="n">
        <v>0</v>
      </c>
      <c r="J348" t="n">
        <v>0</v>
      </c>
      <c r="K348" t="n">
        <v>0</v>
      </c>
      <c r="L348" t="n">
        <v>0</v>
      </c>
      <c r="M348" t="n">
        <v>0</v>
      </c>
      <c r="N348" t="n">
        <v>0</v>
      </c>
      <c r="O348" t="n">
        <v>0</v>
      </c>
      <c r="P348" t="n">
        <v>0</v>
      </c>
      <c r="Q348" t="n">
        <v>0</v>
      </c>
      <c r="R348" s="2" t="inlineStr"/>
    </row>
    <row r="349" ht="15" customHeight="1">
      <c r="A349" t="inlineStr">
        <is>
          <t>A 56582-2022</t>
        </is>
      </c>
      <c r="B349" s="1" t="n">
        <v>44893</v>
      </c>
      <c r="C349" s="1" t="n">
        <v>45956</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15388-2025</t>
        </is>
      </c>
      <c r="B350" s="1" t="n">
        <v>45747.42633101852</v>
      </c>
      <c r="C350" s="1" t="n">
        <v>45956</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15391-2025</t>
        </is>
      </c>
      <c r="B351" s="1" t="n">
        <v>45747.42958333333</v>
      </c>
      <c r="C351" s="1" t="n">
        <v>45956</v>
      </c>
      <c r="D351" t="inlineStr">
        <is>
          <t>KALMAR LÄN</t>
        </is>
      </c>
      <c r="E351" t="inlineStr">
        <is>
          <t>VIMMERBY</t>
        </is>
      </c>
      <c r="G351" t="n">
        <v>1.1</v>
      </c>
      <c r="H351" t="n">
        <v>0</v>
      </c>
      <c r="I351" t="n">
        <v>0</v>
      </c>
      <c r="J351" t="n">
        <v>0</v>
      </c>
      <c r="K351" t="n">
        <v>0</v>
      </c>
      <c r="L351" t="n">
        <v>0</v>
      </c>
      <c r="M351" t="n">
        <v>0</v>
      </c>
      <c r="N351" t="n">
        <v>0</v>
      </c>
      <c r="O351" t="n">
        <v>0</v>
      </c>
      <c r="P351" t="n">
        <v>0</v>
      </c>
      <c r="Q351" t="n">
        <v>0</v>
      </c>
      <c r="R351" s="2" t="inlineStr"/>
    </row>
    <row r="352" ht="15" customHeight="1">
      <c r="A352" t="inlineStr">
        <is>
          <t>A 11303-2025</t>
        </is>
      </c>
      <c r="B352" s="1" t="n">
        <v>45726.44471064815</v>
      </c>
      <c r="C352" s="1" t="n">
        <v>45956</v>
      </c>
      <c r="D352" t="inlineStr">
        <is>
          <t>KALMAR LÄN</t>
        </is>
      </c>
      <c r="E352" t="inlineStr">
        <is>
          <t>VIMMERBY</t>
        </is>
      </c>
      <c r="G352" t="n">
        <v>2.1</v>
      </c>
      <c r="H352" t="n">
        <v>0</v>
      </c>
      <c r="I352" t="n">
        <v>0</v>
      </c>
      <c r="J352" t="n">
        <v>0</v>
      </c>
      <c r="K352" t="n">
        <v>0</v>
      </c>
      <c r="L352" t="n">
        <v>0</v>
      </c>
      <c r="M352" t="n">
        <v>0</v>
      </c>
      <c r="N352" t="n">
        <v>0</v>
      </c>
      <c r="O352" t="n">
        <v>0</v>
      </c>
      <c r="P352" t="n">
        <v>0</v>
      </c>
      <c r="Q352" t="n">
        <v>0</v>
      </c>
      <c r="R352" s="2" t="inlineStr"/>
    </row>
    <row r="353" ht="15" customHeight="1">
      <c r="A353" t="inlineStr">
        <is>
          <t>A 6408-2025</t>
        </is>
      </c>
      <c r="B353" s="1" t="n">
        <v>45699.45671296296</v>
      </c>
      <c r="C353" s="1" t="n">
        <v>45956</v>
      </c>
      <c r="D353" t="inlineStr">
        <is>
          <t>KALMAR LÄN</t>
        </is>
      </c>
      <c r="E353" t="inlineStr">
        <is>
          <t>VIMMERBY</t>
        </is>
      </c>
      <c r="G353" t="n">
        <v>1</v>
      </c>
      <c r="H353" t="n">
        <v>0</v>
      </c>
      <c r="I353" t="n">
        <v>0</v>
      </c>
      <c r="J353" t="n">
        <v>0</v>
      </c>
      <c r="K353" t="n">
        <v>0</v>
      </c>
      <c r="L353" t="n">
        <v>0</v>
      </c>
      <c r="M353" t="n">
        <v>0</v>
      </c>
      <c r="N353" t="n">
        <v>0</v>
      </c>
      <c r="O353" t="n">
        <v>0</v>
      </c>
      <c r="P353" t="n">
        <v>0</v>
      </c>
      <c r="Q353" t="n">
        <v>0</v>
      </c>
      <c r="R353" s="2" t="inlineStr"/>
    </row>
    <row r="354" ht="15" customHeight="1">
      <c r="A354" t="inlineStr">
        <is>
          <t>A 11609-2023</t>
        </is>
      </c>
      <c r="B354" s="1" t="n">
        <v>44994.40635416667</v>
      </c>
      <c r="C354" s="1" t="n">
        <v>45956</v>
      </c>
      <c r="D354" t="inlineStr">
        <is>
          <t>KALMAR LÄN</t>
        </is>
      </c>
      <c r="E354" t="inlineStr">
        <is>
          <t>VIMMERBY</t>
        </is>
      </c>
      <c r="G354" t="n">
        <v>4.9</v>
      </c>
      <c r="H354" t="n">
        <v>0</v>
      </c>
      <c r="I354" t="n">
        <v>0</v>
      </c>
      <c r="J354" t="n">
        <v>0</v>
      </c>
      <c r="K354" t="n">
        <v>0</v>
      </c>
      <c r="L354" t="n">
        <v>0</v>
      </c>
      <c r="M354" t="n">
        <v>0</v>
      </c>
      <c r="N354" t="n">
        <v>0</v>
      </c>
      <c r="O354" t="n">
        <v>0</v>
      </c>
      <c r="P354" t="n">
        <v>0</v>
      </c>
      <c r="Q354" t="n">
        <v>0</v>
      </c>
      <c r="R354" s="2" t="inlineStr"/>
    </row>
    <row r="355" ht="15" customHeight="1">
      <c r="A355" t="inlineStr">
        <is>
          <t>A 33352-2022</t>
        </is>
      </c>
      <c r="B355" s="1" t="n">
        <v>44788</v>
      </c>
      <c r="C355" s="1" t="n">
        <v>45956</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46234-2024</t>
        </is>
      </c>
      <c r="B356" s="1" t="n">
        <v>45581.57958333333</v>
      </c>
      <c r="C356" s="1" t="n">
        <v>45956</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39053-2024</t>
        </is>
      </c>
      <c r="B357" s="1" t="n">
        <v>45548</v>
      </c>
      <c r="C357" s="1" t="n">
        <v>45956</v>
      </c>
      <c r="D357" t="inlineStr">
        <is>
          <t>KALMAR LÄN</t>
        </is>
      </c>
      <c r="E357" t="inlineStr">
        <is>
          <t>VIMMERBY</t>
        </is>
      </c>
      <c r="G357" t="n">
        <v>5</v>
      </c>
      <c r="H357" t="n">
        <v>0</v>
      </c>
      <c r="I357" t="n">
        <v>0</v>
      </c>
      <c r="J357" t="n">
        <v>0</v>
      </c>
      <c r="K357" t="n">
        <v>0</v>
      </c>
      <c r="L357" t="n">
        <v>0</v>
      </c>
      <c r="M357" t="n">
        <v>0</v>
      </c>
      <c r="N357" t="n">
        <v>0</v>
      </c>
      <c r="O357" t="n">
        <v>0</v>
      </c>
      <c r="P357" t="n">
        <v>0</v>
      </c>
      <c r="Q357" t="n">
        <v>0</v>
      </c>
      <c r="R357" s="2" t="inlineStr"/>
    </row>
    <row r="358" ht="15" customHeight="1">
      <c r="A358" t="inlineStr">
        <is>
          <t>A 44464-2024</t>
        </is>
      </c>
      <c r="B358" s="1" t="n">
        <v>45574.35809027778</v>
      </c>
      <c r="C358" s="1" t="n">
        <v>45956</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15449-2023</t>
        </is>
      </c>
      <c r="B359" s="1" t="n">
        <v>45020</v>
      </c>
      <c r="C359" s="1" t="n">
        <v>45956</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43594-2024</t>
        </is>
      </c>
      <c r="B360" s="1" t="n">
        <v>45569.44295138889</v>
      </c>
      <c r="C360" s="1" t="n">
        <v>45956</v>
      </c>
      <c r="D360" t="inlineStr">
        <is>
          <t>KALMAR LÄN</t>
        </is>
      </c>
      <c r="E360" t="inlineStr">
        <is>
          <t>VIMMERBY</t>
        </is>
      </c>
      <c r="G360" t="n">
        <v>3.9</v>
      </c>
      <c r="H360" t="n">
        <v>0</v>
      </c>
      <c r="I360" t="n">
        <v>0</v>
      </c>
      <c r="J360" t="n">
        <v>0</v>
      </c>
      <c r="K360" t="n">
        <v>0</v>
      </c>
      <c r="L360" t="n">
        <v>0</v>
      </c>
      <c r="M360" t="n">
        <v>0</v>
      </c>
      <c r="N360" t="n">
        <v>0</v>
      </c>
      <c r="O360" t="n">
        <v>0</v>
      </c>
      <c r="P360" t="n">
        <v>0</v>
      </c>
      <c r="Q360" t="n">
        <v>0</v>
      </c>
      <c r="R360" s="2" t="inlineStr"/>
    </row>
    <row r="361" ht="15" customHeight="1">
      <c r="A361" t="inlineStr">
        <is>
          <t>A 17486-2024</t>
        </is>
      </c>
      <c r="B361" s="1" t="n">
        <v>45415.48979166667</v>
      </c>
      <c r="C361" s="1" t="n">
        <v>45956</v>
      </c>
      <c r="D361" t="inlineStr">
        <is>
          <t>KALMAR LÄN</t>
        </is>
      </c>
      <c r="E361" t="inlineStr">
        <is>
          <t>VIMMERBY</t>
        </is>
      </c>
      <c r="G361" t="n">
        <v>2.6</v>
      </c>
      <c r="H361" t="n">
        <v>0</v>
      </c>
      <c r="I361" t="n">
        <v>0</v>
      </c>
      <c r="J361" t="n">
        <v>0</v>
      </c>
      <c r="K361" t="n">
        <v>0</v>
      </c>
      <c r="L361" t="n">
        <v>0</v>
      </c>
      <c r="M361" t="n">
        <v>0</v>
      </c>
      <c r="N361" t="n">
        <v>0</v>
      </c>
      <c r="O361" t="n">
        <v>0</v>
      </c>
      <c r="P361" t="n">
        <v>0</v>
      </c>
      <c r="Q361" t="n">
        <v>0</v>
      </c>
      <c r="R361" s="2" t="inlineStr"/>
    </row>
    <row r="362" ht="15" customHeight="1">
      <c r="A362" t="inlineStr">
        <is>
          <t>A 41066-2024</t>
        </is>
      </c>
      <c r="B362" s="1" t="n">
        <v>45559.38876157408</v>
      </c>
      <c r="C362" s="1" t="n">
        <v>45956</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14248-2023</t>
        </is>
      </c>
      <c r="B363" s="1" t="n">
        <v>45009</v>
      </c>
      <c r="C363" s="1" t="n">
        <v>45956</v>
      </c>
      <c r="D363" t="inlineStr">
        <is>
          <t>KALMAR LÄN</t>
        </is>
      </c>
      <c r="E363" t="inlineStr">
        <is>
          <t>VIMMERBY</t>
        </is>
      </c>
      <c r="G363" t="n">
        <v>2.6</v>
      </c>
      <c r="H363" t="n">
        <v>0</v>
      </c>
      <c r="I363" t="n">
        <v>0</v>
      </c>
      <c r="J363" t="n">
        <v>0</v>
      </c>
      <c r="K363" t="n">
        <v>0</v>
      </c>
      <c r="L363" t="n">
        <v>0</v>
      </c>
      <c r="M363" t="n">
        <v>0</v>
      </c>
      <c r="N363" t="n">
        <v>0</v>
      </c>
      <c r="O363" t="n">
        <v>0</v>
      </c>
      <c r="P363" t="n">
        <v>0</v>
      </c>
      <c r="Q363" t="n">
        <v>0</v>
      </c>
      <c r="R363" s="2" t="inlineStr"/>
    </row>
    <row r="364" ht="15" customHeight="1">
      <c r="A364" t="inlineStr">
        <is>
          <t>A 3816-2022</t>
        </is>
      </c>
      <c r="B364" s="1" t="n">
        <v>44587</v>
      </c>
      <c r="C364" s="1" t="n">
        <v>45956</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51278-2024</t>
        </is>
      </c>
      <c r="B365" s="1" t="n">
        <v>45603.74959490741</v>
      </c>
      <c r="C365" s="1" t="n">
        <v>45956</v>
      </c>
      <c r="D365" t="inlineStr">
        <is>
          <t>KALMAR LÄN</t>
        </is>
      </c>
      <c r="E365" t="inlineStr">
        <is>
          <t>VIMMERBY</t>
        </is>
      </c>
      <c r="G365" t="n">
        <v>3.4</v>
      </c>
      <c r="H365" t="n">
        <v>0</v>
      </c>
      <c r="I365" t="n">
        <v>0</v>
      </c>
      <c r="J365" t="n">
        <v>0</v>
      </c>
      <c r="K365" t="n">
        <v>0</v>
      </c>
      <c r="L365" t="n">
        <v>0</v>
      </c>
      <c r="M365" t="n">
        <v>0</v>
      </c>
      <c r="N365" t="n">
        <v>0</v>
      </c>
      <c r="O365" t="n">
        <v>0</v>
      </c>
      <c r="P365" t="n">
        <v>0</v>
      </c>
      <c r="Q365" t="n">
        <v>0</v>
      </c>
      <c r="R365" s="2" t="inlineStr"/>
    </row>
    <row r="366" ht="15" customHeight="1">
      <c r="A366" t="inlineStr">
        <is>
          <t>A 1081-2023</t>
        </is>
      </c>
      <c r="B366" s="1" t="n">
        <v>44935</v>
      </c>
      <c r="C366" s="1" t="n">
        <v>45956</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7047-2022</t>
        </is>
      </c>
      <c r="B367" s="1" t="n">
        <v>44603</v>
      </c>
      <c r="C367" s="1" t="n">
        <v>45956</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12499-2023</t>
        </is>
      </c>
      <c r="B368" s="1" t="n">
        <v>44999.86172453704</v>
      </c>
      <c r="C368" s="1" t="n">
        <v>45956</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12500-2023</t>
        </is>
      </c>
      <c r="B369" s="1" t="n">
        <v>44999.8625</v>
      </c>
      <c r="C369" s="1" t="n">
        <v>45956</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30400-2023</t>
        </is>
      </c>
      <c r="B370" s="1" t="n">
        <v>45111.48225694444</v>
      </c>
      <c r="C370" s="1" t="n">
        <v>45956</v>
      </c>
      <c r="D370" t="inlineStr">
        <is>
          <t>KALMAR LÄN</t>
        </is>
      </c>
      <c r="E370" t="inlineStr">
        <is>
          <t>VIMMERBY</t>
        </is>
      </c>
      <c r="G370" t="n">
        <v>2.7</v>
      </c>
      <c r="H370" t="n">
        <v>0</v>
      </c>
      <c r="I370" t="n">
        <v>0</v>
      </c>
      <c r="J370" t="n">
        <v>0</v>
      </c>
      <c r="K370" t="n">
        <v>0</v>
      </c>
      <c r="L370" t="n">
        <v>0</v>
      </c>
      <c r="M370" t="n">
        <v>0</v>
      </c>
      <c r="N370" t="n">
        <v>0</v>
      </c>
      <c r="O370" t="n">
        <v>0</v>
      </c>
      <c r="P370" t="n">
        <v>0</v>
      </c>
      <c r="Q370" t="n">
        <v>0</v>
      </c>
      <c r="R370" s="2" t="inlineStr"/>
    </row>
    <row r="371" ht="15" customHeight="1">
      <c r="A371" t="inlineStr">
        <is>
          <t>A 30404-2023</t>
        </is>
      </c>
      <c r="B371" s="1" t="n">
        <v>45111.48636574074</v>
      </c>
      <c r="C371" s="1" t="n">
        <v>45956</v>
      </c>
      <c r="D371" t="inlineStr">
        <is>
          <t>KALMAR LÄN</t>
        </is>
      </c>
      <c r="E371" t="inlineStr">
        <is>
          <t>VIMMERBY</t>
        </is>
      </c>
      <c r="G371" t="n">
        <v>0.6</v>
      </c>
      <c r="H371" t="n">
        <v>0</v>
      </c>
      <c r="I371" t="n">
        <v>0</v>
      </c>
      <c r="J371" t="n">
        <v>0</v>
      </c>
      <c r="K371" t="n">
        <v>0</v>
      </c>
      <c r="L371" t="n">
        <v>0</v>
      </c>
      <c r="M371" t="n">
        <v>0</v>
      </c>
      <c r="N371" t="n">
        <v>0</v>
      </c>
      <c r="O371" t="n">
        <v>0</v>
      </c>
      <c r="P371" t="n">
        <v>0</v>
      </c>
      <c r="Q371" t="n">
        <v>0</v>
      </c>
      <c r="R371" s="2" t="inlineStr"/>
    </row>
    <row r="372" ht="15" customHeight="1">
      <c r="A372" t="inlineStr">
        <is>
          <t>A 55123-2024</t>
        </is>
      </c>
      <c r="B372" s="1" t="n">
        <v>45621.46103009259</v>
      </c>
      <c r="C372" s="1" t="n">
        <v>45956</v>
      </c>
      <c r="D372" t="inlineStr">
        <is>
          <t>KALMAR LÄN</t>
        </is>
      </c>
      <c r="E372" t="inlineStr">
        <is>
          <t>VIMMERBY</t>
        </is>
      </c>
      <c r="G372" t="n">
        <v>3.1</v>
      </c>
      <c r="H372" t="n">
        <v>0</v>
      </c>
      <c r="I372" t="n">
        <v>0</v>
      </c>
      <c r="J372" t="n">
        <v>0</v>
      </c>
      <c r="K372" t="n">
        <v>0</v>
      </c>
      <c r="L372" t="n">
        <v>0</v>
      </c>
      <c r="M372" t="n">
        <v>0</v>
      </c>
      <c r="N372" t="n">
        <v>0</v>
      </c>
      <c r="O372" t="n">
        <v>0</v>
      </c>
      <c r="P372" t="n">
        <v>0</v>
      </c>
      <c r="Q372" t="n">
        <v>0</v>
      </c>
      <c r="R372" s="2" t="inlineStr"/>
    </row>
    <row r="373" ht="15" customHeight="1">
      <c r="A373" t="inlineStr">
        <is>
          <t>A 31405-2023</t>
        </is>
      </c>
      <c r="B373" s="1" t="n">
        <v>45114.58148148148</v>
      </c>
      <c r="C373" s="1" t="n">
        <v>45956</v>
      </c>
      <c r="D373" t="inlineStr">
        <is>
          <t>KALMAR LÄN</t>
        </is>
      </c>
      <c r="E373" t="inlineStr">
        <is>
          <t>VIMMERBY</t>
        </is>
      </c>
      <c r="G373" t="n">
        <v>2.6</v>
      </c>
      <c r="H373" t="n">
        <v>0</v>
      </c>
      <c r="I373" t="n">
        <v>0</v>
      </c>
      <c r="J373" t="n">
        <v>0</v>
      </c>
      <c r="K373" t="n">
        <v>0</v>
      </c>
      <c r="L373" t="n">
        <v>0</v>
      </c>
      <c r="M373" t="n">
        <v>0</v>
      </c>
      <c r="N373" t="n">
        <v>0</v>
      </c>
      <c r="O373" t="n">
        <v>0</v>
      </c>
      <c r="P373" t="n">
        <v>0</v>
      </c>
      <c r="Q373" t="n">
        <v>0</v>
      </c>
      <c r="R373" s="2" t="inlineStr"/>
    </row>
    <row r="374" ht="15" customHeight="1">
      <c r="A374" t="inlineStr">
        <is>
          <t>A 6066-2023</t>
        </is>
      </c>
      <c r="B374" s="1" t="n">
        <v>44964.50894675926</v>
      </c>
      <c r="C374" s="1" t="n">
        <v>45956</v>
      </c>
      <c r="D374" t="inlineStr">
        <is>
          <t>KALMAR LÄN</t>
        </is>
      </c>
      <c r="E374" t="inlineStr">
        <is>
          <t>VIMMERBY</t>
        </is>
      </c>
      <c r="G374" t="n">
        <v>2.8</v>
      </c>
      <c r="H374" t="n">
        <v>0</v>
      </c>
      <c r="I374" t="n">
        <v>0</v>
      </c>
      <c r="J374" t="n">
        <v>0</v>
      </c>
      <c r="K374" t="n">
        <v>0</v>
      </c>
      <c r="L374" t="n">
        <v>0</v>
      </c>
      <c r="M374" t="n">
        <v>0</v>
      </c>
      <c r="N374" t="n">
        <v>0</v>
      </c>
      <c r="O374" t="n">
        <v>0</v>
      </c>
      <c r="P374" t="n">
        <v>0</v>
      </c>
      <c r="Q374" t="n">
        <v>0</v>
      </c>
      <c r="R374" s="2" t="inlineStr"/>
    </row>
    <row r="375" ht="15" customHeight="1">
      <c r="A375" t="inlineStr">
        <is>
          <t>A 35082-2024</t>
        </is>
      </c>
      <c r="B375" s="1" t="n">
        <v>45527.68784722222</v>
      </c>
      <c r="C375" s="1" t="n">
        <v>45956</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44582-2024</t>
        </is>
      </c>
      <c r="B376" s="1" t="n">
        <v>45574.49298611111</v>
      </c>
      <c r="C376" s="1" t="n">
        <v>45956</v>
      </c>
      <c r="D376" t="inlineStr">
        <is>
          <t>KALMAR LÄN</t>
        </is>
      </c>
      <c r="E376" t="inlineStr">
        <is>
          <t>VIMMERBY</t>
        </is>
      </c>
      <c r="G376" t="n">
        <v>1.1</v>
      </c>
      <c r="H376" t="n">
        <v>0</v>
      </c>
      <c r="I376" t="n">
        <v>0</v>
      </c>
      <c r="J376" t="n">
        <v>0</v>
      </c>
      <c r="K376" t="n">
        <v>0</v>
      </c>
      <c r="L376" t="n">
        <v>0</v>
      </c>
      <c r="M376" t="n">
        <v>0</v>
      </c>
      <c r="N376" t="n">
        <v>0</v>
      </c>
      <c r="O376" t="n">
        <v>0</v>
      </c>
      <c r="P376" t="n">
        <v>0</v>
      </c>
      <c r="Q376" t="n">
        <v>0</v>
      </c>
      <c r="R376" s="2" t="inlineStr"/>
    </row>
    <row r="377" ht="15" customHeight="1">
      <c r="A377" t="inlineStr">
        <is>
          <t>A 9456-2025</t>
        </is>
      </c>
      <c r="B377" s="1" t="n">
        <v>45715.44159722222</v>
      </c>
      <c r="C377" s="1" t="n">
        <v>45956</v>
      </c>
      <c r="D377" t="inlineStr">
        <is>
          <t>KALMAR LÄN</t>
        </is>
      </c>
      <c r="E377" t="inlineStr">
        <is>
          <t>VIMMERBY</t>
        </is>
      </c>
      <c r="G377" t="n">
        <v>1.5</v>
      </c>
      <c r="H377" t="n">
        <v>0</v>
      </c>
      <c r="I377" t="n">
        <v>0</v>
      </c>
      <c r="J377" t="n">
        <v>0</v>
      </c>
      <c r="K377" t="n">
        <v>0</v>
      </c>
      <c r="L377" t="n">
        <v>0</v>
      </c>
      <c r="M377" t="n">
        <v>0</v>
      </c>
      <c r="N377" t="n">
        <v>0</v>
      </c>
      <c r="O377" t="n">
        <v>0</v>
      </c>
      <c r="P377" t="n">
        <v>0</v>
      </c>
      <c r="Q377" t="n">
        <v>0</v>
      </c>
      <c r="R377" s="2" t="inlineStr"/>
    </row>
    <row r="378" ht="15" customHeight="1">
      <c r="A378" t="inlineStr">
        <is>
          <t>A 24707-2024</t>
        </is>
      </c>
      <c r="B378" s="1" t="n">
        <v>45460.62172453704</v>
      </c>
      <c r="C378" s="1" t="n">
        <v>45956</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11111-2023</t>
        </is>
      </c>
      <c r="B379" s="1" t="n">
        <v>44992.4255787037</v>
      </c>
      <c r="C379" s="1" t="n">
        <v>45956</v>
      </c>
      <c r="D379" t="inlineStr">
        <is>
          <t>KALMAR LÄN</t>
        </is>
      </c>
      <c r="E379" t="inlineStr">
        <is>
          <t>VIMMERBY</t>
        </is>
      </c>
      <c r="G379" t="n">
        <v>0.8</v>
      </c>
      <c r="H379" t="n">
        <v>0</v>
      </c>
      <c r="I379" t="n">
        <v>0</v>
      </c>
      <c r="J379" t="n">
        <v>0</v>
      </c>
      <c r="K379" t="n">
        <v>0</v>
      </c>
      <c r="L379" t="n">
        <v>0</v>
      </c>
      <c r="M379" t="n">
        <v>0</v>
      </c>
      <c r="N379" t="n">
        <v>0</v>
      </c>
      <c r="O379" t="n">
        <v>0</v>
      </c>
      <c r="P379" t="n">
        <v>0</v>
      </c>
      <c r="Q379" t="n">
        <v>0</v>
      </c>
      <c r="R379" s="2" t="inlineStr"/>
    </row>
    <row r="380" ht="15" customHeight="1">
      <c r="A380" t="inlineStr">
        <is>
          <t>A 33103-2024</t>
        </is>
      </c>
      <c r="B380" s="1" t="n">
        <v>45517.8162037037</v>
      </c>
      <c r="C380" s="1" t="n">
        <v>45956</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33161-2024</t>
        </is>
      </c>
      <c r="B381" s="1" t="n">
        <v>45518.40657407408</v>
      </c>
      <c r="C381" s="1" t="n">
        <v>45956</v>
      </c>
      <c r="D381" t="inlineStr">
        <is>
          <t>KALMAR LÄN</t>
        </is>
      </c>
      <c r="E381" t="inlineStr">
        <is>
          <t>VIMMERBY</t>
        </is>
      </c>
      <c r="G381" t="n">
        <v>4.7</v>
      </c>
      <c r="H381" t="n">
        <v>0</v>
      </c>
      <c r="I381" t="n">
        <v>0</v>
      </c>
      <c r="J381" t="n">
        <v>0</v>
      </c>
      <c r="K381" t="n">
        <v>0</v>
      </c>
      <c r="L381" t="n">
        <v>0</v>
      </c>
      <c r="M381" t="n">
        <v>0</v>
      </c>
      <c r="N381" t="n">
        <v>0</v>
      </c>
      <c r="O381" t="n">
        <v>0</v>
      </c>
      <c r="P381" t="n">
        <v>0</v>
      </c>
      <c r="Q381" t="n">
        <v>0</v>
      </c>
      <c r="R381" s="2" t="inlineStr"/>
    </row>
    <row r="382" ht="15" customHeight="1">
      <c r="A382" t="inlineStr">
        <is>
          <t>A 12510-2022</t>
        </is>
      </c>
      <c r="B382" s="1" t="n">
        <v>44638.55256944444</v>
      </c>
      <c r="C382" s="1" t="n">
        <v>45956</v>
      </c>
      <c r="D382" t="inlineStr">
        <is>
          <t>KALMAR LÄN</t>
        </is>
      </c>
      <c r="E382" t="inlineStr">
        <is>
          <t>VIMMERBY</t>
        </is>
      </c>
      <c r="G382" t="n">
        <v>2.4</v>
      </c>
      <c r="H382" t="n">
        <v>0</v>
      </c>
      <c r="I382" t="n">
        <v>0</v>
      </c>
      <c r="J382" t="n">
        <v>0</v>
      </c>
      <c r="K382" t="n">
        <v>0</v>
      </c>
      <c r="L382" t="n">
        <v>0</v>
      </c>
      <c r="M382" t="n">
        <v>0</v>
      </c>
      <c r="N382" t="n">
        <v>0</v>
      </c>
      <c r="O382" t="n">
        <v>0</v>
      </c>
      <c r="P382" t="n">
        <v>0</v>
      </c>
      <c r="Q382" t="n">
        <v>0</v>
      </c>
      <c r="R382" s="2" t="inlineStr"/>
    </row>
    <row r="383" ht="15" customHeight="1">
      <c r="A383" t="inlineStr">
        <is>
          <t>A 36049-2024</t>
        </is>
      </c>
      <c r="B383" s="1" t="n">
        <v>45533.61996527778</v>
      </c>
      <c r="C383" s="1" t="n">
        <v>45956</v>
      </c>
      <c r="D383" t="inlineStr">
        <is>
          <t>KALMAR LÄN</t>
        </is>
      </c>
      <c r="E383" t="inlineStr">
        <is>
          <t>VIMMERBY</t>
        </is>
      </c>
      <c r="F383" t="inlineStr">
        <is>
          <t>Kommuner</t>
        </is>
      </c>
      <c r="G383" t="n">
        <v>2.6</v>
      </c>
      <c r="H383" t="n">
        <v>0</v>
      </c>
      <c r="I383" t="n">
        <v>0</v>
      </c>
      <c r="J383" t="n">
        <v>0</v>
      </c>
      <c r="K383" t="n">
        <v>0</v>
      </c>
      <c r="L383" t="n">
        <v>0</v>
      </c>
      <c r="M383" t="n">
        <v>0</v>
      </c>
      <c r="N383" t="n">
        <v>0</v>
      </c>
      <c r="O383" t="n">
        <v>0</v>
      </c>
      <c r="P383" t="n">
        <v>0</v>
      </c>
      <c r="Q383" t="n">
        <v>0</v>
      </c>
      <c r="R383" s="2" t="inlineStr"/>
    </row>
    <row r="384" ht="15" customHeight="1">
      <c r="A384" t="inlineStr">
        <is>
          <t>A 58724-2024</t>
        </is>
      </c>
      <c r="B384" s="1" t="n">
        <v>45635.66409722222</v>
      </c>
      <c r="C384" s="1" t="n">
        <v>45956</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15494-2024</t>
        </is>
      </c>
      <c r="B385" s="1" t="n">
        <v>45401.53033564815</v>
      </c>
      <c r="C385" s="1" t="n">
        <v>45956</v>
      </c>
      <c r="D385" t="inlineStr">
        <is>
          <t>KALMAR LÄN</t>
        </is>
      </c>
      <c r="E385" t="inlineStr">
        <is>
          <t>VIMMERBY</t>
        </is>
      </c>
      <c r="G385" t="n">
        <v>3.2</v>
      </c>
      <c r="H385" t="n">
        <v>0</v>
      </c>
      <c r="I385" t="n">
        <v>0</v>
      </c>
      <c r="J385" t="n">
        <v>0</v>
      </c>
      <c r="K385" t="n">
        <v>0</v>
      </c>
      <c r="L385" t="n">
        <v>0</v>
      </c>
      <c r="M385" t="n">
        <v>0</v>
      </c>
      <c r="N385" t="n">
        <v>0</v>
      </c>
      <c r="O385" t="n">
        <v>0</v>
      </c>
      <c r="P385" t="n">
        <v>0</v>
      </c>
      <c r="Q385" t="n">
        <v>0</v>
      </c>
      <c r="R385" s="2" t="inlineStr"/>
    </row>
    <row r="386" ht="15" customHeight="1">
      <c r="A386" t="inlineStr">
        <is>
          <t>A 45854-2025</t>
        </is>
      </c>
      <c r="B386" s="1" t="n">
        <v>45923</v>
      </c>
      <c r="C386" s="1" t="n">
        <v>45956</v>
      </c>
      <c r="D386" t="inlineStr">
        <is>
          <t>KALMAR LÄN</t>
        </is>
      </c>
      <c r="E386" t="inlineStr">
        <is>
          <t>VIMMERBY</t>
        </is>
      </c>
      <c r="G386" t="n">
        <v>2.2</v>
      </c>
      <c r="H386" t="n">
        <v>0</v>
      </c>
      <c r="I386" t="n">
        <v>0</v>
      </c>
      <c r="J386" t="n">
        <v>0</v>
      </c>
      <c r="K386" t="n">
        <v>0</v>
      </c>
      <c r="L386" t="n">
        <v>0</v>
      </c>
      <c r="M386" t="n">
        <v>0</v>
      </c>
      <c r="N386" t="n">
        <v>0</v>
      </c>
      <c r="O386" t="n">
        <v>0</v>
      </c>
      <c r="P386" t="n">
        <v>0</v>
      </c>
      <c r="Q386" t="n">
        <v>0</v>
      </c>
      <c r="R386" s="2" t="inlineStr"/>
    </row>
    <row r="387" ht="15" customHeight="1">
      <c r="A387" t="inlineStr">
        <is>
          <t>A 1146-2025</t>
        </is>
      </c>
      <c r="B387" s="1" t="n">
        <v>45666</v>
      </c>
      <c r="C387" s="1" t="n">
        <v>45956</v>
      </c>
      <c r="D387" t="inlineStr">
        <is>
          <t>KALMAR LÄN</t>
        </is>
      </c>
      <c r="E387" t="inlineStr">
        <is>
          <t>VIMMERBY</t>
        </is>
      </c>
      <c r="G387" t="n">
        <v>4</v>
      </c>
      <c r="H387" t="n">
        <v>0</v>
      </c>
      <c r="I387" t="n">
        <v>0</v>
      </c>
      <c r="J387" t="n">
        <v>0</v>
      </c>
      <c r="K387" t="n">
        <v>0</v>
      </c>
      <c r="L387" t="n">
        <v>0</v>
      </c>
      <c r="M387" t="n">
        <v>0</v>
      </c>
      <c r="N387" t="n">
        <v>0</v>
      </c>
      <c r="O387" t="n">
        <v>0</v>
      </c>
      <c r="P387" t="n">
        <v>0</v>
      </c>
      <c r="Q387" t="n">
        <v>0</v>
      </c>
      <c r="R387" s="2" t="inlineStr"/>
    </row>
    <row r="388" ht="15" customHeight="1">
      <c r="A388" t="inlineStr">
        <is>
          <t>A 26039-2025</t>
        </is>
      </c>
      <c r="B388" s="1" t="n">
        <v>45804.6953587963</v>
      </c>
      <c r="C388" s="1" t="n">
        <v>45956</v>
      </c>
      <c r="D388" t="inlineStr">
        <is>
          <t>KALMAR LÄN</t>
        </is>
      </c>
      <c r="E388" t="inlineStr">
        <is>
          <t>VIMMERBY</t>
        </is>
      </c>
      <c r="F388" t="inlineStr">
        <is>
          <t>Sveaskog</t>
        </is>
      </c>
      <c r="G388" t="n">
        <v>5.2</v>
      </c>
      <c r="H388" t="n">
        <v>0</v>
      </c>
      <c r="I388" t="n">
        <v>0</v>
      </c>
      <c r="J388" t="n">
        <v>0</v>
      </c>
      <c r="K388" t="n">
        <v>0</v>
      </c>
      <c r="L388" t="n">
        <v>0</v>
      </c>
      <c r="M388" t="n">
        <v>0</v>
      </c>
      <c r="N388" t="n">
        <v>0</v>
      </c>
      <c r="O388" t="n">
        <v>0</v>
      </c>
      <c r="P388" t="n">
        <v>0</v>
      </c>
      <c r="Q388" t="n">
        <v>0</v>
      </c>
      <c r="R388" s="2" t="inlineStr"/>
    </row>
    <row r="389" ht="15" customHeight="1">
      <c r="A389" t="inlineStr">
        <is>
          <t>A 26046-2025</t>
        </is>
      </c>
      <c r="B389" s="1" t="n">
        <v>45804.708125</v>
      </c>
      <c r="C389" s="1" t="n">
        <v>45956</v>
      </c>
      <c r="D389" t="inlineStr">
        <is>
          <t>KALMAR LÄN</t>
        </is>
      </c>
      <c r="E389" t="inlineStr">
        <is>
          <t>VIMMERBY</t>
        </is>
      </c>
      <c r="F389" t="inlineStr">
        <is>
          <t>Sveaskog</t>
        </is>
      </c>
      <c r="G389" t="n">
        <v>5.1</v>
      </c>
      <c r="H389" t="n">
        <v>0</v>
      </c>
      <c r="I389" t="n">
        <v>0</v>
      </c>
      <c r="J389" t="n">
        <v>0</v>
      </c>
      <c r="K389" t="n">
        <v>0</v>
      </c>
      <c r="L389" t="n">
        <v>0</v>
      </c>
      <c r="M389" t="n">
        <v>0</v>
      </c>
      <c r="N389" t="n">
        <v>0</v>
      </c>
      <c r="O389" t="n">
        <v>0</v>
      </c>
      <c r="P389" t="n">
        <v>0</v>
      </c>
      <c r="Q389" t="n">
        <v>0</v>
      </c>
      <c r="R389" s="2" t="inlineStr"/>
    </row>
    <row r="390" ht="15" customHeight="1">
      <c r="A390" t="inlineStr">
        <is>
          <t>A 25792-2025</t>
        </is>
      </c>
      <c r="B390" s="1" t="n">
        <v>45804.39141203704</v>
      </c>
      <c r="C390" s="1" t="n">
        <v>45956</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58159-2024</t>
        </is>
      </c>
      <c r="B391" s="1" t="n">
        <v>45632.44886574074</v>
      </c>
      <c r="C391" s="1" t="n">
        <v>45956</v>
      </c>
      <c r="D391" t="inlineStr">
        <is>
          <t>KALMAR LÄN</t>
        </is>
      </c>
      <c r="E391" t="inlineStr">
        <is>
          <t>VIMMERBY</t>
        </is>
      </c>
      <c r="G391" t="n">
        <v>7.5</v>
      </c>
      <c r="H391" t="n">
        <v>0</v>
      </c>
      <c r="I391" t="n">
        <v>0</v>
      </c>
      <c r="J391" t="n">
        <v>0</v>
      </c>
      <c r="K391" t="n">
        <v>0</v>
      </c>
      <c r="L391" t="n">
        <v>0</v>
      </c>
      <c r="M391" t="n">
        <v>0</v>
      </c>
      <c r="N391" t="n">
        <v>0</v>
      </c>
      <c r="O391" t="n">
        <v>0</v>
      </c>
      <c r="P391" t="n">
        <v>0</v>
      </c>
      <c r="Q391" t="n">
        <v>0</v>
      </c>
      <c r="R391" s="2" t="inlineStr"/>
    </row>
    <row r="392" ht="15" customHeight="1">
      <c r="A392" t="inlineStr">
        <is>
          <t>A 14359-2025</t>
        </is>
      </c>
      <c r="B392" s="1" t="n">
        <v>45741.37270833334</v>
      </c>
      <c r="C392" s="1" t="n">
        <v>45956</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25830-2025</t>
        </is>
      </c>
      <c r="B393" s="1" t="n">
        <v>45804.44519675926</v>
      </c>
      <c r="C393" s="1" t="n">
        <v>45956</v>
      </c>
      <c r="D393" t="inlineStr">
        <is>
          <t>KALMAR LÄN</t>
        </is>
      </c>
      <c r="E393" t="inlineStr">
        <is>
          <t>VIMMERBY</t>
        </is>
      </c>
      <c r="G393" t="n">
        <v>4.9</v>
      </c>
      <c r="H393" t="n">
        <v>0</v>
      </c>
      <c r="I393" t="n">
        <v>0</v>
      </c>
      <c r="J393" t="n">
        <v>0</v>
      </c>
      <c r="K393" t="n">
        <v>0</v>
      </c>
      <c r="L393" t="n">
        <v>0</v>
      </c>
      <c r="M393" t="n">
        <v>0</v>
      </c>
      <c r="N393" t="n">
        <v>0</v>
      </c>
      <c r="O393" t="n">
        <v>0</v>
      </c>
      <c r="P393" t="n">
        <v>0</v>
      </c>
      <c r="Q393" t="n">
        <v>0</v>
      </c>
      <c r="R393" s="2" t="inlineStr"/>
    </row>
    <row r="394" ht="15" customHeight="1">
      <c r="A394" t="inlineStr">
        <is>
          <t>A 12890-2023</t>
        </is>
      </c>
      <c r="B394" s="1" t="n">
        <v>45001.59209490741</v>
      </c>
      <c r="C394" s="1" t="n">
        <v>45956</v>
      </c>
      <c r="D394" t="inlineStr">
        <is>
          <t>KALMAR LÄN</t>
        </is>
      </c>
      <c r="E394" t="inlineStr">
        <is>
          <t>VIMMERBY</t>
        </is>
      </c>
      <c r="G394" t="n">
        <v>2.8</v>
      </c>
      <c r="H394" t="n">
        <v>0</v>
      </c>
      <c r="I394" t="n">
        <v>0</v>
      </c>
      <c r="J394" t="n">
        <v>0</v>
      </c>
      <c r="K394" t="n">
        <v>0</v>
      </c>
      <c r="L394" t="n">
        <v>0</v>
      </c>
      <c r="M394" t="n">
        <v>0</v>
      </c>
      <c r="N394" t="n">
        <v>0</v>
      </c>
      <c r="O394" t="n">
        <v>0</v>
      </c>
      <c r="P394" t="n">
        <v>0</v>
      </c>
      <c r="Q394" t="n">
        <v>0</v>
      </c>
      <c r="R394" s="2" t="inlineStr"/>
    </row>
    <row r="395" ht="15" customHeight="1">
      <c r="A395" t="inlineStr">
        <is>
          <t>A 3902-2022</t>
        </is>
      </c>
      <c r="B395" s="1" t="n">
        <v>44587.48847222222</v>
      </c>
      <c r="C395" s="1" t="n">
        <v>45956</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39578-2024</t>
        </is>
      </c>
      <c r="B396" s="1" t="n">
        <v>45552.36484953704</v>
      </c>
      <c r="C396" s="1" t="n">
        <v>45956</v>
      </c>
      <c r="D396" t="inlineStr">
        <is>
          <t>KALMAR LÄN</t>
        </is>
      </c>
      <c r="E396" t="inlineStr">
        <is>
          <t>VIMMERBY</t>
        </is>
      </c>
      <c r="G396" t="n">
        <v>1.5</v>
      </c>
      <c r="H396" t="n">
        <v>0</v>
      </c>
      <c r="I396" t="n">
        <v>0</v>
      </c>
      <c r="J396" t="n">
        <v>0</v>
      </c>
      <c r="K396" t="n">
        <v>0</v>
      </c>
      <c r="L396" t="n">
        <v>0</v>
      </c>
      <c r="M396" t="n">
        <v>0</v>
      </c>
      <c r="N396" t="n">
        <v>0</v>
      </c>
      <c r="O396" t="n">
        <v>0</v>
      </c>
      <c r="P396" t="n">
        <v>0</v>
      </c>
      <c r="Q396" t="n">
        <v>0</v>
      </c>
      <c r="R396" s="2" t="inlineStr"/>
    </row>
    <row r="397" ht="15" customHeight="1">
      <c r="A397" t="inlineStr">
        <is>
          <t>A 89-2023</t>
        </is>
      </c>
      <c r="B397" s="1" t="n">
        <v>44918</v>
      </c>
      <c r="C397" s="1" t="n">
        <v>45956</v>
      </c>
      <c r="D397" t="inlineStr">
        <is>
          <t>KALMAR LÄN</t>
        </is>
      </c>
      <c r="E397" t="inlineStr">
        <is>
          <t>VIMMERBY</t>
        </is>
      </c>
      <c r="G397" t="n">
        <v>16.1</v>
      </c>
      <c r="H397" t="n">
        <v>0</v>
      </c>
      <c r="I397" t="n">
        <v>0</v>
      </c>
      <c r="J397" t="n">
        <v>0</v>
      </c>
      <c r="K397" t="n">
        <v>0</v>
      </c>
      <c r="L397" t="n">
        <v>0</v>
      </c>
      <c r="M397" t="n">
        <v>0</v>
      </c>
      <c r="N397" t="n">
        <v>0</v>
      </c>
      <c r="O397" t="n">
        <v>0</v>
      </c>
      <c r="P397" t="n">
        <v>0</v>
      </c>
      <c r="Q397" t="n">
        <v>0</v>
      </c>
      <c r="R397" s="2" t="inlineStr"/>
    </row>
    <row r="398" ht="15" customHeight="1">
      <c r="A398" t="inlineStr">
        <is>
          <t>A 5382-2023</t>
        </is>
      </c>
      <c r="B398" s="1" t="n">
        <v>44959.66407407408</v>
      </c>
      <c r="C398" s="1" t="n">
        <v>45956</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6668-2023</t>
        </is>
      </c>
      <c r="B399" s="1" t="n">
        <v>44966</v>
      </c>
      <c r="C399" s="1" t="n">
        <v>45956</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172-2022</t>
        </is>
      </c>
      <c r="B400" s="1" t="n">
        <v>44564.62598379629</v>
      </c>
      <c r="C400" s="1" t="n">
        <v>45956</v>
      </c>
      <c r="D400" t="inlineStr">
        <is>
          <t>KALMAR LÄN</t>
        </is>
      </c>
      <c r="E400" t="inlineStr">
        <is>
          <t>VIMMERBY</t>
        </is>
      </c>
      <c r="G400" t="n">
        <v>2.1</v>
      </c>
      <c r="H400" t="n">
        <v>0</v>
      </c>
      <c r="I400" t="n">
        <v>0</v>
      </c>
      <c r="J400" t="n">
        <v>0</v>
      </c>
      <c r="K400" t="n">
        <v>0</v>
      </c>
      <c r="L400" t="n">
        <v>0</v>
      </c>
      <c r="M400" t="n">
        <v>0</v>
      </c>
      <c r="N400" t="n">
        <v>0</v>
      </c>
      <c r="O400" t="n">
        <v>0</v>
      </c>
      <c r="P400" t="n">
        <v>0</v>
      </c>
      <c r="Q400" t="n">
        <v>0</v>
      </c>
      <c r="R400" s="2" t="inlineStr"/>
    </row>
    <row r="401" ht="15" customHeight="1">
      <c r="A401" t="inlineStr">
        <is>
          <t>A 30634-2024</t>
        </is>
      </c>
      <c r="B401" s="1" t="n">
        <v>45495</v>
      </c>
      <c r="C401" s="1" t="n">
        <v>45956</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6355-2022</t>
        </is>
      </c>
      <c r="B402" s="1" t="n">
        <v>44600</v>
      </c>
      <c r="C402" s="1" t="n">
        <v>45956</v>
      </c>
      <c r="D402" t="inlineStr">
        <is>
          <t>KALMAR LÄN</t>
        </is>
      </c>
      <c r="E402" t="inlineStr">
        <is>
          <t>VIMMERBY</t>
        </is>
      </c>
      <c r="G402" t="n">
        <v>4.9</v>
      </c>
      <c r="H402" t="n">
        <v>0</v>
      </c>
      <c r="I402" t="n">
        <v>0</v>
      </c>
      <c r="J402" t="n">
        <v>0</v>
      </c>
      <c r="K402" t="n">
        <v>0</v>
      </c>
      <c r="L402" t="n">
        <v>0</v>
      </c>
      <c r="M402" t="n">
        <v>0</v>
      </c>
      <c r="N402" t="n">
        <v>0</v>
      </c>
      <c r="O402" t="n">
        <v>0</v>
      </c>
      <c r="P402" t="n">
        <v>0</v>
      </c>
      <c r="Q402" t="n">
        <v>0</v>
      </c>
      <c r="R402" s="2" t="inlineStr"/>
    </row>
    <row r="403" ht="15" customHeight="1">
      <c r="A403" t="inlineStr">
        <is>
          <t>A 26124-2025</t>
        </is>
      </c>
      <c r="B403" s="1" t="n">
        <v>45805.39247685186</v>
      </c>
      <c r="C403" s="1" t="n">
        <v>45956</v>
      </c>
      <c r="D403" t="inlineStr">
        <is>
          <t>KALMAR LÄN</t>
        </is>
      </c>
      <c r="E403" t="inlineStr">
        <is>
          <t>VIMMERBY</t>
        </is>
      </c>
      <c r="G403" t="n">
        <v>6.6</v>
      </c>
      <c r="H403" t="n">
        <v>0</v>
      </c>
      <c r="I403" t="n">
        <v>0</v>
      </c>
      <c r="J403" t="n">
        <v>0</v>
      </c>
      <c r="K403" t="n">
        <v>0</v>
      </c>
      <c r="L403" t="n">
        <v>0</v>
      </c>
      <c r="M403" t="n">
        <v>0</v>
      </c>
      <c r="N403" t="n">
        <v>0</v>
      </c>
      <c r="O403" t="n">
        <v>0</v>
      </c>
      <c r="P403" t="n">
        <v>0</v>
      </c>
      <c r="Q403" t="n">
        <v>0</v>
      </c>
      <c r="R403" s="2" t="inlineStr"/>
    </row>
    <row r="404" ht="15" customHeight="1">
      <c r="A404" t="inlineStr">
        <is>
          <t>A 62779-2023</t>
        </is>
      </c>
      <c r="B404" s="1" t="n">
        <v>45271.66576388889</v>
      </c>
      <c r="C404" s="1" t="n">
        <v>45956</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26254-2025</t>
        </is>
      </c>
      <c r="B405" s="1" t="n">
        <v>45805</v>
      </c>
      <c r="C405" s="1" t="n">
        <v>45956</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47227-2025</t>
        </is>
      </c>
      <c r="B406" s="1" t="n">
        <v>45930.39769675926</v>
      </c>
      <c r="C406" s="1" t="n">
        <v>45956</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26207-2025</t>
        </is>
      </c>
      <c r="B407" s="1" t="n">
        <v>45805.52983796296</v>
      </c>
      <c r="C407" s="1" t="n">
        <v>45956</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16020-2023</t>
        </is>
      </c>
      <c r="B408" s="1" t="n">
        <v>45026.82216435186</v>
      </c>
      <c r="C408" s="1" t="n">
        <v>45956</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46399-2024</t>
        </is>
      </c>
      <c r="B409" s="1" t="n">
        <v>45582.41200231481</v>
      </c>
      <c r="C409" s="1" t="n">
        <v>45956</v>
      </c>
      <c r="D409" t="inlineStr">
        <is>
          <t>KALMAR LÄN</t>
        </is>
      </c>
      <c r="E409" t="inlineStr">
        <is>
          <t>VIMMERBY</t>
        </is>
      </c>
      <c r="G409" t="n">
        <v>4.6</v>
      </c>
      <c r="H409" t="n">
        <v>0</v>
      </c>
      <c r="I409" t="n">
        <v>0</v>
      </c>
      <c r="J409" t="n">
        <v>0</v>
      </c>
      <c r="K409" t="n">
        <v>0</v>
      </c>
      <c r="L409" t="n">
        <v>0</v>
      </c>
      <c r="M409" t="n">
        <v>0</v>
      </c>
      <c r="N409" t="n">
        <v>0</v>
      </c>
      <c r="O409" t="n">
        <v>0</v>
      </c>
      <c r="P409" t="n">
        <v>0</v>
      </c>
      <c r="Q409" t="n">
        <v>0</v>
      </c>
      <c r="R409" s="2" t="inlineStr"/>
    </row>
    <row r="410" ht="15" customHeight="1">
      <c r="A410" t="inlineStr">
        <is>
          <t>A 60292-2022</t>
        </is>
      </c>
      <c r="B410" s="1" t="n">
        <v>44910.54231481482</v>
      </c>
      <c r="C410" s="1" t="n">
        <v>45956</v>
      </c>
      <c r="D410" t="inlineStr">
        <is>
          <t>KALMAR LÄN</t>
        </is>
      </c>
      <c r="E410" t="inlineStr">
        <is>
          <t>VIMMERBY</t>
        </is>
      </c>
      <c r="G410" t="n">
        <v>4.4</v>
      </c>
      <c r="H410" t="n">
        <v>0</v>
      </c>
      <c r="I410" t="n">
        <v>0</v>
      </c>
      <c r="J410" t="n">
        <v>0</v>
      </c>
      <c r="K410" t="n">
        <v>0</v>
      </c>
      <c r="L410" t="n">
        <v>0</v>
      </c>
      <c r="M410" t="n">
        <v>0</v>
      </c>
      <c r="N410" t="n">
        <v>0</v>
      </c>
      <c r="O410" t="n">
        <v>0</v>
      </c>
      <c r="P410" t="n">
        <v>0</v>
      </c>
      <c r="Q410" t="n">
        <v>0</v>
      </c>
      <c r="R410" s="2" t="inlineStr"/>
    </row>
    <row r="411" ht="15" customHeight="1">
      <c r="A411" t="inlineStr">
        <is>
          <t>A 3425-2022</t>
        </is>
      </c>
      <c r="B411" s="1" t="n">
        <v>44585.51060185185</v>
      </c>
      <c r="C411" s="1" t="n">
        <v>45956</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43034-2024</t>
        </is>
      </c>
      <c r="B412" s="1" t="n">
        <v>45567.42011574074</v>
      </c>
      <c r="C412" s="1" t="n">
        <v>45956</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43962-2024</t>
        </is>
      </c>
      <c r="B413" s="1" t="n">
        <v>45572.48293981481</v>
      </c>
      <c r="C413" s="1" t="n">
        <v>45956</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40256-2024</t>
        </is>
      </c>
      <c r="B414" s="1" t="n">
        <v>45554.62944444444</v>
      </c>
      <c r="C414" s="1" t="n">
        <v>45956</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29726-2025</t>
        </is>
      </c>
      <c r="B415" s="1" t="n">
        <v>45825.57805555555</v>
      </c>
      <c r="C415" s="1" t="n">
        <v>45956</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12810-2023</t>
        </is>
      </c>
      <c r="B416" s="1" t="n">
        <v>45001.43854166667</v>
      </c>
      <c r="C416" s="1" t="n">
        <v>45956</v>
      </c>
      <c r="D416" t="inlineStr">
        <is>
          <t>KALMAR LÄN</t>
        </is>
      </c>
      <c r="E416" t="inlineStr">
        <is>
          <t>VIMMERBY</t>
        </is>
      </c>
      <c r="G416" t="n">
        <v>1.5</v>
      </c>
      <c r="H416" t="n">
        <v>0</v>
      </c>
      <c r="I416" t="n">
        <v>0</v>
      </c>
      <c r="J416" t="n">
        <v>0</v>
      </c>
      <c r="K416" t="n">
        <v>0</v>
      </c>
      <c r="L416" t="n">
        <v>0</v>
      </c>
      <c r="M416" t="n">
        <v>0</v>
      </c>
      <c r="N416" t="n">
        <v>0</v>
      </c>
      <c r="O416" t="n">
        <v>0</v>
      </c>
      <c r="P416" t="n">
        <v>0</v>
      </c>
      <c r="Q416" t="n">
        <v>0</v>
      </c>
      <c r="R416" s="2" t="inlineStr"/>
    </row>
    <row r="417" ht="15" customHeight="1">
      <c r="A417" t="inlineStr">
        <is>
          <t>A 43068-2023</t>
        </is>
      </c>
      <c r="B417" s="1" t="n">
        <v>45182.78834490741</v>
      </c>
      <c r="C417" s="1" t="n">
        <v>45956</v>
      </c>
      <c r="D417" t="inlineStr">
        <is>
          <t>KALMAR LÄN</t>
        </is>
      </c>
      <c r="E417" t="inlineStr">
        <is>
          <t>VIMMERBY</t>
        </is>
      </c>
      <c r="G417" t="n">
        <v>1.5</v>
      </c>
      <c r="H417" t="n">
        <v>0</v>
      </c>
      <c r="I417" t="n">
        <v>0</v>
      </c>
      <c r="J417" t="n">
        <v>0</v>
      </c>
      <c r="K417" t="n">
        <v>0</v>
      </c>
      <c r="L417" t="n">
        <v>0</v>
      </c>
      <c r="M417" t="n">
        <v>0</v>
      </c>
      <c r="N417" t="n">
        <v>0</v>
      </c>
      <c r="O417" t="n">
        <v>0</v>
      </c>
      <c r="P417" t="n">
        <v>0</v>
      </c>
      <c r="Q417" t="n">
        <v>0</v>
      </c>
      <c r="R417" s="2" t="inlineStr"/>
    </row>
    <row r="418" ht="15" customHeight="1">
      <c r="A418" t="inlineStr">
        <is>
          <t>A 46887-2025</t>
        </is>
      </c>
      <c r="B418" s="1" t="n">
        <v>45929.3672337963</v>
      </c>
      <c r="C418" s="1" t="n">
        <v>45956</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38964-2025</t>
        </is>
      </c>
      <c r="B419" s="1" t="n">
        <v>45887.68759259259</v>
      </c>
      <c r="C419" s="1" t="n">
        <v>45956</v>
      </c>
      <c r="D419" t="inlineStr">
        <is>
          <t>KALMAR LÄN</t>
        </is>
      </c>
      <c r="E419" t="inlineStr">
        <is>
          <t>VIMMERBY</t>
        </is>
      </c>
      <c r="G419" t="n">
        <v>7.5</v>
      </c>
      <c r="H419" t="n">
        <v>0</v>
      </c>
      <c r="I419" t="n">
        <v>0</v>
      </c>
      <c r="J419" t="n">
        <v>0</v>
      </c>
      <c r="K419" t="n">
        <v>0</v>
      </c>
      <c r="L419" t="n">
        <v>0</v>
      </c>
      <c r="M419" t="n">
        <v>0</v>
      </c>
      <c r="N419" t="n">
        <v>0</v>
      </c>
      <c r="O419" t="n">
        <v>0</v>
      </c>
      <c r="P419" t="n">
        <v>0</v>
      </c>
      <c r="Q419" t="n">
        <v>0</v>
      </c>
      <c r="R419" s="2" t="inlineStr"/>
    </row>
    <row r="420" ht="15" customHeight="1">
      <c r="A420" t="inlineStr">
        <is>
          <t>A 43093-2024</t>
        </is>
      </c>
      <c r="B420" s="1" t="n">
        <v>45567</v>
      </c>
      <c r="C420" s="1" t="n">
        <v>45956</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47955-2025</t>
        </is>
      </c>
      <c r="B421" s="1" t="n">
        <v>45932.58896990741</v>
      </c>
      <c r="C421" s="1" t="n">
        <v>45956</v>
      </c>
      <c r="D421" t="inlineStr">
        <is>
          <t>KALMAR LÄN</t>
        </is>
      </c>
      <c r="E421" t="inlineStr">
        <is>
          <t>VIMMERBY</t>
        </is>
      </c>
      <c r="G421" t="n">
        <v>3.4</v>
      </c>
      <c r="H421" t="n">
        <v>0</v>
      </c>
      <c r="I421" t="n">
        <v>0</v>
      </c>
      <c r="J421" t="n">
        <v>0</v>
      </c>
      <c r="K421" t="n">
        <v>0</v>
      </c>
      <c r="L421" t="n">
        <v>0</v>
      </c>
      <c r="M421" t="n">
        <v>0</v>
      </c>
      <c r="N421" t="n">
        <v>0</v>
      </c>
      <c r="O421" t="n">
        <v>0</v>
      </c>
      <c r="P421" t="n">
        <v>0</v>
      </c>
      <c r="Q421" t="n">
        <v>0</v>
      </c>
      <c r="R421" s="2" t="inlineStr"/>
    </row>
    <row r="422" ht="15" customHeight="1">
      <c r="A422" t="inlineStr">
        <is>
          <t>A 12075-2024</t>
        </is>
      </c>
      <c r="B422" s="1" t="n">
        <v>45377</v>
      </c>
      <c r="C422" s="1" t="n">
        <v>45956</v>
      </c>
      <c r="D422" t="inlineStr">
        <is>
          <t>KALMAR LÄN</t>
        </is>
      </c>
      <c r="E422" t="inlineStr">
        <is>
          <t>VIMMERBY</t>
        </is>
      </c>
      <c r="G422" t="n">
        <v>3.7</v>
      </c>
      <c r="H422" t="n">
        <v>0</v>
      </c>
      <c r="I422" t="n">
        <v>0</v>
      </c>
      <c r="J422" t="n">
        <v>0</v>
      </c>
      <c r="K422" t="n">
        <v>0</v>
      </c>
      <c r="L422" t="n">
        <v>0</v>
      </c>
      <c r="M422" t="n">
        <v>0</v>
      </c>
      <c r="N422" t="n">
        <v>0</v>
      </c>
      <c r="O422" t="n">
        <v>0</v>
      </c>
      <c r="P422" t="n">
        <v>0</v>
      </c>
      <c r="Q422" t="n">
        <v>0</v>
      </c>
      <c r="R422" s="2" t="inlineStr"/>
    </row>
    <row r="423" ht="15" customHeight="1">
      <c r="A423" t="inlineStr">
        <is>
          <t>A 35198-2023</t>
        </is>
      </c>
      <c r="B423" s="1" t="n">
        <v>45145</v>
      </c>
      <c r="C423" s="1" t="n">
        <v>45956</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47965-2025</t>
        </is>
      </c>
      <c r="B424" s="1" t="n">
        <v>45932.59597222223</v>
      </c>
      <c r="C424" s="1" t="n">
        <v>45956</v>
      </c>
      <c r="D424" t="inlineStr">
        <is>
          <t>KALMAR LÄN</t>
        </is>
      </c>
      <c r="E424" t="inlineStr">
        <is>
          <t>VIMMERBY</t>
        </is>
      </c>
      <c r="G424" t="n">
        <v>2.2</v>
      </c>
      <c r="H424" t="n">
        <v>0</v>
      </c>
      <c r="I424" t="n">
        <v>0</v>
      </c>
      <c r="J424" t="n">
        <v>0</v>
      </c>
      <c r="K424" t="n">
        <v>0</v>
      </c>
      <c r="L424" t="n">
        <v>0</v>
      </c>
      <c r="M424" t="n">
        <v>0</v>
      </c>
      <c r="N424" t="n">
        <v>0</v>
      </c>
      <c r="O424" t="n">
        <v>0</v>
      </c>
      <c r="P424" t="n">
        <v>0</v>
      </c>
      <c r="Q424" t="n">
        <v>0</v>
      </c>
      <c r="R424" s="2" t="inlineStr"/>
    </row>
    <row r="425" ht="15" customHeight="1">
      <c r="A425" t="inlineStr">
        <is>
          <t>A 58374-2024</t>
        </is>
      </c>
      <c r="B425" s="1" t="n">
        <v>45632.72635416667</v>
      </c>
      <c r="C425" s="1" t="n">
        <v>45956</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1799-2025</t>
        </is>
      </c>
      <c r="B426" s="1" t="n">
        <v>45671.46746527778</v>
      </c>
      <c r="C426" s="1" t="n">
        <v>45956</v>
      </c>
      <c r="D426" t="inlineStr">
        <is>
          <t>KALMAR LÄN</t>
        </is>
      </c>
      <c r="E426" t="inlineStr">
        <is>
          <t>VIMMERBY</t>
        </is>
      </c>
      <c r="G426" t="n">
        <v>3.3</v>
      </c>
      <c r="H426" t="n">
        <v>0</v>
      </c>
      <c r="I426" t="n">
        <v>0</v>
      </c>
      <c r="J426" t="n">
        <v>0</v>
      </c>
      <c r="K426" t="n">
        <v>0</v>
      </c>
      <c r="L426" t="n">
        <v>0</v>
      </c>
      <c r="M426" t="n">
        <v>0</v>
      </c>
      <c r="N426" t="n">
        <v>0</v>
      </c>
      <c r="O426" t="n">
        <v>0</v>
      </c>
      <c r="P426" t="n">
        <v>0</v>
      </c>
      <c r="Q426" t="n">
        <v>0</v>
      </c>
      <c r="R426" s="2" t="inlineStr"/>
    </row>
    <row r="427" ht="15" customHeight="1">
      <c r="A427" t="inlineStr">
        <is>
          <t>A 55300-2021</t>
        </is>
      </c>
      <c r="B427" s="1" t="n">
        <v>44475</v>
      </c>
      <c r="C427" s="1" t="n">
        <v>45956</v>
      </c>
      <c r="D427" t="inlineStr">
        <is>
          <t>KALMAR LÄN</t>
        </is>
      </c>
      <c r="E427" t="inlineStr">
        <is>
          <t>VIMMERBY</t>
        </is>
      </c>
      <c r="G427" t="n">
        <v>3.4</v>
      </c>
      <c r="H427" t="n">
        <v>0</v>
      </c>
      <c r="I427" t="n">
        <v>0</v>
      </c>
      <c r="J427" t="n">
        <v>0</v>
      </c>
      <c r="K427" t="n">
        <v>0</v>
      </c>
      <c r="L427" t="n">
        <v>0</v>
      </c>
      <c r="M427" t="n">
        <v>0</v>
      </c>
      <c r="N427" t="n">
        <v>0</v>
      </c>
      <c r="O427" t="n">
        <v>0</v>
      </c>
      <c r="P427" t="n">
        <v>0</v>
      </c>
      <c r="Q427" t="n">
        <v>0</v>
      </c>
      <c r="R427" s="2" t="inlineStr"/>
    </row>
    <row r="428" ht="15" customHeight="1">
      <c r="A428" t="inlineStr">
        <is>
          <t>A 28290-2025</t>
        </is>
      </c>
      <c r="B428" s="1" t="n">
        <v>45818.59261574074</v>
      </c>
      <c r="C428" s="1" t="n">
        <v>45956</v>
      </c>
      <c r="D428" t="inlineStr">
        <is>
          <t>KALMAR LÄN</t>
        </is>
      </c>
      <c r="E428" t="inlineStr">
        <is>
          <t>VIMMERBY</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47263-2023</t>
        </is>
      </c>
      <c r="B429" s="1" t="n">
        <v>45202.4209837963</v>
      </c>
      <c r="C429" s="1" t="n">
        <v>45956</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28280-2025</t>
        </is>
      </c>
      <c r="B430" s="1" t="n">
        <v>45818.5862037037</v>
      </c>
      <c r="C430" s="1" t="n">
        <v>45956</v>
      </c>
      <c r="D430" t="inlineStr">
        <is>
          <t>KALMAR LÄN</t>
        </is>
      </c>
      <c r="E430" t="inlineStr">
        <is>
          <t>VIMMERBY</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28286-2025</t>
        </is>
      </c>
      <c r="B431" s="1" t="n">
        <v>45818.58993055556</v>
      </c>
      <c r="C431" s="1" t="n">
        <v>45956</v>
      </c>
      <c r="D431" t="inlineStr">
        <is>
          <t>KALMAR LÄN</t>
        </is>
      </c>
      <c r="E431" t="inlineStr">
        <is>
          <t>VIMMERBY</t>
        </is>
      </c>
      <c r="F431" t="inlineStr">
        <is>
          <t>Sveaskog</t>
        </is>
      </c>
      <c r="G431" t="n">
        <v>8</v>
      </c>
      <c r="H431" t="n">
        <v>0</v>
      </c>
      <c r="I431" t="n">
        <v>0</v>
      </c>
      <c r="J431" t="n">
        <v>0</v>
      </c>
      <c r="K431" t="n">
        <v>0</v>
      </c>
      <c r="L431" t="n">
        <v>0</v>
      </c>
      <c r="M431" t="n">
        <v>0</v>
      </c>
      <c r="N431" t="n">
        <v>0</v>
      </c>
      <c r="O431" t="n">
        <v>0</v>
      </c>
      <c r="P431" t="n">
        <v>0</v>
      </c>
      <c r="Q431" t="n">
        <v>0</v>
      </c>
      <c r="R431" s="2" t="inlineStr"/>
    </row>
    <row r="432" ht="15" customHeight="1">
      <c r="A432" t="inlineStr">
        <is>
          <t>A 2462-2022</t>
        </is>
      </c>
      <c r="B432" s="1" t="n">
        <v>44579.62225694444</v>
      </c>
      <c r="C432" s="1" t="n">
        <v>45956</v>
      </c>
      <c r="D432" t="inlineStr">
        <is>
          <t>KALMAR LÄN</t>
        </is>
      </c>
      <c r="E432" t="inlineStr">
        <is>
          <t>VIMMERBY</t>
        </is>
      </c>
      <c r="G432" t="n">
        <v>1.1</v>
      </c>
      <c r="H432" t="n">
        <v>0</v>
      </c>
      <c r="I432" t="n">
        <v>0</v>
      </c>
      <c r="J432" t="n">
        <v>0</v>
      </c>
      <c r="K432" t="n">
        <v>0</v>
      </c>
      <c r="L432" t="n">
        <v>0</v>
      </c>
      <c r="M432" t="n">
        <v>0</v>
      </c>
      <c r="N432" t="n">
        <v>0</v>
      </c>
      <c r="O432" t="n">
        <v>0</v>
      </c>
      <c r="P432" t="n">
        <v>0</v>
      </c>
      <c r="Q432" t="n">
        <v>0</v>
      </c>
      <c r="R432" s="2" t="inlineStr"/>
    </row>
    <row r="433" ht="15" customHeight="1">
      <c r="A433" t="inlineStr">
        <is>
          <t>A 48600-2025</t>
        </is>
      </c>
      <c r="B433" s="1" t="n">
        <v>45935</v>
      </c>
      <c r="C433" s="1" t="n">
        <v>45956</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39801-2025</t>
        </is>
      </c>
      <c r="B434" s="1" t="n">
        <v>45891.50216435185</v>
      </c>
      <c r="C434" s="1" t="n">
        <v>45956</v>
      </c>
      <c r="D434" t="inlineStr">
        <is>
          <t>KALMAR LÄN</t>
        </is>
      </c>
      <c r="E434" t="inlineStr">
        <is>
          <t>VIMMERBY</t>
        </is>
      </c>
      <c r="G434" t="n">
        <v>2</v>
      </c>
      <c r="H434" t="n">
        <v>0</v>
      </c>
      <c r="I434" t="n">
        <v>0</v>
      </c>
      <c r="J434" t="n">
        <v>0</v>
      </c>
      <c r="K434" t="n">
        <v>0</v>
      </c>
      <c r="L434" t="n">
        <v>0</v>
      </c>
      <c r="M434" t="n">
        <v>0</v>
      </c>
      <c r="N434" t="n">
        <v>0</v>
      </c>
      <c r="O434" t="n">
        <v>0</v>
      </c>
      <c r="P434" t="n">
        <v>0</v>
      </c>
      <c r="Q434" t="n">
        <v>0</v>
      </c>
      <c r="R434" s="2" t="inlineStr"/>
    </row>
    <row r="435" ht="15" customHeight="1">
      <c r="A435" t="inlineStr">
        <is>
          <t>A 2536-2023</t>
        </is>
      </c>
      <c r="B435" s="1" t="n">
        <v>44943.62954861111</v>
      </c>
      <c r="C435" s="1" t="n">
        <v>45956</v>
      </c>
      <c r="D435" t="inlineStr">
        <is>
          <t>KALMAR LÄN</t>
        </is>
      </c>
      <c r="E435" t="inlineStr">
        <is>
          <t>VIMMERBY</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2801-2023</t>
        </is>
      </c>
      <c r="B436" s="1" t="n">
        <v>44944.73487268519</v>
      </c>
      <c r="C436" s="1" t="n">
        <v>45956</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39807-2025</t>
        </is>
      </c>
      <c r="B437" s="1" t="n">
        <v>45891.50986111111</v>
      </c>
      <c r="C437" s="1" t="n">
        <v>45956</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28282-2025</t>
        </is>
      </c>
      <c r="B438" s="1" t="n">
        <v>45818.58769675926</v>
      </c>
      <c r="C438" s="1" t="n">
        <v>45956</v>
      </c>
      <c r="D438" t="inlineStr">
        <is>
          <t>KALMAR LÄN</t>
        </is>
      </c>
      <c r="E438" t="inlineStr">
        <is>
          <t>VIMMERBY</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28294-2025</t>
        </is>
      </c>
      <c r="B439" s="1" t="n">
        <v>45818.595625</v>
      </c>
      <c r="C439" s="1" t="n">
        <v>45956</v>
      </c>
      <c r="D439" t="inlineStr">
        <is>
          <t>KALMAR LÄN</t>
        </is>
      </c>
      <c r="E439" t="inlineStr">
        <is>
          <t>VIMMERBY</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17968-2025</t>
        </is>
      </c>
      <c r="B440" s="1" t="n">
        <v>45761.35990740741</v>
      </c>
      <c r="C440" s="1" t="n">
        <v>45956</v>
      </c>
      <c r="D440" t="inlineStr">
        <is>
          <t>KALMAR LÄN</t>
        </is>
      </c>
      <c r="E440" t="inlineStr">
        <is>
          <t>VIMMERBY</t>
        </is>
      </c>
      <c r="G440" t="n">
        <v>3.3</v>
      </c>
      <c r="H440" t="n">
        <v>0</v>
      </c>
      <c r="I440" t="n">
        <v>0</v>
      </c>
      <c r="J440" t="n">
        <v>0</v>
      </c>
      <c r="K440" t="n">
        <v>0</v>
      </c>
      <c r="L440" t="n">
        <v>0</v>
      </c>
      <c r="M440" t="n">
        <v>0</v>
      </c>
      <c r="N440" t="n">
        <v>0</v>
      </c>
      <c r="O440" t="n">
        <v>0</v>
      </c>
      <c r="P440" t="n">
        <v>0</v>
      </c>
      <c r="Q440" t="n">
        <v>0</v>
      </c>
      <c r="R440" s="2" t="inlineStr"/>
    </row>
    <row r="441" ht="15" customHeight="1">
      <c r="A441" t="inlineStr">
        <is>
          <t>A 48408-2025</t>
        </is>
      </c>
      <c r="B441" s="1" t="n">
        <v>45934.40527777778</v>
      </c>
      <c r="C441" s="1" t="n">
        <v>45956</v>
      </c>
      <c r="D441" t="inlineStr">
        <is>
          <t>KALMAR LÄN</t>
        </is>
      </c>
      <c r="E441" t="inlineStr">
        <is>
          <t>VIMMERBY</t>
        </is>
      </c>
      <c r="G441" t="n">
        <v>2.4</v>
      </c>
      <c r="H441" t="n">
        <v>0</v>
      </c>
      <c r="I441" t="n">
        <v>0</v>
      </c>
      <c r="J441" t="n">
        <v>0</v>
      </c>
      <c r="K441" t="n">
        <v>0</v>
      </c>
      <c r="L441" t="n">
        <v>0</v>
      </c>
      <c r="M441" t="n">
        <v>0</v>
      </c>
      <c r="N441" t="n">
        <v>0</v>
      </c>
      <c r="O441" t="n">
        <v>0</v>
      </c>
      <c r="P441" t="n">
        <v>0</v>
      </c>
      <c r="Q441" t="n">
        <v>0</v>
      </c>
      <c r="R441" s="2" t="inlineStr"/>
    </row>
    <row r="442" ht="15" customHeight="1">
      <c r="A442" t="inlineStr">
        <is>
          <t>A 13015-2022</t>
        </is>
      </c>
      <c r="B442" s="1" t="n">
        <v>44643</v>
      </c>
      <c r="C442" s="1" t="n">
        <v>45956</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48409-2025</t>
        </is>
      </c>
      <c r="B443" s="1" t="n">
        <v>45934.41387731482</v>
      </c>
      <c r="C443" s="1" t="n">
        <v>45956</v>
      </c>
      <c r="D443" t="inlineStr">
        <is>
          <t>KALMAR LÄN</t>
        </is>
      </c>
      <c r="E443" t="inlineStr">
        <is>
          <t>VIMMERBY</t>
        </is>
      </c>
      <c r="G443" t="n">
        <v>1.2</v>
      </c>
      <c r="H443" t="n">
        <v>0</v>
      </c>
      <c r="I443" t="n">
        <v>0</v>
      </c>
      <c r="J443" t="n">
        <v>0</v>
      </c>
      <c r="K443" t="n">
        <v>0</v>
      </c>
      <c r="L443" t="n">
        <v>0</v>
      </c>
      <c r="M443" t="n">
        <v>0</v>
      </c>
      <c r="N443" t="n">
        <v>0</v>
      </c>
      <c r="O443" t="n">
        <v>0</v>
      </c>
      <c r="P443" t="n">
        <v>0</v>
      </c>
      <c r="Q443" t="n">
        <v>0</v>
      </c>
      <c r="R443" s="2" t="inlineStr"/>
    </row>
    <row r="444" ht="15" customHeight="1">
      <c r="A444" t="inlineStr">
        <is>
          <t>A 4624-2024</t>
        </is>
      </c>
      <c r="B444" s="1" t="n">
        <v>45328.38755787037</v>
      </c>
      <c r="C444" s="1" t="n">
        <v>45956</v>
      </c>
      <c r="D444" t="inlineStr">
        <is>
          <t>KALMAR LÄN</t>
        </is>
      </c>
      <c r="E444" t="inlineStr">
        <is>
          <t>VIMMERBY</t>
        </is>
      </c>
      <c r="G444" t="n">
        <v>1.7</v>
      </c>
      <c r="H444" t="n">
        <v>0</v>
      </c>
      <c r="I444" t="n">
        <v>0</v>
      </c>
      <c r="J444" t="n">
        <v>0</v>
      </c>
      <c r="K444" t="n">
        <v>0</v>
      </c>
      <c r="L444" t="n">
        <v>0</v>
      </c>
      <c r="M444" t="n">
        <v>0</v>
      </c>
      <c r="N444" t="n">
        <v>0</v>
      </c>
      <c r="O444" t="n">
        <v>0</v>
      </c>
      <c r="P444" t="n">
        <v>0</v>
      </c>
      <c r="Q444" t="n">
        <v>0</v>
      </c>
      <c r="R444" s="2" t="inlineStr"/>
    </row>
    <row r="445" ht="15" customHeight="1">
      <c r="A445" t="inlineStr">
        <is>
          <t>A 9129-2025</t>
        </is>
      </c>
      <c r="B445" s="1" t="n">
        <v>45713.92412037037</v>
      </c>
      <c r="C445" s="1" t="n">
        <v>45956</v>
      </c>
      <c r="D445" t="inlineStr">
        <is>
          <t>KALMAR LÄN</t>
        </is>
      </c>
      <c r="E445" t="inlineStr">
        <is>
          <t>VIMMERBY</t>
        </is>
      </c>
      <c r="G445" t="n">
        <v>2.8</v>
      </c>
      <c r="H445" t="n">
        <v>0</v>
      </c>
      <c r="I445" t="n">
        <v>0</v>
      </c>
      <c r="J445" t="n">
        <v>0</v>
      </c>
      <c r="K445" t="n">
        <v>0</v>
      </c>
      <c r="L445" t="n">
        <v>0</v>
      </c>
      <c r="M445" t="n">
        <v>0</v>
      </c>
      <c r="N445" t="n">
        <v>0</v>
      </c>
      <c r="O445" t="n">
        <v>0</v>
      </c>
      <c r="P445" t="n">
        <v>0</v>
      </c>
      <c r="Q445" t="n">
        <v>0</v>
      </c>
      <c r="R445" s="2" t="inlineStr"/>
    </row>
    <row r="446" ht="15" customHeight="1">
      <c r="A446" t="inlineStr">
        <is>
          <t>A 39736-2025</t>
        </is>
      </c>
      <c r="B446" s="1" t="n">
        <v>45891</v>
      </c>
      <c r="C446" s="1" t="n">
        <v>45956</v>
      </c>
      <c r="D446" t="inlineStr">
        <is>
          <t>KALMAR LÄN</t>
        </is>
      </c>
      <c r="E446" t="inlineStr">
        <is>
          <t>VIMMERBY</t>
        </is>
      </c>
      <c r="G446" t="n">
        <v>12.8</v>
      </c>
      <c r="H446" t="n">
        <v>0</v>
      </c>
      <c r="I446" t="n">
        <v>0</v>
      </c>
      <c r="J446" t="n">
        <v>0</v>
      </c>
      <c r="K446" t="n">
        <v>0</v>
      </c>
      <c r="L446" t="n">
        <v>0</v>
      </c>
      <c r="M446" t="n">
        <v>0</v>
      </c>
      <c r="N446" t="n">
        <v>0</v>
      </c>
      <c r="O446" t="n">
        <v>0</v>
      </c>
      <c r="P446" t="n">
        <v>0</v>
      </c>
      <c r="Q446" t="n">
        <v>0</v>
      </c>
      <c r="R446" s="2" t="inlineStr"/>
    </row>
    <row r="447" ht="15" customHeight="1">
      <c r="A447" t="inlineStr">
        <is>
          <t>A 14451-2024</t>
        </is>
      </c>
      <c r="B447" s="1" t="n">
        <v>45394.50028935185</v>
      </c>
      <c r="C447" s="1" t="n">
        <v>45956</v>
      </c>
      <c r="D447" t="inlineStr">
        <is>
          <t>KALMAR LÄN</t>
        </is>
      </c>
      <c r="E447" t="inlineStr">
        <is>
          <t>VIMMERBY</t>
        </is>
      </c>
      <c r="G447" t="n">
        <v>1.9</v>
      </c>
      <c r="H447" t="n">
        <v>0</v>
      </c>
      <c r="I447" t="n">
        <v>0</v>
      </c>
      <c r="J447" t="n">
        <v>0</v>
      </c>
      <c r="K447" t="n">
        <v>0</v>
      </c>
      <c r="L447" t="n">
        <v>0</v>
      </c>
      <c r="M447" t="n">
        <v>0</v>
      </c>
      <c r="N447" t="n">
        <v>0</v>
      </c>
      <c r="O447" t="n">
        <v>0</v>
      </c>
      <c r="P447" t="n">
        <v>0</v>
      </c>
      <c r="Q447" t="n">
        <v>0</v>
      </c>
      <c r="R447" s="2" t="inlineStr"/>
    </row>
    <row r="448" ht="15" customHeight="1">
      <c r="A448" t="inlineStr">
        <is>
          <t>A 28713-2025</t>
        </is>
      </c>
      <c r="B448" s="1" t="n">
        <v>45820.33930555556</v>
      </c>
      <c r="C448" s="1" t="n">
        <v>45956</v>
      </c>
      <c r="D448" t="inlineStr">
        <is>
          <t>KALMAR LÄN</t>
        </is>
      </c>
      <c r="E448" t="inlineStr">
        <is>
          <t>VIMMERBY</t>
        </is>
      </c>
      <c r="G448" t="n">
        <v>2.3</v>
      </c>
      <c r="H448" t="n">
        <v>0</v>
      </c>
      <c r="I448" t="n">
        <v>0</v>
      </c>
      <c r="J448" t="n">
        <v>0</v>
      </c>
      <c r="K448" t="n">
        <v>0</v>
      </c>
      <c r="L448" t="n">
        <v>0</v>
      </c>
      <c r="M448" t="n">
        <v>0</v>
      </c>
      <c r="N448" t="n">
        <v>0</v>
      </c>
      <c r="O448" t="n">
        <v>0</v>
      </c>
      <c r="P448" t="n">
        <v>0</v>
      </c>
      <c r="Q448" t="n">
        <v>0</v>
      </c>
      <c r="R448" s="2" t="inlineStr"/>
    </row>
    <row r="449" ht="15" customHeight="1">
      <c r="A449" t="inlineStr">
        <is>
          <t>A 48723-2025</t>
        </is>
      </c>
      <c r="B449" s="1" t="n">
        <v>45936.65121527778</v>
      </c>
      <c r="C449" s="1" t="n">
        <v>45956</v>
      </c>
      <c r="D449" t="inlineStr">
        <is>
          <t>KALMAR LÄN</t>
        </is>
      </c>
      <c r="E449" t="inlineStr">
        <is>
          <t>VIMMERBY</t>
        </is>
      </c>
      <c r="G449" t="n">
        <v>3</v>
      </c>
      <c r="H449" t="n">
        <v>0</v>
      </c>
      <c r="I449" t="n">
        <v>0</v>
      </c>
      <c r="J449" t="n">
        <v>0</v>
      </c>
      <c r="K449" t="n">
        <v>0</v>
      </c>
      <c r="L449" t="n">
        <v>0</v>
      </c>
      <c r="M449" t="n">
        <v>0</v>
      </c>
      <c r="N449" t="n">
        <v>0</v>
      </c>
      <c r="O449" t="n">
        <v>0</v>
      </c>
      <c r="P449" t="n">
        <v>0</v>
      </c>
      <c r="Q449" t="n">
        <v>0</v>
      </c>
      <c r="R449" s="2" t="inlineStr"/>
    </row>
    <row r="450" ht="15" customHeight="1">
      <c r="A450" t="inlineStr">
        <is>
          <t>A 48712-2025</t>
        </is>
      </c>
      <c r="B450" s="1" t="n">
        <v>45936.63373842592</v>
      </c>
      <c r="C450" s="1" t="n">
        <v>45956</v>
      </c>
      <c r="D450" t="inlineStr">
        <is>
          <t>KALMAR LÄN</t>
        </is>
      </c>
      <c r="E450" t="inlineStr">
        <is>
          <t>VIMMERBY</t>
        </is>
      </c>
      <c r="G450" t="n">
        <v>3</v>
      </c>
      <c r="H450" t="n">
        <v>0</v>
      </c>
      <c r="I450" t="n">
        <v>0</v>
      </c>
      <c r="J450" t="n">
        <v>0</v>
      </c>
      <c r="K450" t="n">
        <v>0</v>
      </c>
      <c r="L450" t="n">
        <v>0</v>
      </c>
      <c r="M450" t="n">
        <v>0</v>
      </c>
      <c r="N450" t="n">
        <v>0</v>
      </c>
      <c r="O450" t="n">
        <v>0</v>
      </c>
      <c r="P450" t="n">
        <v>0</v>
      </c>
      <c r="Q450" t="n">
        <v>0</v>
      </c>
      <c r="R450" s="2" t="inlineStr"/>
    </row>
    <row r="451" ht="15" customHeight="1">
      <c r="A451" t="inlineStr">
        <is>
          <t>A 46238-2024</t>
        </is>
      </c>
      <c r="B451" s="1" t="n">
        <v>45581.58418981481</v>
      </c>
      <c r="C451" s="1" t="n">
        <v>45956</v>
      </c>
      <c r="D451" t="inlineStr">
        <is>
          <t>KALMAR LÄN</t>
        </is>
      </c>
      <c r="E451" t="inlineStr">
        <is>
          <t>VIMMERBY</t>
        </is>
      </c>
      <c r="G451" t="n">
        <v>2.1</v>
      </c>
      <c r="H451" t="n">
        <v>0</v>
      </c>
      <c r="I451" t="n">
        <v>0</v>
      </c>
      <c r="J451" t="n">
        <v>0</v>
      </c>
      <c r="K451" t="n">
        <v>0</v>
      </c>
      <c r="L451" t="n">
        <v>0</v>
      </c>
      <c r="M451" t="n">
        <v>0</v>
      </c>
      <c r="N451" t="n">
        <v>0</v>
      </c>
      <c r="O451" t="n">
        <v>0</v>
      </c>
      <c r="P451" t="n">
        <v>0</v>
      </c>
      <c r="Q451" t="n">
        <v>0</v>
      </c>
      <c r="R451" s="2" t="inlineStr"/>
    </row>
    <row r="452" ht="15" customHeight="1">
      <c r="A452" t="inlineStr">
        <is>
          <t>A 50993-2022</t>
        </is>
      </c>
      <c r="B452" s="1" t="n">
        <v>44867</v>
      </c>
      <c r="C452" s="1" t="n">
        <v>45956</v>
      </c>
      <c r="D452" t="inlineStr">
        <is>
          <t>KALMAR LÄN</t>
        </is>
      </c>
      <c r="E452" t="inlineStr">
        <is>
          <t>VIMMERBY</t>
        </is>
      </c>
      <c r="G452" t="n">
        <v>1.7</v>
      </c>
      <c r="H452" t="n">
        <v>0</v>
      </c>
      <c r="I452" t="n">
        <v>0</v>
      </c>
      <c r="J452" t="n">
        <v>0</v>
      </c>
      <c r="K452" t="n">
        <v>0</v>
      </c>
      <c r="L452" t="n">
        <v>0</v>
      </c>
      <c r="M452" t="n">
        <v>0</v>
      </c>
      <c r="N452" t="n">
        <v>0</v>
      </c>
      <c r="O452" t="n">
        <v>0</v>
      </c>
      <c r="P452" t="n">
        <v>0</v>
      </c>
      <c r="Q452" t="n">
        <v>0</v>
      </c>
      <c r="R452" s="2" t="inlineStr"/>
    </row>
    <row r="453" ht="15" customHeight="1">
      <c r="A453" t="inlineStr">
        <is>
          <t>A 28712-2025</t>
        </is>
      </c>
      <c r="B453" s="1" t="n">
        <v>45820.33708333333</v>
      </c>
      <c r="C453" s="1" t="n">
        <v>45956</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28714-2025</t>
        </is>
      </c>
      <c r="B454" s="1" t="n">
        <v>45820.34128472222</v>
      </c>
      <c r="C454" s="1" t="n">
        <v>45956</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46225-2024</t>
        </is>
      </c>
      <c r="B455" s="1" t="n">
        <v>45581.57333333333</v>
      </c>
      <c r="C455" s="1" t="n">
        <v>45956</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28620-2025</t>
        </is>
      </c>
      <c r="B456" s="1" t="n">
        <v>45819.61060185185</v>
      </c>
      <c r="C456" s="1" t="n">
        <v>45956</v>
      </c>
      <c r="D456" t="inlineStr">
        <is>
          <t>KALMAR LÄN</t>
        </is>
      </c>
      <c r="E456" t="inlineStr">
        <is>
          <t>VIMMERBY</t>
        </is>
      </c>
      <c r="G456" t="n">
        <v>5.6</v>
      </c>
      <c r="H456" t="n">
        <v>0</v>
      </c>
      <c r="I456" t="n">
        <v>0</v>
      </c>
      <c r="J456" t="n">
        <v>0</v>
      </c>
      <c r="K456" t="n">
        <v>0</v>
      </c>
      <c r="L456" t="n">
        <v>0</v>
      </c>
      <c r="M456" t="n">
        <v>0</v>
      </c>
      <c r="N456" t="n">
        <v>0</v>
      </c>
      <c r="O456" t="n">
        <v>0</v>
      </c>
      <c r="P456" t="n">
        <v>0</v>
      </c>
      <c r="Q456" t="n">
        <v>0</v>
      </c>
      <c r="R456" s="2" t="inlineStr"/>
    </row>
    <row r="457" ht="15" customHeight="1">
      <c r="A457" t="inlineStr">
        <is>
          <t>A 39803-2025</t>
        </is>
      </c>
      <c r="B457" s="1" t="n">
        <v>45891.50525462963</v>
      </c>
      <c r="C457" s="1" t="n">
        <v>45956</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36055-2024</t>
        </is>
      </c>
      <c r="B458" s="1" t="n">
        <v>45533.63056712963</v>
      </c>
      <c r="C458" s="1" t="n">
        <v>45956</v>
      </c>
      <c r="D458" t="inlineStr">
        <is>
          <t>KALMAR LÄN</t>
        </is>
      </c>
      <c r="E458" t="inlineStr">
        <is>
          <t>VIMMERBY</t>
        </is>
      </c>
      <c r="F458" t="inlineStr">
        <is>
          <t>Kommuner</t>
        </is>
      </c>
      <c r="G458" t="n">
        <v>1.9</v>
      </c>
      <c r="H458" t="n">
        <v>0</v>
      </c>
      <c r="I458" t="n">
        <v>0</v>
      </c>
      <c r="J458" t="n">
        <v>0</v>
      </c>
      <c r="K458" t="n">
        <v>0</v>
      </c>
      <c r="L458" t="n">
        <v>0</v>
      </c>
      <c r="M458" t="n">
        <v>0</v>
      </c>
      <c r="N458" t="n">
        <v>0</v>
      </c>
      <c r="O458" t="n">
        <v>0</v>
      </c>
      <c r="P458" t="n">
        <v>0</v>
      </c>
      <c r="Q458" t="n">
        <v>0</v>
      </c>
      <c r="R458" s="2" t="inlineStr"/>
    </row>
    <row r="459" ht="15" customHeight="1">
      <c r="A459" t="inlineStr">
        <is>
          <t>A 39889-2025</t>
        </is>
      </c>
      <c r="B459" s="1" t="n">
        <v>45891</v>
      </c>
      <c r="C459" s="1" t="n">
        <v>45956</v>
      </c>
      <c r="D459" t="inlineStr">
        <is>
          <t>KALMAR LÄN</t>
        </is>
      </c>
      <c r="E459" t="inlineStr">
        <is>
          <t>VIMMERBY</t>
        </is>
      </c>
      <c r="G459" t="n">
        <v>4.5</v>
      </c>
      <c r="H459" t="n">
        <v>0</v>
      </c>
      <c r="I459" t="n">
        <v>0</v>
      </c>
      <c r="J459" t="n">
        <v>0</v>
      </c>
      <c r="K459" t="n">
        <v>0</v>
      </c>
      <c r="L459" t="n">
        <v>0</v>
      </c>
      <c r="M459" t="n">
        <v>0</v>
      </c>
      <c r="N459" t="n">
        <v>0</v>
      </c>
      <c r="O459" t="n">
        <v>0</v>
      </c>
      <c r="P459" t="n">
        <v>0</v>
      </c>
      <c r="Q459" t="n">
        <v>0</v>
      </c>
      <c r="R459" s="2" t="inlineStr"/>
    </row>
    <row r="460" ht="15" customHeight="1">
      <c r="A460" t="inlineStr">
        <is>
          <t>A 48299-2025</t>
        </is>
      </c>
      <c r="B460" s="1" t="n">
        <v>45933.60982638889</v>
      </c>
      <c r="C460" s="1" t="n">
        <v>45956</v>
      </c>
      <c r="D460" t="inlineStr">
        <is>
          <t>KALMAR LÄN</t>
        </is>
      </c>
      <c r="E460" t="inlineStr">
        <is>
          <t>VIMMERBY</t>
        </is>
      </c>
      <c r="G460" t="n">
        <v>1.8</v>
      </c>
      <c r="H460" t="n">
        <v>0</v>
      </c>
      <c r="I460" t="n">
        <v>0</v>
      </c>
      <c r="J460" t="n">
        <v>0</v>
      </c>
      <c r="K460" t="n">
        <v>0</v>
      </c>
      <c r="L460" t="n">
        <v>0</v>
      </c>
      <c r="M460" t="n">
        <v>0</v>
      </c>
      <c r="N460" t="n">
        <v>0</v>
      </c>
      <c r="O460" t="n">
        <v>0</v>
      </c>
      <c r="P460" t="n">
        <v>0</v>
      </c>
      <c r="Q460" t="n">
        <v>0</v>
      </c>
      <c r="R460" s="2" t="inlineStr"/>
    </row>
    <row r="461" ht="15" customHeight="1">
      <c r="A461" t="inlineStr">
        <is>
          <t>A 47859-2024</t>
        </is>
      </c>
      <c r="B461" s="1" t="n">
        <v>45588.67070601852</v>
      </c>
      <c r="C461" s="1" t="n">
        <v>45956</v>
      </c>
      <c r="D461" t="inlineStr">
        <is>
          <t>KALMAR LÄN</t>
        </is>
      </c>
      <c r="E461" t="inlineStr">
        <is>
          <t>VIMMERBY</t>
        </is>
      </c>
      <c r="G461" t="n">
        <v>1.7</v>
      </c>
      <c r="H461" t="n">
        <v>0</v>
      </c>
      <c r="I461" t="n">
        <v>0</v>
      </c>
      <c r="J461" t="n">
        <v>0</v>
      </c>
      <c r="K461" t="n">
        <v>0</v>
      </c>
      <c r="L461" t="n">
        <v>0</v>
      </c>
      <c r="M461" t="n">
        <v>0</v>
      </c>
      <c r="N461" t="n">
        <v>0</v>
      </c>
      <c r="O461" t="n">
        <v>0</v>
      </c>
      <c r="P461" t="n">
        <v>0</v>
      </c>
      <c r="Q461" t="n">
        <v>0</v>
      </c>
      <c r="R461" s="2" t="inlineStr"/>
    </row>
    <row r="462" ht="15" customHeight="1">
      <c r="A462" t="inlineStr">
        <is>
          <t>A 32835-2022</t>
        </is>
      </c>
      <c r="B462" s="1" t="n">
        <v>44784.42528935185</v>
      </c>
      <c r="C462" s="1" t="n">
        <v>45956</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22643-2023</t>
        </is>
      </c>
      <c r="B463" s="1" t="n">
        <v>45071</v>
      </c>
      <c r="C463" s="1" t="n">
        <v>45956</v>
      </c>
      <c r="D463" t="inlineStr">
        <is>
          <t>KALMAR LÄN</t>
        </is>
      </c>
      <c r="E463" t="inlineStr">
        <is>
          <t>VIMMERBY</t>
        </is>
      </c>
      <c r="G463" t="n">
        <v>3.9</v>
      </c>
      <c r="H463" t="n">
        <v>0</v>
      </c>
      <c r="I463" t="n">
        <v>0</v>
      </c>
      <c r="J463" t="n">
        <v>0</v>
      </c>
      <c r="K463" t="n">
        <v>0</v>
      </c>
      <c r="L463" t="n">
        <v>0</v>
      </c>
      <c r="M463" t="n">
        <v>0</v>
      </c>
      <c r="N463" t="n">
        <v>0</v>
      </c>
      <c r="O463" t="n">
        <v>0</v>
      </c>
      <c r="P463" t="n">
        <v>0</v>
      </c>
      <c r="Q463" t="n">
        <v>0</v>
      </c>
      <c r="R463" s="2" t="inlineStr"/>
    </row>
    <row r="464" ht="15" customHeight="1">
      <c r="A464" t="inlineStr">
        <is>
          <t>A 29727-2025</t>
        </is>
      </c>
      <c r="B464" s="1" t="n">
        <v>45825.5796875</v>
      </c>
      <c r="C464" s="1" t="n">
        <v>45956</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29737-2025</t>
        </is>
      </c>
      <c r="B465" s="1" t="n">
        <v>45825.58672453704</v>
      </c>
      <c r="C465" s="1" t="n">
        <v>45956</v>
      </c>
      <c r="D465" t="inlineStr">
        <is>
          <t>KALMAR LÄN</t>
        </is>
      </c>
      <c r="E465" t="inlineStr">
        <is>
          <t>VIMMERBY</t>
        </is>
      </c>
      <c r="G465" t="n">
        <v>1.2</v>
      </c>
      <c r="H465" t="n">
        <v>0</v>
      </c>
      <c r="I465" t="n">
        <v>0</v>
      </c>
      <c r="J465" t="n">
        <v>0</v>
      </c>
      <c r="K465" t="n">
        <v>0</v>
      </c>
      <c r="L465" t="n">
        <v>0</v>
      </c>
      <c r="M465" t="n">
        <v>0</v>
      </c>
      <c r="N465" t="n">
        <v>0</v>
      </c>
      <c r="O465" t="n">
        <v>0</v>
      </c>
      <c r="P465" t="n">
        <v>0</v>
      </c>
      <c r="Q465" t="n">
        <v>0</v>
      </c>
      <c r="R465" s="2" t="inlineStr"/>
    </row>
    <row r="466" ht="15" customHeight="1">
      <c r="A466" t="inlineStr">
        <is>
          <t>A 41896-2023</t>
        </is>
      </c>
      <c r="B466" s="1" t="n">
        <v>45176.72427083334</v>
      </c>
      <c r="C466" s="1" t="n">
        <v>45956</v>
      </c>
      <c r="D466" t="inlineStr">
        <is>
          <t>KALMAR LÄN</t>
        </is>
      </c>
      <c r="E466" t="inlineStr">
        <is>
          <t>VIMMERBY</t>
        </is>
      </c>
      <c r="G466" t="n">
        <v>1.3</v>
      </c>
      <c r="H466" t="n">
        <v>0</v>
      </c>
      <c r="I466" t="n">
        <v>0</v>
      </c>
      <c r="J466" t="n">
        <v>0</v>
      </c>
      <c r="K466" t="n">
        <v>0</v>
      </c>
      <c r="L466" t="n">
        <v>0</v>
      </c>
      <c r="M466" t="n">
        <v>0</v>
      </c>
      <c r="N466" t="n">
        <v>0</v>
      </c>
      <c r="O466" t="n">
        <v>0</v>
      </c>
      <c r="P466" t="n">
        <v>0</v>
      </c>
      <c r="Q466" t="n">
        <v>0</v>
      </c>
      <c r="R466" s="2" t="inlineStr"/>
    </row>
    <row r="467" ht="15" customHeight="1">
      <c r="A467" t="inlineStr">
        <is>
          <t>A 34597-2022</t>
        </is>
      </c>
      <c r="B467" s="1" t="n">
        <v>44795</v>
      </c>
      <c r="C467" s="1" t="n">
        <v>45956</v>
      </c>
      <c r="D467" t="inlineStr">
        <is>
          <t>KALMAR LÄN</t>
        </is>
      </c>
      <c r="E467" t="inlineStr">
        <is>
          <t>VIMMERBY</t>
        </is>
      </c>
      <c r="G467" t="n">
        <v>2.2</v>
      </c>
      <c r="H467" t="n">
        <v>0</v>
      </c>
      <c r="I467" t="n">
        <v>0</v>
      </c>
      <c r="J467" t="n">
        <v>0</v>
      </c>
      <c r="K467" t="n">
        <v>0</v>
      </c>
      <c r="L467" t="n">
        <v>0</v>
      </c>
      <c r="M467" t="n">
        <v>0</v>
      </c>
      <c r="N467" t="n">
        <v>0</v>
      </c>
      <c r="O467" t="n">
        <v>0</v>
      </c>
      <c r="P467" t="n">
        <v>0</v>
      </c>
      <c r="Q467" t="n">
        <v>0</v>
      </c>
      <c r="R467" s="2" t="inlineStr"/>
    </row>
    <row r="468" ht="15" customHeight="1">
      <c r="A468" t="inlineStr">
        <is>
          <t>A 43606-2024</t>
        </is>
      </c>
      <c r="B468" s="1" t="n">
        <v>45569.45017361111</v>
      </c>
      <c r="C468" s="1" t="n">
        <v>45956</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40079-2023</t>
        </is>
      </c>
      <c r="B469" s="1" t="n">
        <v>45168.89298611111</v>
      </c>
      <c r="C469" s="1" t="n">
        <v>45956</v>
      </c>
      <c r="D469" t="inlineStr">
        <is>
          <t>KALMAR LÄN</t>
        </is>
      </c>
      <c r="E469" t="inlineStr">
        <is>
          <t>VIMMERBY</t>
        </is>
      </c>
      <c r="G469" t="n">
        <v>1.2</v>
      </c>
      <c r="H469" t="n">
        <v>0</v>
      </c>
      <c r="I469" t="n">
        <v>0</v>
      </c>
      <c r="J469" t="n">
        <v>0</v>
      </c>
      <c r="K469" t="n">
        <v>0</v>
      </c>
      <c r="L469" t="n">
        <v>0</v>
      </c>
      <c r="M469" t="n">
        <v>0</v>
      </c>
      <c r="N469" t="n">
        <v>0</v>
      </c>
      <c r="O469" t="n">
        <v>0</v>
      </c>
      <c r="P469" t="n">
        <v>0</v>
      </c>
      <c r="Q469" t="n">
        <v>0</v>
      </c>
      <c r="R469" s="2" t="inlineStr"/>
    </row>
    <row r="470" ht="15" customHeight="1">
      <c r="A470" t="inlineStr">
        <is>
          <t>A 30293-2025</t>
        </is>
      </c>
      <c r="B470" s="1" t="n">
        <v>45827</v>
      </c>
      <c r="C470" s="1" t="n">
        <v>45956</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12325-2023</t>
        </is>
      </c>
      <c r="B471" s="1" t="n">
        <v>44999.35858796296</v>
      </c>
      <c r="C471" s="1" t="n">
        <v>45956</v>
      </c>
      <c r="D471" t="inlineStr">
        <is>
          <t>KALMAR LÄN</t>
        </is>
      </c>
      <c r="E471" t="inlineStr">
        <is>
          <t>VIMMERBY</t>
        </is>
      </c>
      <c r="G471" t="n">
        <v>3.4</v>
      </c>
      <c r="H471" t="n">
        <v>0</v>
      </c>
      <c r="I471" t="n">
        <v>0</v>
      </c>
      <c r="J471" t="n">
        <v>0</v>
      </c>
      <c r="K471" t="n">
        <v>0</v>
      </c>
      <c r="L471" t="n">
        <v>0</v>
      </c>
      <c r="M471" t="n">
        <v>0</v>
      </c>
      <c r="N471" t="n">
        <v>0</v>
      </c>
      <c r="O471" t="n">
        <v>0</v>
      </c>
      <c r="P471" t="n">
        <v>0</v>
      </c>
      <c r="Q471" t="n">
        <v>0</v>
      </c>
      <c r="R471" s="2" t="inlineStr"/>
    </row>
    <row r="472" ht="15" customHeight="1">
      <c r="A472" t="inlineStr">
        <is>
          <t>A 19833-2023</t>
        </is>
      </c>
      <c r="B472" s="1" t="n">
        <v>45052</v>
      </c>
      <c r="C472" s="1" t="n">
        <v>45956</v>
      </c>
      <c r="D472" t="inlineStr">
        <is>
          <t>KALMAR LÄN</t>
        </is>
      </c>
      <c r="E472" t="inlineStr">
        <is>
          <t>VIMMERBY</t>
        </is>
      </c>
      <c r="G472" t="n">
        <v>6.7</v>
      </c>
      <c r="H472" t="n">
        <v>0</v>
      </c>
      <c r="I472" t="n">
        <v>0</v>
      </c>
      <c r="J472" t="n">
        <v>0</v>
      </c>
      <c r="K472" t="n">
        <v>0</v>
      </c>
      <c r="L472" t="n">
        <v>0</v>
      </c>
      <c r="M472" t="n">
        <v>0</v>
      </c>
      <c r="N472" t="n">
        <v>0</v>
      </c>
      <c r="O472" t="n">
        <v>0</v>
      </c>
      <c r="P472" t="n">
        <v>0</v>
      </c>
      <c r="Q472" t="n">
        <v>0</v>
      </c>
      <c r="R472" s="2" t="inlineStr"/>
    </row>
    <row r="473" ht="15" customHeight="1">
      <c r="A473" t="inlineStr">
        <is>
          <t>A 8945-2025</t>
        </is>
      </c>
      <c r="B473" s="1" t="n">
        <v>45713.45311342592</v>
      </c>
      <c r="C473" s="1" t="n">
        <v>45956</v>
      </c>
      <c r="D473" t="inlineStr">
        <is>
          <t>KALMAR LÄN</t>
        </is>
      </c>
      <c r="E473" t="inlineStr">
        <is>
          <t>VIMMERBY</t>
        </is>
      </c>
      <c r="G473" t="n">
        <v>0.6</v>
      </c>
      <c r="H473" t="n">
        <v>0</v>
      </c>
      <c r="I473" t="n">
        <v>0</v>
      </c>
      <c r="J473" t="n">
        <v>0</v>
      </c>
      <c r="K473" t="n">
        <v>0</v>
      </c>
      <c r="L473" t="n">
        <v>0</v>
      </c>
      <c r="M473" t="n">
        <v>0</v>
      </c>
      <c r="N473" t="n">
        <v>0</v>
      </c>
      <c r="O473" t="n">
        <v>0</v>
      </c>
      <c r="P473" t="n">
        <v>0</v>
      </c>
      <c r="Q473" t="n">
        <v>0</v>
      </c>
      <c r="R473" s="2" t="inlineStr"/>
    </row>
    <row r="474" ht="15" customHeight="1">
      <c r="A474" t="inlineStr">
        <is>
          <t>A 30290-2025</t>
        </is>
      </c>
      <c r="B474" s="1" t="n">
        <v>45827</v>
      </c>
      <c r="C474" s="1" t="n">
        <v>45956</v>
      </c>
      <c r="D474" t="inlineStr">
        <is>
          <t>KALMAR LÄN</t>
        </is>
      </c>
      <c r="E474" t="inlineStr">
        <is>
          <t>VIMMERBY</t>
        </is>
      </c>
      <c r="G474" t="n">
        <v>1</v>
      </c>
      <c r="H474" t="n">
        <v>0</v>
      </c>
      <c r="I474" t="n">
        <v>0</v>
      </c>
      <c r="J474" t="n">
        <v>0</v>
      </c>
      <c r="K474" t="n">
        <v>0</v>
      </c>
      <c r="L474" t="n">
        <v>0</v>
      </c>
      <c r="M474" t="n">
        <v>0</v>
      </c>
      <c r="N474" t="n">
        <v>0</v>
      </c>
      <c r="O474" t="n">
        <v>0</v>
      </c>
      <c r="P474" t="n">
        <v>0</v>
      </c>
      <c r="Q474" t="n">
        <v>0</v>
      </c>
      <c r="R474" s="2" t="inlineStr"/>
    </row>
    <row r="475" ht="15" customHeight="1">
      <c r="A475" t="inlineStr">
        <is>
          <t>A 40665-2023</t>
        </is>
      </c>
      <c r="B475" s="1" t="n">
        <v>45170</v>
      </c>
      <c r="C475" s="1" t="n">
        <v>45956</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13307-2025</t>
        </is>
      </c>
      <c r="B476" s="1" t="n">
        <v>45735.58024305556</v>
      </c>
      <c r="C476" s="1" t="n">
        <v>45956</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30850-2025</t>
        </is>
      </c>
      <c r="B477" s="1" t="n">
        <v>45831</v>
      </c>
      <c r="C477" s="1" t="n">
        <v>45956</v>
      </c>
      <c r="D477" t="inlineStr">
        <is>
          <t>KALMAR LÄN</t>
        </is>
      </c>
      <c r="E477" t="inlineStr">
        <is>
          <t>VIMMERBY</t>
        </is>
      </c>
      <c r="G477" t="n">
        <v>2.7</v>
      </c>
      <c r="H477" t="n">
        <v>0</v>
      </c>
      <c r="I477" t="n">
        <v>0</v>
      </c>
      <c r="J477" t="n">
        <v>0</v>
      </c>
      <c r="K477" t="n">
        <v>0</v>
      </c>
      <c r="L477" t="n">
        <v>0</v>
      </c>
      <c r="M477" t="n">
        <v>0</v>
      </c>
      <c r="N477" t="n">
        <v>0</v>
      </c>
      <c r="O477" t="n">
        <v>0</v>
      </c>
      <c r="P477" t="n">
        <v>0</v>
      </c>
      <c r="Q477" t="n">
        <v>0</v>
      </c>
      <c r="R477" s="2" t="inlineStr"/>
    </row>
    <row r="478" ht="15" customHeight="1">
      <c r="A478" t="inlineStr">
        <is>
          <t>A 28034-2022</t>
        </is>
      </c>
      <c r="B478" s="1" t="n">
        <v>44746.38834490741</v>
      </c>
      <c r="C478" s="1" t="n">
        <v>45956</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40970-2025</t>
        </is>
      </c>
      <c r="B479" s="1" t="n">
        <v>45897.88706018519</v>
      </c>
      <c r="C479" s="1" t="n">
        <v>45956</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40973-2025</t>
        </is>
      </c>
      <c r="B480" s="1" t="n">
        <v>45897.89737268518</v>
      </c>
      <c r="C480" s="1" t="n">
        <v>45956</v>
      </c>
      <c r="D480" t="inlineStr">
        <is>
          <t>KALMAR LÄN</t>
        </is>
      </c>
      <c r="E480" t="inlineStr">
        <is>
          <t>VIMMERBY</t>
        </is>
      </c>
      <c r="G480" t="n">
        <v>1.8</v>
      </c>
      <c r="H480" t="n">
        <v>0</v>
      </c>
      <c r="I480" t="n">
        <v>0</v>
      </c>
      <c r="J480" t="n">
        <v>0</v>
      </c>
      <c r="K480" t="n">
        <v>0</v>
      </c>
      <c r="L480" t="n">
        <v>0</v>
      </c>
      <c r="M480" t="n">
        <v>0</v>
      </c>
      <c r="N480" t="n">
        <v>0</v>
      </c>
      <c r="O480" t="n">
        <v>0</v>
      </c>
      <c r="P480" t="n">
        <v>0</v>
      </c>
      <c r="Q480" t="n">
        <v>0</v>
      </c>
      <c r="R480" s="2" t="inlineStr"/>
    </row>
    <row r="481" ht="15" customHeight="1">
      <c r="A481" t="inlineStr">
        <is>
          <t>A 41224-2025</t>
        </is>
      </c>
      <c r="B481" s="1" t="n">
        <v>45898.58861111111</v>
      </c>
      <c r="C481" s="1" t="n">
        <v>45956</v>
      </c>
      <c r="D481" t="inlineStr">
        <is>
          <t>KALMAR LÄN</t>
        </is>
      </c>
      <c r="E481" t="inlineStr">
        <is>
          <t>VIMMERBY</t>
        </is>
      </c>
      <c r="G481" t="n">
        <v>4.4</v>
      </c>
      <c r="H481" t="n">
        <v>0</v>
      </c>
      <c r="I481" t="n">
        <v>0</v>
      </c>
      <c r="J481" t="n">
        <v>0</v>
      </c>
      <c r="K481" t="n">
        <v>0</v>
      </c>
      <c r="L481" t="n">
        <v>0</v>
      </c>
      <c r="M481" t="n">
        <v>0</v>
      </c>
      <c r="N481" t="n">
        <v>0</v>
      </c>
      <c r="O481" t="n">
        <v>0</v>
      </c>
      <c r="P481" t="n">
        <v>0</v>
      </c>
      <c r="Q481" t="n">
        <v>0</v>
      </c>
      <c r="R481" s="2" t="inlineStr"/>
    </row>
    <row r="482" ht="15" customHeight="1">
      <c r="A482" t="inlineStr">
        <is>
          <t>A 30882-2025</t>
        </is>
      </c>
      <c r="B482" s="1" t="n">
        <v>45832.34540509259</v>
      </c>
      <c r="C482" s="1" t="n">
        <v>45956</v>
      </c>
      <c r="D482" t="inlineStr">
        <is>
          <t>KALMAR LÄN</t>
        </is>
      </c>
      <c r="E482" t="inlineStr">
        <is>
          <t>VIMMERBY</t>
        </is>
      </c>
      <c r="G482" t="n">
        <v>0.7</v>
      </c>
      <c r="H482" t="n">
        <v>0</v>
      </c>
      <c r="I482" t="n">
        <v>0</v>
      </c>
      <c r="J482" t="n">
        <v>0</v>
      </c>
      <c r="K482" t="n">
        <v>0</v>
      </c>
      <c r="L482" t="n">
        <v>0</v>
      </c>
      <c r="M482" t="n">
        <v>0</v>
      </c>
      <c r="N482" t="n">
        <v>0</v>
      </c>
      <c r="O482" t="n">
        <v>0</v>
      </c>
      <c r="P482" t="n">
        <v>0</v>
      </c>
      <c r="Q482" t="n">
        <v>0</v>
      </c>
      <c r="R482" s="2" t="inlineStr"/>
    </row>
    <row r="483" ht="15" customHeight="1">
      <c r="A483" t="inlineStr">
        <is>
          <t>A 30971-2025</t>
        </is>
      </c>
      <c r="B483" s="1" t="n">
        <v>45832.46146990741</v>
      </c>
      <c r="C483" s="1" t="n">
        <v>45956</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55605-2024</t>
        </is>
      </c>
      <c r="B484" s="1" t="n">
        <v>45622</v>
      </c>
      <c r="C484" s="1" t="n">
        <v>45956</v>
      </c>
      <c r="D484" t="inlineStr">
        <is>
          <t>KALMAR LÄN</t>
        </is>
      </c>
      <c r="E484" t="inlineStr">
        <is>
          <t>VIMMERBY</t>
        </is>
      </c>
      <c r="G484" t="n">
        <v>1.1</v>
      </c>
      <c r="H484" t="n">
        <v>0</v>
      </c>
      <c r="I484" t="n">
        <v>0</v>
      </c>
      <c r="J484" t="n">
        <v>0</v>
      </c>
      <c r="K484" t="n">
        <v>0</v>
      </c>
      <c r="L484" t="n">
        <v>0</v>
      </c>
      <c r="M484" t="n">
        <v>0</v>
      </c>
      <c r="N484" t="n">
        <v>0</v>
      </c>
      <c r="O484" t="n">
        <v>0</v>
      </c>
      <c r="P484" t="n">
        <v>0</v>
      </c>
      <c r="Q484" t="n">
        <v>0</v>
      </c>
      <c r="R484" s="2" t="inlineStr"/>
    </row>
    <row r="485" ht="15" customHeight="1">
      <c r="A485" t="inlineStr">
        <is>
          <t>A 42165-2024</t>
        </is>
      </c>
      <c r="B485" s="1" t="n">
        <v>45562.46342592593</v>
      </c>
      <c r="C485" s="1" t="n">
        <v>45956</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49871-2025</t>
        </is>
      </c>
      <c r="B486" s="1" t="n">
        <v>45940.54104166666</v>
      </c>
      <c r="C486" s="1" t="n">
        <v>45956</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31552-2025</t>
        </is>
      </c>
      <c r="B487" s="1" t="n">
        <v>45833.64563657407</v>
      </c>
      <c r="C487" s="1" t="n">
        <v>45956</v>
      </c>
      <c r="D487" t="inlineStr">
        <is>
          <t>KALMAR LÄN</t>
        </is>
      </c>
      <c r="E487" t="inlineStr">
        <is>
          <t>VIMMERBY</t>
        </is>
      </c>
      <c r="G487" t="n">
        <v>1.7</v>
      </c>
      <c r="H487" t="n">
        <v>0</v>
      </c>
      <c r="I487" t="n">
        <v>0</v>
      </c>
      <c r="J487" t="n">
        <v>0</v>
      </c>
      <c r="K487" t="n">
        <v>0</v>
      </c>
      <c r="L487" t="n">
        <v>0</v>
      </c>
      <c r="M487" t="n">
        <v>0</v>
      </c>
      <c r="N487" t="n">
        <v>0</v>
      </c>
      <c r="O487" t="n">
        <v>0</v>
      </c>
      <c r="P487" t="n">
        <v>0</v>
      </c>
      <c r="Q487" t="n">
        <v>0</v>
      </c>
      <c r="R487" s="2" t="inlineStr"/>
    </row>
    <row r="488" ht="15" customHeight="1">
      <c r="A488" t="inlineStr">
        <is>
          <t>A 31555-2025</t>
        </is>
      </c>
      <c r="B488" s="1" t="n">
        <v>45833.64814814815</v>
      </c>
      <c r="C488" s="1" t="n">
        <v>45956</v>
      </c>
      <c r="D488" t="inlineStr">
        <is>
          <t>KALMAR LÄN</t>
        </is>
      </c>
      <c r="E488" t="inlineStr">
        <is>
          <t>VIMMERBY</t>
        </is>
      </c>
      <c r="G488" t="n">
        <v>1.8</v>
      </c>
      <c r="H488" t="n">
        <v>0</v>
      </c>
      <c r="I488" t="n">
        <v>0</v>
      </c>
      <c r="J488" t="n">
        <v>0</v>
      </c>
      <c r="K488" t="n">
        <v>0</v>
      </c>
      <c r="L488" t="n">
        <v>0</v>
      </c>
      <c r="M488" t="n">
        <v>0</v>
      </c>
      <c r="N488" t="n">
        <v>0</v>
      </c>
      <c r="O488" t="n">
        <v>0</v>
      </c>
      <c r="P488" t="n">
        <v>0</v>
      </c>
      <c r="Q488" t="n">
        <v>0</v>
      </c>
      <c r="R488" s="2" t="inlineStr"/>
    </row>
    <row r="489" ht="15" customHeight="1">
      <c r="A489" t="inlineStr">
        <is>
          <t>A 20129-2024</t>
        </is>
      </c>
      <c r="B489" s="1" t="n">
        <v>45434.55831018519</v>
      </c>
      <c r="C489" s="1" t="n">
        <v>45956</v>
      </c>
      <c r="D489" t="inlineStr">
        <is>
          <t>KALMAR LÄN</t>
        </is>
      </c>
      <c r="E489" t="inlineStr">
        <is>
          <t>VIMMERBY</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20137-2024</t>
        </is>
      </c>
      <c r="B490" s="1" t="n">
        <v>45434.56398148148</v>
      </c>
      <c r="C490" s="1" t="n">
        <v>45956</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23095-2023</t>
        </is>
      </c>
      <c r="B491" s="1" t="n">
        <v>45075.43059027778</v>
      </c>
      <c r="C491" s="1" t="n">
        <v>45956</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32919-2022</t>
        </is>
      </c>
      <c r="B492" s="1" t="n">
        <v>44784.62724537037</v>
      </c>
      <c r="C492" s="1" t="n">
        <v>45956</v>
      </c>
      <c r="D492" t="inlineStr">
        <is>
          <t>KALMAR LÄN</t>
        </is>
      </c>
      <c r="E492" t="inlineStr">
        <is>
          <t>VIMMERBY</t>
        </is>
      </c>
      <c r="G492" t="n">
        <v>1.7</v>
      </c>
      <c r="H492" t="n">
        <v>0</v>
      </c>
      <c r="I492" t="n">
        <v>0</v>
      </c>
      <c r="J492" t="n">
        <v>0</v>
      </c>
      <c r="K492" t="n">
        <v>0</v>
      </c>
      <c r="L492" t="n">
        <v>0</v>
      </c>
      <c r="M492" t="n">
        <v>0</v>
      </c>
      <c r="N492" t="n">
        <v>0</v>
      </c>
      <c r="O492" t="n">
        <v>0</v>
      </c>
      <c r="P492" t="n">
        <v>0</v>
      </c>
      <c r="Q492" t="n">
        <v>0</v>
      </c>
      <c r="R492" s="2" t="inlineStr"/>
    </row>
    <row r="493" ht="15" customHeight="1">
      <c r="A493" t="inlineStr">
        <is>
          <t>A 31870-2025</t>
        </is>
      </c>
      <c r="B493" s="1" t="n">
        <v>45834.64667824074</v>
      </c>
      <c r="C493" s="1" t="n">
        <v>45956</v>
      </c>
      <c r="D493" t="inlineStr">
        <is>
          <t>KALMAR LÄN</t>
        </is>
      </c>
      <c r="E493" t="inlineStr">
        <is>
          <t>VIMMERBY</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17084-2025</t>
        </is>
      </c>
      <c r="B494" s="1" t="n">
        <v>45755.64450231481</v>
      </c>
      <c r="C494" s="1" t="n">
        <v>45956</v>
      </c>
      <c r="D494" t="inlineStr">
        <is>
          <t>KALMAR LÄN</t>
        </is>
      </c>
      <c r="E494" t="inlineStr">
        <is>
          <t>VIMMERBY</t>
        </is>
      </c>
      <c r="G494" t="n">
        <v>1.4</v>
      </c>
      <c r="H494" t="n">
        <v>0</v>
      </c>
      <c r="I494" t="n">
        <v>0</v>
      </c>
      <c r="J494" t="n">
        <v>0</v>
      </c>
      <c r="K494" t="n">
        <v>0</v>
      </c>
      <c r="L494" t="n">
        <v>0</v>
      </c>
      <c r="M494" t="n">
        <v>0</v>
      </c>
      <c r="N494" t="n">
        <v>0</v>
      </c>
      <c r="O494" t="n">
        <v>0</v>
      </c>
      <c r="P494" t="n">
        <v>0</v>
      </c>
      <c r="Q494" t="n">
        <v>0</v>
      </c>
      <c r="R494" s="2" t="inlineStr"/>
    </row>
    <row r="495" ht="15" customHeight="1">
      <c r="A495" t="inlineStr">
        <is>
          <t>A 8559-2025</t>
        </is>
      </c>
      <c r="B495" s="1" t="n">
        <v>45709.62280092593</v>
      </c>
      <c r="C495" s="1" t="n">
        <v>45956</v>
      </c>
      <c r="D495" t="inlineStr">
        <is>
          <t>KALMAR LÄN</t>
        </is>
      </c>
      <c r="E495" t="inlineStr">
        <is>
          <t>VIMMERBY</t>
        </is>
      </c>
      <c r="G495" t="n">
        <v>8.9</v>
      </c>
      <c r="H495" t="n">
        <v>0</v>
      </c>
      <c r="I495" t="n">
        <v>0</v>
      </c>
      <c r="J495" t="n">
        <v>0</v>
      </c>
      <c r="K495" t="n">
        <v>0</v>
      </c>
      <c r="L495" t="n">
        <v>0</v>
      </c>
      <c r="M495" t="n">
        <v>0</v>
      </c>
      <c r="N495" t="n">
        <v>0</v>
      </c>
      <c r="O495" t="n">
        <v>0</v>
      </c>
      <c r="P495" t="n">
        <v>0</v>
      </c>
      <c r="Q495" t="n">
        <v>0</v>
      </c>
      <c r="R495" s="2" t="inlineStr"/>
    </row>
    <row r="496" ht="15" customHeight="1">
      <c r="A496" t="inlineStr">
        <is>
          <t>A 31872-2025</t>
        </is>
      </c>
      <c r="B496" s="1" t="n">
        <v>45834.65040509259</v>
      </c>
      <c r="C496" s="1" t="n">
        <v>45956</v>
      </c>
      <c r="D496" t="inlineStr">
        <is>
          <t>KALMAR LÄN</t>
        </is>
      </c>
      <c r="E496" t="inlineStr">
        <is>
          <t>VIMMERBY</t>
        </is>
      </c>
      <c r="F496" t="inlineStr">
        <is>
          <t>Sveaskog</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31876-2025</t>
        </is>
      </c>
      <c r="B497" s="1" t="n">
        <v>45834.65197916667</v>
      </c>
      <c r="C497" s="1" t="n">
        <v>45956</v>
      </c>
      <c r="D497" t="inlineStr">
        <is>
          <t>KALMAR LÄN</t>
        </is>
      </c>
      <c r="E497" t="inlineStr">
        <is>
          <t>VIMMERBY</t>
        </is>
      </c>
      <c r="F497" t="inlineStr">
        <is>
          <t>Sveaskog</t>
        </is>
      </c>
      <c r="G497" t="n">
        <v>3.3</v>
      </c>
      <c r="H497" t="n">
        <v>0</v>
      </c>
      <c r="I497" t="n">
        <v>0</v>
      </c>
      <c r="J497" t="n">
        <v>0</v>
      </c>
      <c r="K497" t="n">
        <v>0</v>
      </c>
      <c r="L497" t="n">
        <v>0</v>
      </c>
      <c r="M497" t="n">
        <v>0</v>
      </c>
      <c r="N497" t="n">
        <v>0</v>
      </c>
      <c r="O497" t="n">
        <v>0</v>
      </c>
      <c r="P497" t="n">
        <v>0</v>
      </c>
      <c r="Q497" t="n">
        <v>0</v>
      </c>
      <c r="R497" s="2" t="inlineStr"/>
    </row>
    <row r="498" ht="15" customHeight="1">
      <c r="A498" t="inlineStr">
        <is>
          <t>A 56022-2024</t>
        </is>
      </c>
      <c r="B498" s="1" t="n">
        <v>45623.95947916667</v>
      </c>
      <c r="C498" s="1" t="n">
        <v>45956</v>
      </c>
      <c r="D498" t="inlineStr">
        <is>
          <t>KALMAR LÄN</t>
        </is>
      </c>
      <c r="E498" t="inlineStr">
        <is>
          <t>VIMMERBY</t>
        </is>
      </c>
      <c r="G498" t="n">
        <v>0.3</v>
      </c>
      <c r="H498" t="n">
        <v>0</v>
      </c>
      <c r="I498" t="n">
        <v>0</v>
      </c>
      <c r="J498" t="n">
        <v>0</v>
      </c>
      <c r="K498" t="n">
        <v>0</v>
      </c>
      <c r="L498" t="n">
        <v>0</v>
      </c>
      <c r="M498" t="n">
        <v>0</v>
      </c>
      <c r="N498" t="n">
        <v>0</v>
      </c>
      <c r="O498" t="n">
        <v>0</v>
      </c>
      <c r="P498" t="n">
        <v>0</v>
      </c>
      <c r="Q498" t="n">
        <v>0</v>
      </c>
      <c r="R498" s="2" t="inlineStr"/>
    </row>
    <row r="499" ht="15" customHeight="1">
      <c r="A499" t="inlineStr">
        <is>
          <t>A 11928-2022</t>
        </is>
      </c>
      <c r="B499" s="1" t="n">
        <v>44635</v>
      </c>
      <c r="C499" s="1" t="n">
        <v>45956</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31551-2025</t>
        </is>
      </c>
      <c r="B500" s="1" t="n">
        <v>45833.64237268519</v>
      </c>
      <c r="C500" s="1" t="n">
        <v>45956</v>
      </c>
      <c r="D500" t="inlineStr">
        <is>
          <t>KALMAR LÄN</t>
        </is>
      </c>
      <c r="E500" t="inlineStr">
        <is>
          <t>VIMMERBY</t>
        </is>
      </c>
      <c r="G500" t="n">
        <v>1.9</v>
      </c>
      <c r="H500" t="n">
        <v>0</v>
      </c>
      <c r="I500" t="n">
        <v>0</v>
      </c>
      <c r="J500" t="n">
        <v>0</v>
      </c>
      <c r="K500" t="n">
        <v>0</v>
      </c>
      <c r="L500" t="n">
        <v>0</v>
      </c>
      <c r="M500" t="n">
        <v>0</v>
      </c>
      <c r="N500" t="n">
        <v>0</v>
      </c>
      <c r="O500" t="n">
        <v>0</v>
      </c>
      <c r="P500" t="n">
        <v>0</v>
      </c>
      <c r="Q500" t="n">
        <v>0</v>
      </c>
      <c r="R500" s="2" t="inlineStr"/>
    </row>
    <row r="501" ht="15" customHeight="1">
      <c r="A501" t="inlineStr">
        <is>
          <t>A 31987-2025</t>
        </is>
      </c>
      <c r="B501" s="1" t="n">
        <v>45835.36229166666</v>
      </c>
      <c r="C501" s="1" t="n">
        <v>45956</v>
      </c>
      <c r="D501" t="inlineStr">
        <is>
          <t>KALMAR LÄN</t>
        </is>
      </c>
      <c r="E501" t="inlineStr">
        <is>
          <t>VIMMERBY</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32120-2025</t>
        </is>
      </c>
      <c r="B502" s="1" t="n">
        <v>45835.4924537037</v>
      </c>
      <c r="C502" s="1" t="n">
        <v>45956</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40925-2025</t>
        </is>
      </c>
      <c r="B503" s="1" t="n">
        <v>45897.64208333333</v>
      </c>
      <c r="C503" s="1" t="n">
        <v>45956</v>
      </c>
      <c r="D503" t="inlineStr">
        <is>
          <t>KALMAR LÄN</t>
        </is>
      </c>
      <c r="E503" t="inlineStr">
        <is>
          <t>VIMMERBY</t>
        </is>
      </c>
      <c r="G503" t="n">
        <v>1.9</v>
      </c>
      <c r="H503" t="n">
        <v>0</v>
      </c>
      <c r="I503" t="n">
        <v>0</v>
      </c>
      <c r="J503" t="n">
        <v>0</v>
      </c>
      <c r="K503" t="n">
        <v>0</v>
      </c>
      <c r="L503" t="n">
        <v>0</v>
      </c>
      <c r="M503" t="n">
        <v>0</v>
      </c>
      <c r="N503" t="n">
        <v>0</v>
      </c>
      <c r="O503" t="n">
        <v>0</v>
      </c>
      <c r="P503" t="n">
        <v>0</v>
      </c>
      <c r="Q503" t="n">
        <v>0</v>
      </c>
      <c r="R503" s="2" t="inlineStr"/>
    </row>
    <row r="504" ht="15" customHeight="1">
      <c r="A504" t="inlineStr">
        <is>
          <t>A 7068-2024</t>
        </is>
      </c>
      <c r="B504" s="1" t="n">
        <v>45343.68038194445</v>
      </c>
      <c r="C504" s="1" t="n">
        <v>45956</v>
      </c>
      <c r="D504" t="inlineStr">
        <is>
          <t>KALMAR LÄN</t>
        </is>
      </c>
      <c r="E504" t="inlineStr">
        <is>
          <t>VIMMERBY</t>
        </is>
      </c>
      <c r="G504" t="n">
        <v>2.5</v>
      </c>
      <c r="H504" t="n">
        <v>0</v>
      </c>
      <c r="I504" t="n">
        <v>0</v>
      </c>
      <c r="J504" t="n">
        <v>0</v>
      </c>
      <c r="K504" t="n">
        <v>0</v>
      </c>
      <c r="L504" t="n">
        <v>0</v>
      </c>
      <c r="M504" t="n">
        <v>0</v>
      </c>
      <c r="N504" t="n">
        <v>0</v>
      </c>
      <c r="O504" t="n">
        <v>0</v>
      </c>
      <c r="P504" t="n">
        <v>0</v>
      </c>
      <c r="Q504" t="n">
        <v>0</v>
      </c>
      <c r="R504" s="2" t="inlineStr"/>
    </row>
    <row r="505" ht="15" customHeight="1">
      <c r="A505" t="inlineStr">
        <is>
          <t>A 32116-2025</t>
        </is>
      </c>
      <c r="B505" s="1" t="n">
        <v>45835.48862268519</v>
      </c>
      <c r="C505" s="1" t="n">
        <v>45956</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45855-2025</t>
        </is>
      </c>
      <c r="B506" s="1" t="n">
        <v>45923</v>
      </c>
      <c r="C506" s="1" t="n">
        <v>45956</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40921-2025</t>
        </is>
      </c>
      <c r="B507" s="1" t="n">
        <v>45897.63520833333</v>
      </c>
      <c r="C507" s="1" t="n">
        <v>45956</v>
      </c>
      <c r="D507" t="inlineStr">
        <is>
          <t>KALMAR LÄN</t>
        </is>
      </c>
      <c r="E507" t="inlineStr">
        <is>
          <t>VIMMERBY</t>
        </is>
      </c>
      <c r="G507" t="n">
        <v>4.2</v>
      </c>
      <c r="H507" t="n">
        <v>0</v>
      </c>
      <c r="I507" t="n">
        <v>0</v>
      </c>
      <c r="J507" t="n">
        <v>0</v>
      </c>
      <c r="K507" t="n">
        <v>0</v>
      </c>
      <c r="L507" t="n">
        <v>0</v>
      </c>
      <c r="M507" t="n">
        <v>0</v>
      </c>
      <c r="N507" t="n">
        <v>0</v>
      </c>
      <c r="O507" t="n">
        <v>0</v>
      </c>
      <c r="P507" t="n">
        <v>0</v>
      </c>
      <c r="Q507" t="n">
        <v>0</v>
      </c>
      <c r="R507" s="2" t="inlineStr"/>
    </row>
    <row r="508" ht="15" customHeight="1">
      <c r="A508" t="inlineStr">
        <is>
          <t>A 12596-2021</t>
        </is>
      </c>
      <c r="B508" s="1" t="n">
        <v>44270.39765046296</v>
      </c>
      <c r="C508" s="1" t="n">
        <v>45956</v>
      </c>
      <c r="D508" t="inlineStr">
        <is>
          <t>KALMAR LÄN</t>
        </is>
      </c>
      <c r="E508" t="inlineStr">
        <is>
          <t>VIMMERBY</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40971-2025</t>
        </is>
      </c>
      <c r="B509" s="1" t="n">
        <v>45897.88836805556</v>
      </c>
      <c r="C509" s="1" t="n">
        <v>45956</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32380-2025</t>
        </is>
      </c>
      <c r="B510" s="1" t="n">
        <v>45837.77701388889</v>
      </c>
      <c r="C510" s="1" t="n">
        <v>45956</v>
      </c>
      <c r="D510" t="inlineStr">
        <is>
          <t>KALMAR LÄN</t>
        </is>
      </c>
      <c r="E510" t="inlineStr">
        <is>
          <t>VIMMERBY</t>
        </is>
      </c>
      <c r="G510" t="n">
        <v>3.1</v>
      </c>
      <c r="H510" t="n">
        <v>0</v>
      </c>
      <c r="I510" t="n">
        <v>0</v>
      </c>
      <c r="J510" t="n">
        <v>0</v>
      </c>
      <c r="K510" t="n">
        <v>0</v>
      </c>
      <c r="L510" t="n">
        <v>0</v>
      </c>
      <c r="M510" t="n">
        <v>0</v>
      </c>
      <c r="N510" t="n">
        <v>0</v>
      </c>
      <c r="O510" t="n">
        <v>0</v>
      </c>
      <c r="P510" t="n">
        <v>0</v>
      </c>
      <c r="Q510" t="n">
        <v>0</v>
      </c>
      <c r="R510" s="2" t="inlineStr"/>
    </row>
    <row r="511" ht="15" customHeight="1">
      <c r="A511" t="inlineStr">
        <is>
          <t>A 32655-2023</t>
        </is>
      </c>
      <c r="B511" s="1" t="n">
        <v>45121.61318287037</v>
      </c>
      <c r="C511" s="1" t="n">
        <v>45956</v>
      </c>
      <c r="D511" t="inlineStr">
        <is>
          <t>KALMAR LÄN</t>
        </is>
      </c>
      <c r="E511" t="inlineStr">
        <is>
          <t>VIMMERBY</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32109-2025</t>
        </is>
      </c>
      <c r="B512" s="1" t="n">
        <v>45835.48267361111</v>
      </c>
      <c r="C512" s="1" t="n">
        <v>45956</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32113-2025</t>
        </is>
      </c>
      <c r="B513" s="1" t="n">
        <v>45835.48445601852</v>
      </c>
      <c r="C513" s="1" t="n">
        <v>45956</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32077-2025</t>
        </is>
      </c>
      <c r="B514" s="1" t="n">
        <v>45835.45099537037</v>
      </c>
      <c r="C514" s="1" t="n">
        <v>45956</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5527-2022</t>
        </is>
      </c>
      <c r="B515" s="1" t="n">
        <v>44595.583125</v>
      </c>
      <c r="C515" s="1" t="n">
        <v>45956</v>
      </c>
      <c r="D515" t="inlineStr">
        <is>
          <t>KALMAR LÄN</t>
        </is>
      </c>
      <c r="E515" t="inlineStr">
        <is>
          <t>VIMMERBY</t>
        </is>
      </c>
      <c r="G515" t="n">
        <v>3.6</v>
      </c>
      <c r="H515" t="n">
        <v>0</v>
      </c>
      <c r="I515" t="n">
        <v>0</v>
      </c>
      <c r="J515" t="n">
        <v>0</v>
      </c>
      <c r="K515" t="n">
        <v>0</v>
      </c>
      <c r="L515" t="n">
        <v>0</v>
      </c>
      <c r="M515" t="n">
        <v>0</v>
      </c>
      <c r="N515" t="n">
        <v>0</v>
      </c>
      <c r="O515" t="n">
        <v>0</v>
      </c>
      <c r="P515" t="n">
        <v>0</v>
      </c>
      <c r="Q515" t="n">
        <v>0</v>
      </c>
      <c r="R515" s="2" t="inlineStr"/>
    </row>
    <row r="516" ht="15" customHeight="1">
      <c r="A516" t="inlineStr">
        <is>
          <t>A 32064-2025</t>
        </is>
      </c>
      <c r="B516" s="1" t="n">
        <v>45835.44709490741</v>
      </c>
      <c r="C516" s="1" t="n">
        <v>45956</v>
      </c>
      <c r="D516" t="inlineStr">
        <is>
          <t>KALMAR LÄN</t>
        </is>
      </c>
      <c r="E516" t="inlineStr">
        <is>
          <t>VIMMERBY</t>
        </is>
      </c>
      <c r="G516" t="n">
        <v>2.6</v>
      </c>
      <c r="H516" t="n">
        <v>0</v>
      </c>
      <c r="I516" t="n">
        <v>0</v>
      </c>
      <c r="J516" t="n">
        <v>0</v>
      </c>
      <c r="K516" t="n">
        <v>0</v>
      </c>
      <c r="L516" t="n">
        <v>0</v>
      </c>
      <c r="M516" t="n">
        <v>0</v>
      </c>
      <c r="N516" t="n">
        <v>0</v>
      </c>
      <c r="O516" t="n">
        <v>0</v>
      </c>
      <c r="P516" t="n">
        <v>0</v>
      </c>
      <c r="Q516" t="n">
        <v>0</v>
      </c>
      <c r="R516" s="2" t="inlineStr"/>
    </row>
    <row r="517" ht="15" customHeight="1">
      <c r="A517" t="inlineStr">
        <is>
          <t>A 32065-2025</t>
        </is>
      </c>
      <c r="B517" s="1" t="n">
        <v>45835.44732638889</v>
      </c>
      <c r="C517" s="1" t="n">
        <v>45956</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54409-2024</t>
        </is>
      </c>
      <c r="B518" s="1" t="n">
        <v>45617.47570601852</v>
      </c>
      <c r="C518" s="1" t="n">
        <v>45956</v>
      </c>
      <c r="D518" t="inlineStr">
        <is>
          <t>KALMAR LÄN</t>
        </is>
      </c>
      <c r="E518" t="inlineStr">
        <is>
          <t>VIMMERBY</t>
        </is>
      </c>
      <c r="G518" t="n">
        <v>4.3</v>
      </c>
      <c r="H518" t="n">
        <v>0</v>
      </c>
      <c r="I518" t="n">
        <v>0</v>
      </c>
      <c r="J518" t="n">
        <v>0</v>
      </c>
      <c r="K518" t="n">
        <v>0</v>
      </c>
      <c r="L518" t="n">
        <v>0</v>
      </c>
      <c r="M518" t="n">
        <v>0</v>
      </c>
      <c r="N518" t="n">
        <v>0</v>
      </c>
      <c r="O518" t="n">
        <v>0</v>
      </c>
      <c r="P518" t="n">
        <v>0</v>
      </c>
      <c r="Q518" t="n">
        <v>0</v>
      </c>
      <c r="R518" s="2" t="inlineStr"/>
    </row>
    <row r="519" ht="15" customHeight="1">
      <c r="A519" t="inlineStr">
        <is>
          <t>A 41591-2025</t>
        </is>
      </c>
      <c r="B519" s="1" t="n">
        <v>45901.6327662037</v>
      </c>
      <c r="C519" s="1" t="n">
        <v>45956</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41589-2025</t>
        </is>
      </c>
      <c r="B520" s="1" t="n">
        <v>45901.63219907408</v>
      </c>
      <c r="C520" s="1" t="n">
        <v>45956</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33186-2025</t>
        </is>
      </c>
      <c r="B521" s="1" t="n">
        <v>45840.59474537037</v>
      </c>
      <c r="C521" s="1" t="n">
        <v>45956</v>
      </c>
      <c r="D521" t="inlineStr">
        <is>
          <t>KALMAR LÄN</t>
        </is>
      </c>
      <c r="E521" t="inlineStr">
        <is>
          <t>VIMMERBY</t>
        </is>
      </c>
      <c r="G521" t="n">
        <v>2.6</v>
      </c>
      <c r="H521" t="n">
        <v>0</v>
      </c>
      <c r="I521" t="n">
        <v>0</v>
      </c>
      <c r="J521" t="n">
        <v>0</v>
      </c>
      <c r="K521" t="n">
        <v>0</v>
      </c>
      <c r="L521" t="n">
        <v>0</v>
      </c>
      <c r="M521" t="n">
        <v>0</v>
      </c>
      <c r="N521" t="n">
        <v>0</v>
      </c>
      <c r="O521" t="n">
        <v>0</v>
      </c>
      <c r="P521" t="n">
        <v>0</v>
      </c>
      <c r="Q521" t="n">
        <v>0</v>
      </c>
      <c r="R521" s="2" t="inlineStr"/>
    </row>
    <row r="522" ht="15" customHeight="1">
      <c r="A522" t="inlineStr">
        <is>
          <t>A 49461-2023</t>
        </is>
      </c>
      <c r="B522" s="1" t="n">
        <v>45211.52642361111</v>
      </c>
      <c r="C522" s="1" t="n">
        <v>45956</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49474-2023</t>
        </is>
      </c>
      <c r="B523" s="1" t="n">
        <v>45211.541875</v>
      </c>
      <c r="C523" s="1" t="n">
        <v>45956</v>
      </c>
      <c r="D523" t="inlineStr">
        <is>
          <t>KALMAR LÄN</t>
        </is>
      </c>
      <c r="E523" t="inlineStr">
        <is>
          <t>VIMMERBY</t>
        </is>
      </c>
      <c r="G523" t="n">
        <v>3.6</v>
      </c>
      <c r="H523" t="n">
        <v>0</v>
      </c>
      <c r="I523" t="n">
        <v>0</v>
      </c>
      <c r="J523" t="n">
        <v>0</v>
      </c>
      <c r="K523" t="n">
        <v>0</v>
      </c>
      <c r="L523" t="n">
        <v>0</v>
      </c>
      <c r="M523" t="n">
        <v>0</v>
      </c>
      <c r="N523" t="n">
        <v>0</v>
      </c>
      <c r="O523" t="n">
        <v>0</v>
      </c>
      <c r="P523" t="n">
        <v>0</v>
      </c>
      <c r="Q523" t="n">
        <v>0</v>
      </c>
      <c r="R523" s="2" t="inlineStr"/>
    </row>
    <row r="524" ht="15" customHeight="1">
      <c r="A524" t="inlineStr">
        <is>
          <t>A 30977-2025</t>
        </is>
      </c>
      <c r="B524" s="1" t="n">
        <v>45832.46649305556</v>
      </c>
      <c r="C524" s="1" t="n">
        <v>45956</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9475-2023</t>
        </is>
      </c>
      <c r="B525" s="1" t="n">
        <v>44981.58834490741</v>
      </c>
      <c r="C525" s="1" t="n">
        <v>45956</v>
      </c>
      <c r="D525" t="inlineStr">
        <is>
          <t>KALMAR LÄN</t>
        </is>
      </c>
      <c r="E525" t="inlineStr">
        <is>
          <t>VIMMERBY</t>
        </is>
      </c>
      <c r="G525" t="n">
        <v>2</v>
      </c>
      <c r="H525" t="n">
        <v>0</v>
      </c>
      <c r="I525" t="n">
        <v>0</v>
      </c>
      <c r="J525" t="n">
        <v>0</v>
      </c>
      <c r="K525" t="n">
        <v>0</v>
      </c>
      <c r="L525" t="n">
        <v>0</v>
      </c>
      <c r="M525" t="n">
        <v>0</v>
      </c>
      <c r="N525" t="n">
        <v>0</v>
      </c>
      <c r="O525" t="n">
        <v>0</v>
      </c>
      <c r="P525" t="n">
        <v>0</v>
      </c>
      <c r="Q525" t="n">
        <v>0</v>
      </c>
      <c r="R525" s="2" t="inlineStr"/>
    </row>
    <row r="526" ht="15" customHeight="1">
      <c r="A526" t="inlineStr">
        <is>
          <t>A 61861-2024</t>
        </is>
      </c>
      <c r="B526" s="1" t="n">
        <v>45650.37370370371</v>
      </c>
      <c r="C526" s="1" t="n">
        <v>45956</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33695-2025</t>
        </is>
      </c>
      <c r="B527" s="1" t="n">
        <v>45841.70569444444</v>
      </c>
      <c r="C527" s="1" t="n">
        <v>45956</v>
      </c>
      <c r="D527" t="inlineStr">
        <is>
          <t>KALMAR LÄN</t>
        </is>
      </c>
      <c r="E527" t="inlineStr">
        <is>
          <t>VIMMERBY</t>
        </is>
      </c>
      <c r="G527" t="n">
        <v>2.7</v>
      </c>
      <c r="H527" t="n">
        <v>0</v>
      </c>
      <c r="I527" t="n">
        <v>0</v>
      </c>
      <c r="J527" t="n">
        <v>0</v>
      </c>
      <c r="K527" t="n">
        <v>0</v>
      </c>
      <c r="L527" t="n">
        <v>0</v>
      </c>
      <c r="M527" t="n">
        <v>0</v>
      </c>
      <c r="N527" t="n">
        <v>0</v>
      </c>
      <c r="O527" t="n">
        <v>0</v>
      </c>
      <c r="P527" t="n">
        <v>0</v>
      </c>
      <c r="Q527" t="n">
        <v>0</v>
      </c>
      <c r="R527" s="2" t="inlineStr"/>
    </row>
    <row r="528" ht="15" customHeight="1">
      <c r="A528" t="inlineStr">
        <is>
          <t>A 33698-2025</t>
        </is>
      </c>
      <c r="B528" s="1" t="n">
        <v>45841.70868055556</v>
      </c>
      <c r="C528" s="1" t="n">
        <v>45956</v>
      </c>
      <c r="D528" t="inlineStr">
        <is>
          <t>KALMAR LÄN</t>
        </is>
      </c>
      <c r="E528" t="inlineStr">
        <is>
          <t>VIMMERBY</t>
        </is>
      </c>
      <c r="G528" t="n">
        <v>3.7</v>
      </c>
      <c r="H528" t="n">
        <v>0</v>
      </c>
      <c r="I528" t="n">
        <v>0</v>
      </c>
      <c r="J528" t="n">
        <v>0</v>
      </c>
      <c r="K528" t="n">
        <v>0</v>
      </c>
      <c r="L528" t="n">
        <v>0</v>
      </c>
      <c r="M528" t="n">
        <v>0</v>
      </c>
      <c r="N528" t="n">
        <v>0</v>
      </c>
      <c r="O528" t="n">
        <v>0</v>
      </c>
      <c r="P528" t="n">
        <v>0</v>
      </c>
      <c r="Q528" t="n">
        <v>0</v>
      </c>
      <c r="R528" s="2" t="inlineStr"/>
    </row>
    <row r="529" ht="15" customHeight="1">
      <c r="A529" t="inlineStr">
        <is>
          <t>A 50324-2025</t>
        </is>
      </c>
      <c r="B529" s="1" t="n">
        <v>45944.45962962963</v>
      </c>
      <c r="C529" s="1" t="n">
        <v>45956</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45846-2023</t>
        </is>
      </c>
      <c r="B530" s="1" t="n">
        <v>45195.58452546296</v>
      </c>
      <c r="C530" s="1" t="n">
        <v>45956</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43092-2024</t>
        </is>
      </c>
      <c r="B531" s="1" t="n">
        <v>45567</v>
      </c>
      <c r="C531" s="1" t="n">
        <v>45956</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8167-2024</t>
        </is>
      </c>
      <c r="B532" s="1" t="n">
        <v>45351.6062962963</v>
      </c>
      <c r="C532" s="1" t="n">
        <v>45956</v>
      </c>
      <c r="D532" t="inlineStr">
        <is>
          <t>KALMAR LÄN</t>
        </is>
      </c>
      <c r="E532" t="inlineStr">
        <is>
          <t>VIMMERBY</t>
        </is>
      </c>
      <c r="G532" t="n">
        <v>3.8</v>
      </c>
      <c r="H532" t="n">
        <v>0</v>
      </c>
      <c r="I532" t="n">
        <v>0</v>
      </c>
      <c r="J532" t="n">
        <v>0</v>
      </c>
      <c r="K532" t="n">
        <v>0</v>
      </c>
      <c r="L532" t="n">
        <v>0</v>
      </c>
      <c r="M532" t="n">
        <v>0</v>
      </c>
      <c r="N532" t="n">
        <v>0</v>
      </c>
      <c r="O532" t="n">
        <v>0</v>
      </c>
      <c r="P532" t="n">
        <v>0</v>
      </c>
      <c r="Q532" t="n">
        <v>0</v>
      </c>
      <c r="R532" s="2" t="inlineStr"/>
    </row>
    <row r="533" ht="15" customHeight="1">
      <c r="A533" t="inlineStr">
        <is>
          <t>A 33696-2025</t>
        </is>
      </c>
      <c r="B533" s="1" t="n">
        <v>45841.7072337963</v>
      </c>
      <c r="C533" s="1" t="n">
        <v>45956</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11619-2023</t>
        </is>
      </c>
      <c r="B534" s="1" t="n">
        <v>44994.42113425926</v>
      </c>
      <c r="C534" s="1" t="n">
        <v>45956</v>
      </c>
      <c r="D534" t="inlineStr">
        <is>
          <t>KALMAR LÄN</t>
        </is>
      </c>
      <c r="E534" t="inlineStr">
        <is>
          <t>VIMMERBY</t>
        </is>
      </c>
      <c r="G534" t="n">
        <v>2.5</v>
      </c>
      <c r="H534" t="n">
        <v>0</v>
      </c>
      <c r="I534" t="n">
        <v>0</v>
      </c>
      <c r="J534" t="n">
        <v>0</v>
      </c>
      <c r="K534" t="n">
        <v>0</v>
      </c>
      <c r="L534" t="n">
        <v>0</v>
      </c>
      <c r="M534" t="n">
        <v>0</v>
      </c>
      <c r="N534" t="n">
        <v>0</v>
      </c>
      <c r="O534" t="n">
        <v>0</v>
      </c>
      <c r="P534" t="n">
        <v>0</v>
      </c>
      <c r="Q534" t="n">
        <v>0</v>
      </c>
      <c r="R534" s="2" t="inlineStr"/>
    </row>
    <row r="535" ht="15" customHeight="1">
      <c r="A535" t="inlineStr">
        <is>
          <t>A 5074-2023</t>
        </is>
      </c>
      <c r="B535" s="1" t="n">
        <v>44958.61047453704</v>
      </c>
      <c r="C535" s="1" t="n">
        <v>45956</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6368-2023</t>
        </is>
      </c>
      <c r="B536" s="1" t="n">
        <v>44965</v>
      </c>
      <c r="C536" s="1" t="n">
        <v>45956</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49382-2023</t>
        </is>
      </c>
      <c r="B537" s="1" t="n">
        <v>45208</v>
      </c>
      <c r="C537" s="1" t="n">
        <v>45956</v>
      </c>
      <c r="D537" t="inlineStr">
        <is>
          <t>KALMAR LÄN</t>
        </is>
      </c>
      <c r="E537" t="inlineStr">
        <is>
          <t>VIMMERBY</t>
        </is>
      </c>
      <c r="G537" t="n">
        <v>2.2</v>
      </c>
      <c r="H537" t="n">
        <v>0</v>
      </c>
      <c r="I537" t="n">
        <v>0</v>
      </c>
      <c r="J537" t="n">
        <v>0</v>
      </c>
      <c r="K537" t="n">
        <v>0</v>
      </c>
      <c r="L537" t="n">
        <v>0</v>
      </c>
      <c r="M537" t="n">
        <v>0</v>
      </c>
      <c r="N537" t="n">
        <v>0</v>
      </c>
      <c r="O537" t="n">
        <v>0</v>
      </c>
      <c r="P537" t="n">
        <v>0</v>
      </c>
      <c r="Q537" t="n">
        <v>0</v>
      </c>
      <c r="R537" s="2" t="inlineStr"/>
    </row>
    <row r="538" ht="15" customHeight="1">
      <c r="A538" t="inlineStr">
        <is>
          <t>A 5701-2024</t>
        </is>
      </c>
      <c r="B538" s="1" t="n">
        <v>45334.78826388889</v>
      </c>
      <c r="C538" s="1" t="n">
        <v>45956</v>
      </c>
      <c r="D538" t="inlineStr">
        <is>
          <t>KALMAR LÄN</t>
        </is>
      </c>
      <c r="E538" t="inlineStr">
        <is>
          <t>VIMMERBY</t>
        </is>
      </c>
      <c r="G538" t="n">
        <v>2.3</v>
      </c>
      <c r="H538" t="n">
        <v>0</v>
      </c>
      <c r="I538" t="n">
        <v>0</v>
      </c>
      <c r="J538" t="n">
        <v>0</v>
      </c>
      <c r="K538" t="n">
        <v>0</v>
      </c>
      <c r="L538" t="n">
        <v>0</v>
      </c>
      <c r="M538" t="n">
        <v>0</v>
      </c>
      <c r="N538" t="n">
        <v>0</v>
      </c>
      <c r="O538" t="n">
        <v>0</v>
      </c>
      <c r="P538" t="n">
        <v>0</v>
      </c>
      <c r="Q538" t="n">
        <v>0</v>
      </c>
      <c r="R538" s="2" t="inlineStr"/>
    </row>
    <row r="539" ht="15" customHeight="1">
      <c r="A539" t="inlineStr">
        <is>
          <t>A 28702-2025</t>
        </is>
      </c>
      <c r="B539" s="1" t="n">
        <v>45820.03976851852</v>
      </c>
      <c r="C539" s="1" t="n">
        <v>45956</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12121-2025</t>
        </is>
      </c>
      <c r="B540" s="1" t="n">
        <v>45729.36868055556</v>
      </c>
      <c r="C540" s="1" t="n">
        <v>45956</v>
      </c>
      <c r="D540" t="inlineStr">
        <is>
          <t>KALMAR LÄN</t>
        </is>
      </c>
      <c r="E540" t="inlineStr">
        <is>
          <t>VIMMERBY</t>
        </is>
      </c>
      <c r="G540" t="n">
        <v>4.3</v>
      </c>
      <c r="H540" t="n">
        <v>0</v>
      </c>
      <c r="I540" t="n">
        <v>0</v>
      </c>
      <c r="J540" t="n">
        <v>0</v>
      </c>
      <c r="K540" t="n">
        <v>0</v>
      </c>
      <c r="L540" t="n">
        <v>0</v>
      </c>
      <c r="M540" t="n">
        <v>0</v>
      </c>
      <c r="N540" t="n">
        <v>0</v>
      </c>
      <c r="O540" t="n">
        <v>0</v>
      </c>
      <c r="P540" t="n">
        <v>0</v>
      </c>
      <c r="Q540" t="n">
        <v>0</v>
      </c>
      <c r="R540" s="2" t="inlineStr"/>
    </row>
    <row r="541" ht="15" customHeight="1">
      <c r="A541" t="inlineStr">
        <is>
          <t>A 34090-2025</t>
        </is>
      </c>
      <c r="B541" s="1" t="n">
        <v>45845</v>
      </c>
      <c r="C541" s="1" t="n">
        <v>45956</v>
      </c>
      <c r="D541" t="inlineStr">
        <is>
          <t>KALMAR LÄN</t>
        </is>
      </c>
      <c r="E541" t="inlineStr">
        <is>
          <t>VIMMERBY</t>
        </is>
      </c>
      <c r="G541" t="n">
        <v>2.8</v>
      </c>
      <c r="H541" t="n">
        <v>0</v>
      </c>
      <c r="I541" t="n">
        <v>0</v>
      </c>
      <c r="J541" t="n">
        <v>0</v>
      </c>
      <c r="K541" t="n">
        <v>0</v>
      </c>
      <c r="L541" t="n">
        <v>0</v>
      </c>
      <c r="M541" t="n">
        <v>0</v>
      </c>
      <c r="N541" t="n">
        <v>0</v>
      </c>
      <c r="O541" t="n">
        <v>0</v>
      </c>
      <c r="P541" t="n">
        <v>0</v>
      </c>
      <c r="Q541" t="n">
        <v>0</v>
      </c>
      <c r="R541" s="2" t="inlineStr"/>
    </row>
    <row r="542" ht="15" customHeight="1">
      <c r="A542" t="inlineStr">
        <is>
          <t>A 41735-2025</t>
        </is>
      </c>
      <c r="B542" s="1" t="n">
        <v>45902.47164351852</v>
      </c>
      <c r="C542" s="1" t="n">
        <v>45956</v>
      </c>
      <c r="D542" t="inlineStr">
        <is>
          <t>KALMAR LÄN</t>
        </is>
      </c>
      <c r="E542" t="inlineStr">
        <is>
          <t>VIMMERBY</t>
        </is>
      </c>
      <c r="G542" t="n">
        <v>3</v>
      </c>
      <c r="H542" t="n">
        <v>0</v>
      </c>
      <c r="I542" t="n">
        <v>0</v>
      </c>
      <c r="J542" t="n">
        <v>0</v>
      </c>
      <c r="K542" t="n">
        <v>0</v>
      </c>
      <c r="L542" t="n">
        <v>0</v>
      </c>
      <c r="M542" t="n">
        <v>0</v>
      </c>
      <c r="N542" t="n">
        <v>0</v>
      </c>
      <c r="O542" t="n">
        <v>0</v>
      </c>
      <c r="P542" t="n">
        <v>0</v>
      </c>
      <c r="Q542" t="n">
        <v>0</v>
      </c>
      <c r="R542" s="2" t="inlineStr"/>
    </row>
    <row r="543" ht="15" customHeight="1">
      <c r="A543" t="inlineStr">
        <is>
          <t>A 35846-2023</t>
        </is>
      </c>
      <c r="B543" s="1" t="n">
        <v>45148</v>
      </c>
      <c r="C543" s="1" t="n">
        <v>45956</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35913-2023</t>
        </is>
      </c>
      <c r="B544" s="1" t="n">
        <v>45148</v>
      </c>
      <c r="C544" s="1" t="n">
        <v>45956</v>
      </c>
      <c r="D544" t="inlineStr">
        <is>
          <t>KALMAR LÄN</t>
        </is>
      </c>
      <c r="E544" t="inlineStr">
        <is>
          <t>VIMMERBY</t>
        </is>
      </c>
      <c r="G544" t="n">
        <v>6.9</v>
      </c>
      <c r="H544" t="n">
        <v>0</v>
      </c>
      <c r="I544" t="n">
        <v>0</v>
      </c>
      <c r="J544" t="n">
        <v>0</v>
      </c>
      <c r="K544" t="n">
        <v>0</v>
      </c>
      <c r="L544" t="n">
        <v>0</v>
      </c>
      <c r="M544" t="n">
        <v>0</v>
      </c>
      <c r="N544" t="n">
        <v>0</v>
      </c>
      <c r="O544" t="n">
        <v>0</v>
      </c>
      <c r="P544" t="n">
        <v>0</v>
      </c>
      <c r="Q544" t="n">
        <v>0</v>
      </c>
      <c r="R544" s="2" t="inlineStr"/>
    </row>
    <row r="545" ht="15" customHeight="1">
      <c r="A545" t="inlineStr">
        <is>
          <t>A 38757-2023</t>
        </is>
      </c>
      <c r="B545" s="1" t="n">
        <v>45163.41376157408</v>
      </c>
      <c r="C545" s="1" t="n">
        <v>45956</v>
      </c>
      <c r="D545" t="inlineStr">
        <is>
          <t>KALMAR LÄN</t>
        </is>
      </c>
      <c r="E545" t="inlineStr">
        <is>
          <t>VIMMERBY</t>
        </is>
      </c>
      <c r="G545" t="n">
        <v>2.5</v>
      </c>
      <c r="H545" t="n">
        <v>0</v>
      </c>
      <c r="I545" t="n">
        <v>0</v>
      </c>
      <c r="J545" t="n">
        <v>0</v>
      </c>
      <c r="K545" t="n">
        <v>0</v>
      </c>
      <c r="L545" t="n">
        <v>0</v>
      </c>
      <c r="M545" t="n">
        <v>0</v>
      </c>
      <c r="N545" t="n">
        <v>0</v>
      </c>
      <c r="O545" t="n">
        <v>0</v>
      </c>
      <c r="P545" t="n">
        <v>0</v>
      </c>
      <c r="Q545" t="n">
        <v>0</v>
      </c>
      <c r="R545" s="2" t="inlineStr"/>
    </row>
    <row r="546" ht="15" customHeight="1">
      <c r="A546" t="inlineStr">
        <is>
          <t>A 7797-2023</t>
        </is>
      </c>
      <c r="B546" s="1" t="n">
        <v>44973.43075231482</v>
      </c>
      <c r="C546" s="1" t="n">
        <v>45956</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20136-2024</t>
        </is>
      </c>
      <c r="B547" s="1" t="n">
        <v>45434.56291666667</v>
      </c>
      <c r="C547" s="1" t="n">
        <v>45956</v>
      </c>
      <c r="D547" t="inlineStr">
        <is>
          <t>KALMAR LÄN</t>
        </is>
      </c>
      <c r="E547" t="inlineStr">
        <is>
          <t>VIMMERBY</t>
        </is>
      </c>
      <c r="F547" t="inlineStr">
        <is>
          <t>Sveaskog</t>
        </is>
      </c>
      <c r="G547" t="n">
        <v>8.4</v>
      </c>
      <c r="H547" t="n">
        <v>0</v>
      </c>
      <c r="I547" t="n">
        <v>0</v>
      </c>
      <c r="J547" t="n">
        <v>0</v>
      </c>
      <c r="K547" t="n">
        <v>0</v>
      </c>
      <c r="L547" t="n">
        <v>0</v>
      </c>
      <c r="M547" t="n">
        <v>0</v>
      </c>
      <c r="N547" t="n">
        <v>0</v>
      </c>
      <c r="O547" t="n">
        <v>0</v>
      </c>
      <c r="P547" t="n">
        <v>0</v>
      </c>
      <c r="Q547" t="n">
        <v>0</v>
      </c>
      <c r="R547" s="2" t="inlineStr"/>
    </row>
    <row r="548" ht="15" customHeight="1">
      <c r="A548" t="inlineStr">
        <is>
          <t>A 24655-2021</t>
        </is>
      </c>
      <c r="B548" s="1" t="n">
        <v>44340</v>
      </c>
      <c r="C548" s="1" t="n">
        <v>45956</v>
      </c>
      <c r="D548" t="inlineStr">
        <is>
          <t>KALMAR LÄN</t>
        </is>
      </c>
      <c r="E548" t="inlineStr">
        <is>
          <t>VIMMERBY</t>
        </is>
      </c>
      <c r="G548" t="n">
        <v>14.9</v>
      </c>
      <c r="H548" t="n">
        <v>0</v>
      </c>
      <c r="I548" t="n">
        <v>0</v>
      </c>
      <c r="J548" t="n">
        <v>0</v>
      </c>
      <c r="K548" t="n">
        <v>0</v>
      </c>
      <c r="L548" t="n">
        <v>0</v>
      </c>
      <c r="M548" t="n">
        <v>0</v>
      </c>
      <c r="N548" t="n">
        <v>0</v>
      </c>
      <c r="O548" t="n">
        <v>0</v>
      </c>
      <c r="P548" t="n">
        <v>0</v>
      </c>
      <c r="Q548" t="n">
        <v>0</v>
      </c>
      <c r="R548" s="2" t="inlineStr"/>
    </row>
    <row r="549" ht="15" customHeight="1">
      <c r="A549" t="inlineStr">
        <is>
          <t>A 50544-2025</t>
        </is>
      </c>
      <c r="B549" s="1" t="n">
        <v>45945.50736111111</v>
      </c>
      <c r="C549" s="1" t="n">
        <v>45956</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34071-2025</t>
        </is>
      </c>
      <c r="B550" s="1" t="n">
        <v>45845.43803240741</v>
      </c>
      <c r="C550" s="1" t="n">
        <v>45956</v>
      </c>
      <c r="D550" t="inlineStr">
        <is>
          <t>KALMAR LÄN</t>
        </is>
      </c>
      <c r="E550" t="inlineStr">
        <is>
          <t>VIMMERBY</t>
        </is>
      </c>
      <c r="G550" t="n">
        <v>6.8</v>
      </c>
      <c r="H550" t="n">
        <v>0</v>
      </c>
      <c r="I550" t="n">
        <v>0</v>
      </c>
      <c r="J550" t="n">
        <v>0</v>
      </c>
      <c r="K550" t="n">
        <v>0</v>
      </c>
      <c r="L550" t="n">
        <v>0</v>
      </c>
      <c r="M550" t="n">
        <v>0</v>
      </c>
      <c r="N550" t="n">
        <v>0</v>
      </c>
      <c r="O550" t="n">
        <v>0</v>
      </c>
      <c r="P550" t="n">
        <v>0</v>
      </c>
      <c r="Q550" t="n">
        <v>0</v>
      </c>
      <c r="R550" s="2" t="inlineStr"/>
    </row>
    <row r="551" ht="15" customHeight="1">
      <c r="A551" t="inlineStr">
        <is>
          <t>A 24283-2023</t>
        </is>
      </c>
      <c r="B551" s="1" t="n">
        <v>45079.87827546296</v>
      </c>
      <c r="C551" s="1" t="n">
        <v>45956</v>
      </c>
      <c r="D551" t="inlineStr">
        <is>
          <t>KALMAR LÄN</t>
        </is>
      </c>
      <c r="E551" t="inlineStr">
        <is>
          <t>VIMMERBY</t>
        </is>
      </c>
      <c r="G551" t="n">
        <v>2</v>
      </c>
      <c r="H551" t="n">
        <v>0</v>
      </c>
      <c r="I551" t="n">
        <v>0</v>
      </c>
      <c r="J551" t="n">
        <v>0</v>
      </c>
      <c r="K551" t="n">
        <v>0</v>
      </c>
      <c r="L551" t="n">
        <v>0</v>
      </c>
      <c r="M551" t="n">
        <v>0</v>
      </c>
      <c r="N551" t="n">
        <v>0</v>
      </c>
      <c r="O551" t="n">
        <v>0</v>
      </c>
      <c r="P551" t="n">
        <v>0</v>
      </c>
      <c r="Q551" t="n">
        <v>0</v>
      </c>
      <c r="R551" s="2" t="inlineStr"/>
    </row>
    <row r="552" ht="15" customHeight="1">
      <c r="A552" t="inlineStr">
        <is>
          <t>A 34106-2025</t>
        </is>
      </c>
      <c r="B552" s="1" t="n">
        <v>45845.49414351852</v>
      </c>
      <c r="C552" s="1" t="n">
        <v>45956</v>
      </c>
      <c r="D552" t="inlineStr">
        <is>
          <t>KALMAR LÄN</t>
        </is>
      </c>
      <c r="E552" t="inlineStr">
        <is>
          <t>VIMMERBY</t>
        </is>
      </c>
      <c r="G552" t="n">
        <v>6</v>
      </c>
      <c r="H552" t="n">
        <v>0</v>
      </c>
      <c r="I552" t="n">
        <v>0</v>
      </c>
      <c r="J552" t="n">
        <v>0</v>
      </c>
      <c r="K552" t="n">
        <v>0</v>
      </c>
      <c r="L552" t="n">
        <v>0</v>
      </c>
      <c r="M552" t="n">
        <v>0</v>
      </c>
      <c r="N552" t="n">
        <v>0</v>
      </c>
      <c r="O552" t="n">
        <v>0</v>
      </c>
      <c r="P552" t="n">
        <v>0</v>
      </c>
      <c r="Q552" t="n">
        <v>0</v>
      </c>
      <c r="R552" s="2" t="inlineStr"/>
    </row>
    <row r="553" ht="15" customHeight="1">
      <c r="A553" t="inlineStr">
        <is>
          <t>A 26956-2025</t>
        </is>
      </c>
      <c r="B553" s="1" t="n">
        <v>45811.45460648148</v>
      </c>
      <c r="C553" s="1" t="n">
        <v>45956</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8410-2023</t>
        </is>
      </c>
      <c r="B554" s="1" t="n">
        <v>44977</v>
      </c>
      <c r="C554" s="1" t="n">
        <v>45956</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34628-2025</t>
        </is>
      </c>
      <c r="B555" s="1" t="n">
        <v>45847.91280092593</v>
      </c>
      <c r="C555" s="1" t="n">
        <v>45956</v>
      </c>
      <c r="D555" t="inlineStr">
        <is>
          <t>KALMAR LÄN</t>
        </is>
      </c>
      <c r="E555" t="inlineStr">
        <is>
          <t>VIMMERBY</t>
        </is>
      </c>
      <c r="G555" t="n">
        <v>4.2</v>
      </c>
      <c r="H555" t="n">
        <v>0</v>
      </c>
      <c r="I555" t="n">
        <v>0</v>
      </c>
      <c r="J555" t="n">
        <v>0</v>
      </c>
      <c r="K555" t="n">
        <v>0</v>
      </c>
      <c r="L555" t="n">
        <v>0</v>
      </c>
      <c r="M555" t="n">
        <v>0</v>
      </c>
      <c r="N555" t="n">
        <v>0</v>
      </c>
      <c r="O555" t="n">
        <v>0</v>
      </c>
      <c r="P555" t="n">
        <v>0</v>
      </c>
      <c r="Q555" t="n">
        <v>0</v>
      </c>
      <c r="R555" s="2" t="inlineStr"/>
    </row>
    <row r="556" ht="15" customHeight="1">
      <c r="A556" t="inlineStr">
        <is>
          <t>A 6028-2023</t>
        </is>
      </c>
      <c r="B556" s="1" t="n">
        <v>44964.44356481481</v>
      </c>
      <c r="C556" s="1" t="n">
        <v>45956</v>
      </c>
      <c r="D556" t="inlineStr">
        <is>
          <t>KALMAR LÄN</t>
        </is>
      </c>
      <c r="E556" t="inlineStr">
        <is>
          <t>VIMMERBY</t>
        </is>
      </c>
      <c r="G556" t="n">
        <v>2.5</v>
      </c>
      <c r="H556" t="n">
        <v>0</v>
      </c>
      <c r="I556" t="n">
        <v>0</v>
      </c>
      <c r="J556" t="n">
        <v>0</v>
      </c>
      <c r="K556" t="n">
        <v>0</v>
      </c>
      <c r="L556" t="n">
        <v>0</v>
      </c>
      <c r="M556" t="n">
        <v>0</v>
      </c>
      <c r="N556" t="n">
        <v>0</v>
      </c>
      <c r="O556" t="n">
        <v>0</v>
      </c>
      <c r="P556" t="n">
        <v>0</v>
      </c>
      <c r="Q556" t="n">
        <v>0</v>
      </c>
      <c r="R556" s="2" t="inlineStr"/>
    </row>
    <row r="557" ht="15" customHeight="1">
      <c r="A557" t="inlineStr">
        <is>
          <t>A 52823-2024</t>
        </is>
      </c>
      <c r="B557" s="1" t="n">
        <v>45610.59094907407</v>
      </c>
      <c r="C557" s="1" t="n">
        <v>45956</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59598-2023</t>
        </is>
      </c>
      <c r="B558" s="1" t="n">
        <v>45254.62489583333</v>
      </c>
      <c r="C558" s="1" t="n">
        <v>45956</v>
      </c>
      <c r="D558" t="inlineStr">
        <is>
          <t>KALMAR LÄN</t>
        </is>
      </c>
      <c r="E558" t="inlineStr">
        <is>
          <t>VIMMERBY</t>
        </is>
      </c>
      <c r="F558" t="inlineStr">
        <is>
          <t>Övriga Aktiebolag</t>
        </is>
      </c>
      <c r="G558" t="n">
        <v>4</v>
      </c>
      <c r="H558" t="n">
        <v>0</v>
      </c>
      <c r="I558" t="n">
        <v>0</v>
      </c>
      <c r="J558" t="n">
        <v>0</v>
      </c>
      <c r="K558" t="n">
        <v>0</v>
      </c>
      <c r="L558" t="n">
        <v>0</v>
      </c>
      <c r="M558" t="n">
        <v>0</v>
      </c>
      <c r="N558" t="n">
        <v>0</v>
      </c>
      <c r="O558" t="n">
        <v>0</v>
      </c>
      <c r="P558" t="n">
        <v>0</v>
      </c>
      <c r="Q558" t="n">
        <v>0</v>
      </c>
      <c r="R558" s="2" t="inlineStr"/>
    </row>
    <row r="559" ht="15" customHeight="1">
      <c r="A559" t="inlineStr">
        <is>
          <t>A 41896-2025</t>
        </is>
      </c>
      <c r="B559" s="1" t="n">
        <v>45903.38800925926</v>
      </c>
      <c r="C559" s="1" t="n">
        <v>45956</v>
      </c>
      <c r="D559" t="inlineStr">
        <is>
          <t>KALMAR LÄN</t>
        </is>
      </c>
      <c r="E559" t="inlineStr">
        <is>
          <t>VIMMERBY</t>
        </is>
      </c>
      <c r="G559" t="n">
        <v>2.9</v>
      </c>
      <c r="H559" t="n">
        <v>0</v>
      </c>
      <c r="I559" t="n">
        <v>0</v>
      </c>
      <c r="J559" t="n">
        <v>0</v>
      </c>
      <c r="K559" t="n">
        <v>0</v>
      </c>
      <c r="L559" t="n">
        <v>0</v>
      </c>
      <c r="M559" t="n">
        <v>0</v>
      </c>
      <c r="N559" t="n">
        <v>0</v>
      </c>
      <c r="O559" t="n">
        <v>0</v>
      </c>
      <c r="P559" t="n">
        <v>0</v>
      </c>
      <c r="Q559" t="n">
        <v>0</v>
      </c>
      <c r="R559" s="2" t="inlineStr"/>
    </row>
    <row r="560" ht="15" customHeight="1">
      <c r="A560" t="inlineStr">
        <is>
          <t>A 30920-2023</t>
        </is>
      </c>
      <c r="B560" s="1" t="n">
        <v>45113.43921296296</v>
      </c>
      <c r="C560" s="1" t="n">
        <v>45956</v>
      </c>
      <c r="D560" t="inlineStr">
        <is>
          <t>KALMAR LÄN</t>
        </is>
      </c>
      <c r="E560" t="inlineStr">
        <is>
          <t>VIMMERBY</t>
        </is>
      </c>
      <c r="G560" t="n">
        <v>3.1</v>
      </c>
      <c r="H560" t="n">
        <v>0</v>
      </c>
      <c r="I560" t="n">
        <v>0</v>
      </c>
      <c r="J560" t="n">
        <v>0</v>
      </c>
      <c r="K560" t="n">
        <v>0</v>
      </c>
      <c r="L560" t="n">
        <v>0</v>
      </c>
      <c r="M560" t="n">
        <v>0</v>
      </c>
      <c r="N560" t="n">
        <v>0</v>
      </c>
      <c r="O560" t="n">
        <v>0</v>
      </c>
      <c r="P560" t="n">
        <v>0</v>
      </c>
      <c r="Q560" t="n">
        <v>0</v>
      </c>
      <c r="R560" s="2" t="inlineStr"/>
    </row>
    <row r="561" ht="15" customHeight="1">
      <c r="A561" t="inlineStr">
        <is>
          <t>A 56853-2022</t>
        </is>
      </c>
      <c r="B561" s="1" t="n">
        <v>44894.49538194444</v>
      </c>
      <c r="C561" s="1" t="n">
        <v>45956</v>
      </c>
      <c r="D561" t="inlineStr">
        <is>
          <t>KALMAR LÄN</t>
        </is>
      </c>
      <c r="E561" t="inlineStr">
        <is>
          <t>VIMMERBY</t>
        </is>
      </c>
      <c r="G561" t="n">
        <v>4.3</v>
      </c>
      <c r="H561" t="n">
        <v>0</v>
      </c>
      <c r="I561" t="n">
        <v>0</v>
      </c>
      <c r="J561" t="n">
        <v>0</v>
      </c>
      <c r="K561" t="n">
        <v>0</v>
      </c>
      <c r="L561" t="n">
        <v>0</v>
      </c>
      <c r="M561" t="n">
        <v>0</v>
      </c>
      <c r="N561" t="n">
        <v>0</v>
      </c>
      <c r="O561" t="n">
        <v>0</v>
      </c>
      <c r="P561" t="n">
        <v>0</v>
      </c>
      <c r="Q561" t="n">
        <v>0</v>
      </c>
      <c r="R561" s="2" t="inlineStr"/>
    </row>
    <row r="562" ht="15" customHeight="1">
      <c r="A562" t="inlineStr">
        <is>
          <t>A 11152-2023</t>
        </is>
      </c>
      <c r="B562" s="1" t="n">
        <v>44992</v>
      </c>
      <c r="C562" s="1" t="n">
        <v>45956</v>
      </c>
      <c r="D562" t="inlineStr">
        <is>
          <t>KALMAR LÄN</t>
        </is>
      </c>
      <c r="E562" t="inlineStr">
        <is>
          <t>VIMMERBY</t>
        </is>
      </c>
      <c r="G562" t="n">
        <v>10.6</v>
      </c>
      <c r="H562" t="n">
        <v>0</v>
      </c>
      <c r="I562" t="n">
        <v>0</v>
      </c>
      <c r="J562" t="n">
        <v>0</v>
      </c>
      <c r="K562" t="n">
        <v>0</v>
      </c>
      <c r="L562" t="n">
        <v>0</v>
      </c>
      <c r="M562" t="n">
        <v>0</v>
      </c>
      <c r="N562" t="n">
        <v>0</v>
      </c>
      <c r="O562" t="n">
        <v>0</v>
      </c>
      <c r="P562" t="n">
        <v>0</v>
      </c>
      <c r="Q562" t="n">
        <v>0</v>
      </c>
      <c r="R562" s="2" t="inlineStr"/>
    </row>
    <row r="563" ht="15" customHeight="1">
      <c r="A563" t="inlineStr">
        <is>
          <t>A 15550-2023</t>
        </is>
      </c>
      <c r="B563" s="1" t="n">
        <v>45020</v>
      </c>
      <c r="C563" s="1" t="n">
        <v>45956</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35270-2025</t>
        </is>
      </c>
      <c r="B564" s="1" t="n">
        <v>45853.87112268519</v>
      </c>
      <c r="C564" s="1" t="n">
        <v>45956</v>
      </c>
      <c r="D564" t="inlineStr">
        <is>
          <t>KALMAR LÄN</t>
        </is>
      </c>
      <c r="E564" t="inlineStr">
        <is>
          <t>VIMMERBY</t>
        </is>
      </c>
      <c r="G564" t="n">
        <v>2.4</v>
      </c>
      <c r="H564" t="n">
        <v>0</v>
      </c>
      <c r="I564" t="n">
        <v>0</v>
      </c>
      <c r="J564" t="n">
        <v>0</v>
      </c>
      <c r="K564" t="n">
        <v>0</v>
      </c>
      <c r="L564" t="n">
        <v>0</v>
      </c>
      <c r="M564" t="n">
        <v>0</v>
      </c>
      <c r="N564" t="n">
        <v>0</v>
      </c>
      <c r="O564" t="n">
        <v>0</v>
      </c>
      <c r="P564" t="n">
        <v>0</v>
      </c>
      <c r="Q564" t="n">
        <v>0</v>
      </c>
      <c r="R564" s="2" t="inlineStr"/>
    </row>
    <row r="565" ht="15" customHeight="1">
      <c r="A565" t="inlineStr">
        <is>
          <t>A 35271-2025</t>
        </is>
      </c>
      <c r="B565" s="1" t="n">
        <v>45853.87599537037</v>
      </c>
      <c r="C565" s="1" t="n">
        <v>45956</v>
      </c>
      <c r="D565" t="inlineStr">
        <is>
          <t>KALMAR LÄN</t>
        </is>
      </c>
      <c r="E565" t="inlineStr">
        <is>
          <t>VIMMERBY</t>
        </is>
      </c>
      <c r="G565" t="n">
        <v>0.4</v>
      </c>
      <c r="H565" t="n">
        <v>0</v>
      </c>
      <c r="I565" t="n">
        <v>0</v>
      </c>
      <c r="J565" t="n">
        <v>0</v>
      </c>
      <c r="K565" t="n">
        <v>0</v>
      </c>
      <c r="L565" t="n">
        <v>0</v>
      </c>
      <c r="M565" t="n">
        <v>0</v>
      </c>
      <c r="N565" t="n">
        <v>0</v>
      </c>
      <c r="O565" t="n">
        <v>0</v>
      </c>
      <c r="P565" t="n">
        <v>0</v>
      </c>
      <c r="Q565" t="n">
        <v>0</v>
      </c>
      <c r="R565" s="2" t="inlineStr"/>
    </row>
    <row r="566" ht="15" customHeight="1">
      <c r="A566" t="inlineStr">
        <is>
          <t>A 35272-2025</t>
        </is>
      </c>
      <c r="B566" s="1" t="n">
        <v>45853.88070601852</v>
      </c>
      <c r="C566" s="1" t="n">
        <v>45956</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16953-2025</t>
        </is>
      </c>
      <c r="B567" s="1" t="n">
        <v>45755.44333333334</v>
      </c>
      <c r="C567" s="1" t="n">
        <v>45956</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31355-2023</t>
        </is>
      </c>
      <c r="B568" s="1" t="n">
        <v>45114.49505787037</v>
      </c>
      <c r="C568" s="1" t="n">
        <v>45956</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18330-2023</t>
        </is>
      </c>
      <c r="B569" s="1" t="n">
        <v>45041</v>
      </c>
      <c r="C569" s="1" t="n">
        <v>45956</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42828-2025</t>
        </is>
      </c>
      <c r="B570" s="1" t="n">
        <v>45908.57716435185</v>
      </c>
      <c r="C570" s="1" t="n">
        <v>45956</v>
      </c>
      <c r="D570" t="inlineStr">
        <is>
          <t>KALMAR LÄN</t>
        </is>
      </c>
      <c r="E570" t="inlineStr">
        <is>
          <t>VIMMERBY</t>
        </is>
      </c>
      <c r="G570" t="n">
        <v>5.2</v>
      </c>
      <c r="H570" t="n">
        <v>0</v>
      </c>
      <c r="I570" t="n">
        <v>0</v>
      </c>
      <c r="J570" t="n">
        <v>0</v>
      </c>
      <c r="K570" t="n">
        <v>0</v>
      </c>
      <c r="L570" t="n">
        <v>0</v>
      </c>
      <c r="M570" t="n">
        <v>0</v>
      </c>
      <c r="N570" t="n">
        <v>0</v>
      </c>
      <c r="O570" t="n">
        <v>0</v>
      </c>
      <c r="P570" t="n">
        <v>0</v>
      </c>
      <c r="Q570" t="n">
        <v>0</v>
      </c>
      <c r="R570" s="2" t="inlineStr"/>
    </row>
    <row r="571" ht="15" customHeight="1">
      <c r="A571" t="inlineStr">
        <is>
          <t>A 35597-2025</t>
        </is>
      </c>
      <c r="B571" s="1" t="n">
        <v>45858.66019675926</v>
      </c>
      <c r="C571" s="1" t="n">
        <v>45956</v>
      </c>
      <c r="D571" t="inlineStr">
        <is>
          <t>KALMAR LÄN</t>
        </is>
      </c>
      <c r="E571" t="inlineStr">
        <is>
          <t>VIMMERBY</t>
        </is>
      </c>
      <c r="G571" t="n">
        <v>6.4</v>
      </c>
      <c r="H571" t="n">
        <v>0</v>
      </c>
      <c r="I571" t="n">
        <v>0</v>
      </c>
      <c r="J571" t="n">
        <v>0</v>
      </c>
      <c r="K571" t="n">
        <v>0</v>
      </c>
      <c r="L571" t="n">
        <v>0</v>
      </c>
      <c r="M571" t="n">
        <v>0</v>
      </c>
      <c r="N571" t="n">
        <v>0</v>
      </c>
      <c r="O571" t="n">
        <v>0</v>
      </c>
      <c r="P571" t="n">
        <v>0</v>
      </c>
      <c r="Q571" t="n">
        <v>0</v>
      </c>
      <c r="R571" s="2" t="inlineStr"/>
    </row>
    <row r="572" ht="15" customHeight="1">
      <c r="A572" t="inlineStr">
        <is>
          <t>A 40929-2022</t>
        </is>
      </c>
      <c r="B572" s="1" t="n">
        <v>44825.4336574074</v>
      </c>
      <c r="C572" s="1" t="n">
        <v>45956</v>
      </c>
      <c r="D572" t="inlineStr">
        <is>
          <t>KALMAR LÄN</t>
        </is>
      </c>
      <c r="E572" t="inlineStr">
        <is>
          <t>VIMMERBY</t>
        </is>
      </c>
      <c r="G572" t="n">
        <v>2.5</v>
      </c>
      <c r="H572" t="n">
        <v>0</v>
      </c>
      <c r="I572" t="n">
        <v>0</v>
      </c>
      <c r="J572" t="n">
        <v>0</v>
      </c>
      <c r="K572" t="n">
        <v>0</v>
      </c>
      <c r="L572" t="n">
        <v>0</v>
      </c>
      <c r="M572" t="n">
        <v>0</v>
      </c>
      <c r="N572" t="n">
        <v>0</v>
      </c>
      <c r="O572" t="n">
        <v>0</v>
      </c>
      <c r="P572" t="n">
        <v>0</v>
      </c>
      <c r="Q572" t="n">
        <v>0</v>
      </c>
      <c r="R572" s="2" t="inlineStr"/>
    </row>
    <row r="573" ht="15" customHeight="1">
      <c r="A573" t="inlineStr">
        <is>
          <t>A 58100-2024</t>
        </is>
      </c>
      <c r="B573" s="1" t="n">
        <v>45632.36706018518</v>
      </c>
      <c r="C573" s="1" t="n">
        <v>45956</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35596-2025</t>
        </is>
      </c>
      <c r="B574" s="1" t="n">
        <v>45858.60641203704</v>
      </c>
      <c r="C574" s="1" t="n">
        <v>45956</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27993-2022</t>
        </is>
      </c>
      <c r="B575" s="1" t="n">
        <v>44745.84396990741</v>
      </c>
      <c r="C575" s="1" t="n">
        <v>45956</v>
      </c>
      <c r="D575" t="inlineStr">
        <is>
          <t>KALMAR LÄN</t>
        </is>
      </c>
      <c r="E575" t="inlineStr">
        <is>
          <t>VIMMERBY</t>
        </is>
      </c>
      <c r="G575" t="n">
        <v>2.8</v>
      </c>
      <c r="H575" t="n">
        <v>0</v>
      </c>
      <c r="I575" t="n">
        <v>0</v>
      </c>
      <c r="J575" t="n">
        <v>0</v>
      </c>
      <c r="K575" t="n">
        <v>0</v>
      </c>
      <c r="L575" t="n">
        <v>0</v>
      </c>
      <c r="M575" t="n">
        <v>0</v>
      </c>
      <c r="N575" t="n">
        <v>0</v>
      </c>
      <c r="O575" t="n">
        <v>0</v>
      </c>
      <c r="P575" t="n">
        <v>0</v>
      </c>
      <c r="Q575" t="n">
        <v>0</v>
      </c>
      <c r="R575" s="2" t="inlineStr"/>
    </row>
    <row r="576" ht="15" customHeight="1">
      <c r="A576" t="inlineStr">
        <is>
          <t>A 42794-2025</t>
        </is>
      </c>
      <c r="B576" s="1" t="n">
        <v>45908</v>
      </c>
      <c r="C576" s="1" t="n">
        <v>45956</v>
      </c>
      <c r="D576" t="inlineStr">
        <is>
          <t>KALMAR LÄN</t>
        </is>
      </c>
      <c r="E576" t="inlineStr">
        <is>
          <t>VIMMERBY</t>
        </is>
      </c>
      <c r="G576" t="n">
        <v>0.9</v>
      </c>
      <c r="H576" t="n">
        <v>0</v>
      </c>
      <c r="I576" t="n">
        <v>0</v>
      </c>
      <c r="J576" t="n">
        <v>0</v>
      </c>
      <c r="K576" t="n">
        <v>0</v>
      </c>
      <c r="L576" t="n">
        <v>0</v>
      </c>
      <c r="M576" t="n">
        <v>0</v>
      </c>
      <c r="N576" t="n">
        <v>0</v>
      </c>
      <c r="O576" t="n">
        <v>0</v>
      </c>
      <c r="P576" t="n">
        <v>0</v>
      </c>
      <c r="Q576" t="n">
        <v>0</v>
      </c>
      <c r="R576" s="2" t="inlineStr"/>
    </row>
    <row r="577" ht="15" customHeight="1">
      <c r="A577" t="inlineStr">
        <is>
          <t>A 33380-2023</t>
        </is>
      </c>
      <c r="B577" s="1" t="n">
        <v>45128</v>
      </c>
      <c r="C577" s="1" t="n">
        <v>45956</v>
      </c>
      <c r="D577" t="inlineStr">
        <is>
          <t>KALMAR LÄN</t>
        </is>
      </c>
      <c r="E577" t="inlineStr">
        <is>
          <t>VIMMERBY</t>
        </is>
      </c>
      <c r="G577" t="n">
        <v>5.2</v>
      </c>
      <c r="H577" t="n">
        <v>0</v>
      </c>
      <c r="I577" t="n">
        <v>0</v>
      </c>
      <c r="J577" t="n">
        <v>0</v>
      </c>
      <c r="K577" t="n">
        <v>0</v>
      </c>
      <c r="L577" t="n">
        <v>0</v>
      </c>
      <c r="M577" t="n">
        <v>0</v>
      </c>
      <c r="N577" t="n">
        <v>0</v>
      </c>
      <c r="O577" t="n">
        <v>0</v>
      </c>
      <c r="P577" t="n">
        <v>0</v>
      </c>
      <c r="Q577" t="n">
        <v>0</v>
      </c>
      <c r="R577" s="2" t="inlineStr"/>
    </row>
    <row r="578" ht="15" customHeight="1">
      <c r="A578" t="inlineStr">
        <is>
          <t>A 38969-2023</t>
        </is>
      </c>
      <c r="B578" s="1" t="n">
        <v>45163.63621527778</v>
      </c>
      <c r="C578" s="1" t="n">
        <v>45956</v>
      </c>
      <c r="D578" t="inlineStr">
        <is>
          <t>KALMAR LÄN</t>
        </is>
      </c>
      <c r="E578" t="inlineStr">
        <is>
          <t>VIMMERBY</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46144-2023</t>
        </is>
      </c>
      <c r="B579" s="1" t="n">
        <v>45196.57247685185</v>
      </c>
      <c r="C579" s="1" t="n">
        <v>45956</v>
      </c>
      <c r="D579" t="inlineStr">
        <is>
          <t>KALMAR LÄN</t>
        </is>
      </c>
      <c r="E579" t="inlineStr">
        <is>
          <t>VIMMERBY</t>
        </is>
      </c>
      <c r="G579" t="n">
        <v>6.5</v>
      </c>
      <c r="H579" t="n">
        <v>0</v>
      </c>
      <c r="I579" t="n">
        <v>0</v>
      </c>
      <c r="J579" t="n">
        <v>0</v>
      </c>
      <c r="K579" t="n">
        <v>0</v>
      </c>
      <c r="L579" t="n">
        <v>0</v>
      </c>
      <c r="M579" t="n">
        <v>0</v>
      </c>
      <c r="N579" t="n">
        <v>0</v>
      </c>
      <c r="O579" t="n">
        <v>0</v>
      </c>
      <c r="P579" t="n">
        <v>0</v>
      </c>
      <c r="Q579" t="n">
        <v>0</v>
      </c>
      <c r="R579" s="2" t="inlineStr"/>
    </row>
    <row r="580" ht="15" customHeight="1">
      <c r="A580" t="inlineStr">
        <is>
          <t>A 53752-2024</t>
        </is>
      </c>
      <c r="B580" s="1" t="n">
        <v>45615.48927083334</v>
      </c>
      <c r="C580" s="1" t="n">
        <v>45956</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51062-2025</t>
        </is>
      </c>
      <c r="B581" s="1" t="n">
        <v>45947.44685185186</v>
      </c>
      <c r="C581" s="1" t="n">
        <v>45956</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54787-2023</t>
        </is>
      </c>
      <c r="B582" s="1" t="n">
        <v>45236</v>
      </c>
      <c r="C582" s="1" t="n">
        <v>45956</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19502-2025</t>
        </is>
      </c>
      <c r="B583" s="1" t="n">
        <v>45769</v>
      </c>
      <c r="C583" s="1" t="n">
        <v>45956</v>
      </c>
      <c r="D583" t="inlineStr">
        <is>
          <t>KALMAR LÄN</t>
        </is>
      </c>
      <c r="E583" t="inlineStr">
        <is>
          <t>VIMMERBY</t>
        </is>
      </c>
      <c r="G583" t="n">
        <v>1.9</v>
      </c>
      <c r="H583" t="n">
        <v>0</v>
      </c>
      <c r="I583" t="n">
        <v>0</v>
      </c>
      <c r="J583" t="n">
        <v>0</v>
      </c>
      <c r="K583" t="n">
        <v>0</v>
      </c>
      <c r="L583" t="n">
        <v>0</v>
      </c>
      <c r="M583" t="n">
        <v>0</v>
      </c>
      <c r="N583" t="n">
        <v>0</v>
      </c>
      <c r="O583" t="n">
        <v>0</v>
      </c>
      <c r="P583" t="n">
        <v>0</v>
      </c>
      <c r="Q583" t="n">
        <v>0</v>
      </c>
      <c r="R583" s="2" t="inlineStr"/>
    </row>
    <row r="584" ht="15" customHeight="1">
      <c r="A584" t="inlineStr">
        <is>
          <t>A 15715-2022</t>
        </is>
      </c>
      <c r="B584" s="1" t="n">
        <v>44663</v>
      </c>
      <c r="C584" s="1" t="n">
        <v>45956</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43774-2023</t>
        </is>
      </c>
      <c r="B585" s="1" t="n">
        <v>45187</v>
      </c>
      <c r="C585" s="1" t="n">
        <v>45956</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42820-2025</t>
        </is>
      </c>
      <c r="B586" s="1" t="n">
        <v>45908</v>
      </c>
      <c r="C586" s="1" t="n">
        <v>45956</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43705-2023</t>
        </is>
      </c>
      <c r="B587" s="1" t="n">
        <v>45187.42854166667</v>
      </c>
      <c r="C587" s="1" t="n">
        <v>45956</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36273-2025</t>
        </is>
      </c>
      <c r="B588" s="1" t="n">
        <v>45867.63094907408</v>
      </c>
      <c r="C588" s="1" t="n">
        <v>45956</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7932-2025</t>
        </is>
      </c>
      <c r="B589" s="1" t="n">
        <v>45707.3793287037</v>
      </c>
      <c r="C589" s="1" t="n">
        <v>45956</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13532-2025</t>
        </is>
      </c>
      <c r="B590" s="1" t="n">
        <v>45736.50743055555</v>
      </c>
      <c r="C590" s="1" t="n">
        <v>45956</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36299-2025</t>
        </is>
      </c>
      <c r="B591" s="1" t="n">
        <v>45867.69346064814</v>
      </c>
      <c r="C591" s="1" t="n">
        <v>45956</v>
      </c>
      <c r="D591" t="inlineStr">
        <is>
          <t>KALMAR LÄN</t>
        </is>
      </c>
      <c r="E591" t="inlineStr">
        <is>
          <t>VIMMERBY</t>
        </is>
      </c>
      <c r="G591" t="n">
        <v>7.6</v>
      </c>
      <c r="H591" t="n">
        <v>0</v>
      </c>
      <c r="I591" t="n">
        <v>0</v>
      </c>
      <c r="J591" t="n">
        <v>0</v>
      </c>
      <c r="K591" t="n">
        <v>0</v>
      </c>
      <c r="L591" t="n">
        <v>0</v>
      </c>
      <c r="M591" t="n">
        <v>0</v>
      </c>
      <c r="N591" t="n">
        <v>0</v>
      </c>
      <c r="O591" t="n">
        <v>0</v>
      </c>
      <c r="P591" t="n">
        <v>0</v>
      </c>
      <c r="Q591" t="n">
        <v>0</v>
      </c>
      <c r="R591" s="2" t="inlineStr"/>
    </row>
    <row r="592" ht="15" customHeight="1">
      <c r="A592" t="inlineStr">
        <is>
          <t>A 65049-2020</t>
        </is>
      </c>
      <c r="B592" s="1" t="n">
        <v>44172</v>
      </c>
      <c r="C592" s="1" t="n">
        <v>45956</v>
      </c>
      <c r="D592" t="inlineStr">
        <is>
          <t>KALMAR LÄN</t>
        </is>
      </c>
      <c r="E592" t="inlineStr">
        <is>
          <t>VIMMERBY</t>
        </is>
      </c>
      <c r="G592" t="n">
        <v>2.3</v>
      </c>
      <c r="H592" t="n">
        <v>0</v>
      </c>
      <c r="I592" t="n">
        <v>0</v>
      </c>
      <c r="J592" t="n">
        <v>0</v>
      </c>
      <c r="K592" t="n">
        <v>0</v>
      </c>
      <c r="L592" t="n">
        <v>0</v>
      </c>
      <c r="M592" t="n">
        <v>0</v>
      </c>
      <c r="N592" t="n">
        <v>0</v>
      </c>
      <c r="O592" t="n">
        <v>0</v>
      </c>
      <c r="P592" t="n">
        <v>0</v>
      </c>
      <c r="Q592" t="n">
        <v>0</v>
      </c>
      <c r="R592" s="2" t="inlineStr"/>
    </row>
    <row r="593" ht="15" customHeight="1">
      <c r="A593" t="inlineStr">
        <is>
          <t>A 36221-2025</t>
        </is>
      </c>
      <c r="B593" s="1" t="n">
        <v>45867.50792824074</v>
      </c>
      <c r="C593" s="1" t="n">
        <v>45956</v>
      </c>
      <c r="D593" t="inlineStr">
        <is>
          <t>KALMAR LÄN</t>
        </is>
      </c>
      <c r="E593" t="inlineStr">
        <is>
          <t>VIMMERBY</t>
        </is>
      </c>
      <c r="G593" t="n">
        <v>2.5</v>
      </c>
      <c r="H593" t="n">
        <v>0</v>
      </c>
      <c r="I593" t="n">
        <v>0</v>
      </c>
      <c r="J593" t="n">
        <v>0</v>
      </c>
      <c r="K593" t="n">
        <v>0</v>
      </c>
      <c r="L593" t="n">
        <v>0</v>
      </c>
      <c r="M593" t="n">
        <v>0</v>
      </c>
      <c r="N593" t="n">
        <v>0</v>
      </c>
      <c r="O593" t="n">
        <v>0</v>
      </c>
      <c r="P593" t="n">
        <v>0</v>
      </c>
      <c r="Q593" t="n">
        <v>0</v>
      </c>
      <c r="R593" s="2" t="inlineStr"/>
    </row>
    <row r="594" ht="15" customHeight="1">
      <c r="A594" t="inlineStr">
        <is>
          <t>A 36226-2025</t>
        </is>
      </c>
      <c r="B594" s="1" t="n">
        <v>45867.51630787037</v>
      </c>
      <c r="C594" s="1" t="n">
        <v>45956</v>
      </c>
      <c r="D594" t="inlineStr">
        <is>
          <t>KALMAR LÄN</t>
        </is>
      </c>
      <c r="E594" t="inlineStr">
        <is>
          <t>VIMMERBY</t>
        </is>
      </c>
      <c r="G594" t="n">
        <v>3.1</v>
      </c>
      <c r="H594" t="n">
        <v>0</v>
      </c>
      <c r="I594" t="n">
        <v>0</v>
      </c>
      <c r="J594" t="n">
        <v>0</v>
      </c>
      <c r="K594" t="n">
        <v>0</v>
      </c>
      <c r="L594" t="n">
        <v>0</v>
      </c>
      <c r="M594" t="n">
        <v>0</v>
      </c>
      <c r="N594" t="n">
        <v>0</v>
      </c>
      <c r="O594" t="n">
        <v>0</v>
      </c>
      <c r="P594" t="n">
        <v>0</v>
      </c>
      <c r="Q594" t="n">
        <v>0</v>
      </c>
      <c r="R594" s="2" t="inlineStr"/>
    </row>
    <row r="595" ht="15" customHeight="1">
      <c r="A595" t="inlineStr">
        <is>
          <t>A 36297-2025</t>
        </is>
      </c>
      <c r="B595" s="1" t="n">
        <v>45867.68625</v>
      </c>
      <c r="C595" s="1" t="n">
        <v>45956</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36246-2025</t>
        </is>
      </c>
      <c r="B596" s="1" t="n">
        <v>45867.56320601852</v>
      </c>
      <c r="C596" s="1" t="n">
        <v>45956</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36282-2025</t>
        </is>
      </c>
      <c r="B597" s="1" t="n">
        <v>45867.64663194444</v>
      </c>
      <c r="C597" s="1" t="n">
        <v>45956</v>
      </c>
      <c r="D597" t="inlineStr">
        <is>
          <t>KALMAR LÄN</t>
        </is>
      </c>
      <c r="E597" t="inlineStr">
        <is>
          <t>VIMMERBY</t>
        </is>
      </c>
      <c r="G597" t="n">
        <v>1.4</v>
      </c>
      <c r="H597" t="n">
        <v>0</v>
      </c>
      <c r="I597" t="n">
        <v>0</v>
      </c>
      <c r="J597" t="n">
        <v>0</v>
      </c>
      <c r="K597" t="n">
        <v>0</v>
      </c>
      <c r="L597" t="n">
        <v>0</v>
      </c>
      <c r="M597" t="n">
        <v>0</v>
      </c>
      <c r="N597" t="n">
        <v>0</v>
      </c>
      <c r="O597" t="n">
        <v>0</v>
      </c>
      <c r="P597" t="n">
        <v>0</v>
      </c>
      <c r="Q597" t="n">
        <v>0</v>
      </c>
      <c r="R597" s="2" t="inlineStr"/>
    </row>
    <row r="598" ht="15" customHeight="1">
      <c r="A598" t="inlineStr">
        <is>
          <t>A 36538-2025</t>
        </is>
      </c>
      <c r="B598" s="1" t="n">
        <v>45869.62276620371</v>
      </c>
      <c r="C598" s="1" t="n">
        <v>45956</v>
      </c>
      <c r="D598" t="inlineStr">
        <is>
          <t>KALMAR LÄN</t>
        </is>
      </c>
      <c r="E598" t="inlineStr">
        <is>
          <t>VIMMERBY</t>
        </is>
      </c>
      <c r="G598" t="n">
        <v>2.6</v>
      </c>
      <c r="H598" t="n">
        <v>0</v>
      </c>
      <c r="I598" t="n">
        <v>0</v>
      </c>
      <c r="J598" t="n">
        <v>0</v>
      </c>
      <c r="K598" t="n">
        <v>0</v>
      </c>
      <c r="L598" t="n">
        <v>0</v>
      </c>
      <c r="M598" t="n">
        <v>0</v>
      </c>
      <c r="N598" t="n">
        <v>0</v>
      </c>
      <c r="O598" t="n">
        <v>0</v>
      </c>
      <c r="P598" t="n">
        <v>0</v>
      </c>
      <c r="Q598" t="n">
        <v>0</v>
      </c>
      <c r="R598" s="2" t="inlineStr"/>
    </row>
    <row r="599" ht="15" customHeight="1">
      <c r="A599" t="inlineStr">
        <is>
          <t>A 58728-2024</t>
        </is>
      </c>
      <c r="B599" s="1" t="n">
        <v>45635.66695601852</v>
      </c>
      <c r="C599" s="1" t="n">
        <v>45956</v>
      </c>
      <c r="D599" t="inlineStr">
        <is>
          <t>KALMAR LÄN</t>
        </is>
      </c>
      <c r="E599" t="inlineStr">
        <is>
          <t>VIMMERBY</t>
        </is>
      </c>
      <c r="G599" t="n">
        <v>0.4</v>
      </c>
      <c r="H599" t="n">
        <v>0</v>
      </c>
      <c r="I599" t="n">
        <v>0</v>
      </c>
      <c r="J599" t="n">
        <v>0</v>
      </c>
      <c r="K599" t="n">
        <v>0</v>
      </c>
      <c r="L599" t="n">
        <v>0</v>
      </c>
      <c r="M599" t="n">
        <v>0</v>
      </c>
      <c r="N599" t="n">
        <v>0</v>
      </c>
      <c r="O599" t="n">
        <v>0</v>
      </c>
      <c r="P599" t="n">
        <v>0</v>
      </c>
      <c r="Q599" t="n">
        <v>0</v>
      </c>
      <c r="R599" s="2" t="inlineStr"/>
    </row>
    <row r="600" ht="15" customHeight="1">
      <c r="A600" t="inlineStr">
        <is>
          <t>A 43242-2024</t>
        </is>
      </c>
      <c r="B600" s="1" t="n">
        <v>45568.30189814815</v>
      </c>
      <c r="C600" s="1" t="n">
        <v>45956</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16983-2023</t>
        </is>
      </c>
      <c r="B601" s="1" t="n">
        <v>45033.76043981482</v>
      </c>
      <c r="C601" s="1" t="n">
        <v>45956</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36598-2025</t>
        </is>
      </c>
      <c r="B602" s="1" t="n">
        <v>45870.51708333333</v>
      </c>
      <c r="C602" s="1" t="n">
        <v>45956</v>
      </c>
      <c r="D602" t="inlineStr">
        <is>
          <t>KALMAR LÄN</t>
        </is>
      </c>
      <c r="E602" t="inlineStr">
        <is>
          <t>VIMMERBY</t>
        </is>
      </c>
      <c r="G602" t="n">
        <v>3.7</v>
      </c>
      <c r="H602" t="n">
        <v>0</v>
      </c>
      <c r="I602" t="n">
        <v>0</v>
      </c>
      <c r="J602" t="n">
        <v>0</v>
      </c>
      <c r="K602" t="n">
        <v>0</v>
      </c>
      <c r="L602" t="n">
        <v>0</v>
      </c>
      <c r="M602" t="n">
        <v>0</v>
      </c>
      <c r="N602" t="n">
        <v>0</v>
      </c>
      <c r="O602" t="n">
        <v>0</v>
      </c>
      <c r="P602" t="n">
        <v>0</v>
      </c>
      <c r="Q602" t="n">
        <v>0</v>
      </c>
      <c r="R602" s="2" t="inlineStr"/>
    </row>
    <row r="603" ht="15" customHeight="1">
      <c r="A603" t="inlineStr">
        <is>
          <t>A 36602-2025</t>
        </is>
      </c>
      <c r="B603" s="1" t="n">
        <v>45870.52111111111</v>
      </c>
      <c r="C603" s="1" t="n">
        <v>45956</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34060-2025</t>
        </is>
      </c>
      <c r="B604" s="1" t="n">
        <v>45845.42015046296</v>
      </c>
      <c r="C604" s="1" t="n">
        <v>45956</v>
      </c>
      <c r="D604" t="inlineStr">
        <is>
          <t>KALMAR LÄN</t>
        </is>
      </c>
      <c r="E604" t="inlineStr">
        <is>
          <t>VIMMERBY</t>
        </is>
      </c>
      <c r="G604" t="n">
        <v>5.7</v>
      </c>
      <c r="H604" t="n">
        <v>0</v>
      </c>
      <c r="I604" t="n">
        <v>0</v>
      </c>
      <c r="J604" t="n">
        <v>0</v>
      </c>
      <c r="K604" t="n">
        <v>0</v>
      </c>
      <c r="L604" t="n">
        <v>0</v>
      </c>
      <c r="M604" t="n">
        <v>0</v>
      </c>
      <c r="N604" t="n">
        <v>0</v>
      </c>
      <c r="O604" t="n">
        <v>0</v>
      </c>
      <c r="P604" t="n">
        <v>0</v>
      </c>
      <c r="Q604" t="n">
        <v>0</v>
      </c>
      <c r="R604" s="2" t="inlineStr"/>
    </row>
    <row r="605" ht="15" customHeight="1">
      <c r="A605" t="inlineStr">
        <is>
          <t>A 6405-2025</t>
        </is>
      </c>
      <c r="B605" s="1" t="n">
        <v>45699.45392361111</v>
      </c>
      <c r="C605" s="1" t="n">
        <v>45956</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36843-2023</t>
        </is>
      </c>
      <c r="B606" s="1" t="n">
        <v>45154.49831018518</v>
      </c>
      <c r="C606" s="1" t="n">
        <v>45956</v>
      </c>
      <c r="D606" t="inlineStr">
        <is>
          <t>KALMAR LÄN</t>
        </is>
      </c>
      <c r="E606" t="inlineStr">
        <is>
          <t>VIMMERBY</t>
        </is>
      </c>
      <c r="G606" t="n">
        <v>2</v>
      </c>
      <c r="H606" t="n">
        <v>0</v>
      </c>
      <c r="I606" t="n">
        <v>0</v>
      </c>
      <c r="J606" t="n">
        <v>0</v>
      </c>
      <c r="K606" t="n">
        <v>0</v>
      </c>
      <c r="L606" t="n">
        <v>0</v>
      </c>
      <c r="M606" t="n">
        <v>0</v>
      </c>
      <c r="N606" t="n">
        <v>0</v>
      </c>
      <c r="O606" t="n">
        <v>0</v>
      </c>
      <c r="P606" t="n">
        <v>0</v>
      </c>
      <c r="Q606" t="n">
        <v>0</v>
      </c>
      <c r="R606" s="2" t="inlineStr"/>
    </row>
    <row r="607" ht="15" customHeight="1">
      <c r="A607" t="inlineStr">
        <is>
          <t>A 36600-2025</t>
        </is>
      </c>
      <c r="B607" s="1" t="n">
        <v>45870.51958333333</v>
      </c>
      <c r="C607" s="1" t="n">
        <v>45956</v>
      </c>
      <c r="D607" t="inlineStr">
        <is>
          <t>KALMAR LÄN</t>
        </is>
      </c>
      <c r="E607" t="inlineStr">
        <is>
          <t>VIMMERBY</t>
        </is>
      </c>
      <c r="G607" t="n">
        <v>2</v>
      </c>
      <c r="H607" t="n">
        <v>0</v>
      </c>
      <c r="I607" t="n">
        <v>0</v>
      </c>
      <c r="J607" t="n">
        <v>0</v>
      </c>
      <c r="K607" t="n">
        <v>0</v>
      </c>
      <c r="L607" t="n">
        <v>0</v>
      </c>
      <c r="M607" t="n">
        <v>0</v>
      </c>
      <c r="N607" t="n">
        <v>0</v>
      </c>
      <c r="O607" t="n">
        <v>0</v>
      </c>
      <c r="P607" t="n">
        <v>0</v>
      </c>
      <c r="Q607" t="n">
        <v>0</v>
      </c>
      <c r="R607" s="2" t="inlineStr"/>
    </row>
    <row r="608" ht="15" customHeight="1">
      <c r="A608" t="inlineStr">
        <is>
          <t>A 36601-2025</t>
        </is>
      </c>
      <c r="B608" s="1" t="n">
        <v>45870.52005787037</v>
      </c>
      <c r="C608" s="1" t="n">
        <v>45956</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36603-2025</t>
        </is>
      </c>
      <c r="B609" s="1" t="n">
        <v>45870.52142361111</v>
      </c>
      <c r="C609" s="1" t="n">
        <v>45956</v>
      </c>
      <c r="D609" t="inlineStr">
        <is>
          <t>KALMAR LÄN</t>
        </is>
      </c>
      <c r="E609" t="inlineStr">
        <is>
          <t>VIMMERBY</t>
        </is>
      </c>
      <c r="G609" t="n">
        <v>1.6</v>
      </c>
      <c r="H609" t="n">
        <v>0</v>
      </c>
      <c r="I609" t="n">
        <v>0</v>
      </c>
      <c r="J609" t="n">
        <v>0</v>
      </c>
      <c r="K609" t="n">
        <v>0</v>
      </c>
      <c r="L609" t="n">
        <v>0</v>
      </c>
      <c r="M609" t="n">
        <v>0</v>
      </c>
      <c r="N609" t="n">
        <v>0</v>
      </c>
      <c r="O609" t="n">
        <v>0</v>
      </c>
      <c r="P609" t="n">
        <v>0</v>
      </c>
      <c r="Q609" t="n">
        <v>0</v>
      </c>
      <c r="R609" s="2" t="inlineStr"/>
    </row>
    <row r="610" ht="15" customHeight="1">
      <c r="A610" t="inlineStr">
        <is>
          <t>A 51990-2025</t>
        </is>
      </c>
      <c r="B610" s="1" t="n">
        <v>45952.58061342593</v>
      </c>
      <c r="C610" s="1" t="n">
        <v>45956</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1978-2024</t>
        </is>
      </c>
      <c r="B611" s="1" t="n">
        <v>45308.59001157407</v>
      </c>
      <c r="C611" s="1" t="n">
        <v>45956</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6399-2025</t>
        </is>
      </c>
      <c r="B612" s="1" t="n">
        <v>45699.44291666667</v>
      </c>
      <c r="C612" s="1" t="n">
        <v>45956</v>
      </c>
      <c r="D612" t="inlineStr">
        <is>
          <t>KALMAR LÄN</t>
        </is>
      </c>
      <c r="E612" t="inlineStr">
        <is>
          <t>VIMMERBY</t>
        </is>
      </c>
      <c r="G612" t="n">
        <v>3.1</v>
      </c>
      <c r="H612" t="n">
        <v>0</v>
      </c>
      <c r="I612" t="n">
        <v>0</v>
      </c>
      <c r="J612" t="n">
        <v>0</v>
      </c>
      <c r="K612" t="n">
        <v>0</v>
      </c>
      <c r="L612" t="n">
        <v>0</v>
      </c>
      <c r="M612" t="n">
        <v>0</v>
      </c>
      <c r="N612" t="n">
        <v>0</v>
      </c>
      <c r="O612" t="n">
        <v>0</v>
      </c>
      <c r="P612" t="n">
        <v>0</v>
      </c>
      <c r="Q612" t="n">
        <v>0</v>
      </c>
      <c r="R612" s="2" t="inlineStr"/>
    </row>
    <row r="613" ht="15" customHeight="1">
      <c r="A613" t="inlineStr">
        <is>
          <t>A 57486-2024</t>
        </is>
      </c>
      <c r="B613" s="1" t="n">
        <v>45630.35827546296</v>
      </c>
      <c r="C613" s="1" t="n">
        <v>45956</v>
      </c>
      <c r="D613" t="inlineStr">
        <is>
          <t>KALMAR LÄN</t>
        </is>
      </c>
      <c r="E613" t="inlineStr">
        <is>
          <t>VIMMERBY</t>
        </is>
      </c>
      <c r="G613" t="n">
        <v>0.4</v>
      </c>
      <c r="H613" t="n">
        <v>0</v>
      </c>
      <c r="I613" t="n">
        <v>0</v>
      </c>
      <c r="J613" t="n">
        <v>0</v>
      </c>
      <c r="K613" t="n">
        <v>0</v>
      </c>
      <c r="L613" t="n">
        <v>0</v>
      </c>
      <c r="M613" t="n">
        <v>0</v>
      </c>
      <c r="N613" t="n">
        <v>0</v>
      </c>
      <c r="O613" t="n">
        <v>0</v>
      </c>
      <c r="P613" t="n">
        <v>0</v>
      </c>
      <c r="Q613" t="n">
        <v>0</v>
      </c>
      <c r="R613" s="2" t="inlineStr"/>
    </row>
    <row r="614" ht="15" customHeight="1">
      <c r="A614" t="inlineStr">
        <is>
          <t>A 41311-2023</t>
        </is>
      </c>
      <c r="B614" s="1" t="n">
        <v>45174</v>
      </c>
      <c r="C614" s="1" t="n">
        <v>45956</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66295-2020</t>
        </is>
      </c>
      <c r="B615" s="1" t="n">
        <v>44176</v>
      </c>
      <c r="C615" s="1" t="n">
        <v>45956</v>
      </c>
      <c r="D615" t="inlineStr">
        <is>
          <t>KALMAR LÄN</t>
        </is>
      </c>
      <c r="E615" t="inlineStr">
        <is>
          <t>VIMMERBY</t>
        </is>
      </c>
      <c r="G615" t="n">
        <v>4.1</v>
      </c>
      <c r="H615" t="n">
        <v>0</v>
      </c>
      <c r="I615" t="n">
        <v>0</v>
      </c>
      <c r="J615" t="n">
        <v>0</v>
      </c>
      <c r="K615" t="n">
        <v>0</v>
      </c>
      <c r="L615" t="n">
        <v>0</v>
      </c>
      <c r="M615" t="n">
        <v>0</v>
      </c>
      <c r="N615" t="n">
        <v>0</v>
      </c>
      <c r="O615" t="n">
        <v>0</v>
      </c>
      <c r="P615" t="n">
        <v>0</v>
      </c>
      <c r="Q615" t="n">
        <v>0</v>
      </c>
      <c r="R615" s="2" t="inlineStr"/>
    </row>
    <row r="616" ht="15" customHeight="1">
      <c r="A616" t="inlineStr">
        <is>
          <t>A 51993-2025</t>
        </is>
      </c>
      <c r="B616" s="1" t="n">
        <v>45952.58194444444</v>
      </c>
      <c r="C616" s="1" t="n">
        <v>45956</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44423-2023</t>
        </is>
      </c>
      <c r="B617" s="1" t="n">
        <v>45189</v>
      </c>
      <c r="C617" s="1" t="n">
        <v>45956</v>
      </c>
      <c r="D617" t="inlineStr">
        <is>
          <t>KALMAR LÄN</t>
        </is>
      </c>
      <c r="E617" t="inlineStr">
        <is>
          <t>VIMMERBY</t>
        </is>
      </c>
      <c r="G617" t="n">
        <v>0.7</v>
      </c>
      <c r="H617" t="n">
        <v>0</v>
      </c>
      <c r="I617" t="n">
        <v>0</v>
      </c>
      <c r="J617" t="n">
        <v>0</v>
      </c>
      <c r="K617" t="n">
        <v>0</v>
      </c>
      <c r="L617" t="n">
        <v>0</v>
      </c>
      <c r="M617" t="n">
        <v>0</v>
      </c>
      <c r="N617" t="n">
        <v>0</v>
      </c>
      <c r="O617" t="n">
        <v>0</v>
      </c>
      <c r="P617" t="n">
        <v>0</v>
      </c>
      <c r="Q617" t="n">
        <v>0</v>
      </c>
      <c r="R617" s="2" t="inlineStr"/>
    </row>
    <row r="618" ht="15" customHeight="1">
      <c r="A618" t="inlineStr">
        <is>
          <t>A 20-2025</t>
        </is>
      </c>
      <c r="B618" s="1" t="n">
        <v>45658.80232638889</v>
      </c>
      <c r="C618" s="1" t="n">
        <v>45956</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23-2025</t>
        </is>
      </c>
      <c r="B619" s="1" t="n">
        <v>45658.80827546296</v>
      </c>
      <c r="C619" s="1" t="n">
        <v>45956</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21496-2023</t>
        </is>
      </c>
      <c r="B620" s="1" t="n">
        <v>45063.49936342592</v>
      </c>
      <c r="C620" s="1" t="n">
        <v>45956</v>
      </c>
      <c r="D620" t="inlineStr">
        <is>
          <t>KALMAR LÄN</t>
        </is>
      </c>
      <c r="E620" t="inlineStr">
        <is>
          <t>VIMMERBY</t>
        </is>
      </c>
      <c r="G620" t="n">
        <v>1.1</v>
      </c>
      <c r="H620" t="n">
        <v>0</v>
      </c>
      <c r="I620" t="n">
        <v>0</v>
      </c>
      <c r="J620" t="n">
        <v>0</v>
      </c>
      <c r="K620" t="n">
        <v>0</v>
      </c>
      <c r="L620" t="n">
        <v>0</v>
      </c>
      <c r="M620" t="n">
        <v>0</v>
      </c>
      <c r="N620" t="n">
        <v>0</v>
      </c>
      <c r="O620" t="n">
        <v>0</v>
      </c>
      <c r="P620" t="n">
        <v>0</v>
      </c>
      <c r="Q620" t="n">
        <v>0</v>
      </c>
      <c r="R620" s="2" t="inlineStr"/>
    </row>
    <row r="621" ht="15" customHeight="1">
      <c r="A621" t="inlineStr">
        <is>
          <t>A 31056-2022</t>
        </is>
      </c>
      <c r="B621" s="1" t="n">
        <v>44769.45805555556</v>
      </c>
      <c r="C621" s="1" t="n">
        <v>45956</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52138-2025</t>
        </is>
      </c>
      <c r="B622" s="1" t="n">
        <v>45953</v>
      </c>
      <c r="C622" s="1" t="n">
        <v>45956</v>
      </c>
      <c r="D622" t="inlineStr">
        <is>
          <t>KALMAR LÄN</t>
        </is>
      </c>
      <c r="E622" t="inlineStr">
        <is>
          <t>VIMMERBY</t>
        </is>
      </c>
      <c r="G622" t="n">
        <v>1</v>
      </c>
      <c r="H622" t="n">
        <v>0</v>
      </c>
      <c r="I622" t="n">
        <v>0</v>
      </c>
      <c r="J622" t="n">
        <v>0</v>
      </c>
      <c r="K622" t="n">
        <v>0</v>
      </c>
      <c r="L622" t="n">
        <v>0</v>
      </c>
      <c r="M622" t="n">
        <v>0</v>
      </c>
      <c r="N622" t="n">
        <v>0</v>
      </c>
      <c r="O622" t="n">
        <v>0</v>
      </c>
      <c r="P622" t="n">
        <v>0</v>
      </c>
      <c r="Q622" t="n">
        <v>0</v>
      </c>
      <c r="R622" s="2" t="inlineStr"/>
    </row>
    <row r="623" ht="15" customHeight="1">
      <c r="A623" t="inlineStr">
        <is>
          <t>A 43617-2025</t>
        </is>
      </c>
      <c r="B623" s="1" t="n">
        <v>45911.67798611111</v>
      </c>
      <c r="C623" s="1" t="n">
        <v>45956</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10785-2025</t>
        </is>
      </c>
      <c r="B624" s="1" t="n">
        <v>45722.48634259259</v>
      </c>
      <c r="C624" s="1" t="n">
        <v>45956</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52465-2025</t>
        </is>
      </c>
      <c r="B625" s="1" t="n">
        <v>45954.44543981482</v>
      </c>
      <c r="C625" s="1" t="n">
        <v>45956</v>
      </c>
      <c r="D625" t="inlineStr">
        <is>
          <t>KALMAR LÄN</t>
        </is>
      </c>
      <c r="E625" t="inlineStr">
        <is>
          <t>VIMMERBY</t>
        </is>
      </c>
      <c r="G625" t="n">
        <v>0.9</v>
      </c>
      <c r="H625" t="n">
        <v>0</v>
      </c>
      <c r="I625" t="n">
        <v>0</v>
      </c>
      <c r="J625" t="n">
        <v>0</v>
      </c>
      <c r="K625" t="n">
        <v>0</v>
      </c>
      <c r="L625" t="n">
        <v>0</v>
      </c>
      <c r="M625" t="n">
        <v>0</v>
      </c>
      <c r="N625" t="n">
        <v>0</v>
      </c>
      <c r="O625" t="n">
        <v>0</v>
      </c>
      <c r="P625" t="n">
        <v>0</v>
      </c>
      <c r="Q625" t="n">
        <v>0</v>
      </c>
      <c r="R625" s="2" t="inlineStr"/>
    </row>
    <row r="626" ht="15" customHeight="1">
      <c r="A626" t="inlineStr">
        <is>
          <t>A 44329-2025</t>
        </is>
      </c>
      <c r="B626" s="1" t="n">
        <v>45916.41019675926</v>
      </c>
      <c r="C626" s="1" t="n">
        <v>45956</v>
      </c>
      <c r="D626" t="inlineStr">
        <is>
          <t>KALMAR LÄN</t>
        </is>
      </c>
      <c r="E626" t="inlineStr">
        <is>
          <t>VIMMERBY</t>
        </is>
      </c>
      <c r="G626" t="n">
        <v>4.3</v>
      </c>
      <c r="H626" t="n">
        <v>0</v>
      </c>
      <c r="I626" t="n">
        <v>0</v>
      </c>
      <c r="J626" t="n">
        <v>0</v>
      </c>
      <c r="K626" t="n">
        <v>0</v>
      </c>
      <c r="L626" t="n">
        <v>0</v>
      </c>
      <c r="M626" t="n">
        <v>0</v>
      </c>
      <c r="N626" t="n">
        <v>0</v>
      </c>
      <c r="O626" t="n">
        <v>0</v>
      </c>
      <c r="P626" t="n">
        <v>0</v>
      </c>
      <c r="Q626" t="n">
        <v>0</v>
      </c>
      <c r="R626" s="2" t="inlineStr"/>
    </row>
    <row r="627" ht="15" customHeight="1">
      <c r="A627" t="inlineStr">
        <is>
          <t>A 52451-2025</t>
        </is>
      </c>
      <c r="B627" s="1" t="n">
        <v>45954.42326388889</v>
      </c>
      <c r="C627" s="1" t="n">
        <v>45956</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44517-2025</t>
        </is>
      </c>
      <c r="B628" s="1" t="n">
        <v>45916.7103587963</v>
      </c>
      <c r="C628" s="1" t="n">
        <v>45956</v>
      </c>
      <c r="D628" t="inlineStr">
        <is>
          <t>KALMAR LÄN</t>
        </is>
      </c>
      <c r="E628" t="inlineStr">
        <is>
          <t>VIMMERBY</t>
        </is>
      </c>
      <c r="G628" t="n">
        <v>0.9</v>
      </c>
      <c r="H628" t="n">
        <v>0</v>
      </c>
      <c r="I628" t="n">
        <v>0</v>
      </c>
      <c r="J628" t="n">
        <v>0</v>
      </c>
      <c r="K628" t="n">
        <v>0</v>
      </c>
      <c r="L628" t="n">
        <v>0</v>
      </c>
      <c r="M628" t="n">
        <v>0</v>
      </c>
      <c r="N628" t="n">
        <v>0</v>
      </c>
      <c r="O628" t="n">
        <v>0</v>
      </c>
      <c r="P628" t="n">
        <v>0</v>
      </c>
      <c r="Q628" t="n">
        <v>0</v>
      </c>
      <c r="R628" s="2" t="inlineStr"/>
    </row>
    <row r="629" ht="15" customHeight="1">
      <c r="A629" t="inlineStr">
        <is>
          <t>A 18020-2025</t>
        </is>
      </c>
      <c r="B629" s="1" t="n">
        <v>45761.4437962963</v>
      </c>
      <c r="C629" s="1" t="n">
        <v>45956</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585-2024</t>
        </is>
      </c>
      <c r="B630" s="1" t="n">
        <v>45299.62576388889</v>
      </c>
      <c r="C630" s="1" t="n">
        <v>45956</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36934-2025</t>
        </is>
      </c>
      <c r="B631" s="1" t="n">
        <v>45874.57109953704</v>
      </c>
      <c r="C631" s="1" t="n">
        <v>45956</v>
      </c>
      <c r="D631" t="inlineStr">
        <is>
          <t>KALMAR LÄN</t>
        </is>
      </c>
      <c r="E631" t="inlineStr">
        <is>
          <t>VIMMERBY</t>
        </is>
      </c>
      <c r="G631" t="n">
        <v>4.2</v>
      </c>
      <c r="H631" t="n">
        <v>0</v>
      </c>
      <c r="I631" t="n">
        <v>0</v>
      </c>
      <c r="J631" t="n">
        <v>0</v>
      </c>
      <c r="K631" t="n">
        <v>0</v>
      </c>
      <c r="L631" t="n">
        <v>0</v>
      </c>
      <c r="M631" t="n">
        <v>0</v>
      </c>
      <c r="N631" t="n">
        <v>0</v>
      </c>
      <c r="O631" t="n">
        <v>0</v>
      </c>
      <c r="P631" t="n">
        <v>0</v>
      </c>
      <c r="Q631" t="n">
        <v>0</v>
      </c>
      <c r="R631" s="2" t="inlineStr"/>
    </row>
    <row r="632" ht="15" customHeight="1">
      <c r="A632" t="inlineStr">
        <is>
          <t>A 6802-2025</t>
        </is>
      </c>
      <c r="B632" s="1" t="n">
        <v>45700.68289351852</v>
      </c>
      <c r="C632" s="1" t="n">
        <v>45956</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44091-2025</t>
        </is>
      </c>
      <c r="B633" s="1" t="n">
        <v>45915.55950231481</v>
      </c>
      <c r="C633" s="1" t="n">
        <v>45956</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56020-2024</t>
        </is>
      </c>
      <c r="B634" s="1" t="n">
        <v>45623.9525462963</v>
      </c>
      <c r="C634" s="1" t="n">
        <v>45956</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33842-2022</t>
        </is>
      </c>
      <c r="B635" s="1" t="n">
        <v>44790.49523148148</v>
      </c>
      <c r="C635" s="1" t="n">
        <v>45956</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60675-2023</t>
        </is>
      </c>
      <c r="B636" s="1" t="n">
        <v>45260.4716550926</v>
      </c>
      <c r="C636" s="1" t="n">
        <v>45956</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40095-2022</t>
        </is>
      </c>
      <c r="B637" s="1" t="n">
        <v>44820</v>
      </c>
      <c r="C637" s="1" t="n">
        <v>45956</v>
      </c>
      <c r="D637" t="inlineStr">
        <is>
          <t>KALMAR LÄN</t>
        </is>
      </c>
      <c r="E637" t="inlineStr">
        <is>
          <t>VIMMERBY</t>
        </is>
      </c>
      <c r="G637" t="n">
        <v>2.4</v>
      </c>
      <c r="H637" t="n">
        <v>0</v>
      </c>
      <c r="I637" t="n">
        <v>0</v>
      </c>
      <c r="J637" t="n">
        <v>0</v>
      </c>
      <c r="K637" t="n">
        <v>0</v>
      </c>
      <c r="L637" t="n">
        <v>0</v>
      </c>
      <c r="M637" t="n">
        <v>0</v>
      </c>
      <c r="N637" t="n">
        <v>0</v>
      </c>
      <c r="O637" t="n">
        <v>0</v>
      </c>
      <c r="P637" t="n">
        <v>0</v>
      </c>
      <c r="Q637" t="n">
        <v>0</v>
      </c>
      <c r="R637" s="2" t="inlineStr"/>
    </row>
    <row r="638" ht="15" customHeight="1">
      <c r="A638" t="inlineStr">
        <is>
          <t>A 72701-2021</t>
        </is>
      </c>
      <c r="B638" s="1" t="n">
        <v>44546</v>
      </c>
      <c r="C638" s="1" t="n">
        <v>45956</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44095-2025</t>
        </is>
      </c>
      <c r="B639" s="1" t="n">
        <v>45915.56430555556</v>
      </c>
      <c r="C639" s="1" t="n">
        <v>45956</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19537-2022</t>
        </is>
      </c>
      <c r="B640" s="1" t="n">
        <v>44693.62822916666</v>
      </c>
      <c r="C640" s="1" t="n">
        <v>45956</v>
      </c>
      <c r="D640" t="inlineStr">
        <is>
          <t>KALMAR LÄN</t>
        </is>
      </c>
      <c r="E640" t="inlineStr">
        <is>
          <t>VIMMERBY</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52294-2023</t>
        </is>
      </c>
      <c r="B641" s="1" t="n">
        <v>45224.60075231481</v>
      </c>
      <c r="C641" s="1" t="n">
        <v>45956</v>
      </c>
      <c r="D641" t="inlineStr">
        <is>
          <t>KALMAR LÄN</t>
        </is>
      </c>
      <c r="E641" t="inlineStr">
        <is>
          <t>VIMMERBY</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61355-2024</t>
        </is>
      </c>
      <c r="B642" s="1" t="n">
        <v>45646.38200231481</v>
      </c>
      <c r="C642" s="1" t="n">
        <v>45956</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57311-2023</t>
        </is>
      </c>
      <c r="B643" s="1" t="n">
        <v>45245.63574074074</v>
      </c>
      <c r="C643" s="1" t="n">
        <v>45956</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64428-2023</t>
        </is>
      </c>
      <c r="B644" s="1" t="n">
        <v>45280.66769675926</v>
      </c>
      <c r="C644" s="1" t="n">
        <v>45956</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4527-2023</t>
        </is>
      </c>
      <c r="B645" s="1" t="n">
        <v>44956</v>
      </c>
      <c r="C645" s="1" t="n">
        <v>45956</v>
      </c>
      <c r="D645" t="inlineStr">
        <is>
          <t>KALMAR LÄN</t>
        </is>
      </c>
      <c r="E645" t="inlineStr">
        <is>
          <t>VIMMERBY</t>
        </is>
      </c>
      <c r="F645" t="inlineStr">
        <is>
          <t>Kommuner</t>
        </is>
      </c>
      <c r="G645" t="n">
        <v>8.5</v>
      </c>
      <c r="H645" t="n">
        <v>0</v>
      </c>
      <c r="I645" t="n">
        <v>0</v>
      </c>
      <c r="J645" t="n">
        <v>0</v>
      </c>
      <c r="K645" t="n">
        <v>0</v>
      </c>
      <c r="L645" t="n">
        <v>0</v>
      </c>
      <c r="M645" t="n">
        <v>0</v>
      </c>
      <c r="N645" t="n">
        <v>0</v>
      </c>
      <c r="O645" t="n">
        <v>0</v>
      </c>
      <c r="P645" t="n">
        <v>0</v>
      </c>
      <c r="Q645" t="n">
        <v>0</v>
      </c>
      <c r="R645" s="2" t="inlineStr"/>
    </row>
    <row r="646" ht="15" customHeight="1">
      <c r="A646" t="inlineStr">
        <is>
          <t>A 3268-2024</t>
        </is>
      </c>
      <c r="B646" s="1" t="n">
        <v>45317</v>
      </c>
      <c r="C646" s="1" t="n">
        <v>45956</v>
      </c>
      <c r="D646" t="inlineStr">
        <is>
          <t>KALMAR LÄN</t>
        </is>
      </c>
      <c r="E646" t="inlineStr">
        <is>
          <t>VIMMERBY</t>
        </is>
      </c>
      <c r="F646" t="inlineStr">
        <is>
          <t>Övriga Aktiebolag</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51408-2023</t>
        </is>
      </c>
      <c r="B647" s="1" t="n">
        <v>45219.69356481481</v>
      </c>
      <c r="C647" s="1" t="n">
        <v>45956</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12480-2024</t>
        </is>
      </c>
      <c r="B648" s="1" t="n">
        <v>45379</v>
      </c>
      <c r="C648" s="1" t="n">
        <v>45956</v>
      </c>
      <c r="D648" t="inlineStr">
        <is>
          <t>KALMAR LÄN</t>
        </is>
      </c>
      <c r="E648" t="inlineStr">
        <is>
          <t>VIMMERBY</t>
        </is>
      </c>
      <c r="G648" t="n">
        <v>2.8</v>
      </c>
      <c r="H648" t="n">
        <v>0</v>
      </c>
      <c r="I648" t="n">
        <v>0</v>
      </c>
      <c r="J648" t="n">
        <v>0</v>
      </c>
      <c r="K648" t="n">
        <v>0</v>
      </c>
      <c r="L648" t="n">
        <v>0</v>
      </c>
      <c r="M648" t="n">
        <v>0</v>
      </c>
      <c r="N648" t="n">
        <v>0</v>
      </c>
      <c r="O648" t="n">
        <v>0</v>
      </c>
      <c r="P648" t="n">
        <v>0</v>
      </c>
      <c r="Q648" t="n">
        <v>0</v>
      </c>
      <c r="R648" s="2" t="inlineStr"/>
    </row>
    <row r="649" ht="15" customHeight="1">
      <c r="A649" t="inlineStr">
        <is>
          <t>A 52588-2023</t>
        </is>
      </c>
      <c r="B649" s="1" t="n">
        <v>45225.60192129629</v>
      </c>
      <c r="C649" s="1" t="n">
        <v>45956</v>
      </c>
      <c r="D649" t="inlineStr">
        <is>
          <t>KALMAR LÄN</t>
        </is>
      </c>
      <c r="E649" t="inlineStr">
        <is>
          <t>VIMMERBY</t>
        </is>
      </c>
      <c r="G649" t="n">
        <v>2.9</v>
      </c>
      <c r="H649" t="n">
        <v>0</v>
      </c>
      <c r="I649" t="n">
        <v>0</v>
      </c>
      <c r="J649" t="n">
        <v>0</v>
      </c>
      <c r="K649" t="n">
        <v>0</v>
      </c>
      <c r="L649" t="n">
        <v>0</v>
      </c>
      <c r="M649" t="n">
        <v>0</v>
      </c>
      <c r="N649" t="n">
        <v>0</v>
      </c>
      <c r="O649" t="n">
        <v>0</v>
      </c>
      <c r="P649" t="n">
        <v>0</v>
      </c>
      <c r="Q649" t="n">
        <v>0</v>
      </c>
      <c r="R649" s="2" t="inlineStr"/>
    </row>
    <row r="650" ht="15" customHeight="1">
      <c r="A650" t="inlineStr">
        <is>
          <t>A 55236-2023</t>
        </is>
      </c>
      <c r="B650" s="1" t="n">
        <v>45237.63225694445</v>
      </c>
      <c r="C650" s="1" t="n">
        <v>45956</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55245-2023</t>
        </is>
      </c>
      <c r="B651" s="1" t="n">
        <v>45237.64408564815</v>
      </c>
      <c r="C651" s="1" t="n">
        <v>45956</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19111-2025</t>
        </is>
      </c>
      <c r="B652" s="1" t="n">
        <v>45768.65611111111</v>
      </c>
      <c r="C652" s="1" t="n">
        <v>45956</v>
      </c>
      <c r="D652" t="inlineStr">
        <is>
          <t>KALMAR LÄN</t>
        </is>
      </c>
      <c r="E652" t="inlineStr">
        <is>
          <t>VIMMERBY</t>
        </is>
      </c>
      <c r="G652" t="n">
        <v>6.2</v>
      </c>
      <c r="H652" t="n">
        <v>0</v>
      </c>
      <c r="I652" t="n">
        <v>0</v>
      </c>
      <c r="J652" t="n">
        <v>0</v>
      </c>
      <c r="K652" t="n">
        <v>0</v>
      </c>
      <c r="L652" t="n">
        <v>0</v>
      </c>
      <c r="M652" t="n">
        <v>0</v>
      </c>
      <c r="N652" t="n">
        <v>0</v>
      </c>
      <c r="O652" t="n">
        <v>0</v>
      </c>
      <c r="P652" t="n">
        <v>0</v>
      </c>
      <c r="Q652" t="n">
        <v>0</v>
      </c>
      <c r="R652" s="2" t="inlineStr"/>
    </row>
    <row r="653" ht="15" customHeight="1">
      <c r="A653" t="inlineStr">
        <is>
          <t>A 25370-2022</t>
        </is>
      </c>
      <c r="B653" s="1" t="n">
        <v>44732.3659837963</v>
      </c>
      <c r="C653" s="1" t="n">
        <v>45956</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44790.49040509259</v>
      </c>
      <c r="C654" s="1" t="n">
        <v>45956</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4058-2024</t>
        </is>
      </c>
      <c r="B655" s="1" t="n">
        <v>45323.53744212963</v>
      </c>
      <c r="C655" s="1" t="n">
        <v>45956</v>
      </c>
      <c r="D655" t="inlineStr">
        <is>
          <t>KALMAR LÄN</t>
        </is>
      </c>
      <c r="E655" t="inlineStr">
        <is>
          <t>VIMMERBY</t>
        </is>
      </c>
      <c r="G655" t="n">
        <v>6.5</v>
      </c>
      <c r="H655" t="n">
        <v>0</v>
      </c>
      <c r="I655" t="n">
        <v>0</v>
      </c>
      <c r="J655" t="n">
        <v>0</v>
      </c>
      <c r="K655" t="n">
        <v>0</v>
      </c>
      <c r="L655" t="n">
        <v>0</v>
      </c>
      <c r="M655" t="n">
        <v>0</v>
      </c>
      <c r="N655" t="n">
        <v>0</v>
      </c>
      <c r="O655" t="n">
        <v>0</v>
      </c>
      <c r="P655" t="n">
        <v>0</v>
      </c>
      <c r="Q655" t="n">
        <v>0</v>
      </c>
      <c r="R655" s="2" t="inlineStr"/>
    </row>
    <row r="656" ht="15" customHeight="1">
      <c r="A656" t="inlineStr">
        <is>
          <t>A 36008-2024</t>
        </is>
      </c>
      <c r="B656" s="1" t="n">
        <v>45533.55362268518</v>
      </c>
      <c r="C656" s="1" t="n">
        <v>45956</v>
      </c>
      <c r="D656" t="inlineStr">
        <is>
          <t>KALMAR LÄN</t>
        </is>
      </c>
      <c r="E656" t="inlineStr">
        <is>
          <t>VIMMERBY</t>
        </is>
      </c>
      <c r="G656" t="n">
        <v>3.7</v>
      </c>
      <c r="H656" t="n">
        <v>0</v>
      </c>
      <c r="I656" t="n">
        <v>0</v>
      </c>
      <c r="J656" t="n">
        <v>0</v>
      </c>
      <c r="K656" t="n">
        <v>0</v>
      </c>
      <c r="L656" t="n">
        <v>0</v>
      </c>
      <c r="M656" t="n">
        <v>0</v>
      </c>
      <c r="N656" t="n">
        <v>0</v>
      </c>
      <c r="O656" t="n">
        <v>0</v>
      </c>
      <c r="P656" t="n">
        <v>0</v>
      </c>
      <c r="Q656" t="n">
        <v>0</v>
      </c>
      <c r="R656" s="2" t="inlineStr"/>
    </row>
    <row r="657" ht="15" customHeight="1">
      <c r="A657" t="inlineStr">
        <is>
          <t>A 18669-2025</t>
        </is>
      </c>
      <c r="B657" s="1" t="n">
        <v>45763.59436342592</v>
      </c>
      <c r="C657" s="1" t="n">
        <v>45956</v>
      </c>
      <c r="D657" t="inlineStr">
        <is>
          <t>KALMAR LÄN</t>
        </is>
      </c>
      <c r="E657" t="inlineStr">
        <is>
          <t>VIMMERBY</t>
        </is>
      </c>
      <c r="G657" t="n">
        <v>2.7</v>
      </c>
      <c r="H657" t="n">
        <v>0</v>
      </c>
      <c r="I657" t="n">
        <v>0</v>
      </c>
      <c r="J657" t="n">
        <v>0</v>
      </c>
      <c r="K657" t="n">
        <v>0</v>
      </c>
      <c r="L657" t="n">
        <v>0</v>
      </c>
      <c r="M657" t="n">
        <v>0</v>
      </c>
      <c r="N657" t="n">
        <v>0</v>
      </c>
      <c r="O657" t="n">
        <v>0</v>
      </c>
      <c r="P657" t="n">
        <v>0</v>
      </c>
      <c r="Q657" t="n">
        <v>0</v>
      </c>
      <c r="R657" s="2" t="inlineStr"/>
    </row>
    <row r="658" ht="15" customHeight="1">
      <c r="A658" t="inlineStr">
        <is>
          <t>A 8540-2024</t>
        </is>
      </c>
      <c r="B658" s="1" t="n">
        <v>45355.54138888889</v>
      </c>
      <c r="C658" s="1" t="n">
        <v>45956</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9623-2024</t>
        </is>
      </c>
      <c r="B659" s="1" t="n">
        <v>45361.87975694444</v>
      </c>
      <c r="C659" s="1" t="n">
        <v>45956</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5146-2024</t>
        </is>
      </c>
      <c r="B660" s="1" t="n">
        <v>45330</v>
      </c>
      <c r="C660" s="1" t="n">
        <v>45956</v>
      </c>
      <c r="D660" t="inlineStr">
        <is>
          <t>KALMAR LÄN</t>
        </is>
      </c>
      <c r="E660" t="inlineStr">
        <is>
          <t>VIMMERBY</t>
        </is>
      </c>
      <c r="G660" t="n">
        <v>5.3</v>
      </c>
      <c r="H660" t="n">
        <v>0</v>
      </c>
      <c r="I660" t="n">
        <v>0</v>
      </c>
      <c r="J660" t="n">
        <v>0</v>
      </c>
      <c r="K660" t="n">
        <v>0</v>
      </c>
      <c r="L660" t="n">
        <v>0</v>
      </c>
      <c r="M660" t="n">
        <v>0</v>
      </c>
      <c r="N660" t="n">
        <v>0</v>
      </c>
      <c r="O660" t="n">
        <v>0</v>
      </c>
      <c r="P660" t="n">
        <v>0</v>
      </c>
      <c r="Q660" t="n">
        <v>0</v>
      </c>
      <c r="R660" s="2" t="inlineStr"/>
    </row>
    <row r="661" ht="15" customHeight="1">
      <c r="A661" t="inlineStr">
        <is>
          <t>A 5148-2024</t>
        </is>
      </c>
      <c r="B661" s="1" t="n">
        <v>45330</v>
      </c>
      <c r="C661" s="1" t="n">
        <v>45956</v>
      </c>
      <c r="D661" t="inlineStr">
        <is>
          <t>KALMAR LÄN</t>
        </is>
      </c>
      <c r="E661" t="inlineStr">
        <is>
          <t>VIMMERBY</t>
        </is>
      </c>
      <c r="G661" t="n">
        <v>5.6</v>
      </c>
      <c r="H661" t="n">
        <v>0</v>
      </c>
      <c r="I661" t="n">
        <v>0</v>
      </c>
      <c r="J661" t="n">
        <v>0</v>
      </c>
      <c r="K661" t="n">
        <v>0</v>
      </c>
      <c r="L661" t="n">
        <v>0</v>
      </c>
      <c r="M661" t="n">
        <v>0</v>
      </c>
      <c r="N661" t="n">
        <v>0</v>
      </c>
      <c r="O661" t="n">
        <v>0</v>
      </c>
      <c r="P661" t="n">
        <v>0</v>
      </c>
      <c r="Q661" t="n">
        <v>0</v>
      </c>
      <c r="R661" s="2" t="inlineStr"/>
    </row>
    <row r="662" ht="15" customHeight="1">
      <c r="A662" t="inlineStr">
        <is>
          <t>A 43465-2025</t>
        </is>
      </c>
      <c r="B662" s="1" t="n">
        <v>45911.47138888889</v>
      </c>
      <c r="C662" s="1" t="n">
        <v>45956</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52473-2025</t>
        </is>
      </c>
      <c r="B663" s="1" t="n">
        <v>45954.45947916667</v>
      </c>
      <c r="C663" s="1" t="n">
        <v>45956</v>
      </c>
      <c r="D663" t="inlineStr">
        <is>
          <t>KALMAR LÄN</t>
        </is>
      </c>
      <c r="E663" t="inlineStr">
        <is>
          <t>VIMMERBY</t>
        </is>
      </c>
      <c r="G663" t="n">
        <v>2.4</v>
      </c>
      <c r="H663" t="n">
        <v>0</v>
      </c>
      <c r="I663" t="n">
        <v>0</v>
      </c>
      <c r="J663" t="n">
        <v>0</v>
      </c>
      <c r="K663" t="n">
        <v>0</v>
      </c>
      <c r="L663" t="n">
        <v>0</v>
      </c>
      <c r="M663" t="n">
        <v>0</v>
      </c>
      <c r="N663" t="n">
        <v>0</v>
      </c>
      <c r="O663" t="n">
        <v>0</v>
      </c>
      <c r="P663" t="n">
        <v>0</v>
      </c>
      <c r="Q663" t="n">
        <v>0</v>
      </c>
      <c r="R663" s="2" t="inlineStr"/>
    </row>
    <row r="664" ht="15" customHeight="1">
      <c r="A664" t="inlineStr">
        <is>
          <t>A 52480-2025</t>
        </is>
      </c>
      <c r="B664" s="1" t="n">
        <v>45954.47172453703</v>
      </c>
      <c r="C664" s="1" t="n">
        <v>45956</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44179-2022</t>
        </is>
      </c>
      <c r="B665" s="1" t="n">
        <v>44839.4528125</v>
      </c>
      <c r="C665" s="1" t="n">
        <v>45956</v>
      </c>
      <c r="D665" t="inlineStr">
        <is>
          <t>KALMAR LÄN</t>
        </is>
      </c>
      <c r="E665" t="inlineStr">
        <is>
          <t>VIMMERBY</t>
        </is>
      </c>
      <c r="G665" t="n">
        <v>2.8</v>
      </c>
      <c r="H665" t="n">
        <v>0</v>
      </c>
      <c r="I665" t="n">
        <v>0</v>
      </c>
      <c r="J665" t="n">
        <v>0</v>
      </c>
      <c r="K665" t="n">
        <v>0</v>
      </c>
      <c r="L665" t="n">
        <v>0</v>
      </c>
      <c r="M665" t="n">
        <v>0</v>
      </c>
      <c r="N665" t="n">
        <v>0</v>
      </c>
      <c r="O665" t="n">
        <v>0</v>
      </c>
      <c r="P665" t="n">
        <v>0</v>
      </c>
      <c r="Q665" t="n">
        <v>0</v>
      </c>
      <c r="R665" s="2" t="inlineStr"/>
    </row>
    <row r="666" ht="15" customHeight="1">
      <c r="A666" t="inlineStr">
        <is>
          <t>A 52466-2025</t>
        </is>
      </c>
      <c r="B666" s="1" t="n">
        <v>45954.44707175926</v>
      </c>
      <c r="C666" s="1" t="n">
        <v>45956</v>
      </c>
      <c r="D666" t="inlineStr">
        <is>
          <t>KALMAR LÄN</t>
        </is>
      </c>
      <c r="E666" t="inlineStr">
        <is>
          <t>VIMMERBY</t>
        </is>
      </c>
      <c r="G666" t="n">
        <v>0.6</v>
      </c>
      <c r="H666" t="n">
        <v>0</v>
      </c>
      <c r="I666" t="n">
        <v>0</v>
      </c>
      <c r="J666" t="n">
        <v>0</v>
      </c>
      <c r="K666" t="n">
        <v>0</v>
      </c>
      <c r="L666" t="n">
        <v>0</v>
      </c>
      <c r="M666" t="n">
        <v>0</v>
      </c>
      <c r="N666" t="n">
        <v>0</v>
      </c>
      <c r="O666" t="n">
        <v>0</v>
      </c>
      <c r="P666" t="n">
        <v>0</v>
      </c>
      <c r="Q666" t="n">
        <v>0</v>
      </c>
      <c r="R666" s="2" t="inlineStr"/>
    </row>
    <row r="667" ht="15" customHeight="1">
      <c r="A667" t="inlineStr">
        <is>
          <t>A 50648-2023</t>
        </is>
      </c>
      <c r="B667" s="1" t="n">
        <v>45217.47834490741</v>
      </c>
      <c r="C667" s="1" t="n">
        <v>45956</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2121-2022</t>
        </is>
      </c>
      <c r="B668" s="1" t="n">
        <v>44578.32717592592</v>
      </c>
      <c r="C668" s="1" t="n">
        <v>45956</v>
      </c>
      <c r="D668" t="inlineStr">
        <is>
          <t>KALMAR LÄN</t>
        </is>
      </c>
      <c r="E668" t="inlineStr">
        <is>
          <t>VIMMERBY</t>
        </is>
      </c>
      <c r="G668" t="n">
        <v>2</v>
      </c>
      <c r="H668" t="n">
        <v>0</v>
      </c>
      <c r="I668" t="n">
        <v>0</v>
      </c>
      <c r="J668" t="n">
        <v>0</v>
      </c>
      <c r="K668" t="n">
        <v>0</v>
      </c>
      <c r="L668" t="n">
        <v>0</v>
      </c>
      <c r="M668" t="n">
        <v>0</v>
      </c>
      <c r="N668" t="n">
        <v>0</v>
      </c>
      <c r="O668" t="n">
        <v>0</v>
      </c>
      <c r="P668" t="n">
        <v>0</v>
      </c>
      <c r="Q668" t="n">
        <v>0</v>
      </c>
      <c r="R668" s="2" t="inlineStr"/>
    </row>
    <row r="669" ht="15" customHeight="1">
      <c r="A669" t="inlineStr">
        <is>
          <t>A 33374-2021</t>
        </is>
      </c>
      <c r="B669" s="1" t="n">
        <v>44377</v>
      </c>
      <c r="C669" s="1" t="n">
        <v>45956</v>
      </c>
      <c r="D669" t="inlineStr">
        <is>
          <t>KALMAR LÄN</t>
        </is>
      </c>
      <c r="E669" t="inlineStr">
        <is>
          <t>VIMMERBY</t>
        </is>
      </c>
      <c r="G669" t="n">
        <v>3.3</v>
      </c>
      <c r="H669" t="n">
        <v>0</v>
      </c>
      <c r="I669" t="n">
        <v>0</v>
      </c>
      <c r="J669" t="n">
        <v>0</v>
      </c>
      <c r="K669" t="n">
        <v>0</v>
      </c>
      <c r="L669" t="n">
        <v>0</v>
      </c>
      <c r="M669" t="n">
        <v>0</v>
      </c>
      <c r="N669" t="n">
        <v>0</v>
      </c>
      <c r="O669" t="n">
        <v>0</v>
      </c>
      <c r="P669" t="n">
        <v>0</v>
      </c>
      <c r="Q669" t="n">
        <v>0</v>
      </c>
      <c r="R669" s="2" t="inlineStr"/>
    </row>
    <row r="670" ht="15" customHeight="1">
      <c r="A670" t="inlineStr">
        <is>
          <t>A 57799-2022</t>
        </is>
      </c>
      <c r="B670" s="1" t="n">
        <v>44897</v>
      </c>
      <c r="C670" s="1" t="n">
        <v>45956</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15394-2025</t>
        </is>
      </c>
      <c r="B671" s="1" t="n">
        <v>45747.43196759259</v>
      </c>
      <c r="C671" s="1" t="n">
        <v>45956</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26318-2023</t>
        </is>
      </c>
      <c r="B672" s="1" t="n">
        <v>45091.67936342592</v>
      </c>
      <c r="C672" s="1" t="n">
        <v>45956</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60437-2023</t>
        </is>
      </c>
      <c r="B673" s="1" t="n">
        <v>45259.51916666667</v>
      </c>
      <c r="C673" s="1" t="n">
        <v>45956</v>
      </c>
      <c r="D673" t="inlineStr">
        <is>
          <t>KALMAR LÄN</t>
        </is>
      </c>
      <c r="E673" t="inlineStr">
        <is>
          <t>VIMMERBY</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60438-2023</t>
        </is>
      </c>
      <c r="B674" s="1" t="n">
        <v>45259.52020833334</v>
      </c>
      <c r="C674" s="1" t="n">
        <v>45956</v>
      </c>
      <c r="D674" t="inlineStr">
        <is>
          <t>KALMAR LÄN</t>
        </is>
      </c>
      <c r="E674" t="inlineStr">
        <is>
          <t>VIMMERBY</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37088-2025</t>
        </is>
      </c>
      <c r="B675" s="1" t="n">
        <v>45875.45716435185</v>
      </c>
      <c r="C675" s="1" t="n">
        <v>45956</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37102-2025</t>
        </is>
      </c>
      <c r="B676" s="1" t="n">
        <v>45875.47454861111</v>
      </c>
      <c r="C676" s="1" t="n">
        <v>45956</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7758-2024</t>
        </is>
      </c>
      <c r="B677" s="1" t="n">
        <v>45349.54434027777</v>
      </c>
      <c r="C677" s="1" t="n">
        <v>45956</v>
      </c>
      <c r="D677" t="inlineStr">
        <is>
          <t>KALMAR LÄN</t>
        </is>
      </c>
      <c r="E677" t="inlineStr">
        <is>
          <t>VIMMERBY</t>
        </is>
      </c>
      <c r="G677" t="n">
        <v>3.5</v>
      </c>
      <c r="H677" t="n">
        <v>0</v>
      </c>
      <c r="I677" t="n">
        <v>0</v>
      </c>
      <c r="J677" t="n">
        <v>0</v>
      </c>
      <c r="K677" t="n">
        <v>0</v>
      </c>
      <c r="L677" t="n">
        <v>0</v>
      </c>
      <c r="M677" t="n">
        <v>0</v>
      </c>
      <c r="N677" t="n">
        <v>0</v>
      </c>
      <c r="O677" t="n">
        <v>0</v>
      </c>
      <c r="P677" t="n">
        <v>0</v>
      </c>
      <c r="Q677" t="n">
        <v>0</v>
      </c>
      <c r="R677" s="2" t="inlineStr"/>
    </row>
    <row r="678" ht="15" customHeight="1">
      <c r="A678" t="inlineStr">
        <is>
          <t>A 10759-2023</t>
        </is>
      </c>
      <c r="B678" s="1" t="n">
        <v>44988</v>
      </c>
      <c r="C678" s="1" t="n">
        <v>45956</v>
      </c>
      <c r="D678" t="inlineStr">
        <is>
          <t>KALMAR LÄN</t>
        </is>
      </c>
      <c r="E678" t="inlineStr">
        <is>
          <t>VIMMERBY</t>
        </is>
      </c>
      <c r="G678" t="n">
        <v>0.4</v>
      </c>
      <c r="H678" t="n">
        <v>0</v>
      </c>
      <c r="I678" t="n">
        <v>0</v>
      </c>
      <c r="J678" t="n">
        <v>0</v>
      </c>
      <c r="K678" t="n">
        <v>0</v>
      </c>
      <c r="L678" t="n">
        <v>0</v>
      </c>
      <c r="M678" t="n">
        <v>0</v>
      </c>
      <c r="N678" t="n">
        <v>0</v>
      </c>
      <c r="O678" t="n">
        <v>0</v>
      </c>
      <c r="P678" t="n">
        <v>0</v>
      </c>
      <c r="Q678" t="n">
        <v>0</v>
      </c>
      <c r="R678" s="2" t="inlineStr"/>
    </row>
    <row r="679" ht="15" customHeight="1">
      <c r="A679" t="inlineStr">
        <is>
          <t>A 7456-2024</t>
        </is>
      </c>
      <c r="B679" s="1" t="n">
        <v>45345.83557870371</v>
      </c>
      <c r="C679" s="1" t="n">
        <v>45956</v>
      </c>
      <c r="D679" t="inlineStr">
        <is>
          <t>KALMAR LÄN</t>
        </is>
      </c>
      <c r="E679" t="inlineStr">
        <is>
          <t>VIMMERBY</t>
        </is>
      </c>
      <c r="G679" t="n">
        <v>4.1</v>
      </c>
      <c r="H679" t="n">
        <v>0</v>
      </c>
      <c r="I679" t="n">
        <v>0</v>
      </c>
      <c r="J679" t="n">
        <v>0</v>
      </c>
      <c r="K679" t="n">
        <v>0</v>
      </c>
      <c r="L679" t="n">
        <v>0</v>
      </c>
      <c r="M679" t="n">
        <v>0</v>
      </c>
      <c r="N679" t="n">
        <v>0</v>
      </c>
      <c r="O679" t="n">
        <v>0</v>
      </c>
      <c r="P679" t="n">
        <v>0</v>
      </c>
      <c r="Q679" t="n">
        <v>0</v>
      </c>
      <c r="R679" s="2" t="inlineStr"/>
    </row>
    <row r="680" ht="15" customHeight="1">
      <c r="A680" t="inlineStr">
        <is>
          <t>A 18899-2025</t>
        </is>
      </c>
      <c r="B680" s="1" t="n">
        <v>45764.44931712963</v>
      </c>
      <c r="C680" s="1" t="n">
        <v>45956</v>
      </c>
      <c r="D680" t="inlineStr">
        <is>
          <t>KALMAR LÄN</t>
        </is>
      </c>
      <c r="E680" t="inlineStr">
        <is>
          <t>VIMMERBY</t>
        </is>
      </c>
      <c r="F680" t="inlineStr">
        <is>
          <t>Kommuner</t>
        </is>
      </c>
      <c r="G680" t="n">
        <v>4</v>
      </c>
      <c r="H680" t="n">
        <v>0</v>
      </c>
      <c r="I680" t="n">
        <v>0</v>
      </c>
      <c r="J680" t="n">
        <v>0</v>
      </c>
      <c r="K680" t="n">
        <v>0</v>
      </c>
      <c r="L680" t="n">
        <v>0</v>
      </c>
      <c r="M680" t="n">
        <v>0</v>
      </c>
      <c r="N680" t="n">
        <v>0</v>
      </c>
      <c r="O680" t="n">
        <v>0</v>
      </c>
      <c r="P680" t="n">
        <v>0</v>
      </c>
      <c r="Q680" t="n">
        <v>0</v>
      </c>
      <c r="R680" s="2" t="inlineStr"/>
    </row>
    <row r="681" ht="15" customHeight="1">
      <c r="A681" t="inlineStr">
        <is>
          <t>A 6082-2022</t>
        </is>
      </c>
      <c r="B681" s="1" t="n">
        <v>44599</v>
      </c>
      <c r="C681" s="1" t="n">
        <v>45956</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46979-2023</t>
        </is>
      </c>
      <c r="B682" s="1" t="n">
        <v>45201</v>
      </c>
      <c r="C682" s="1" t="n">
        <v>45956</v>
      </c>
      <c r="D682" t="inlineStr">
        <is>
          <t>KALMAR LÄN</t>
        </is>
      </c>
      <c r="E682" t="inlineStr">
        <is>
          <t>VIMMERBY</t>
        </is>
      </c>
      <c r="G682" t="n">
        <v>1</v>
      </c>
      <c r="H682" t="n">
        <v>0</v>
      </c>
      <c r="I682" t="n">
        <v>0</v>
      </c>
      <c r="J682" t="n">
        <v>0</v>
      </c>
      <c r="K682" t="n">
        <v>0</v>
      </c>
      <c r="L682" t="n">
        <v>0</v>
      </c>
      <c r="M682" t="n">
        <v>0</v>
      </c>
      <c r="N682" t="n">
        <v>0</v>
      </c>
      <c r="O682" t="n">
        <v>0</v>
      </c>
      <c r="P682" t="n">
        <v>0</v>
      </c>
      <c r="Q682" t="n">
        <v>0</v>
      </c>
      <c r="R682" s="2" t="inlineStr"/>
    </row>
    <row r="683" ht="15" customHeight="1">
      <c r="A683" t="inlineStr">
        <is>
          <t>A 2596-2025</t>
        </is>
      </c>
      <c r="B683" s="1" t="n">
        <v>45674.71810185185</v>
      </c>
      <c r="C683" s="1" t="n">
        <v>45956</v>
      </c>
      <c r="D683" t="inlineStr">
        <is>
          <t>KALMAR LÄN</t>
        </is>
      </c>
      <c r="E683" t="inlineStr">
        <is>
          <t>VIMMERBY</t>
        </is>
      </c>
      <c r="G683" t="n">
        <v>9</v>
      </c>
      <c r="H683" t="n">
        <v>0</v>
      </c>
      <c r="I683" t="n">
        <v>0</v>
      </c>
      <c r="J683" t="n">
        <v>0</v>
      </c>
      <c r="K683" t="n">
        <v>0</v>
      </c>
      <c r="L683" t="n">
        <v>0</v>
      </c>
      <c r="M683" t="n">
        <v>0</v>
      </c>
      <c r="N683" t="n">
        <v>0</v>
      </c>
      <c r="O683" t="n">
        <v>0</v>
      </c>
      <c r="P683" t="n">
        <v>0</v>
      </c>
      <c r="Q683" t="n">
        <v>0</v>
      </c>
      <c r="R683" s="2" t="inlineStr"/>
    </row>
    <row r="684" ht="15" customHeight="1">
      <c r="A684" t="inlineStr">
        <is>
          <t>A 47855-2024</t>
        </is>
      </c>
      <c r="B684" s="1" t="n">
        <v>45588.66457175926</v>
      </c>
      <c r="C684" s="1" t="n">
        <v>45956</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63583-2023</t>
        </is>
      </c>
      <c r="B685" s="1" t="n">
        <v>45275.41833333333</v>
      </c>
      <c r="C685" s="1" t="n">
        <v>45956</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60228-2021</t>
        </is>
      </c>
      <c r="B686" s="1" t="n">
        <v>44495</v>
      </c>
      <c r="C686" s="1" t="n">
        <v>45956</v>
      </c>
      <c r="D686" t="inlineStr">
        <is>
          <t>KALMAR LÄN</t>
        </is>
      </c>
      <c r="E686" t="inlineStr">
        <is>
          <t>VIMMERBY</t>
        </is>
      </c>
      <c r="G686" t="n">
        <v>4.1</v>
      </c>
      <c r="H686" t="n">
        <v>0</v>
      </c>
      <c r="I686" t="n">
        <v>0</v>
      </c>
      <c r="J686" t="n">
        <v>0</v>
      </c>
      <c r="K686" t="n">
        <v>0</v>
      </c>
      <c r="L686" t="n">
        <v>0</v>
      </c>
      <c r="M686" t="n">
        <v>0</v>
      </c>
      <c r="N686" t="n">
        <v>0</v>
      </c>
      <c r="O686" t="n">
        <v>0</v>
      </c>
      <c r="P686" t="n">
        <v>0</v>
      </c>
      <c r="Q686" t="n">
        <v>0</v>
      </c>
      <c r="R686" s="2" t="inlineStr"/>
    </row>
    <row r="687" ht="15" customHeight="1">
      <c r="A687" t="inlineStr">
        <is>
          <t>A 46522-2022</t>
        </is>
      </c>
      <c r="B687" s="1" t="n">
        <v>44848.59133101852</v>
      </c>
      <c r="C687" s="1" t="n">
        <v>45956</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21109-2024</t>
        </is>
      </c>
      <c r="B688" s="1" t="n">
        <v>45440.28329861111</v>
      </c>
      <c r="C688" s="1" t="n">
        <v>45956</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33815-2022</t>
        </is>
      </c>
      <c r="B689" s="1" t="n">
        <v>44790.45876157407</v>
      </c>
      <c r="C689" s="1" t="n">
        <v>45956</v>
      </c>
      <c r="D689" t="inlineStr">
        <is>
          <t>KALMAR LÄN</t>
        </is>
      </c>
      <c r="E689" t="inlineStr">
        <is>
          <t>VIMMERBY</t>
        </is>
      </c>
      <c r="G689" t="n">
        <v>0.9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45956</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53542-2022</t>
        </is>
      </c>
      <c r="B691" s="1" t="n">
        <v>44879.62173611111</v>
      </c>
      <c r="C691" s="1" t="n">
        <v>45956</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35713-2023</t>
        </is>
      </c>
      <c r="B692" s="1" t="n">
        <v>45147</v>
      </c>
      <c r="C692" s="1" t="n">
        <v>45956</v>
      </c>
      <c r="D692" t="inlineStr">
        <is>
          <t>KALMAR LÄN</t>
        </is>
      </c>
      <c r="E692" t="inlineStr">
        <is>
          <t>VIMMERBY</t>
        </is>
      </c>
      <c r="G692" t="n">
        <v>1.6</v>
      </c>
      <c r="H692" t="n">
        <v>0</v>
      </c>
      <c r="I692" t="n">
        <v>0</v>
      </c>
      <c r="J692" t="n">
        <v>0</v>
      </c>
      <c r="K692" t="n">
        <v>0</v>
      </c>
      <c r="L692" t="n">
        <v>0</v>
      </c>
      <c r="M692" t="n">
        <v>0</v>
      </c>
      <c r="N692" t="n">
        <v>0</v>
      </c>
      <c r="O692" t="n">
        <v>0</v>
      </c>
      <c r="P692" t="n">
        <v>0</v>
      </c>
      <c r="Q692" t="n">
        <v>0</v>
      </c>
      <c r="R692" s="2" t="inlineStr"/>
    </row>
    <row r="693" ht="15" customHeight="1">
      <c r="A693" t="inlineStr">
        <is>
          <t>A 12586-2021</t>
        </is>
      </c>
      <c r="B693" s="1" t="n">
        <v>44270.38002314815</v>
      </c>
      <c r="C693" s="1" t="n">
        <v>45956</v>
      </c>
      <c r="D693" t="inlineStr">
        <is>
          <t>KALMAR LÄN</t>
        </is>
      </c>
      <c r="E693" t="inlineStr">
        <is>
          <t>VIMMERBY</t>
        </is>
      </c>
      <c r="F693" t="inlineStr">
        <is>
          <t>Sveaskog</t>
        </is>
      </c>
      <c r="G693" t="n">
        <v>0.9</v>
      </c>
      <c r="H693" t="n">
        <v>0</v>
      </c>
      <c r="I693" t="n">
        <v>0</v>
      </c>
      <c r="J693" t="n">
        <v>0</v>
      </c>
      <c r="K693" t="n">
        <v>0</v>
      </c>
      <c r="L693" t="n">
        <v>0</v>
      </c>
      <c r="M693" t="n">
        <v>0</v>
      </c>
      <c r="N693" t="n">
        <v>0</v>
      </c>
      <c r="O693" t="n">
        <v>0</v>
      </c>
      <c r="P693" t="n">
        <v>0</v>
      </c>
      <c r="Q693" t="n">
        <v>0</v>
      </c>
      <c r="R693" s="2" t="inlineStr"/>
    </row>
    <row r="694" ht="15" customHeight="1">
      <c r="A694" t="inlineStr">
        <is>
          <t>A 37079-2025</t>
        </is>
      </c>
      <c r="B694" s="1" t="n">
        <v>45875.42716435185</v>
      </c>
      <c r="C694" s="1" t="n">
        <v>45956</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10424-2023</t>
        </is>
      </c>
      <c r="B695" s="1" t="n">
        <v>44987.54104166666</v>
      </c>
      <c r="C695" s="1" t="n">
        <v>45956</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32614-2023</t>
        </is>
      </c>
      <c r="B696" s="1" t="n">
        <v>45121</v>
      </c>
      <c r="C696" s="1" t="n">
        <v>45956</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61939-2021</t>
        </is>
      </c>
      <c r="B697" s="1" t="n">
        <v>44502</v>
      </c>
      <c r="C697" s="1" t="n">
        <v>45956</v>
      </c>
      <c r="D697" t="inlineStr">
        <is>
          <t>KALMAR LÄN</t>
        </is>
      </c>
      <c r="E697" t="inlineStr">
        <is>
          <t>VIMMERBY</t>
        </is>
      </c>
      <c r="G697" t="n">
        <v>2.7</v>
      </c>
      <c r="H697" t="n">
        <v>0</v>
      </c>
      <c r="I697" t="n">
        <v>0</v>
      </c>
      <c r="J697" t="n">
        <v>0</v>
      </c>
      <c r="K697" t="n">
        <v>0</v>
      </c>
      <c r="L697" t="n">
        <v>0</v>
      </c>
      <c r="M697" t="n">
        <v>0</v>
      </c>
      <c r="N697" t="n">
        <v>0</v>
      </c>
      <c r="O697" t="n">
        <v>0</v>
      </c>
      <c r="P697" t="n">
        <v>0</v>
      </c>
      <c r="Q697" t="n">
        <v>0</v>
      </c>
      <c r="R697" s="2" t="inlineStr"/>
    </row>
    <row r="698" ht="15" customHeight="1">
      <c r="A698" t="inlineStr">
        <is>
          <t>A 44742-2025</t>
        </is>
      </c>
      <c r="B698" s="1" t="n">
        <v>45917.67054398148</v>
      </c>
      <c r="C698" s="1" t="n">
        <v>45956</v>
      </c>
      <c r="D698" t="inlineStr">
        <is>
          <t>KALMAR LÄN</t>
        </is>
      </c>
      <c r="E698" t="inlineStr">
        <is>
          <t>VIMMERBY</t>
        </is>
      </c>
      <c r="G698" t="n">
        <v>4.7</v>
      </c>
      <c r="H698" t="n">
        <v>0</v>
      </c>
      <c r="I698" t="n">
        <v>0</v>
      </c>
      <c r="J698" t="n">
        <v>0</v>
      </c>
      <c r="K698" t="n">
        <v>0</v>
      </c>
      <c r="L698" t="n">
        <v>0</v>
      </c>
      <c r="M698" t="n">
        <v>0</v>
      </c>
      <c r="N698" t="n">
        <v>0</v>
      </c>
      <c r="O698" t="n">
        <v>0</v>
      </c>
      <c r="P698" t="n">
        <v>0</v>
      </c>
      <c r="Q698" t="n">
        <v>0</v>
      </c>
      <c r="R698" s="2" t="inlineStr"/>
    </row>
    <row r="699" ht="15" customHeight="1">
      <c r="A699" t="inlineStr">
        <is>
          <t>A 33340-2023</t>
        </is>
      </c>
      <c r="B699" s="1" t="n">
        <v>45128.37305555555</v>
      </c>
      <c r="C699" s="1" t="n">
        <v>45956</v>
      </c>
      <c r="D699" t="inlineStr">
        <is>
          <t>KALMAR LÄN</t>
        </is>
      </c>
      <c r="E699" t="inlineStr">
        <is>
          <t>VIMMERBY</t>
        </is>
      </c>
      <c r="G699" t="n">
        <v>1.5</v>
      </c>
      <c r="H699" t="n">
        <v>0</v>
      </c>
      <c r="I699" t="n">
        <v>0</v>
      </c>
      <c r="J699" t="n">
        <v>0</v>
      </c>
      <c r="K699" t="n">
        <v>0</v>
      </c>
      <c r="L699" t="n">
        <v>0</v>
      </c>
      <c r="M699" t="n">
        <v>0</v>
      </c>
      <c r="N699" t="n">
        <v>0</v>
      </c>
      <c r="O699" t="n">
        <v>0</v>
      </c>
      <c r="P699" t="n">
        <v>0</v>
      </c>
      <c r="Q699" t="n">
        <v>0</v>
      </c>
      <c r="R699" s="2" t="inlineStr"/>
    </row>
    <row r="700" ht="15" customHeight="1">
      <c r="A700" t="inlineStr">
        <is>
          <t>A 29017-2024</t>
        </is>
      </c>
      <c r="B700" s="1" t="n">
        <v>45481.56722222222</v>
      </c>
      <c r="C700" s="1" t="n">
        <v>45956</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58046-2022</t>
        </is>
      </c>
      <c r="B701" s="1" t="n">
        <v>44900.57393518519</v>
      </c>
      <c r="C701" s="1" t="n">
        <v>45956</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14548-2024</t>
        </is>
      </c>
      <c r="B702" s="1" t="n">
        <v>45394.66887731481</v>
      </c>
      <c r="C702" s="1" t="n">
        <v>45956</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45114-2025</t>
        </is>
      </c>
      <c r="B703" s="1" t="n">
        <v>45919.42387731482</v>
      </c>
      <c r="C703" s="1" t="n">
        <v>45956</v>
      </c>
      <c r="D703" t="inlineStr">
        <is>
          <t>KALMAR LÄN</t>
        </is>
      </c>
      <c r="E703" t="inlineStr">
        <is>
          <t>VIMMERBY</t>
        </is>
      </c>
      <c r="G703" t="n">
        <v>2.7</v>
      </c>
      <c r="H703" t="n">
        <v>0</v>
      </c>
      <c r="I703" t="n">
        <v>0</v>
      </c>
      <c r="J703" t="n">
        <v>0</v>
      </c>
      <c r="K703" t="n">
        <v>0</v>
      </c>
      <c r="L703" t="n">
        <v>0</v>
      </c>
      <c r="M703" t="n">
        <v>0</v>
      </c>
      <c r="N703" t="n">
        <v>0</v>
      </c>
      <c r="O703" t="n">
        <v>0</v>
      </c>
      <c r="P703" t="n">
        <v>0</v>
      </c>
      <c r="Q703" t="n">
        <v>0</v>
      </c>
      <c r="R703" s="2" t="inlineStr"/>
    </row>
    <row r="704" ht="15" customHeight="1">
      <c r="A704" t="inlineStr">
        <is>
          <t>A 45320-2025</t>
        </is>
      </c>
      <c r="B704" s="1" t="n">
        <v>45921.96395833333</v>
      </c>
      <c r="C704" s="1" t="n">
        <v>45956</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44857.65989583333</v>
      </c>
      <c r="C705" s="1" t="n">
        <v>45956</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37668-2025</t>
        </is>
      </c>
      <c r="B706" s="1" t="n">
        <v>45880.51550925926</v>
      </c>
      <c r="C706" s="1" t="n">
        <v>45956</v>
      </c>
      <c r="D706" t="inlineStr">
        <is>
          <t>KALMAR LÄN</t>
        </is>
      </c>
      <c r="E706" t="inlineStr">
        <is>
          <t>VIMMERBY</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3423-2022</t>
        </is>
      </c>
      <c r="B707" s="1" t="n">
        <v>44585.50431712963</v>
      </c>
      <c r="C707" s="1" t="n">
        <v>45956</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11074-2023</t>
        </is>
      </c>
      <c r="B708" s="1" t="n">
        <v>44992.34151620371</v>
      </c>
      <c r="C708" s="1" t="n">
        <v>45956</v>
      </c>
      <c r="D708" t="inlineStr">
        <is>
          <t>KALMAR LÄN</t>
        </is>
      </c>
      <c r="E708" t="inlineStr">
        <is>
          <t>VIMMERBY</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71631-2021</t>
        </is>
      </c>
      <c r="B709" s="1" t="n">
        <v>44542.90072916666</v>
      </c>
      <c r="C709" s="1" t="n">
        <v>45956</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49039-2021</t>
        </is>
      </c>
      <c r="B710" s="1" t="n">
        <v>44453.56578703703</v>
      </c>
      <c r="C710" s="1" t="n">
        <v>45956</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37578-2025</t>
        </is>
      </c>
      <c r="B711" s="1" t="n">
        <v>45880.38380787037</v>
      </c>
      <c r="C711" s="1" t="n">
        <v>45956</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42918-2021</t>
        </is>
      </c>
      <c r="B712" s="1" t="n">
        <v>44431</v>
      </c>
      <c r="C712" s="1" t="n">
        <v>45956</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529-2022</t>
        </is>
      </c>
      <c r="B713" s="1" t="n">
        <v>44566</v>
      </c>
      <c r="C713" s="1" t="n">
        <v>45956</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14855-2025</t>
        </is>
      </c>
      <c r="B714" s="1" t="n">
        <v>45743.41148148148</v>
      </c>
      <c r="C714" s="1" t="n">
        <v>45956</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60951-2023</t>
        </is>
      </c>
      <c r="B715" s="1" t="n">
        <v>45261.44914351852</v>
      </c>
      <c r="C715" s="1" t="n">
        <v>45956</v>
      </c>
      <c r="D715" t="inlineStr">
        <is>
          <t>KALMAR LÄN</t>
        </is>
      </c>
      <c r="E715" t="inlineStr">
        <is>
          <t>VIMMERBY</t>
        </is>
      </c>
      <c r="G715" t="n">
        <v>4.3</v>
      </c>
      <c r="H715" t="n">
        <v>0</v>
      </c>
      <c r="I715" t="n">
        <v>0</v>
      </c>
      <c r="J715" t="n">
        <v>0</v>
      </c>
      <c r="K715" t="n">
        <v>0</v>
      </c>
      <c r="L715" t="n">
        <v>0</v>
      </c>
      <c r="M715" t="n">
        <v>0</v>
      </c>
      <c r="N715" t="n">
        <v>0</v>
      </c>
      <c r="O715" t="n">
        <v>0</v>
      </c>
      <c r="P715" t="n">
        <v>0</v>
      </c>
      <c r="Q715" t="n">
        <v>0</v>
      </c>
      <c r="R715" s="2" t="inlineStr"/>
    </row>
    <row r="716" ht="15" customHeight="1">
      <c r="A716" t="inlineStr">
        <is>
          <t>A 19162-2023</t>
        </is>
      </c>
      <c r="B716" s="1" t="n">
        <v>45048.59699074074</v>
      </c>
      <c r="C716" s="1" t="n">
        <v>45956</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31209-2024</t>
        </is>
      </c>
      <c r="B717" s="1" t="n">
        <v>45503.5658912037</v>
      </c>
      <c r="C717" s="1" t="n">
        <v>45956</v>
      </c>
      <c r="D717" t="inlineStr">
        <is>
          <t>KALMAR LÄN</t>
        </is>
      </c>
      <c r="E717" t="inlineStr">
        <is>
          <t>VIMMERBY</t>
        </is>
      </c>
      <c r="G717" t="n">
        <v>1.7</v>
      </c>
      <c r="H717" t="n">
        <v>0</v>
      </c>
      <c r="I717" t="n">
        <v>0</v>
      </c>
      <c r="J717" t="n">
        <v>0</v>
      </c>
      <c r="K717" t="n">
        <v>0</v>
      </c>
      <c r="L717" t="n">
        <v>0</v>
      </c>
      <c r="M717" t="n">
        <v>0</v>
      </c>
      <c r="N717" t="n">
        <v>0</v>
      </c>
      <c r="O717" t="n">
        <v>0</v>
      </c>
      <c r="P717" t="n">
        <v>0</v>
      </c>
      <c r="Q717" t="n">
        <v>0</v>
      </c>
      <c r="R717" s="2" t="inlineStr"/>
    </row>
    <row r="718" ht="15" customHeight="1">
      <c r="A718" t="inlineStr">
        <is>
          <t>A 5864-2022</t>
        </is>
      </c>
      <c r="B718" s="1" t="n">
        <v>44596</v>
      </c>
      <c r="C718" s="1" t="n">
        <v>45956</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3938-2023</t>
        </is>
      </c>
      <c r="B719" s="1" t="n">
        <v>44952.35775462963</v>
      </c>
      <c r="C719" s="1" t="n">
        <v>45956</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52475-2025</t>
        </is>
      </c>
      <c r="B720" s="1" t="n">
        <v>45954.468125</v>
      </c>
      <c r="C720" s="1" t="n">
        <v>45956</v>
      </c>
      <c r="D720" t="inlineStr">
        <is>
          <t>KALMAR LÄN</t>
        </is>
      </c>
      <c r="E720" t="inlineStr">
        <is>
          <t>VIMMERBY</t>
        </is>
      </c>
      <c r="G720" t="n">
        <v>1.5</v>
      </c>
      <c r="H720" t="n">
        <v>0</v>
      </c>
      <c r="I720" t="n">
        <v>0</v>
      </c>
      <c r="J720" t="n">
        <v>0</v>
      </c>
      <c r="K720" t="n">
        <v>0</v>
      </c>
      <c r="L720" t="n">
        <v>0</v>
      </c>
      <c r="M720" t="n">
        <v>0</v>
      </c>
      <c r="N720" t="n">
        <v>0</v>
      </c>
      <c r="O720" t="n">
        <v>0</v>
      </c>
      <c r="P720" t="n">
        <v>0</v>
      </c>
      <c r="Q720" t="n">
        <v>0</v>
      </c>
      <c r="R720" s="2" t="inlineStr"/>
    </row>
    <row r="721" ht="15" customHeight="1">
      <c r="A721" t="inlineStr">
        <is>
          <t>A 26937-2023</t>
        </is>
      </c>
      <c r="B721" s="1" t="n">
        <v>45093.62777777778</v>
      </c>
      <c r="C721" s="1" t="n">
        <v>45956</v>
      </c>
      <c r="D721" t="inlineStr">
        <is>
          <t>KALMAR LÄN</t>
        </is>
      </c>
      <c r="E721" t="inlineStr">
        <is>
          <t>VIMMERBY</t>
        </is>
      </c>
      <c r="F721" t="inlineStr">
        <is>
          <t>Sveaskog</t>
        </is>
      </c>
      <c r="G721" t="n">
        <v>14.5</v>
      </c>
      <c r="H721" t="n">
        <v>0</v>
      </c>
      <c r="I721" t="n">
        <v>0</v>
      </c>
      <c r="J721" t="n">
        <v>0</v>
      </c>
      <c r="K721" t="n">
        <v>0</v>
      </c>
      <c r="L721" t="n">
        <v>0</v>
      </c>
      <c r="M721" t="n">
        <v>0</v>
      </c>
      <c r="N721" t="n">
        <v>0</v>
      </c>
      <c r="O721" t="n">
        <v>0</v>
      </c>
      <c r="P721" t="n">
        <v>0</v>
      </c>
      <c r="Q721" t="n">
        <v>0</v>
      </c>
      <c r="R721" s="2" t="inlineStr"/>
    </row>
    <row r="722" ht="15" customHeight="1">
      <c r="A722" t="inlineStr">
        <is>
          <t>A 52516-2025</t>
        </is>
      </c>
      <c r="B722" s="1" t="n">
        <v>45954.51412037037</v>
      </c>
      <c r="C722" s="1" t="n">
        <v>45956</v>
      </c>
      <c r="D722" t="inlineStr">
        <is>
          <t>KALMAR LÄN</t>
        </is>
      </c>
      <c r="E722" t="inlineStr">
        <is>
          <t>VIMMERBY</t>
        </is>
      </c>
      <c r="G722" t="n">
        <v>2.8</v>
      </c>
      <c r="H722" t="n">
        <v>0</v>
      </c>
      <c r="I722" t="n">
        <v>0</v>
      </c>
      <c r="J722" t="n">
        <v>0</v>
      </c>
      <c r="K722" t="n">
        <v>0</v>
      </c>
      <c r="L722" t="n">
        <v>0</v>
      </c>
      <c r="M722" t="n">
        <v>0</v>
      </c>
      <c r="N722" t="n">
        <v>0</v>
      </c>
      <c r="O722" t="n">
        <v>0</v>
      </c>
      <c r="P722" t="n">
        <v>0</v>
      </c>
      <c r="Q722" t="n">
        <v>0</v>
      </c>
      <c r="R722" s="2" t="inlineStr"/>
    </row>
    <row r="723" ht="15" customHeight="1">
      <c r="A723" t="inlineStr">
        <is>
          <t>A 50085-2023</t>
        </is>
      </c>
      <c r="B723" s="1" t="n">
        <v>45215.5959375</v>
      </c>
      <c r="C723" s="1" t="n">
        <v>45956</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11219-2023</t>
        </is>
      </c>
      <c r="B724" s="1" t="n">
        <v>44992.62498842592</v>
      </c>
      <c r="C724" s="1" t="n">
        <v>45956</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6850-2023</t>
        </is>
      </c>
      <c r="B725" s="1" t="n">
        <v>44967.44255787037</v>
      </c>
      <c r="C725" s="1" t="n">
        <v>45956</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6358-2022</t>
        </is>
      </c>
      <c r="B726" s="1" t="n">
        <v>44600</v>
      </c>
      <c r="C726" s="1" t="n">
        <v>45956</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43853-2023</t>
        </is>
      </c>
      <c r="B727" s="1" t="n">
        <v>45187.60813657408</v>
      </c>
      <c r="C727" s="1" t="n">
        <v>45956</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7075-2021</t>
        </is>
      </c>
      <c r="B728" s="1" t="n">
        <v>44237</v>
      </c>
      <c r="C728" s="1" t="n">
        <v>45956</v>
      </c>
      <c r="D728" t="inlineStr">
        <is>
          <t>KALMAR LÄN</t>
        </is>
      </c>
      <c r="E728" t="inlineStr">
        <is>
          <t>VIMMERBY</t>
        </is>
      </c>
      <c r="G728" t="n">
        <v>3.6</v>
      </c>
      <c r="H728" t="n">
        <v>0</v>
      </c>
      <c r="I728" t="n">
        <v>0</v>
      </c>
      <c r="J728" t="n">
        <v>0</v>
      </c>
      <c r="K728" t="n">
        <v>0</v>
      </c>
      <c r="L728" t="n">
        <v>0</v>
      </c>
      <c r="M728" t="n">
        <v>0</v>
      </c>
      <c r="N728" t="n">
        <v>0</v>
      </c>
      <c r="O728" t="n">
        <v>0</v>
      </c>
      <c r="P728" t="n">
        <v>0</v>
      </c>
      <c r="Q728" t="n">
        <v>0</v>
      </c>
      <c r="R728" s="2" t="inlineStr"/>
    </row>
    <row r="729" ht="15" customHeight="1">
      <c r="A729" t="inlineStr">
        <is>
          <t>A 48673-2021</t>
        </is>
      </c>
      <c r="B729" s="1" t="n">
        <v>44452</v>
      </c>
      <c r="C729" s="1" t="n">
        <v>45956</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14137-2023</t>
        </is>
      </c>
      <c r="B730" s="1" t="n">
        <v>45009.4671875</v>
      </c>
      <c r="C730" s="1" t="n">
        <v>45956</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7630-2025</t>
        </is>
      </c>
      <c r="B731" s="1" t="n">
        <v>45705.74418981482</v>
      </c>
      <c r="C731" s="1" t="n">
        <v>45956</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38780-2021</t>
        </is>
      </c>
      <c r="B732" s="1" t="n">
        <v>44410</v>
      </c>
      <c r="C732" s="1" t="n">
        <v>45956</v>
      </c>
      <c r="D732" t="inlineStr">
        <is>
          <t>KALMAR LÄN</t>
        </is>
      </c>
      <c r="E732" t="inlineStr">
        <is>
          <t>VIMMERBY</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30503-2023</t>
        </is>
      </c>
      <c r="B733" s="1" t="n">
        <v>45111</v>
      </c>
      <c r="C733" s="1" t="n">
        <v>45956</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45956</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59300-2024</t>
        </is>
      </c>
      <c r="B735" s="1" t="n">
        <v>45637.66542824074</v>
      </c>
      <c r="C735" s="1" t="n">
        <v>45956</v>
      </c>
      <c r="D735" t="inlineStr">
        <is>
          <t>KALMAR LÄN</t>
        </is>
      </c>
      <c r="E735" t="inlineStr">
        <is>
          <t>VIMMERBY</t>
        </is>
      </c>
      <c r="G735" t="n">
        <v>0.8</v>
      </c>
      <c r="H735" t="n">
        <v>0</v>
      </c>
      <c r="I735" t="n">
        <v>0</v>
      </c>
      <c r="J735" t="n">
        <v>0</v>
      </c>
      <c r="K735" t="n">
        <v>0</v>
      </c>
      <c r="L735" t="n">
        <v>0</v>
      </c>
      <c r="M735" t="n">
        <v>0</v>
      </c>
      <c r="N735" t="n">
        <v>0</v>
      </c>
      <c r="O735" t="n">
        <v>0</v>
      </c>
      <c r="P735" t="n">
        <v>0</v>
      </c>
      <c r="Q735" t="n">
        <v>0</v>
      </c>
      <c r="R735" s="2" t="inlineStr"/>
    </row>
    <row r="736" ht="15" customHeight="1">
      <c r="A736" t="inlineStr">
        <is>
          <t>A 6218-2025</t>
        </is>
      </c>
      <c r="B736" s="1" t="n">
        <v>45698.53336805556</v>
      </c>
      <c r="C736" s="1" t="n">
        <v>45956</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40076-2021</t>
        </is>
      </c>
      <c r="B737" s="1" t="n">
        <v>44418</v>
      </c>
      <c r="C737" s="1" t="n">
        <v>45956</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19445-2021</t>
        </is>
      </c>
      <c r="B738" s="1" t="n">
        <v>44310</v>
      </c>
      <c r="C738" s="1" t="n">
        <v>45956</v>
      </c>
      <c r="D738" t="inlineStr">
        <is>
          <t>KALMAR LÄN</t>
        </is>
      </c>
      <c r="E738" t="inlineStr">
        <is>
          <t>VIMMERBY</t>
        </is>
      </c>
      <c r="G738" t="n">
        <v>6.8</v>
      </c>
      <c r="H738" t="n">
        <v>0</v>
      </c>
      <c r="I738" t="n">
        <v>0</v>
      </c>
      <c r="J738" t="n">
        <v>0</v>
      </c>
      <c r="K738" t="n">
        <v>0</v>
      </c>
      <c r="L738" t="n">
        <v>0</v>
      </c>
      <c r="M738" t="n">
        <v>0</v>
      </c>
      <c r="N738" t="n">
        <v>0</v>
      </c>
      <c r="O738" t="n">
        <v>0</v>
      </c>
      <c r="P738" t="n">
        <v>0</v>
      </c>
      <c r="Q738" t="n">
        <v>0</v>
      </c>
      <c r="R738" s="2" t="inlineStr"/>
    </row>
    <row r="739" ht="15" customHeight="1">
      <c r="A739" t="inlineStr">
        <is>
          <t>A 18329-2023</t>
        </is>
      </c>
      <c r="B739" s="1" t="n">
        <v>45041.63380787037</v>
      </c>
      <c r="C739" s="1" t="n">
        <v>45956</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5720-2023</t>
        </is>
      </c>
      <c r="B740" s="1" t="n">
        <v>44961</v>
      </c>
      <c r="C740" s="1" t="n">
        <v>45956</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61538-2022</t>
        </is>
      </c>
      <c r="B741" s="1" t="n">
        <v>44916.55414351852</v>
      </c>
      <c r="C741" s="1" t="n">
        <v>45956</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694-2024</t>
        </is>
      </c>
      <c r="B742" s="1" t="n">
        <v>45300.3794212963</v>
      </c>
      <c r="C742" s="1" t="n">
        <v>45956</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57114-2023</t>
        </is>
      </c>
      <c r="B743" s="1" t="n">
        <v>45245.36174768519</v>
      </c>
      <c r="C743" s="1" t="n">
        <v>45956</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12327-2023</t>
        </is>
      </c>
      <c r="B744" s="1" t="n">
        <v>44999.36081018519</v>
      </c>
      <c r="C744" s="1" t="n">
        <v>45956</v>
      </c>
      <c r="D744" t="inlineStr">
        <is>
          <t>KALMAR LÄN</t>
        </is>
      </c>
      <c r="E744" t="inlineStr">
        <is>
          <t>VIMMERBY</t>
        </is>
      </c>
      <c r="G744" t="n">
        <v>1.2</v>
      </c>
      <c r="H744" t="n">
        <v>0</v>
      </c>
      <c r="I744" t="n">
        <v>0</v>
      </c>
      <c r="J744" t="n">
        <v>0</v>
      </c>
      <c r="K744" t="n">
        <v>0</v>
      </c>
      <c r="L744" t="n">
        <v>0</v>
      </c>
      <c r="M744" t="n">
        <v>0</v>
      </c>
      <c r="N744" t="n">
        <v>0</v>
      </c>
      <c r="O744" t="n">
        <v>0</v>
      </c>
      <c r="P744" t="n">
        <v>0</v>
      </c>
      <c r="Q744" t="n">
        <v>0</v>
      </c>
      <c r="R744" s="2" t="inlineStr"/>
    </row>
    <row r="745" ht="15" customHeight="1">
      <c r="A745" t="inlineStr">
        <is>
          <t>A 30633-2024</t>
        </is>
      </c>
      <c r="B745" s="1" t="n">
        <v>45495</v>
      </c>
      <c r="C745" s="1" t="n">
        <v>45956</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33424-2023</t>
        </is>
      </c>
      <c r="B746" s="1" t="n">
        <v>45128.9325</v>
      </c>
      <c r="C746" s="1" t="n">
        <v>45956</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33425-2023</t>
        </is>
      </c>
      <c r="B747" s="1" t="n">
        <v>45128.93540509259</v>
      </c>
      <c r="C747" s="1" t="n">
        <v>45956</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3609-2024</t>
        </is>
      </c>
      <c r="B748" s="1" t="n">
        <v>45320.89128472222</v>
      </c>
      <c r="C748" s="1" t="n">
        <v>45956</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45319-2025</t>
        </is>
      </c>
      <c r="B749" s="1" t="n">
        <v>45921.95611111111</v>
      </c>
      <c r="C749" s="1" t="n">
        <v>45956</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8650-2022</t>
        </is>
      </c>
      <c r="B750" s="1" t="n">
        <v>44613</v>
      </c>
      <c r="C750" s="1" t="n">
        <v>45956</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11147-2023</t>
        </is>
      </c>
      <c r="B751" s="1" t="n">
        <v>44992</v>
      </c>
      <c r="C751" s="1" t="n">
        <v>45956</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16676-2023</t>
        </is>
      </c>
      <c r="B752" s="1" t="n">
        <v>45028</v>
      </c>
      <c r="C752" s="1" t="n">
        <v>45956</v>
      </c>
      <c r="D752" t="inlineStr">
        <is>
          <t>KALMAR LÄN</t>
        </is>
      </c>
      <c r="E752" t="inlineStr">
        <is>
          <t>VIMMERBY</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23263-2024</t>
        </is>
      </c>
      <c r="B753" s="1" t="n">
        <v>45453.36854166666</v>
      </c>
      <c r="C753" s="1" t="n">
        <v>45956</v>
      </c>
      <c r="D753" t="inlineStr">
        <is>
          <t>KALMAR LÄN</t>
        </is>
      </c>
      <c r="E753" t="inlineStr">
        <is>
          <t>VIMMERBY</t>
        </is>
      </c>
      <c r="G753" t="n">
        <v>0.7</v>
      </c>
      <c r="H753" t="n">
        <v>0</v>
      </c>
      <c r="I753" t="n">
        <v>0</v>
      </c>
      <c r="J753" t="n">
        <v>0</v>
      </c>
      <c r="K753" t="n">
        <v>0</v>
      </c>
      <c r="L753" t="n">
        <v>0</v>
      </c>
      <c r="M753" t="n">
        <v>0</v>
      </c>
      <c r="N753" t="n">
        <v>0</v>
      </c>
      <c r="O753" t="n">
        <v>0</v>
      </c>
      <c r="P753" t="n">
        <v>0</v>
      </c>
      <c r="Q753" t="n">
        <v>0</v>
      </c>
      <c r="R753" s="2" t="inlineStr"/>
    </row>
    <row r="754" ht="15" customHeight="1">
      <c r="A754" t="inlineStr">
        <is>
          <t>A 49488-2023</t>
        </is>
      </c>
      <c r="B754" s="1" t="n">
        <v>45211.55472222222</v>
      </c>
      <c r="C754" s="1" t="n">
        <v>45956</v>
      </c>
      <c r="D754" t="inlineStr">
        <is>
          <t>KALMAR LÄN</t>
        </is>
      </c>
      <c r="E754" t="inlineStr">
        <is>
          <t>VIMMERBY</t>
        </is>
      </c>
      <c r="F754" t="inlineStr">
        <is>
          <t>Sveaskog</t>
        </is>
      </c>
      <c r="G754" t="n">
        <v>6.2</v>
      </c>
      <c r="H754" t="n">
        <v>0</v>
      </c>
      <c r="I754" t="n">
        <v>0</v>
      </c>
      <c r="J754" t="n">
        <v>0</v>
      </c>
      <c r="K754" t="n">
        <v>0</v>
      </c>
      <c r="L754" t="n">
        <v>0</v>
      </c>
      <c r="M754" t="n">
        <v>0</v>
      </c>
      <c r="N754" t="n">
        <v>0</v>
      </c>
      <c r="O754" t="n">
        <v>0</v>
      </c>
      <c r="P754" t="n">
        <v>0</v>
      </c>
      <c r="Q754" t="n">
        <v>0</v>
      </c>
      <c r="R754" s="2" t="inlineStr"/>
    </row>
    <row r="755" ht="15" customHeight="1">
      <c r="A755" t="inlineStr">
        <is>
          <t>A 12588-2025</t>
        </is>
      </c>
      <c r="B755" s="1" t="n">
        <v>45732.76936342593</v>
      </c>
      <c r="C755" s="1" t="n">
        <v>45956</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25979-2023</t>
        </is>
      </c>
      <c r="B756" s="1" t="n">
        <v>45090.89653935185</v>
      </c>
      <c r="C756" s="1" t="n">
        <v>45956</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25980-2023</t>
        </is>
      </c>
      <c r="B757" s="1" t="n">
        <v>45090.89880787037</v>
      </c>
      <c r="C757" s="1" t="n">
        <v>45956</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46921-2023</t>
        </is>
      </c>
      <c r="B758" s="1" t="n">
        <v>45201.39996527778</v>
      </c>
      <c r="C758" s="1" t="n">
        <v>45956</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10837-2023</t>
        </is>
      </c>
      <c r="B759" s="1" t="n">
        <v>44991.30547453704</v>
      </c>
      <c r="C759" s="1" t="n">
        <v>45956</v>
      </c>
      <c r="D759" t="inlineStr">
        <is>
          <t>KALMAR LÄN</t>
        </is>
      </c>
      <c r="E759" t="inlineStr">
        <is>
          <t>VIMMERBY</t>
        </is>
      </c>
      <c r="G759" t="n">
        <v>7.3</v>
      </c>
      <c r="H759" t="n">
        <v>0</v>
      </c>
      <c r="I759" t="n">
        <v>0</v>
      </c>
      <c r="J759" t="n">
        <v>0</v>
      </c>
      <c r="K759" t="n">
        <v>0</v>
      </c>
      <c r="L759" t="n">
        <v>0</v>
      </c>
      <c r="M759" t="n">
        <v>0</v>
      </c>
      <c r="N759" t="n">
        <v>0</v>
      </c>
      <c r="O759" t="n">
        <v>0</v>
      </c>
      <c r="P759" t="n">
        <v>0</v>
      </c>
      <c r="Q759" t="n">
        <v>0</v>
      </c>
      <c r="R759" s="2" t="inlineStr"/>
    </row>
    <row r="760" ht="15" customHeight="1">
      <c r="A760" t="inlineStr">
        <is>
          <t>A 10838-2023</t>
        </is>
      </c>
      <c r="B760" s="1" t="n">
        <v>44991</v>
      </c>
      <c r="C760" s="1" t="n">
        <v>45956</v>
      </c>
      <c r="D760" t="inlineStr">
        <is>
          <t>KALMAR LÄN</t>
        </is>
      </c>
      <c r="E760" t="inlineStr">
        <is>
          <t>VIMMERBY</t>
        </is>
      </c>
      <c r="G760" t="n">
        <v>5.1</v>
      </c>
      <c r="H760" t="n">
        <v>0</v>
      </c>
      <c r="I760" t="n">
        <v>0</v>
      </c>
      <c r="J760" t="n">
        <v>0</v>
      </c>
      <c r="K760" t="n">
        <v>0</v>
      </c>
      <c r="L760" t="n">
        <v>0</v>
      </c>
      <c r="M760" t="n">
        <v>0</v>
      </c>
      <c r="N760" t="n">
        <v>0</v>
      </c>
      <c r="O760" t="n">
        <v>0</v>
      </c>
      <c r="P760" t="n">
        <v>0</v>
      </c>
      <c r="Q760" t="n">
        <v>0</v>
      </c>
      <c r="R760" s="2" t="inlineStr"/>
    </row>
    <row r="761" ht="15" customHeight="1">
      <c r="A761" t="inlineStr">
        <is>
          <t>A 59768-2024</t>
        </is>
      </c>
      <c r="B761" s="1" t="n">
        <v>45639.56185185185</v>
      </c>
      <c r="C761" s="1" t="n">
        <v>45956</v>
      </c>
      <c r="D761" t="inlineStr">
        <is>
          <t>KALMAR LÄN</t>
        </is>
      </c>
      <c r="E761" t="inlineStr">
        <is>
          <t>VIMMERBY</t>
        </is>
      </c>
      <c r="G761" t="n">
        <v>5.9</v>
      </c>
      <c r="H761" t="n">
        <v>0</v>
      </c>
      <c r="I761" t="n">
        <v>0</v>
      </c>
      <c r="J761" t="n">
        <v>0</v>
      </c>
      <c r="K761" t="n">
        <v>0</v>
      </c>
      <c r="L761" t="n">
        <v>0</v>
      </c>
      <c r="M761" t="n">
        <v>0</v>
      </c>
      <c r="N761" t="n">
        <v>0</v>
      </c>
      <c r="O761" t="n">
        <v>0</v>
      </c>
      <c r="P761" t="n">
        <v>0</v>
      </c>
      <c r="Q761" t="n">
        <v>0</v>
      </c>
      <c r="R761" s="2" t="inlineStr"/>
    </row>
    <row r="762" ht="15" customHeight="1">
      <c r="A762" t="inlineStr">
        <is>
          <t>A 72067-2021</t>
        </is>
      </c>
      <c r="B762" s="1" t="n">
        <v>44540</v>
      </c>
      <c r="C762" s="1" t="n">
        <v>45956</v>
      </c>
      <c r="D762" t="inlineStr">
        <is>
          <t>KALMAR LÄN</t>
        </is>
      </c>
      <c r="E762" t="inlineStr">
        <is>
          <t>VIMMERBY</t>
        </is>
      </c>
      <c r="G762" t="n">
        <v>1.6</v>
      </c>
      <c r="H762" t="n">
        <v>0</v>
      </c>
      <c r="I762" t="n">
        <v>0</v>
      </c>
      <c r="J762" t="n">
        <v>0</v>
      </c>
      <c r="K762" t="n">
        <v>0</v>
      </c>
      <c r="L762" t="n">
        <v>0</v>
      </c>
      <c r="M762" t="n">
        <v>0</v>
      </c>
      <c r="N762" t="n">
        <v>0</v>
      </c>
      <c r="O762" t="n">
        <v>0</v>
      </c>
      <c r="P762" t="n">
        <v>0</v>
      </c>
      <c r="Q762" t="n">
        <v>0</v>
      </c>
      <c r="R762" s="2" t="inlineStr"/>
    </row>
    <row r="763" ht="15" customHeight="1">
      <c r="A763" t="inlineStr">
        <is>
          <t>A 41158-2023</t>
        </is>
      </c>
      <c r="B763" s="1" t="n">
        <v>45174.31395833333</v>
      </c>
      <c r="C763" s="1" t="n">
        <v>45956</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22198-2024</t>
        </is>
      </c>
      <c r="B764" s="1" t="n">
        <v>45446.36865740741</v>
      </c>
      <c r="C764" s="1" t="n">
        <v>45956</v>
      </c>
      <c r="D764" t="inlineStr">
        <is>
          <t>KALMAR LÄN</t>
        </is>
      </c>
      <c r="E764" t="inlineStr">
        <is>
          <t>VIMMERBY</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9511-2023</t>
        </is>
      </c>
      <c r="B765" s="1" t="n">
        <v>44981.64725694444</v>
      </c>
      <c r="C765" s="1" t="n">
        <v>45956</v>
      </c>
      <c r="D765" t="inlineStr">
        <is>
          <t>KALMAR LÄN</t>
        </is>
      </c>
      <c r="E765" t="inlineStr">
        <is>
          <t>VIMMERBY</t>
        </is>
      </c>
      <c r="G765" t="n">
        <v>3.5</v>
      </c>
      <c r="H765" t="n">
        <v>0</v>
      </c>
      <c r="I765" t="n">
        <v>0</v>
      </c>
      <c r="J765" t="n">
        <v>0</v>
      </c>
      <c r="K765" t="n">
        <v>0</v>
      </c>
      <c r="L765" t="n">
        <v>0</v>
      </c>
      <c r="M765" t="n">
        <v>0</v>
      </c>
      <c r="N765" t="n">
        <v>0</v>
      </c>
      <c r="O765" t="n">
        <v>0</v>
      </c>
      <c r="P765" t="n">
        <v>0</v>
      </c>
      <c r="Q765" t="n">
        <v>0</v>
      </c>
      <c r="R765" s="2" t="inlineStr"/>
    </row>
    <row r="766" ht="15" customHeight="1">
      <c r="A766" t="inlineStr">
        <is>
          <t>A 30912-2023</t>
        </is>
      </c>
      <c r="B766" s="1" t="n">
        <v>45113.41633101852</v>
      </c>
      <c r="C766" s="1" t="n">
        <v>45956</v>
      </c>
      <c r="D766" t="inlineStr">
        <is>
          <t>KALMAR LÄN</t>
        </is>
      </c>
      <c r="E766" t="inlineStr">
        <is>
          <t>VIMMERBY</t>
        </is>
      </c>
      <c r="G766" t="n">
        <v>5</v>
      </c>
      <c r="H766" t="n">
        <v>0</v>
      </c>
      <c r="I766" t="n">
        <v>0</v>
      </c>
      <c r="J766" t="n">
        <v>0</v>
      </c>
      <c r="K766" t="n">
        <v>0</v>
      </c>
      <c r="L766" t="n">
        <v>0</v>
      </c>
      <c r="M766" t="n">
        <v>0</v>
      </c>
      <c r="N766" t="n">
        <v>0</v>
      </c>
      <c r="O766" t="n">
        <v>0</v>
      </c>
      <c r="P766" t="n">
        <v>0</v>
      </c>
      <c r="Q766" t="n">
        <v>0</v>
      </c>
      <c r="R766" s="2" t="inlineStr"/>
    </row>
    <row r="767" ht="15" customHeight="1">
      <c r="A767" t="inlineStr">
        <is>
          <t>A 55436-2023</t>
        </is>
      </c>
      <c r="B767" s="1" t="n">
        <v>45238.4328587963</v>
      </c>
      <c r="C767" s="1" t="n">
        <v>45956</v>
      </c>
      <c r="D767" t="inlineStr">
        <is>
          <t>KALMAR LÄN</t>
        </is>
      </c>
      <c r="E767" t="inlineStr">
        <is>
          <t>VIMMERBY</t>
        </is>
      </c>
      <c r="G767" t="n">
        <v>5.6</v>
      </c>
      <c r="H767" t="n">
        <v>0</v>
      </c>
      <c r="I767" t="n">
        <v>0</v>
      </c>
      <c r="J767" t="n">
        <v>0</v>
      </c>
      <c r="K767" t="n">
        <v>0</v>
      </c>
      <c r="L767" t="n">
        <v>0</v>
      </c>
      <c r="M767" t="n">
        <v>0</v>
      </c>
      <c r="N767" t="n">
        <v>0</v>
      </c>
      <c r="O767" t="n">
        <v>0</v>
      </c>
      <c r="P767" t="n">
        <v>0</v>
      </c>
      <c r="Q767" t="n">
        <v>0</v>
      </c>
      <c r="R767" s="2" t="inlineStr"/>
    </row>
    <row r="768" ht="15" customHeight="1">
      <c r="A768" t="inlineStr">
        <is>
          <t>A 34205-2023</t>
        </is>
      </c>
      <c r="B768" s="1" t="n">
        <v>45138</v>
      </c>
      <c r="C768" s="1" t="n">
        <v>45956</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46118-2025</t>
        </is>
      </c>
      <c r="B769" s="1" t="n">
        <v>45924.57697916667</v>
      </c>
      <c r="C769" s="1" t="n">
        <v>45956</v>
      </c>
      <c r="D769" t="inlineStr">
        <is>
          <t>KALMAR LÄN</t>
        </is>
      </c>
      <c r="E769" t="inlineStr">
        <is>
          <t>VIMMERBY</t>
        </is>
      </c>
      <c r="G769" t="n">
        <v>2.9</v>
      </c>
      <c r="H769" t="n">
        <v>0</v>
      </c>
      <c r="I769" t="n">
        <v>0</v>
      </c>
      <c r="J769" t="n">
        <v>0</v>
      </c>
      <c r="K769" t="n">
        <v>0</v>
      </c>
      <c r="L769" t="n">
        <v>0</v>
      </c>
      <c r="M769" t="n">
        <v>0</v>
      </c>
      <c r="N769" t="n">
        <v>0</v>
      </c>
      <c r="O769" t="n">
        <v>0</v>
      </c>
      <c r="P769" t="n">
        <v>0</v>
      </c>
      <c r="Q769" t="n">
        <v>0</v>
      </c>
      <c r="R769" s="2" t="inlineStr"/>
    </row>
    <row r="770" ht="15" customHeight="1">
      <c r="A770" t="inlineStr">
        <is>
          <t>A 57091-2022</t>
        </is>
      </c>
      <c r="B770" s="1" t="n">
        <v>44895.46524305556</v>
      </c>
      <c r="C770" s="1" t="n">
        <v>45956</v>
      </c>
      <c r="D770" t="inlineStr">
        <is>
          <t>KALMAR LÄN</t>
        </is>
      </c>
      <c r="E770" t="inlineStr">
        <is>
          <t>VIMMERBY</t>
        </is>
      </c>
      <c r="G770" t="n">
        <v>2.6</v>
      </c>
      <c r="H770" t="n">
        <v>0</v>
      </c>
      <c r="I770" t="n">
        <v>0</v>
      </c>
      <c r="J770" t="n">
        <v>0</v>
      </c>
      <c r="K770" t="n">
        <v>0</v>
      </c>
      <c r="L770" t="n">
        <v>0</v>
      </c>
      <c r="M770" t="n">
        <v>0</v>
      </c>
      <c r="N770" t="n">
        <v>0</v>
      </c>
      <c r="O770" t="n">
        <v>0</v>
      </c>
      <c r="P770" t="n">
        <v>0</v>
      </c>
      <c r="Q770" t="n">
        <v>0</v>
      </c>
      <c r="R770" s="2" t="inlineStr"/>
    </row>
    <row r="771" ht="15" customHeight="1">
      <c r="A771" t="inlineStr">
        <is>
          <t>A 21507-2023</t>
        </is>
      </c>
      <c r="B771" s="1" t="n">
        <v>45063.508125</v>
      </c>
      <c r="C771" s="1" t="n">
        <v>45956</v>
      </c>
      <c r="D771" t="inlineStr">
        <is>
          <t>KALMAR LÄN</t>
        </is>
      </c>
      <c r="E771" t="inlineStr">
        <is>
          <t>VIMMERBY</t>
        </is>
      </c>
      <c r="G771" t="n">
        <v>2.8</v>
      </c>
      <c r="H771" t="n">
        <v>0</v>
      </c>
      <c r="I771" t="n">
        <v>0</v>
      </c>
      <c r="J771" t="n">
        <v>0</v>
      </c>
      <c r="K771" t="n">
        <v>0</v>
      </c>
      <c r="L771" t="n">
        <v>0</v>
      </c>
      <c r="M771" t="n">
        <v>0</v>
      </c>
      <c r="N771" t="n">
        <v>0</v>
      </c>
      <c r="O771" t="n">
        <v>0</v>
      </c>
      <c r="P771" t="n">
        <v>0</v>
      </c>
      <c r="Q771" t="n">
        <v>0</v>
      </c>
      <c r="R771" s="2" t="inlineStr"/>
    </row>
    <row r="772" ht="15" customHeight="1">
      <c r="A772" t="inlineStr">
        <is>
          <t>A 51187-2023</t>
        </is>
      </c>
      <c r="B772" s="1" t="n">
        <v>45219.40528935185</v>
      </c>
      <c r="C772" s="1" t="n">
        <v>45956</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2604-2025</t>
        </is>
      </c>
      <c r="B773" s="1" t="n">
        <v>45674.74094907408</v>
      </c>
      <c r="C773" s="1" t="n">
        <v>45956</v>
      </c>
      <c r="D773" t="inlineStr">
        <is>
          <t>KALMAR LÄN</t>
        </is>
      </c>
      <c r="E773" t="inlineStr">
        <is>
          <t>VIMMERBY</t>
        </is>
      </c>
      <c r="G773" t="n">
        <v>7.6</v>
      </c>
      <c r="H773" t="n">
        <v>0</v>
      </c>
      <c r="I773" t="n">
        <v>0</v>
      </c>
      <c r="J773" t="n">
        <v>0</v>
      </c>
      <c r="K773" t="n">
        <v>0</v>
      </c>
      <c r="L773" t="n">
        <v>0</v>
      </c>
      <c r="M773" t="n">
        <v>0</v>
      </c>
      <c r="N773" t="n">
        <v>0</v>
      </c>
      <c r="O773" t="n">
        <v>0</v>
      </c>
      <c r="P773" t="n">
        <v>0</v>
      </c>
      <c r="Q773" t="n">
        <v>0</v>
      </c>
      <c r="R773" s="2" t="inlineStr"/>
    </row>
    <row r="774" ht="15" customHeight="1">
      <c r="A774" t="inlineStr">
        <is>
          <t>A 6807-2025</t>
        </is>
      </c>
      <c r="B774" s="1" t="n">
        <v>45700.68672453704</v>
      </c>
      <c r="C774" s="1" t="n">
        <v>45956</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37866-2025</t>
        </is>
      </c>
      <c r="B775" s="1" t="n">
        <v>45881</v>
      </c>
      <c r="C775" s="1" t="n">
        <v>45956</v>
      </c>
      <c r="D775" t="inlineStr">
        <is>
          <t>KALMAR LÄN</t>
        </is>
      </c>
      <c r="E775" t="inlineStr">
        <is>
          <t>VIMMERBY</t>
        </is>
      </c>
      <c r="G775" t="n">
        <v>3.4</v>
      </c>
      <c r="H775" t="n">
        <v>0</v>
      </c>
      <c r="I775" t="n">
        <v>0</v>
      </c>
      <c r="J775" t="n">
        <v>0</v>
      </c>
      <c r="K775" t="n">
        <v>0</v>
      </c>
      <c r="L775" t="n">
        <v>0</v>
      </c>
      <c r="M775" t="n">
        <v>0</v>
      </c>
      <c r="N775" t="n">
        <v>0</v>
      </c>
      <c r="O775" t="n">
        <v>0</v>
      </c>
      <c r="P775" t="n">
        <v>0</v>
      </c>
      <c r="Q775" t="n">
        <v>0</v>
      </c>
      <c r="R775" s="2" t="inlineStr"/>
    </row>
    <row r="776" ht="15" customHeight="1">
      <c r="A776" t="inlineStr">
        <is>
          <t>A 38851-2023</t>
        </is>
      </c>
      <c r="B776" s="1" t="n">
        <v>45163</v>
      </c>
      <c r="C776" s="1" t="n">
        <v>45956</v>
      </c>
      <c r="D776" t="inlineStr">
        <is>
          <t>KALMAR LÄN</t>
        </is>
      </c>
      <c r="E776" t="inlineStr">
        <is>
          <t>VIMMERBY</t>
        </is>
      </c>
      <c r="G776" t="n">
        <v>4.3</v>
      </c>
      <c r="H776" t="n">
        <v>0</v>
      </c>
      <c r="I776" t="n">
        <v>0</v>
      </c>
      <c r="J776" t="n">
        <v>0</v>
      </c>
      <c r="K776" t="n">
        <v>0</v>
      </c>
      <c r="L776" t="n">
        <v>0</v>
      </c>
      <c r="M776" t="n">
        <v>0</v>
      </c>
      <c r="N776" t="n">
        <v>0</v>
      </c>
      <c r="O776" t="n">
        <v>0</v>
      </c>
      <c r="P776" t="n">
        <v>0</v>
      </c>
      <c r="Q776" t="n">
        <v>0</v>
      </c>
      <c r="R776" s="2" t="inlineStr"/>
    </row>
    <row r="777" ht="15" customHeight="1">
      <c r="A777" t="inlineStr">
        <is>
          <t>A 13290-2025</t>
        </is>
      </c>
      <c r="B777" s="1" t="n">
        <v>45735.56751157407</v>
      </c>
      <c r="C777" s="1" t="n">
        <v>45956</v>
      </c>
      <c r="D777" t="inlineStr">
        <is>
          <t>KALMAR LÄN</t>
        </is>
      </c>
      <c r="E777" t="inlineStr">
        <is>
          <t>VIMMERBY</t>
        </is>
      </c>
      <c r="G777" t="n">
        <v>0.8</v>
      </c>
      <c r="H777" t="n">
        <v>0</v>
      </c>
      <c r="I777" t="n">
        <v>0</v>
      </c>
      <c r="J777" t="n">
        <v>0</v>
      </c>
      <c r="K777" t="n">
        <v>0</v>
      </c>
      <c r="L777" t="n">
        <v>0</v>
      </c>
      <c r="M777" t="n">
        <v>0</v>
      </c>
      <c r="N777" t="n">
        <v>0</v>
      </c>
      <c r="O777" t="n">
        <v>0</v>
      </c>
      <c r="P777" t="n">
        <v>0</v>
      </c>
      <c r="Q777" t="n">
        <v>0</v>
      </c>
      <c r="R777" s="2" t="inlineStr"/>
    </row>
    <row r="778" ht="15" customHeight="1">
      <c r="A778" t="inlineStr">
        <is>
          <t>A 45560-2021</t>
        </is>
      </c>
      <c r="B778" s="1" t="n">
        <v>44440</v>
      </c>
      <c r="C778" s="1" t="n">
        <v>45956</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23252-2024</t>
        </is>
      </c>
      <c r="B779" s="1" t="n">
        <v>45453.36067129629</v>
      </c>
      <c r="C779" s="1" t="n">
        <v>45956</v>
      </c>
      <c r="D779" t="inlineStr">
        <is>
          <t>KALMAR LÄN</t>
        </is>
      </c>
      <c r="E779" t="inlineStr">
        <is>
          <t>VIMMERBY</t>
        </is>
      </c>
      <c r="G779" t="n">
        <v>0.7</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44963.44769675926</v>
      </c>
      <c r="C780" s="1" t="n">
        <v>45956</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2797-2023</t>
        </is>
      </c>
      <c r="B781" s="1" t="n">
        <v>44944.71386574074</v>
      </c>
      <c r="C781" s="1" t="n">
        <v>45956</v>
      </c>
      <c r="D781" t="inlineStr">
        <is>
          <t>KALMAR LÄN</t>
        </is>
      </c>
      <c r="E781" t="inlineStr">
        <is>
          <t>VIMMERBY</t>
        </is>
      </c>
      <c r="G781" t="n">
        <v>3.4</v>
      </c>
      <c r="H781" t="n">
        <v>0</v>
      </c>
      <c r="I781" t="n">
        <v>0</v>
      </c>
      <c r="J781" t="n">
        <v>0</v>
      </c>
      <c r="K781" t="n">
        <v>0</v>
      </c>
      <c r="L781" t="n">
        <v>0</v>
      </c>
      <c r="M781" t="n">
        <v>0</v>
      </c>
      <c r="N781" t="n">
        <v>0</v>
      </c>
      <c r="O781" t="n">
        <v>0</v>
      </c>
      <c r="P781" t="n">
        <v>0</v>
      </c>
      <c r="Q781" t="n">
        <v>0</v>
      </c>
      <c r="R781" s="2" t="inlineStr"/>
    </row>
    <row r="782" ht="15" customHeight="1">
      <c r="A782" t="inlineStr">
        <is>
          <t>A 2799-2023</t>
        </is>
      </c>
      <c r="B782" s="1" t="n">
        <v>44944.72100694444</v>
      </c>
      <c r="C782" s="1" t="n">
        <v>45956</v>
      </c>
      <c r="D782" t="inlineStr">
        <is>
          <t>KALMAR LÄN</t>
        </is>
      </c>
      <c r="E782" t="inlineStr">
        <is>
          <t>VIMMERBY</t>
        </is>
      </c>
      <c r="G782" t="n">
        <v>1.3</v>
      </c>
      <c r="H782" t="n">
        <v>0</v>
      </c>
      <c r="I782" t="n">
        <v>0</v>
      </c>
      <c r="J782" t="n">
        <v>0</v>
      </c>
      <c r="K782" t="n">
        <v>0</v>
      </c>
      <c r="L782" t="n">
        <v>0</v>
      </c>
      <c r="M782" t="n">
        <v>0</v>
      </c>
      <c r="N782" t="n">
        <v>0</v>
      </c>
      <c r="O782" t="n">
        <v>0</v>
      </c>
      <c r="P782" t="n">
        <v>0</v>
      </c>
      <c r="Q782" t="n">
        <v>0</v>
      </c>
      <c r="R782" s="2" t="inlineStr"/>
    </row>
    <row r="783" ht="15" customHeight="1">
      <c r="A783" t="inlineStr">
        <is>
          <t>A 6220-2025</t>
        </is>
      </c>
      <c r="B783" s="1" t="n">
        <v>45698.53725694444</v>
      </c>
      <c r="C783" s="1" t="n">
        <v>45956</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58278-2023</t>
        </is>
      </c>
      <c r="B784" s="1" t="n">
        <v>45250.5278587963</v>
      </c>
      <c r="C784" s="1" t="n">
        <v>45956</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36259-2022</t>
        </is>
      </c>
      <c r="B785" s="1" t="n">
        <v>44803.59118055556</v>
      </c>
      <c r="C785" s="1" t="n">
        <v>45956</v>
      </c>
      <c r="D785" t="inlineStr">
        <is>
          <t>KALMAR LÄN</t>
        </is>
      </c>
      <c r="E785" t="inlineStr">
        <is>
          <t>VIMMERBY</t>
        </is>
      </c>
      <c r="G785" t="n">
        <v>3.9</v>
      </c>
      <c r="H785" t="n">
        <v>0</v>
      </c>
      <c r="I785" t="n">
        <v>0</v>
      </c>
      <c r="J785" t="n">
        <v>0</v>
      </c>
      <c r="K785" t="n">
        <v>0</v>
      </c>
      <c r="L785" t="n">
        <v>0</v>
      </c>
      <c r="M785" t="n">
        <v>0</v>
      </c>
      <c r="N785" t="n">
        <v>0</v>
      </c>
      <c r="O785" t="n">
        <v>0</v>
      </c>
      <c r="P785" t="n">
        <v>0</v>
      </c>
      <c r="Q785" t="n">
        <v>0</v>
      </c>
      <c r="R785" s="2" t="inlineStr"/>
    </row>
    <row r="786" ht="15" customHeight="1">
      <c r="A786" t="inlineStr">
        <is>
          <t>A 36526-2023</t>
        </is>
      </c>
      <c r="B786" s="1" t="n">
        <v>45153.32778935185</v>
      </c>
      <c r="C786" s="1" t="n">
        <v>45956</v>
      </c>
      <c r="D786" t="inlineStr">
        <is>
          <t>KALMAR LÄN</t>
        </is>
      </c>
      <c r="E786" t="inlineStr">
        <is>
          <t>VIMMERBY</t>
        </is>
      </c>
      <c r="G786" t="n">
        <v>2.7</v>
      </c>
      <c r="H786" t="n">
        <v>0</v>
      </c>
      <c r="I786" t="n">
        <v>0</v>
      </c>
      <c r="J786" t="n">
        <v>0</v>
      </c>
      <c r="K786" t="n">
        <v>0</v>
      </c>
      <c r="L786" t="n">
        <v>0</v>
      </c>
      <c r="M786" t="n">
        <v>0</v>
      </c>
      <c r="N786" t="n">
        <v>0</v>
      </c>
      <c r="O786" t="n">
        <v>0</v>
      </c>
      <c r="P786" t="n">
        <v>0</v>
      </c>
      <c r="Q786" t="n">
        <v>0</v>
      </c>
      <c r="R786" s="2" t="inlineStr"/>
    </row>
    <row r="787" ht="15" customHeight="1">
      <c r="A787" t="inlineStr">
        <is>
          <t>A 17988-2025</t>
        </is>
      </c>
      <c r="B787" s="1" t="n">
        <v>45761.39600694444</v>
      </c>
      <c r="C787" s="1" t="n">
        <v>45956</v>
      </c>
      <c r="D787" t="inlineStr">
        <is>
          <t>KALMAR LÄN</t>
        </is>
      </c>
      <c r="E787" t="inlineStr">
        <is>
          <t>VIMMERBY</t>
        </is>
      </c>
      <c r="G787" t="n">
        <v>2.8</v>
      </c>
      <c r="H787" t="n">
        <v>0</v>
      </c>
      <c r="I787" t="n">
        <v>0</v>
      </c>
      <c r="J787" t="n">
        <v>0</v>
      </c>
      <c r="K787" t="n">
        <v>0</v>
      </c>
      <c r="L787" t="n">
        <v>0</v>
      </c>
      <c r="M787" t="n">
        <v>0</v>
      </c>
      <c r="N787" t="n">
        <v>0</v>
      </c>
      <c r="O787" t="n">
        <v>0</v>
      </c>
      <c r="P787" t="n">
        <v>0</v>
      </c>
      <c r="Q787" t="n">
        <v>0</v>
      </c>
      <c r="R787" s="2" t="inlineStr"/>
    </row>
    <row r="788" ht="15" customHeight="1">
      <c r="A788" t="inlineStr">
        <is>
          <t>A 29350-2023</t>
        </is>
      </c>
      <c r="B788" s="1" t="n">
        <v>45106</v>
      </c>
      <c r="C788" s="1" t="n">
        <v>45956</v>
      </c>
      <c r="D788" t="inlineStr">
        <is>
          <t>KALMAR LÄN</t>
        </is>
      </c>
      <c r="E788" t="inlineStr">
        <is>
          <t>VIMMERBY</t>
        </is>
      </c>
      <c r="G788" t="n">
        <v>0.8</v>
      </c>
      <c r="H788" t="n">
        <v>0</v>
      </c>
      <c r="I788" t="n">
        <v>0</v>
      </c>
      <c r="J788" t="n">
        <v>0</v>
      </c>
      <c r="K788" t="n">
        <v>0</v>
      </c>
      <c r="L788" t="n">
        <v>0</v>
      </c>
      <c r="M788" t="n">
        <v>0</v>
      </c>
      <c r="N788" t="n">
        <v>0</v>
      </c>
      <c r="O788" t="n">
        <v>0</v>
      </c>
      <c r="P788" t="n">
        <v>0</v>
      </c>
      <c r="Q788" t="n">
        <v>0</v>
      </c>
      <c r="R788" s="2" t="inlineStr"/>
    </row>
    <row r="789" ht="15" customHeight="1">
      <c r="A789" t="inlineStr">
        <is>
          <t>A 29351-2023</t>
        </is>
      </c>
      <c r="B789" s="1" t="n">
        <v>45106.2610300926</v>
      </c>
      <c r="C789" s="1" t="n">
        <v>45956</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6474-2025</t>
        </is>
      </c>
      <c r="B790" s="1" t="n">
        <v>45699.60055555555</v>
      </c>
      <c r="C790" s="1" t="n">
        <v>45956</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17-2025</t>
        </is>
      </c>
      <c r="B791" s="1" t="n">
        <v>45658.78774305555</v>
      </c>
      <c r="C791" s="1" t="n">
        <v>45956</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37939-2025</t>
        </is>
      </c>
      <c r="B792" s="1" t="n">
        <v>45881.59877314815</v>
      </c>
      <c r="C792" s="1" t="n">
        <v>45956</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57555-2024</t>
        </is>
      </c>
      <c r="B793" s="1" t="n">
        <v>45630.45069444444</v>
      </c>
      <c r="C793" s="1" t="n">
        <v>45956</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18411-2021</t>
        </is>
      </c>
      <c r="B794" s="1" t="n">
        <v>44302</v>
      </c>
      <c r="C794" s="1" t="n">
        <v>45956</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52279-2023</t>
        </is>
      </c>
      <c r="B795" s="1" t="n">
        <v>45224</v>
      </c>
      <c r="C795" s="1" t="n">
        <v>45956</v>
      </c>
      <c r="D795" t="inlineStr">
        <is>
          <t>KALMAR LÄN</t>
        </is>
      </c>
      <c r="E795" t="inlineStr">
        <is>
          <t>VIMMERBY</t>
        </is>
      </c>
      <c r="G795" t="n">
        <v>1.8</v>
      </c>
      <c r="H795" t="n">
        <v>0</v>
      </c>
      <c r="I795" t="n">
        <v>0</v>
      </c>
      <c r="J795" t="n">
        <v>0</v>
      </c>
      <c r="K795" t="n">
        <v>0</v>
      </c>
      <c r="L795" t="n">
        <v>0</v>
      </c>
      <c r="M795" t="n">
        <v>0</v>
      </c>
      <c r="N795" t="n">
        <v>0</v>
      </c>
      <c r="O795" t="n">
        <v>0</v>
      </c>
      <c r="P795" t="n">
        <v>0</v>
      </c>
      <c r="Q795" t="n">
        <v>0</v>
      </c>
      <c r="R795" s="2" t="inlineStr"/>
    </row>
    <row r="796" ht="15" customHeight="1">
      <c r="A796" t="inlineStr">
        <is>
          <t>A 52324-2023</t>
        </is>
      </c>
      <c r="B796" s="1" t="n">
        <v>45224.64659722222</v>
      </c>
      <c r="C796" s="1" t="n">
        <v>45956</v>
      </c>
      <c r="D796" t="inlineStr">
        <is>
          <t>KALMAR LÄN</t>
        </is>
      </c>
      <c r="E796" t="inlineStr">
        <is>
          <t>VIMMERBY</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16622-2025</t>
        </is>
      </c>
      <c r="B797" s="1" t="n">
        <v>45754.33641203704</v>
      </c>
      <c r="C797" s="1" t="n">
        <v>45956</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32639-2023</t>
        </is>
      </c>
      <c r="B798" s="1" t="n">
        <v>45121.5965162037</v>
      </c>
      <c r="C798" s="1" t="n">
        <v>45956</v>
      </c>
      <c r="D798" t="inlineStr">
        <is>
          <t>KALMAR LÄN</t>
        </is>
      </c>
      <c r="E798" t="inlineStr">
        <is>
          <t>VIMMERBY</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32642-2023</t>
        </is>
      </c>
      <c r="B799" s="1" t="n">
        <v>45121.59954861111</v>
      </c>
      <c r="C799" s="1" t="n">
        <v>45956</v>
      </c>
      <c r="D799" t="inlineStr">
        <is>
          <t>KALMAR LÄN</t>
        </is>
      </c>
      <c r="E799" t="inlineStr">
        <is>
          <t>VIMMERBY</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32651-2023</t>
        </is>
      </c>
      <c r="B800" s="1" t="n">
        <v>45121.6096875</v>
      </c>
      <c r="C800" s="1" t="n">
        <v>45956</v>
      </c>
      <c r="D800" t="inlineStr">
        <is>
          <t>KALMAR LÄN</t>
        </is>
      </c>
      <c r="E800" t="inlineStr">
        <is>
          <t>VIMMERBY</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40730-2024</t>
        </is>
      </c>
      <c r="B801" s="1" t="n">
        <v>45558.44914351852</v>
      </c>
      <c r="C801" s="1" t="n">
        <v>45956</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45956</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56213-2024</t>
        </is>
      </c>
      <c r="B803" s="1" t="n">
        <v>45624.60141203704</v>
      </c>
      <c r="C803" s="1" t="n">
        <v>45956</v>
      </c>
      <c r="D803" t="inlineStr">
        <is>
          <t>KALMAR LÄN</t>
        </is>
      </c>
      <c r="E803" t="inlineStr">
        <is>
          <t>VIMMERBY</t>
        </is>
      </c>
      <c r="G803" t="n">
        <v>1</v>
      </c>
      <c r="H803" t="n">
        <v>0</v>
      </c>
      <c r="I803" t="n">
        <v>0</v>
      </c>
      <c r="J803" t="n">
        <v>0</v>
      </c>
      <c r="K803" t="n">
        <v>0</v>
      </c>
      <c r="L803" t="n">
        <v>0</v>
      </c>
      <c r="M803" t="n">
        <v>0</v>
      </c>
      <c r="N803" t="n">
        <v>0</v>
      </c>
      <c r="O803" t="n">
        <v>0</v>
      </c>
      <c r="P803" t="n">
        <v>0</v>
      </c>
      <c r="Q803" t="n">
        <v>0</v>
      </c>
      <c r="R803" s="2" t="inlineStr"/>
    </row>
    <row r="804" ht="15" customHeight="1">
      <c r="A804" t="inlineStr">
        <is>
          <t>A 20126-2024</t>
        </is>
      </c>
      <c r="B804" s="1" t="n">
        <v>45434.55471064815</v>
      </c>
      <c r="C804" s="1" t="n">
        <v>45956</v>
      </c>
      <c r="D804" t="inlineStr">
        <is>
          <t>KALMAR LÄN</t>
        </is>
      </c>
      <c r="E804" t="inlineStr">
        <is>
          <t>VIMMERBY</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19865-2021</t>
        </is>
      </c>
      <c r="B805" s="1" t="n">
        <v>44312</v>
      </c>
      <c r="C805" s="1" t="n">
        <v>45956</v>
      </c>
      <c r="D805" t="inlineStr">
        <is>
          <t>KALMAR LÄN</t>
        </is>
      </c>
      <c r="E805" t="inlineStr">
        <is>
          <t>VIMMERBY</t>
        </is>
      </c>
      <c r="G805" t="n">
        <v>8.6</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44984.45895833334</v>
      </c>
      <c r="C806" s="1" t="n">
        <v>45956</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45956</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6216-2025</t>
        </is>
      </c>
      <c r="B808" s="1" t="n">
        <v>45698.52806712963</v>
      </c>
      <c r="C808" s="1" t="n">
        <v>45956</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31340-2023</t>
        </is>
      </c>
      <c r="B809" s="1" t="n">
        <v>45114.47895833333</v>
      </c>
      <c r="C809" s="1" t="n">
        <v>45956</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29168-2024</t>
        </is>
      </c>
      <c r="B810" s="1" t="n">
        <v>45482.49870370371</v>
      </c>
      <c r="C810" s="1" t="n">
        <v>45956</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29186-2024</t>
        </is>
      </c>
      <c r="B811" s="1" t="n">
        <v>45482.54844907407</v>
      </c>
      <c r="C811" s="1" t="n">
        <v>45956</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35895-2024</t>
        </is>
      </c>
      <c r="B812" s="1" t="n">
        <v>45533.38870370371</v>
      </c>
      <c r="C812" s="1" t="n">
        <v>45956</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12590-2025</t>
        </is>
      </c>
      <c r="B813" s="1" t="n">
        <v>45732.79925925926</v>
      </c>
      <c r="C813" s="1" t="n">
        <v>45956</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7944-2024</t>
        </is>
      </c>
      <c r="B814" s="1" t="n">
        <v>45350.53306712963</v>
      </c>
      <c r="C814" s="1" t="n">
        <v>45956</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598-2025</t>
        </is>
      </c>
      <c r="B815" s="1" t="n">
        <v>45660</v>
      </c>
      <c r="C815" s="1" t="n">
        <v>45956</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10674-2021</t>
        </is>
      </c>
      <c r="B816" s="1" t="n">
        <v>44258</v>
      </c>
      <c r="C816" s="1" t="n">
        <v>45956</v>
      </c>
      <c r="D816" t="inlineStr">
        <is>
          <t>KALMAR LÄN</t>
        </is>
      </c>
      <c r="E816" t="inlineStr">
        <is>
          <t>VIMMERBY</t>
        </is>
      </c>
      <c r="G816" t="n">
        <v>8.4</v>
      </c>
      <c r="H816" t="n">
        <v>0</v>
      </c>
      <c r="I816" t="n">
        <v>0</v>
      </c>
      <c r="J816" t="n">
        <v>0</v>
      </c>
      <c r="K816" t="n">
        <v>0</v>
      </c>
      <c r="L816" t="n">
        <v>0</v>
      </c>
      <c r="M816" t="n">
        <v>0</v>
      </c>
      <c r="N816" t="n">
        <v>0</v>
      </c>
      <c r="O816" t="n">
        <v>0</v>
      </c>
      <c r="P816" t="n">
        <v>0</v>
      </c>
      <c r="Q816" t="n">
        <v>0</v>
      </c>
      <c r="R816" s="2" t="inlineStr"/>
    </row>
    <row r="817" ht="15" customHeight="1">
      <c r="A817" t="inlineStr">
        <is>
          <t>A 30318-2023</t>
        </is>
      </c>
      <c r="B817" s="1" t="n">
        <v>45111.30824074074</v>
      </c>
      <c r="C817" s="1" t="n">
        <v>45956</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10807-2024</t>
        </is>
      </c>
      <c r="B818" s="1" t="n">
        <v>45369.62780092593</v>
      </c>
      <c r="C818" s="1" t="n">
        <v>45956</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40260-2024</t>
        </is>
      </c>
      <c r="B819" s="1" t="n">
        <v>45554.63225694445</v>
      </c>
      <c r="C819" s="1" t="n">
        <v>45956</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10787-2025</t>
        </is>
      </c>
      <c r="B820" s="1" t="n">
        <v>45722.48915509259</v>
      </c>
      <c r="C820" s="1" t="n">
        <v>45956</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58577-2024</t>
        </is>
      </c>
      <c r="B821" s="1" t="n">
        <v>45635.4874537037</v>
      </c>
      <c r="C821" s="1" t="n">
        <v>45956</v>
      </c>
      <c r="D821" t="inlineStr">
        <is>
          <t>KALMAR LÄN</t>
        </is>
      </c>
      <c r="E821" t="inlineStr">
        <is>
          <t>VIMMERBY</t>
        </is>
      </c>
      <c r="G821" t="n">
        <v>1.1</v>
      </c>
      <c r="H821" t="n">
        <v>0</v>
      </c>
      <c r="I821" t="n">
        <v>0</v>
      </c>
      <c r="J821" t="n">
        <v>0</v>
      </c>
      <c r="K821" t="n">
        <v>0</v>
      </c>
      <c r="L821" t="n">
        <v>0</v>
      </c>
      <c r="M821" t="n">
        <v>0</v>
      </c>
      <c r="N821" t="n">
        <v>0</v>
      </c>
      <c r="O821" t="n">
        <v>0</v>
      </c>
      <c r="P821" t="n">
        <v>0</v>
      </c>
      <c r="Q821" t="n">
        <v>0</v>
      </c>
      <c r="R821" s="2" t="inlineStr"/>
    </row>
    <row r="822" ht="15" customHeight="1">
      <c r="A822" t="inlineStr">
        <is>
          <t>A 38198-2024</t>
        </is>
      </c>
      <c r="B822" s="1" t="n">
        <v>45545.49508101852</v>
      </c>
      <c r="C822" s="1" t="n">
        <v>45956</v>
      </c>
      <c r="D822" t="inlineStr">
        <is>
          <t>KALMAR LÄN</t>
        </is>
      </c>
      <c r="E822" t="inlineStr">
        <is>
          <t>VIMMERBY</t>
        </is>
      </c>
      <c r="G822" t="n">
        <v>7.9</v>
      </c>
      <c r="H822" t="n">
        <v>0</v>
      </c>
      <c r="I822" t="n">
        <v>0</v>
      </c>
      <c r="J822" t="n">
        <v>0</v>
      </c>
      <c r="K822" t="n">
        <v>0</v>
      </c>
      <c r="L822" t="n">
        <v>0</v>
      </c>
      <c r="M822" t="n">
        <v>0</v>
      </c>
      <c r="N822" t="n">
        <v>0</v>
      </c>
      <c r="O822" t="n">
        <v>0</v>
      </c>
      <c r="P822" t="n">
        <v>0</v>
      </c>
      <c r="Q822" t="n">
        <v>0</v>
      </c>
      <c r="R822" s="2" t="inlineStr"/>
    </row>
    <row r="823" ht="15" customHeight="1">
      <c r="A823" t="inlineStr">
        <is>
          <t>A 43617-2024</t>
        </is>
      </c>
      <c r="B823" s="1" t="n">
        <v>45569.47494212963</v>
      </c>
      <c r="C823" s="1" t="n">
        <v>45956</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22264-2023</t>
        </is>
      </c>
      <c r="B824" s="1" t="n">
        <v>45070.3665625</v>
      </c>
      <c r="C824" s="1" t="n">
        <v>45956</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22266-2023</t>
        </is>
      </c>
      <c r="B825" s="1" t="n">
        <v>45070</v>
      </c>
      <c r="C825" s="1" t="n">
        <v>45956</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50091-2023</t>
        </is>
      </c>
      <c r="B826" s="1" t="n">
        <v>45215.60199074074</v>
      </c>
      <c r="C826" s="1" t="n">
        <v>45956</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10303-2025</t>
        </is>
      </c>
      <c r="B827" s="1" t="n">
        <v>45720.44217592593</v>
      </c>
      <c r="C827" s="1" t="n">
        <v>45956</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11027-2023</t>
        </is>
      </c>
      <c r="B828" s="1" t="n">
        <v>44991.89657407408</v>
      </c>
      <c r="C828" s="1" t="n">
        <v>45956</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43186-2021</t>
        </is>
      </c>
      <c r="B829" s="1" t="n">
        <v>44431.84840277778</v>
      </c>
      <c r="C829" s="1" t="n">
        <v>45956</v>
      </c>
      <c r="D829" t="inlineStr">
        <is>
          <t>KALMAR LÄN</t>
        </is>
      </c>
      <c r="E829" t="inlineStr">
        <is>
          <t>VIMMERBY</t>
        </is>
      </c>
      <c r="G829" t="n">
        <v>0.6</v>
      </c>
      <c r="H829" t="n">
        <v>0</v>
      </c>
      <c r="I829" t="n">
        <v>0</v>
      </c>
      <c r="J829" t="n">
        <v>0</v>
      </c>
      <c r="K829" t="n">
        <v>0</v>
      </c>
      <c r="L829" t="n">
        <v>0</v>
      </c>
      <c r="M829" t="n">
        <v>0</v>
      </c>
      <c r="N829" t="n">
        <v>0</v>
      </c>
      <c r="O829" t="n">
        <v>0</v>
      </c>
      <c r="P829" t="n">
        <v>0</v>
      </c>
      <c r="Q829" t="n">
        <v>0</v>
      </c>
      <c r="R829" s="2" t="inlineStr"/>
    </row>
    <row r="830" ht="15" customHeight="1">
      <c r="A830" t="inlineStr">
        <is>
          <t>A 60215-2022</t>
        </is>
      </c>
      <c r="B830" s="1" t="n">
        <v>44910.41346064815</v>
      </c>
      <c r="C830" s="1" t="n">
        <v>45956</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60230-2022</t>
        </is>
      </c>
      <c r="B831" s="1" t="n">
        <v>44910</v>
      </c>
      <c r="C831" s="1" t="n">
        <v>45956</v>
      </c>
      <c r="D831" t="inlineStr">
        <is>
          <t>KALMAR LÄN</t>
        </is>
      </c>
      <c r="E831" t="inlineStr">
        <is>
          <t>VIMMERBY</t>
        </is>
      </c>
      <c r="G831" t="n">
        <v>11.3</v>
      </c>
      <c r="H831" t="n">
        <v>0</v>
      </c>
      <c r="I831" t="n">
        <v>0</v>
      </c>
      <c r="J831" t="n">
        <v>0</v>
      </c>
      <c r="K831" t="n">
        <v>0</v>
      </c>
      <c r="L831" t="n">
        <v>0</v>
      </c>
      <c r="M831" t="n">
        <v>0</v>
      </c>
      <c r="N831" t="n">
        <v>0</v>
      </c>
      <c r="O831" t="n">
        <v>0</v>
      </c>
      <c r="P831" t="n">
        <v>0</v>
      </c>
      <c r="Q831" t="n">
        <v>0</v>
      </c>
      <c r="R831" s="2" t="inlineStr"/>
    </row>
    <row r="832" ht="15" customHeight="1">
      <c r="A832" t="inlineStr">
        <is>
          <t>A 5925-2022</t>
        </is>
      </c>
      <c r="B832" s="1" t="n">
        <v>44598.7384837963</v>
      </c>
      <c r="C832" s="1" t="n">
        <v>45956</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845-2023</t>
        </is>
      </c>
      <c r="B833" s="1" t="n">
        <v>44931</v>
      </c>
      <c r="C833" s="1" t="n">
        <v>45956</v>
      </c>
      <c r="D833" t="inlineStr">
        <is>
          <t>KALMAR LÄN</t>
        </is>
      </c>
      <c r="E833" t="inlineStr">
        <is>
          <t>VIMMERBY</t>
        </is>
      </c>
      <c r="F833" t="inlineStr">
        <is>
          <t>Övriga Aktiebolag</t>
        </is>
      </c>
      <c r="G833" t="n">
        <v>19</v>
      </c>
      <c r="H833" t="n">
        <v>0</v>
      </c>
      <c r="I833" t="n">
        <v>0</v>
      </c>
      <c r="J833" t="n">
        <v>0</v>
      </c>
      <c r="K833" t="n">
        <v>0</v>
      </c>
      <c r="L833" t="n">
        <v>0</v>
      </c>
      <c r="M833" t="n">
        <v>0</v>
      </c>
      <c r="N833" t="n">
        <v>0</v>
      </c>
      <c r="O833" t="n">
        <v>0</v>
      </c>
      <c r="P833" t="n">
        <v>0</v>
      </c>
      <c r="Q833" t="n">
        <v>0</v>
      </c>
      <c r="R833" s="2" t="inlineStr"/>
    </row>
    <row r="834" ht="15" customHeight="1">
      <c r="A834" t="inlineStr">
        <is>
          <t>A 11661-2023</t>
        </is>
      </c>
      <c r="B834" s="1" t="n">
        <v>44994.46908564815</v>
      </c>
      <c r="C834" s="1" t="n">
        <v>45956</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36155-2023</t>
        </is>
      </c>
      <c r="B835" s="1" t="n">
        <v>45149.60917824074</v>
      </c>
      <c r="C835" s="1" t="n">
        <v>45956</v>
      </c>
      <c r="D835" t="inlineStr">
        <is>
          <t>KALMAR LÄN</t>
        </is>
      </c>
      <c r="E835" t="inlineStr">
        <is>
          <t>VIMMERBY</t>
        </is>
      </c>
      <c r="G835" t="n">
        <v>5</v>
      </c>
      <c r="H835" t="n">
        <v>0</v>
      </c>
      <c r="I835" t="n">
        <v>0</v>
      </c>
      <c r="J835" t="n">
        <v>0</v>
      </c>
      <c r="K835" t="n">
        <v>0</v>
      </c>
      <c r="L835" t="n">
        <v>0</v>
      </c>
      <c r="M835" t="n">
        <v>0</v>
      </c>
      <c r="N835" t="n">
        <v>0</v>
      </c>
      <c r="O835" t="n">
        <v>0</v>
      </c>
      <c r="P835" t="n">
        <v>0</v>
      </c>
      <c r="Q835" t="n">
        <v>0</v>
      </c>
      <c r="R835" s="2" t="inlineStr"/>
    </row>
    <row r="836" ht="15" customHeight="1">
      <c r="A836" t="inlineStr">
        <is>
          <t>A 40147-2023</t>
        </is>
      </c>
      <c r="B836" s="1" t="n">
        <v>45169</v>
      </c>
      <c r="C836" s="1" t="n">
        <v>45956</v>
      </c>
      <c r="D836" t="inlineStr">
        <is>
          <t>KALMAR LÄN</t>
        </is>
      </c>
      <c r="E836" t="inlineStr">
        <is>
          <t>VIMMERBY</t>
        </is>
      </c>
      <c r="G836" t="n">
        <v>1.7</v>
      </c>
      <c r="H836" t="n">
        <v>0</v>
      </c>
      <c r="I836" t="n">
        <v>0</v>
      </c>
      <c r="J836" t="n">
        <v>0</v>
      </c>
      <c r="K836" t="n">
        <v>0</v>
      </c>
      <c r="L836" t="n">
        <v>0</v>
      </c>
      <c r="M836" t="n">
        <v>0</v>
      </c>
      <c r="N836" t="n">
        <v>0</v>
      </c>
      <c r="O836" t="n">
        <v>0</v>
      </c>
      <c r="P836" t="n">
        <v>0</v>
      </c>
      <c r="Q836" t="n">
        <v>0</v>
      </c>
      <c r="R836" s="2" t="inlineStr"/>
    </row>
    <row r="837" ht="15" customHeight="1">
      <c r="A837" t="inlineStr">
        <is>
          <t>A 16119-2023</t>
        </is>
      </c>
      <c r="B837" s="1" t="n">
        <v>45027.59450231482</v>
      </c>
      <c r="C837" s="1" t="n">
        <v>45956</v>
      </c>
      <c r="D837" t="inlineStr">
        <is>
          <t>KALMAR LÄN</t>
        </is>
      </c>
      <c r="E837" t="inlineStr">
        <is>
          <t>VIMMERBY</t>
        </is>
      </c>
      <c r="F837" t="inlineStr">
        <is>
          <t>Kommuner</t>
        </is>
      </c>
      <c r="G837" t="n">
        <v>4.4</v>
      </c>
      <c r="H837" t="n">
        <v>0</v>
      </c>
      <c r="I837" t="n">
        <v>0</v>
      </c>
      <c r="J837" t="n">
        <v>0</v>
      </c>
      <c r="K837" t="n">
        <v>0</v>
      </c>
      <c r="L837" t="n">
        <v>0</v>
      </c>
      <c r="M837" t="n">
        <v>0</v>
      </c>
      <c r="N837" t="n">
        <v>0</v>
      </c>
      <c r="O837" t="n">
        <v>0</v>
      </c>
      <c r="P837" t="n">
        <v>0</v>
      </c>
      <c r="Q837" t="n">
        <v>0</v>
      </c>
      <c r="R837" s="2" t="inlineStr"/>
    </row>
    <row r="838" ht="15" customHeight="1">
      <c r="A838" t="inlineStr">
        <is>
          <t>A 30588-2023</t>
        </is>
      </c>
      <c r="B838" s="1" t="n">
        <v>45112.33599537037</v>
      </c>
      <c r="C838" s="1" t="n">
        <v>45956</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63950-2023</t>
        </is>
      </c>
      <c r="B839" s="1" t="n">
        <v>45278</v>
      </c>
      <c r="C839" s="1" t="n">
        <v>45956</v>
      </c>
      <c r="D839" t="inlineStr">
        <is>
          <t>KALMAR LÄN</t>
        </is>
      </c>
      <c r="E839" t="inlineStr">
        <is>
          <t>VIMMERBY</t>
        </is>
      </c>
      <c r="F839" t="inlineStr">
        <is>
          <t>Kyrkan</t>
        </is>
      </c>
      <c r="G839" t="n">
        <v>2.7</v>
      </c>
      <c r="H839" t="n">
        <v>0</v>
      </c>
      <c r="I839" t="n">
        <v>0</v>
      </c>
      <c r="J839" t="n">
        <v>0</v>
      </c>
      <c r="K839" t="n">
        <v>0</v>
      </c>
      <c r="L839" t="n">
        <v>0</v>
      </c>
      <c r="M839" t="n">
        <v>0</v>
      </c>
      <c r="N839" t="n">
        <v>0</v>
      </c>
      <c r="O839" t="n">
        <v>0</v>
      </c>
      <c r="P839" t="n">
        <v>0</v>
      </c>
      <c r="Q839" t="n">
        <v>0</v>
      </c>
      <c r="R839" s="2" t="inlineStr"/>
    </row>
    <row r="840" ht="15" customHeight="1">
      <c r="A840" t="inlineStr">
        <is>
          <t>A 24096-2024</t>
        </is>
      </c>
      <c r="B840" s="1" t="n">
        <v>45456.59289351852</v>
      </c>
      <c r="C840" s="1" t="n">
        <v>45956</v>
      </c>
      <c r="D840" t="inlineStr">
        <is>
          <t>KALMAR LÄN</t>
        </is>
      </c>
      <c r="E840" t="inlineStr">
        <is>
          <t>VIMMERBY</t>
        </is>
      </c>
      <c r="G840" t="n">
        <v>2.3</v>
      </c>
      <c r="H840" t="n">
        <v>0</v>
      </c>
      <c r="I840" t="n">
        <v>0</v>
      </c>
      <c r="J840" t="n">
        <v>0</v>
      </c>
      <c r="K840" t="n">
        <v>0</v>
      </c>
      <c r="L840" t="n">
        <v>0</v>
      </c>
      <c r="M840" t="n">
        <v>0</v>
      </c>
      <c r="N840" t="n">
        <v>0</v>
      </c>
      <c r="O840" t="n">
        <v>0</v>
      </c>
      <c r="P840" t="n">
        <v>0</v>
      </c>
      <c r="Q840" t="n">
        <v>0</v>
      </c>
      <c r="R840" s="2" t="inlineStr"/>
    </row>
    <row r="841" ht="15" customHeight="1">
      <c r="A841" t="inlineStr">
        <is>
          <t>A 13015-2023</t>
        </is>
      </c>
      <c r="B841" s="1" t="n">
        <v>45002</v>
      </c>
      <c r="C841" s="1" t="n">
        <v>45956</v>
      </c>
      <c r="D841" t="inlineStr">
        <is>
          <t>KALMAR LÄN</t>
        </is>
      </c>
      <c r="E841" t="inlineStr">
        <is>
          <t>VIMMERBY</t>
        </is>
      </c>
      <c r="G841" t="n">
        <v>3.2</v>
      </c>
      <c r="H841" t="n">
        <v>0</v>
      </c>
      <c r="I841" t="n">
        <v>0</v>
      </c>
      <c r="J841" t="n">
        <v>0</v>
      </c>
      <c r="K841" t="n">
        <v>0</v>
      </c>
      <c r="L841" t="n">
        <v>0</v>
      </c>
      <c r="M841" t="n">
        <v>0</v>
      </c>
      <c r="N841" t="n">
        <v>0</v>
      </c>
      <c r="O841" t="n">
        <v>0</v>
      </c>
      <c r="P841" t="n">
        <v>0</v>
      </c>
      <c r="Q841" t="n">
        <v>0</v>
      </c>
      <c r="R841" s="2" t="inlineStr"/>
    </row>
    <row r="842" ht="15" customHeight="1">
      <c r="A842" t="inlineStr">
        <is>
          <t>A 41199-2023</t>
        </is>
      </c>
      <c r="B842" s="1" t="n">
        <v>45174.40454861111</v>
      </c>
      <c r="C842" s="1" t="n">
        <v>45956</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36014-2024</t>
        </is>
      </c>
      <c r="B843" s="1" t="n">
        <v>45533.56108796296</v>
      </c>
      <c r="C843" s="1" t="n">
        <v>45956</v>
      </c>
      <c r="D843" t="inlineStr">
        <is>
          <t>KALMAR LÄN</t>
        </is>
      </c>
      <c r="E843" t="inlineStr">
        <is>
          <t>VIMMERBY</t>
        </is>
      </c>
      <c r="G843" t="n">
        <v>2.3</v>
      </c>
      <c r="H843" t="n">
        <v>0</v>
      </c>
      <c r="I843" t="n">
        <v>0</v>
      </c>
      <c r="J843" t="n">
        <v>0</v>
      </c>
      <c r="K843" t="n">
        <v>0</v>
      </c>
      <c r="L843" t="n">
        <v>0</v>
      </c>
      <c r="M843" t="n">
        <v>0</v>
      </c>
      <c r="N843" t="n">
        <v>0</v>
      </c>
      <c r="O843" t="n">
        <v>0</v>
      </c>
      <c r="P843" t="n">
        <v>0</v>
      </c>
      <c r="Q843" t="n">
        <v>0</v>
      </c>
      <c r="R843" s="2" t="inlineStr"/>
    </row>
    <row r="844" ht="15" customHeight="1">
      <c r="A844" t="inlineStr">
        <is>
          <t>A 36030-2024</t>
        </is>
      </c>
      <c r="B844" s="1" t="n">
        <v>45533.58302083334</v>
      </c>
      <c r="C844" s="1" t="n">
        <v>45956</v>
      </c>
      <c r="D844" t="inlineStr">
        <is>
          <t>KALMAR LÄN</t>
        </is>
      </c>
      <c r="E844" t="inlineStr">
        <is>
          <t>VIMMERBY</t>
        </is>
      </c>
      <c r="F844" t="inlineStr">
        <is>
          <t>Kommuner</t>
        </is>
      </c>
      <c r="G844" t="n">
        <v>4</v>
      </c>
      <c r="H844" t="n">
        <v>0</v>
      </c>
      <c r="I844" t="n">
        <v>0</v>
      </c>
      <c r="J844" t="n">
        <v>0</v>
      </c>
      <c r="K844" t="n">
        <v>0</v>
      </c>
      <c r="L844" t="n">
        <v>0</v>
      </c>
      <c r="M844" t="n">
        <v>0</v>
      </c>
      <c r="N844" t="n">
        <v>0</v>
      </c>
      <c r="O844" t="n">
        <v>0</v>
      </c>
      <c r="P844" t="n">
        <v>0</v>
      </c>
      <c r="Q844" t="n">
        <v>0</v>
      </c>
      <c r="R844" s="2" t="inlineStr"/>
    </row>
    <row r="845" ht="15" customHeight="1">
      <c r="A845" t="inlineStr">
        <is>
          <t>A 6321-2023</t>
        </is>
      </c>
      <c r="B845" s="1" t="n">
        <v>44965.4815162037</v>
      </c>
      <c r="C845" s="1" t="n">
        <v>45956</v>
      </c>
      <c r="D845" t="inlineStr">
        <is>
          <t>KALMAR LÄN</t>
        </is>
      </c>
      <c r="E845" t="inlineStr">
        <is>
          <t>VIMMERBY</t>
        </is>
      </c>
      <c r="G845" t="n">
        <v>1.8</v>
      </c>
      <c r="H845" t="n">
        <v>0</v>
      </c>
      <c r="I845" t="n">
        <v>0</v>
      </c>
      <c r="J845" t="n">
        <v>0</v>
      </c>
      <c r="K845" t="n">
        <v>0</v>
      </c>
      <c r="L845" t="n">
        <v>0</v>
      </c>
      <c r="M845" t="n">
        <v>0</v>
      </c>
      <c r="N845" t="n">
        <v>0</v>
      </c>
      <c r="O845" t="n">
        <v>0</v>
      </c>
      <c r="P845" t="n">
        <v>0</v>
      </c>
      <c r="Q845" t="n">
        <v>0</v>
      </c>
      <c r="R845" s="2" t="inlineStr"/>
    </row>
    <row r="846" ht="15" customHeight="1">
      <c r="A846" t="inlineStr">
        <is>
          <t>A 52755-2022</t>
        </is>
      </c>
      <c r="B846" s="1" t="n">
        <v>44875.27736111111</v>
      </c>
      <c r="C846" s="1" t="n">
        <v>45956</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40823-2023</t>
        </is>
      </c>
      <c r="B847" s="1" t="n">
        <v>45171.77335648148</v>
      </c>
      <c r="C847" s="1" t="n">
        <v>45956</v>
      </c>
      <c r="D847" t="inlineStr">
        <is>
          <t>KALMAR LÄN</t>
        </is>
      </c>
      <c r="E847" t="inlineStr">
        <is>
          <t>VIMMERBY</t>
        </is>
      </c>
      <c r="G847" t="n">
        <v>2.7</v>
      </c>
      <c r="H847" t="n">
        <v>0</v>
      </c>
      <c r="I847" t="n">
        <v>0</v>
      </c>
      <c r="J847" t="n">
        <v>0</v>
      </c>
      <c r="K847" t="n">
        <v>0</v>
      </c>
      <c r="L847" t="n">
        <v>0</v>
      </c>
      <c r="M847" t="n">
        <v>0</v>
      </c>
      <c r="N847" t="n">
        <v>0</v>
      </c>
      <c r="O847" t="n">
        <v>0</v>
      </c>
      <c r="P847" t="n">
        <v>0</v>
      </c>
      <c r="Q847" t="n">
        <v>0</v>
      </c>
      <c r="R847" s="2" t="inlineStr"/>
    </row>
    <row r="848" ht="15" customHeight="1">
      <c r="A848" t="inlineStr">
        <is>
          <t>A 45528-2021</t>
        </is>
      </c>
      <c r="B848" s="1" t="n">
        <v>44440.60415509259</v>
      </c>
      <c r="C848" s="1" t="n">
        <v>45956</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27761-2024</t>
        </is>
      </c>
      <c r="B849" s="1" t="n">
        <v>45475.49018518518</v>
      </c>
      <c r="C849" s="1" t="n">
        <v>45956</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16516-2023</t>
        </is>
      </c>
      <c r="B850" s="1" t="n">
        <v>45029</v>
      </c>
      <c r="C850" s="1" t="n">
        <v>45956</v>
      </c>
      <c r="D850" t="inlineStr">
        <is>
          <t>KALMAR LÄN</t>
        </is>
      </c>
      <c r="E850" t="inlineStr">
        <is>
          <t>VIMMERBY</t>
        </is>
      </c>
      <c r="G850" t="n">
        <v>4.3</v>
      </c>
      <c r="H850" t="n">
        <v>0</v>
      </c>
      <c r="I850" t="n">
        <v>0</v>
      </c>
      <c r="J850" t="n">
        <v>0</v>
      </c>
      <c r="K850" t="n">
        <v>0</v>
      </c>
      <c r="L850" t="n">
        <v>0</v>
      </c>
      <c r="M850" t="n">
        <v>0</v>
      </c>
      <c r="N850" t="n">
        <v>0</v>
      </c>
      <c r="O850" t="n">
        <v>0</v>
      </c>
      <c r="P850" t="n">
        <v>0</v>
      </c>
      <c r="Q850" t="n">
        <v>0</v>
      </c>
      <c r="R850" s="2" t="inlineStr"/>
    </row>
    <row r="851" ht="15" customHeight="1">
      <c r="A851" t="inlineStr">
        <is>
          <t>A 21028-2023</t>
        </is>
      </c>
      <c r="B851" s="1" t="n">
        <v>45061</v>
      </c>
      <c r="C851" s="1" t="n">
        <v>45956</v>
      </c>
      <c r="D851" t="inlineStr">
        <is>
          <t>KALMAR LÄN</t>
        </is>
      </c>
      <c r="E851" t="inlineStr">
        <is>
          <t>VIMMERBY</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64203-2021</t>
        </is>
      </c>
      <c r="B852" s="1" t="n">
        <v>44510.60921296296</v>
      </c>
      <c r="C852" s="1" t="n">
        <v>45956</v>
      </c>
      <c r="D852" t="inlineStr">
        <is>
          <t>KALMAR LÄN</t>
        </is>
      </c>
      <c r="E852" t="inlineStr">
        <is>
          <t>VIMMERBY</t>
        </is>
      </c>
      <c r="F852" t="inlineStr">
        <is>
          <t>Övriga Aktiebolag</t>
        </is>
      </c>
      <c r="G852" t="n">
        <v>5.4</v>
      </c>
      <c r="H852" t="n">
        <v>0</v>
      </c>
      <c r="I852" t="n">
        <v>0</v>
      </c>
      <c r="J852" t="n">
        <v>0</v>
      </c>
      <c r="K852" t="n">
        <v>0</v>
      </c>
      <c r="L852" t="n">
        <v>0</v>
      </c>
      <c r="M852" t="n">
        <v>0</v>
      </c>
      <c r="N852" t="n">
        <v>0</v>
      </c>
      <c r="O852" t="n">
        <v>0</v>
      </c>
      <c r="P852" t="n">
        <v>0</v>
      </c>
      <c r="Q852" t="n">
        <v>0</v>
      </c>
      <c r="R852" s="2" t="inlineStr"/>
    </row>
    <row r="853" ht="15" customHeight="1">
      <c r="A853" t="inlineStr">
        <is>
          <t>A 1016-2024</t>
        </is>
      </c>
      <c r="B853" s="1" t="n">
        <v>45301</v>
      </c>
      <c r="C853" s="1" t="n">
        <v>45956</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1024-2024</t>
        </is>
      </c>
      <c r="B854" s="1" t="n">
        <v>45301.68237268519</v>
      </c>
      <c r="C854" s="1" t="n">
        <v>45956</v>
      </c>
      <c r="D854" t="inlineStr">
        <is>
          <t>KALMAR LÄN</t>
        </is>
      </c>
      <c r="E854" t="inlineStr">
        <is>
          <t>VIMMERBY</t>
        </is>
      </c>
      <c r="G854" t="n">
        <v>13</v>
      </c>
      <c r="H854" t="n">
        <v>0</v>
      </c>
      <c r="I854" t="n">
        <v>0</v>
      </c>
      <c r="J854" t="n">
        <v>0</v>
      </c>
      <c r="K854" t="n">
        <v>0</v>
      </c>
      <c r="L854" t="n">
        <v>0</v>
      </c>
      <c r="M854" t="n">
        <v>0</v>
      </c>
      <c r="N854" t="n">
        <v>0</v>
      </c>
      <c r="O854" t="n">
        <v>0</v>
      </c>
      <c r="P854" t="n">
        <v>0</v>
      </c>
      <c r="Q854" t="n">
        <v>0</v>
      </c>
      <c r="R854" s="2" t="inlineStr"/>
    </row>
    <row r="855" ht="15" customHeight="1">
      <c r="A855" t="inlineStr">
        <is>
          <t>A 27758-2024</t>
        </is>
      </c>
      <c r="B855" s="1" t="n">
        <v>45475.48303240741</v>
      </c>
      <c r="C855" s="1" t="n">
        <v>45956</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2510-2023</t>
        </is>
      </c>
      <c r="B856" s="1" t="n">
        <v>44943.57309027778</v>
      </c>
      <c r="C856" s="1" t="n">
        <v>45956</v>
      </c>
      <c r="D856" t="inlineStr">
        <is>
          <t>KALMAR LÄN</t>
        </is>
      </c>
      <c r="E856" t="inlineStr">
        <is>
          <t>VIMMERBY</t>
        </is>
      </c>
      <c r="G856" t="n">
        <v>8.6</v>
      </c>
      <c r="H856" t="n">
        <v>0</v>
      </c>
      <c r="I856" t="n">
        <v>0</v>
      </c>
      <c r="J856" t="n">
        <v>0</v>
      </c>
      <c r="K856" t="n">
        <v>0</v>
      </c>
      <c r="L856" t="n">
        <v>0</v>
      </c>
      <c r="M856" t="n">
        <v>0</v>
      </c>
      <c r="N856" t="n">
        <v>0</v>
      </c>
      <c r="O856" t="n">
        <v>0</v>
      </c>
      <c r="P856" t="n">
        <v>0</v>
      </c>
      <c r="Q856" t="n">
        <v>0</v>
      </c>
      <c r="R856" s="2" t="inlineStr"/>
    </row>
    <row r="857" ht="15" customHeight="1">
      <c r="A857" t="inlineStr">
        <is>
          <t>A 32865-2023</t>
        </is>
      </c>
      <c r="B857" s="1" t="n">
        <v>45124</v>
      </c>
      <c r="C857" s="1" t="n">
        <v>45956</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22194-2024</t>
        </is>
      </c>
      <c r="B858" s="1" t="n">
        <v>45446.36482638889</v>
      </c>
      <c r="C858" s="1" t="n">
        <v>45956</v>
      </c>
      <c r="D858" t="inlineStr">
        <is>
          <t>KALMAR LÄN</t>
        </is>
      </c>
      <c r="E858" t="inlineStr">
        <is>
          <t>VIMMERBY</t>
        </is>
      </c>
      <c r="F858" t="inlineStr">
        <is>
          <t>Sveaskog</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17926-2025</t>
        </is>
      </c>
      <c r="B859" s="1" t="n">
        <v>45759.38987268518</v>
      </c>
      <c r="C859" s="1" t="n">
        <v>45956</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35127-2024</t>
        </is>
      </c>
      <c r="B860" s="1" t="n">
        <v>45530.33202546297</v>
      </c>
      <c r="C860" s="1" t="n">
        <v>45956</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33383-2023</t>
        </is>
      </c>
      <c r="B861" s="1" t="n">
        <v>45128.58414351852</v>
      </c>
      <c r="C861" s="1" t="n">
        <v>45956</v>
      </c>
      <c r="D861" t="inlineStr">
        <is>
          <t>KALMAR LÄN</t>
        </is>
      </c>
      <c r="E861" t="inlineStr">
        <is>
          <t>VIMMERBY</t>
        </is>
      </c>
      <c r="G861" t="n">
        <v>2.3</v>
      </c>
      <c r="H861" t="n">
        <v>0</v>
      </c>
      <c r="I861" t="n">
        <v>0</v>
      </c>
      <c r="J861" t="n">
        <v>0</v>
      </c>
      <c r="K861" t="n">
        <v>0</v>
      </c>
      <c r="L861" t="n">
        <v>0</v>
      </c>
      <c r="M861" t="n">
        <v>0</v>
      </c>
      <c r="N861" t="n">
        <v>0</v>
      </c>
      <c r="O861" t="n">
        <v>0</v>
      </c>
      <c r="P861" t="n">
        <v>0</v>
      </c>
      <c r="Q861" t="n">
        <v>0</v>
      </c>
      <c r="R861" s="2" t="inlineStr"/>
    </row>
    <row r="862" ht="15" customHeight="1">
      <c r="A862" t="inlineStr">
        <is>
          <t>A 4297-2022</t>
        </is>
      </c>
      <c r="B862" s="1" t="n">
        <v>44588</v>
      </c>
      <c r="C862" s="1" t="n">
        <v>45956</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c r="A863" t="inlineStr">
        <is>
          <t>A 48373-2021</t>
        </is>
      </c>
      <c r="B863" s="1" t="n">
        <v>44451</v>
      </c>
      <c r="C863" s="1" t="n">
        <v>45956</v>
      </c>
      <c r="D863" t="inlineStr">
        <is>
          <t>KALMAR LÄN</t>
        </is>
      </c>
      <c r="E863" t="inlineStr">
        <is>
          <t>VIMMERBY</t>
        </is>
      </c>
      <c r="G863" t="n">
        <v>2.2</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2025-10-26T09:28:53Z</dcterms:created>
  <dcterms:modified xmlns:dcterms="http://purl.org/dc/terms/" xmlns:xsi="http://www.w3.org/2001/XMLSchema-instance" xsi:type="dcterms:W3CDTF">2025-10-26T09:28:54Z</dcterms:modified>
</cp:coreProperties>
</file>