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45961</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12081-2024</t>
        </is>
      </c>
      <c r="B9" s="1" t="n">
        <v>45377.54726851852</v>
      </c>
      <c r="C9" s="1" t="n">
        <v>45961</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45961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45961</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45961</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45961</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45961</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8411-2021</t>
        </is>
      </c>
      <c r="B15" s="1" t="n">
        <v>44245</v>
      </c>
      <c r="C15" s="1" t="n">
        <v>45961</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45961</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45961</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37667-2025</t>
        </is>
      </c>
      <c r="B18" s="1" t="n">
        <v>45880.51413194444</v>
      </c>
      <c r="C18" s="1" t="n">
        <v>45961</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14584-2025</t>
        </is>
      </c>
      <c r="B19" s="1" t="n">
        <v>45742</v>
      </c>
      <c r="C19" s="1" t="n">
        <v>45961</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45961</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45961</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45961</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14024-2023</t>
        </is>
      </c>
      <c r="B23" s="1" t="n">
        <v>45008.60878472222</v>
      </c>
      <c r="C23" s="1" t="n">
        <v>45961</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45961</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45961</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22396-2025</t>
        </is>
      </c>
      <c r="B26" s="1" t="n">
        <v>45786.52827546297</v>
      </c>
      <c r="C26" s="1" t="n">
        <v>45961</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22825-2023</t>
        </is>
      </c>
      <c r="B27" s="1" t="n">
        <v>45072</v>
      </c>
      <c r="C27" s="1" t="n">
        <v>45961</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45961</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40684-2025</t>
        </is>
      </c>
      <c r="B29" s="1" t="n">
        <v>45896.86820601852</v>
      </c>
      <c r="C29" s="1" t="n">
        <v>45961</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45961</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45961</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45961</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15122-2024</t>
        </is>
      </c>
      <c r="B33" s="1" t="n">
        <v>45399.71412037037</v>
      </c>
      <c r="C33" s="1" t="n">
        <v>45961</v>
      </c>
      <c r="D33" t="inlineStr">
        <is>
          <t>KALMAR LÄN</t>
        </is>
      </c>
      <c r="E33" t="inlineStr">
        <is>
          <t>VIMMERBY</t>
        </is>
      </c>
      <c r="G33" t="n">
        <v>1.7</v>
      </c>
      <c r="H33" t="n">
        <v>0</v>
      </c>
      <c r="I33" t="n">
        <v>0</v>
      </c>
      <c r="J33" t="n">
        <v>0</v>
      </c>
      <c r="K33" t="n">
        <v>1</v>
      </c>
      <c r="L33" t="n">
        <v>0</v>
      </c>
      <c r="M33" t="n">
        <v>0</v>
      </c>
      <c r="N33" t="n">
        <v>0</v>
      </c>
      <c r="O33" t="n">
        <v>1</v>
      </c>
      <c r="P33" t="n">
        <v>1</v>
      </c>
      <c r="Q33" t="n">
        <v>1</v>
      </c>
      <c r="R33" s="2" t="inlineStr">
        <is>
          <t>Sågfibbla</t>
        </is>
      </c>
      <c r="S33">
        <f>HYPERLINK("https://klasma.github.io/Logging_0884/artfynd/A 15122-2024 artfynd.xlsx", "A 15122-2024")</f>
        <v/>
      </c>
      <c r="T33">
        <f>HYPERLINK("https://klasma.github.io/Logging_0884/kartor/A 15122-2024 karta.png", "A 15122-2024")</f>
        <v/>
      </c>
      <c r="V33">
        <f>HYPERLINK("https://klasma.github.io/Logging_0884/klagomål/A 15122-2024 FSC-klagomål.docx", "A 15122-2024")</f>
        <v/>
      </c>
      <c r="W33">
        <f>HYPERLINK("https://klasma.github.io/Logging_0884/klagomålsmail/A 15122-2024 FSC-klagomål mail.docx", "A 15122-2024")</f>
        <v/>
      </c>
      <c r="X33">
        <f>HYPERLINK("https://klasma.github.io/Logging_0884/tillsyn/A 15122-2024 tillsynsbegäran.docx", "A 15122-2024")</f>
        <v/>
      </c>
      <c r="Y33">
        <f>HYPERLINK("https://klasma.github.io/Logging_0884/tillsynsmail/A 15122-2024 tillsynsbegäran mail.docx", "A 15122-2024")</f>
        <v/>
      </c>
    </row>
    <row r="34" ht="15" customHeight="1">
      <c r="A34" t="inlineStr">
        <is>
          <t>A 32985-2023</t>
        </is>
      </c>
      <c r="B34" s="1" t="n">
        <v>45125</v>
      </c>
      <c r="C34" s="1" t="n">
        <v>45961</v>
      </c>
      <c r="D34" t="inlineStr">
        <is>
          <t>KALMAR LÄN</t>
        </is>
      </c>
      <c r="E34" t="inlineStr">
        <is>
          <t>VIMMERBY</t>
        </is>
      </c>
      <c r="G34" t="n">
        <v>1.9</v>
      </c>
      <c r="H34" t="n">
        <v>0</v>
      </c>
      <c r="I34" t="n">
        <v>0</v>
      </c>
      <c r="J34" t="n">
        <v>0</v>
      </c>
      <c r="K34" t="n">
        <v>0</v>
      </c>
      <c r="L34" t="n">
        <v>1</v>
      </c>
      <c r="M34" t="n">
        <v>0</v>
      </c>
      <c r="N34" t="n">
        <v>0</v>
      </c>
      <c r="O34" t="n">
        <v>1</v>
      </c>
      <c r="P34" t="n">
        <v>1</v>
      </c>
      <c r="Q34" t="n">
        <v>1</v>
      </c>
      <c r="R34" s="2" t="inlineStr">
        <is>
          <t>Ryl</t>
        </is>
      </c>
      <c r="S34">
        <f>HYPERLINK("https://klasma.github.io/Logging_0884/artfynd/A 32985-2023 artfynd.xlsx", "A 32985-2023")</f>
        <v/>
      </c>
      <c r="T34">
        <f>HYPERLINK("https://klasma.github.io/Logging_0884/kartor/A 32985-2023 karta.png", "A 32985-2023")</f>
        <v/>
      </c>
      <c r="V34">
        <f>HYPERLINK("https://klasma.github.io/Logging_0884/klagomål/A 32985-2023 FSC-klagomål.docx", "A 32985-2023")</f>
        <v/>
      </c>
      <c r="W34">
        <f>HYPERLINK("https://klasma.github.io/Logging_0884/klagomålsmail/A 32985-2023 FSC-klagomål mail.docx", "A 32985-2023")</f>
        <v/>
      </c>
      <c r="X34">
        <f>HYPERLINK("https://klasma.github.io/Logging_0884/tillsyn/A 32985-2023 tillsynsbegäran.docx", "A 32985-2023")</f>
        <v/>
      </c>
      <c r="Y34">
        <f>HYPERLINK("https://klasma.github.io/Logging_0884/tillsynsmail/A 32985-2023 tillsynsbegäran mail.docx", "A 32985-2023")</f>
        <v/>
      </c>
    </row>
    <row r="35" ht="15" customHeight="1">
      <c r="A35" t="inlineStr">
        <is>
          <t>A 33436-2021</t>
        </is>
      </c>
      <c r="B35" s="1" t="n">
        <v>44377.61104166666</v>
      </c>
      <c r="C35" s="1" t="n">
        <v>45961</v>
      </c>
      <c r="D35" t="inlineStr">
        <is>
          <t>KALMAR LÄN</t>
        </is>
      </c>
      <c r="E35" t="inlineStr">
        <is>
          <t>VIMMERBY</t>
        </is>
      </c>
      <c r="G35" t="n">
        <v>11.8</v>
      </c>
      <c r="H35" t="n">
        <v>1</v>
      </c>
      <c r="I35" t="n">
        <v>0</v>
      </c>
      <c r="J35" t="n">
        <v>0</v>
      </c>
      <c r="K35" t="n">
        <v>1</v>
      </c>
      <c r="L35" t="n">
        <v>0</v>
      </c>
      <c r="M35" t="n">
        <v>0</v>
      </c>
      <c r="N35" t="n">
        <v>0</v>
      </c>
      <c r="O35" t="n">
        <v>1</v>
      </c>
      <c r="P35" t="n">
        <v>1</v>
      </c>
      <c r="Q35" t="n">
        <v>1</v>
      </c>
      <c r="R35" s="2" t="inlineStr">
        <is>
          <t>Knärot</t>
        </is>
      </c>
      <c r="S35">
        <f>HYPERLINK("https://klasma.github.io/Logging_0884/artfynd/A 33436-2021 artfynd.xlsx", "A 33436-2021")</f>
        <v/>
      </c>
      <c r="T35">
        <f>HYPERLINK("https://klasma.github.io/Logging_0884/kartor/A 33436-2021 karta.png", "A 33436-2021")</f>
        <v/>
      </c>
      <c r="U35">
        <f>HYPERLINK("https://klasma.github.io/Logging_0884/knärot/A 33436-2021 karta knärot.png", "A 33436-2021")</f>
        <v/>
      </c>
      <c r="V35">
        <f>HYPERLINK("https://klasma.github.io/Logging_0884/klagomål/A 33436-2021 FSC-klagomål.docx", "A 33436-2021")</f>
        <v/>
      </c>
      <c r="W35">
        <f>HYPERLINK("https://klasma.github.io/Logging_0884/klagomålsmail/A 33436-2021 FSC-klagomål mail.docx", "A 33436-2021")</f>
        <v/>
      </c>
      <c r="X35">
        <f>HYPERLINK("https://klasma.github.io/Logging_0884/tillsyn/A 33436-2021 tillsynsbegäran.docx", "A 33436-2021")</f>
        <v/>
      </c>
      <c r="Y35">
        <f>HYPERLINK("https://klasma.github.io/Logging_0884/tillsynsmail/A 33436-2021 tillsynsbegäran mail.docx", "A 33436-2021")</f>
        <v/>
      </c>
    </row>
    <row r="36" ht="15" customHeight="1">
      <c r="A36" t="inlineStr">
        <is>
          <t>A 28852-2023</t>
        </is>
      </c>
      <c r="B36" s="1" t="n">
        <v>45104</v>
      </c>
      <c r="C36" s="1" t="n">
        <v>45961</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44515-2024</t>
        </is>
      </c>
      <c r="B37" s="1" t="n">
        <v>45574.42767361111</v>
      </c>
      <c r="C37" s="1" t="n">
        <v>45961</v>
      </c>
      <c r="D37" t="inlineStr">
        <is>
          <t>KALMAR LÄN</t>
        </is>
      </c>
      <c r="E37" t="inlineStr">
        <is>
          <t>VIMMERBY</t>
        </is>
      </c>
      <c r="G37" t="n">
        <v>1.4</v>
      </c>
      <c r="H37" t="n">
        <v>1</v>
      </c>
      <c r="I37" t="n">
        <v>0</v>
      </c>
      <c r="J37" t="n">
        <v>0</v>
      </c>
      <c r="K37" t="n">
        <v>1</v>
      </c>
      <c r="L37" t="n">
        <v>0</v>
      </c>
      <c r="M37" t="n">
        <v>0</v>
      </c>
      <c r="N37" t="n">
        <v>0</v>
      </c>
      <c r="O37" t="n">
        <v>1</v>
      </c>
      <c r="P37" t="n">
        <v>1</v>
      </c>
      <c r="Q37" t="n">
        <v>1</v>
      </c>
      <c r="R37" s="2" t="inlineStr">
        <is>
          <t>Knärot</t>
        </is>
      </c>
      <c r="S37">
        <f>HYPERLINK("https://klasma.github.io/Logging_0884/artfynd/A 44515-2024 artfynd.xlsx", "A 44515-2024")</f>
        <v/>
      </c>
      <c r="T37">
        <f>HYPERLINK("https://klasma.github.io/Logging_0884/kartor/A 44515-2024 karta.png", "A 44515-2024")</f>
        <v/>
      </c>
      <c r="U37">
        <f>HYPERLINK("https://klasma.github.io/Logging_0884/knärot/A 44515-2024 karta knärot.png", "A 44515-2024")</f>
        <v/>
      </c>
      <c r="V37">
        <f>HYPERLINK("https://klasma.github.io/Logging_0884/klagomål/A 44515-2024 FSC-klagomål.docx", "A 44515-2024")</f>
        <v/>
      </c>
      <c r="W37">
        <f>HYPERLINK("https://klasma.github.io/Logging_0884/klagomålsmail/A 44515-2024 FSC-klagomål mail.docx", "A 44515-2024")</f>
        <v/>
      </c>
      <c r="X37">
        <f>HYPERLINK("https://klasma.github.io/Logging_0884/tillsyn/A 44515-2024 tillsynsbegäran.docx", "A 44515-2024")</f>
        <v/>
      </c>
      <c r="Y37">
        <f>HYPERLINK("https://klasma.github.io/Logging_0884/tillsynsmail/A 44515-2024 tillsynsbegäran mail.docx", "A 44515-2024")</f>
        <v/>
      </c>
    </row>
    <row r="38" ht="15" customHeight="1">
      <c r="A38" t="inlineStr">
        <is>
          <t>A 40083-2023</t>
        </is>
      </c>
      <c r="B38" s="1" t="n">
        <v>45168</v>
      </c>
      <c r="C38" s="1" t="n">
        <v>45961</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45961</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38602-2025</t>
        </is>
      </c>
      <c r="B40" s="1" t="n">
        <v>45884.50331018519</v>
      </c>
      <c r="C40" s="1" t="n">
        <v>45961</v>
      </c>
      <c r="D40" t="inlineStr">
        <is>
          <t>KALMAR LÄN</t>
        </is>
      </c>
      <c r="E40" t="inlineStr">
        <is>
          <t>VIMMERBY</t>
        </is>
      </c>
      <c r="F40" t="inlineStr">
        <is>
          <t>Sveaskog</t>
        </is>
      </c>
      <c r="G40" t="n">
        <v>4.9</v>
      </c>
      <c r="H40" t="n">
        <v>1</v>
      </c>
      <c r="I40" t="n">
        <v>0</v>
      </c>
      <c r="J40" t="n">
        <v>0</v>
      </c>
      <c r="K40" t="n">
        <v>1</v>
      </c>
      <c r="L40" t="n">
        <v>0</v>
      </c>
      <c r="M40" t="n">
        <v>0</v>
      </c>
      <c r="N40" t="n">
        <v>0</v>
      </c>
      <c r="O40" t="n">
        <v>1</v>
      </c>
      <c r="P40" t="n">
        <v>1</v>
      </c>
      <c r="Q40" t="n">
        <v>1</v>
      </c>
      <c r="R40" s="2" t="inlineStr">
        <is>
          <t>Knärot</t>
        </is>
      </c>
      <c r="S40">
        <f>HYPERLINK("https://klasma.github.io/Logging_0884/artfynd/A 38602-2025 artfynd.xlsx", "A 38602-2025")</f>
        <v/>
      </c>
      <c r="T40">
        <f>HYPERLINK("https://klasma.github.io/Logging_0884/kartor/A 38602-2025 karta.png", "A 38602-2025")</f>
        <v/>
      </c>
      <c r="U40">
        <f>HYPERLINK("https://klasma.github.io/Logging_0884/knärot/A 38602-2025 karta knärot.png", "A 38602-2025")</f>
        <v/>
      </c>
      <c r="V40">
        <f>HYPERLINK("https://klasma.github.io/Logging_0884/klagomål/A 38602-2025 FSC-klagomål.docx", "A 38602-2025")</f>
        <v/>
      </c>
      <c r="W40">
        <f>HYPERLINK("https://klasma.github.io/Logging_0884/klagomålsmail/A 38602-2025 FSC-klagomål mail.docx", "A 38602-2025")</f>
        <v/>
      </c>
      <c r="X40">
        <f>HYPERLINK("https://klasma.github.io/Logging_0884/tillsyn/A 38602-2025 tillsynsbegäran.docx", "A 38602-2025")</f>
        <v/>
      </c>
      <c r="Y40">
        <f>HYPERLINK("https://klasma.github.io/Logging_0884/tillsynsmail/A 38602-2025 tillsynsbegäran mail.docx", "A 38602-2025")</f>
        <v/>
      </c>
    </row>
    <row r="41" ht="15" customHeight="1">
      <c r="A41" t="inlineStr">
        <is>
          <t>A 1201-2025</t>
        </is>
      </c>
      <c r="B41" s="1" t="n">
        <v>45667</v>
      </c>
      <c r="C41" s="1" t="n">
        <v>45961</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9067-2025</t>
        </is>
      </c>
      <c r="B42" s="1" t="n">
        <v>45713</v>
      </c>
      <c r="C42" s="1" t="n">
        <v>45961</v>
      </c>
      <c r="D42" t="inlineStr">
        <is>
          <t>KALMAR LÄN</t>
        </is>
      </c>
      <c r="E42" t="inlineStr">
        <is>
          <t>VIMMERBY</t>
        </is>
      </c>
      <c r="G42" t="n">
        <v>3.9</v>
      </c>
      <c r="H42" t="n">
        <v>0</v>
      </c>
      <c r="I42" t="n">
        <v>1</v>
      </c>
      <c r="J42" t="n">
        <v>0</v>
      </c>
      <c r="K42" t="n">
        <v>0</v>
      </c>
      <c r="L42" t="n">
        <v>0</v>
      </c>
      <c r="M42" t="n">
        <v>0</v>
      </c>
      <c r="N42" t="n">
        <v>0</v>
      </c>
      <c r="O42" t="n">
        <v>0</v>
      </c>
      <c r="P42" t="n">
        <v>0</v>
      </c>
      <c r="Q42" t="n">
        <v>1</v>
      </c>
      <c r="R42" s="2" t="inlineStr">
        <is>
          <t>Ögonpyrola</t>
        </is>
      </c>
      <c r="S42">
        <f>HYPERLINK("https://klasma.github.io/Logging_0884/artfynd/A 9067-2025 artfynd.xlsx", "A 9067-2025")</f>
        <v/>
      </c>
      <c r="T42">
        <f>HYPERLINK("https://klasma.github.io/Logging_0884/kartor/A 9067-2025 karta.png", "A 9067-2025")</f>
        <v/>
      </c>
      <c r="V42">
        <f>HYPERLINK("https://klasma.github.io/Logging_0884/klagomål/A 9067-2025 FSC-klagomål.docx", "A 9067-2025")</f>
        <v/>
      </c>
      <c r="W42">
        <f>HYPERLINK("https://klasma.github.io/Logging_0884/klagomålsmail/A 9067-2025 FSC-klagomål mail.docx", "A 9067-2025")</f>
        <v/>
      </c>
      <c r="X42">
        <f>HYPERLINK("https://klasma.github.io/Logging_0884/tillsyn/A 9067-2025 tillsynsbegäran.docx", "A 9067-2025")</f>
        <v/>
      </c>
      <c r="Y42">
        <f>HYPERLINK("https://klasma.github.io/Logging_0884/tillsynsmail/A 9067-2025 tillsynsbegäran mail.docx", "A 9067-2025")</f>
        <v/>
      </c>
    </row>
    <row r="43" ht="15" customHeight="1">
      <c r="A43" t="inlineStr">
        <is>
          <t>A 29183-2025</t>
        </is>
      </c>
      <c r="B43" s="1" t="n">
        <v>45821</v>
      </c>
      <c r="C43" s="1" t="n">
        <v>45961</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6841-2021</t>
        </is>
      </c>
      <c r="B44" s="1" t="n">
        <v>44236</v>
      </c>
      <c r="C44" s="1" t="n">
        <v>45961</v>
      </c>
      <c r="D44" t="inlineStr">
        <is>
          <t>KALMAR LÄN</t>
        </is>
      </c>
      <c r="E44" t="inlineStr">
        <is>
          <t>VIMMERBY</t>
        </is>
      </c>
      <c r="G44" t="n">
        <v>25</v>
      </c>
      <c r="H44" t="n">
        <v>0</v>
      </c>
      <c r="I44" t="n">
        <v>0</v>
      </c>
      <c r="J44" t="n">
        <v>1</v>
      </c>
      <c r="K44" t="n">
        <v>0</v>
      </c>
      <c r="L44" t="n">
        <v>0</v>
      </c>
      <c r="M44" t="n">
        <v>0</v>
      </c>
      <c r="N44" t="n">
        <v>0</v>
      </c>
      <c r="O44" t="n">
        <v>1</v>
      </c>
      <c r="P44" t="n">
        <v>0</v>
      </c>
      <c r="Q44" t="n">
        <v>1</v>
      </c>
      <c r="R44" s="2" t="inlineStr">
        <is>
          <t>Bredbrämad bastardsvärmare</t>
        </is>
      </c>
      <c r="S44">
        <f>HYPERLINK("https://klasma.github.io/Logging_0884/artfynd/A 6841-2021 artfynd.xlsx", "A 6841-2021")</f>
        <v/>
      </c>
      <c r="T44">
        <f>HYPERLINK("https://klasma.github.io/Logging_0884/kartor/A 6841-2021 karta.png", "A 6841-2021")</f>
        <v/>
      </c>
      <c r="V44">
        <f>HYPERLINK("https://klasma.github.io/Logging_0884/klagomål/A 6841-2021 FSC-klagomål.docx", "A 6841-2021")</f>
        <v/>
      </c>
      <c r="W44">
        <f>HYPERLINK("https://klasma.github.io/Logging_0884/klagomålsmail/A 6841-2021 FSC-klagomål mail.docx", "A 6841-2021")</f>
        <v/>
      </c>
      <c r="X44">
        <f>HYPERLINK("https://klasma.github.io/Logging_0884/tillsyn/A 6841-2021 tillsynsbegäran.docx", "A 6841-2021")</f>
        <v/>
      </c>
      <c r="Y44">
        <f>HYPERLINK("https://klasma.github.io/Logging_0884/tillsynsmail/A 6841-2021 tillsynsbegäran mail.docx", "A 6841-2021")</f>
        <v/>
      </c>
    </row>
    <row r="45" ht="15" customHeight="1">
      <c r="A45" t="inlineStr">
        <is>
          <t>A 23602-2023</t>
        </is>
      </c>
      <c r="B45" s="1" t="n">
        <v>45077</v>
      </c>
      <c r="C45" s="1" t="n">
        <v>45961</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61860-2024</t>
        </is>
      </c>
      <c r="B46" s="1" t="n">
        <v>45649</v>
      </c>
      <c r="C46" s="1" t="n">
        <v>45961</v>
      </c>
      <c r="D46" t="inlineStr">
        <is>
          <t>KALMAR LÄN</t>
        </is>
      </c>
      <c r="E46" t="inlineStr">
        <is>
          <t>VIMMERBY</t>
        </is>
      </c>
      <c r="G46" t="n">
        <v>4.4</v>
      </c>
      <c r="H46" t="n">
        <v>1</v>
      </c>
      <c r="I46" t="n">
        <v>0</v>
      </c>
      <c r="J46" t="n">
        <v>0</v>
      </c>
      <c r="K46" t="n">
        <v>1</v>
      </c>
      <c r="L46" t="n">
        <v>0</v>
      </c>
      <c r="M46" t="n">
        <v>0</v>
      </c>
      <c r="N46" t="n">
        <v>0</v>
      </c>
      <c r="O46" t="n">
        <v>1</v>
      </c>
      <c r="P46" t="n">
        <v>1</v>
      </c>
      <c r="Q46" t="n">
        <v>1</v>
      </c>
      <c r="R46" s="2" t="inlineStr">
        <is>
          <t>Knärot</t>
        </is>
      </c>
      <c r="S46">
        <f>HYPERLINK("https://klasma.github.io/Logging_0884/artfynd/A 61860-2024 artfynd.xlsx", "A 61860-2024")</f>
        <v/>
      </c>
      <c r="T46">
        <f>HYPERLINK("https://klasma.github.io/Logging_0884/kartor/A 61860-2024 karta.png", "A 61860-2024")</f>
        <v/>
      </c>
      <c r="U46">
        <f>HYPERLINK("https://klasma.github.io/Logging_0884/knärot/A 61860-2024 karta knärot.png", "A 61860-2024")</f>
        <v/>
      </c>
      <c r="V46">
        <f>HYPERLINK("https://klasma.github.io/Logging_0884/klagomål/A 61860-2024 FSC-klagomål.docx", "A 61860-2024")</f>
        <v/>
      </c>
      <c r="W46">
        <f>HYPERLINK("https://klasma.github.io/Logging_0884/klagomålsmail/A 61860-2024 FSC-klagomål mail.docx", "A 61860-2024")</f>
        <v/>
      </c>
      <c r="X46">
        <f>HYPERLINK("https://klasma.github.io/Logging_0884/tillsyn/A 61860-2024 tillsynsbegäran.docx", "A 61860-2024")</f>
        <v/>
      </c>
      <c r="Y46">
        <f>HYPERLINK("https://klasma.github.io/Logging_0884/tillsynsmail/A 61860-2024 tillsynsbegäran mail.docx", "A 61860-2024")</f>
        <v/>
      </c>
    </row>
    <row r="47" ht="15" customHeight="1">
      <c r="A47" t="inlineStr">
        <is>
          <t>A 52301-2023</t>
        </is>
      </c>
      <c r="B47" s="1" t="n">
        <v>45224</v>
      </c>
      <c r="C47" s="1" t="n">
        <v>45961</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15903-2021</t>
        </is>
      </c>
      <c r="B48" s="1" t="n">
        <v>44287.33261574074</v>
      </c>
      <c r="C48" s="1" t="n">
        <v>45961</v>
      </c>
      <c r="D48" t="inlineStr">
        <is>
          <t>KALMAR LÄN</t>
        </is>
      </c>
      <c r="E48" t="inlineStr">
        <is>
          <t>VIMMERBY</t>
        </is>
      </c>
      <c r="G48" t="n">
        <v>0.5</v>
      </c>
      <c r="H48" t="n">
        <v>0</v>
      </c>
      <c r="I48" t="n">
        <v>0</v>
      </c>
      <c r="J48" t="n">
        <v>0</v>
      </c>
      <c r="K48" t="n">
        <v>0</v>
      </c>
      <c r="L48" t="n">
        <v>0</v>
      </c>
      <c r="M48" t="n">
        <v>0</v>
      </c>
      <c r="N48" t="n">
        <v>0</v>
      </c>
      <c r="O48" t="n">
        <v>0</v>
      </c>
      <c r="P48" t="n">
        <v>0</v>
      </c>
      <c r="Q48" t="n">
        <v>0</v>
      </c>
      <c r="R48" s="2" t="inlineStr"/>
    </row>
    <row r="49" ht="15" customHeight="1">
      <c r="A49" t="inlineStr">
        <is>
          <t>A 1929-2021</t>
        </is>
      </c>
      <c r="B49" s="1" t="n">
        <v>44210</v>
      </c>
      <c r="C49" s="1" t="n">
        <v>45961</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45961</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45961</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59070-2021</t>
        </is>
      </c>
      <c r="B52" s="1" t="n">
        <v>44490.38613425926</v>
      </c>
      <c r="C52" s="1" t="n">
        <v>45961</v>
      </c>
      <c r="D52" t="inlineStr">
        <is>
          <t>KALMAR LÄN</t>
        </is>
      </c>
      <c r="E52" t="inlineStr">
        <is>
          <t>VIMMERBY</t>
        </is>
      </c>
      <c r="G52" t="n">
        <v>1.7</v>
      </c>
      <c r="H52" t="n">
        <v>0</v>
      </c>
      <c r="I52" t="n">
        <v>0</v>
      </c>
      <c r="J52" t="n">
        <v>0</v>
      </c>
      <c r="K52" t="n">
        <v>0</v>
      </c>
      <c r="L52" t="n">
        <v>0</v>
      </c>
      <c r="M52" t="n">
        <v>0</v>
      </c>
      <c r="N52" t="n">
        <v>0</v>
      </c>
      <c r="O52" t="n">
        <v>0</v>
      </c>
      <c r="P52" t="n">
        <v>0</v>
      </c>
      <c r="Q52" t="n">
        <v>0</v>
      </c>
      <c r="R52" s="2" t="inlineStr"/>
    </row>
    <row r="53" ht="15" customHeight="1">
      <c r="A53" t="inlineStr">
        <is>
          <t>A 56754-2021</t>
        </is>
      </c>
      <c r="B53" s="1" t="n">
        <v>44481.47483796296</v>
      </c>
      <c r="C53" s="1" t="n">
        <v>45961</v>
      </c>
      <c r="D53" t="inlineStr">
        <is>
          <t>KALMAR LÄN</t>
        </is>
      </c>
      <c r="E53" t="inlineStr">
        <is>
          <t>VIMMERBY</t>
        </is>
      </c>
      <c r="G53" t="n">
        <v>1.4</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45961</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32607-2021</t>
        </is>
      </c>
      <c r="B55" s="1" t="n">
        <v>44375.39033564815</v>
      </c>
      <c r="C55" s="1" t="n">
        <v>45961</v>
      </c>
      <c r="D55" t="inlineStr">
        <is>
          <t>KALMAR LÄN</t>
        </is>
      </c>
      <c r="E55" t="inlineStr">
        <is>
          <t>VIMMERBY</t>
        </is>
      </c>
      <c r="G55" t="n">
        <v>0.4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45961</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45961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2654-2021</t>
        </is>
      </c>
      <c r="B58" s="1" t="n">
        <v>44215</v>
      </c>
      <c r="C58" s="1" t="n">
        <v>45961</v>
      </c>
      <c r="D58" t="inlineStr">
        <is>
          <t>KALMAR LÄN</t>
        </is>
      </c>
      <c r="E58" t="inlineStr">
        <is>
          <t>VIMMERBY</t>
        </is>
      </c>
      <c r="G58" t="n">
        <v>1.2</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45961</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45961</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18756-2021</t>
        </is>
      </c>
      <c r="B61" s="1" t="n">
        <v>44307</v>
      </c>
      <c r="C61" s="1" t="n">
        <v>45961</v>
      </c>
      <c r="D61" t="inlineStr">
        <is>
          <t>KALMAR LÄN</t>
        </is>
      </c>
      <c r="E61" t="inlineStr">
        <is>
          <t>VIMMERBY</t>
        </is>
      </c>
      <c r="G61" t="n">
        <v>7.4</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45961</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4762-2021</t>
        </is>
      </c>
      <c r="B63" s="1" t="n">
        <v>44225</v>
      </c>
      <c r="C63" s="1" t="n">
        <v>45961</v>
      </c>
      <c r="D63" t="inlineStr">
        <is>
          <t>KALMAR LÄN</t>
        </is>
      </c>
      <c r="E63" t="inlineStr">
        <is>
          <t>VIMMERBY</t>
        </is>
      </c>
      <c r="G63" t="n">
        <v>5.3</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45961</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63926-2021</t>
        </is>
      </c>
      <c r="B65" s="1" t="n">
        <v>44509</v>
      </c>
      <c r="C65" s="1" t="n">
        <v>45961</v>
      </c>
      <c r="D65" t="inlineStr">
        <is>
          <t>KALMAR LÄN</t>
        </is>
      </c>
      <c r="E65" t="inlineStr">
        <is>
          <t>VIMMERBY</t>
        </is>
      </c>
      <c r="G65" t="n">
        <v>0.7</v>
      </c>
      <c r="H65" t="n">
        <v>0</v>
      </c>
      <c r="I65" t="n">
        <v>0</v>
      </c>
      <c r="J65" t="n">
        <v>0</v>
      </c>
      <c r="K65" t="n">
        <v>0</v>
      </c>
      <c r="L65" t="n">
        <v>0</v>
      </c>
      <c r="M65" t="n">
        <v>0</v>
      </c>
      <c r="N65" t="n">
        <v>0</v>
      </c>
      <c r="O65" t="n">
        <v>0</v>
      </c>
      <c r="P65" t="n">
        <v>0</v>
      </c>
      <c r="Q65" t="n">
        <v>0</v>
      </c>
      <c r="R65" s="2" t="inlineStr"/>
    </row>
    <row r="66" ht="15" customHeight="1">
      <c r="A66" t="inlineStr">
        <is>
          <t>A 5689-2021</t>
        </is>
      </c>
      <c r="B66" s="1" t="n">
        <v>44230.58883101852</v>
      </c>
      <c r="C66" s="1" t="n">
        <v>45961</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56378-2021</t>
        </is>
      </c>
      <c r="B67" s="1" t="n">
        <v>44480</v>
      </c>
      <c r="C67" s="1" t="n">
        <v>45961</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45961</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7515-2021</t>
        </is>
      </c>
      <c r="B69" s="1" t="n">
        <v>44238</v>
      </c>
      <c r="C69" s="1" t="n">
        <v>45961</v>
      </c>
      <c r="D69" t="inlineStr">
        <is>
          <t>KALMAR LÄN</t>
        </is>
      </c>
      <c r="E69" t="inlineStr">
        <is>
          <t>VIMMERBY</t>
        </is>
      </c>
      <c r="G69" t="n">
        <v>20.9</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45961</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45961</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45961</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45961</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2183-2022</t>
        </is>
      </c>
      <c r="B74" s="1" t="n">
        <v>44578.47597222222</v>
      </c>
      <c r="C74" s="1" t="n">
        <v>45961</v>
      </c>
      <c r="D74" t="inlineStr">
        <is>
          <t>KALMAR LÄN</t>
        </is>
      </c>
      <c r="E74" t="inlineStr">
        <is>
          <t>VIMMERBY</t>
        </is>
      </c>
      <c r="G74" t="n">
        <v>4.8</v>
      </c>
      <c r="H74" t="n">
        <v>0</v>
      </c>
      <c r="I74" t="n">
        <v>0</v>
      </c>
      <c r="J74" t="n">
        <v>0</v>
      </c>
      <c r="K74" t="n">
        <v>0</v>
      </c>
      <c r="L74" t="n">
        <v>0</v>
      </c>
      <c r="M74" t="n">
        <v>0</v>
      </c>
      <c r="N74" t="n">
        <v>0</v>
      </c>
      <c r="O74" t="n">
        <v>0</v>
      </c>
      <c r="P74" t="n">
        <v>0</v>
      </c>
      <c r="Q74" t="n">
        <v>0</v>
      </c>
      <c r="R74" s="2" t="inlineStr"/>
    </row>
    <row r="75" ht="15" customHeight="1">
      <c r="A75" t="inlineStr">
        <is>
          <t>A 65670-2021</t>
        </is>
      </c>
      <c r="B75" s="1" t="n">
        <v>44516.59703703703</v>
      </c>
      <c r="C75" s="1" t="n">
        <v>45961</v>
      </c>
      <c r="D75" t="inlineStr">
        <is>
          <t>KALMAR LÄN</t>
        </is>
      </c>
      <c r="E75" t="inlineStr">
        <is>
          <t>VIMMERBY</t>
        </is>
      </c>
      <c r="G75" t="n">
        <v>1.9</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45961</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45961</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45961</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45961</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45961</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45961</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45961</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45961</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45961</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45961</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3621-2021</t>
        </is>
      </c>
      <c r="B86" s="1" t="n">
        <v>44221.39408564815</v>
      </c>
      <c r="C86" s="1" t="n">
        <v>45961</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45961</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45961</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45961</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45961</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45961</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45961</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45961</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65952-2020</t>
        </is>
      </c>
      <c r="B94" s="1" t="n">
        <v>44175.3815625</v>
      </c>
      <c r="C94" s="1" t="n">
        <v>45961</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65973-2020</t>
        </is>
      </c>
      <c r="B95" s="1" t="n">
        <v>44175.40881944444</v>
      </c>
      <c r="C95" s="1" t="n">
        <v>45961</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45961</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45961</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45961</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45961</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45961</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66913-2020</t>
        </is>
      </c>
      <c r="B101" s="1" t="n">
        <v>44175</v>
      </c>
      <c r="C101" s="1" t="n">
        <v>45961</v>
      </c>
      <c r="D101" t="inlineStr">
        <is>
          <t>KALMAR LÄN</t>
        </is>
      </c>
      <c r="E101" t="inlineStr">
        <is>
          <t>VIMMERBY</t>
        </is>
      </c>
      <c r="G101" t="n">
        <v>5.6</v>
      </c>
      <c r="H101" t="n">
        <v>0</v>
      </c>
      <c r="I101" t="n">
        <v>0</v>
      </c>
      <c r="J101" t="n">
        <v>0</v>
      </c>
      <c r="K101" t="n">
        <v>0</v>
      </c>
      <c r="L101" t="n">
        <v>0</v>
      </c>
      <c r="M101" t="n">
        <v>0</v>
      </c>
      <c r="N101" t="n">
        <v>0</v>
      </c>
      <c r="O101" t="n">
        <v>0</v>
      </c>
      <c r="P101" t="n">
        <v>0</v>
      </c>
      <c r="Q101" t="n">
        <v>0</v>
      </c>
      <c r="R101" s="2" t="inlineStr"/>
    </row>
    <row r="102" ht="15" customHeight="1">
      <c r="A102" t="inlineStr">
        <is>
          <t>A 16290-2022</t>
        </is>
      </c>
      <c r="B102" s="1" t="n">
        <v>44670</v>
      </c>
      <c r="C102" s="1" t="n">
        <v>45961</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30682-2021</t>
        </is>
      </c>
      <c r="B103" s="1" t="n">
        <v>44365</v>
      </c>
      <c r="C103" s="1" t="n">
        <v>45961</v>
      </c>
      <c r="D103" t="inlineStr">
        <is>
          <t>KALMAR LÄN</t>
        </is>
      </c>
      <c r="E103" t="inlineStr">
        <is>
          <t>VIMMERBY</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64707-2020</t>
        </is>
      </c>
      <c r="B104" s="1" t="n">
        <v>44169</v>
      </c>
      <c r="C104" s="1" t="n">
        <v>45961</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13492-2021</t>
        </is>
      </c>
      <c r="B105" s="1" t="n">
        <v>44273</v>
      </c>
      <c r="C105" s="1" t="n">
        <v>45961</v>
      </c>
      <c r="D105" t="inlineStr">
        <is>
          <t>KALMAR LÄN</t>
        </is>
      </c>
      <c r="E105" t="inlineStr">
        <is>
          <t>VIMMERBY</t>
        </is>
      </c>
      <c r="G105" t="n">
        <v>3.1</v>
      </c>
      <c r="H105" t="n">
        <v>0</v>
      </c>
      <c r="I105" t="n">
        <v>0</v>
      </c>
      <c r="J105" t="n">
        <v>0</v>
      </c>
      <c r="K105" t="n">
        <v>0</v>
      </c>
      <c r="L105" t="n">
        <v>0</v>
      </c>
      <c r="M105" t="n">
        <v>0</v>
      </c>
      <c r="N105" t="n">
        <v>0</v>
      </c>
      <c r="O105" t="n">
        <v>0</v>
      </c>
      <c r="P105" t="n">
        <v>0</v>
      </c>
      <c r="Q105" t="n">
        <v>0</v>
      </c>
      <c r="R105" s="2" t="inlineStr"/>
    </row>
    <row r="106" ht="15" customHeight="1">
      <c r="A106" t="inlineStr">
        <is>
          <t>A 17869-2021</t>
        </is>
      </c>
      <c r="B106" s="1" t="n">
        <v>44301.36048611111</v>
      </c>
      <c r="C106" s="1" t="n">
        <v>45961</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25049-2022</t>
        </is>
      </c>
      <c r="B107" s="1" t="n">
        <v>44729.28226851852</v>
      </c>
      <c r="C107" s="1" t="n">
        <v>45961</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12848-2021</t>
        </is>
      </c>
      <c r="B108" s="1" t="n">
        <v>44271.37226851852</v>
      </c>
      <c r="C108" s="1" t="n">
        <v>45961</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24723-2021</t>
        </is>
      </c>
      <c r="B109" s="1" t="n">
        <v>44340.54472222222</v>
      </c>
      <c r="C109" s="1" t="n">
        <v>45961</v>
      </c>
      <c r="D109" t="inlineStr">
        <is>
          <t>KALMAR LÄN</t>
        </is>
      </c>
      <c r="E109" t="inlineStr">
        <is>
          <t>VIMMERBY</t>
        </is>
      </c>
      <c r="G109" t="n">
        <v>3.3</v>
      </c>
      <c r="H109" t="n">
        <v>0</v>
      </c>
      <c r="I109" t="n">
        <v>0</v>
      </c>
      <c r="J109" t="n">
        <v>0</v>
      </c>
      <c r="K109" t="n">
        <v>0</v>
      </c>
      <c r="L109" t="n">
        <v>0</v>
      </c>
      <c r="M109" t="n">
        <v>0</v>
      </c>
      <c r="N109" t="n">
        <v>0</v>
      </c>
      <c r="O109" t="n">
        <v>0</v>
      </c>
      <c r="P109" t="n">
        <v>0</v>
      </c>
      <c r="Q109" t="n">
        <v>0</v>
      </c>
      <c r="R109" s="2" t="inlineStr"/>
    </row>
    <row r="110" ht="15" customHeight="1">
      <c r="A110" t="inlineStr">
        <is>
          <t>A 24752-2021</t>
        </is>
      </c>
      <c r="B110" s="1" t="n">
        <v>44340</v>
      </c>
      <c r="C110" s="1" t="n">
        <v>45961</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31533-2022</t>
        </is>
      </c>
      <c r="B111" s="1" t="n">
        <v>44774</v>
      </c>
      <c r="C111" s="1" t="n">
        <v>45961</v>
      </c>
      <c r="D111" t="inlineStr">
        <is>
          <t>KALMAR LÄN</t>
        </is>
      </c>
      <c r="E111" t="inlineStr">
        <is>
          <t>VIMMERBY</t>
        </is>
      </c>
      <c r="G111" t="n">
        <v>2.5</v>
      </c>
      <c r="H111" t="n">
        <v>0</v>
      </c>
      <c r="I111" t="n">
        <v>0</v>
      </c>
      <c r="J111" t="n">
        <v>0</v>
      </c>
      <c r="K111" t="n">
        <v>0</v>
      </c>
      <c r="L111" t="n">
        <v>0</v>
      </c>
      <c r="M111" t="n">
        <v>0</v>
      </c>
      <c r="N111" t="n">
        <v>0</v>
      </c>
      <c r="O111" t="n">
        <v>0</v>
      </c>
      <c r="P111" t="n">
        <v>0</v>
      </c>
      <c r="Q111" t="n">
        <v>0</v>
      </c>
      <c r="R111" s="2" t="inlineStr"/>
    </row>
    <row r="112" ht="15" customHeight="1">
      <c r="A112" t="inlineStr">
        <is>
          <t>A 25859-2022</t>
        </is>
      </c>
      <c r="B112" s="1" t="n">
        <v>44733</v>
      </c>
      <c r="C112" s="1" t="n">
        <v>45961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25868-2022</t>
        </is>
      </c>
      <c r="B113" s="1" t="n">
        <v>44733</v>
      </c>
      <c r="C113" s="1" t="n">
        <v>45961</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60810-2020</t>
        </is>
      </c>
      <c r="B114" s="1" t="n">
        <v>44154</v>
      </c>
      <c r="C114" s="1" t="n">
        <v>45961</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32386-2021</t>
        </is>
      </c>
      <c r="B115" s="1" t="n">
        <v>44371.62743055556</v>
      </c>
      <c r="C115" s="1" t="n">
        <v>45961</v>
      </c>
      <c r="D115" t="inlineStr">
        <is>
          <t>KALMAR LÄN</t>
        </is>
      </c>
      <c r="E115" t="inlineStr">
        <is>
          <t>VIMMERBY</t>
        </is>
      </c>
      <c r="G115" t="n">
        <v>1.6</v>
      </c>
      <c r="H115" t="n">
        <v>0</v>
      </c>
      <c r="I115" t="n">
        <v>0</v>
      </c>
      <c r="J115" t="n">
        <v>0</v>
      </c>
      <c r="K115" t="n">
        <v>0</v>
      </c>
      <c r="L115" t="n">
        <v>0</v>
      </c>
      <c r="M115" t="n">
        <v>0</v>
      </c>
      <c r="N115" t="n">
        <v>0</v>
      </c>
      <c r="O115" t="n">
        <v>0</v>
      </c>
      <c r="P115" t="n">
        <v>0</v>
      </c>
      <c r="Q115" t="n">
        <v>0</v>
      </c>
      <c r="R115" s="2" t="inlineStr"/>
    </row>
    <row r="116" ht="15" customHeight="1">
      <c r="A116" t="inlineStr">
        <is>
          <t>A 35633-2021</t>
        </is>
      </c>
      <c r="B116" s="1" t="n">
        <v>44386.40783564815</v>
      </c>
      <c r="C116" s="1" t="n">
        <v>45961</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56343-2021</t>
        </is>
      </c>
      <c r="B117" s="1" t="n">
        <v>44480</v>
      </c>
      <c r="C117" s="1" t="n">
        <v>45961</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8415-2021</t>
        </is>
      </c>
      <c r="B118" s="1" t="n">
        <v>44245</v>
      </c>
      <c r="C118" s="1" t="n">
        <v>45961</v>
      </c>
      <c r="D118" t="inlineStr">
        <is>
          <t>KALMAR LÄN</t>
        </is>
      </c>
      <c r="E118" t="inlineStr">
        <is>
          <t>VIMMERBY</t>
        </is>
      </c>
      <c r="G118" t="n">
        <v>4.7</v>
      </c>
      <c r="H118" t="n">
        <v>0</v>
      </c>
      <c r="I118" t="n">
        <v>0</v>
      </c>
      <c r="J118" t="n">
        <v>0</v>
      </c>
      <c r="K118" t="n">
        <v>0</v>
      </c>
      <c r="L118" t="n">
        <v>0</v>
      </c>
      <c r="M118" t="n">
        <v>0</v>
      </c>
      <c r="N118" t="n">
        <v>0</v>
      </c>
      <c r="O118" t="n">
        <v>0</v>
      </c>
      <c r="P118" t="n">
        <v>0</v>
      </c>
      <c r="Q118" t="n">
        <v>0</v>
      </c>
      <c r="R118" s="2" t="inlineStr"/>
    </row>
    <row r="119" ht="15" customHeight="1">
      <c r="A119" t="inlineStr">
        <is>
          <t>A 24369-2021</t>
        </is>
      </c>
      <c r="B119" s="1" t="n">
        <v>44337</v>
      </c>
      <c r="C119" s="1" t="n">
        <v>45961</v>
      </c>
      <c r="D119" t="inlineStr">
        <is>
          <t>KALMAR LÄN</t>
        </is>
      </c>
      <c r="E119" t="inlineStr">
        <is>
          <t>VIMMERBY</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51972-2021</t>
        </is>
      </c>
      <c r="B120" s="1" t="n">
        <v>44463.29439814815</v>
      </c>
      <c r="C120" s="1" t="n">
        <v>45961</v>
      </c>
      <c r="D120" t="inlineStr">
        <is>
          <t>KALMAR LÄN</t>
        </is>
      </c>
      <c r="E120" t="inlineStr">
        <is>
          <t>VIMMERBY</t>
        </is>
      </c>
      <c r="G120" t="n">
        <v>4.5</v>
      </c>
      <c r="H120" t="n">
        <v>0</v>
      </c>
      <c r="I120" t="n">
        <v>0</v>
      </c>
      <c r="J120" t="n">
        <v>0</v>
      </c>
      <c r="K120" t="n">
        <v>0</v>
      </c>
      <c r="L120" t="n">
        <v>0</v>
      </c>
      <c r="M120" t="n">
        <v>0</v>
      </c>
      <c r="N120" t="n">
        <v>0</v>
      </c>
      <c r="O120" t="n">
        <v>0</v>
      </c>
      <c r="P120" t="n">
        <v>0</v>
      </c>
      <c r="Q120" t="n">
        <v>0</v>
      </c>
      <c r="R120" s="2" t="inlineStr"/>
    </row>
    <row r="121" ht="15" customHeight="1">
      <c r="A121" t="inlineStr">
        <is>
          <t>A 14347-2021</t>
        </is>
      </c>
      <c r="B121" s="1" t="n">
        <v>44279.33400462963</v>
      </c>
      <c r="C121" s="1" t="n">
        <v>45961</v>
      </c>
      <c r="D121" t="inlineStr">
        <is>
          <t>KALMAR LÄN</t>
        </is>
      </c>
      <c r="E121" t="inlineStr">
        <is>
          <t>VIMMERBY</t>
        </is>
      </c>
      <c r="G121" t="n">
        <v>6.4</v>
      </c>
      <c r="H121" t="n">
        <v>0</v>
      </c>
      <c r="I121" t="n">
        <v>0</v>
      </c>
      <c r="J121" t="n">
        <v>0</v>
      </c>
      <c r="K121" t="n">
        <v>0</v>
      </c>
      <c r="L121" t="n">
        <v>0</v>
      </c>
      <c r="M121" t="n">
        <v>0</v>
      </c>
      <c r="N121" t="n">
        <v>0</v>
      </c>
      <c r="O121" t="n">
        <v>0</v>
      </c>
      <c r="P121" t="n">
        <v>0</v>
      </c>
      <c r="Q121" t="n">
        <v>0</v>
      </c>
      <c r="R121" s="2" t="inlineStr"/>
    </row>
    <row r="122" ht="15" customHeight="1">
      <c r="A122" t="inlineStr">
        <is>
          <t>A 4042-2022</t>
        </is>
      </c>
      <c r="B122" s="1" t="n">
        <v>44588</v>
      </c>
      <c r="C122" s="1" t="n">
        <v>45961</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33690-2022</t>
        </is>
      </c>
      <c r="B123" s="1" t="n">
        <v>44789</v>
      </c>
      <c r="C123" s="1" t="n">
        <v>45961</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56389-2021</t>
        </is>
      </c>
      <c r="B124" s="1" t="n">
        <v>44480</v>
      </c>
      <c r="C124" s="1" t="n">
        <v>45961</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35316-2021</t>
        </is>
      </c>
      <c r="B125" s="1" t="n">
        <v>44384</v>
      </c>
      <c r="C125" s="1" t="n">
        <v>45961</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33831-2022</t>
        </is>
      </c>
      <c r="B126" s="1" t="n">
        <v>44790.48503472222</v>
      </c>
      <c r="C126" s="1" t="n">
        <v>45961</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47708-2022</t>
        </is>
      </c>
      <c r="B127" s="1" t="n">
        <v>44854.59157407407</v>
      </c>
      <c r="C127" s="1" t="n">
        <v>45961</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3330-2021</t>
        </is>
      </c>
      <c r="B128" s="1" t="n">
        <v>44217.79856481482</v>
      </c>
      <c r="C128" s="1" t="n">
        <v>45961</v>
      </c>
      <c r="D128" t="inlineStr">
        <is>
          <t>KALMAR LÄN</t>
        </is>
      </c>
      <c r="E128" t="inlineStr">
        <is>
          <t>VIMMERBY</t>
        </is>
      </c>
      <c r="G128" t="n">
        <v>11.1</v>
      </c>
      <c r="H128" t="n">
        <v>0</v>
      </c>
      <c r="I128" t="n">
        <v>0</v>
      </c>
      <c r="J128" t="n">
        <v>0</v>
      </c>
      <c r="K128" t="n">
        <v>0</v>
      </c>
      <c r="L128" t="n">
        <v>0</v>
      </c>
      <c r="M128" t="n">
        <v>0</v>
      </c>
      <c r="N128" t="n">
        <v>0</v>
      </c>
      <c r="O128" t="n">
        <v>0</v>
      </c>
      <c r="P128" t="n">
        <v>0</v>
      </c>
      <c r="Q128" t="n">
        <v>0</v>
      </c>
      <c r="R128" s="2" t="inlineStr"/>
    </row>
    <row r="129" ht="15" customHeight="1">
      <c r="A129" t="inlineStr">
        <is>
          <t>A 9918-2022</t>
        </is>
      </c>
      <c r="B129" s="1" t="n">
        <v>44620</v>
      </c>
      <c r="C129" s="1" t="n">
        <v>45961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67952-2021</t>
        </is>
      </c>
      <c r="B130" s="1" t="n">
        <v>44525.63913194444</v>
      </c>
      <c r="C130" s="1" t="n">
        <v>45961</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14521-2021</t>
        </is>
      </c>
      <c r="B131" s="1" t="n">
        <v>44279.64934027778</v>
      </c>
      <c r="C131" s="1" t="n">
        <v>45961</v>
      </c>
      <c r="D131" t="inlineStr">
        <is>
          <t>KALMAR LÄN</t>
        </is>
      </c>
      <c r="E131" t="inlineStr">
        <is>
          <t>VIMMERBY</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45961</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165-2022</t>
        </is>
      </c>
      <c r="B133" s="1" t="n">
        <v>44564</v>
      </c>
      <c r="C133" s="1" t="n">
        <v>45961</v>
      </c>
      <c r="D133" t="inlineStr">
        <is>
          <t>KALMAR LÄN</t>
        </is>
      </c>
      <c r="E133" t="inlineStr">
        <is>
          <t>VIMMERBY</t>
        </is>
      </c>
      <c r="G133" t="n">
        <v>0.7</v>
      </c>
      <c r="H133" t="n">
        <v>0</v>
      </c>
      <c r="I133" t="n">
        <v>0</v>
      </c>
      <c r="J133" t="n">
        <v>0</v>
      </c>
      <c r="K133" t="n">
        <v>0</v>
      </c>
      <c r="L133" t="n">
        <v>0</v>
      </c>
      <c r="M133" t="n">
        <v>0</v>
      </c>
      <c r="N133" t="n">
        <v>0</v>
      </c>
      <c r="O133" t="n">
        <v>0</v>
      </c>
      <c r="P133" t="n">
        <v>0</v>
      </c>
      <c r="Q133" t="n">
        <v>0</v>
      </c>
      <c r="R133" s="2" t="inlineStr"/>
    </row>
    <row r="134" ht="15" customHeight="1">
      <c r="A134" t="inlineStr">
        <is>
          <t>A 618-2021</t>
        </is>
      </c>
      <c r="B134" s="1" t="n">
        <v>44203</v>
      </c>
      <c r="C134" s="1" t="n">
        <v>45961</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12241-2021</t>
        </is>
      </c>
      <c r="B135" s="1" t="n">
        <v>44266.7240625</v>
      </c>
      <c r="C135" s="1" t="n">
        <v>45961</v>
      </c>
      <c r="D135" t="inlineStr">
        <is>
          <t>KALMAR LÄN</t>
        </is>
      </c>
      <c r="E135" t="inlineStr">
        <is>
          <t>VIMMERBY</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12662-2021</t>
        </is>
      </c>
      <c r="B136" s="1" t="n">
        <v>44270.49743055556</v>
      </c>
      <c r="C136" s="1" t="n">
        <v>45961</v>
      </c>
      <c r="D136" t="inlineStr">
        <is>
          <t>KALMAR LÄN</t>
        </is>
      </c>
      <c r="E136" t="inlineStr">
        <is>
          <t>VIMMERBY</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34040-2021</t>
        </is>
      </c>
      <c r="B137" s="1" t="n">
        <v>44379</v>
      </c>
      <c r="C137" s="1" t="n">
        <v>45961</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15200-2021</t>
        </is>
      </c>
      <c r="B138" s="1" t="n">
        <v>44284.44574074074</v>
      </c>
      <c r="C138" s="1" t="n">
        <v>45961</v>
      </c>
      <c r="D138" t="inlineStr">
        <is>
          <t>KALMAR LÄN</t>
        </is>
      </c>
      <c r="E138" t="inlineStr">
        <is>
          <t>VIMMERBY</t>
        </is>
      </c>
      <c r="G138" t="n">
        <v>1.2</v>
      </c>
      <c r="H138" t="n">
        <v>0</v>
      </c>
      <c r="I138" t="n">
        <v>0</v>
      </c>
      <c r="J138" t="n">
        <v>0</v>
      </c>
      <c r="K138" t="n">
        <v>0</v>
      </c>
      <c r="L138" t="n">
        <v>0</v>
      </c>
      <c r="M138" t="n">
        <v>0</v>
      </c>
      <c r="N138" t="n">
        <v>0</v>
      </c>
      <c r="O138" t="n">
        <v>0</v>
      </c>
      <c r="P138" t="n">
        <v>0</v>
      </c>
      <c r="Q138" t="n">
        <v>0</v>
      </c>
      <c r="R138" s="2" t="inlineStr"/>
    </row>
    <row r="139" ht="15" customHeight="1">
      <c r="A139" t="inlineStr">
        <is>
          <t>A 12107-2022</t>
        </is>
      </c>
      <c r="B139" s="1" t="n">
        <v>44636</v>
      </c>
      <c r="C139" s="1" t="n">
        <v>45961</v>
      </c>
      <c r="D139" t="inlineStr">
        <is>
          <t>KALMAR LÄN</t>
        </is>
      </c>
      <c r="E139" t="inlineStr">
        <is>
          <t>VIMMERBY</t>
        </is>
      </c>
      <c r="G139" t="n">
        <v>1.8</v>
      </c>
      <c r="H139" t="n">
        <v>0</v>
      </c>
      <c r="I139" t="n">
        <v>0</v>
      </c>
      <c r="J139" t="n">
        <v>0</v>
      </c>
      <c r="K139" t="n">
        <v>0</v>
      </c>
      <c r="L139" t="n">
        <v>0</v>
      </c>
      <c r="M139" t="n">
        <v>0</v>
      </c>
      <c r="N139" t="n">
        <v>0</v>
      </c>
      <c r="O139" t="n">
        <v>0</v>
      </c>
      <c r="P139" t="n">
        <v>0</v>
      </c>
      <c r="Q139" t="n">
        <v>0</v>
      </c>
      <c r="R139" s="2" t="inlineStr"/>
    </row>
    <row r="140" ht="15" customHeight="1">
      <c r="A140" t="inlineStr">
        <is>
          <t>A 23825-2022</t>
        </is>
      </c>
      <c r="B140" s="1" t="n">
        <v>44722.48768518519</v>
      </c>
      <c r="C140" s="1" t="n">
        <v>45961</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32603-2021</t>
        </is>
      </c>
      <c r="B141" s="1" t="n">
        <v>44375.38789351852</v>
      </c>
      <c r="C141" s="1" t="n">
        <v>45961</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39225-2022</t>
        </is>
      </c>
      <c r="B142" s="1" t="n">
        <v>44817.57988425926</v>
      </c>
      <c r="C142" s="1" t="n">
        <v>45961</v>
      </c>
      <c r="D142" t="inlineStr">
        <is>
          <t>KALMAR LÄN</t>
        </is>
      </c>
      <c r="E142" t="inlineStr">
        <is>
          <t>VIMMERBY</t>
        </is>
      </c>
      <c r="G142" t="n">
        <v>2.2</v>
      </c>
      <c r="H142" t="n">
        <v>0</v>
      </c>
      <c r="I142" t="n">
        <v>0</v>
      </c>
      <c r="J142" t="n">
        <v>0</v>
      </c>
      <c r="K142" t="n">
        <v>0</v>
      </c>
      <c r="L142" t="n">
        <v>0</v>
      </c>
      <c r="M142" t="n">
        <v>0</v>
      </c>
      <c r="N142" t="n">
        <v>0</v>
      </c>
      <c r="O142" t="n">
        <v>0</v>
      </c>
      <c r="P142" t="n">
        <v>0</v>
      </c>
      <c r="Q142" t="n">
        <v>0</v>
      </c>
      <c r="R142" s="2" t="inlineStr"/>
    </row>
    <row r="143" ht="15" customHeight="1">
      <c r="A143" t="inlineStr">
        <is>
          <t>A 16602-2021</t>
        </is>
      </c>
      <c r="B143" s="1" t="n">
        <v>44294</v>
      </c>
      <c r="C143" s="1" t="n">
        <v>45961</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16607-2021</t>
        </is>
      </c>
      <c r="B144" s="1" t="n">
        <v>44294</v>
      </c>
      <c r="C144" s="1" t="n">
        <v>45961</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17029-2022</t>
        </is>
      </c>
      <c r="B145" s="1" t="n">
        <v>44676.85248842592</v>
      </c>
      <c r="C145" s="1" t="n">
        <v>45961</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36117-2021</t>
        </is>
      </c>
      <c r="B146" s="1" t="n">
        <v>44386</v>
      </c>
      <c r="C146" s="1" t="n">
        <v>45961</v>
      </c>
      <c r="D146" t="inlineStr">
        <is>
          <t>KALMAR LÄN</t>
        </is>
      </c>
      <c r="E146" t="inlineStr">
        <is>
          <t>VIMMERBY</t>
        </is>
      </c>
      <c r="G146" t="n">
        <v>0.7</v>
      </c>
      <c r="H146" t="n">
        <v>0</v>
      </c>
      <c r="I146" t="n">
        <v>0</v>
      </c>
      <c r="J146" t="n">
        <v>0</v>
      </c>
      <c r="K146" t="n">
        <v>0</v>
      </c>
      <c r="L146" t="n">
        <v>0</v>
      </c>
      <c r="M146" t="n">
        <v>0</v>
      </c>
      <c r="N146" t="n">
        <v>0</v>
      </c>
      <c r="O146" t="n">
        <v>0</v>
      </c>
      <c r="P146" t="n">
        <v>0</v>
      </c>
      <c r="Q146" t="n">
        <v>0</v>
      </c>
      <c r="R146" s="2" t="inlineStr"/>
    </row>
    <row r="147" ht="15" customHeight="1">
      <c r="A147" t="inlineStr">
        <is>
          <t>A 42521-2021</t>
        </is>
      </c>
      <c r="B147" s="1" t="n">
        <v>44427</v>
      </c>
      <c r="C147" s="1" t="n">
        <v>45961</v>
      </c>
      <c r="D147" t="inlineStr">
        <is>
          <t>KALMAR LÄN</t>
        </is>
      </c>
      <c r="E147" t="inlineStr">
        <is>
          <t>VIMMERBY</t>
        </is>
      </c>
      <c r="G147" t="n">
        <v>5.4</v>
      </c>
      <c r="H147" t="n">
        <v>0</v>
      </c>
      <c r="I147" t="n">
        <v>0</v>
      </c>
      <c r="J147" t="n">
        <v>0</v>
      </c>
      <c r="K147" t="n">
        <v>0</v>
      </c>
      <c r="L147" t="n">
        <v>0</v>
      </c>
      <c r="M147" t="n">
        <v>0</v>
      </c>
      <c r="N147" t="n">
        <v>0</v>
      </c>
      <c r="O147" t="n">
        <v>0</v>
      </c>
      <c r="P147" t="n">
        <v>0</v>
      </c>
      <c r="Q147" t="n">
        <v>0</v>
      </c>
      <c r="R147" s="2" t="inlineStr"/>
    </row>
    <row r="148" ht="15" customHeight="1">
      <c r="A148" t="inlineStr">
        <is>
          <t>A 7167-2022</t>
        </is>
      </c>
      <c r="B148" s="1" t="n">
        <v>44604</v>
      </c>
      <c r="C148" s="1" t="n">
        <v>45961</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18356-2021</t>
        </is>
      </c>
      <c r="B149" s="1" t="n">
        <v>44305</v>
      </c>
      <c r="C149" s="1" t="n">
        <v>45961</v>
      </c>
      <c r="D149" t="inlineStr">
        <is>
          <t>KALMAR LÄN</t>
        </is>
      </c>
      <c r="E149" t="inlineStr">
        <is>
          <t>VIMMERBY</t>
        </is>
      </c>
      <c r="G149" t="n">
        <v>3.4</v>
      </c>
      <c r="H149" t="n">
        <v>0</v>
      </c>
      <c r="I149" t="n">
        <v>0</v>
      </c>
      <c r="J149" t="n">
        <v>0</v>
      </c>
      <c r="K149" t="n">
        <v>0</v>
      </c>
      <c r="L149" t="n">
        <v>0</v>
      </c>
      <c r="M149" t="n">
        <v>0</v>
      </c>
      <c r="N149" t="n">
        <v>0</v>
      </c>
      <c r="O149" t="n">
        <v>0</v>
      </c>
      <c r="P149" t="n">
        <v>0</v>
      </c>
      <c r="Q149" t="n">
        <v>0</v>
      </c>
      <c r="R149" s="2" t="inlineStr"/>
    </row>
    <row r="150" ht="15" customHeight="1">
      <c r="A150" t="inlineStr">
        <is>
          <t>A 57948-2020</t>
        </is>
      </c>
      <c r="B150" s="1" t="n">
        <v>44142</v>
      </c>
      <c r="C150" s="1" t="n">
        <v>45961</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18276-2021</t>
        </is>
      </c>
      <c r="B151" s="1" t="n">
        <v>44305.40046296296</v>
      </c>
      <c r="C151" s="1" t="n">
        <v>45961</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35001-2021</t>
        </is>
      </c>
      <c r="B152" s="1" t="n">
        <v>44383</v>
      </c>
      <c r="C152" s="1" t="n">
        <v>45961</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47473-2021</t>
        </is>
      </c>
      <c r="B153" s="1" t="n">
        <v>44447</v>
      </c>
      <c r="C153" s="1" t="n">
        <v>45961</v>
      </c>
      <c r="D153" t="inlineStr">
        <is>
          <t>KALMAR LÄN</t>
        </is>
      </c>
      <c r="E153" t="inlineStr">
        <is>
          <t>VIMMERBY</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46964-2022</t>
        </is>
      </c>
      <c r="B154" s="1" t="n">
        <v>44851.95016203704</v>
      </c>
      <c r="C154" s="1" t="n">
        <v>45961</v>
      </c>
      <c r="D154" t="inlineStr">
        <is>
          <t>KALMAR LÄN</t>
        </is>
      </c>
      <c r="E154" t="inlineStr">
        <is>
          <t>VIMMERBY</t>
        </is>
      </c>
      <c r="G154" t="n">
        <v>0.2</v>
      </c>
      <c r="H154" t="n">
        <v>0</v>
      </c>
      <c r="I154" t="n">
        <v>0</v>
      </c>
      <c r="J154" t="n">
        <v>0</v>
      </c>
      <c r="K154" t="n">
        <v>0</v>
      </c>
      <c r="L154" t="n">
        <v>0</v>
      </c>
      <c r="M154" t="n">
        <v>0</v>
      </c>
      <c r="N154" t="n">
        <v>0</v>
      </c>
      <c r="O154" t="n">
        <v>0</v>
      </c>
      <c r="P154" t="n">
        <v>0</v>
      </c>
      <c r="Q154" t="n">
        <v>0</v>
      </c>
      <c r="R154" s="2" t="inlineStr"/>
    </row>
    <row r="155" ht="15" customHeight="1">
      <c r="A155" t="inlineStr">
        <is>
          <t>A 55674-2021</t>
        </is>
      </c>
      <c r="B155" s="1" t="n">
        <v>44476</v>
      </c>
      <c r="C155" s="1" t="n">
        <v>45961</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45961</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13180-2022</t>
        </is>
      </c>
      <c r="B157" s="1" t="n">
        <v>44644</v>
      </c>
      <c r="C157" s="1" t="n">
        <v>45961</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45961</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41056-2022</t>
        </is>
      </c>
      <c r="B159" s="1" t="n">
        <v>44824</v>
      </c>
      <c r="C159" s="1" t="n">
        <v>45961</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31660-2021</t>
        </is>
      </c>
      <c r="B160" s="1" t="n">
        <v>44369</v>
      </c>
      <c r="C160" s="1" t="n">
        <v>45961</v>
      </c>
      <c r="D160" t="inlineStr">
        <is>
          <t>KALMAR LÄN</t>
        </is>
      </c>
      <c r="E160" t="inlineStr">
        <is>
          <t>VIMMERBY</t>
        </is>
      </c>
      <c r="G160" t="n">
        <v>4.2</v>
      </c>
      <c r="H160" t="n">
        <v>0</v>
      </c>
      <c r="I160" t="n">
        <v>0</v>
      </c>
      <c r="J160" t="n">
        <v>0</v>
      </c>
      <c r="K160" t="n">
        <v>0</v>
      </c>
      <c r="L160" t="n">
        <v>0</v>
      </c>
      <c r="M160" t="n">
        <v>0</v>
      </c>
      <c r="N160" t="n">
        <v>0</v>
      </c>
      <c r="O160" t="n">
        <v>0</v>
      </c>
      <c r="P160" t="n">
        <v>0</v>
      </c>
      <c r="Q160" t="n">
        <v>0</v>
      </c>
      <c r="R160" s="2" t="inlineStr"/>
    </row>
    <row r="161" ht="15" customHeight="1">
      <c r="A161" t="inlineStr">
        <is>
          <t>A 27455-2022</t>
        </is>
      </c>
      <c r="B161" s="1" t="n">
        <v>44742</v>
      </c>
      <c r="C161" s="1" t="n">
        <v>45961</v>
      </c>
      <c r="D161" t="inlineStr">
        <is>
          <t>KALMAR LÄN</t>
        </is>
      </c>
      <c r="E161" t="inlineStr">
        <is>
          <t>VIMMERBY</t>
        </is>
      </c>
      <c r="G161" t="n">
        <v>1.6</v>
      </c>
      <c r="H161" t="n">
        <v>0</v>
      </c>
      <c r="I161" t="n">
        <v>0</v>
      </c>
      <c r="J161" t="n">
        <v>0</v>
      </c>
      <c r="K161" t="n">
        <v>0</v>
      </c>
      <c r="L161" t="n">
        <v>0</v>
      </c>
      <c r="M161" t="n">
        <v>0</v>
      </c>
      <c r="N161" t="n">
        <v>0</v>
      </c>
      <c r="O161" t="n">
        <v>0</v>
      </c>
      <c r="P161" t="n">
        <v>0</v>
      </c>
      <c r="Q161" t="n">
        <v>0</v>
      </c>
      <c r="R161" s="2" t="inlineStr"/>
    </row>
    <row r="162" ht="15" customHeight="1">
      <c r="A162" t="inlineStr">
        <is>
          <t>A 42850-2022</t>
        </is>
      </c>
      <c r="B162" s="1" t="n">
        <v>44832.67608796297</v>
      </c>
      <c r="C162" s="1" t="n">
        <v>45961</v>
      </c>
      <c r="D162" t="inlineStr">
        <is>
          <t>KALMAR LÄN</t>
        </is>
      </c>
      <c r="E162" t="inlineStr">
        <is>
          <t>VIMMERBY</t>
        </is>
      </c>
      <c r="G162" t="n">
        <v>5.9</v>
      </c>
      <c r="H162" t="n">
        <v>0</v>
      </c>
      <c r="I162" t="n">
        <v>0</v>
      </c>
      <c r="J162" t="n">
        <v>0</v>
      </c>
      <c r="K162" t="n">
        <v>0</v>
      </c>
      <c r="L162" t="n">
        <v>0</v>
      </c>
      <c r="M162" t="n">
        <v>0</v>
      </c>
      <c r="N162" t="n">
        <v>0</v>
      </c>
      <c r="O162" t="n">
        <v>0</v>
      </c>
      <c r="P162" t="n">
        <v>0</v>
      </c>
      <c r="Q162" t="n">
        <v>0</v>
      </c>
      <c r="R162" s="2" t="inlineStr"/>
    </row>
    <row r="163" ht="15" customHeight="1">
      <c r="A163" t="inlineStr">
        <is>
          <t>A 48377-2021</t>
        </is>
      </c>
      <c r="B163" s="1" t="n">
        <v>44451.8375</v>
      </c>
      <c r="C163" s="1" t="n">
        <v>45961</v>
      </c>
      <c r="D163" t="inlineStr">
        <is>
          <t>KALMAR LÄN</t>
        </is>
      </c>
      <c r="E163" t="inlineStr">
        <is>
          <t>VIMMERBY</t>
        </is>
      </c>
      <c r="G163" t="n">
        <v>0.4</v>
      </c>
      <c r="H163" t="n">
        <v>0</v>
      </c>
      <c r="I163" t="n">
        <v>0</v>
      </c>
      <c r="J163" t="n">
        <v>0</v>
      </c>
      <c r="K163" t="n">
        <v>0</v>
      </c>
      <c r="L163" t="n">
        <v>0</v>
      </c>
      <c r="M163" t="n">
        <v>0</v>
      </c>
      <c r="N163" t="n">
        <v>0</v>
      </c>
      <c r="O163" t="n">
        <v>0</v>
      </c>
      <c r="P163" t="n">
        <v>0</v>
      </c>
      <c r="Q163" t="n">
        <v>0</v>
      </c>
      <c r="R163" s="2" t="inlineStr"/>
    </row>
    <row r="164" ht="15" customHeight="1">
      <c r="A164" t="inlineStr">
        <is>
          <t>A 40472-2022</t>
        </is>
      </c>
      <c r="B164" s="1" t="n">
        <v>44823</v>
      </c>
      <c r="C164" s="1" t="n">
        <v>45961</v>
      </c>
      <c r="D164" t="inlineStr">
        <is>
          <t>KALMAR LÄN</t>
        </is>
      </c>
      <c r="E164" t="inlineStr">
        <is>
          <t>VIMMERBY</t>
        </is>
      </c>
      <c r="G164" t="n">
        <v>2</v>
      </c>
      <c r="H164" t="n">
        <v>0</v>
      </c>
      <c r="I164" t="n">
        <v>0</v>
      </c>
      <c r="J164" t="n">
        <v>0</v>
      </c>
      <c r="K164" t="n">
        <v>0</v>
      </c>
      <c r="L164" t="n">
        <v>0</v>
      </c>
      <c r="M164" t="n">
        <v>0</v>
      </c>
      <c r="N164" t="n">
        <v>0</v>
      </c>
      <c r="O164" t="n">
        <v>0</v>
      </c>
      <c r="P164" t="n">
        <v>0</v>
      </c>
      <c r="Q164" t="n">
        <v>0</v>
      </c>
      <c r="R164" s="2" t="inlineStr"/>
    </row>
    <row r="165" ht="15" customHeight="1">
      <c r="A165" t="inlineStr">
        <is>
          <t>A 10086-2022</t>
        </is>
      </c>
      <c r="B165" s="1" t="n">
        <v>44621</v>
      </c>
      <c r="C165" s="1" t="n">
        <v>45961</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65564-2020</t>
        </is>
      </c>
      <c r="B166" s="1" t="n">
        <v>44172</v>
      </c>
      <c r="C166" s="1" t="n">
        <v>45961</v>
      </c>
      <c r="D166" t="inlineStr">
        <is>
          <t>KALMAR LÄN</t>
        </is>
      </c>
      <c r="E166" t="inlineStr">
        <is>
          <t>VIMMERBY</t>
        </is>
      </c>
      <c r="G166" t="n">
        <v>4.1</v>
      </c>
      <c r="H166" t="n">
        <v>0</v>
      </c>
      <c r="I166" t="n">
        <v>0</v>
      </c>
      <c r="J166" t="n">
        <v>0</v>
      </c>
      <c r="K166" t="n">
        <v>0</v>
      </c>
      <c r="L166" t="n">
        <v>0</v>
      </c>
      <c r="M166" t="n">
        <v>0</v>
      </c>
      <c r="N166" t="n">
        <v>0</v>
      </c>
      <c r="O166" t="n">
        <v>0</v>
      </c>
      <c r="P166" t="n">
        <v>0</v>
      </c>
      <c r="Q166" t="n">
        <v>0</v>
      </c>
      <c r="R166" s="2" t="inlineStr"/>
    </row>
    <row r="167" ht="15" customHeight="1">
      <c r="A167" t="inlineStr">
        <is>
          <t>A 1987-2024</t>
        </is>
      </c>
      <c r="B167" s="1" t="n">
        <v>45308.61152777778</v>
      </c>
      <c r="C167" s="1" t="n">
        <v>45961</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527-2024</t>
        </is>
      </c>
      <c r="B168" s="1" t="n">
        <v>45299.47513888889</v>
      </c>
      <c r="C168" s="1" t="n">
        <v>45961</v>
      </c>
      <c r="D168" t="inlineStr">
        <is>
          <t>KALMAR LÄN</t>
        </is>
      </c>
      <c r="E168" t="inlineStr">
        <is>
          <t>VIMMERBY</t>
        </is>
      </c>
      <c r="G168" t="n">
        <v>2.2</v>
      </c>
      <c r="H168" t="n">
        <v>0</v>
      </c>
      <c r="I168" t="n">
        <v>0</v>
      </c>
      <c r="J168" t="n">
        <v>0</v>
      </c>
      <c r="K168" t="n">
        <v>0</v>
      </c>
      <c r="L168" t="n">
        <v>0</v>
      </c>
      <c r="M168" t="n">
        <v>0</v>
      </c>
      <c r="N168" t="n">
        <v>0</v>
      </c>
      <c r="O168" t="n">
        <v>0</v>
      </c>
      <c r="P168" t="n">
        <v>0</v>
      </c>
      <c r="Q168" t="n">
        <v>0</v>
      </c>
      <c r="R168" s="2" t="inlineStr"/>
    </row>
    <row r="169" ht="15" customHeight="1">
      <c r="A169" t="inlineStr">
        <is>
          <t>A 46078-2023</t>
        </is>
      </c>
      <c r="B169" s="1" t="n">
        <v>45196</v>
      </c>
      <c r="C169" s="1" t="n">
        <v>45961</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7643-2022</t>
        </is>
      </c>
      <c r="B170" s="1" t="n">
        <v>44607</v>
      </c>
      <c r="C170" s="1" t="n">
        <v>45961</v>
      </c>
      <c r="D170" t="inlineStr">
        <is>
          <t>KALMAR LÄN</t>
        </is>
      </c>
      <c r="E170" t="inlineStr">
        <is>
          <t>VIMMERBY</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53145-2022</t>
        </is>
      </c>
      <c r="B171" s="1" t="n">
        <v>44876.48346064815</v>
      </c>
      <c r="C171" s="1" t="n">
        <v>45961</v>
      </c>
      <c r="D171" t="inlineStr">
        <is>
          <t>KALMAR LÄN</t>
        </is>
      </c>
      <c r="E171" t="inlineStr">
        <is>
          <t>VIMMERBY</t>
        </is>
      </c>
      <c r="G171" t="n">
        <v>0.4</v>
      </c>
      <c r="H171" t="n">
        <v>0</v>
      </c>
      <c r="I171" t="n">
        <v>0</v>
      </c>
      <c r="J171" t="n">
        <v>0</v>
      </c>
      <c r="K171" t="n">
        <v>0</v>
      </c>
      <c r="L171" t="n">
        <v>0</v>
      </c>
      <c r="M171" t="n">
        <v>0</v>
      </c>
      <c r="N171" t="n">
        <v>0</v>
      </c>
      <c r="O171" t="n">
        <v>0</v>
      </c>
      <c r="P171" t="n">
        <v>0</v>
      </c>
      <c r="Q171" t="n">
        <v>0</v>
      </c>
      <c r="R171" s="2" t="inlineStr"/>
    </row>
    <row r="172" ht="15" customHeight="1">
      <c r="A172" t="inlineStr">
        <is>
          <t>A 25738-2022</t>
        </is>
      </c>
      <c r="B172" s="1" t="n">
        <v>44733.43092592592</v>
      </c>
      <c r="C172" s="1" t="n">
        <v>45961</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3494-2023</t>
        </is>
      </c>
      <c r="B173" s="1" t="n">
        <v>44949</v>
      </c>
      <c r="C173" s="1" t="n">
        <v>45961</v>
      </c>
      <c r="D173" t="inlineStr">
        <is>
          <t>KALMAR LÄN</t>
        </is>
      </c>
      <c r="E173" t="inlineStr">
        <is>
          <t>VIMMERBY</t>
        </is>
      </c>
      <c r="F173" t="inlineStr">
        <is>
          <t>Kyrkan</t>
        </is>
      </c>
      <c r="G173" t="n">
        <v>0.8</v>
      </c>
      <c r="H173" t="n">
        <v>0</v>
      </c>
      <c r="I173" t="n">
        <v>0</v>
      </c>
      <c r="J173" t="n">
        <v>0</v>
      </c>
      <c r="K173" t="n">
        <v>0</v>
      </c>
      <c r="L173" t="n">
        <v>0</v>
      </c>
      <c r="M173" t="n">
        <v>0</v>
      </c>
      <c r="N173" t="n">
        <v>0</v>
      </c>
      <c r="O173" t="n">
        <v>0</v>
      </c>
      <c r="P173" t="n">
        <v>0</v>
      </c>
      <c r="Q173" t="n">
        <v>0</v>
      </c>
      <c r="R173" s="2" t="inlineStr"/>
    </row>
    <row r="174" ht="15" customHeight="1">
      <c r="A174" t="inlineStr">
        <is>
          <t>A 32633-2023</t>
        </is>
      </c>
      <c r="B174" s="1" t="n">
        <v>45121.58699074074</v>
      </c>
      <c r="C174" s="1" t="n">
        <v>45961</v>
      </c>
      <c r="D174" t="inlineStr">
        <is>
          <t>KALMAR LÄN</t>
        </is>
      </c>
      <c r="E174" t="inlineStr">
        <is>
          <t>VIMMERBY</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37192-2024</t>
        </is>
      </c>
      <c r="B175" s="1" t="n">
        <v>45539.66027777778</v>
      </c>
      <c r="C175" s="1" t="n">
        <v>45961</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8194-2022</t>
        </is>
      </c>
      <c r="B176" s="1" t="n">
        <v>44609</v>
      </c>
      <c r="C176" s="1" t="n">
        <v>45961</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15191-2021</t>
        </is>
      </c>
      <c r="B177" s="1" t="n">
        <v>44284.42348379629</v>
      </c>
      <c r="C177" s="1" t="n">
        <v>45961</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35198-2021</t>
        </is>
      </c>
      <c r="B178" s="1" t="n">
        <v>44377</v>
      </c>
      <c r="C178" s="1" t="n">
        <v>45961</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43601-2024</t>
        </is>
      </c>
      <c r="B179" s="1" t="n">
        <v>45569.44684027778</v>
      </c>
      <c r="C179" s="1" t="n">
        <v>45961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40971-2021</t>
        </is>
      </c>
      <c r="B180" s="1" t="n">
        <v>44421</v>
      </c>
      <c r="C180" s="1" t="n">
        <v>45961</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68744-2020</t>
        </is>
      </c>
      <c r="B181" s="1" t="n">
        <v>44186</v>
      </c>
      <c r="C181" s="1" t="n">
        <v>45961</v>
      </c>
      <c r="D181" t="inlineStr">
        <is>
          <t>KALMAR LÄN</t>
        </is>
      </c>
      <c r="E181" t="inlineStr">
        <is>
          <t>VIMMERBY</t>
        </is>
      </c>
      <c r="G181" t="n">
        <v>2.5</v>
      </c>
      <c r="H181" t="n">
        <v>0</v>
      </c>
      <c r="I181" t="n">
        <v>0</v>
      </c>
      <c r="J181" t="n">
        <v>0</v>
      </c>
      <c r="K181" t="n">
        <v>0</v>
      </c>
      <c r="L181" t="n">
        <v>0</v>
      </c>
      <c r="M181" t="n">
        <v>0</v>
      </c>
      <c r="N181" t="n">
        <v>0</v>
      </c>
      <c r="O181" t="n">
        <v>0</v>
      </c>
      <c r="P181" t="n">
        <v>0</v>
      </c>
      <c r="Q181" t="n">
        <v>0</v>
      </c>
      <c r="R181" s="2" t="inlineStr"/>
    </row>
    <row r="182" ht="15" customHeight="1">
      <c r="A182" t="inlineStr">
        <is>
          <t>A 13457-2021</t>
        </is>
      </c>
      <c r="B182" s="1" t="n">
        <v>44273</v>
      </c>
      <c r="C182" s="1" t="n">
        <v>45961</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45961</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13813-2024</t>
        </is>
      </c>
      <c r="B184" s="1" t="n">
        <v>45391.41310185185</v>
      </c>
      <c r="C184" s="1" t="n">
        <v>45961</v>
      </c>
      <c r="D184" t="inlineStr">
        <is>
          <t>KALMAR LÄN</t>
        </is>
      </c>
      <c r="E184" t="inlineStr">
        <is>
          <t>VIMMERBY</t>
        </is>
      </c>
      <c r="G184" t="n">
        <v>0.4</v>
      </c>
      <c r="H184" t="n">
        <v>0</v>
      </c>
      <c r="I184" t="n">
        <v>0</v>
      </c>
      <c r="J184" t="n">
        <v>0</v>
      </c>
      <c r="K184" t="n">
        <v>0</v>
      </c>
      <c r="L184" t="n">
        <v>0</v>
      </c>
      <c r="M184" t="n">
        <v>0</v>
      </c>
      <c r="N184" t="n">
        <v>0</v>
      </c>
      <c r="O184" t="n">
        <v>0</v>
      </c>
      <c r="P184" t="n">
        <v>0</v>
      </c>
      <c r="Q184" t="n">
        <v>0</v>
      </c>
      <c r="R184" s="2" t="inlineStr"/>
    </row>
    <row r="185" ht="15" customHeight="1">
      <c r="A185" t="inlineStr">
        <is>
          <t>A 25234-2023</t>
        </is>
      </c>
      <c r="B185" s="1" t="n">
        <v>45086.63194444445</v>
      </c>
      <c r="C185" s="1" t="n">
        <v>45961</v>
      </c>
      <c r="D185" t="inlineStr">
        <is>
          <t>KALMAR LÄN</t>
        </is>
      </c>
      <c r="E185" t="inlineStr">
        <is>
          <t>VIMMERBY</t>
        </is>
      </c>
      <c r="G185" t="n">
        <v>2.1</v>
      </c>
      <c r="H185" t="n">
        <v>0</v>
      </c>
      <c r="I185" t="n">
        <v>0</v>
      </c>
      <c r="J185" t="n">
        <v>0</v>
      </c>
      <c r="K185" t="n">
        <v>0</v>
      </c>
      <c r="L185" t="n">
        <v>0</v>
      </c>
      <c r="M185" t="n">
        <v>0</v>
      </c>
      <c r="N185" t="n">
        <v>0</v>
      </c>
      <c r="O185" t="n">
        <v>0</v>
      </c>
      <c r="P185" t="n">
        <v>0</v>
      </c>
      <c r="Q185" t="n">
        <v>0</v>
      </c>
      <c r="R185" s="2" t="inlineStr"/>
    </row>
    <row r="186" ht="15" customHeight="1">
      <c r="A186" t="inlineStr">
        <is>
          <t>A 25236-2023</t>
        </is>
      </c>
      <c r="B186" s="1" t="n">
        <v>45086.63334490741</v>
      </c>
      <c r="C186" s="1" t="n">
        <v>45961</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8453-2022</t>
        </is>
      </c>
      <c r="B187" s="1" t="n">
        <v>44612.86554398148</v>
      </c>
      <c r="C187" s="1" t="n">
        <v>45961</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47063-2022</t>
        </is>
      </c>
      <c r="B188" s="1" t="n">
        <v>44852</v>
      </c>
      <c r="C188" s="1" t="n">
        <v>45961</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45961</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45961</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12819-2024</t>
        </is>
      </c>
      <c r="B191" s="1" t="n">
        <v>45384.66917824074</v>
      </c>
      <c r="C191" s="1" t="n">
        <v>45961</v>
      </c>
      <c r="D191" t="inlineStr">
        <is>
          <t>KALMAR LÄN</t>
        </is>
      </c>
      <c r="E191" t="inlineStr">
        <is>
          <t>VIMMERBY</t>
        </is>
      </c>
      <c r="G191" t="n">
        <v>5.1</v>
      </c>
      <c r="H191" t="n">
        <v>0</v>
      </c>
      <c r="I191" t="n">
        <v>0</v>
      </c>
      <c r="J191" t="n">
        <v>0</v>
      </c>
      <c r="K191" t="n">
        <v>0</v>
      </c>
      <c r="L191" t="n">
        <v>0</v>
      </c>
      <c r="M191" t="n">
        <v>0</v>
      </c>
      <c r="N191" t="n">
        <v>0</v>
      </c>
      <c r="O191" t="n">
        <v>0</v>
      </c>
      <c r="P191" t="n">
        <v>0</v>
      </c>
      <c r="Q191" t="n">
        <v>0</v>
      </c>
      <c r="R191" s="2" t="inlineStr"/>
    </row>
    <row r="192" ht="15" customHeight="1">
      <c r="A192" t="inlineStr">
        <is>
          <t>A 54065-2021</t>
        </is>
      </c>
      <c r="B192" s="1" t="n">
        <v>44470.44232638889</v>
      </c>
      <c r="C192" s="1" t="n">
        <v>45961</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25244-2023</t>
        </is>
      </c>
      <c r="B193" s="1" t="n">
        <v>45086</v>
      </c>
      <c r="C193" s="1" t="n">
        <v>45961</v>
      </c>
      <c r="D193" t="inlineStr">
        <is>
          <t>KALMAR LÄN</t>
        </is>
      </c>
      <c r="E193" t="inlineStr">
        <is>
          <t>VIMMERBY</t>
        </is>
      </c>
      <c r="G193" t="n">
        <v>4.7</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45961</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45961</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23341-2022</t>
        </is>
      </c>
      <c r="B196" s="1" t="n">
        <v>44720.53898148148</v>
      </c>
      <c r="C196" s="1" t="n">
        <v>45961</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8086-2021</t>
        </is>
      </c>
      <c r="B197" s="1" t="n">
        <v>44243</v>
      </c>
      <c r="C197" s="1" t="n">
        <v>45961</v>
      </c>
      <c r="D197" t="inlineStr">
        <is>
          <t>KALMAR LÄN</t>
        </is>
      </c>
      <c r="E197" t="inlineStr">
        <is>
          <t>VIMMERBY</t>
        </is>
      </c>
      <c r="G197" t="n">
        <v>4.1</v>
      </c>
      <c r="H197" t="n">
        <v>0</v>
      </c>
      <c r="I197" t="n">
        <v>0</v>
      </c>
      <c r="J197" t="n">
        <v>0</v>
      </c>
      <c r="K197" t="n">
        <v>0</v>
      </c>
      <c r="L197" t="n">
        <v>0</v>
      </c>
      <c r="M197" t="n">
        <v>0</v>
      </c>
      <c r="N197" t="n">
        <v>0</v>
      </c>
      <c r="O197" t="n">
        <v>0</v>
      </c>
      <c r="P197" t="n">
        <v>0</v>
      </c>
      <c r="Q197" t="n">
        <v>0</v>
      </c>
      <c r="R197" s="2" t="inlineStr"/>
    </row>
    <row r="198" ht="15" customHeight="1">
      <c r="A198" t="inlineStr">
        <is>
          <t>A 31382-2023</t>
        </is>
      </c>
      <c r="B198" s="1" t="n">
        <v>45114.55136574074</v>
      </c>
      <c r="C198" s="1" t="n">
        <v>45961</v>
      </c>
      <c r="D198" t="inlineStr">
        <is>
          <t>KALMAR LÄN</t>
        </is>
      </c>
      <c r="E198" t="inlineStr">
        <is>
          <t>VIMMERBY</t>
        </is>
      </c>
      <c r="G198" t="n">
        <v>3.7</v>
      </c>
      <c r="H198" t="n">
        <v>0</v>
      </c>
      <c r="I198" t="n">
        <v>0</v>
      </c>
      <c r="J198" t="n">
        <v>0</v>
      </c>
      <c r="K198" t="n">
        <v>0</v>
      </c>
      <c r="L198" t="n">
        <v>0</v>
      </c>
      <c r="M198" t="n">
        <v>0</v>
      </c>
      <c r="N198" t="n">
        <v>0</v>
      </c>
      <c r="O198" t="n">
        <v>0</v>
      </c>
      <c r="P198" t="n">
        <v>0</v>
      </c>
      <c r="Q198" t="n">
        <v>0</v>
      </c>
      <c r="R198" s="2" t="inlineStr"/>
    </row>
    <row r="199" ht="15" customHeight="1">
      <c r="A199" t="inlineStr">
        <is>
          <t>A 7804-2022</t>
        </is>
      </c>
      <c r="B199" s="1" t="n">
        <v>44608.50458333334</v>
      </c>
      <c r="C199" s="1" t="n">
        <v>45961</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11073-2023</t>
        </is>
      </c>
      <c r="B200" s="1" t="n">
        <v>44992</v>
      </c>
      <c r="C200" s="1" t="n">
        <v>45961</v>
      </c>
      <c r="D200" t="inlineStr">
        <is>
          <t>KALMAR LÄN</t>
        </is>
      </c>
      <c r="E200" t="inlineStr">
        <is>
          <t>VIMMERBY</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39042-2022</t>
        </is>
      </c>
      <c r="B201" s="1" t="n">
        <v>44817</v>
      </c>
      <c r="C201" s="1" t="n">
        <v>45961</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34036-2021</t>
        </is>
      </c>
      <c r="B202" s="1" t="n">
        <v>44379</v>
      </c>
      <c r="C202" s="1" t="n">
        <v>45961</v>
      </c>
      <c r="D202" t="inlineStr">
        <is>
          <t>KALMAR LÄN</t>
        </is>
      </c>
      <c r="E202" t="inlineStr">
        <is>
          <t>VIMMERBY</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16288-2021</t>
        </is>
      </c>
      <c r="B203" s="1" t="n">
        <v>44292</v>
      </c>
      <c r="C203" s="1" t="n">
        <v>45961</v>
      </c>
      <c r="D203" t="inlineStr">
        <is>
          <t>KALMAR LÄN</t>
        </is>
      </c>
      <c r="E203" t="inlineStr">
        <is>
          <t>VIMMERBY</t>
        </is>
      </c>
      <c r="F203" t="inlineStr">
        <is>
          <t>Övriga Aktiebolag</t>
        </is>
      </c>
      <c r="G203" t="n">
        <v>27.6</v>
      </c>
      <c r="H203" t="n">
        <v>0</v>
      </c>
      <c r="I203" t="n">
        <v>0</v>
      </c>
      <c r="J203" t="n">
        <v>0</v>
      </c>
      <c r="K203" t="n">
        <v>0</v>
      </c>
      <c r="L203" t="n">
        <v>0</v>
      </c>
      <c r="M203" t="n">
        <v>0</v>
      </c>
      <c r="N203" t="n">
        <v>0</v>
      </c>
      <c r="O203" t="n">
        <v>0</v>
      </c>
      <c r="P203" t="n">
        <v>0</v>
      </c>
      <c r="Q203" t="n">
        <v>0</v>
      </c>
      <c r="R203" s="2" t="inlineStr"/>
    </row>
    <row r="204" ht="15" customHeight="1">
      <c r="A204" t="inlineStr">
        <is>
          <t>A 29441-2024</t>
        </is>
      </c>
      <c r="B204" s="1" t="n">
        <v>45483.82834490741</v>
      </c>
      <c r="C204" s="1" t="n">
        <v>45961</v>
      </c>
      <c r="D204" t="inlineStr">
        <is>
          <t>KALMAR LÄN</t>
        </is>
      </c>
      <c r="E204" t="inlineStr">
        <is>
          <t>VIMMERBY</t>
        </is>
      </c>
      <c r="G204" t="n">
        <v>1.3</v>
      </c>
      <c r="H204" t="n">
        <v>0</v>
      </c>
      <c r="I204" t="n">
        <v>0</v>
      </c>
      <c r="J204" t="n">
        <v>0</v>
      </c>
      <c r="K204" t="n">
        <v>0</v>
      </c>
      <c r="L204" t="n">
        <v>0</v>
      </c>
      <c r="M204" t="n">
        <v>0</v>
      </c>
      <c r="N204" t="n">
        <v>0</v>
      </c>
      <c r="O204" t="n">
        <v>0</v>
      </c>
      <c r="P204" t="n">
        <v>0</v>
      </c>
      <c r="Q204" t="n">
        <v>0</v>
      </c>
      <c r="R204" s="2" t="inlineStr"/>
    </row>
    <row r="205" ht="15" customHeight="1">
      <c r="A205" t="inlineStr">
        <is>
          <t>A 71793-2021</t>
        </is>
      </c>
      <c r="B205" s="1" t="n">
        <v>44539</v>
      </c>
      <c r="C205" s="1" t="n">
        <v>45961</v>
      </c>
      <c r="D205" t="inlineStr">
        <is>
          <t>KALMAR LÄN</t>
        </is>
      </c>
      <c r="E205" t="inlineStr">
        <is>
          <t>VIMMERBY</t>
        </is>
      </c>
      <c r="G205" t="n">
        <v>2.7</v>
      </c>
      <c r="H205" t="n">
        <v>0</v>
      </c>
      <c r="I205" t="n">
        <v>0</v>
      </c>
      <c r="J205" t="n">
        <v>0</v>
      </c>
      <c r="K205" t="n">
        <v>0</v>
      </c>
      <c r="L205" t="n">
        <v>0</v>
      </c>
      <c r="M205" t="n">
        <v>0</v>
      </c>
      <c r="N205" t="n">
        <v>0</v>
      </c>
      <c r="O205" t="n">
        <v>0</v>
      </c>
      <c r="P205" t="n">
        <v>0</v>
      </c>
      <c r="Q205" t="n">
        <v>0</v>
      </c>
      <c r="R205" s="2" t="inlineStr"/>
    </row>
    <row r="206" ht="15" customHeight="1">
      <c r="A206" t="inlineStr">
        <is>
          <t>A 59955-2023</t>
        </is>
      </c>
      <c r="B206" s="1" t="n">
        <v>45257.70313657408</v>
      </c>
      <c r="C206" s="1" t="n">
        <v>45961</v>
      </c>
      <c r="D206" t="inlineStr">
        <is>
          <t>KALMAR LÄN</t>
        </is>
      </c>
      <c r="E206" t="inlineStr">
        <is>
          <t>VIMMERBY</t>
        </is>
      </c>
      <c r="G206" t="n">
        <v>13.8</v>
      </c>
      <c r="H206" t="n">
        <v>0</v>
      </c>
      <c r="I206" t="n">
        <v>0</v>
      </c>
      <c r="J206" t="n">
        <v>0</v>
      </c>
      <c r="K206" t="n">
        <v>0</v>
      </c>
      <c r="L206" t="n">
        <v>0</v>
      </c>
      <c r="M206" t="n">
        <v>0</v>
      </c>
      <c r="N206" t="n">
        <v>0</v>
      </c>
      <c r="O206" t="n">
        <v>0</v>
      </c>
      <c r="P206" t="n">
        <v>0</v>
      </c>
      <c r="Q206" t="n">
        <v>0</v>
      </c>
      <c r="R206" s="2" t="inlineStr"/>
    </row>
    <row r="207" ht="15" customHeight="1">
      <c r="A207" t="inlineStr">
        <is>
          <t>A 25728-2023</t>
        </is>
      </c>
      <c r="B207" s="1" t="n">
        <v>45090.38012731481</v>
      </c>
      <c r="C207" s="1" t="n">
        <v>45961</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36802-2021</t>
        </is>
      </c>
      <c r="B208" s="1" t="n">
        <v>44392</v>
      </c>
      <c r="C208" s="1" t="n">
        <v>45961</v>
      </c>
      <c r="D208" t="inlineStr">
        <is>
          <t>KALMAR LÄN</t>
        </is>
      </c>
      <c r="E208" t="inlineStr">
        <is>
          <t>VIMMERBY</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73938-2021</t>
        </is>
      </c>
      <c r="B209" s="1" t="n">
        <v>44553</v>
      </c>
      <c r="C209" s="1" t="n">
        <v>45961</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6069-2023</t>
        </is>
      </c>
      <c r="B210" s="1" t="n">
        <v>44964.5115162037</v>
      </c>
      <c r="C210" s="1" t="n">
        <v>45961</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61820-2023</t>
        </is>
      </c>
      <c r="B211" s="1" t="n">
        <v>45266.32614583334</v>
      </c>
      <c r="C211" s="1" t="n">
        <v>45961</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3269-2024</t>
        </is>
      </c>
      <c r="B212" s="1" t="n">
        <v>45317.40372685185</v>
      </c>
      <c r="C212" s="1" t="n">
        <v>45961</v>
      </c>
      <c r="D212" t="inlineStr">
        <is>
          <t>KALMAR LÄN</t>
        </is>
      </c>
      <c r="E212" t="inlineStr">
        <is>
          <t>VIMMERBY</t>
        </is>
      </c>
      <c r="F212" t="inlineStr">
        <is>
          <t>Övriga Aktiebolag</t>
        </is>
      </c>
      <c r="G212" t="n">
        <v>1.7</v>
      </c>
      <c r="H212" t="n">
        <v>0</v>
      </c>
      <c r="I212" t="n">
        <v>0</v>
      </c>
      <c r="J212" t="n">
        <v>0</v>
      </c>
      <c r="K212" t="n">
        <v>0</v>
      </c>
      <c r="L212" t="n">
        <v>0</v>
      </c>
      <c r="M212" t="n">
        <v>0</v>
      </c>
      <c r="N212" t="n">
        <v>0</v>
      </c>
      <c r="O212" t="n">
        <v>0</v>
      </c>
      <c r="P212" t="n">
        <v>0</v>
      </c>
      <c r="Q212" t="n">
        <v>0</v>
      </c>
      <c r="R212" s="2" t="inlineStr"/>
    </row>
    <row r="213" ht="15" customHeight="1">
      <c r="A213" t="inlineStr">
        <is>
          <t>A 2157-2024</t>
        </is>
      </c>
      <c r="B213" s="1" t="n">
        <v>45309.59487268519</v>
      </c>
      <c r="C213" s="1" t="n">
        <v>45961</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9416-2024</t>
        </is>
      </c>
      <c r="B214" s="1" t="n">
        <v>45359.44837962963</v>
      </c>
      <c r="C214" s="1" t="n">
        <v>45961</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58318-2021</t>
        </is>
      </c>
      <c r="B215" s="1" t="n">
        <v>44488.35878472222</v>
      </c>
      <c r="C215" s="1" t="n">
        <v>45961</v>
      </c>
      <c r="D215" t="inlineStr">
        <is>
          <t>KALMAR LÄN</t>
        </is>
      </c>
      <c r="E215" t="inlineStr">
        <is>
          <t>VIMMERBY</t>
        </is>
      </c>
      <c r="G215" t="n">
        <v>4</v>
      </c>
      <c r="H215" t="n">
        <v>0</v>
      </c>
      <c r="I215" t="n">
        <v>0</v>
      </c>
      <c r="J215" t="n">
        <v>0</v>
      </c>
      <c r="K215" t="n">
        <v>0</v>
      </c>
      <c r="L215" t="n">
        <v>0</v>
      </c>
      <c r="M215" t="n">
        <v>0</v>
      </c>
      <c r="N215" t="n">
        <v>0</v>
      </c>
      <c r="O215" t="n">
        <v>0</v>
      </c>
      <c r="P215" t="n">
        <v>0</v>
      </c>
      <c r="Q215" t="n">
        <v>0</v>
      </c>
      <c r="R215" s="2" t="inlineStr"/>
    </row>
    <row r="216" ht="15" customHeight="1">
      <c r="A216" t="inlineStr">
        <is>
          <t>A 53083-2021</t>
        </is>
      </c>
      <c r="B216" s="1" t="n">
        <v>44467.83386574074</v>
      </c>
      <c r="C216" s="1" t="n">
        <v>45961</v>
      </c>
      <c r="D216" t="inlineStr">
        <is>
          <t>KALMAR LÄN</t>
        </is>
      </c>
      <c r="E216" t="inlineStr">
        <is>
          <t>VIMMERBY</t>
        </is>
      </c>
      <c r="G216" t="n">
        <v>6.8</v>
      </c>
      <c r="H216" t="n">
        <v>0</v>
      </c>
      <c r="I216" t="n">
        <v>0</v>
      </c>
      <c r="J216" t="n">
        <v>0</v>
      </c>
      <c r="K216" t="n">
        <v>0</v>
      </c>
      <c r="L216" t="n">
        <v>0</v>
      </c>
      <c r="M216" t="n">
        <v>0</v>
      </c>
      <c r="N216" t="n">
        <v>0</v>
      </c>
      <c r="O216" t="n">
        <v>0</v>
      </c>
      <c r="P216" t="n">
        <v>0</v>
      </c>
      <c r="Q216" t="n">
        <v>0</v>
      </c>
      <c r="R216" s="2" t="inlineStr"/>
    </row>
    <row r="217" ht="15" customHeight="1">
      <c r="A217" t="inlineStr">
        <is>
          <t>A 29173-2024</t>
        </is>
      </c>
      <c r="B217" s="1" t="n">
        <v>45482.52887731481</v>
      </c>
      <c r="C217" s="1" t="n">
        <v>45961</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11111-2024</t>
        </is>
      </c>
      <c r="B218" s="1" t="n">
        <v>45371.36359953704</v>
      </c>
      <c r="C218" s="1" t="n">
        <v>45961</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11141-2024</t>
        </is>
      </c>
      <c r="B219" s="1" t="n">
        <v>45371.45865740741</v>
      </c>
      <c r="C219" s="1" t="n">
        <v>45961</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50995-2022</t>
        </is>
      </c>
      <c r="B220" s="1" t="n">
        <v>44867</v>
      </c>
      <c r="C220" s="1" t="n">
        <v>45961</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9418-2024</t>
        </is>
      </c>
      <c r="B221" s="1" t="n">
        <v>45359.45038194444</v>
      </c>
      <c r="C221" s="1" t="n">
        <v>45961</v>
      </c>
      <c r="D221" t="inlineStr">
        <is>
          <t>KALMAR LÄN</t>
        </is>
      </c>
      <c r="E221" t="inlineStr">
        <is>
          <t>VIMMERBY</t>
        </is>
      </c>
      <c r="G221" t="n">
        <v>1.9</v>
      </c>
      <c r="H221" t="n">
        <v>0</v>
      </c>
      <c r="I221" t="n">
        <v>0</v>
      </c>
      <c r="J221" t="n">
        <v>0</v>
      </c>
      <c r="K221" t="n">
        <v>0</v>
      </c>
      <c r="L221" t="n">
        <v>0</v>
      </c>
      <c r="M221" t="n">
        <v>0</v>
      </c>
      <c r="N221" t="n">
        <v>0</v>
      </c>
      <c r="O221" t="n">
        <v>0</v>
      </c>
      <c r="P221" t="n">
        <v>0</v>
      </c>
      <c r="Q221" t="n">
        <v>0</v>
      </c>
      <c r="R221" s="2" t="inlineStr"/>
    </row>
    <row r="222" ht="15" customHeight="1">
      <c r="A222" t="inlineStr">
        <is>
          <t>A 49313-2022</t>
        </is>
      </c>
      <c r="B222" s="1" t="n">
        <v>44861.52505787037</v>
      </c>
      <c r="C222" s="1" t="n">
        <v>45961</v>
      </c>
      <c r="D222" t="inlineStr">
        <is>
          <t>KALMAR LÄN</t>
        </is>
      </c>
      <c r="E222" t="inlineStr">
        <is>
          <t>VIMMERBY</t>
        </is>
      </c>
      <c r="G222" t="n">
        <v>1.9</v>
      </c>
      <c r="H222" t="n">
        <v>0</v>
      </c>
      <c r="I222" t="n">
        <v>0</v>
      </c>
      <c r="J222" t="n">
        <v>0</v>
      </c>
      <c r="K222" t="n">
        <v>0</v>
      </c>
      <c r="L222" t="n">
        <v>0</v>
      </c>
      <c r="M222" t="n">
        <v>0</v>
      </c>
      <c r="N222" t="n">
        <v>0</v>
      </c>
      <c r="O222" t="n">
        <v>0</v>
      </c>
      <c r="P222" t="n">
        <v>0</v>
      </c>
      <c r="Q222" t="n">
        <v>0</v>
      </c>
      <c r="R222" s="2" t="inlineStr"/>
    </row>
    <row r="223" ht="15" customHeight="1">
      <c r="A223" t="inlineStr">
        <is>
          <t>A 35998-2024</t>
        </is>
      </c>
      <c r="B223" s="1" t="n">
        <v>45533.54429398148</v>
      </c>
      <c r="C223" s="1" t="n">
        <v>45961</v>
      </c>
      <c r="D223" t="inlineStr">
        <is>
          <t>KALMAR LÄN</t>
        </is>
      </c>
      <c r="E223" t="inlineStr">
        <is>
          <t>VIMMERBY</t>
        </is>
      </c>
      <c r="G223" t="n">
        <v>8.6</v>
      </c>
      <c r="H223" t="n">
        <v>0</v>
      </c>
      <c r="I223" t="n">
        <v>0</v>
      </c>
      <c r="J223" t="n">
        <v>0</v>
      </c>
      <c r="K223" t="n">
        <v>0</v>
      </c>
      <c r="L223" t="n">
        <v>0</v>
      </c>
      <c r="M223" t="n">
        <v>0</v>
      </c>
      <c r="N223" t="n">
        <v>0</v>
      </c>
      <c r="O223" t="n">
        <v>0</v>
      </c>
      <c r="P223" t="n">
        <v>0</v>
      </c>
      <c r="Q223" t="n">
        <v>0</v>
      </c>
      <c r="R223" s="2" t="inlineStr"/>
    </row>
    <row r="224" ht="15" customHeight="1">
      <c r="A224" t="inlineStr">
        <is>
          <t>A 36040-2024</t>
        </is>
      </c>
      <c r="B224" s="1" t="n">
        <v>45533.60232638889</v>
      </c>
      <c r="C224" s="1" t="n">
        <v>45961</v>
      </c>
      <c r="D224" t="inlineStr">
        <is>
          <t>KALMAR LÄN</t>
        </is>
      </c>
      <c r="E224" t="inlineStr">
        <is>
          <t>VIMMERBY</t>
        </is>
      </c>
      <c r="F224" t="inlineStr">
        <is>
          <t>Kommuner</t>
        </is>
      </c>
      <c r="G224" t="n">
        <v>3.6</v>
      </c>
      <c r="H224" t="n">
        <v>0</v>
      </c>
      <c r="I224" t="n">
        <v>0</v>
      </c>
      <c r="J224" t="n">
        <v>0</v>
      </c>
      <c r="K224" t="n">
        <v>0</v>
      </c>
      <c r="L224" t="n">
        <v>0</v>
      </c>
      <c r="M224" t="n">
        <v>0</v>
      </c>
      <c r="N224" t="n">
        <v>0</v>
      </c>
      <c r="O224" t="n">
        <v>0</v>
      </c>
      <c r="P224" t="n">
        <v>0</v>
      </c>
      <c r="Q224" t="n">
        <v>0</v>
      </c>
      <c r="R224" s="2" t="inlineStr"/>
    </row>
    <row r="225" ht="15" customHeight="1">
      <c r="A225" t="inlineStr">
        <is>
          <t>A 36043-2024</t>
        </is>
      </c>
      <c r="B225" s="1" t="n">
        <v>45533.60770833334</v>
      </c>
      <c r="C225" s="1" t="n">
        <v>45961</v>
      </c>
      <c r="D225" t="inlineStr">
        <is>
          <t>KALMAR LÄN</t>
        </is>
      </c>
      <c r="E225" t="inlineStr">
        <is>
          <t>VIMMERBY</t>
        </is>
      </c>
      <c r="F225" t="inlineStr">
        <is>
          <t>Kommuner</t>
        </is>
      </c>
      <c r="G225" t="n">
        <v>1.5</v>
      </c>
      <c r="H225" t="n">
        <v>0</v>
      </c>
      <c r="I225" t="n">
        <v>0</v>
      </c>
      <c r="J225" t="n">
        <v>0</v>
      </c>
      <c r="K225" t="n">
        <v>0</v>
      </c>
      <c r="L225" t="n">
        <v>0</v>
      </c>
      <c r="M225" t="n">
        <v>0</v>
      </c>
      <c r="N225" t="n">
        <v>0</v>
      </c>
      <c r="O225" t="n">
        <v>0</v>
      </c>
      <c r="P225" t="n">
        <v>0</v>
      </c>
      <c r="Q225" t="n">
        <v>0</v>
      </c>
      <c r="R225" s="2" t="inlineStr"/>
    </row>
    <row r="226" ht="15" customHeight="1">
      <c r="A226" t="inlineStr">
        <is>
          <t>A 27122-2023</t>
        </is>
      </c>
      <c r="B226" s="1" t="n">
        <v>45096.45247685185</v>
      </c>
      <c r="C226" s="1" t="n">
        <v>45961</v>
      </c>
      <c r="D226" t="inlineStr">
        <is>
          <t>KALMAR LÄN</t>
        </is>
      </c>
      <c r="E226" t="inlineStr">
        <is>
          <t>VIMMERBY</t>
        </is>
      </c>
      <c r="G226" t="n">
        <v>1.7</v>
      </c>
      <c r="H226" t="n">
        <v>0</v>
      </c>
      <c r="I226" t="n">
        <v>0</v>
      </c>
      <c r="J226" t="n">
        <v>0</v>
      </c>
      <c r="K226" t="n">
        <v>0</v>
      </c>
      <c r="L226" t="n">
        <v>0</v>
      </c>
      <c r="M226" t="n">
        <v>0</v>
      </c>
      <c r="N226" t="n">
        <v>0</v>
      </c>
      <c r="O226" t="n">
        <v>0</v>
      </c>
      <c r="P226" t="n">
        <v>0</v>
      </c>
      <c r="Q226" t="n">
        <v>0</v>
      </c>
      <c r="R226" s="2" t="inlineStr"/>
    </row>
    <row r="227" ht="15" customHeight="1">
      <c r="A227" t="inlineStr">
        <is>
          <t>A 30402-2023</t>
        </is>
      </c>
      <c r="B227" s="1" t="n">
        <v>45111.48395833333</v>
      </c>
      <c r="C227" s="1" t="n">
        <v>45961</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63244-2021</t>
        </is>
      </c>
      <c r="B228" s="1" t="n">
        <v>44508</v>
      </c>
      <c r="C228" s="1" t="n">
        <v>45961</v>
      </c>
      <c r="D228" t="inlineStr">
        <is>
          <t>KALMAR LÄN</t>
        </is>
      </c>
      <c r="E228" t="inlineStr">
        <is>
          <t>VIMMERBY</t>
        </is>
      </c>
      <c r="F228" t="inlineStr">
        <is>
          <t>Övriga statliga verk och myndigheter</t>
        </is>
      </c>
      <c r="G228" t="n">
        <v>0.6</v>
      </c>
      <c r="H228" t="n">
        <v>0</v>
      </c>
      <c r="I228" t="n">
        <v>0</v>
      </c>
      <c r="J228" t="n">
        <v>0</v>
      </c>
      <c r="K228" t="n">
        <v>0</v>
      </c>
      <c r="L228" t="n">
        <v>0</v>
      </c>
      <c r="M228" t="n">
        <v>0</v>
      </c>
      <c r="N228" t="n">
        <v>0</v>
      </c>
      <c r="O228" t="n">
        <v>0</v>
      </c>
      <c r="P228" t="n">
        <v>0</v>
      </c>
      <c r="Q228" t="n">
        <v>0</v>
      </c>
      <c r="R228" s="2" t="inlineStr"/>
    </row>
    <row r="229" ht="15" customHeight="1">
      <c r="A229" t="inlineStr">
        <is>
          <t>A 22197-2024</t>
        </is>
      </c>
      <c r="B229" s="1" t="n">
        <v>45446.36774305555</v>
      </c>
      <c r="C229" s="1" t="n">
        <v>45961</v>
      </c>
      <c r="D229" t="inlineStr">
        <is>
          <t>KALMAR LÄN</t>
        </is>
      </c>
      <c r="E229" t="inlineStr">
        <is>
          <t>VIMMERBY</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35710-2023</t>
        </is>
      </c>
      <c r="B230" s="1" t="n">
        <v>45147.67096064815</v>
      </c>
      <c r="C230" s="1" t="n">
        <v>45961</v>
      </c>
      <c r="D230" t="inlineStr">
        <is>
          <t>KALMAR LÄN</t>
        </is>
      </c>
      <c r="E230" t="inlineStr">
        <is>
          <t>VIMMERBY</t>
        </is>
      </c>
      <c r="G230" t="n">
        <v>3.1</v>
      </c>
      <c r="H230" t="n">
        <v>0</v>
      </c>
      <c r="I230" t="n">
        <v>0</v>
      </c>
      <c r="J230" t="n">
        <v>0</v>
      </c>
      <c r="K230" t="n">
        <v>0</v>
      </c>
      <c r="L230" t="n">
        <v>0</v>
      </c>
      <c r="M230" t="n">
        <v>0</v>
      </c>
      <c r="N230" t="n">
        <v>0</v>
      </c>
      <c r="O230" t="n">
        <v>0</v>
      </c>
      <c r="P230" t="n">
        <v>0</v>
      </c>
      <c r="Q230" t="n">
        <v>0</v>
      </c>
      <c r="R230" s="2" t="inlineStr"/>
    </row>
    <row r="231" ht="15" customHeight="1">
      <c r="A231" t="inlineStr">
        <is>
          <t>A 35711-2023</t>
        </is>
      </c>
      <c r="B231" s="1" t="n">
        <v>45147.67172453704</v>
      </c>
      <c r="C231" s="1" t="n">
        <v>45961</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52435-2021</t>
        </is>
      </c>
      <c r="B232" s="1" t="n">
        <v>44466.34962962963</v>
      </c>
      <c r="C232" s="1" t="n">
        <v>45961</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29093-2023</t>
        </is>
      </c>
      <c r="B233" s="1" t="n">
        <v>45105</v>
      </c>
      <c r="C233" s="1" t="n">
        <v>45961</v>
      </c>
      <c r="D233" t="inlineStr">
        <is>
          <t>KALMAR LÄN</t>
        </is>
      </c>
      <c r="E233" t="inlineStr">
        <is>
          <t>VIMMERBY</t>
        </is>
      </c>
      <c r="G233" t="n">
        <v>2.9</v>
      </c>
      <c r="H233" t="n">
        <v>0</v>
      </c>
      <c r="I233" t="n">
        <v>0</v>
      </c>
      <c r="J233" t="n">
        <v>0</v>
      </c>
      <c r="K233" t="n">
        <v>0</v>
      </c>
      <c r="L233" t="n">
        <v>0</v>
      </c>
      <c r="M233" t="n">
        <v>0</v>
      </c>
      <c r="N233" t="n">
        <v>0</v>
      </c>
      <c r="O233" t="n">
        <v>0</v>
      </c>
      <c r="P233" t="n">
        <v>0</v>
      </c>
      <c r="Q233" t="n">
        <v>0</v>
      </c>
      <c r="R233" s="2" t="inlineStr"/>
    </row>
    <row r="234" ht="15" customHeight="1">
      <c r="A234" t="inlineStr">
        <is>
          <t>A 47842-2024</t>
        </is>
      </c>
      <c r="B234" s="1" t="n">
        <v>45588.65545138889</v>
      </c>
      <c r="C234" s="1" t="n">
        <v>45961</v>
      </c>
      <c r="D234" t="inlineStr">
        <is>
          <t>KALMAR LÄN</t>
        </is>
      </c>
      <c r="E234" t="inlineStr">
        <is>
          <t>VIMMERBY</t>
        </is>
      </c>
      <c r="G234" t="n">
        <v>2.4</v>
      </c>
      <c r="H234" t="n">
        <v>0</v>
      </c>
      <c r="I234" t="n">
        <v>0</v>
      </c>
      <c r="J234" t="n">
        <v>0</v>
      </c>
      <c r="K234" t="n">
        <v>0</v>
      </c>
      <c r="L234" t="n">
        <v>0</v>
      </c>
      <c r="M234" t="n">
        <v>0</v>
      </c>
      <c r="N234" t="n">
        <v>0</v>
      </c>
      <c r="O234" t="n">
        <v>0</v>
      </c>
      <c r="P234" t="n">
        <v>0</v>
      </c>
      <c r="Q234" t="n">
        <v>0</v>
      </c>
      <c r="R234" s="2" t="inlineStr"/>
    </row>
    <row r="235" ht="15" customHeight="1">
      <c r="A235" t="inlineStr">
        <is>
          <t>A 14220-2021</t>
        </is>
      </c>
      <c r="B235" s="1" t="n">
        <v>44278.54855324074</v>
      </c>
      <c r="C235" s="1" t="n">
        <v>45961</v>
      </c>
      <c r="D235" t="inlineStr">
        <is>
          <t>KALMAR LÄN</t>
        </is>
      </c>
      <c r="E235" t="inlineStr">
        <is>
          <t>VIMMERBY</t>
        </is>
      </c>
      <c r="G235" t="n">
        <v>0.3</v>
      </c>
      <c r="H235" t="n">
        <v>0</v>
      </c>
      <c r="I235" t="n">
        <v>0</v>
      </c>
      <c r="J235" t="n">
        <v>0</v>
      </c>
      <c r="K235" t="n">
        <v>0</v>
      </c>
      <c r="L235" t="n">
        <v>0</v>
      </c>
      <c r="M235" t="n">
        <v>0</v>
      </c>
      <c r="N235" t="n">
        <v>0</v>
      </c>
      <c r="O235" t="n">
        <v>0</v>
      </c>
      <c r="P235" t="n">
        <v>0</v>
      </c>
      <c r="Q235" t="n">
        <v>0</v>
      </c>
      <c r="R235" s="2" t="inlineStr"/>
    </row>
    <row r="236" ht="15" customHeight="1">
      <c r="A236" t="inlineStr">
        <is>
          <t>A 6857-2023</t>
        </is>
      </c>
      <c r="B236" s="1" t="n">
        <v>44967.45122685185</v>
      </c>
      <c r="C236" s="1" t="n">
        <v>45961</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33359-2021</t>
        </is>
      </c>
      <c r="B237" s="1" t="n">
        <v>44377.49684027778</v>
      </c>
      <c r="C237" s="1" t="n">
        <v>45961</v>
      </c>
      <c r="D237" t="inlineStr">
        <is>
          <t>KALMAR LÄN</t>
        </is>
      </c>
      <c r="E237" t="inlineStr">
        <is>
          <t>VIMMERBY</t>
        </is>
      </c>
      <c r="F237" t="inlineStr">
        <is>
          <t>Kommuner</t>
        </is>
      </c>
      <c r="G237" t="n">
        <v>8</v>
      </c>
      <c r="H237" t="n">
        <v>0</v>
      </c>
      <c r="I237" t="n">
        <v>0</v>
      </c>
      <c r="J237" t="n">
        <v>0</v>
      </c>
      <c r="K237" t="n">
        <v>0</v>
      </c>
      <c r="L237" t="n">
        <v>0</v>
      </c>
      <c r="M237" t="n">
        <v>0</v>
      </c>
      <c r="N237" t="n">
        <v>0</v>
      </c>
      <c r="O237" t="n">
        <v>0</v>
      </c>
      <c r="P237" t="n">
        <v>0</v>
      </c>
      <c r="Q237" t="n">
        <v>0</v>
      </c>
      <c r="R237" s="2" t="inlineStr"/>
    </row>
    <row r="238" ht="15" customHeight="1">
      <c r="A238" t="inlineStr">
        <is>
          <t>A 43038-2022</t>
        </is>
      </c>
      <c r="B238" s="1" t="n">
        <v>44833.60123842592</v>
      </c>
      <c r="C238" s="1" t="n">
        <v>45961</v>
      </c>
      <c r="D238" t="inlineStr">
        <is>
          <t>KALMAR LÄN</t>
        </is>
      </c>
      <c r="E238" t="inlineStr">
        <is>
          <t>VIMMERBY</t>
        </is>
      </c>
      <c r="G238" t="n">
        <v>4.2</v>
      </c>
      <c r="H238" t="n">
        <v>0</v>
      </c>
      <c r="I238" t="n">
        <v>0</v>
      </c>
      <c r="J238" t="n">
        <v>0</v>
      </c>
      <c r="K238" t="n">
        <v>0</v>
      </c>
      <c r="L238" t="n">
        <v>0</v>
      </c>
      <c r="M238" t="n">
        <v>0</v>
      </c>
      <c r="N238" t="n">
        <v>0</v>
      </c>
      <c r="O238" t="n">
        <v>0</v>
      </c>
      <c r="P238" t="n">
        <v>0</v>
      </c>
      <c r="Q238" t="n">
        <v>0</v>
      </c>
      <c r="R238" s="2" t="inlineStr"/>
    </row>
    <row r="239" ht="15" customHeight="1">
      <c r="A239" t="inlineStr">
        <is>
          <t>A 46224-2024</t>
        </is>
      </c>
      <c r="B239" s="1" t="n">
        <v>45581.57016203704</v>
      </c>
      <c r="C239" s="1" t="n">
        <v>45961</v>
      </c>
      <c r="D239" t="inlineStr">
        <is>
          <t>KALMAR LÄN</t>
        </is>
      </c>
      <c r="E239" t="inlineStr">
        <is>
          <t>VIMMERBY</t>
        </is>
      </c>
      <c r="G239" t="n">
        <v>3.1</v>
      </c>
      <c r="H239" t="n">
        <v>0</v>
      </c>
      <c r="I239" t="n">
        <v>0</v>
      </c>
      <c r="J239" t="n">
        <v>0</v>
      </c>
      <c r="K239" t="n">
        <v>0</v>
      </c>
      <c r="L239" t="n">
        <v>0</v>
      </c>
      <c r="M239" t="n">
        <v>0</v>
      </c>
      <c r="N239" t="n">
        <v>0</v>
      </c>
      <c r="O239" t="n">
        <v>0</v>
      </c>
      <c r="P239" t="n">
        <v>0</v>
      </c>
      <c r="Q239" t="n">
        <v>0</v>
      </c>
      <c r="R239" s="2" t="inlineStr"/>
    </row>
    <row r="240" ht="15" customHeight="1">
      <c r="A240" t="inlineStr">
        <is>
          <t>A 50087-2023</t>
        </is>
      </c>
      <c r="B240" s="1" t="n">
        <v>45215.59743055556</v>
      </c>
      <c r="C240" s="1" t="n">
        <v>45961</v>
      </c>
      <c r="D240" t="inlineStr">
        <is>
          <t>KALMAR LÄN</t>
        </is>
      </c>
      <c r="E240" t="inlineStr">
        <is>
          <t>VIMMERBY</t>
        </is>
      </c>
      <c r="G240" t="n">
        <v>0.9</v>
      </c>
      <c r="H240" t="n">
        <v>0</v>
      </c>
      <c r="I240" t="n">
        <v>0</v>
      </c>
      <c r="J240" t="n">
        <v>0</v>
      </c>
      <c r="K240" t="n">
        <v>0</v>
      </c>
      <c r="L240" t="n">
        <v>0</v>
      </c>
      <c r="M240" t="n">
        <v>0</v>
      </c>
      <c r="N240" t="n">
        <v>0</v>
      </c>
      <c r="O240" t="n">
        <v>0</v>
      </c>
      <c r="P240" t="n">
        <v>0</v>
      </c>
      <c r="Q240" t="n">
        <v>0</v>
      </c>
      <c r="R240" s="2" t="inlineStr"/>
    </row>
    <row r="241" ht="15" customHeight="1">
      <c r="A241" t="inlineStr">
        <is>
          <t>A 33681-2022</t>
        </is>
      </c>
      <c r="B241" s="1" t="n">
        <v>44789</v>
      </c>
      <c r="C241" s="1" t="n">
        <v>45961</v>
      </c>
      <c r="D241" t="inlineStr">
        <is>
          <t>KALMAR LÄN</t>
        </is>
      </c>
      <c r="E241" t="inlineStr">
        <is>
          <t>VIMMERBY</t>
        </is>
      </c>
      <c r="G241" t="n">
        <v>3.2</v>
      </c>
      <c r="H241" t="n">
        <v>0</v>
      </c>
      <c r="I241" t="n">
        <v>0</v>
      </c>
      <c r="J241" t="n">
        <v>0</v>
      </c>
      <c r="K241" t="n">
        <v>0</v>
      </c>
      <c r="L241" t="n">
        <v>0</v>
      </c>
      <c r="M241" t="n">
        <v>0</v>
      </c>
      <c r="N241" t="n">
        <v>0</v>
      </c>
      <c r="O241" t="n">
        <v>0</v>
      </c>
      <c r="P241" t="n">
        <v>0</v>
      </c>
      <c r="Q241" t="n">
        <v>0</v>
      </c>
      <c r="R241" s="2" t="inlineStr"/>
    </row>
    <row r="242" ht="15" customHeight="1">
      <c r="A242" t="inlineStr">
        <is>
          <t>A 29013-2024</t>
        </is>
      </c>
      <c r="B242" s="1" t="n">
        <v>45481.55984953704</v>
      </c>
      <c r="C242" s="1" t="n">
        <v>45961</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34588-2024</t>
        </is>
      </c>
      <c r="B243" s="1" t="n">
        <v>45526.3865625</v>
      </c>
      <c r="C243" s="1" t="n">
        <v>45961</v>
      </c>
      <c r="D243" t="inlineStr">
        <is>
          <t>KALMAR LÄN</t>
        </is>
      </c>
      <c r="E243" t="inlineStr">
        <is>
          <t>VIMMERBY</t>
        </is>
      </c>
      <c r="F243" t="inlineStr">
        <is>
          <t>Övriga Aktiebolag</t>
        </is>
      </c>
      <c r="G243" t="n">
        <v>3.3</v>
      </c>
      <c r="H243" t="n">
        <v>0</v>
      </c>
      <c r="I243" t="n">
        <v>0</v>
      </c>
      <c r="J243" t="n">
        <v>0</v>
      </c>
      <c r="K243" t="n">
        <v>0</v>
      </c>
      <c r="L243" t="n">
        <v>0</v>
      </c>
      <c r="M243" t="n">
        <v>0</v>
      </c>
      <c r="N243" t="n">
        <v>0</v>
      </c>
      <c r="O243" t="n">
        <v>0</v>
      </c>
      <c r="P243" t="n">
        <v>0</v>
      </c>
      <c r="Q243" t="n">
        <v>0</v>
      </c>
      <c r="R243" s="2" t="inlineStr"/>
    </row>
    <row r="244" ht="15" customHeight="1">
      <c r="A244" t="inlineStr">
        <is>
          <t>A 56659-2023</t>
        </is>
      </c>
      <c r="B244" s="1" t="n">
        <v>45243.84869212963</v>
      </c>
      <c r="C244" s="1" t="n">
        <v>45961</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37028-2024</t>
        </is>
      </c>
      <c r="B245" s="1" t="n">
        <v>45539.38744212963</v>
      </c>
      <c r="C245" s="1" t="n">
        <v>45961</v>
      </c>
      <c r="D245" t="inlineStr">
        <is>
          <t>KALMAR LÄN</t>
        </is>
      </c>
      <c r="E245" t="inlineStr">
        <is>
          <t>VIMMERBY</t>
        </is>
      </c>
      <c r="G245" t="n">
        <v>5.2</v>
      </c>
      <c r="H245" t="n">
        <v>0</v>
      </c>
      <c r="I245" t="n">
        <v>0</v>
      </c>
      <c r="J245" t="n">
        <v>0</v>
      </c>
      <c r="K245" t="n">
        <v>0</v>
      </c>
      <c r="L245" t="n">
        <v>0</v>
      </c>
      <c r="M245" t="n">
        <v>0</v>
      </c>
      <c r="N245" t="n">
        <v>0</v>
      </c>
      <c r="O245" t="n">
        <v>0</v>
      </c>
      <c r="P245" t="n">
        <v>0</v>
      </c>
      <c r="Q245" t="n">
        <v>0</v>
      </c>
      <c r="R245" s="2" t="inlineStr"/>
    </row>
    <row r="246" ht="15" customHeight="1">
      <c r="A246" t="inlineStr">
        <is>
          <t>A 16825-2024</t>
        </is>
      </c>
      <c r="B246" s="1" t="n">
        <v>45411.47335648148</v>
      </c>
      <c r="C246" s="1" t="n">
        <v>45961</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37187-2024</t>
        </is>
      </c>
      <c r="B247" s="1" t="n">
        <v>45539.65212962963</v>
      </c>
      <c r="C247" s="1" t="n">
        <v>45961</v>
      </c>
      <c r="D247" t="inlineStr">
        <is>
          <t>KALMAR LÄN</t>
        </is>
      </c>
      <c r="E247" t="inlineStr">
        <is>
          <t>VIMMERBY</t>
        </is>
      </c>
      <c r="G247" t="n">
        <v>2.7</v>
      </c>
      <c r="H247" t="n">
        <v>0</v>
      </c>
      <c r="I247" t="n">
        <v>0</v>
      </c>
      <c r="J247" t="n">
        <v>0</v>
      </c>
      <c r="K247" t="n">
        <v>0</v>
      </c>
      <c r="L247" t="n">
        <v>0</v>
      </c>
      <c r="M247" t="n">
        <v>0</v>
      </c>
      <c r="N247" t="n">
        <v>0</v>
      </c>
      <c r="O247" t="n">
        <v>0</v>
      </c>
      <c r="P247" t="n">
        <v>0</v>
      </c>
      <c r="Q247" t="n">
        <v>0</v>
      </c>
      <c r="R247" s="2" t="inlineStr"/>
    </row>
    <row r="248" ht="15" customHeight="1">
      <c r="A248" t="inlineStr">
        <is>
          <t>A 12033-2024</t>
        </is>
      </c>
      <c r="B248" s="1" t="n">
        <v>45377.40043981482</v>
      </c>
      <c r="C248" s="1" t="n">
        <v>45961</v>
      </c>
      <c r="D248" t="inlineStr">
        <is>
          <t>KALMAR LÄN</t>
        </is>
      </c>
      <c r="E248" t="inlineStr">
        <is>
          <t>VIMMERBY</t>
        </is>
      </c>
      <c r="G248" t="n">
        <v>1.6</v>
      </c>
      <c r="H248" t="n">
        <v>0</v>
      </c>
      <c r="I248" t="n">
        <v>0</v>
      </c>
      <c r="J248" t="n">
        <v>0</v>
      </c>
      <c r="K248" t="n">
        <v>0</v>
      </c>
      <c r="L248" t="n">
        <v>0</v>
      </c>
      <c r="M248" t="n">
        <v>0</v>
      </c>
      <c r="N248" t="n">
        <v>0</v>
      </c>
      <c r="O248" t="n">
        <v>0</v>
      </c>
      <c r="P248" t="n">
        <v>0</v>
      </c>
      <c r="Q248" t="n">
        <v>0</v>
      </c>
      <c r="R248" s="2" t="inlineStr"/>
    </row>
    <row r="249" ht="15" customHeight="1">
      <c r="A249" t="inlineStr">
        <is>
          <t>A 6214-2025</t>
        </is>
      </c>
      <c r="B249" s="1" t="n">
        <v>45698.51711805556</v>
      </c>
      <c r="C249" s="1" t="n">
        <v>45961</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49408-2023</t>
        </is>
      </c>
      <c r="B250" s="1" t="n">
        <v>45211.43555555555</v>
      </c>
      <c r="C250" s="1" t="n">
        <v>45961</v>
      </c>
      <c r="D250" t="inlineStr">
        <is>
          <t>KALMAR LÄN</t>
        </is>
      </c>
      <c r="E250" t="inlineStr">
        <is>
          <t>VIMMERBY</t>
        </is>
      </c>
      <c r="G250" t="n">
        <v>13.1</v>
      </c>
      <c r="H250" t="n">
        <v>0</v>
      </c>
      <c r="I250" t="n">
        <v>0</v>
      </c>
      <c r="J250" t="n">
        <v>0</v>
      </c>
      <c r="K250" t="n">
        <v>0</v>
      </c>
      <c r="L250" t="n">
        <v>0</v>
      </c>
      <c r="M250" t="n">
        <v>0</v>
      </c>
      <c r="N250" t="n">
        <v>0</v>
      </c>
      <c r="O250" t="n">
        <v>0</v>
      </c>
      <c r="P250" t="n">
        <v>0</v>
      </c>
      <c r="Q250" t="n">
        <v>0</v>
      </c>
      <c r="R250" s="2" t="inlineStr"/>
    </row>
    <row r="251" ht="15" customHeight="1">
      <c r="A251" t="inlineStr">
        <is>
          <t>A 3331-2023</t>
        </is>
      </c>
      <c r="B251" s="1" t="n">
        <v>44949</v>
      </c>
      <c r="C251" s="1" t="n">
        <v>45961</v>
      </c>
      <c r="D251" t="inlineStr">
        <is>
          <t>KALMAR LÄN</t>
        </is>
      </c>
      <c r="E251" t="inlineStr">
        <is>
          <t>VIMMERBY</t>
        </is>
      </c>
      <c r="G251" t="n">
        <v>6.2</v>
      </c>
      <c r="H251" t="n">
        <v>0</v>
      </c>
      <c r="I251" t="n">
        <v>0</v>
      </c>
      <c r="J251" t="n">
        <v>0</v>
      </c>
      <c r="K251" t="n">
        <v>0</v>
      </c>
      <c r="L251" t="n">
        <v>0</v>
      </c>
      <c r="M251" t="n">
        <v>0</v>
      </c>
      <c r="N251" t="n">
        <v>0</v>
      </c>
      <c r="O251" t="n">
        <v>0</v>
      </c>
      <c r="P251" t="n">
        <v>0</v>
      </c>
      <c r="Q251" t="n">
        <v>0</v>
      </c>
      <c r="R251" s="2" t="inlineStr"/>
    </row>
    <row r="252" ht="15" customHeight="1">
      <c r="A252" t="inlineStr">
        <is>
          <t>A 27443-2023</t>
        </is>
      </c>
      <c r="B252" s="1" t="n">
        <v>45097.40524305555</v>
      </c>
      <c r="C252" s="1" t="n">
        <v>45961</v>
      </c>
      <c r="D252" t="inlineStr">
        <is>
          <t>KALMAR LÄN</t>
        </is>
      </c>
      <c r="E252" t="inlineStr">
        <is>
          <t>VIMMERBY</t>
        </is>
      </c>
      <c r="F252" t="inlineStr">
        <is>
          <t>Övriga Aktiebolag</t>
        </is>
      </c>
      <c r="G252" t="n">
        <v>2.3</v>
      </c>
      <c r="H252" t="n">
        <v>0</v>
      </c>
      <c r="I252" t="n">
        <v>0</v>
      </c>
      <c r="J252" t="n">
        <v>0</v>
      </c>
      <c r="K252" t="n">
        <v>0</v>
      </c>
      <c r="L252" t="n">
        <v>0</v>
      </c>
      <c r="M252" t="n">
        <v>0</v>
      </c>
      <c r="N252" t="n">
        <v>0</v>
      </c>
      <c r="O252" t="n">
        <v>0</v>
      </c>
      <c r="P252" t="n">
        <v>0</v>
      </c>
      <c r="Q252" t="n">
        <v>0</v>
      </c>
      <c r="R252" s="2" t="inlineStr"/>
    </row>
    <row r="253" ht="15" customHeight="1">
      <c r="A253" t="inlineStr">
        <is>
          <t>A 28395-2023</t>
        </is>
      </c>
      <c r="B253" s="1" t="n">
        <v>45100.4062962963</v>
      </c>
      <c r="C253" s="1" t="n">
        <v>45961</v>
      </c>
      <c r="D253" t="inlineStr">
        <is>
          <t>KALMAR LÄN</t>
        </is>
      </c>
      <c r="E253" t="inlineStr">
        <is>
          <t>VIMMERBY</t>
        </is>
      </c>
      <c r="G253" t="n">
        <v>1.4</v>
      </c>
      <c r="H253" t="n">
        <v>0</v>
      </c>
      <c r="I253" t="n">
        <v>0</v>
      </c>
      <c r="J253" t="n">
        <v>0</v>
      </c>
      <c r="K253" t="n">
        <v>0</v>
      </c>
      <c r="L253" t="n">
        <v>0</v>
      </c>
      <c r="M253" t="n">
        <v>0</v>
      </c>
      <c r="N253" t="n">
        <v>0</v>
      </c>
      <c r="O253" t="n">
        <v>0</v>
      </c>
      <c r="P253" t="n">
        <v>0</v>
      </c>
      <c r="Q253" t="n">
        <v>0</v>
      </c>
      <c r="R253" s="2" t="inlineStr"/>
    </row>
    <row r="254" ht="15" customHeight="1">
      <c r="A254" t="inlineStr">
        <is>
          <t>A 12630-2023</t>
        </is>
      </c>
      <c r="B254" s="1" t="n">
        <v>45000.47998842593</v>
      </c>
      <c r="C254" s="1" t="n">
        <v>45961</v>
      </c>
      <c r="D254" t="inlineStr">
        <is>
          <t>KALMAR LÄN</t>
        </is>
      </c>
      <c r="E254" t="inlineStr">
        <is>
          <t>VIMMERBY</t>
        </is>
      </c>
      <c r="G254" t="n">
        <v>2.1</v>
      </c>
      <c r="H254" t="n">
        <v>0</v>
      </c>
      <c r="I254" t="n">
        <v>0</v>
      </c>
      <c r="J254" t="n">
        <v>0</v>
      </c>
      <c r="K254" t="n">
        <v>0</v>
      </c>
      <c r="L254" t="n">
        <v>0</v>
      </c>
      <c r="M254" t="n">
        <v>0</v>
      </c>
      <c r="N254" t="n">
        <v>0</v>
      </c>
      <c r="O254" t="n">
        <v>0</v>
      </c>
      <c r="P254" t="n">
        <v>0</v>
      </c>
      <c r="Q254" t="n">
        <v>0</v>
      </c>
      <c r="R254" s="2" t="inlineStr"/>
    </row>
    <row r="255" ht="15" customHeight="1">
      <c r="A255" t="inlineStr">
        <is>
          <t>A 39584-2024</t>
        </is>
      </c>
      <c r="B255" s="1" t="n">
        <v>45552.36759259259</v>
      </c>
      <c r="C255" s="1" t="n">
        <v>45961</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27705-2023</t>
        </is>
      </c>
      <c r="B256" s="1" t="n">
        <v>45098.30535879629</v>
      </c>
      <c r="C256" s="1" t="n">
        <v>45961</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40828-2023</t>
        </is>
      </c>
      <c r="B257" s="1" t="n">
        <v>45171.96248842592</v>
      </c>
      <c r="C257" s="1" t="n">
        <v>45961</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18501-2024</t>
        </is>
      </c>
      <c r="B258" s="1" t="n">
        <v>45425.57538194444</v>
      </c>
      <c r="C258" s="1" t="n">
        <v>45961</v>
      </c>
      <c r="D258" t="inlineStr">
        <is>
          <t>KALMAR LÄN</t>
        </is>
      </c>
      <c r="E258" t="inlineStr">
        <is>
          <t>VIMMERBY</t>
        </is>
      </c>
      <c r="G258" t="n">
        <v>2</v>
      </c>
      <c r="H258" t="n">
        <v>0</v>
      </c>
      <c r="I258" t="n">
        <v>0</v>
      </c>
      <c r="J258" t="n">
        <v>0</v>
      </c>
      <c r="K258" t="n">
        <v>0</v>
      </c>
      <c r="L258" t="n">
        <v>0</v>
      </c>
      <c r="M258" t="n">
        <v>0</v>
      </c>
      <c r="N258" t="n">
        <v>0</v>
      </c>
      <c r="O258" t="n">
        <v>0</v>
      </c>
      <c r="P258" t="n">
        <v>0</v>
      </c>
      <c r="Q258" t="n">
        <v>0</v>
      </c>
      <c r="R258" s="2" t="inlineStr"/>
    </row>
    <row r="259" ht="15" customHeight="1">
      <c r="A259" t="inlineStr">
        <is>
          <t>A 16734-2023</t>
        </is>
      </c>
      <c r="B259" s="1" t="n">
        <v>45030.71012731481</v>
      </c>
      <c r="C259" s="1" t="n">
        <v>45961</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31013-2023</t>
        </is>
      </c>
      <c r="B260" s="1" t="n">
        <v>45113.56574074074</v>
      </c>
      <c r="C260" s="1" t="n">
        <v>45961</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25799-2023</t>
        </is>
      </c>
      <c r="B261" s="1" t="n">
        <v>45090</v>
      </c>
      <c r="C261" s="1" t="n">
        <v>45961</v>
      </c>
      <c r="D261" t="inlineStr">
        <is>
          <t>KALMAR LÄN</t>
        </is>
      </c>
      <c r="E261" t="inlineStr">
        <is>
          <t>VIMMERBY</t>
        </is>
      </c>
      <c r="G261" t="n">
        <v>7.7</v>
      </c>
      <c r="H261" t="n">
        <v>0</v>
      </c>
      <c r="I261" t="n">
        <v>0</v>
      </c>
      <c r="J261" t="n">
        <v>0</v>
      </c>
      <c r="K261" t="n">
        <v>0</v>
      </c>
      <c r="L261" t="n">
        <v>0</v>
      </c>
      <c r="M261" t="n">
        <v>0</v>
      </c>
      <c r="N261" t="n">
        <v>0</v>
      </c>
      <c r="O261" t="n">
        <v>0</v>
      </c>
      <c r="P261" t="n">
        <v>0</v>
      </c>
      <c r="Q261" t="n">
        <v>0</v>
      </c>
      <c r="R261" s="2" t="inlineStr"/>
    </row>
    <row r="262" ht="15" customHeight="1">
      <c r="A262" t="inlineStr">
        <is>
          <t>A 15388-2025</t>
        </is>
      </c>
      <c r="B262" s="1" t="n">
        <v>45747.42633101852</v>
      </c>
      <c r="C262" s="1" t="n">
        <v>45961</v>
      </c>
      <c r="D262" t="inlineStr">
        <is>
          <t>KALMAR LÄN</t>
        </is>
      </c>
      <c r="E262" t="inlineStr">
        <is>
          <t>VIMMERBY</t>
        </is>
      </c>
      <c r="G262" t="n">
        <v>1.3</v>
      </c>
      <c r="H262" t="n">
        <v>0</v>
      </c>
      <c r="I262" t="n">
        <v>0</v>
      </c>
      <c r="J262" t="n">
        <v>0</v>
      </c>
      <c r="K262" t="n">
        <v>0</v>
      </c>
      <c r="L262" t="n">
        <v>0</v>
      </c>
      <c r="M262" t="n">
        <v>0</v>
      </c>
      <c r="N262" t="n">
        <v>0</v>
      </c>
      <c r="O262" t="n">
        <v>0</v>
      </c>
      <c r="P262" t="n">
        <v>0</v>
      </c>
      <c r="Q262" t="n">
        <v>0</v>
      </c>
      <c r="R262" s="2" t="inlineStr"/>
    </row>
    <row r="263" ht="15" customHeight="1">
      <c r="A263" t="inlineStr">
        <is>
          <t>A 15391-2025</t>
        </is>
      </c>
      <c r="B263" s="1" t="n">
        <v>45747.42958333333</v>
      </c>
      <c r="C263" s="1" t="n">
        <v>45961</v>
      </c>
      <c r="D263" t="inlineStr">
        <is>
          <t>KALMAR LÄN</t>
        </is>
      </c>
      <c r="E263" t="inlineStr">
        <is>
          <t>VIMMERBY</t>
        </is>
      </c>
      <c r="G263" t="n">
        <v>1.1</v>
      </c>
      <c r="H263" t="n">
        <v>0</v>
      </c>
      <c r="I263" t="n">
        <v>0</v>
      </c>
      <c r="J263" t="n">
        <v>0</v>
      </c>
      <c r="K263" t="n">
        <v>0</v>
      </c>
      <c r="L263" t="n">
        <v>0</v>
      </c>
      <c r="M263" t="n">
        <v>0</v>
      </c>
      <c r="N263" t="n">
        <v>0</v>
      </c>
      <c r="O263" t="n">
        <v>0</v>
      </c>
      <c r="P263" t="n">
        <v>0</v>
      </c>
      <c r="Q263" t="n">
        <v>0</v>
      </c>
      <c r="R263" s="2" t="inlineStr"/>
    </row>
    <row r="264" ht="15" customHeight="1">
      <c r="A264" t="inlineStr">
        <is>
          <t>A 11303-2025</t>
        </is>
      </c>
      <c r="B264" s="1" t="n">
        <v>45726.44471064815</v>
      </c>
      <c r="C264" s="1" t="n">
        <v>45961</v>
      </c>
      <c r="D264" t="inlineStr">
        <is>
          <t>KALMAR LÄN</t>
        </is>
      </c>
      <c r="E264" t="inlineStr">
        <is>
          <t>VIMMERBY</t>
        </is>
      </c>
      <c r="G264" t="n">
        <v>2.1</v>
      </c>
      <c r="H264" t="n">
        <v>0</v>
      </c>
      <c r="I264" t="n">
        <v>0</v>
      </c>
      <c r="J264" t="n">
        <v>0</v>
      </c>
      <c r="K264" t="n">
        <v>0</v>
      </c>
      <c r="L264" t="n">
        <v>0</v>
      </c>
      <c r="M264" t="n">
        <v>0</v>
      </c>
      <c r="N264" t="n">
        <v>0</v>
      </c>
      <c r="O264" t="n">
        <v>0</v>
      </c>
      <c r="P264" t="n">
        <v>0</v>
      </c>
      <c r="Q264" t="n">
        <v>0</v>
      </c>
      <c r="R264" s="2" t="inlineStr"/>
    </row>
    <row r="265" ht="15" customHeight="1">
      <c r="A265" t="inlineStr">
        <is>
          <t>A 64143-2021</t>
        </is>
      </c>
      <c r="B265" s="1" t="n">
        <v>44510.52157407408</v>
      </c>
      <c r="C265" s="1" t="n">
        <v>45961</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16015-2025</t>
        </is>
      </c>
      <c r="B266" s="1" t="n">
        <v>45749.60487268519</v>
      </c>
      <c r="C266" s="1" t="n">
        <v>45961</v>
      </c>
      <c r="D266" t="inlineStr">
        <is>
          <t>KALMAR LÄN</t>
        </is>
      </c>
      <c r="E266" t="inlineStr">
        <is>
          <t>VIMMERBY</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9720-2023</t>
        </is>
      </c>
      <c r="B267" s="1" t="n">
        <v>44984</v>
      </c>
      <c r="C267" s="1" t="n">
        <v>45961</v>
      </c>
      <c r="D267" t="inlineStr">
        <is>
          <t>KALMAR LÄN</t>
        </is>
      </c>
      <c r="E267" t="inlineStr">
        <is>
          <t>VIMMERBY</t>
        </is>
      </c>
      <c r="G267" t="n">
        <v>4.4</v>
      </c>
      <c r="H267" t="n">
        <v>0</v>
      </c>
      <c r="I267" t="n">
        <v>0</v>
      </c>
      <c r="J267" t="n">
        <v>0</v>
      </c>
      <c r="K267" t="n">
        <v>0</v>
      </c>
      <c r="L267" t="n">
        <v>0</v>
      </c>
      <c r="M267" t="n">
        <v>0</v>
      </c>
      <c r="N267" t="n">
        <v>0</v>
      </c>
      <c r="O267" t="n">
        <v>0</v>
      </c>
      <c r="P267" t="n">
        <v>0</v>
      </c>
      <c r="Q267" t="n">
        <v>0</v>
      </c>
      <c r="R267" s="2" t="inlineStr"/>
    </row>
    <row r="268" ht="15" customHeight="1">
      <c r="A268" t="inlineStr">
        <is>
          <t>A 57256-2023</t>
        </is>
      </c>
      <c r="B268" s="1" t="n">
        <v>45245.5735300926</v>
      </c>
      <c r="C268" s="1" t="n">
        <v>45961</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5938-2022</t>
        </is>
      </c>
      <c r="B269" s="1" t="n">
        <v>44598</v>
      </c>
      <c r="C269" s="1" t="n">
        <v>45961</v>
      </c>
      <c r="D269" t="inlineStr">
        <is>
          <t>KALMAR LÄN</t>
        </is>
      </c>
      <c r="E269" t="inlineStr">
        <is>
          <t>VIMMERBY</t>
        </is>
      </c>
      <c r="G269" t="n">
        <v>2.4</v>
      </c>
      <c r="H269" t="n">
        <v>0</v>
      </c>
      <c r="I269" t="n">
        <v>0</v>
      </c>
      <c r="J269" t="n">
        <v>0</v>
      </c>
      <c r="K269" t="n">
        <v>0</v>
      </c>
      <c r="L269" t="n">
        <v>0</v>
      </c>
      <c r="M269" t="n">
        <v>0</v>
      </c>
      <c r="N269" t="n">
        <v>0</v>
      </c>
      <c r="O269" t="n">
        <v>0</v>
      </c>
      <c r="P269" t="n">
        <v>0</v>
      </c>
      <c r="Q269" t="n">
        <v>0</v>
      </c>
      <c r="R269" s="2" t="inlineStr"/>
    </row>
    <row r="270" ht="15" customHeight="1">
      <c r="A270" t="inlineStr">
        <is>
          <t>A 1687-2023</t>
        </is>
      </c>
      <c r="B270" s="1" t="n">
        <v>44938</v>
      </c>
      <c r="C270" s="1" t="n">
        <v>45961</v>
      </c>
      <c r="D270" t="inlineStr">
        <is>
          <t>KALMAR LÄN</t>
        </is>
      </c>
      <c r="E270" t="inlineStr">
        <is>
          <t>VIMMERBY</t>
        </is>
      </c>
      <c r="F270" t="inlineStr">
        <is>
          <t>Kommuner</t>
        </is>
      </c>
      <c r="G270" t="n">
        <v>2.5</v>
      </c>
      <c r="H270" t="n">
        <v>0</v>
      </c>
      <c r="I270" t="n">
        <v>0</v>
      </c>
      <c r="J270" t="n">
        <v>0</v>
      </c>
      <c r="K270" t="n">
        <v>0</v>
      </c>
      <c r="L270" t="n">
        <v>0</v>
      </c>
      <c r="M270" t="n">
        <v>0</v>
      </c>
      <c r="N270" t="n">
        <v>0</v>
      </c>
      <c r="O270" t="n">
        <v>0</v>
      </c>
      <c r="P270" t="n">
        <v>0</v>
      </c>
      <c r="Q270" t="n">
        <v>0</v>
      </c>
      <c r="R270" s="2" t="inlineStr"/>
    </row>
    <row r="271" ht="15" customHeight="1">
      <c r="A271" t="inlineStr">
        <is>
          <t>A 23088-2024</t>
        </is>
      </c>
      <c r="B271" s="1" t="n">
        <v>45450.51092592593</v>
      </c>
      <c r="C271" s="1" t="n">
        <v>45961</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29440-2024</t>
        </is>
      </c>
      <c r="B272" s="1" t="n">
        <v>45483.82479166667</v>
      </c>
      <c r="C272" s="1" t="n">
        <v>45961</v>
      </c>
      <c r="D272" t="inlineStr">
        <is>
          <t>KALMAR LÄN</t>
        </is>
      </c>
      <c r="E272" t="inlineStr">
        <is>
          <t>VIMMERBY</t>
        </is>
      </c>
      <c r="G272" t="n">
        <v>4.5</v>
      </c>
      <c r="H272" t="n">
        <v>0</v>
      </c>
      <c r="I272" t="n">
        <v>0</v>
      </c>
      <c r="J272" t="n">
        <v>0</v>
      </c>
      <c r="K272" t="n">
        <v>0</v>
      </c>
      <c r="L272" t="n">
        <v>0</v>
      </c>
      <c r="M272" t="n">
        <v>0</v>
      </c>
      <c r="N272" t="n">
        <v>0</v>
      </c>
      <c r="O272" t="n">
        <v>0</v>
      </c>
      <c r="P272" t="n">
        <v>0</v>
      </c>
      <c r="Q272" t="n">
        <v>0</v>
      </c>
      <c r="R272" s="2" t="inlineStr"/>
    </row>
    <row r="273" ht="15" customHeight="1">
      <c r="A273" t="inlineStr">
        <is>
          <t>A 30921-2024</t>
        </is>
      </c>
      <c r="B273" s="1" t="n">
        <v>45498</v>
      </c>
      <c r="C273" s="1" t="n">
        <v>45961</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53482-2022</t>
        </is>
      </c>
      <c r="B274" s="1" t="n">
        <v>44879</v>
      </c>
      <c r="C274" s="1" t="n">
        <v>45961</v>
      </c>
      <c r="D274" t="inlineStr">
        <is>
          <t>KALMAR LÄN</t>
        </is>
      </c>
      <c r="E274" t="inlineStr">
        <is>
          <t>VIMMERBY</t>
        </is>
      </c>
      <c r="G274" t="n">
        <v>10.1</v>
      </c>
      <c r="H274" t="n">
        <v>0</v>
      </c>
      <c r="I274" t="n">
        <v>0</v>
      </c>
      <c r="J274" t="n">
        <v>0</v>
      </c>
      <c r="K274" t="n">
        <v>0</v>
      </c>
      <c r="L274" t="n">
        <v>0</v>
      </c>
      <c r="M274" t="n">
        <v>0</v>
      </c>
      <c r="N274" t="n">
        <v>0</v>
      </c>
      <c r="O274" t="n">
        <v>0</v>
      </c>
      <c r="P274" t="n">
        <v>0</v>
      </c>
      <c r="Q274" t="n">
        <v>0</v>
      </c>
      <c r="R274" s="2" t="inlineStr"/>
    </row>
    <row r="275" ht="15" customHeight="1">
      <c r="A275" t="inlineStr">
        <is>
          <t>A 33352-2022</t>
        </is>
      </c>
      <c r="B275" s="1" t="n">
        <v>44788</v>
      </c>
      <c r="C275" s="1" t="n">
        <v>45961</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57189-2022</t>
        </is>
      </c>
      <c r="B276" s="1" t="n">
        <v>44895.62296296296</v>
      </c>
      <c r="C276" s="1" t="n">
        <v>45961</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46234-2024</t>
        </is>
      </c>
      <c r="B277" s="1" t="n">
        <v>45581.57958333333</v>
      </c>
      <c r="C277" s="1" t="n">
        <v>45961</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39053-2024</t>
        </is>
      </c>
      <c r="B278" s="1" t="n">
        <v>45548</v>
      </c>
      <c r="C278" s="1" t="n">
        <v>45961</v>
      </c>
      <c r="D278" t="inlineStr">
        <is>
          <t>KALMAR LÄN</t>
        </is>
      </c>
      <c r="E278" t="inlineStr">
        <is>
          <t>VIMMERBY</t>
        </is>
      </c>
      <c r="G278" t="n">
        <v>5</v>
      </c>
      <c r="H278" t="n">
        <v>0</v>
      </c>
      <c r="I278" t="n">
        <v>0</v>
      </c>
      <c r="J278" t="n">
        <v>0</v>
      </c>
      <c r="K278" t="n">
        <v>0</v>
      </c>
      <c r="L278" t="n">
        <v>0</v>
      </c>
      <c r="M278" t="n">
        <v>0</v>
      </c>
      <c r="N278" t="n">
        <v>0</v>
      </c>
      <c r="O278" t="n">
        <v>0</v>
      </c>
      <c r="P278" t="n">
        <v>0</v>
      </c>
      <c r="Q278" t="n">
        <v>0</v>
      </c>
      <c r="R278" s="2" t="inlineStr"/>
    </row>
    <row r="279" ht="15" customHeight="1">
      <c r="A279" t="inlineStr">
        <is>
          <t>A 15449-2023</t>
        </is>
      </c>
      <c r="B279" s="1" t="n">
        <v>45020</v>
      </c>
      <c r="C279" s="1" t="n">
        <v>45961</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43594-2024</t>
        </is>
      </c>
      <c r="B280" s="1" t="n">
        <v>45569.44295138889</v>
      </c>
      <c r="C280" s="1" t="n">
        <v>45961</v>
      </c>
      <c r="D280" t="inlineStr">
        <is>
          <t>KALMAR LÄN</t>
        </is>
      </c>
      <c r="E280" t="inlineStr">
        <is>
          <t>VIMMERBY</t>
        </is>
      </c>
      <c r="G280" t="n">
        <v>3.9</v>
      </c>
      <c r="H280" t="n">
        <v>0</v>
      </c>
      <c r="I280" t="n">
        <v>0</v>
      </c>
      <c r="J280" t="n">
        <v>0</v>
      </c>
      <c r="K280" t="n">
        <v>0</v>
      </c>
      <c r="L280" t="n">
        <v>0</v>
      </c>
      <c r="M280" t="n">
        <v>0</v>
      </c>
      <c r="N280" t="n">
        <v>0</v>
      </c>
      <c r="O280" t="n">
        <v>0</v>
      </c>
      <c r="P280" t="n">
        <v>0</v>
      </c>
      <c r="Q280" t="n">
        <v>0</v>
      </c>
      <c r="R280" s="2" t="inlineStr"/>
    </row>
    <row r="281" ht="15" customHeight="1">
      <c r="A281" t="inlineStr">
        <is>
          <t>A 17486-2024</t>
        </is>
      </c>
      <c r="B281" s="1" t="n">
        <v>45415.48979166667</v>
      </c>
      <c r="C281" s="1" t="n">
        <v>45961</v>
      </c>
      <c r="D281" t="inlineStr">
        <is>
          <t>KALMAR LÄN</t>
        </is>
      </c>
      <c r="E281" t="inlineStr">
        <is>
          <t>VIMMERBY</t>
        </is>
      </c>
      <c r="G281" t="n">
        <v>2.6</v>
      </c>
      <c r="H281" t="n">
        <v>0</v>
      </c>
      <c r="I281" t="n">
        <v>0</v>
      </c>
      <c r="J281" t="n">
        <v>0</v>
      </c>
      <c r="K281" t="n">
        <v>0</v>
      </c>
      <c r="L281" t="n">
        <v>0</v>
      </c>
      <c r="M281" t="n">
        <v>0</v>
      </c>
      <c r="N281" t="n">
        <v>0</v>
      </c>
      <c r="O281" t="n">
        <v>0</v>
      </c>
      <c r="P281" t="n">
        <v>0</v>
      </c>
      <c r="Q281" t="n">
        <v>0</v>
      </c>
      <c r="R281" s="2" t="inlineStr"/>
    </row>
    <row r="282" ht="15" customHeight="1">
      <c r="A282" t="inlineStr">
        <is>
          <t>A 7944-2024</t>
        </is>
      </c>
      <c r="B282" s="1" t="n">
        <v>45350.53306712963</v>
      </c>
      <c r="C282" s="1" t="n">
        <v>45961</v>
      </c>
      <c r="D282" t="inlineStr">
        <is>
          <t>KALMAR LÄN</t>
        </is>
      </c>
      <c r="E282" t="inlineStr">
        <is>
          <t>VIMMERBY</t>
        </is>
      </c>
      <c r="G282" t="n">
        <v>1.2</v>
      </c>
      <c r="H282" t="n">
        <v>0</v>
      </c>
      <c r="I282" t="n">
        <v>0</v>
      </c>
      <c r="J282" t="n">
        <v>0</v>
      </c>
      <c r="K282" t="n">
        <v>0</v>
      </c>
      <c r="L282" t="n">
        <v>0</v>
      </c>
      <c r="M282" t="n">
        <v>0</v>
      </c>
      <c r="N282" t="n">
        <v>0</v>
      </c>
      <c r="O282" t="n">
        <v>0</v>
      </c>
      <c r="P282" t="n">
        <v>0</v>
      </c>
      <c r="Q282" t="n">
        <v>0</v>
      </c>
      <c r="R282" s="2" t="inlineStr"/>
    </row>
    <row r="283" ht="15" customHeight="1">
      <c r="A283" t="inlineStr">
        <is>
          <t>A 29180-2024</t>
        </is>
      </c>
      <c r="B283" s="1" t="n">
        <v>45482.54108796296</v>
      </c>
      <c r="C283" s="1" t="n">
        <v>45961</v>
      </c>
      <c r="D283" t="inlineStr">
        <is>
          <t>KALMAR LÄN</t>
        </is>
      </c>
      <c r="E283" t="inlineStr">
        <is>
          <t>VIMMERBY</t>
        </is>
      </c>
      <c r="G283" t="n">
        <v>3.8</v>
      </c>
      <c r="H283" t="n">
        <v>0</v>
      </c>
      <c r="I283" t="n">
        <v>0</v>
      </c>
      <c r="J283" t="n">
        <v>0</v>
      </c>
      <c r="K283" t="n">
        <v>0</v>
      </c>
      <c r="L283" t="n">
        <v>0</v>
      </c>
      <c r="M283" t="n">
        <v>0</v>
      </c>
      <c r="N283" t="n">
        <v>0</v>
      </c>
      <c r="O283" t="n">
        <v>0</v>
      </c>
      <c r="P283" t="n">
        <v>0</v>
      </c>
      <c r="Q283" t="n">
        <v>0</v>
      </c>
      <c r="R283" s="2" t="inlineStr"/>
    </row>
    <row r="284" ht="15" customHeight="1">
      <c r="A284" t="inlineStr">
        <is>
          <t>A 14248-2023</t>
        </is>
      </c>
      <c r="B284" s="1" t="n">
        <v>45009</v>
      </c>
      <c r="C284" s="1" t="n">
        <v>45961</v>
      </c>
      <c r="D284" t="inlineStr">
        <is>
          <t>KALMAR LÄN</t>
        </is>
      </c>
      <c r="E284" t="inlineStr">
        <is>
          <t>VIMMERBY</t>
        </is>
      </c>
      <c r="G284" t="n">
        <v>2.6</v>
      </c>
      <c r="H284" t="n">
        <v>0</v>
      </c>
      <c r="I284" t="n">
        <v>0</v>
      </c>
      <c r="J284" t="n">
        <v>0</v>
      </c>
      <c r="K284" t="n">
        <v>0</v>
      </c>
      <c r="L284" t="n">
        <v>0</v>
      </c>
      <c r="M284" t="n">
        <v>0</v>
      </c>
      <c r="N284" t="n">
        <v>0</v>
      </c>
      <c r="O284" t="n">
        <v>0</v>
      </c>
      <c r="P284" t="n">
        <v>0</v>
      </c>
      <c r="Q284" t="n">
        <v>0</v>
      </c>
      <c r="R284" s="2" t="inlineStr"/>
    </row>
    <row r="285" ht="15" customHeight="1">
      <c r="A285" t="inlineStr">
        <is>
          <t>A 598-2025</t>
        </is>
      </c>
      <c r="B285" s="1" t="n">
        <v>45660</v>
      </c>
      <c r="C285" s="1" t="n">
        <v>45961</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10674-2021</t>
        </is>
      </c>
      <c r="B286" s="1" t="n">
        <v>44258</v>
      </c>
      <c r="C286" s="1" t="n">
        <v>45961</v>
      </c>
      <c r="D286" t="inlineStr">
        <is>
          <t>KALMAR LÄN</t>
        </is>
      </c>
      <c r="E286" t="inlineStr">
        <is>
          <t>VIMMERBY</t>
        </is>
      </c>
      <c r="G286" t="n">
        <v>8.4</v>
      </c>
      <c r="H286" t="n">
        <v>0</v>
      </c>
      <c r="I286" t="n">
        <v>0</v>
      </c>
      <c r="J286" t="n">
        <v>0</v>
      </c>
      <c r="K286" t="n">
        <v>0</v>
      </c>
      <c r="L286" t="n">
        <v>0</v>
      </c>
      <c r="M286" t="n">
        <v>0</v>
      </c>
      <c r="N286" t="n">
        <v>0</v>
      </c>
      <c r="O286" t="n">
        <v>0</v>
      </c>
      <c r="P286" t="n">
        <v>0</v>
      </c>
      <c r="Q286" t="n">
        <v>0</v>
      </c>
      <c r="R286" s="2" t="inlineStr"/>
    </row>
    <row r="287" ht="15" customHeight="1">
      <c r="A287" t="inlineStr">
        <is>
          <t>A 10807-2024</t>
        </is>
      </c>
      <c r="B287" s="1" t="n">
        <v>45369.62780092593</v>
      </c>
      <c r="C287" s="1" t="n">
        <v>45961</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29783-2024</t>
        </is>
      </c>
      <c r="B288" s="1" t="n">
        <v>45485.45778935185</v>
      </c>
      <c r="C288" s="1" t="n">
        <v>45961</v>
      </c>
      <c r="D288" t="inlineStr">
        <is>
          <t>KALMAR LÄN</t>
        </is>
      </c>
      <c r="E288" t="inlineStr">
        <is>
          <t>VIMMERBY</t>
        </is>
      </c>
      <c r="G288" t="n">
        <v>3.1</v>
      </c>
      <c r="H288" t="n">
        <v>0</v>
      </c>
      <c r="I288" t="n">
        <v>0</v>
      </c>
      <c r="J288" t="n">
        <v>0</v>
      </c>
      <c r="K288" t="n">
        <v>0</v>
      </c>
      <c r="L288" t="n">
        <v>0</v>
      </c>
      <c r="M288" t="n">
        <v>0</v>
      </c>
      <c r="N288" t="n">
        <v>0</v>
      </c>
      <c r="O288" t="n">
        <v>0</v>
      </c>
      <c r="P288" t="n">
        <v>0</v>
      </c>
      <c r="Q288" t="n">
        <v>0</v>
      </c>
      <c r="R288" s="2" t="inlineStr"/>
    </row>
    <row r="289" ht="15" customHeight="1">
      <c r="A289" t="inlineStr">
        <is>
          <t>A 54838-2024</t>
        </is>
      </c>
      <c r="B289" s="1" t="n">
        <v>45618.56787037037</v>
      </c>
      <c r="C289" s="1" t="n">
        <v>45961</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40260-2024</t>
        </is>
      </c>
      <c r="B290" s="1" t="n">
        <v>45554.63225694445</v>
      </c>
      <c r="C290" s="1" t="n">
        <v>45961</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10787-2025</t>
        </is>
      </c>
      <c r="B291" s="1" t="n">
        <v>45722.48915509259</v>
      </c>
      <c r="C291" s="1" t="n">
        <v>45961</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30400-2023</t>
        </is>
      </c>
      <c r="B292" s="1" t="n">
        <v>45111.48225694444</v>
      </c>
      <c r="C292" s="1" t="n">
        <v>45961</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30404-2023</t>
        </is>
      </c>
      <c r="B293" s="1" t="n">
        <v>45111.48636574074</v>
      </c>
      <c r="C293" s="1" t="n">
        <v>45961</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55123-2024</t>
        </is>
      </c>
      <c r="B294" s="1" t="n">
        <v>45621.46103009259</v>
      </c>
      <c r="C294" s="1" t="n">
        <v>45961</v>
      </c>
      <c r="D294" t="inlineStr">
        <is>
          <t>KALMAR LÄN</t>
        </is>
      </c>
      <c r="E294" t="inlineStr">
        <is>
          <t>VIMMERBY</t>
        </is>
      </c>
      <c r="G294" t="n">
        <v>3.1</v>
      </c>
      <c r="H294" t="n">
        <v>0</v>
      </c>
      <c r="I294" t="n">
        <v>0</v>
      </c>
      <c r="J294" t="n">
        <v>0</v>
      </c>
      <c r="K294" t="n">
        <v>0</v>
      </c>
      <c r="L294" t="n">
        <v>0</v>
      </c>
      <c r="M294" t="n">
        <v>0</v>
      </c>
      <c r="N294" t="n">
        <v>0</v>
      </c>
      <c r="O294" t="n">
        <v>0</v>
      </c>
      <c r="P294" t="n">
        <v>0</v>
      </c>
      <c r="Q294" t="n">
        <v>0</v>
      </c>
      <c r="R294" s="2" t="inlineStr"/>
    </row>
    <row r="295" ht="15" customHeight="1">
      <c r="A295" t="inlineStr">
        <is>
          <t>A 31405-2023</t>
        </is>
      </c>
      <c r="B295" s="1" t="n">
        <v>45114.58148148148</v>
      </c>
      <c r="C295" s="1" t="n">
        <v>45961</v>
      </c>
      <c r="D295" t="inlineStr">
        <is>
          <t>KALMAR LÄN</t>
        </is>
      </c>
      <c r="E295" t="inlineStr">
        <is>
          <t>VIMMERBY</t>
        </is>
      </c>
      <c r="G295" t="n">
        <v>2.6</v>
      </c>
      <c r="H295" t="n">
        <v>0</v>
      </c>
      <c r="I295" t="n">
        <v>0</v>
      </c>
      <c r="J295" t="n">
        <v>0</v>
      </c>
      <c r="K295" t="n">
        <v>0</v>
      </c>
      <c r="L295" t="n">
        <v>0</v>
      </c>
      <c r="M295" t="n">
        <v>0</v>
      </c>
      <c r="N295" t="n">
        <v>0</v>
      </c>
      <c r="O295" t="n">
        <v>0</v>
      </c>
      <c r="P295" t="n">
        <v>0</v>
      </c>
      <c r="Q295" t="n">
        <v>0</v>
      </c>
      <c r="R295" s="2" t="inlineStr"/>
    </row>
    <row r="296" ht="15" customHeight="1">
      <c r="A296" t="inlineStr">
        <is>
          <t>A 58577-2024</t>
        </is>
      </c>
      <c r="B296" s="1" t="n">
        <v>45635.4874537037</v>
      </c>
      <c r="C296" s="1" t="n">
        <v>45961</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25987-2024</t>
        </is>
      </c>
      <c r="B297" s="1" t="n">
        <v>45467.74417824074</v>
      </c>
      <c r="C297" s="1" t="n">
        <v>45961</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38198-2024</t>
        </is>
      </c>
      <c r="B298" s="1" t="n">
        <v>45545.49508101852</v>
      </c>
      <c r="C298" s="1" t="n">
        <v>45961</v>
      </c>
      <c r="D298" t="inlineStr">
        <is>
          <t>KALMAR LÄN</t>
        </is>
      </c>
      <c r="E298" t="inlineStr">
        <is>
          <t>VIMMERBY</t>
        </is>
      </c>
      <c r="G298" t="n">
        <v>7.9</v>
      </c>
      <c r="H298" t="n">
        <v>0</v>
      </c>
      <c r="I298" t="n">
        <v>0</v>
      </c>
      <c r="J298" t="n">
        <v>0</v>
      </c>
      <c r="K298" t="n">
        <v>0</v>
      </c>
      <c r="L298" t="n">
        <v>0</v>
      </c>
      <c r="M298" t="n">
        <v>0</v>
      </c>
      <c r="N298" t="n">
        <v>0</v>
      </c>
      <c r="O298" t="n">
        <v>0</v>
      </c>
      <c r="P298" t="n">
        <v>0</v>
      </c>
      <c r="Q298" t="n">
        <v>0</v>
      </c>
      <c r="R298" s="2" t="inlineStr"/>
    </row>
    <row r="299" ht="15" customHeight="1">
      <c r="A299" t="inlineStr">
        <is>
          <t>A 25109-2023</t>
        </is>
      </c>
      <c r="B299" s="1" t="n">
        <v>45086</v>
      </c>
      <c r="C299" s="1" t="n">
        <v>45961</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61878-2020</t>
        </is>
      </c>
      <c r="B300" s="1" t="n">
        <v>44159</v>
      </c>
      <c r="C300" s="1" t="n">
        <v>45961</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43617-2024</t>
        </is>
      </c>
      <c r="B301" s="1" t="n">
        <v>45569.47494212963</v>
      </c>
      <c r="C301" s="1" t="n">
        <v>45961</v>
      </c>
      <c r="D301" t="inlineStr">
        <is>
          <t>KALMAR LÄN</t>
        </is>
      </c>
      <c r="E301" t="inlineStr">
        <is>
          <t>VIMMERBY</t>
        </is>
      </c>
      <c r="G301" t="n">
        <v>2.7</v>
      </c>
      <c r="H301" t="n">
        <v>0</v>
      </c>
      <c r="I301" t="n">
        <v>0</v>
      </c>
      <c r="J301" t="n">
        <v>0</v>
      </c>
      <c r="K301" t="n">
        <v>0</v>
      </c>
      <c r="L301" t="n">
        <v>0</v>
      </c>
      <c r="M301" t="n">
        <v>0</v>
      </c>
      <c r="N301" t="n">
        <v>0</v>
      </c>
      <c r="O301" t="n">
        <v>0</v>
      </c>
      <c r="P301" t="n">
        <v>0</v>
      </c>
      <c r="Q301" t="n">
        <v>0</v>
      </c>
      <c r="R301" s="2" t="inlineStr"/>
    </row>
    <row r="302" ht="15" customHeight="1">
      <c r="A302" t="inlineStr">
        <is>
          <t>A 24707-2024</t>
        </is>
      </c>
      <c r="B302" s="1" t="n">
        <v>45460.62172453704</v>
      </c>
      <c r="C302" s="1" t="n">
        <v>45961</v>
      </c>
      <c r="D302" t="inlineStr">
        <is>
          <t>KALMAR LÄN</t>
        </is>
      </c>
      <c r="E302" t="inlineStr">
        <is>
          <t>VIMMERBY</t>
        </is>
      </c>
      <c r="G302" t="n">
        <v>1.7</v>
      </c>
      <c r="H302" t="n">
        <v>0</v>
      </c>
      <c r="I302" t="n">
        <v>0</v>
      </c>
      <c r="J302" t="n">
        <v>0</v>
      </c>
      <c r="K302" t="n">
        <v>0</v>
      </c>
      <c r="L302" t="n">
        <v>0</v>
      </c>
      <c r="M302" t="n">
        <v>0</v>
      </c>
      <c r="N302" t="n">
        <v>0</v>
      </c>
      <c r="O302" t="n">
        <v>0</v>
      </c>
      <c r="P302" t="n">
        <v>0</v>
      </c>
      <c r="Q302" t="n">
        <v>0</v>
      </c>
      <c r="R302" s="2" t="inlineStr"/>
    </row>
    <row r="303" ht="15" customHeight="1">
      <c r="A303" t="inlineStr">
        <is>
          <t>A 62023-2022</t>
        </is>
      </c>
      <c r="B303" s="1" t="n">
        <v>44918.50106481482</v>
      </c>
      <c r="C303" s="1" t="n">
        <v>45961</v>
      </c>
      <c r="D303" t="inlineStr">
        <is>
          <t>KALMAR LÄN</t>
        </is>
      </c>
      <c r="E303" t="inlineStr">
        <is>
          <t>VIMMERBY</t>
        </is>
      </c>
      <c r="G303" t="n">
        <v>0.3</v>
      </c>
      <c r="H303" t="n">
        <v>0</v>
      </c>
      <c r="I303" t="n">
        <v>0</v>
      </c>
      <c r="J303" t="n">
        <v>0</v>
      </c>
      <c r="K303" t="n">
        <v>0</v>
      </c>
      <c r="L303" t="n">
        <v>0</v>
      </c>
      <c r="M303" t="n">
        <v>0</v>
      </c>
      <c r="N303" t="n">
        <v>0</v>
      </c>
      <c r="O303" t="n">
        <v>0</v>
      </c>
      <c r="P303" t="n">
        <v>0</v>
      </c>
      <c r="Q303" t="n">
        <v>0</v>
      </c>
      <c r="R303" s="2" t="inlineStr"/>
    </row>
    <row r="304" ht="15" customHeight="1">
      <c r="A304" t="inlineStr">
        <is>
          <t>A 58104-2024</t>
        </is>
      </c>
      <c r="B304" s="1" t="n">
        <v>45632.37459490741</v>
      </c>
      <c r="C304" s="1" t="n">
        <v>45961</v>
      </c>
      <c r="D304" t="inlineStr">
        <is>
          <t>KALMAR LÄN</t>
        </is>
      </c>
      <c r="E304" t="inlineStr">
        <is>
          <t>VIMMERBY</t>
        </is>
      </c>
      <c r="G304" t="n">
        <v>5</v>
      </c>
      <c r="H304" t="n">
        <v>0</v>
      </c>
      <c r="I304" t="n">
        <v>0</v>
      </c>
      <c r="J304" t="n">
        <v>0</v>
      </c>
      <c r="K304" t="n">
        <v>0</v>
      </c>
      <c r="L304" t="n">
        <v>0</v>
      </c>
      <c r="M304" t="n">
        <v>0</v>
      </c>
      <c r="N304" t="n">
        <v>0</v>
      </c>
      <c r="O304" t="n">
        <v>0</v>
      </c>
      <c r="P304" t="n">
        <v>0</v>
      </c>
      <c r="Q304" t="n">
        <v>0</v>
      </c>
      <c r="R304" s="2" t="inlineStr"/>
    </row>
    <row r="305" ht="15" customHeight="1">
      <c r="A305" t="inlineStr">
        <is>
          <t>A 12215-2024</t>
        </is>
      </c>
      <c r="B305" s="1" t="n">
        <v>45378.32185185186</v>
      </c>
      <c r="C305" s="1" t="n">
        <v>45961</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30920-2024</t>
        </is>
      </c>
      <c r="B306" s="1" t="n">
        <v>45498.673125</v>
      </c>
      <c r="C306" s="1" t="n">
        <v>45961</v>
      </c>
      <c r="D306" t="inlineStr">
        <is>
          <t>KALMAR LÄN</t>
        </is>
      </c>
      <c r="E306" t="inlineStr">
        <is>
          <t>VIMMERBY</t>
        </is>
      </c>
      <c r="G306" t="n">
        <v>1.3</v>
      </c>
      <c r="H306" t="n">
        <v>0</v>
      </c>
      <c r="I306" t="n">
        <v>0</v>
      </c>
      <c r="J306" t="n">
        <v>0</v>
      </c>
      <c r="K306" t="n">
        <v>0</v>
      </c>
      <c r="L306" t="n">
        <v>0</v>
      </c>
      <c r="M306" t="n">
        <v>0</v>
      </c>
      <c r="N306" t="n">
        <v>0</v>
      </c>
      <c r="O306" t="n">
        <v>0</v>
      </c>
      <c r="P306" t="n">
        <v>0</v>
      </c>
      <c r="Q306" t="n">
        <v>0</v>
      </c>
      <c r="R306" s="2" t="inlineStr"/>
    </row>
    <row r="307" ht="15" customHeight="1">
      <c r="A307" t="inlineStr">
        <is>
          <t>A 36049-2024</t>
        </is>
      </c>
      <c r="B307" s="1" t="n">
        <v>45533.61996527778</v>
      </c>
      <c r="C307" s="1" t="n">
        <v>45961</v>
      </c>
      <c r="D307" t="inlineStr">
        <is>
          <t>KALMAR LÄN</t>
        </is>
      </c>
      <c r="E307" t="inlineStr">
        <is>
          <t>VIMMERBY</t>
        </is>
      </c>
      <c r="F307" t="inlineStr">
        <is>
          <t>Kommuner</t>
        </is>
      </c>
      <c r="G307" t="n">
        <v>2.6</v>
      </c>
      <c r="H307" t="n">
        <v>0</v>
      </c>
      <c r="I307" t="n">
        <v>0</v>
      </c>
      <c r="J307" t="n">
        <v>0</v>
      </c>
      <c r="K307" t="n">
        <v>0</v>
      </c>
      <c r="L307" t="n">
        <v>0</v>
      </c>
      <c r="M307" t="n">
        <v>0</v>
      </c>
      <c r="N307" t="n">
        <v>0</v>
      </c>
      <c r="O307" t="n">
        <v>0</v>
      </c>
      <c r="P307" t="n">
        <v>0</v>
      </c>
      <c r="Q307" t="n">
        <v>0</v>
      </c>
      <c r="R307" s="2" t="inlineStr"/>
    </row>
    <row r="308" ht="15" customHeight="1">
      <c r="A308" t="inlineStr">
        <is>
          <t>A 56536-2022</t>
        </is>
      </c>
      <c r="B308" s="1" t="n">
        <v>44893</v>
      </c>
      <c r="C308" s="1" t="n">
        <v>45961</v>
      </c>
      <c r="D308" t="inlineStr">
        <is>
          <t>KALMAR LÄN</t>
        </is>
      </c>
      <c r="E308" t="inlineStr">
        <is>
          <t>VIMMERBY</t>
        </is>
      </c>
      <c r="G308" t="n">
        <v>3.2</v>
      </c>
      <c r="H308" t="n">
        <v>0</v>
      </c>
      <c r="I308" t="n">
        <v>0</v>
      </c>
      <c r="J308" t="n">
        <v>0</v>
      </c>
      <c r="K308" t="n">
        <v>0</v>
      </c>
      <c r="L308" t="n">
        <v>0</v>
      </c>
      <c r="M308" t="n">
        <v>0</v>
      </c>
      <c r="N308" t="n">
        <v>0</v>
      </c>
      <c r="O308" t="n">
        <v>0</v>
      </c>
      <c r="P308" t="n">
        <v>0</v>
      </c>
      <c r="Q308" t="n">
        <v>0</v>
      </c>
      <c r="R308" s="2" t="inlineStr"/>
    </row>
    <row r="309" ht="15" customHeight="1">
      <c r="A309" t="inlineStr">
        <is>
          <t>A 22264-2023</t>
        </is>
      </c>
      <c r="B309" s="1" t="n">
        <v>45070.3665625</v>
      </c>
      <c r="C309" s="1" t="n">
        <v>45961</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22266-2023</t>
        </is>
      </c>
      <c r="B310" s="1" t="n">
        <v>45070</v>
      </c>
      <c r="C310" s="1" t="n">
        <v>45961</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63541-2023</t>
        </is>
      </c>
      <c r="B311" s="1" t="n">
        <v>45275.32266203704</v>
      </c>
      <c r="C311" s="1" t="n">
        <v>45961</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37323-2024</t>
        </is>
      </c>
      <c r="B312" s="1" t="n">
        <v>45540.50098379629</v>
      </c>
      <c r="C312" s="1" t="n">
        <v>45961</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50091-2023</t>
        </is>
      </c>
      <c r="B313" s="1" t="n">
        <v>45215.60199074074</v>
      </c>
      <c r="C313" s="1" t="n">
        <v>45961</v>
      </c>
      <c r="D313" t="inlineStr">
        <is>
          <t>KALMAR LÄN</t>
        </is>
      </c>
      <c r="E313" t="inlineStr">
        <is>
          <t>VIMMERBY</t>
        </is>
      </c>
      <c r="G313" t="n">
        <v>1.7</v>
      </c>
      <c r="H313" t="n">
        <v>0</v>
      </c>
      <c r="I313" t="n">
        <v>0</v>
      </c>
      <c r="J313" t="n">
        <v>0</v>
      </c>
      <c r="K313" t="n">
        <v>0</v>
      </c>
      <c r="L313" t="n">
        <v>0</v>
      </c>
      <c r="M313" t="n">
        <v>0</v>
      </c>
      <c r="N313" t="n">
        <v>0</v>
      </c>
      <c r="O313" t="n">
        <v>0</v>
      </c>
      <c r="P313" t="n">
        <v>0</v>
      </c>
      <c r="Q313" t="n">
        <v>0</v>
      </c>
      <c r="R313" s="2" t="inlineStr"/>
    </row>
    <row r="314" ht="15" customHeight="1">
      <c r="A314" t="inlineStr">
        <is>
          <t>A 10303-2025</t>
        </is>
      </c>
      <c r="B314" s="1" t="n">
        <v>45720.44217592593</v>
      </c>
      <c r="C314" s="1" t="n">
        <v>45961</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11027-2023</t>
        </is>
      </c>
      <c r="B315" s="1" t="n">
        <v>44991.89657407408</v>
      </c>
      <c r="C315" s="1" t="n">
        <v>45961</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11661-2023</t>
        </is>
      </c>
      <c r="B316" s="1" t="n">
        <v>44994.46908564815</v>
      </c>
      <c r="C316" s="1" t="n">
        <v>45961</v>
      </c>
      <c r="D316" t="inlineStr">
        <is>
          <t>KALMAR LÄN</t>
        </is>
      </c>
      <c r="E316" t="inlineStr">
        <is>
          <t>VIMMERBY</t>
        </is>
      </c>
      <c r="G316" t="n">
        <v>2.7</v>
      </c>
      <c r="H316" t="n">
        <v>0</v>
      </c>
      <c r="I316" t="n">
        <v>0</v>
      </c>
      <c r="J316" t="n">
        <v>0</v>
      </c>
      <c r="K316" t="n">
        <v>0</v>
      </c>
      <c r="L316" t="n">
        <v>0</v>
      </c>
      <c r="M316" t="n">
        <v>0</v>
      </c>
      <c r="N316" t="n">
        <v>0</v>
      </c>
      <c r="O316" t="n">
        <v>0</v>
      </c>
      <c r="P316" t="n">
        <v>0</v>
      </c>
      <c r="Q316" t="n">
        <v>0</v>
      </c>
      <c r="R316" s="2" t="inlineStr"/>
    </row>
    <row r="317" ht="15" customHeight="1">
      <c r="A317" t="inlineStr">
        <is>
          <t>A 36155-2023</t>
        </is>
      </c>
      <c r="B317" s="1" t="n">
        <v>45149.60917824074</v>
      </c>
      <c r="C317" s="1" t="n">
        <v>45961</v>
      </c>
      <c r="D317" t="inlineStr">
        <is>
          <t>KALMAR LÄN</t>
        </is>
      </c>
      <c r="E317" t="inlineStr">
        <is>
          <t>VIMMERBY</t>
        </is>
      </c>
      <c r="G317" t="n">
        <v>5</v>
      </c>
      <c r="H317" t="n">
        <v>0</v>
      </c>
      <c r="I317" t="n">
        <v>0</v>
      </c>
      <c r="J317" t="n">
        <v>0</v>
      </c>
      <c r="K317" t="n">
        <v>0</v>
      </c>
      <c r="L317" t="n">
        <v>0</v>
      </c>
      <c r="M317" t="n">
        <v>0</v>
      </c>
      <c r="N317" t="n">
        <v>0</v>
      </c>
      <c r="O317" t="n">
        <v>0</v>
      </c>
      <c r="P317" t="n">
        <v>0</v>
      </c>
      <c r="Q317" t="n">
        <v>0</v>
      </c>
      <c r="R317" s="2" t="inlineStr"/>
    </row>
    <row r="318" ht="15" customHeight="1">
      <c r="A318" t="inlineStr">
        <is>
          <t>A 40147-2023</t>
        </is>
      </c>
      <c r="B318" s="1" t="n">
        <v>45169</v>
      </c>
      <c r="C318" s="1" t="n">
        <v>45961</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11429-2022</t>
        </is>
      </c>
      <c r="B319" s="1" t="n">
        <v>44630</v>
      </c>
      <c r="C319" s="1" t="n">
        <v>45961</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58159-2024</t>
        </is>
      </c>
      <c r="B320" s="1" t="n">
        <v>45632.44886574074</v>
      </c>
      <c r="C320" s="1" t="n">
        <v>45961</v>
      </c>
      <c r="D320" t="inlineStr">
        <is>
          <t>KALMAR LÄN</t>
        </is>
      </c>
      <c r="E320" t="inlineStr">
        <is>
          <t>VIMMERBY</t>
        </is>
      </c>
      <c r="G320" t="n">
        <v>7.5</v>
      </c>
      <c r="H320" t="n">
        <v>0</v>
      </c>
      <c r="I320" t="n">
        <v>0</v>
      </c>
      <c r="J320" t="n">
        <v>0</v>
      </c>
      <c r="K320" t="n">
        <v>0</v>
      </c>
      <c r="L320" t="n">
        <v>0</v>
      </c>
      <c r="M320" t="n">
        <v>0</v>
      </c>
      <c r="N320" t="n">
        <v>0</v>
      </c>
      <c r="O320" t="n">
        <v>0</v>
      </c>
      <c r="P320" t="n">
        <v>0</v>
      </c>
      <c r="Q320" t="n">
        <v>0</v>
      </c>
      <c r="R320" s="2" t="inlineStr"/>
    </row>
    <row r="321" ht="15" customHeight="1">
      <c r="A321" t="inlineStr">
        <is>
          <t>A 56582-2022</t>
        </is>
      </c>
      <c r="B321" s="1" t="n">
        <v>44893</v>
      </c>
      <c r="C321" s="1" t="n">
        <v>45961</v>
      </c>
      <c r="D321" t="inlineStr">
        <is>
          <t>KALMAR LÄN</t>
        </is>
      </c>
      <c r="E321" t="inlineStr">
        <is>
          <t>VIMMERBY</t>
        </is>
      </c>
      <c r="G321" t="n">
        <v>2.2</v>
      </c>
      <c r="H321" t="n">
        <v>0</v>
      </c>
      <c r="I321" t="n">
        <v>0</v>
      </c>
      <c r="J321" t="n">
        <v>0</v>
      </c>
      <c r="K321" t="n">
        <v>0</v>
      </c>
      <c r="L321" t="n">
        <v>0</v>
      </c>
      <c r="M321" t="n">
        <v>0</v>
      </c>
      <c r="N321" t="n">
        <v>0</v>
      </c>
      <c r="O321" t="n">
        <v>0</v>
      </c>
      <c r="P321" t="n">
        <v>0</v>
      </c>
      <c r="Q321" t="n">
        <v>0</v>
      </c>
      <c r="R321" s="2" t="inlineStr"/>
    </row>
    <row r="322" ht="15" customHeight="1">
      <c r="A322" t="inlineStr">
        <is>
          <t>A 14359-2025</t>
        </is>
      </c>
      <c r="B322" s="1" t="n">
        <v>45741.37270833334</v>
      </c>
      <c r="C322" s="1" t="n">
        <v>45961</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63950-2023</t>
        </is>
      </c>
      <c r="B323" s="1" t="n">
        <v>45278</v>
      </c>
      <c r="C323" s="1" t="n">
        <v>45961</v>
      </c>
      <c r="D323" t="inlineStr">
        <is>
          <t>KALMAR LÄN</t>
        </is>
      </c>
      <c r="E323" t="inlineStr">
        <is>
          <t>VIMMERBY</t>
        </is>
      </c>
      <c r="F323" t="inlineStr">
        <is>
          <t>Kyrkan</t>
        </is>
      </c>
      <c r="G323" t="n">
        <v>2.7</v>
      </c>
      <c r="H323" t="n">
        <v>0</v>
      </c>
      <c r="I323" t="n">
        <v>0</v>
      </c>
      <c r="J323" t="n">
        <v>0</v>
      </c>
      <c r="K323" t="n">
        <v>0</v>
      </c>
      <c r="L323" t="n">
        <v>0</v>
      </c>
      <c r="M323" t="n">
        <v>0</v>
      </c>
      <c r="N323" t="n">
        <v>0</v>
      </c>
      <c r="O323" t="n">
        <v>0</v>
      </c>
      <c r="P323" t="n">
        <v>0</v>
      </c>
      <c r="Q323" t="n">
        <v>0</v>
      </c>
      <c r="R323" s="2" t="inlineStr"/>
    </row>
    <row r="324" ht="15" customHeight="1">
      <c r="A324" t="inlineStr">
        <is>
          <t>A 24096-2024</t>
        </is>
      </c>
      <c r="B324" s="1" t="n">
        <v>45456.59289351852</v>
      </c>
      <c r="C324" s="1" t="n">
        <v>45961</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6408-2025</t>
        </is>
      </c>
      <c r="B325" s="1" t="n">
        <v>45699.45671296296</v>
      </c>
      <c r="C325" s="1" t="n">
        <v>45961</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39578-2024</t>
        </is>
      </c>
      <c r="B326" s="1" t="n">
        <v>45552.36484953704</v>
      </c>
      <c r="C326" s="1" t="n">
        <v>45961</v>
      </c>
      <c r="D326" t="inlineStr">
        <is>
          <t>KALMAR LÄN</t>
        </is>
      </c>
      <c r="E326" t="inlineStr">
        <is>
          <t>VIMMERBY</t>
        </is>
      </c>
      <c r="G326" t="n">
        <v>1.5</v>
      </c>
      <c r="H326" t="n">
        <v>0</v>
      </c>
      <c r="I326" t="n">
        <v>0</v>
      </c>
      <c r="J326" t="n">
        <v>0</v>
      </c>
      <c r="K326" t="n">
        <v>0</v>
      </c>
      <c r="L326" t="n">
        <v>0</v>
      </c>
      <c r="M326" t="n">
        <v>0</v>
      </c>
      <c r="N326" t="n">
        <v>0</v>
      </c>
      <c r="O326" t="n">
        <v>0</v>
      </c>
      <c r="P326" t="n">
        <v>0</v>
      </c>
      <c r="Q326" t="n">
        <v>0</v>
      </c>
      <c r="R326" s="2" t="inlineStr"/>
    </row>
    <row r="327" ht="15" customHeight="1">
      <c r="A327" t="inlineStr">
        <is>
          <t>A 13015-2023</t>
        </is>
      </c>
      <c r="B327" s="1" t="n">
        <v>45002</v>
      </c>
      <c r="C327" s="1" t="n">
        <v>45961</v>
      </c>
      <c r="D327" t="inlineStr">
        <is>
          <t>KALMAR LÄN</t>
        </is>
      </c>
      <c r="E327" t="inlineStr">
        <is>
          <t>VIMMERBY</t>
        </is>
      </c>
      <c r="G327" t="n">
        <v>3.2</v>
      </c>
      <c r="H327" t="n">
        <v>0</v>
      </c>
      <c r="I327" t="n">
        <v>0</v>
      </c>
      <c r="J327" t="n">
        <v>0</v>
      </c>
      <c r="K327" t="n">
        <v>0</v>
      </c>
      <c r="L327" t="n">
        <v>0</v>
      </c>
      <c r="M327" t="n">
        <v>0</v>
      </c>
      <c r="N327" t="n">
        <v>0</v>
      </c>
      <c r="O327" t="n">
        <v>0</v>
      </c>
      <c r="P327" t="n">
        <v>0</v>
      </c>
      <c r="Q327" t="n">
        <v>0</v>
      </c>
      <c r="R327" s="2" t="inlineStr"/>
    </row>
    <row r="328" ht="15" customHeight="1">
      <c r="A328" t="inlineStr">
        <is>
          <t>A 11609-2023</t>
        </is>
      </c>
      <c r="B328" s="1" t="n">
        <v>44994.40635416667</v>
      </c>
      <c r="C328" s="1" t="n">
        <v>45961</v>
      </c>
      <c r="D328" t="inlineStr">
        <is>
          <t>KALMAR LÄN</t>
        </is>
      </c>
      <c r="E328" t="inlineStr">
        <is>
          <t>VIMMERBY</t>
        </is>
      </c>
      <c r="G328" t="n">
        <v>4.9</v>
      </c>
      <c r="H328" t="n">
        <v>0</v>
      </c>
      <c r="I328" t="n">
        <v>0</v>
      </c>
      <c r="J328" t="n">
        <v>0</v>
      </c>
      <c r="K328" t="n">
        <v>0</v>
      </c>
      <c r="L328" t="n">
        <v>0</v>
      </c>
      <c r="M328" t="n">
        <v>0</v>
      </c>
      <c r="N328" t="n">
        <v>0</v>
      </c>
      <c r="O328" t="n">
        <v>0</v>
      </c>
      <c r="P328" t="n">
        <v>0</v>
      </c>
      <c r="Q328" t="n">
        <v>0</v>
      </c>
      <c r="R328" s="2" t="inlineStr"/>
    </row>
    <row r="329" ht="15" customHeight="1">
      <c r="A329" t="inlineStr">
        <is>
          <t>A 44464-2024</t>
        </is>
      </c>
      <c r="B329" s="1" t="n">
        <v>45574.35809027778</v>
      </c>
      <c r="C329" s="1" t="n">
        <v>45961</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41199-2023</t>
        </is>
      </c>
      <c r="B330" s="1" t="n">
        <v>45174.40454861111</v>
      </c>
      <c r="C330" s="1" t="n">
        <v>45961</v>
      </c>
      <c r="D330" t="inlineStr">
        <is>
          <t>KALMAR LÄN</t>
        </is>
      </c>
      <c r="E330" t="inlineStr">
        <is>
          <t>VIMMERBY</t>
        </is>
      </c>
      <c r="G330" t="n">
        <v>1.3</v>
      </c>
      <c r="H330" t="n">
        <v>0</v>
      </c>
      <c r="I330" t="n">
        <v>0</v>
      </c>
      <c r="J330" t="n">
        <v>0</v>
      </c>
      <c r="K330" t="n">
        <v>0</v>
      </c>
      <c r="L330" t="n">
        <v>0</v>
      </c>
      <c r="M330" t="n">
        <v>0</v>
      </c>
      <c r="N330" t="n">
        <v>0</v>
      </c>
      <c r="O330" t="n">
        <v>0</v>
      </c>
      <c r="P330" t="n">
        <v>0</v>
      </c>
      <c r="Q330" t="n">
        <v>0</v>
      </c>
      <c r="R330" s="2" t="inlineStr"/>
    </row>
    <row r="331" ht="15" customHeight="1">
      <c r="A331" t="inlineStr">
        <is>
          <t>A 41066-2024</t>
        </is>
      </c>
      <c r="B331" s="1" t="n">
        <v>45559.38876157408</v>
      </c>
      <c r="C331" s="1" t="n">
        <v>45961</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36014-2024</t>
        </is>
      </c>
      <c r="B332" s="1" t="n">
        <v>45533.56108796296</v>
      </c>
      <c r="C332" s="1" t="n">
        <v>45961</v>
      </c>
      <c r="D332" t="inlineStr">
        <is>
          <t>KALMAR LÄN</t>
        </is>
      </c>
      <c r="E332" t="inlineStr">
        <is>
          <t>VIMMERBY</t>
        </is>
      </c>
      <c r="G332" t="n">
        <v>2.3</v>
      </c>
      <c r="H332" t="n">
        <v>0</v>
      </c>
      <c r="I332" t="n">
        <v>0</v>
      </c>
      <c r="J332" t="n">
        <v>0</v>
      </c>
      <c r="K332" t="n">
        <v>0</v>
      </c>
      <c r="L332" t="n">
        <v>0</v>
      </c>
      <c r="M332" t="n">
        <v>0</v>
      </c>
      <c r="N332" t="n">
        <v>0</v>
      </c>
      <c r="O332" t="n">
        <v>0</v>
      </c>
      <c r="P332" t="n">
        <v>0</v>
      </c>
      <c r="Q332" t="n">
        <v>0</v>
      </c>
      <c r="R332" s="2" t="inlineStr"/>
    </row>
    <row r="333" ht="15" customHeight="1">
      <c r="A333" t="inlineStr">
        <is>
          <t>A 36030-2024</t>
        </is>
      </c>
      <c r="B333" s="1" t="n">
        <v>45533.58302083334</v>
      </c>
      <c r="C333" s="1" t="n">
        <v>45961</v>
      </c>
      <c r="D333" t="inlineStr">
        <is>
          <t>KALMAR LÄN</t>
        </is>
      </c>
      <c r="E333" t="inlineStr">
        <is>
          <t>VIMMERBY</t>
        </is>
      </c>
      <c r="F333" t="inlineStr">
        <is>
          <t>Kommuner</t>
        </is>
      </c>
      <c r="G333" t="n">
        <v>4</v>
      </c>
      <c r="H333" t="n">
        <v>0</v>
      </c>
      <c r="I333" t="n">
        <v>0</v>
      </c>
      <c r="J333" t="n">
        <v>0</v>
      </c>
      <c r="K333" t="n">
        <v>0</v>
      </c>
      <c r="L333" t="n">
        <v>0</v>
      </c>
      <c r="M333" t="n">
        <v>0</v>
      </c>
      <c r="N333" t="n">
        <v>0</v>
      </c>
      <c r="O333" t="n">
        <v>0</v>
      </c>
      <c r="P333" t="n">
        <v>0</v>
      </c>
      <c r="Q333" t="n">
        <v>0</v>
      </c>
      <c r="R333" s="2" t="inlineStr"/>
    </row>
    <row r="334" ht="15" customHeight="1">
      <c r="A334" t="inlineStr">
        <is>
          <t>A 62779-2023</t>
        </is>
      </c>
      <c r="B334" s="1" t="n">
        <v>45271.66576388889</v>
      </c>
      <c r="C334" s="1" t="n">
        <v>45961</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46399-2024</t>
        </is>
      </c>
      <c r="B335" s="1" t="n">
        <v>45582.41200231481</v>
      </c>
      <c r="C335" s="1" t="n">
        <v>45961</v>
      </c>
      <c r="D335" t="inlineStr">
        <is>
          <t>KALMAR LÄN</t>
        </is>
      </c>
      <c r="E335" t="inlineStr">
        <is>
          <t>VIMMERBY</t>
        </is>
      </c>
      <c r="G335" t="n">
        <v>4.6</v>
      </c>
      <c r="H335" t="n">
        <v>0</v>
      </c>
      <c r="I335" t="n">
        <v>0</v>
      </c>
      <c r="J335" t="n">
        <v>0</v>
      </c>
      <c r="K335" t="n">
        <v>0</v>
      </c>
      <c r="L335" t="n">
        <v>0</v>
      </c>
      <c r="M335" t="n">
        <v>0</v>
      </c>
      <c r="N335" t="n">
        <v>0</v>
      </c>
      <c r="O335" t="n">
        <v>0</v>
      </c>
      <c r="P335" t="n">
        <v>0</v>
      </c>
      <c r="Q335" t="n">
        <v>0</v>
      </c>
      <c r="R335" s="2" t="inlineStr"/>
    </row>
    <row r="336" ht="15" customHeight="1">
      <c r="A336" t="inlineStr">
        <is>
          <t>A 3816-2022</t>
        </is>
      </c>
      <c r="B336" s="1" t="n">
        <v>44587</v>
      </c>
      <c r="C336" s="1" t="n">
        <v>45961</v>
      </c>
      <c r="D336" t="inlineStr">
        <is>
          <t>KALMAR LÄN</t>
        </is>
      </c>
      <c r="E336" t="inlineStr">
        <is>
          <t>VIMMERBY</t>
        </is>
      </c>
      <c r="G336" t="n">
        <v>1.2</v>
      </c>
      <c r="H336" t="n">
        <v>0</v>
      </c>
      <c r="I336" t="n">
        <v>0</v>
      </c>
      <c r="J336" t="n">
        <v>0</v>
      </c>
      <c r="K336" t="n">
        <v>0</v>
      </c>
      <c r="L336" t="n">
        <v>0</v>
      </c>
      <c r="M336" t="n">
        <v>0</v>
      </c>
      <c r="N336" t="n">
        <v>0</v>
      </c>
      <c r="O336" t="n">
        <v>0</v>
      </c>
      <c r="P336" t="n">
        <v>0</v>
      </c>
      <c r="Q336" t="n">
        <v>0</v>
      </c>
      <c r="R336" s="2" t="inlineStr"/>
    </row>
    <row r="337" ht="15" customHeight="1">
      <c r="A337" t="inlineStr">
        <is>
          <t>A 6321-2023</t>
        </is>
      </c>
      <c r="B337" s="1" t="n">
        <v>44965.4815162037</v>
      </c>
      <c r="C337" s="1" t="n">
        <v>45961</v>
      </c>
      <c r="D337" t="inlineStr">
        <is>
          <t>KALMAR LÄN</t>
        </is>
      </c>
      <c r="E337" t="inlineStr">
        <is>
          <t>VIMMERBY</t>
        </is>
      </c>
      <c r="G337" t="n">
        <v>1.8</v>
      </c>
      <c r="H337" t="n">
        <v>0</v>
      </c>
      <c r="I337" t="n">
        <v>0</v>
      </c>
      <c r="J337" t="n">
        <v>0</v>
      </c>
      <c r="K337" t="n">
        <v>0</v>
      </c>
      <c r="L337" t="n">
        <v>0</v>
      </c>
      <c r="M337" t="n">
        <v>0</v>
      </c>
      <c r="N337" t="n">
        <v>0</v>
      </c>
      <c r="O337" t="n">
        <v>0</v>
      </c>
      <c r="P337" t="n">
        <v>0</v>
      </c>
      <c r="Q337" t="n">
        <v>0</v>
      </c>
      <c r="R337" s="2" t="inlineStr"/>
    </row>
    <row r="338" ht="15" customHeight="1">
      <c r="A338" t="inlineStr">
        <is>
          <t>A 3425-2022</t>
        </is>
      </c>
      <c r="B338" s="1" t="n">
        <v>44585.51060185185</v>
      </c>
      <c r="C338" s="1" t="n">
        <v>45961</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43962-2024</t>
        </is>
      </c>
      <c r="B339" s="1" t="n">
        <v>45572.48293981481</v>
      </c>
      <c r="C339" s="1" t="n">
        <v>45961</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12810-2023</t>
        </is>
      </c>
      <c r="B340" s="1" t="n">
        <v>45001.43854166667</v>
      </c>
      <c r="C340" s="1" t="n">
        <v>45961</v>
      </c>
      <c r="D340" t="inlineStr">
        <is>
          <t>KALMAR LÄN</t>
        </is>
      </c>
      <c r="E340" t="inlineStr">
        <is>
          <t>VIMMERBY</t>
        </is>
      </c>
      <c r="G340" t="n">
        <v>1.5</v>
      </c>
      <c r="H340" t="n">
        <v>0</v>
      </c>
      <c r="I340" t="n">
        <v>0</v>
      </c>
      <c r="J340" t="n">
        <v>0</v>
      </c>
      <c r="K340" t="n">
        <v>0</v>
      </c>
      <c r="L340" t="n">
        <v>0</v>
      </c>
      <c r="M340" t="n">
        <v>0</v>
      </c>
      <c r="N340" t="n">
        <v>0</v>
      </c>
      <c r="O340" t="n">
        <v>0</v>
      </c>
      <c r="P340" t="n">
        <v>0</v>
      </c>
      <c r="Q340" t="n">
        <v>0</v>
      </c>
      <c r="R340" s="2" t="inlineStr"/>
    </row>
    <row r="341" ht="15" customHeight="1">
      <c r="A341" t="inlineStr">
        <is>
          <t>A 1081-2023</t>
        </is>
      </c>
      <c r="B341" s="1" t="n">
        <v>44935</v>
      </c>
      <c r="C341" s="1" t="n">
        <v>45961</v>
      </c>
      <c r="D341" t="inlineStr">
        <is>
          <t>KALMAR LÄN</t>
        </is>
      </c>
      <c r="E341" t="inlineStr">
        <is>
          <t>VIMMERBY</t>
        </is>
      </c>
      <c r="G341" t="n">
        <v>1.3</v>
      </c>
      <c r="H341" t="n">
        <v>0</v>
      </c>
      <c r="I341" t="n">
        <v>0</v>
      </c>
      <c r="J341" t="n">
        <v>0</v>
      </c>
      <c r="K341" t="n">
        <v>0</v>
      </c>
      <c r="L341" t="n">
        <v>0</v>
      </c>
      <c r="M341" t="n">
        <v>0</v>
      </c>
      <c r="N341" t="n">
        <v>0</v>
      </c>
      <c r="O341" t="n">
        <v>0</v>
      </c>
      <c r="P341" t="n">
        <v>0</v>
      </c>
      <c r="Q341" t="n">
        <v>0</v>
      </c>
      <c r="R341" s="2" t="inlineStr"/>
    </row>
    <row r="342" ht="15" customHeight="1">
      <c r="A342" t="inlineStr">
        <is>
          <t>A 7047-2022</t>
        </is>
      </c>
      <c r="B342" s="1" t="n">
        <v>44603</v>
      </c>
      <c r="C342" s="1" t="n">
        <v>45961</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12499-2023</t>
        </is>
      </c>
      <c r="B343" s="1" t="n">
        <v>44999.86172453704</v>
      </c>
      <c r="C343" s="1" t="n">
        <v>45961</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12500-2023</t>
        </is>
      </c>
      <c r="B344" s="1" t="n">
        <v>44999.8625</v>
      </c>
      <c r="C344" s="1" t="n">
        <v>45961</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43068-2023</t>
        </is>
      </c>
      <c r="B345" s="1" t="n">
        <v>45182.78834490741</v>
      </c>
      <c r="C345" s="1" t="n">
        <v>45961</v>
      </c>
      <c r="D345" t="inlineStr">
        <is>
          <t>KALMAR LÄN</t>
        </is>
      </c>
      <c r="E345" t="inlineStr">
        <is>
          <t>VIMMERBY</t>
        </is>
      </c>
      <c r="G345" t="n">
        <v>1.5</v>
      </c>
      <c r="H345" t="n">
        <v>0</v>
      </c>
      <c r="I345" t="n">
        <v>0</v>
      </c>
      <c r="J345" t="n">
        <v>0</v>
      </c>
      <c r="K345" t="n">
        <v>0</v>
      </c>
      <c r="L345" t="n">
        <v>0</v>
      </c>
      <c r="M345" t="n">
        <v>0</v>
      </c>
      <c r="N345" t="n">
        <v>0</v>
      </c>
      <c r="O345" t="n">
        <v>0</v>
      </c>
      <c r="P345" t="n">
        <v>0</v>
      </c>
      <c r="Q345" t="n">
        <v>0</v>
      </c>
      <c r="R345" s="2" t="inlineStr"/>
    </row>
    <row r="346" ht="15" customHeight="1">
      <c r="A346" t="inlineStr">
        <is>
          <t>A 52755-2022</t>
        </is>
      </c>
      <c r="B346" s="1" t="n">
        <v>44875.27736111111</v>
      </c>
      <c r="C346" s="1" t="n">
        <v>45961</v>
      </c>
      <c r="D346" t="inlineStr">
        <is>
          <t>KALMAR LÄN</t>
        </is>
      </c>
      <c r="E346" t="inlineStr">
        <is>
          <t>VIMMERBY</t>
        </is>
      </c>
      <c r="G346" t="n">
        <v>1.1</v>
      </c>
      <c r="H346" t="n">
        <v>0</v>
      </c>
      <c r="I346" t="n">
        <v>0</v>
      </c>
      <c r="J346" t="n">
        <v>0</v>
      </c>
      <c r="K346" t="n">
        <v>0</v>
      </c>
      <c r="L346" t="n">
        <v>0</v>
      </c>
      <c r="M346" t="n">
        <v>0</v>
      </c>
      <c r="N346" t="n">
        <v>0</v>
      </c>
      <c r="O346" t="n">
        <v>0</v>
      </c>
      <c r="P346" t="n">
        <v>0</v>
      </c>
      <c r="Q346" t="n">
        <v>0</v>
      </c>
      <c r="R346" s="2" t="inlineStr"/>
    </row>
    <row r="347" ht="15" customHeight="1">
      <c r="A347" t="inlineStr">
        <is>
          <t>A 6066-2023</t>
        </is>
      </c>
      <c r="B347" s="1" t="n">
        <v>44964.50894675926</v>
      </c>
      <c r="C347" s="1" t="n">
        <v>45961</v>
      </c>
      <c r="D347" t="inlineStr">
        <is>
          <t>KALMAR LÄN</t>
        </is>
      </c>
      <c r="E347" t="inlineStr">
        <is>
          <t>VIMMERBY</t>
        </is>
      </c>
      <c r="G347" t="n">
        <v>2.8</v>
      </c>
      <c r="H347" t="n">
        <v>0</v>
      </c>
      <c r="I347" t="n">
        <v>0</v>
      </c>
      <c r="J347" t="n">
        <v>0</v>
      </c>
      <c r="K347" t="n">
        <v>0</v>
      </c>
      <c r="L347" t="n">
        <v>0</v>
      </c>
      <c r="M347" t="n">
        <v>0</v>
      </c>
      <c r="N347" t="n">
        <v>0</v>
      </c>
      <c r="O347" t="n">
        <v>0</v>
      </c>
      <c r="P347" t="n">
        <v>0</v>
      </c>
      <c r="Q347" t="n">
        <v>0</v>
      </c>
      <c r="R347" s="2" t="inlineStr"/>
    </row>
    <row r="348" ht="15" customHeight="1">
      <c r="A348" t="inlineStr">
        <is>
          <t>A 40823-2023</t>
        </is>
      </c>
      <c r="B348" s="1" t="n">
        <v>45171.77335648148</v>
      </c>
      <c r="C348" s="1" t="n">
        <v>45961</v>
      </c>
      <c r="D348" t="inlineStr">
        <is>
          <t>KALMAR LÄN</t>
        </is>
      </c>
      <c r="E348" t="inlineStr">
        <is>
          <t>VIMMERBY</t>
        </is>
      </c>
      <c r="G348" t="n">
        <v>2.7</v>
      </c>
      <c r="H348" t="n">
        <v>0</v>
      </c>
      <c r="I348" t="n">
        <v>0</v>
      </c>
      <c r="J348" t="n">
        <v>0</v>
      </c>
      <c r="K348" t="n">
        <v>0</v>
      </c>
      <c r="L348" t="n">
        <v>0</v>
      </c>
      <c r="M348" t="n">
        <v>0</v>
      </c>
      <c r="N348" t="n">
        <v>0</v>
      </c>
      <c r="O348" t="n">
        <v>0</v>
      </c>
      <c r="P348" t="n">
        <v>0</v>
      </c>
      <c r="Q348" t="n">
        <v>0</v>
      </c>
      <c r="R348" s="2" t="inlineStr"/>
    </row>
    <row r="349" ht="15" customHeight="1">
      <c r="A349" t="inlineStr">
        <is>
          <t>A 33103-2024</t>
        </is>
      </c>
      <c r="B349" s="1" t="n">
        <v>45517.8162037037</v>
      </c>
      <c r="C349" s="1" t="n">
        <v>45961</v>
      </c>
      <c r="D349" t="inlineStr">
        <is>
          <t>KALMAR LÄN</t>
        </is>
      </c>
      <c r="E349" t="inlineStr">
        <is>
          <t>VIMMERBY</t>
        </is>
      </c>
      <c r="G349" t="n">
        <v>1.6</v>
      </c>
      <c r="H349" t="n">
        <v>0</v>
      </c>
      <c r="I349" t="n">
        <v>0</v>
      </c>
      <c r="J349" t="n">
        <v>0</v>
      </c>
      <c r="K349" t="n">
        <v>0</v>
      </c>
      <c r="L349" t="n">
        <v>0</v>
      </c>
      <c r="M349" t="n">
        <v>0</v>
      </c>
      <c r="N349" t="n">
        <v>0</v>
      </c>
      <c r="O349" t="n">
        <v>0</v>
      </c>
      <c r="P349" t="n">
        <v>0</v>
      </c>
      <c r="Q349" t="n">
        <v>0</v>
      </c>
      <c r="R349" s="2" t="inlineStr"/>
    </row>
    <row r="350" ht="15" customHeight="1">
      <c r="A350" t="inlineStr">
        <is>
          <t>A 33161-2024</t>
        </is>
      </c>
      <c r="B350" s="1" t="n">
        <v>45518.40657407408</v>
      </c>
      <c r="C350" s="1" t="n">
        <v>45961</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12510-2022</t>
        </is>
      </c>
      <c r="B351" s="1" t="n">
        <v>44638.55256944444</v>
      </c>
      <c r="C351" s="1" t="n">
        <v>45961</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12075-2024</t>
        </is>
      </c>
      <c r="B352" s="1" t="n">
        <v>45377</v>
      </c>
      <c r="C352" s="1" t="n">
        <v>45961</v>
      </c>
      <c r="D352" t="inlineStr">
        <is>
          <t>KALMAR LÄN</t>
        </is>
      </c>
      <c r="E352" t="inlineStr">
        <is>
          <t>VIMMERBY</t>
        </is>
      </c>
      <c r="G352" t="n">
        <v>3.7</v>
      </c>
      <c r="H352" t="n">
        <v>0</v>
      </c>
      <c r="I352" t="n">
        <v>0</v>
      </c>
      <c r="J352" t="n">
        <v>0</v>
      </c>
      <c r="K352" t="n">
        <v>0</v>
      </c>
      <c r="L352" t="n">
        <v>0</v>
      </c>
      <c r="M352" t="n">
        <v>0</v>
      </c>
      <c r="N352" t="n">
        <v>0</v>
      </c>
      <c r="O352" t="n">
        <v>0</v>
      </c>
      <c r="P352" t="n">
        <v>0</v>
      </c>
      <c r="Q352" t="n">
        <v>0</v>
      </c>
      <c r="R352" s="2" t="inlineStr"/>
    </row>
    <row r="353" ht="15" customHeight="1">
      <c r="A353" t="inlineStr">
        <is>
          <t>A 27761-2024</t>
        </is>
      </c>
      <c r="B353" s="1" t="n">
        <v>45475.49018518518</v>
      </c>
      <c r="C353" s="1" t="n">
        <v>45961</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21028-2023</t>
        </is>
      </c>
      <c r="B354" s="1" t="n">
        <v>45061</v>
      </c>
      <c r="C354" s="1" t="n">
        <v>45961</v>
      </c>
      <c r="D354" t="inlineStr">
        <is>
          <t>KALMAR LÄN</t>
        </is>
      </c>
      <c r="E354" t="inlineStr">
        <is>
          <t>VIMMERBY</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64203-2021</t>
        </is>
      </c>
      <c r="B355" s="1" t="n">
        <v>44510.60921296296</v>
      </c>
      <c r="C355" s="1" t="n">
        <v>45961</v>
      </c>
      <c r="D355" t="inlineStr">
        <is>
          <t>KALMAR LÄN</t>
        </is>
      </c>
      <c r="E355" t="inlineStr">
        <is>
          <t>VIMMERBY</t>
        </is>
      </c>
      <c r="F355" t="inlineStr">
        <is>
          <t>Övriga Aktiebolag</t>
        </is>
      </c>
      <c r="G355" t="n">
        <v>5.4</v>
      </c>
      <c r="H355" t="n">
        <v>0</v>
      </c>
      <c r="I355" t="n">
        <v>0</v>
      </c>
      <c r="J355" t="n">
        <v>0</v>
      </c>
      <c r="K355" t="n">
        <v>0</v>
      </c>
      <c r="L355" t="n">
        <v>0</v>
      </c>
      <c r="M355" t="n">
        <v>0</v>
      </c>
      <c r="N355" t="n">
        <v>0</v>
      </c>
      <c r="O355" t="n">
        <v>0</v>
      </c>
      <c r="P355" t="n">
        <v>0</v>
      </c>
      <c r="Q355" t="n">
        <v>0</v>
      </c>
      <c r="R355" s="2" t="inlineStr"/>
    </row>
    <row r="356" ht="15" customHeight="1">
      <c r="A356" t="inlineStr">
        <is>
          <t>A 1799-2025</t>
        </is>
      </c>
      <c r="B356" s="1" t="n">
        <v>45671.46746527778</v>
      </c>
      <c r="C356" s="1" t="n">
        <v>45961</v>
      </c>
      <c r="D356" t="inlineStr">
        <is>
          <t>KALMAR LÄN</t>
        </is>
      </c>
      <c r="E356" t="inlineStr">
        <is>
          <t>VIMMERBY</t>
        </is>
      </c>
      <c r="G356" t="n">
        <v>3.3</v>
      </c>
      <c r="H356" t="n">
        <v>0</v>
      </c>
      <c r="I356" t="n">
        <v>0</v>
      </c>
      <c r="J356" t="n">
        <v>0</v>
      </c>
      <c r="K356" t="n">
        <v>0</v>
      </c>
      <c r="L356" t="n">
        <v>0</v>
      </c>
      <c r="M356" t="n">
        <v>0</v>
      </c>
      <c r="N356" t="n">
        <v>0</v>
      </c>
      <c r="O356" t="n">
        <v>0</v>
      </c>
      <c r="P356" t="n">
        <v>0</v>
      </c>
      <c r="Q356" t="n">
        <v>0</v>
      </c>
      <c r="R356" s="2" t="inlineStr"/>
    </row>
    <row r="357" ht="15" customHeight="1">
      <c r="A357" t="inlineStr">
        <is>
          <t>A 1146-2025</t>
        </is>
      </c>
      <c r="B357" s="1" t="n">
        <v>45666</v>
      </c>
      <c r="C357" s="1" t="n">
        <v>45961</v>
      </c>
      <c r="D357" t="inlineStr">
        <is>
          <t>KALMAR LÄN</t>
        </is>
      </c>
      <c r="E357" t="inlineStr">
        <is>
          <t>VIMMERBY</t>
        </is>
      </c>
      <c r="G357" t="n">
        <v>4</v>
      </c>
      <c r="H357" t="n">
        <v>0</v>
      </c>
      <c r="I357" t="n">
        <v>0</v>
      </c>
      <c r="J357" t="n">
        <v>0</v>
      </c>
      <c r="K357" t="n">
        <v>0</v>
      </c>
      <c r="L357" t="n">
        <v>0</v>
      </c>
      <c r="M357" t="n">
        <v>0</v>
      </c>
      <c r="N357" t="n">
        <v>0</v>
      </c>
      <c r="O357" t="n">
        <v>0</v>
      </c>
      <c r="P357" t="n">
        <v>0</v>
      </c>
      <c r="Q357" t="n">
        <v>0</v>
      </c>
      <c r="R357" s="2" t="inlineStr"/>
    </row>
    <row r="358" ht="15" customHeight="1">
      <c r="A358" t="inlineStr">
        <is>
          <t>A 1016-2024</t>
        </is>
      </c>
      <c r="B358" s="1" t="n">
        <v>45301</v>
      </c>
      <c r="C358" s="1" t="n">
        <v>45961</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1024-2024</t>
        </is>
      </c>
      <c r="B359" s="1" t="n">
        <v>45301.68237268519</v>
      </c>
      <c r="C359" s="1" t="n">
        <v>45961</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27758-2024</t>
        </is>
      </c>
      <c r="B360" s="1" t="n">
        <v>45475.48303240741</v>
      </c>
      <c r="C360" s="1" t="n">
        <v>45961</v>
      </c>
      <c r="D360" t="inlineStr">
        <is>
          <t>KALMAR LÄN</t>
        </is>
      </c>
      <c r="E360" t="inlineStr">
        <is>
          <t>VIMMERBY</t>
        </is>
      </c>
      <c r="G360" t="n">
        <v>2.6</v>
      </c>
      <c r="H360" t="n">
        <v>0</v>
      </c>
      <c r="I360" t="n">
        <v>0</v>
      </c>
      <c r="J360" t="n">
        <v>0</v>
      </c>
      <c r="K360" t="n">
        <v>0</v>
      </c>
      <c r="L360" t="n">
        <v>0</v>
      </c>
      <c r="M360" t="n">
        <v>0</v>
      </c>
      <c r="N360" t="n">
        <v>0</v>
      </c>
      <c r="O360" t="n">
        <v>0</v>
      </c>
      <c r="P360" t="n">
        <v>0</v>
      </c>
      <c r="Q360" t="n">
        <v>0</v>
      </c>
      <c r="R360" s="2" t="inlineStr"/>
    </row>
    <row r="361" ht="15" customHeight="1">
      <c r="A361" t="inlineStr">
        <is>
          <t>A 2462-2022</t>
        </is>
      </c>
      <c r="B361" s="1" t="n">
        <v>44579.62225694444</v>
      </c>
      <c r="C361" s="1" t="n">
        <v>45961</v>
      </c>
      <c r="D361" t="inlineStr">
        <is>
          <t>KALMAR LÄN</t>
        </is>
      </c>
      <c r="E361" t="inlineStr">
        <is>
          <t>VIMMERBY</t>
        </is>
      </c>
      <c r="G361" t="n">
        <v>1.1</v>
      </c>
      <c r="H361" t="n">
        <v>0</v>
      </c>
      <c r="I361" t="n">
        <v>0</v>
      </c>
      <c r="J361" t="n">
        <v>0</v>
      </c>
      <c r="K361" t="n">
        <v>0</v>
      </c>
      <c r="L361" t="n">
        <v>0</v>
      </c>
      <c r="M361" t="n">
        <v>0</v>
      </c>
      <c r="N361" t="n">
        <v>0</v>
      </c>
      <c r="O361" t="n">
        <v>0</v>
      </c>
      <c r="P361" t="n">
        <v>0</v>
      </c>
      <c r="Q361" t="n">
        <v>0</v>
      </c>
      <c r="R361" s="2" t="inlineStr"/>
    </row>
    <row r="362" ht="15" customHeight="1">
      <c r="A362" t="inlineStr">
        <is>
          <t>A 11814-2022</t>
        </is>
      </c>
      <c r="B362" s="1" t="n">
        <v>44634.69703703704</v>
      </c>
      <c r="C362" s="1" t="n">
        <v>45961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32865-2023</t>
        </is>
      </c>
      <c r="B363" s="1" t="n">
        <v>45124</v>
      </c>
      <c r="C363" s="1" t="n">
        <v>45961</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22194-2024</t>
        </is>
      </c>
      <c r="B364" s="1" t="n">
        <v>45446.36482638889</v>
      </c>
      <c r="C364" s="1" t="n">
        <v>45961</v>
      </c>
      <c r="D364" t="inlineStr">
        <is>
          <t>KALMAR LÄN</t>
        </is>
      </c>
      <c r="E364" t="inlineStr">
        <is>
          <t>VIMMERBY</t>
        </is>
      </c>
      <c r="F364" t="inlineStr">
        <is>
          <t>Sveaskog</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17926-2025</t>
        </is>
      </c>
      <c r="B365" s="1" t="n">
        <v>45759.38987268518</v>
      </c>
      <c r="C365" s="1" t="n">
        <v>45961</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35127-2024</t>
        </is>
      </c>
      <c r="B366" s="1" t="n">
        <v>45530.33202546297</v>
      </c>
      <c r="C366" s="1" t="n">
        <v>45961</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12890-2023</t>
        </is>
      </c>
      <c r="B367" s="1" t="n">
        <v>45001.59209490741</v>
      </c>
      <c r="C367" s="1" t="n">
        <v>45961</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3902-2022</t>
        </is>
      </c>
      <c r="B368" s="1" t="n">
        <v>44587.48847222222</v>
      </c>
      <c r="C368" s="1" t="n">
        <v>45961</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13015-2022</t>
        </is>
      </c>
      <c r="B369" s="1" t="n">
        <v>44643</v>
      </c>
      <c r="C369" s="1" t="n">
        <v>45961</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56385-2021</t>
        </is>
      </c>
      <c r="B370" s="1" t="n">
        <v>44480</v>
      </c>
      <c r="C370" s="1" t="n">
        <v>45961</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89-2023</t>
        </is>
      </c>
      <c r="B371" s="1" t="n">
        <v>44918</v>
      </c>
      <c r="C371" s="1" t="n">
        <v>45961</v>
      </c>
      <c r="D371" t="inlineStr">
        <is>
          <t>KALMAR LÄN</t>
        </is>
      </c>
      <c r="E371" t="inlineStr">
        <is>
          <t>VIMMERBY</t>
        </is>
      </c>
      <c r="G371" t="n">
        <v>16.1</v>
      </c>
      <c r="H371" t="n">
        <v>0</v>
      </c>
      <c r="I371" t="n">
        <v>0</v>
      </c>
      <c r="J371" t="n">
        <v>0</v>
      </c>
      <c r="K371" t="n">
        <v>0</v>
      </c>
      <c r="L371" t="n">
        <v>0</v>
      </c>
      <c r="M371" t="n">
        <v>0</v>
      </c>
      <c r="N371" t="n">
        <v>0</v>
      </c>
      <c r="O371" t="n">
        <v>0</v>
      </c>
      <c r="P371" t="n">
        <v>0</v>
      </c>
      <c r="Q371" t="n">
        <v>0</v>
      </c>
      <c r="R371" s="2" t="inlineStr"/>
    </row>
    <row r="372" ht="15" customHeight="1">
      <c r="A372" t="inlineStr">
        <is>
          <t>A 4624-2024</t>
        </is>
      </c>
      <c r="B372" s="1" t="n">
        <v>45328.38755787037</v>
      </c>
      <c r="C372" s="1" t="n">
        <v>45961</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9129-2025</t>
        </is>
      </c>
      <c r="B373" s="1" t="n">
        <v>45713.92412037037</v>
      </c>
      <c r="C373" s="1" t="n">
        <v>45961</v>
      </c>
      <c r="D373" t="inlineStr">
        <is>
          <t>KALMAR LÄN</t>
        </is>
      </c>
      <c r="E373" t="inlineStr">
        <is>
          <t>VIMMERBY</t>
        </is>
      </c>
      <c r="G373" t="n">
        <v>2.8</v>
      </c>
      <c r="H373" t="n">
        <v>0</v>
      </c>
      <c r="I373" t="n">
        <v>0</v>
      </c>
      <c r="J373" t="n">
        <v>0</v>
      </c>
      <c r="K373" t="n">
        <v>0</v>
      </c>
      <c r="L373" t="n">
        <v>0</v>
      </c>
      <c r="M373" t="n">
        <v>0</v>
      </c>
      <c r="N373" t="n">
        <v>0</v>
      </c>
      <c r="O373" t="n">
        <v>0</v>
      </c>
      <c r="P373" t="n">
        <v>0</v>
      </c>
      <c r="Q373" t="n">
        <v>0</v>
      </c>
      <c r="R373" s="2" t="inlineStr"/>
    </row>
    <row r="374" ht="15" customHeight="1">
      <c r="A374" t="inlineStr">
        <is>
          <t>A 31053-2022</t>
        </is>
      </c>
      <c r="B374" s="1" t="n">
        <v>44769.45422453704</v>
      </c>
      <c r="C374" s="1" t="n">
        <v>45961</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5382-2023</t>
        </is>
      </c>
      <c r="B375" s="1" t="n">
        <v>44959.66407407408</v>
      </c>
      <c r="C375" s="1" t="n">
        <v>45961</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33383-2023</t>
        </is>
      </c>
      <c r="B376" s="1" t="n">
        <v>45128.58414351852</v>
      </c>
      <c r="C376" s="1" t="n">
        <v>45961</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6668-2023</t>
        </is>
      </c>
      <c r="B377" s="1" t="n">
        <v>44966</v>
      </c>
      <c r="C377" s="1" t="n">
        <v>45961</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172-2022</t>
        </is>
      </c>
      <c r="B378" s="1" t="n">
        <v>44564.62598379629</v>
      </c>
      <c r="C378" s="1" t="n">
        <v>45961</v>
      </c>
      <c r="D378" t="inlineStr">
        <is>
          <t>KALMAR LÄN</t>
        </is>
      </c>
      <c r="E378" t="inlineStr">
        <is>
          <t>VIMMERBY</t>
        </is>
      </c>
      <c r="G378" t="n">
        <v>2.1</v>
      </c>
      <c r="H378" t="n">
        <v>0</v>
      </c>
      <c r="I378" t="n">
        <v>0</v>
      </c>
      <c r="J378" t="n">
        <v>0</v>
      </c>
      <c r="K378" t="n">
        <v>0</v>
      </c>
      <c r="L378" t="n">
        <v>0</v>
      </c>
      <c r="M378" t="n">
        <v>0</v>
      </c>
      <c r="N378" t="n">
        <v>0</v>
      </c>
      <c r="O378" t="n">
        <v>0</v>
      </c>
      <c r="P378" t="n">
        <v>0</v>
      </c>
      <c r="Q378" t="n">
        <v>0</v>
      </c>
      <c r="R378" s="2" t="inlineStr"/>
    </row>
    <row r="379" ht="15" customHeight="1">
      <c r="A379" t="inlineStr">
        <is>
          <t>A 24738-2021</t>
        </is>
      </c>
      <c r="B379" s="1" t="n">
        <v>44340.58002314815</v>
      </c>
      <c r="C379" s="1" t="n">
        <v>45961</v>
      </c>
      <c r="D379" t="inlineStr">
        <is>
          <t>KALMAR LÄN</t>
        </is>
      </c>
      <c r="E379" t="inlineStr">
        <is>
          <t>VIMMERBY</t>
        </is>
      </c>
      <c r="G379" t="n">
        <v>3.5</v>
      </c>
      <c r="H379" t="n">
        <v>0</v>
      </c>
      <c r="I379" t="n">
        <v>0</v>
      </c>
      <c r="J379" t="n">
        <v>0</v>
      </c>
      <c r="K379" t="n">
        <v>0</v>
      </c>
      <c r="L379" t="n">
        <v>0</v>
      </c>
      <c r="M379" t="n">
        <v>0</v>
      </c>
      <c r="N379" t="n">
        <v>0</v>
      </c>
      <c r="O379" t="n">
        <v>0</v>
      </c>
      <c r="P379" t="n">
        <v>0</v>
      </c>
      <c r="Q379" t="n">
        <v>0</v>
      </c>
      <c r="R379" s="2" t="inlineStr"/>
    </row>
    <row r="380" ht="15" customHeight="1">
      <c r="A380" t="inlineStr">
        <is>
          <t>A 4297-2022</t>
        </is>
      </c>
      <c r="B380" s="1" t="n">
        <v>44588</v>
      </c>
      <c r="C380" s="1" t="n">
        <v>45961</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30634-2024</t>
        </is>
      </c>
      <c r="B381" s="1" t="n">
        <v>45495</v>
      </c>
      <c r="C381" s="1" t="n">
        <v>45961</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6355-2022</t>
        </is>
      </c>
      <c r="B382" s="1" t="n">
        <v>44600</v>
      </c>
      <c r="C382" s="1" t="n">
        <v>45961</v>
      </c>
      <c r="D382" t="inlineStr">
        <is>
          <t>KALMAR LÄN</t>
        </is>
      </c>
      <c r="E382" t="inlineStr">
        <is>
          <t>VIMMERBY</t>
        </is>
      </c>
      <c r="G382" t="n">
        <v>4.9</v>
      </c>
      <c r="H382" t="n">
        <v>0</v>
      </c>
      <c r="I382" t="n">
        <v>0</v>
      </c>
      <c r="J382" t="n">
        <v>0</v>
      </c>
      <c r="K382" t="n">
        <v>0</v>
      </c>
      <c r="L382" t="n">
        <v>0</v>
      </c>
      <c r="M382" t="n">
        <v>0</v>
      </c>
      <c r="N382" t="n">
        <v>0</v>
      </c>
      <c r="O382" t="n">
        <v>0</v>
      </c>
      <c r="P382" t="n">
        <v>0</v>
      </c>
      <c r="Q382" t="n">
        <v>0</v>
      </c>
      <c r="R382" s="2" t="inlineStr"/>
    </row>
    <row r="383" ht="15" customHeight="1">
      <c r="A383" t="inlineStr">
        <is>
          <t>A 22643-2023</t>
        </is>
      </c>
      <c r="B383" s="1" t="n">
        <v>45071</v>
      </c>
      <c r="C383" s="1" t="n">
        <v>45961</v>
      </c>
      <c r="D383" t="inlineStr">
        <is>
          <t>KALMAR LÄN</t>
        </is>
      </c>
      <c r="E383" t="inlineStr">
        <is>
          <t>VIMMERBY</t>
        </is>
      </c>
      <c r="G383" t="n">
        <v>3.9</v>
      </c>
      <c r="H383" t="n">
        <v>0</v>
      </c>
      <c r="I383" t="n">
        <v>0</v>
      </c>
      <c r="J383" t="n">
        <v>0</v>
      </c>
      <c r="K383" t="n">
        <v>0</v>
      </c>
      <c r="L383" t="n">
        <v>0</v>
      </c>
      <c r="M383" t="n">
        <v>0</v>
      </c>
      <c r="N383" t="n">
        <v>0</v>
      </c>
      <c r="O383" t="n">
        <v>0</v>
      </c>
      <c r="P383" t="n">
        <v>0</v>
      </c>
      <c r="Q383" t="n">
        <v>0</v>
      </c>
      <c r="R383" s="2" t="inlineStr"/>
    </row>
    <row r="384" ht="15" customHeight="1">
      <c r="A384" t="inlineStr">
        <is>
          <t>A 16020-2023</t>
        </is>
      </c>
      <c r="B384" s="1" t="n">
        <v>45026.82216435186</v>
      </c>
      <c r="C384" s="1" t="n">
        <v>45961</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55716-2023</t>
        </is>
      </c>
      <c r="B385" s="1" t="n">
        <v>45232</v>
      </c>
      <c r="C385" s="1" t="n">
        <v>45961</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34386-2024</t>
        </is>
      </c>
      <c r="B386" s="1" t="n">
        <v>45525.41762731481</v>
      </c>
      <c r="C386" s="1" t="n">
        <v>45961</v>
      </c>
      <c r="D386" t="inlineStr">
        <is>
          <t>KALMAR LÄN</t>
        </is>
      </c>
      <c r="E386" t="inlineStr">
        <is>
          <t>VIMMERBY</t>
        </is>
      </c>
      <c r="G386" t="n">
        <v>0.3</v>
      </c>
      <c r="H386" t="n">
        <v>0</v>
      </c>
      <c r="I386" t="n">
        <v>0</v>
      </c>
      <c r="J386" t="n">
        <v>0</v>
      </c>
      <c r="K386" t="n">
        <v>0</v>
      </c>
      <c r="L386" t="n">
        <v>0</v>
      </c>
      <c r="M386" t="n">
        <v>0</v>
      </c>
      <c r="N386" t="n">
        <v>0</v>
      </c>
      <c r="O386" t="n">
        <v>0</v>
      </c>
      <c r="P386" t="n">
        <v>0</v>
      </c>
      <c r="Q386" t="n">
        <v>0</v>
      </c>
      <c r="R386" s="2" t="inlineStr"/>
    </row>
    <row r="387" ht="15" customHeight="1">
      <c r="A387" t="inlineStr">
        <is>
          <t>A 60292-2022</t>
        </is>
      </c>
      <c r="B387" s="1" t="n">
        <v>44910.54231481482</v>
      </c>
      <c r="C387" s="1" t="n">
        <v>45961</v>
      </c>
      <c r="D387" t="inlineStr">
        <is>
          <t>KALMAR LÄN</t>
        </is>
      </c>
      <c r="E387" t="inlineStr">
        <is>
          <t>VIMMERBY</t>
        </is>
      </c>
      <c r="G387" t="n">
        <v>4.4</v>
      </c>
      <c r="H387" t="n">
        <v>0</v>
      </c>
      <c r="I387" t="n">
        <v>0</v>
      </c>
      <c r="J387" t="n">
        <v>0</v>
      </c>
      <c r="K387" t="n">
        <v>0</v>
      </c>
      <c r="L387" t="n">
        <v>0</v>
      </c>
      <c r="M387" t="n">
        <v>0</v>
      </c>
      <c r="N387" t="n">
        <v>0</v>
      </c>
      <c r="O387" t="n">
        <v>0</v>
      </c>
      <c r="P387" t="n">
        <v>0</v>
      </c>
      <c r="Q387" t="n">
        <v>0</v>
      </c>
      <c r="R387" s="2" t="inlineStr"/>
    </row>
    <row r="388" ht="15" customHeight="1">
      <c r="A388" t="inlineStr">
        <is>
          <t>A 43034-2024</t>
        </is>
      </c>
      <c r="B388" s="1" t="n">
        <v>45567.42011574074</v>
      </c>
      <c r="C388" s="1" t="n">
        <v>45961</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40256-2024</t>
        </is>
      </c>
      <c r="B389" s="1" t="n">
        <v>45554.62944444444</v>
      </c>
      <c r="C389" s="1" t="n">
        <v>45961</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42429-2024</t>
        </is>
      </c>
      <c r="B390" s="1" t="n">
        <v>45565.40657407408</v>
      </c>
      <c r="C390" s="1" t="n">
        <v>45961</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11946-2025</t>
        </is>
      </c>
      <c r="B391" s="1" t="n">
        <v>45728.54832175926</v>
      </c>
      <c r="C391" s="1" t="n">
        <v>45961</v>
      </c>
      <c r="D391" t="inlineStr">
        <is>
          <t>KALMAR LÄN</t>
        </is>
      </c>
      <c r="E391" t="inlineStr">
        <is>
          <t>VIMMERBY</t>
        </is>
      </c>
      <c r="G391" t="n">
        <v>0.4</v>
      </c>
      <c r="H391" t="n">
        <v>0</v>
      </c>
      <c r="I391" t="n">
        <v>0</v>
      </c>
      <c r="J391" t="n">
        <v>0</v>
      </c>
      <c r="K391" t="n">
        <v>0</v>
      </c>
      <c r="L391" t="n">
        <v>0</v>
      </c>
      <c r="M391" t="n">
        <v>0</v>
      </c>
      <c r="N391" t="n">
        <v>0</v>
      </c>
      <c r="O391" t="n">
        <v>0</v>
      </c>
      <c r="P391" t="n">
        <v>0</v>
      </c>
      <c r="Q391" t="n">
        <v>0</v>
      </c>
      <c r="R391" s="2" t="inlineStr"/>
    </row>
    <row r="392" ht="15" customHeight="1">
      <c r="A392" t="inlineStr">
        <is>
          <t>A 34597-2022</t>
        </is>
      </c>
      <c r="B392" s="1" t="n">
        <v>44795</v>
      </c>
      <c r="C392" s="1" t="n">
        <v>45961</v>
      </c>
      <c r="D392" t="inlineStr">
        <is>
          <t>KALMAR LÄN</t>
        </is>
      </c>
      <c r="E392" t="inlineStr">
        <is>
          <t>VIMMERBY</t>
        </is>
      </c>
      <c r="G392" t="n">
        <v>2.2</v>
      </c>
      <c r="H392" t="n">
        <v>0</v>
      </c>
      <c r="I392" t="n">
        <v>0</v>
      </c>
      <c r="J392" t="n">
        <v>0</v>
      </c>
      <c r="K392" t="n">
        <v>0</v>
      </c>
      <c r="L392" t="n">
        <v>0</v>
      </c>
      <c r="M392" t="n">
        <v>0</v>
      </c>
      <c r="N392" t="n">
        <v>0</v>
      </c>
      <c r="O392" t="n">
        <v>0</v>
      </c>
      <c r="P392" t="n">
        <v>0</v>
      </c>
      <c r="Q392" t="n">
        <v>0</v>
      </c>
      <c r="R392" s="2" t="inlineStr"/>
    </row>
    <row r="393" ht="15" customHeight="1">
      <c r="A393" t="inlineStr">
        <is>
          <t>A 59943-2023</t>
        </is>
      </c>
      <c r="B393" s="1" t="n">
        <v>45257.67958333333</v>
      </c>
      <c r="C393" s="1" t="n">
        <v>45961</v>
      </c>
      <c r="D393" t="inlineStr">
        <is>
          <t>KALMAR LÄN</t>
        </is>
      </c>
      <c r="E393" t="inlineStr">
        <is>
          <t>VIMMERBY</t>
        </is>
      </c>
      <c r="G393" t="n">
        <v>6.4</v>
      </c>
      <c r="H393" t="n">
        <v>0</v>
      </c>
      <c r="I393" t="n">
        <v>0</v>
      </c>
      <c r="J393" t="n">
        <v>0</v>
      </c>
      <c r="K393" t="n">
        <v>0</v>
      </c>
      <c r="L393" t="n">
        <v>0</v>
      </c>
      <c r="M393" t="n">
        <v>0</v>
      </c>
      <c r="N393" t="n">
        <v>0</v>
      </c>
      <c r="O393" t="n">
        <v>0</v>
      </c>
      <c r="P393" t="n">
        <v>0</v>
      </c>
      <c r="Q393" t="n">
        <v>0</v>
      </c>
      <c r="R393" s="2" t="inlineStr"/>
    </row>
    <row r="394" ht="15" customHeight="1">
      <c r="A394" t="inlineStr">
        <is>
          <t>A 40079-2023</t>
        </is>
      </c>
      <c r="B394" s="1" t="n">
        <v>45168.89298611111</v>
      </c>
      <c r="C394" s="1" t="n">
        <v>45961</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15493-2023</t>
        </is>
      </c>
      <c r="B395" s="1" t="n">
        <v>45018</v>
      </c>
      <c r="C395" s="1" t="n">
        <v>45961</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51881-2024</t>
        </is>
      </c>
      <c r="B396" s="1" t="n">
        <v>45607.56773148148</v>
      </c>
      <c r="C396" s="1" t="n">
        <v>45961</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19833-2023</t>
        </is>
      </c>
      <c r="B397" s="1" t="n">
        <v>45052</v>
      </c>
      <c r="C397" s="1" t="n">
        <v>45961</v>
      </c>
      <c r="D397" t="inlineStr">
        <is>
          <t>KALMAR LÄN</t>
        </is>
      </c>
      <c r="E397" t="inlineStr">
        <is>
          <t>VIMMERBY</t>
        </is>
      </c>
      <c r="G397" t="n">
        <v>6.7</v>
      </c>
      <c r="H397" t="n">
        <v>0</v>
      </c>
      <c r="I397" t="n">
        <v>0</v>
      </c>
      <c r="J397" t="n">
        <v>0</v>
      </c>
      <c r="K397" t="n">
        <v>0</v>
      </c>
      <c r="L397" t="n">
        <v>0</v>
      </c>
      <c r="M397" t="n">
        <v>0</v>
      </c>
      <c r="N397" t="n">
        <v>0</v>
      </c>
      <c r="O397" t="n">
        <v>0</v>
      </c>
      <c r="P397" t="n">
        <v>0</v>
      </c>
      <c r="Q397" t="n">
        <v>0</v>
      </c>
      <c r="R397" s="2" t="inlineStr"/>
    </row>
    <row r="398" ht="15" customHeight="1">
      <c r="A398" t="inlineStr">
        <is>
          <t>A 1021-2024</t>
        </is>
      </c>
      <c r="B398" s="1" t="n">
        <v>45301.67736111111</v>
      </c>
      <c r="C398" s="1" t="n">
        <v>45961</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32569-2024</t>
        </is>
      </c>
      <c r="B399" s="1" t="n">
        <v>45513.55840277778</v>
      </c>
      <c r="C399" s="1" t="n">
        <v>45961</v>
      </c>
      <c r="D399" t="inlineStr">
        <is>
          <t>KALMAR LÄN</t>
        </is>
      </c>
      <c r="E399" t="inlineStr">
        <is>
          <t>VIMMERBY</t>
        </is>
      </c>
      <c r="G399" t="n">
        <v>3.7</v>
      </c>
      <c r="H399" t="n">
        <v>0</v>
      </c>
      <c r="I399" t="n">
        <v>0</v>
      </c>
      <c r="J399" t="n">
        <v>0</v>
      </c>
      <c r="K399" t="n">
        <v>0</v>
      </c>
      <c r="L399" t="n">
        <v>0</v>
      </c>
      <c r="M399" t="n">
        <v>0</v>
      </c>
      <c r="N399" t="n">
        <v>0</v>
      </c>
      <c r="O399" t="n">
        <v>0</v>
      </c>
      <c r="P399" t="n">
        <v>0</v>
      </c>
      <c r="Q399" t="n">
        <v>0</v>
      </c>
      <c r="R399" s="2" t="inlineStr"/>
    </row>
    <row r="400" ht="15" customHeight="1">
      <c r="A400" t="inlineStr">
        <is>
          <t>A 32575-2024</t>
        </is>
      </c>
      <c r="B400" s="1" t="n">
        <v>45513.56527777778</v>
      </c>
      <c r="C400" s="1" t="n">
        <v>45961</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30063-2023</t>
        </is>
      </c>
      <c r="B401" s="1" t="n">
        <v>45110.4184375</v>
      </c>
      <c r="C401" s="1" t="n">
        <v>45961</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43093-2024</t>
        </is>
      </c>
      <c r="B402" s="1" t="n">
        <v>45567</v>
      </c>
      <c r="C402" s="1" t="n">
        <v>45961</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17482-2024</t>
        </is>
      </c>
      <c r="B403" s="1" t="n">
        <v>45415.47848379629</v>
      </c>
      <c r="C403" s="1" t="n">
        <v>45961</v>
      </c>
      <c r="D403" t="inlineStr">
        <is>
          <t>KALMAR LÄN</t>
        </is>
      </c>
      <c r="E403" t="inlineStr">
        <is>
          <t>VIMMERBY</t>
        </is>
      </c>
      <c r="G403" t="n">
        <v>1.7</v>
      </c>
      <c r="H403" t="n">
        <v>0</v>
      </c>
      <c r="I403" t="n">
        <v>0</v>
      </c>
      <c r="J403" t="n">
        <v>0</v>
      </c>
      <c r="K403" t="n">
        <v>0</v>
      </c>
      <c r="L403" t="n">
        <v>0</v>
      </c>
      <c r="M403" t="n">
        <v>0</v>
      </c>
      <c r="N403" t="n">
        <v>0</v>
      </c>
      <c r="O403" t="n">
        <v>0</v>
      </c>
      <c r="P403" t="n">
        <v>0</v>
      </c>
      <c r="Q403" t="n">
        <v>0</v>
      </c>
      <c r="R403" s="2" t="inlineStr"/>
    </row>
    <row r="404" ht="15" customHeight="1">
      <c r="A404" t="inlineStr">
        <is>
          <t>A 8454-2022</t>
        </is>
      </c>
      <c r="B404" s="1" t="n">
        <v>44612.86762731482</v>
      </c>
      <c r="C404" s="1" t="n">
        <v>45961</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13817-2024</t>
        </is>
      </c>
      <c r="B405" s="1" t="n">
        <v>45391.41976851852</v>
      </c>
      <c r="C405" s="1" t="n">
        <v>45961</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30406-2023</t>
        </is>
      </c>
      <c r="B406" s="1" t="n">
        <v>45111.48787037037</v>
      </c>
      <c r="C406" s="1" t="n">
        <v>45961</v>
      </c>
      <c r="D406" t="inlineStr">
        <is>
          <t>KALMAR LÄN</t>
        </is>
      </c>
      <c r="E406" t="inlineStr">
        <is>
          <t>VIMMERBY</t>
        </is>
      </c>
      <c r="G406" t="n">
        <v>2.4</v>
      </c>
      <c r="H406" t="n">
        <v>0</v>
      </c>
      <c r="I406" t="n">
        <v>0</v>
      </c>
      <c r="J406" t="n">
        <v>0</v>
      </c>
      <c r="K406" t="n">
        <v>0</v>
      </c>
      <c r="L406" t="n">
        <v>0</v>
      </c>
      <c r="M406" t="n">
        <v>0</v>
      </c>
      <c r="N406" t="n">
        <v>0</v>
      </c>
      <c r="O406" t="n">
        <v>0</v>
      </c>
      <c r="P406" t="n">
        <v>0</v>
      </c>
      <c r="Q406" t="n">
        <v>0</v>
      </c>
      <c r="R406" s="2" t="inlineStr"/>
    </row>
    <row r="407" ht="15" customHeight="1">
      <c r="A407" t="inlineStr">
        <is>
          <t>A 35198-2023</t>
        </is>
      </c>
      <c r="B407" s="1" t="n">
        <v>45145</v>
      </c>
      <c r="C407" s="1" t="n">
        <v>45961</v>
      </c>
      <c r="D407" t="inlineStr">
        <is>
          <t>KALMAR LÄN</t>
        </is>
      </c>
      <c r="E407" t="inlineStr">
        <is>
          <t>VIMMERBY</t>
        </is>
      </c>
      <c r="G407" t="n">
        <v>1.6</v>
      </c>
      <c r="H407" t="n">
        <v>0</v>
      </c>
      <c r="I407" t="n">
        <v>0</v>
      </c>
      <c r="J407" t="n">
        <v>0</v>
      </c>
      <c r="K407" t="n">
        <v>0</v>
      </c>
      <c r="L407" t="n">
        <v>0</v>
      </c>
      <c r="M407" t="n">
        <v>0</v>
      </c>
      <c r="N407" t="n">
        <v>0</v>
      </c>
      <c r="O407" t="n">
        <v>0</v>
      </c>
      <c r="P407" t="n">
        <v>0</v>
      </c>
      <c r="Q407" t="n">
        <v>0</v>
      </c>
      <c r="R407" s="2" t="inlineStr"/>
    </row>
    <row r="408" ht="15" customHeight="1">
      <c r="A408" t="inlineStr">
        <is>
          <t>A 29020-2024</t>
        </is>
      </c>
      <c r="B408" s="1" t="n">
        <v>45481.58048611111</v>
      </c>
      <c r="C408" s="1" t="n">
        <v>45961</v>
      </c>
      <c r="D408" t="inlineStr">
        <is>
          <t>KALMAR LÄN</t>
        </is>
      </c>
      <c r="E408" t="inlineStr">
        <is>
          <t>VIMMERBY</t>
        </is>
      </c>
      <c r="G408" t="n">
        <v>2.3</v>
      </c>
      <c r="H408" t="n">
        <v>0</v>
      </c>
      <c r="I408" t="n">
        <v>0</v>
      </c>
      <c r="J408" t="n">
        <v>0</v>
      </c>
      <c r="K408" t="n">
        <v>0</v>
      </c>
      <c r="L408" t="n">
        <v>0</v>
      </c>
      <c r="M408" t="n">
        <v>0</v>
      </c>
      <c r="N408" t="n">
        <v>0</v>
      </c>
      <c r="O408" t="n">
        <v>0</v>
      </c>
      <c r="P408" t="n">
        <v>0</v>
      </c>
      <c r="Q408" t="n">
        <v>0</v>
      </c>
      <c r="R408" s="2" t="inlineStr"/>
    </row>
    <row r="409" ht="15" customHeight="1">
      <c r="A409" t="inlineStr">
        <is>
          <t>A 65887-2021</t>
        </is>
      </c>
      <c r="B409" s="1" t="n">
        <v>44517</v>
      </c>
      <c r="C409" s="1" t="n">
        <v>45961</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17084-2025</t>
        </is>
      </c>
      <c r="B410" s="1" t="n">
        <v>45755.64450231481</v>
      </c>
      <c r="C410" s="1" t="n">
        <v>45961</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56022-2024</t>
        </is>
      </c>
      <c r="B411" s="1" t="n">
        <v>45623.95947916667</v>
      </c>
      <c r="C411" s="1" t="n">
        <v>45961</v>
      </c>
      <c r="D411" t="inlineStr">
        <is>
          <t>KALMAR LÄN</t>
        </is>
      </c>
      <c r="E411" t="inlineStr">
        <is>
          <t>VIMMERBY</t>
        </is>
      </c>
      <c r="G411" t="n">
        <v>0.3</v>
      </c>
      <c r="H411" t="n">
        <v>0</v>
      </c>
      <c r="I411" t="n">
        <v>0</v>
      </c>
      <c r="J411" t="n">
        <v>0</v>
      </c>
      <c r="K411" t="n">
        <v>0</v>
      </c>
      <c r="L411" t="n">
        <v>0</v>
      </c>
      <c r="M411" t="n">
        <v>0</v>
      </c>
      <c r="N411" t="n">
        <v>0</v>
      </c>
      <c r="O411" t="n">
        <v>0</v>
      </c>
      <c r="P411" t="n">
        <v>0</v>
      </c>
      <c r="Q411" t="n">
        <v>0</v>
      </c>
      <c r="R411" s="2" t="inlineStr"/>
    </row>
    <row r="412" ht="15" customHeight="1">
      <c r="A412" t="inlineStr">
        <is>
          <t>A 11928-2022</t>
        </is>
      </c>
      <c r="B412" s="1" t="n">
        <v>44635</v>
      </c>
      <c r="C412" s="1" t="n">
        <v>45961</v>
      </c>
      <c r="D412" t="inlineStr">
        <is>
          <t>KALMAR LÄN</t>
        </is>
      </c>
      <c r="E412" t="inlineStr">
        <is>
          <t>VIMMERBY</t>
        </is>
      </c>
      <c r="G412" t="n">
        <v>2.8</v>
      </c>
      <c r="H412" t="n">
        <v>0</v>
      </c>
      <c r="I412" t="n">
        <v>0</v>
      </c>
      <c r="J412" t="n">
        <v>0</v>
      </c>
      <c r="K412" t="n">
        <v>0</v>
      </c>
      <c r="L412" t="n">
        <v>0</v>
      </c>
      <c r="M412" t="n">
        <v>0</v>
      </c>
      <c r="N412" t="n">
        <v>0</v>
      </c>
      <c r="O412" t="n">
        <v>0</v>
      </c>
      <c r="P412" t="n">
        <v>0</v>
      </c>
      <c r="Q412" t="n">
        <v>0</v>
      </c>
      <c r="R412" s="2" t="inlineStr"/>
    </row>
    <row r="413" ht="15" customHeight="1">
      <c r="A413" t="inlineStr">
        <is>
          <t>A 58374-2024</t>
        </is>
      </c>
      <c r="B413" s="1" t="n">
        <v>45632.72635416667</v>
      </c>
      <c r="C413" s="1" t="n">
        <v>45961</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5527-2022</t>
        </is>
      </c>
      <c r="B414" s="1" t="n">
        <v>44595.583125</v>
      </c>
      <c r="C414" s="1" t="n">
        <v>45961</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55300-2021</t>
        </is>
      </c>
      <c r="B415" s="1" t="n">
        <v>44475</v>
      </c>
      <c r="C415" s="1" t="n">
        <v>45961</v>
      </c>
      <c r="D415" t="inlineStr">
        <is>
          <t>KALMAR LÄN</t>
        </is>
      </c>
      <c r="E415" t="inlineStr">
        <is>
          <t>VIMMERBY</t>
        </is>
      </c>
      <c r="G415" t="n">
        <v>3.4</v>
      </c>
      <c r="H415" t="n">
        <v>0</v>
      </c>
      <c r="I415" t="n">
        <v>0</v>
      </c>
      <c r="J415" t="n">
        <v>0</v>
      </c>
      <c r="K415" t="n">
        <v>0</v>
      </c>
      <c r="L415" t="n">
        <v>0</v>
      </c>
      <c r="M415" t="n">
        <v>0</v>
      </c>
      <c r="N415" t="n">
        <v>0</v>
      </c>
      <c r="O415" t="n">
        <v>0</v>
      </c>
      <c r="P415" t="n">
        <v>0</v>
      </c>
      <c r="Q415" t="n">
        <v>0</v>
      </c>
      <c r="R415" s="2" t="inlineStr"/>
    </row>
    <row r="416" ht="15" customHeight="1">
      <c r="A416" t="inlineStr">
        <is>
          <t>A 47263-2023</t>
        </is>
      </c>
      <c r="B416" s="1" t="n">
        <v>45202.4209837963</v>
      </c>
      <c r="C416" s="1" t="n">
        <v>45961</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49461-2023</t>
        </is>
      </c>
      <c r="B417" s="1" t="n">
        <v>45211.52642361111</v>
      </c>
      <c r="C417" s="1" t="n">
        <v>45961</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49474-2023</t>
        </is>
      </c>
      <c r="B418" s="1" t="n">
        <v>45211.541875</v>
      </c>
      <c r="C418" s="1" t="n">
        <v>45961</v>
      </c>
      <c r="D418" t="inlineStr">
        <is>
          <t>KALMAR LÄN</t>
        </is>
      </c>
      <c r="E418" t="inlineStr">
        <is>
          <t>VIMMERBY</t>
        </is>
      </c>
      <c r="G418" t="n">
        <v>3.6</v>
      </c>
      <c r="H418" t="n">
        <v>0</v>
      </c>
      <c r="I418" t="n">
        <v>0</v>
      </c>
      <c r="J418" t="n">
        <v>0</v>
      </c>
      <c r="K418" t="n">
        <v>0</v>
      </c>
      <c r="L418" t="n">
        <v>0</v>
      </c>
      <c r="M418" t="n">
        <v>0</v>
      </c>
      <c r="N418" t="n">
        <v>0</v>
      </c>
      <c r="O418" t="n">
        <v>0</v>
      </c>
      <c r="P418" t="n">
        <v>0</v>
      </c>
      <c r="Q418" t="n">
        <v>0</v>
      </c>
      <c r="R418" s="2" t="inlineStr"/>
    </row>
    <row r="419" ht="15" customHeight="1">
      <c r="A419" t="inlineStr">
        <is>
          <t>A 61861-2024</t>
        </is>
      </c>
      <c r="B419" s="1" t="n">
        <v>45650.37370370371</v>
      </c>
      <c r="C419" s="1" t="n">
        <v>45961</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2536-2023</t>
        </is>
      </c>
      <c r="B420" s="1" t="n">
        <v>44943.62954861111</v>
      </c>
      <c r="C420" s="1" t="n">
        <v>45961</v>
      </c>
      <c r="D420" t="inlineStr">
        <is>
          <t>KALMAR LÄN</t>
        </is>
      </c>
      <c r="E420" t="inlineStr">
        <is>
          <t>VIMMERBY</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2801-2023</t>
        </is>
      </c>
      <c r="B421" s="1" t="n">
        <v>44944.73487268519</v>
      </c>
      <c r="C421" s="1" t="n">
        <v>45961</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45846-2023</t>
        </is>
      </c>
      <c r="B422" s="1" t="n">
        <v>45195.58452546296</v>
      </c>
      <c r="C422" s="1" t="n">
        <v>45961</v>
      </c>
      <c r="D422" t="inlineStr">
        <is>
          <t>KALMAR LÄN</t>
        </is>
      </c>
      <c r="E422" t="inlineStr">
        <is>
          <t>VIMMERBY</t>
        </is>
      </c>
      <c r="G422" t="n">
        <v>0.7</v>
      </c>
      <c r="H422" t="n">
        <v>0</v>
      </c>
      <c r="I422" t="n">
        <v>0</v>
      </c>
      <c r="J422" t="n">
        <v>0</v>
      </c>
      <c r="K422" t="n">
        <v>0</v>
      </c>
      <c r="L422" t="n">
        <v>0</v>
      </c>
      <c r="M422" t="n">
        <v>0</v>
      </c>
      <c r="N422" t="n">
        <v>0</v>
      </c>
      <c r="O422" t="n">
        <v>0</v>
      </c>
      <c r="P422" t="n">
        <v>0</v>
      </c>
      <c r="Q422" t="n">
        <v>0</v>
      </c>
      <c r="R422" s="2" t="inlineStr"/>
    </row>
    <row r="423" ht="15" customHeight="1">
      <c r="A423" t="inlineStr">
        <is>
          <t>A 8167-2024</t>
        </is>
      </c>
      <c r="B423" s="1" t="n">
        <v>45351.6062962963</v>
      </c>
      <c r="C423" s="1" t="n">
        <v>45961</v>
      </c>
      <c r="D423" t="inlineStr">
        <is>
          <t>KALMAR LÄN</t>
        </is>
      </c>
      <c r="E423" t="inlineStr">
        <is>
          <t>VIMMERBY</t>
        </is>
      </c>
      <c r="G423" t="n">
        <v>3.8</v>
      </c>
      <c r="H423" t="n">
        <v>0</v>
      </c>
      <c r="I423" t="n">
        <v>0</v>
      </c>
      <c r="J423" t="n">
        <v>0</v>
      </c>
      <c r="K423" t="n">
        <v>0</v>
      </c>
      <c r="L423" t="n">
        <v>0</v>
      </c>
      <c r="M423" t="n">
        <v>0</v>
      </c>
      <c r="N423" t="n">
        <v>0</v>
      </c>
      <c r="O423" t="n">
        <v>0</v>
      </c>
      <c r="P423" t="n">
        <v>0</v>
      </c>
      <c r="Q423" t="n">
        <v>0</v>
      </c>
      <c r="R423" s="2" t="inlineStr"/>
    </row>
    <row r="424" ht="15" customHeight="1">
      <c r="A424" t="inlineStr">
        <is>
          <t>A 17968-2025</t>
        </is>
      </c>
      <c r="B424" s="1" t="n">
        <v>45761.35990740741</v>
      </c>
      <c r="C424" s="1" t="n">
        <v>45961</v>
      </c>
      <c r="D424" t="inlineStr">
        <is>
          <t>KALMAR LÄN</t>
        </is>
      </c>
      <c r="E424" t="inlineStr">
        <is>
          <t>VIMMERBY</t>
        </is>
      </c>
      <c r="G424" t="n">
        <v>3.3</v>
      </c>
      <c r="H424" t="n">
        <v>0</v>
      </c>
      <c r="I424" t="n">
        <v>0</v>
      </c>
      <c r="J424" t="n">
        <v>0</v>
      </c>
      <c r="K424" t="n">
        <v>0</v>
      </c>
      <c r="L424" t="n">
        <v>0</v>
      </c>
      <c r="M424" t="n">
        <v>0</v>
      </c>
      <c r="N424" t="n">
        <v>0</v>
      </c>
      <c r="O424" t="n">
        <v>0</v>
      </c>
      <c r="P424" t="n">
        <v>0</v>
      </c>
      <c r="Q424" t="n">
        <v>0</v>
      </c>
      <c r="R424" s="2" t="inlineStr"/>
    </row>
    <row r="425" ht="15" customHeight="1">
      <c r="A425" t="inlineStr">
        <is>
          <t>A 39959-2022</t>
        </is>
      </c>
      <c r="B425" s="1" t="n">
        <v>44819</v>
      </c>
      <c r="C425" s="1" t="n">
        <v>45961</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49382-2023</t>
        </is>
      </c>
      <c r="B426" s="1" t="n">
        <v>45208</v>
      </c>
      <c r="C426" s="1" t="n">
        <v>45961</v>
      </c>
      <c r="D426" t="inlineStr">
        <is>
          <t>KALMAR LÄN</t>
        </is>
      </c>
      <c r="E426" t="inlineStr">
        <is>
          <t>VIMMERBY</t>
        </is>
      </c>
      <c r="G426" t="n">
        <v>2.2</v>
      </c>
      <c r="H426" t="n">
        <v>0</v>
      </c>
      <c r="I426" t="n">
        <v>0</v>
      </c>
      <c r="J426" t="n">
        <v>0</v>
      </c>
      <c r="K426" t="n">
        <v>0</v>
      </c>
      <c r="L426" t="n">
        <v>0</v>
      </c>
      <c r="M426" t="n">
        <v>0</v>
      </c>
      <c r="N426" t="n">
        <v>0</v>
      </c>
      <c r="O426" t="n">
        <v>0</v>
      </c>
      <c r="P426" t="n">
        <v>0</v>
      </c>
      <c r="Q426" t="n">
        <v>0</v>
      </c>
      <c r="R426" s="2" t="inlineStr"/>
    </row>
    <row r="427" ht="15" customHeight="1">
      <c r="A427" t="inlineStr">
        <is>
          <t>A 12121-2025</t>
        </is>
      </c>
      <c r="B427" s="1" t="n">
        <v>45729.36868055556</v>
      </c>
      <c r="C427" s="1" t="n">
        <v>45961</v>
      </c>
      <c r="D427" t="inlineStr">
        <is>
          <t>KALMAR LÄN</t>
        </is>
      </c>
      <c r="E427" t="inlineStr">
        <is>
          <t>VIMMERBY</t>
        </is>
      </c>
      <c r="G427" t="n">
        <v>4.3</v>
      </c>
      <c r="H427" t="n">
        <v>0</v>
      </c>
      <c r="I427" t="n">
        <v>0</v>
      </c>
      <c r="J427" t="n">
        <v>0</v>
      </c>
      <c r="K427" t="n">
        <v>0</v>
      </c>
      <c r="L427" t="n">
        <v>0</v>
      </c>
      <c r="M427" t="n">
        <v>0</v>
      </c>
      <c r="N427" t="n">
        <v>0</v>
      </c>
      <c r="O427" t="n">
        <v>0</v>
      </c>
      <c r="P427" t="n">
        <v>0</v>
      </c>
      <c r="Q427" t="n">
        <v>0</v>
      </c>
      <c r="R427" s="2" t="inlineStr"/>
    </row>
    <row r="428" ht="15" customHeight="1">
      <c r="A428" t="inlineStr">
        <is>
          <t>A 25582-2024</t>
        </is>
      </c>
      <c r="B428" s="1" t="n">
        <v>45463</v>
      </c>
      <c r="C428" s="1" t="n">
        <v>45961</v>
      </c>
      <c r="D428" t="inlineStr">
        <is>
          <t>KALMAR LÄN</t>
        </is>
      </c>
      <c r="E428" t="inlineStr">
        <is>
          <t>VIMMERBY</t>
        </is>
      </c>
      <c r="G428" t="n">
        <v>1.4</v>
      </c>
      <c r="H428" t="n">
        <v>0</v>
      </c>
      <c r="I428" t="n">
        <v>0</v>
      </c>
      <c r="J428" t="n">
        <v>0</v>
      </c>
      <c r="K428" t="n">
        <v>0</v>
      </c>
      <c r="L428" t="n">
        <v>0</v>
      </c>
      <c r="M428" t="n">
        <v>0</v>
      </c>
      <c r="N428" t="n">
        <v>0</v>
      </c>
      <c r="O428" t="n">
        <v>0</v>
      </c>
      <c r="P428" t="n">
        <v>0</v>
      </c>
      <c r="Q428" t="n">
        <v>0</v>
      </c>
      <c r="R428" s="2" t="inlineStr"/>
    </row>
    <row r="429" ht="15" customHeight="1">
      <c r="A429" t="inlineStr">
        <is>
          <t>A 57578-2024</t>
        </is>
      </c>
      <c r="B429" s="1" t="n">
        <v>45630.47564814815</v>
      </c>
      <c r="C429" s="1" t="n">
        <v>45961</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35846-2023</t>
        </is>
      </c>
      <c r="B430" s="1" t="n">
        <v>45148</v>
      </c>
      <c r="C430" s="1" t="n">
        <v>45961</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35913-2023</t>
        </is>
      </c>
      <c r="B431" s="1" t="n">
        <v>45148</v>
      </c>
      <c r="C431" s="1" t="n">
        <v>45961</v>
      </c>
      <c r="D431" t="inlineStr">
        <is>
          <t>KALMAR LÄN</t>
        </is>
      </c>
      <c r="E431" t="inlineStr">
        <is>
          <t>VIMMERBY</t>
        </is>
      </c>
      <c r="G431" t="n">
        <v>6.9</v>
      </c>
      <c r="H431" t="n">
        <v>0</v>
      </c>
      <c r="I431" t="n">
        <v>0</v>
      </c>
      <c r="J431" t="n">
        <v>0</v>
      </c>
      <c r="K431" t="n">
        <v>0</v>
      </c>
      <c r="L431" t="n">
        <v>0</v>
      </c>
      <c r="M431" t="n">
        <v>0</v>
      </c>
      <c r="N431" t="n">
        <v>0</v>
      </c>
      <c r="O431" t="n">
        <v>0</v>
      </c>
      <c r="P431" t="n">
        <v>0</v>
      </c>
      <c r="Q431" t="n">
        <v>0</v>
      </c>
      <c r="R431" s="2" t="inlineStr"/>
    </row>
    <row r="432" ht="15" customHeight="1">
      <c r="A432" t="inlineStr">
        <is>
          <t>A 38757-2023</t>
        </is>
      </c>
      <c r="B432" s="1" t="n">
        <v>45163.41376157408</v>
      </c>
      <c r="C432" s="1" t="n">
        <v>45961</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20136-2024</t>
        </is>
      </c>
      <c r="B433" s="1" t="n">
        <v>45434.56291666667</v>
      </c>
      <c r="C433" s="1" t="n">
        <v>45961</v>
      </c>
      <c r="D433" t="inlineStr">
        <is>
          <t>KALMAR LÄN</t>
        </is>
      </c>
      <c r="E433" t="inlineStr">
        <is>
          <t>VIMMERBY</t>
        </is>
      </c>
      <c r="F433" t="inlineStr">
        <is>
          <t>Sveaskog</t>
        </is>
      </c>
      <c r="G433" t="n">
        <v>8.4</v>
      </c>
      <c r="H433" t="n">
        <v>0</v>
      </c>
      <c r="I433" t="n">
        <v>0</v>
      </c>
      <c r="J433" t="n">
        <v>0</v>
      </c>
      <c r="K433" t="n">
        <v>0</v>
      </c>
      <c r="L433" t="n">
        <v>0</v>
      </c>
      <c r="M433" t="n">
        <v>0</v>
      </c>
      <c r="N433" t="n">
        <v>0</v>
      </c>
      <c r="O433" t="n">
        <v>0</v>
      </c>
      <c r="P433" t="n">
        <v>0</v>
      </c>
      <c r="Q433" t="n">
        <v>0</v>
      </c>
      <c r="R433" s="2" t="inlineStr"/>
    </row>
    <row r="434" ht="15" customHeight="1">
      <c r="A434" t="inlineStr">
        <is>
          <t>A 14451-2024</t>
        </is>
      </c>
      <c r="B434" s="1" t="n">
        <v>45394.50028935185</v>
      </c>
      <c r="C434" s="1" t="n">
        <v>45961</v>
      </c>
      <c r="D434" t="inlineStr">
        <is>
          <t>KALMAR LÄN</t>
        </is>
      </c>
      <c r="E434" t="inlineStr">
        <is>
          <t>VIMMERBY</t>
        </is>
      </c>
      <c r="G434" t="n">
        <v>1.9</v>
      </c>
      <c r="H434" t="n">
        <v>0</v>
      </c>
      <c r="I434" t="n">
        <v>0</v>
      </c>
      <c r="J434" t="n">
        <v>0</v>
      </c>
      <c r="K434" t="n">
        <v>0</v>
      </c>
      <c r="L434" t="n">
        <v>0</v>
      </c>
      <c r="M434" t="n">
        <v>0</v>
      </c>
      <c r="N434" t="n">
        <v>0</v>
      </c>
      <c r="O434" t="n">
        <v>0</v>
      </c>
      <c r="P434" t="n">
        <v>0</v>
      </c>
      <c r="Q434" t="n">
        <v>0</v>
      </c>
      <c r="R434" s="2" t="inlineStr"/>
    </row>
    <row r="435" ht="15" customHeight="1">
      <c r="A435" t="inlineStr">
        <is>
          <t>A 46238-2024</t>
        </is>
      </c>
      <c r="B435" s="1" t="n">
        <v>45581.58418981481</v>
      </c>
      <c r="C435" s="1" t="n">
        <v>45961</v>
      </c>
      <c r="D435" t="inlineStr">
        <is>
          <t>KALMAR LÄN</t>
        </is>
      </c>
      <c r="E435" t="inlineStr">
        <is>
          <t>VIMMERBY</t>
        </is>
      </c>
      <c r="G435" t="n">
        <v>2.1</v>
      </c>
      <c r="H435" t="n">
        <v>0</v>
      </c>
      <c r="I435" t="n">
        <v>0</v>
      </c>
      <c r="J435" t="n">
        <v>0</v>
      </c>
      <c r="K435" t="n">
        <v>0</v>
      </c>
      <c r="L435" t="n">
        <v>0</v>
      </c>
      <c r="M435" t="n">
        <v>0</v>
      </c>
      <c r="N435" t="n">
        <v>0</v>
      </c>
      <c r="O435" t="n">
        <v>0</v>
      </c>
      <c r="P435" t="n">
        <v>0</v>
      </c>
      <c r="Q435" t="n">
        <v>0</v>
      </c>
      <c r="R435" s="2" t="inlineStr"/>
    </row>
    <row r="436" ht="15" customHeight="1">
      <c r="A436" t="inlineStr">
        <is>
          <t>A 24283-2023</t>
        </is>
      </c>
      <c r="B436" s="1" t="n">
        <v>45079.87827546296</v>
      </c>
      <c r="C436" s="1" t="n">
        <v>45961</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50993-2022</t>
        </is>
      </c>
      <c r="B437" s="1" t="n">
        <v>44867</v>
      </c>
      <c r="C437" s="1" t="n">
        <v>45961</v>
      </c>
      <c r="D437" t="inlineStr">
        <is>
          <t>KALMAR LÄN</t>
        </is>
      </c>
      <c r="E437" t="inlineStr">
        <is>
          <t>VIMMERBY</t>
        </is>
      </c>
      <c r="G437" t="n">
        <v>1.7</v>
      </c>
      <c r="H437" t="n">
        <v>0</v>
      </c>
      <c r="I437" t="n">
        <v>0</v>
      </c>
      <c r="J437" t="n">
        <v>0</v>
      </c>
      <c r="K437" t="n">
        <v>0</v>
      </c>
      <c r="L437" t="n">
        <v>0</v>
      </c>
      <c r="M437" t="n">
        <v>0</v>
      </c>
      <c r="N437" t="n">
        <v>0</v>
      </c>
      <c r="O437" t="n">
        <v>0</v>
      </c>
      <c r="P437" t="n">
        <v>0</v>
      </c>
      <c r="Q437" t="n">
        <v>0</v>
      </c>
      <c r="R437" s="2" t="inlineStr"/>
    </row>
    <row r="438" ht="15" customHeight="1">
      <c r="A438" t="inlineStr">
        <is>
          <t>A 46225-2024</t>
        </is>
      </c>
      <c r="B438" s="1" t="n">
        <v>45581.57333333333</v>
      </c>
      <c r="C438" s="1" t="n">
        <v>45961</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36055-2024</t>
        </is>
      </c>
      <c r="B439" s="1" t="n">
        <v>45533.63056712963</v>
      </c>
      <c r="C439" s="1" t="n">
        <v>45961</v>
      </c>
      <c r="D439" t="inlineStr">
        <is>
          <t>KALMAR LÄN</t>
        </is>
      </c>
      <c r="E439" t="inlineStr">
        <is>
          <t>VIMMERBY</t>
        </is>
      </c>
      <c r="F439" t="inlineStr">
        <is>
          <t>Kommuner</t>
        </is>
      </c>
      <c r="G439" t="n">
        <v>1.9</v>
      </c>
      <c r="H439" t="n">
        <v>0</v>
      </c>
      <c r="I439" t="n">
        <v>0</v>
      </c>
      <c r="J439" t="n">
        <v>0</v>
      </c>
      <c r="K439" t="n">
        <v>0</v>
      </c>
      <c r="L439" t="n">
        <v>0</v>
      </c>
      <c r="M439" t="n">
        <v>0</v>
      </c>
      <c r="N439" t="n">
        <v>0</v>
      </c>
      <c r="O439" t="n">
        <v>0</v>
      </c>
      <c r="P439" t="n">
        <v>0</v>
      </c>
      <c r="Q439" t="n">
        <v>0</v>
      </c>
      <c r="R439" s="2" t="inlineStr"/>
    </row>
    <row r="440" ht="15" customHeight="1">
      <c r="A440" t="inlineStr">
        <is>
          <t>A 22399-2025</t>
        </is>
      </c>
      <c r="B440" s="1" t="n">
        <v>45786.52996527778</v>
      </c>
      <c r="C440" s="1" t="n">
        <v>45961</v>
      </c>
      <c r="D440" t="inlineStr">
        <is>
          <t>KALMAR LÄN</t>
        </is>
      </c>
      <c r="E440" t="inlineStr">
        <is>
          <t>VIMMERBY</t>
        </is>
      </c>
      <c r="G440" t="n">
        <v>2.1</v>
      </c>
      <c r="H440" t="n">
        <v>0</v>
      </c>
      <c r="I440" t="n">
        <v>0</v>
      </c>
      <c r="J440" t="n">
        <v>0</v>
      </c>
      <c r="K440" t="n">
        <v>0</v>
      </c>
      <c r="L440" t="n">
        <v>0</v>
      </c>
      <c r="M440" t="n">
        <v>0</v>
      </c>
      <c r="N440" t="n">
        <v>0</v>
      </c>
      <c r="O440" t="n">
        <v>0</v>
      </c>
      <c r="P440" t="n">
        <v>0</v>
      </c>
      <c r="Q440" t="n">
        <v>0</v>
      </c>
      <c r="R440" s="2" t="inlineStr"/>
    </row>
    <row r="441" ht="15" customHeight="1">
      <c r="A441" t="inlineStr">
        <is>
          <t>A 47859-2024</t>
        </is>
      </c>
      <c r="B441" s="1" t="n">
        <v>45588.67070601852</v>
      </c>
      <c r="C441" s="1" t="n">
        <v>45961</v>
      </c>
      <c r="D441" t="inlineStr">
        <is>
          <t>KALMAR LÄN</t>
        </is>
      </c>
      <c r="E441" t="inlineStr">
        <is>
          <t>VIMMERBY</t>
        </is>
      </c>
      <c r="G441" t="n">
        <v>1.7</v>
      </c>
      <c r="H441" t="n">
        <v>0</v>
      </c>
      <c r="I441" t="n">
        <v>0</v>
      </c>
      <c r="J441" t="n">
        <v>0</v>
      </c>
      <c r="K441" t="n">
        <v>0</v>
      </c>
      <c r="L441" t="n">
        <v>0</v>
      </c>
      <c r="M441" t="n">
        <v>0</v>
      </c>
      <c r="N441" t="n">
        <v>0</v>
      </c>
      <c r="O441" t="n">
        <v>0</v>
      </c>
      <c r="P441" t="n">
        <v>0</v>
      </c>
      <c r="Q441" t="n">
        <v>0</v>
      </c>
      <c r="R441" s="2" t="inlineStr"/>
    </row>
    <row r="442" ht="15" customHeight="1">
      <c r="A442" t="inlineStr">
        <is>
          <t>A 59598-2023</t>
        </is>
      </c>
      <c r="B442" s="1" t="n">
        <v>45254.62489583333</v>
      </c>
      <c r="C442" s="1" t="n">
        <v>45961</v>
      </c>
      <c r="D442" t="inlineStr">
        <is>
          <t>KALMAR LÄN</t>
        </is>
      </c>
      <c r="E442" t="inlineStr">
        <is>
          <t>VIMMERBY</t>
        </is>
      </c>
      <c r="F442" t="inlineStr">
        <is>
          <t>Övriga Aktiebolag</t>
        </is>
      </c>
      <c r="G442" t="n">
        <v>4</v>
      </c>
      <c r="H442" t="n">
        <v>0</v>
      </c>
      <c r="I442" t="n">
        <v>0</v>
      </c>
      <c r="J442" t="n">
        <v>0</v>
      </c>
      <c r="K442" t="n">
        <v>0</v>
      </c>
      <c r="L442" t="n">
        <v>0</v>
      </c>
      <c r="M442" t="n">
        <v>0</v>
      </c>
      <c r="N442" t="n">
        <v>0</v>
      </c>
      <c r="O442" t="n">
        <v>0</v>
      </c>
      <c r="P442" t="n">
        <v>0</v>
      </c>
      <c r="Q442" t="n">
        <v>0</v>
      </c>
      <c r="R442" s="2" t="inlineStr"/>
    </row>
    <row r="443" ht="15" customHeight="1">
      <c r="A443" t="inlineStr">
        <is>
          <t>A 30920-2023</t>
        </is>
      </c>
      <c r="B443" s="1" t="n">
        <v>45113.43921296296</v>
      </c>
      <c r="C443" s="1" t="n">
        <v>45961</v>
      </c>
      <c r="D443" t="inlineStr">
        <is>
          <t>KALMAR LÄN</t>
        </is>
      </c>
      <c r="E443" t="inlineStr">
        <is>
          <t>VIMMERBY</t>
        </is>
      </c>
      <c r="G443" t="n">
        <v>3.1</v>
      </c>
      <c r="H443" t="n">
        <v>0</v>
      </c>
      <c r="I443" t="n">
        <v>0</v>
      </c>
      <c r="J443" t="n">
        <v>0</v>
      </c>
      <c r="K443" t="n">
        <v>0</v>
      </c>
      <c r="L443" t="n">
        <v>0</v>
      </c>
      <c r="M443" t="n">
        <v>0</v>
      </c>
      <c r="N443" t="n">
        <v>0</v>
      </c>
      <c r="O443" t="n">
        <v>0</v>
      </c>
      <c r="P443" t="n">
        <v>0</v>
      </c>
      <c r="Q443" t="n">
        <v>0</v>
      </c>
      <c r="R443" s="2" t="inlineStr"/>
    </row>
    <row r="444" ht="15" customHeight="1">
      <c r="A444" t="inlineStr">
        <is>
          <t>A 32835-2022</t>
        </is>
      </c>
      <c r="B444" s="1" t="n">
        <v>44784.42528935185</v>
      </c>
      <c r="C444" s="1" t="n">
        <v>45961</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41896-2023</t>
        </is>
      </c>
      <c r="B445" s="1" t="n">
        <v>45176.72427083334</v>
      </c>
      <c r="C445" s="1" t="n">
        <v>45961</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22397-2025</t>
        </is>
      </c>
      <c r="B446" s="1" t="n">
        <v>45786.52878472222</v>
      </c>
      <c r="C446" s="1" t="n">
        <v>45961</v>
      </c>
      <c r="D446" t="inlineStr">
        <is>
          <t>KALMAR LÄN</t>
        </is>
      </c>
      <c r="E446" t="inlineStr">
        <is>
          <t>VIMMERBY</t>
        </is>
      </c>
      <c r="G446" t="n">
        <v>0.8</v>
      </c>
      <c r="H446" t="n">
        <v>0</v>
      </c>
      <c r="I446" t="n">
        <v>0</v>
      </c>
      <c r="J446" t="n">
        <v>0</v>
      </c>
      <c r="K446" t="n">
        <v>0</v>
      </c>
      <c r="L446" t="n">
        <v>0</v>
      </c>
      <c r="M446" t="n">
        <v>0</v>
      </c>
      <c r="N446" t="n">
        <v>0</v>
      </c>
      <c r="O446" t="n">
        <v>0</v>
      </c>
      <c r="P446" t="n">
        <v>0</v>
      </c>
      <c r="Q446" t="n">
        <v>0</v>
      </c>
      <c r="R446" s="2" t="inlineStr"/>
    </row>
    <row r="447" ht="15" customHeight="1">
      <c r="A447" t="inlineStr">
        <is>
          <t>A 43606-2024</t>
        </is>
      </c>
      <c r="B447" s="1" t="n">
        <v>45569.45017361111</v>
      </c>
      <c r="C447" s="1" t="n">
        <v>45961</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12325-2023</t>
        </is>
      </c>
      <c r="B448" s="1" t="n">
        <v>44999.35858796296</v>
      </c>
      <c r="C448" s="1" t="n">
        <v>45961</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8945-2025</t>
        </is>
      </c>
      <c r="B449" s="1" t="n">
        <v>45713.45311342592</v>
      </c>
      <c r="C449" s="1" t="n">
        <v>45961</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40929-2022</t>
        </is>
      </c>
      <c r="B450" s="1" t="n">
        <v>44825.4336574074</v>
      </c>
      <c r="C450" s="1" t="n">
        <v>45961</v>
      </c>
      <c r="D450" t="inlineStr">
        <is>
          <t>KALMAR LÄN</t>
        </is>
      </c>
      <c r="E450" t="inlineStr">
        <is>
          <t>VIMMERBY</t>
        </is>
      </c>
      <c r="G450" t="n">
        <v>2.5</v>
      </c>
      <c r="H450" t="n">
        <v>0</v>
      </c>
      <c r="I450" t="n">
        <v>0</v>
      </c>
      <c r="J450" t="n">
        <v>0</v>
      </c>
      <c r="K450" t="n">
        <v>0</v>
      </c>
      <c r="L450" t="n">
        <v>0</v>
      </c>
      <c r="M450" t="n">
        <v>0</v>
      </c>
      <c r="N450" t="n">
        <v>0</v>
      </c>
      <c r="O450" t="n">
        <v>0</v>
      </c>
      <c r="P450" t="n">
        <v>0</v>
      </c>
      <c r="Q450" t="n">
        <v>0</v>
      </c>
      <c r="R450" s="2" t="inlineStr"/>
    </row>
    <row r="451" ht="15" customHeight="1">
      <c r="A451" t="inlineStr">
        <is>
          <t>A 11442-2025</t>
        </is>
      </c>
      <c r="B451" s="1" t="n">
        <v>45726.62721064815</v>
      </c>
      <c r="C451" s="1" t="n">
        <v>45961</v>
      </c>
      <c r="D451" t="inlineStr">
        <is>
          <t>KALMAR LÄN</t>
        </is>
      </c>
      <c r="E451" t="inlineStr">
        <is>
          <t>VIMMERBY</t>
        </is>
      </c>
      <c r="G451" t="n">
        <v>2.6</v>
      </c>
      <c r="H451" t="n">
        <v>0</v>
      </c>
      <c r="I451" t="n">
        <v>0</v>
      </c>
      <c r="J451" t="n">
        <v>0</v>
      </c>
      <c r="K451" t="n">
        <v>0</v>
      </c>
      <c r="L451" t="n">
        <v>0</v>
      </c>
      <c r="M451" t="n">
        <v>0</v>
      </c>
      <c r="N451" t="n">
        <v>0</v>
      </c>
      <c r="O451" t="n">
        <v>0</v>
      </c>
      <c r="P451" t="n">
        <v>0</v>
      </c>
      <c r="Q451" t="n">
        <v>0</v>
      </c>
      <c r="R451" s="2" t="inlineStr"/>
    </row>
    <row r="452" ht="15" customHeight="1">
      <c r="A452" t="inlineStr">
        <is>
          <t>A 40665-2023</t>
        </is>
      </c>
      <c r="B452" s="1" t="n">
        <v>45170</v>
      </c>
      <c r="C452" s="1" t="n">
        <v>45961</v>
      </c>
      <c r="D452" t="inlineStr">
        <is>
          <t>KALMAR LÄN</t>
        </is>
      </c>
      <c r="E452" t="inlineStr">
        <is>
          <t>VIMMERBY</t>
        </is>
      </c>
      <c r="G452" t="n">
        <v>2.6</v>
      </c>
      <c r="H452" t="n">
        <v>0</v>
      </c>
      <c r="I452" t="n">
        <v>0</v>
      </c>
      <c r="J452" t="n">
        <v>0</v>
      </c>
      <c r="K452" t="n">
        <v>0</v>
      </c>
      <c r="L452" t="n">
        <v>0</v>
      </c>
      <c r="M452" t="n">
        <v>0</v>
      </c>
      <c r="N452" t="n">
        <v>0</v>
      </c>
      <c r="O452" t="n">
        <v>0</v>
      </c>
      <c r="P452" t="n">
        <v>0</v>
      </c>
      <c r="Q452" t="n">
        <v>0</v>
      </c>
      <c r="R452" s="2" t="inlineStr"/>
    </row>
    <row r="453" ht="15" customHeight="1">
      <c r="A453" t="inlineStr">
        <is>
          <t>A 13307-2025</t>
        </is>
      </c>
      <c r="B453" s="1" t="n">
        <v>45735.58024305556</v>
      </c>
      <c r="C453" s="1" t="n">
        <v>45961</v>
      </c>
      <c r="D453" t="inlineStr">
        <is>
          <t>KALMAR LÄN</t>
        </is>
      </c>
      <c r="E453" t="inlineStr">
        <is>
          <t>VIMMERBY</t>
        </is>
      </c>
      <c r="G453" t="n">
        <v>0.8</v>
      </c>
      <c r="H453" t="n">
        <v>0</v>
      </c>
      <c r="I453" t="n">
        <v>0</v>
      </c>
      <c r="J453" t="n">
        <v>0</v>
      </c>
      <c r="K453" t="n">
        <v>0</v>
      </c>
      <c r="L453" t="n">
        <v>0</v>
      </c>
      <c r="M453" t="n">
        <v>0</v>
      </c>
      <c r="N453" t="n">
        <v>0</v>
      </c>
      <c r="O453" t="n">
        <v>0</v>
      </c>
      <c r="P453" t="n">
        <v>0</v>
      </c>
      <c r="Q453" t="n">
        <v>0</v>
      </c>
      <c r="R453" s="2" t="inlineStr"/>
    </row>
    <row r="454" ht="15" customHeight="1">
      <c r="A454" t="inlineStr">
        <is>
          <t>A 28034-2022</t>
        </is>
      </c>
      <c r="B454" s="1" t="n">
        <v>44746.38834490741</v>
      </c>
      <c r="C454" s="1" t="n">
        <v>45961</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6307-2025</t>
        </is>
      </c>
      <c r="B455" s="1" t="n">
        <v>45698.69016203703</v>
      </c>
      <c r="C455" s="1" t="n">
        <v>45961</v>
      </c>
      <c r="D455" t="inlineStr">
        <is>
          <t>KALMAR LÄN</t>
        </is>
      </c>
      <c r="E455" t="inlineStr">
        <is>
          <t>VIMMERBY</t>
        </is>
      </c>
      <c r="G455" t="n">
        <v>3</v>
      </c>
      <c r="H455" t="n">
        <v>0</v>
      </c>
      <c r="I455" t="n">
        <v>0</v>
      </c>
      <c r="J455" t="n">
        <v>0</v>
      </c>
      <c r="K455" t="n">
        <v>0</v>
      </c>
      <c r="L455" t="n">
        <v>0</v>
      </c>
      <c r="M455" t="n">
        <v>0</v>
      </c>
      <c r="N455" t="n">
        <v>0</v>
      </c>
      <c r="O455" t="n">
        <v>0</v>
      </c>
      <c r="P455" t="n">
        <v>0</v>
      </c>
      <c r="Q455" t="n">
        <v>0</v>
      </c>
      <c r="R455" s="2" t="inlineStr"/>
    </row>
    <row r="456" ht="15" customHeight="1">
      <c r="A456" t="inlineStr">
        <is>
          <t>A 33380-2023</t>
        </is>
      </c>
      <c r="B456" s="1" t="n">
        <v>45128</v>
      </c>
      <c r="C456" s="1" t="n">
        <v>45961</v>
      </c>
      <c r="D456" t="inlineStr">
        <is>
          <t>KALMAR LÄN</t>
        </is>
      </c>
      <c r="E456" t="inlineStr">
        <is>
          <t>VIMMERBY</t>
        </is>
      </c>
      <c r="G456" t="n">
        <v>5.2</v>
      </c>
      <c r="H456" t="n">
        <v>0</v>
      </c>
      <c r="I456" t="n">
        <v>0</v>
      </c>
      <c r="J456" t="n">
        <v>0</v>
      </c>
      <c r="K456" t="n">
        <v>0</v>
      </c>
      <c r="L456" t="n">
        <v>0</v>
      </c>
      <c r="M456" t="n">
        <v>0</v>
      </c>
      <c r="N456" t="n">
        <v>0</v>
      </c>
      <c r="O456" t="n">
        <v>0</v>
      </c>
      <c r="P456" t="n">
        <v>0</v>
      </c>
      <c r="Q456" t="n">
        <v>0</v>
      </c>
      <c r="R456" s="2" t="inlineStr"/>
    </row>
    <row r="457" ht="15" customHeight="1">
      <c r="A457" t="inlineStr">
        <is>
          <t>A 46144-2023</t>
        </is>
      </c>
      <c r="B457" s="1" t="n">
        <v>45196.57247685185</v>
      </c>
      <c r="C457" s="1" t="n">
        <v>45961</v>
      </c>
      <c r="D457" t="inlineStr">
        <is>
          <t>KALMAR LÄN</t>
        </is>
      </c>
      <c r="E457" t="inlineStr">
        <is>
          <t>VIMMERBY</t>
        </is>
      </c>
      <c r="G457" t="n">
        <v>6.5</v>
      </c>
      <c r="H457" t="n">
        <v>0</v>
      </c>
      <c r="I457" t="n">
        <v>0</v>
      </c>
      <c r="J457" t="n">
        <v>0</v>
      </c>
      <c r="K457" t="n">
        <v>0</v>
      </c>
      <c r="L457" t="n">
        <v>0</v>
      </c>
      <c r="M457" t="n">
        <v>0</v>
      </c>
      <c r="N457" t="n">
        <v>0</v>
      </c>
      <c r="O457" t="n">
        <v>0</v>
      </c>
      <c r="P457" t="n">
        <v>0</v>
      </c>
      <c r="Q457" t="n">
        <v>0</v>
      </c>
      <c r="R457" s="2" t="inlineStr"/>
    </row>
    <row r="458" ht="15" customHeight="1">
      <c r="A458" t="inlineStr">
        <is>
          <t>A 54787-2023</t>
        </is>
      </c>
      <c r="B458" s="1" t="n">
        <v>45236</v>
      </c>
      <c r="C458" s="1" t="n">
        <v>45961</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15715-2022</t>
        </is>
      </c>
      <c r="B459" s="1" t="n">
        <v>44663</v>
      </c>
      <c r="C459" s="1" t="n">
        <v>45961</v>
      </c>
      <c r="D459" t="inlineStr">
        <is>
          <t>KALMAR LÄN</t>
        </is>
      </c>
      <c r="E459" t="inlineStr">
        <is>
          <t>VIMMERBY</t>
        </is>
      </c>
      <c r="G459" t="n">
        <v>2.3</v>
      </c>
      <c r="H459" t="n">
        <v>0</v>
      </c>
      <c r="I459" t="n">
        <v>0</v>
      </c>
      <c r="J459" t="n">
        <v>0</v>
      </c>
      <c r="K459" t="n">
        <v>0</v>
      </c>
      <c r="L459" t="n">
        <v>0</v>
      </c>
      <c r="M459" t="n">
        <v>0</v>
      </c>
      <c r="N459" t="n">
        <v>0</v>
      </c>
      <c r="O459" t="n">
        <v>0</v>
      </c>
      <c r="P459" t="n">
        <v>0</v>
      </c>
      <c r="Q459" t="n">
        <v>0</v>
      </c>
      <c r="R459" s="2" t="inlineStr"/>
    </row>
    <row r="460" ht="15" customHeight="1">
      <c r="A460" t="inlineStr">
        <is>
          <t>A 55605-2024</t>
        </is>
      </c>
      <c r="B460" s="1" t="n">
        <v>45622</v>
      </c>
      <c r="C460" s="1" t="n">
        <v>45961</v>
      </c>
      <c r="D460" t="inlineStr">
        <is>
          <t>KALMAR LÄN</t>
        </is>
      </c>
      <c r="E460" t="inlineStr">
        <is>
          <t>VIMMERBY</t>
        </is>
      </c>
      <c r="G460" t="n">
        <v>1.1</v>
      </c>
      <c r="H460" t="n">
        <v>0</v>
      </c>
      <c r="I460" t="n">
        <v>0</v>
      </c>
      <c r="J460" t="n">
        <v>0</v>
      </c>
      <c r="K460" t="n">
        <v>0</v>
      </c>
      <c r="L460" t="n">
        <v>0</v>
      </c>
      <c r="M460" t="n">
        <v>0</v>
      </c>
      <c r="N460" t="n">
        <v>0</v>
      </c>
      <c r="O460" t="n">
        <v>0</v>
      </c>
      <c r="P460" t="n">
        <v>0</v>
      </c>
      <c r="Q460" t="n">
        <v>0</v>
      </c>
      <c r="R460" s="2" t="inlineStr"/>
    </row>
    <row r="461" ht="15" customHeight="1">
      <c r="A461" t="inlineStr">
        <is>
          <t>A 42165-2024</t>
        </is>
      </c>
      <c r="B461" s="1" t="n">
        <v>45562.46342592593</v>
      </c>
      <c r="C461" s="1" t="n">
        <v>45961</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43774-2023</t>
        </is>
      </c>
      <c r="B462" s="1" t="n">
        <v>45187</v>
      </c>
      <c r="C462" s="1" t="n">
        <v>45961</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43705-2023</t>
        </is>
      </c>
      <c r="B463" s="1" t="n">
        <v>45187.42854166667</v>
      </c>
      <c r="C463" s="1" t="n">
        <v>45961</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12661-2021</t>
        </is>
      </c>
      <c r="B464" s="1" t="n">
        <v>44270</v>
      </c>
      <c r="C464" s="1" t="n">
        <v>45961</v>
      </c>
      <c r="D464" t="inlineStr">
        <is>
          <t>KALMAR LÄN</t>
        </is>
      </c>
      <c r="E464" t="inlineStr">
        <is>
          <t>VIMMERBY</t>
        </is>
      </c>
      <c r="G464" t="n">
        <v>1.8</v>
      </c>
      <c r="H464" t="n">
        <v>0</v>
      </c>
      <c r="I464" t="n">
        <v>0</v>
      </c>
      <c r="J464" t="n">
        <v>0</v>
      </c>
      <c r="K464" t="n">
        <v>0</v>
      </c>
      <c r="L464" t="n">
        <v>0</v>
      </c>
      <c r="M464" t="n">
        <v>0</v>
      </c>
      <c r="N464" t="n">
        <v>0</v>
      </c>
      <c r="O464" t="n">
        <v>0</v>
      </c>
      <c r="P464" t="n">
        <v>0</v>
      </c>
      <c r="Q464" t="n">
        <v>0</v>
      </c>
      <c r="R464" s="2" t="inlineStr"/>
    </row>
    <row r="465" ht="15" customHeight="1">
      <c r="A465" t="inlineStr">
        <is>
          <t>A 24999-2021</t>
        </is>
      </c>
      <c r="B465" s="1" t="n">
        <v>44341</v>
      </c>
      <c r="C465" s="1" t="n">
        <v>45961</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7932-2025</t>
        </is>
      </c>
      <c r="B466" s="1" t="n">
        <v>45707.3793287037</v>
      </c>
      <c r="C466" s="1" t="n">
        <v>45961</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7917-2022</t>
        </is>
      </c>
      <c r="B467" s="1" t="n">
        <v>44608</v>
      </c>
      <c r="C467" s="1" t="n">
        <v>45961</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20129-2024</t>
        </is>
      </c>
      <c r="B468" s="1" t="n">
        <v>45434.55831018519</v>
      </c>
      <c r="C468" s="1" t="n">
        <v>45961</v>
      </c>
      <c r="D468" t="inlineStr">
        <is>
          <t>KALMAR LÄN</t>
        </is>
      </c>
      <c r="E468" t="inlineStr">
        <is>
          <t>VIMMERBY</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20137-2024</t>
        </is>
      </c>
      <c r="B469" s="1" t="n">
        <v>45434.56398148148</v>
      </c>
      <c r="C469" s="1" t="n">
        <v>45961</v>
      </c>
      <c r="D469" t="inlineStr">
        <is>
          <t>KALMAR LÄN</t>
        </is>
      </c>
      <c r="E469" t="inlineStr">
        <is>
          <t>VIMMERBY</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13532-2025</t>
        </is>
      </c>
      <c r="B470" s="1" t="n">
        <v>45736.50743055555</v>
      </c>
      <c r="C470" s="1" t="n">
        <v>45961</v>
      </c>
      <c r="D470" t="inlineStr">
        <is>
          <t>KALMAR LÄN</t>
        </is>
      </c>
      <c r="E470" t="inlineStr">
        <is>
          <t>VIMMERBY</t>
        </is>
      </c>
      <c r="G470" t="n">
        <v>3.6</v>
      </c>
      <c r="H470" t="n">
        <v>0</v>
      </c>
      <c r="I470" t="n">
        <v>0</v>
      </c>
      <c r="J470" t="n">
        <v>0</v>
      </c>
      <c r="K470" t="n">
        <v>0</v>
      </c>
      <c r="L470" t="n">
        <v>0</v>
      </c>
      <c r="M470" t="n">
        <v>0</v>
      </c>
      <c r="N470" t="n">
        <v>0</v>
      </c>
      <c r="O470" t="n">
        <v>0</v>
      </c>
      <c r="P470" t="n">
        <v>0</v>
      </c>
      <c r="Q470" t="n">
        <v>0</v>
      </c>
      <c r="R470" s="2" t="inlineStr"/>
    </row>
    <row r="471" ht="15" customHeight="1">
      <c r="A471" t="inlineStr">
        <is>
          <t>A 47208-2021</t>
        </is>
      </c>
      <c r="B471" s="1" t="n">
        <v>44447.34237268518</v>
      </c>
      <c r="C471" s="1" t="n">
        <v>45961</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65049-2020</t>
        </is>
      </c>
      <c r="B472" s="1" t="n">
        <v>44172</v>
      </c>
      <c r="C472" s="1" t="n">
        <v>45961</v>
      </c>
      <c r="D472" t="inlineStr">
        <is>
          <t>KALMAR LÄN</t>
        </is>
      </c>
      <c r="E472" t="inlineStr">
        <is>
          <t>VIMMERBY</t>
        </is>
      </c>
      <c r="G472" t="n">
        <v>2.3</v>
      </c>
      <c r="H472" t="n">
        <v>0</v>
      </c>
      <c r="I472" t="n">
        <v>0</v>
      </c>
      <c r="J472" t="n">
        <v>0</v>
      </c>
      <c r="K472" t="n">
        <v>0</v>
      </c>
      <c r="L472" t="n">
        <v>0</v>
      </c>
      <c r="M472" t="n">
        <v>0</v>
      </c>
      <c r="N472" t="n">
        <v>0</v>
      </c>
      <c r="O472" t="n">
        <v>0</v>
      </c>
      <c r="P472" t="n">
        <v>0</v>
      </c>
      <c r="Q472" t="n">
        <v>0</v>
      </c>
      <c r="R472" s="2" t="inlineStr"/>
    </row>
    <row r="473" ht="15" customHeight="1">
      <c r="A473" t="inlineStr">
        <is>
          <t>A 23394-2025</t>
        </is>
      </c>
      <c r="B473" s="1" t="n">
        <v>45791.89865740741</v>
      </c>
      <c r="C473" s="1" t="n">
        <v>45961</v>
      </c>
      <c r="D473" t="inlineStr">
        <is>
          <t>KALMAR LÄN</t>
        </is>
      </c>
      <c r="E473" t="inlineStr">
        <is>
          <t>VIMMERBY</t>
        </is>
      </c>
      <c r="G473" t="n">
        <v>3.1</v>
      </c>
      <c r="H473" t="n">
        <v>0</v>
      </c>
      <c r="I473" t="n">
        <v>0</v>
      </c>
      <c r="J473" t="n">
        <v>0</v>
      </c>
      <c r="K473" t="n">
        <v>0</v>
      </c>
      <c r="L473" t="n">
        <v>0</v>
      </c>
      <c r="M473" t="n">
        <v>0</v>
      </c>
      <c r="N473" t="n">
        <v>0</v>
      </c>
      <c r="O473" t="n">
        <v>0</v>
      </c>
      <c r="P473" t="n">
        <v>0</v>
      </c>
      <c r="Q473" t="n">
        <v>0</v>
      </c>
      <c r="R473" s="2" t="inlineStr"/>
    </row>
    <row r="474" ht="15" customHeight="1">
      <c r="A474" t="inlineStr">
        <is>
          <t>A 23095-2023</t>
        </is>
      </c>
      <c r="B474" s="1" t="n">
        <v>45075.43059027778</v>
      </c>
      <c r="C474" s="1" t="n">
        <v>45961</v>
      </c>
      <c r="D474" t="inlineStr">
        <is>
          <t>KALMAR LÄN</t>
        </is>
      </c>
      <c r="E474" t="inlineStr">
        <is>
          <t>VIMMERBY</t>
        </is>
      </c>
      <c r="G474" t="n">
        <v>1</v>
      </c>
      <c r="H474" t="n">
        <v>0</v>
      </c>
      <c r="I474" t="n">
        <v>0</v>
      </c>
      <c r="J474" t="n">
        <v>0</v>
      </c>
      <c r="K474" t="n">
        <v>0</v>
      </c>
      <c r="L474" t="n">
        <v>0</v>
      </c>
      <c r="M474" t="n">
        <v>0</v>
      </c>
      <c r="N474" t="n">
        <v>0</v>
      </c>
      <c r="O474" t="n">
        <v>0</v>
      </c>
      <c r="P474" t="n">
        <v>0</v>
      </c>
      <c r="Q474" t="n">
        <v>0</v>
      </c>
      <c r="R474" s="2" t="inlineStr"/>
    </row>
    <row r="475" ht="15" customHeight="1">
      <c r="A475" t="inlineStr">
        <is>
          <t>A 16705-2021</t>
        </is>
      </c>
      <c r="B475" s="1" t="n">
        <v>44294</v>
      </c>
      <c r="C475" s="1" t="n">
        <v>45961</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32919-2022</t>
        </is>
      </c>
      <c r="B476" s="1" t="n">
        <v>44784.62724537037</v>
      </c>
      <c r="C476" s="1" t="n">
        <v>45961</v>
      </c>
      <c r="D476" t="inlineStr">
        <is>
          <t>KALMAR LÄN</t>
        </is>
      </c>
      <c r="E476" t="inlineStr">
        <is>
          <t>VIMMERBY</t>
        </is>
      </c>
      <c r="G476" t="n">
        <v>1.7</v>
      </c>
      <c r="H476" t="n">
        <v>0</v>
      </c>
      <c r="I476" t="n">
        <v>0</v>
      </c>
      <c r="J476" t="n">
        <v>0</v>
      </c>
      <c r="K476" t="n">
        <v>0</v>
      </c>
      <c r="L476" t="n">
        <v>0</v>
      </c>
      <c r="M476" t="n">
        <v>0</v>
      </c>
      <c r="N476" t="n">
        <v>0</v>
      </c>
      <c r="O476" t="n">
        <v>0</v>
      </c>
      <c r="P476" t="n">
        <v>0</v>
      </c>
      <c r="Q476" t="n">
        <v>0</v>
      </c>
      <c r="R476" s="2" t="inlineStr"/>
    </row>
    <row r="477" ht="15" customHeight="1">
      <c r="A477" t="inlineStr">
        <is>
          <t>A 7068-2024</t>
        </is>
      </c>
      <c r="B477" s="1" t="n">
        <v>45343.68038194445</v>
      </c>
      <c r="C477" s="1" t="n">
        <v>45961</v>
      </c>
      <c r="D477" t="inlineStr">
        <is>
          <t>KALMAR LÄN</t>
        </is>
      </c>
      <c r="E477" t="inlineStr">
        <is>
          <t>VIMMERBY</t>
        </is>
      </c>
      <c r="G477" t="n">
        <v>2.5</v>
      </c>
      <c r="H477" t="n">
        <v>0</v>
      </c>
      <c r="I477" t="n">
        <v>0</v>
      </c>
      <c r="J477" t="n">
        <v>0</v>
      </c>
      <c r="K477" t="n">
        <v>0</v>
      </c>
      <c r="L477" t="n">
        <v>0</v>
      </c>
      <c r="M477" t="n">
        <v>0</v>
      </c>
      <c r="N477" t="n">
        <v>0</v>
      </c>
      <c r="O477" t="n">
        <v>0</v>
      </c>
      <c r="P477" t="n">
        <v>0</v>
      </c>
      <c r="Q477" t="n">
        <v>0</v>
      </c>
      <c r="R477" s="2" t="inlineStr"/>
    </row>
    <row r="478" ht="15" customHeight="1">
      <c r="A478" t="inlineStr">
        <is>
          <t>A 12596-2021</t>
        </is>
      </c>
      <c r="B478" s="1" t="n">
        <v>44270.39765046296</v>
      </c>
      <c r="C478" s="1" t="n">
        <v>45961</v>
      </c>
      <c r="D478" t="inlineStr">
        <is>
          <t>KALMAR LÄN</t>
        </is>
      </c>
      <c r="E478" t="inlineStr">
        <is>
          <t>VIMMERBY</t>
        </is>
      </c>
      <c r="F478" t="inlineStr">
        <is>
          <t>Sveaskog</t>
        </is>
      </c>
      <c r="G478" t="n">
        <v>3.1</v>
      </c>
      <c r="H478" t="n">
        <v>0</v>
      </c>
      <c r="I478" t="n">
        <v>0</v>
      </c>
      <c r="J478" t="n">
        <v>0</v>
      </c>
      <c r="K478" t="n">
        <v>0</v>
      </c>
      <c r="L478" t="n">
        <v>0</v>
      </c>
      <c r="M478" t="n">
        <v>0</v>
      </c>
      <c r="N478" t="n">
        <v>0</v>
      </c>
      <c r="O478" t="n">
        <v>0</v>
      </c>
      <c r="P478" t="n">
        <v>0</v>
      </c>
      <c r="Q478" t="n">
        <v>0</v>
      </c>
      <c r="R478" s="2" t="inlineStr"/>
    </row>
    <row r="479" ht="15" customHeight="1">
      <c r="A479" t="inlineStr">
        <is>
          <t>A 1978-2024</t>
        </is>
      </c>
      <c r="B479" s="1" t="n">
        <v>45308.59001157407</v>
      </c>
      <c r="C479" s="1" t="n">
        <v>45961</v>
      </c>
      <c r="D479" t="inlineStr">
        <is>
          <t>KALMAR LÄN</t>
        </is>
      </c>
      <c r="E479" t="inlineStr">
        <is>
          <t>VIMMERBY</t>
        </is>
      </c>
      <c r="G479" t="n">
        <v>0.9</v>
      </c>
      <c r="H479" t="n">
        <v>0</v>
      </c>
      <c r="I479" t="n">
        <v>0</v>
      </c>
      <c r="J479" t="n">
        <v>0</v>
      </c>
      <c r="K479" t="n">
        <v>0</v>
      </c>
      <c r="L479" t="n">
        <v>0</v>
      </c>
      <c r="M479" t="n">
        <v>0</v>
      </c>
      <c r="N479" t="n">
        <v>0</v>
      </c>
      <c r="O479" t="n">
        <v>0</v>
      </c>
      <c r="P479" t="n">
        <v>0</v>
      </c>
      <c r="Q479" t="n">
        <v>0</v>
      </c>
      <c r="R479" s="2" t="inlineStr"/>
    </row>
    <row r="480" ht="15" customHeight="1">
      <c r="A480" t="inlineStr">
        <is>
          <t>A 6399-2025</t>
        </is>
      </c>
      <c r="B480" s="1" t="n">
        <v>45699.44291666667</v>
      </c>
      <c r="C480" s="1" t="n">
        <v>45961</v>
      </c>
      <c r="D480" t="inlineStr">
        <is>
          <t>KALMAR LÄN</t>
        </is>
      </c>
      <c r="E480" t="inlineStr">
        <is>
          <t>VIMMERBY</t>
        </is>
      </c>
      <c r="G480" t="n">
        <v>3.1</v>
      </c>
      <c r="H480" t="n">
        <v>0</v>
      </c>
      <c r="I480" t="n">
        <v>0</v>
      </c>
      <c r="J480" t="n">
        <v>0</v>
      </c>
      <c r="K480" t="n">
        <v>0</v>
      </c>
      <c r="L480" t="n">
        <v>0</v>
      </c>
      <c r="M480" t="n">
        <v>0</v>
      </c>
      <c r="N480" t="n">
        <v>0</v>
      </c>
      <c r="O480" t="n">
        <v>0</v>
      </c>
      <c r="P480" t="n">
        <v>0</v>
      </c>
      <c r="Q480" t="n">
        <v>0</v>
      </c>
      <c r="R480" s="2" t="inlineStr"/>
    </row>
    <row r="481" ht="15" customHeight="1">
      <c r="A481" t="inlineStr">
        <is>
          <t>A 41311-2023</t>
        </is>
      </c>
      <c r="B481" s="1" t="n">
        <v>45174</v>
      </c>
      <c r="C481" s="1" t="n">
        <v>45961</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32655-2023</t>
        </is>
      </c>
      <c r="B482" s="1" t="n">
        <v>45121.61318287037</v>
      </c>
      <c r="C482" s="1" t="n">
        <v>45961</v>
      </c>
      <c r="D482" t="inlineStr">
        <is>
          <t>KALMAR LÄN</t>
        </is>
      </c>
      <c r="E482" t="inlineStr">
        <is>
          <t>VIMMERBY</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54409-2024</t>
        </is>
      </c>
      <c r="B483" s="1" t="n">
        <v>45617.47570601852</v>
      </c>
      <c r="C483" s="1" t="n">
        <v>45961</v>
      </c>
      <c r="D483" t="inlineStr">
        <is>
          <t>KALMAR LÄN</t>
        </is>
      </c>
      <c r="E483" t="inlineStr">
        <is>
          <t>VIMMERBY</t>
        </is>
      </c>
      <c r="G483" t="n">
        <v>4.3</v>
      </c>
      <c r="H483" t="n">
        <v>0</v>
      </c>
      <c r="I483" t="n">
        <v>0</v>
      </c>
      <c r="J483" t="n">
        <v>0</v>
      </c>
      <c r="K483" t="n">
        <v>0</v>
      </c>
      <c r="L483" t="n">
        <v>0</v>
      </c>
      <c r="M483" t="n">
        <v>0</v>
      </c>
      <c r="N483" t="n">
        <v>0</v>
      </c>
      <c r="O483" t="n">
        <v>0</v>
      </c>
      <c r="P483" t="n">
        <v>0</v>
      </c>
      <c r="Q483" t="n">
        <v>0</v>
      </c>
      <c r="R483" s="2" t="inlineStr"/>
    </row>
    <row r="484" ht="15" customHeight="1">
      <c r="A484" t="inlineStr">
        <is>
          <t>A 23984-2025</t>
        </is>
      </c>
      <c r="B484" s="1" t="n">
        <v>45796</v>
      </c>
      <c r="C484" s="1" t="n">
        <v>45961</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10785-2025</t>
        </is>
      </c>
      <c r="B485" s="1" t="n">
        <v>45722.48634259259</v>
      </c>
      <c r="C485" s="1" t="n">
        <v>45961</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9475-2023</t>
        </is>
      </c>
      <c r="B486" s="1" t="n">
        <v>44981.58834490741</v>
      </c>
      <c r="C486" s="1" t="n">
        <v>45961</v>
      </c>
      <c r="D486" t="inlineStr">
        <is>
          <t>KALMAR LÄN</t>
        </is>
      </c>
      <c r="E486" t="inlineStr">
        <is>
          <t>VIMMERBY</t>
        </is>
      </c>
      <c r="G486" t="n">
        <v>2</v>
      </c>
      <c r="H486" t="n">
        <v>0</v>
      </c>
      <c r="I486" t="n">
        <v>0</v>
      </c>
      <c r="J486" t="n">
        <v>0</v>
      </c>
      <c r="K486" t="n">
        <v>0</v>
      </c>
      <c r="L486" t="n">
        <v>0</v>
      </c>
      <c r="M486" t="n">
        <v>0</v>
      </c>
      <c r="N486" t="n">
        <v>0</v>
      </c>
      <c r="O486" t="n">
        <v>0</v>
      </c>
      <c r="P486" t="n">
        <v>0</v>
      </c>
      <c r="Q486" t="n">
        <v>0</v>
      </c>
      <c r="R486" s="2" t="inlineStr"/>
    </row>
    <row r="487" ht="15" customHeight="1">
      <c r="A487" t="inlineStr">
        <is>
          <t>A 18020-2025</t>
        </is>
      </c>
      <c r="B487" s="1" t="n">
        <v>45761.4437962963</v>
      </c>
      <c r="C487" s="1" t="n">
        <v>45961</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585-2024</t>
        </is>
      </c>
      <c r="B488" s="1" t="n">
        <v>45299.62576388889</v>
      </c>
      <c r="C488" s="1" t="n">
        <v>45961</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43092-2024</t>
        </is>
      </c>
      <c r="B489" s="1" t="n">
        <v>45567</v>
      </c>
      <c r="C489" s="1" t="n">
        <v>45961</v>
      </c>
      <c r="D489" t="inlineStr">
        <is>
          <t>KALMAR LÄN</t>
        </is>
      </c>
      <c r="E489" t="inlineStr">
        <is>
          <t>VIMMERBY</t>
        </is>
      </c>
      <c r="G489" t="n">
        <v>2.7</v>
      </c>
      <c r="H489" t="n">
        <v>0</v>
      </c>
      <c r="I489" t="n">
        <v>0</v>
      </c>
      <c r="J489" t="n">
        <v>0</v>
      </c>
      <c r="K489" t="n">
        <v>0</v>
      </c>
      <c r="L489" t="n">
        <v>0</v>
      </c>
      <c r="M489" t="n">
        <v>0</v>
      </c>
      <c r="N489" t="n">
        <v>0</v>
      </c>
      <c r="O489" t="n">
        <v>0</v>
      </c>
      <c r="P489" t="n">
        <v>0</v>
      </c>
      <c r="Q489" t="n">
        <v>0</v>
      </c>
      <c r="R489" s="2" t="inlineStr"/>
    </row>
    <row r="490" ht="15" customHeight="1">
      <c r="A490" t="inlineStr">
        <is>
          <t>A 6802-2025</t>
        </is>
      </c>
      <c r="B490" s="1" t="n">
        <v>45700.68289351852</v>
      </c>
      <c r="C490" s="1" t="n">
        <v>45961</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11619-2023</t>
        </is>
      </c>
      <c r="B491" s="1" t="n">
        <v>44994.42113425926</v>
      </c>
      <c r="C491" s="1" t="n">
        <v>45961</v>
      </c>
      <c r="D491" t="inlineStr">
        <is>
          <t>KALMAR LÄN</t>
        </is>
      </c>
      <c r="E491" t="inlineStr">
        <is>
          <t>VIMMERBY</t>
        </is>
      </c>
      <c r="G491" t="n">
        <v>2.5</v>
      </c>
      <c r="H491" t="n">
        <v>0</v>
      </c>
      <c r="I491" t="n">
        <v>0</v>
      </c>
      <c r="J491" t="n">
        <v>0</v>
      </c>
      <c r="K491" t="n">
        <v>0</v>
      </c>
      <c r="L491" t="n">
        <v>0</v>
      </c>
      <c r="M491" t="n">
        <v>0</v>
      </c>
      <c r="N491" t="n">
        <v>0</v>
      </c>
      <c r="O491" t="n">
        <v>0</v>
      </c>
      <c r="P491" t="n">
        <v>0</v>
      </c>
      <c r="Q491" t="n">
        <v>0</v>
      </c>
      <c r="R491" s="2" t="inlineStr"/>
    </row>
    <row r="492" ht="15" customHeight="1">
      <c r="A492" t="inlineStr">
        <is>
          <t>A 5074-2023</t>
        </is>
      </c>
      <c r="B492" s="1" t="n">
        <v>44958.61047453704</v>
      </c>
      <c r="C492" s="1" t="n">
        <v>45961</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6368-2023</t>
        </is>
      </c>
      <c r="B493" s="1" t="n">
        <v>44965</v>
      </c>
      <c r="C493" s="1" t="n">
        <v>45961</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56020-2024</t>
        </is>
      </c>
      <c r="B494" s="1" t="n">
        <v>45623.9525462963</v>
      </c>
      <c r="C494" s="1" t="n">
        <v>45961</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5701-2024</t>
        </is>
      </c>
      <c r="B495" s="1" t="n">
        <v>45334.78826388889</v>
      </c>
      <c r="C495" s="1" t="n">
        <v>45961</v>
      </c>
      <c r="D495" t="inlineStr">
        <is>
          <t>KALMAR LÄN</t>
        </is>
      </c>
      <c r="E495" t="inlineStr">
        <is>
          <t>VIMMERBY</t>
        </is>
      </c>
      <c r="G495" t="n">
        <v>2.3</v>
      </c>
      <c r="H495" t="n">
        <v>0</v>
      </c>
      <c r="I495" t="n">
        <v>0</v>
      </c>
      <c r="J495" t="n">
        <v>0</v>
      </c>
      <c r="K495" t="n">
        <v>0</v>
      </c>
      <c r="L495" t="n">
        <v>0</v>
      </c>
      <c r="M495" t="n">
        <v>0</v>
      </c>
      <c r="N495" t="n">
        <v>0</v>
      </c>
      <c r="O495" t="n">
        <v>0</v>
      </c>
      <c r="P495" t="n">
        <v>0</v>
      </c>
      <c r="Q495" t="n">
        <v>0</v>
      </c>
      <c r="R495" s="2" t="inlineStr"/>
    </row>
    <row r="496" ht="15" customHeight="1">
      <c r="A496" t="inlineStr">
        <is>
          <t>A 33842-2022</t>
        </is>
      </c>
      <c r="B496" s="1" t="n">
        <v>44790.49523148148</v>
      </c>
      <c r="C496" s="1" t="n">
        <v>45961</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60675-2023</t>
        </is>
      </c>
      <c r="B497" s="1" t="n">
        <v>45260.4716550926</v>
      </c>
      <c r="C497" s="1" t="n">
        <v>45961</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40095-2022</t>
        </is>
      </c>
      <c r="B498" s="1" t="n">
        <v>44820</v>
      </c>
      <c r="C498" s="1" t="n">
        <v>45961</v>
      </c>
      <c r="D498" t="inlineStr">
        <is>
          <t>KALMAR LÄN</t>
        </is>
      </c>
      <c r="E498" t="inlineStr">
        <is>
          <t>VIMMERBY</t>
        </is>
      </c>
      <c r="G498" t="n">
        <v>2.4</v>
      </c>
      <c r="H498" t="n">
        <v>0</v>
      </c>
      <c r="I498" t="n">
        <v>0</v>
      </c>
      <c r="J498" t="n">
        <v>0</v>
      </c>
      <c r="K498" t="n">
        <v>0</v>
      </c>
      <c r="L498" t="n">
        <v>0</v>
      </c>
      <c r="M498" t="n">
        <v>0</v>
      </c>
      <c r="N498" t="n">
        <v>0</v>
      </c>
      <c r="O498" t="n">
        <v>0</v>
      </c>
      <c r="P498" t="n">
        <v>0</v>
      </c>
      <c r="Q498" t="n">
        <v>0</v>
      </c>
      <c r="R498" s="2" t="inlineStr"/>
    </row>
    <row r="499" ht="15" customHeight="1">
      <c r="A499" t="inlineStr">
        <is>
          <t>A 19537-2022</t>
        </is>
      </c>
      <c r="B499" s="1" t="n">
        <v>44693.62822916666</v>
      </c>
      <c r="C499" s="1" t="n">
        <v>45961</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51278-2024</t>
        </is>
      </c>
      <c r="B500" s="1" t="n">
        <v>45603.74959490741</v>
      </c>
      <c r="C500" s="1" t="n">
        <v>45961</v>
      </c>
      <c r="D500" t="inlineStr">
        <is>
          <t>KALMAR LÄN</t>
        </is>
      </c>
      <c r="E500" t="inlineStr">
        <is>
          <t>VIMMERBY</t>
        </is>
      </c>
      <c r="G500" t="n">
        <v>3.4</v>
      </c>
      <c r="H500" t="n">
        <v>0</v>
      </c>
      <c r="I500" t="n">
        <v>0</v>
      </c>
      <c r="J500" t="n">
        <v>0</v>
      </c>
      <c r="K500" t="n">
        <v>0</v>
      </c>
      <c r="L500" t="n">
        <v>0</v>
      </c>
      <c r="M500" t="n">
        <v>0</v>
      </c>
      <c r="N500" t="n">
        <v>0</v>
      </c>
      <c r="O500" t="n">
        <v>0</v>
      </c>
      <c r="P500" t="n">
        <v>0</v>
      </c>
      <c r="Q500" t="n">
        <v>0</v>
      </c>
      <c r="R500" s="2" t="inlineStr"/>
    </row>
    <row r="501" ht="15" customHeight="1">
      <c r="A501" t="inlineStr">
        <is>
          <t>A 7797-2023</t>
        </is>
      </c>
      <c r="B501" s="1" t="n">
        <v>44973.43075231482</v>
      </c>
      <c r="C501" s="1" t="n">
        <v>45961</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57311-2023</t>
        </is>
      </c>
      <c r="B502" s="1" t="n">
        <v>45245.63574074074</v>
      </c>
      <c r="C502" s="1" t="n">
        <v>45961</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64428-2023</t>
        </is>
      </c>
      <c r="B503" s="1" t="n">
        <v>45280.66769675926</v>
      </c>
      <c r="C503" s="1" t="n">
        <v>45961</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24655-2021</t>
        </is>
      </c>
      <c r="B504" s="1" t="n">
        <v>44340</v>
      </c>
      <c r="C504" s="1" t="n">
        <v>45961</v>
      </c>
      <c r="D504" t="inlineStr">
        <is>
          <t>KALMAR LÄN</t>
        </is>
      </c>
      <c r="E504" t="inlineStr">
        <is>
          <t>VIMMERBY</t>
        </is>
      </c>
      <c r="G504" t="n">
        <v>14.9</v>
      </c>
      <c r="H504" t="n">
        <v>0</v>
      </c>
      <c r="I504" t="n">
        <v>0</v>
      </c>
      <c r="J504" t="n">
        <v>0</v>
      </c>
      <c r="K504" t="n">
        <v>0</v>
      </c>
      <c r="L504" t="n">
        <v>0</v>
      </c>
      <c r="M504" t="n">
        <v>0</v>
      </c>
      <c r="N504" t="n">
        <v>0</v>
      </c>
      <c r="O504" t="n">
        <v>0</v>
      </c>
      <c r="P504" t="n">
        <v>0</v>
      </c>
      <c r="Q504" t="n">
        <v>0</v>
      </c>
      <c r="R504" s="2" t="inlineStr"/>
    </row>
    <row r="505" ht="15" customHeight="1">
      <c r="A505" t="inlineStr">
        <is>
          <t>A 4527-2023</t>
        </is>
      </c>
      <c r="B505" s="1" t="n">
        <v>44956</v>
      </c>
      <c r="C505" s="1" t="n">
        <v>45961</v>
      </c>
      <c r="D505" t="inlineStr">
        <is>
          <t>KALMAR LÄN</t>
        </is>
      </c>
      <c r="E505" t="inlineStr">
        <is>
          <t>VIMMERBY</t>
        </is>
      </c>
      <c r="F505" t="inlineStr">
        <is>
          <t>Kommuner</t>
        </is>
      </c>
      <c r="G505" t="n">
        <v>8.5</v>
      </c>
      <c r="H505" t="n">
        <v>0</v>
      </c>
      <c r="I505" t="n">
        <v>0</v>
      </c>
      <c r="J505" t="n">
        <v>0</v>
      </c>
      <c r="K505" t="n">
        <v>0</v>
      </c>
      <c r="L505" t="n">
        <v>0</v>
      </c>
      <c r="M505" t="n">
        <v>0</v>
      </c>
      <c r="N505" t="n">
        <v>0</v>
      </c>
      <c r="O505" t="n">
        <v>0</v>
      </c>
      <c r="P505" t="n">
        <v>0</v>
      </c>
      <c r="Q505" t="n">
        <v>0</v>
      </c>
      <c r="R505" s="2" t="inlineStr"/>
    </row>
    <row r="506" ht="15" customHeight="1">
      <c r="A506" t="inlineStr">
        <is>
          <t>A 3268-2024</t>
        </is>
      </c>
      <c r="B506" s="1" t="n">
        <v>45317</v>
      </c>
      <c r="C506" s="1" t="n">
        <v>45961</v>
      </c>
      <c r="D506" t="inlineStr">
        <is>
          <t>KALMAR LÄN</t>
        </is>
      </c>
      <c r="E506" t="inlineStr">
        <is>
          <t>VIMMERBY</t>
        </is>
      </c>
      <c r="F506" t="inlineStr">
        <is>
          <t>Övriga Aktiebolag</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35082-2024</t>
        </is>
      </c>
      <c r="B507" s="1" t="n">
        <v>45527.68784722222</v>
      </c>
      <c r="C507" s="1" t="n">
        <v>45961</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44582-2024</t>
        </is>
      </c>
      <c r="B508" s="1" t="n">
        <v>45574.49298611111</v>
      </c>
      <c r="C508" s="1" t="n">
        <v>45961</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9456-2025</t>
        </is>
      </c>
      <c r="B509" s="1" t="n">
        <v>45715.44159722222</v>
      </c>
      <c r="C509" s="1" t="n">
        <v>45961</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51408-2023</t>
        </is>
      </c>
      <c r="B510" s="1" t="n">
        <v>45219.69356481481</v>
      </c>
      <c r="C510" s="1" t="n">
        <v>45961</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46365-2025</t>
        </is>
      </c>
      <c r="B511" s="1" t="n">
        <v>45925.50075231482</v>
      </c>
      <c r="C511" s="1" t="n">
        <v>45961</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11111-2023</t>
        </is>
      </c>
      <c r="B512" s="1" t="n">
        <v>44992.4255787037</v>
      </c>
      <c r="C512" s="1" t="n">
        <v>45961</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8410-2023</t>
        </is>
      </c>
      <c r="B513" s="1" t="n">
        <v>44977</v>
      </c>
      <c r="C513" s="1" t="n">
        <v>45961</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12480-2024</t>
        </is>
      </c>
      <c r="B514" s="1" t="n">
        <v>45379</v>
      </c>
      <c r="C514" s="1" t="n">
        <v>45961</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52588-2023</t>
        </is>
      </c>
      <c r="B515" s="1" t="n">
        <v>45225.60192129629</v>
      </c>
      <c r="C515" s="1" t="n">
        <v>45961</v>
      </c>
      <c r="D515" t="inlineStr">
        <is>
          <t>KALMAR LÄN</t>
        </is>
      </c>
      <c r="E515" t="inlineStr">
        <is>
          <t>VIMMERBY</t>
        </is>
      </c>
      <c r="G515" t="n">
        <v>2.9</v>
      </c>
      <c r="H515" t="n">
        <v>0</v>
      </c>
      <c r="I515" t="n">
        <v>0</v>
      </c>
      <c r="J515" t="n">
        <v>0</v>
      </c>
      <c r="K515" t="n">
        <v>0</v>
      </c>
      <c r="L515" t="n">
        <v>0</v>
      </c>
      <c r="M515" t="n">
        <v>0</v>
      </c>
      <c r="N515" t="n">
        <v>0</v>
      </c>
      <c r="O515" t="n">
        <v>0</v>
      </c>
      <c r="P515" t="n">
        <v>0</v>
      </c>
      <c r="Q515" t="n">
        <v>0</v>
      </c>
      <c r="R515" s="2" t="inlineStr"/>
    </row>
    <row r="516" ht="15" customHeight="1">
      <c r="A516" t="inlineStr">
        <is>
          <t>A 6028-2023</t>
        </is>
      </c>
      <c r="B516" s="1" t="n">
        <v>44964.44356481481</v>
      </c>
      <c r="C516" s="1" t="n">
        <v>45961</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55236-2023</t>
        </is>
      </c>
      <c r="B517" s="1" t="n">
        <v>45237.63225694445</v>
      </c>
      <c r="C517" s="1" t="n">
        <v>45961</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55245-2023</t>
        </is>
      </c>
      <c r="B518" s="1" t="n">
        <v>45237.64408564815</v>
      </c>
      <c r="C518" s="1" t="n">
        <v>45961</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52823-2024</t>
        </is>
      </c>
      <c r="B519" s="1" t="n">
        <v>45610.59094907407</v>
      </c>
      <c r="C519" s="1" t="n">
        <v>45961</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19111-2025</t>
        </is>
      </c>
      <c r="B520" s="1" t="n">
        <v>45768.65611111111</v>
      </c>
      <c r="C520" s="1" t="n">
        <v>45961</v>
      </c>
      <c r="D520" t="inlineStr">
        <is>
          <t>KALMAR LÄN</t>
        </is>
      </c>
      <c r="E520" t="inlineStr">
        <is>
          <t>VIMMERBY</t>
        </is>
      </c>
      <c r="G520" t="n">
        <v>6.2</v>
      </c>
      <c r="H520" t="n">
        <v>0</v>
      </c>
      <c r="I520" t="n">
        <v>0</v>
      </c>
      <c r="J520" t="n">
        <v>0</v>
      </c>
      <c r="K520" t="n">
        <v>0</v>
      </c>
      <c r="L520" t="n">
        <v>0</v>
      </c>
      <c r="M520" t="n">
        <v>0</v>
      </c>
      <c r="N520" t="n">
        <v>0</v>
      </c>
      <c r="O520" t="n">
        <v>0</v>
      </c>
      <c r="P520" t="n">
        <v>0</v>
      </c>
      <c r="Q520" t="n">
        <v>0</v>
      </c>
      <c r="R520" s="2" t="inlineStr"/>
    </row>
    <row r="521" ht="15" customHeight="1">
      <c r="A521" t="inlineStr">
        <is>
          <t>A 58724-2024</t>
        </is>
      </c>
      <c r="B521" s="1" t="n">
        <v>45635.66409722222</v>
      </c>
      <c r="C521" s="1" t="n">
        <v>45961</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15494-2024</t>
        </is>
      </c>
      <c r="B522" s="1" t="n">
        <v>45401.53033564815</v>
      </c>
      <c r="C522" s="1" t="n">
        <v>45961</v>
      </c>
      <c r="D522" t="inlineStr">
        <is>
          <t>KALMAR LÄN</t>
        </is>
      </c>
      <c r="E522" t="inlineStr">
        <is>
          <t>VIMMERBY</t>
        </is>
      </c>
      <c r="G522" t="n">
        <v>3.2</v>
      </c>
      <c r="H522" t="n">
        <v>0</v>
      </c>
      <c r="I522" t="n">
        <v>0</v>
      </c>
      <c r="J522" t="n">
        <v>0</v>
      </c>
      <c r="K522" t="n">
        <v>0</v>
      </c>
      <c r="L522" t="n">
        <v>0</v>
      </c>
      <c r="M522" t="n">
        <v>0</v>
      </c>
      <c r="N522" t="n">
        <v>0</v>
      </c>
      <c r="O522" t="n">
        <v>0</v>
      </c>
      <c r="P522" t="n">
        <v>0</v>
      </c>
      <c r="Q522" t="n">
        <v>0</v>
      </c>
      <c r="R522" s="2" t="inlineStr"/>
    </row>
    <row r="523" ht="15" customHeight="1">
      <c r="A523" t="inlineStr">
        <is>
          <t>A 56853-2022</t>
        </is>
      </c>
      <c r="B523" s="1" t="n">
        <v>44894.49538194444</v>
      </c>
      <c r="C523" s="1" t="n">
        <v>45961</v>
      </c>
      <c r="D523" t="inlineStr">
        <is>
          <t>KALMAR LÄN</t>
        </is>
      </c>
      <c r="E523" t="inlineStr">
        <is>
          <t>VIMMERBY</t>
        </is>
      </c>
      <c r="G523" t="n">
        <v>4.3</v>
      </c>
      <c r="H523" t="n">
        <v>0</v>
      </c>
      <c r="I523" t="n">
        <v>0</v>
      </c>
      <c r="J523" t="n">
        <v>0</v>
      </c>
      <c r="K523" t="n">
        <v>0</v>
      </c>
      <c r="L523" t="n">
        <v>0</v>
      </c>
      <c r="M523" t="n">
        <v>0</v>
      </c>
      <c r="N523" t="n">
        <v>0</v>
      </c>
      <c r="O523" t="n">
        <v>0</v>
      </c>
      <c r="P523" t="n">
        <v>0</v>
      </c>
      <c r="Q523" t="n">
        <v>0</v>
      </c>
      <c r="R523" s="2" t="inlineStr"/>
    </row>
    <row r="524" ht="15" customHeight="1">
      <c r="A524" t="inlineStr">
        <is>
          <t>A 11152-2023</t>
        </is>
      </c>
      <c r="B524" s="1" t="n">
        <v>44992</v>
      </c>
      <c r="C524" s="1" t="n">
        <v>45961</v>
      </c>
      <c r="D524" t="inlineStr">
        <is>
          <t>KALMAR LÄN</t>
        </is>
      </c>
      <c r="E524" t="inlineStr">
        <is>
          <t>VIMMERBY</t>
        </is>
      </c>
      <c r="G524" t="n">
        <v>10.6</v>
      </c>
      <c r="H524" t="n">
        <v>0</v>
      </c>
      <c r="I524" t="n">
        <v>0</v>
      </c>
      <c r="J524" t="n">
        <v>0</v>
      </c>
      <c r="K524" t="n">
        <v>0</v>
      </c>
      <c r="L524" t="n">
        <v>0</v>
      </c>
      <c r="M524" t="n">
        <v>0</v>
      </c>
      <c r="N524" t="n">
        <v>0</v>
      </c>
      <c r="O524" t="n">
        <v>0</v>
      </c>
      <c r="P524" t="n">
        <v>0</v>
      </c>
      <c r="Q524" t="n">
        <v>0</v>
      </c>
      <c r="R524" s="2" t="inlineStr"/>
    </row>
    <row r="525" ht="15" customHeight="1">
      <c r="A525" t="inlineStr">
        <is>
          <t>A 25370-2022</t>
        </is>
      </c>
      <c r="B525" s="1" t="n">
        <v>44732.3659837963</v>
      </c>
      <c r="C525" s="1" t="n">
        <v>45961</v>
      </c>
      <c r="D525" t="inlineStr">
        <is>
          <t>KALMAR LÄN</t>
        </is>
      </c>
      <c r="E525" t="inlineStr">
        <is>
          <t>VIMMERBY</t>
        </is>
      </c>
      <c r="G525" t="n">
        <v>1.2</v>
      </c>
      <c r="H525" t="n">
        <v>0</v>
      </c>
      <c r="I525" t="n">
        <v>0</v>
      </c>
      <c r="J525" t="n">
        <v>0</v>
      </c>
      <c r="K525" t="n">
        <v>0</v>
      </c>
      <c r="L525" t="n">
        <v>0</v>
      </c>
      <c r="M525" t="n">
        <v>0</v>
      </c>
      <c r="N525" t="n">
        <v>0</v>
      </c>
      <c r="O525" t="n">
        <v>0</v>
      </c>
      <c r="P525" t="n">
        <v>0</v>
      </c>
      <c r="Q525" t="n">
        <v>0</v>
      </c>
      <c r="R525" s="2" t="inlineStr"/>
    </row>
    <row r="526" ht="15" customHeight="1">
      <c r="A526" t="inlineStr">
        <is>
          <t>A 45856-2025</t>
        </is>
      </c>
      <c r="B526" s="1" t="n">
        <v>45923</v>
      </c>
      <c r="C526" s="1" t="n">
        <v>45961</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15550-2023</t>
        </is>
      </c>
      <c r="B527" s="1" t="n">
        <v>45020</v>
      </c>
      <c r="C527" s="1" t="n">
        <v>45961</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26039-2025</t>
        </is>
      </c>
      <c r="B528" s="1" t="n">
        <v>45804.6953587963</v>
      </c>
      <c r="C528" s="1" t="n">
        <v>45961</v>
      </c>
      <c r="D528" t="inlineStr">
        <is>
          <t>KALMAR LÄN</t>
        </is>
      </c>
      <c r="E528" t="inlineStr">
        <is>
          <t>VIMMERBY</t>
        </is>
      </c>
      <c r="F528" t="inlineStr">
        <is>
          <t>Sveaskog</t>
        </is>
      </c>
      <c r="G528" t="n">
        <v>5.2</v>
      </c>
      <c r="H528" t="n">
        <v>0</v>
      </c>
      <c r="I528" t="n">
        <v>0</v>
      </c>
      <c r="J528" t="n">
        <v>0</v>
      </c>
      <c r="K528" t="n">
        <v>0</v>
      </c>
      <c r="L528" t="n">
        <v>0</v>
      </c>
      <c r="M528" t="n">
        <v>0</v>
      </c>
      <c r="N528" t="n">
        <v>0</v>
      </c>
      <c r="O528" t="n">
        <v>0</v>
      </c>
      <c r="P528" t="n">
        <v>0</v>
      </c>
      <c r="Q528" t="n">
        <v>0</v>
      </c>
      <c r="R528" s="2" t="inlineStr"/>
    </row>
    <row r="529" ht="15" customHeight="1">
      <c r="A529" t="inlineStr">
        <is>
          <t>A 26046-2025</t>
        </is>
      </c>
      <c r="B529" s="1" t="n">
        <v>45804.708125</v>
      </c>
      <c r="C529" s="1" t="n">
        <v>45961</v>
      </c>
      <c r="D529" t="inlineStr">
        <is>
          <t>KALMAR LÄN</t>
        </is>
      </c>
      <c r="E529" t="inlineStr">
        <is>
          <t>VIMMERBY</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25792-2025</t>
        </is>
      </c>
      <c r="B530" s="1" t="n">
        <v>45804.39141203704</v>
      </c>
      <c r="C530" s="1" t="n">
        <v>45961</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25830-2025</t>
        </is>
      </c>
      <c r="B531" s="1" t="n">
        <v>45804.44519675926</v>
      </c>
      <c r="C531" s="1" t="n">
        <v>45961</v>
      </c>
      <c r="D531" t="inlineStr">
        <is>
          <t>KALMAR LÄN</t>
        </is>
      </c>
      <c r="E531" t="inlineStr">
        <is>
          <t>VIMMERBY</t>
        </is>
      </c>
      <c r="G531" t="n">
        <v>4.9</v>
      </c>
      <c r="H531" t="n">
        <v>0</v>
      </c>
      <c r="I531" t="n">
        <v>0</v>
      </c>
      <c r="J531" t="n">
        <v>0</v>
      </c>
      <c r="K531" t="n">
        <v>0</v>
      </c>
      <c r="L531" t="n">
        <v>0</v>
      </c>
      <c r="M531" t="n">
        <v>0</v>
      </c>
      <c r="N531" t="n">
        <v>0</v>
      </c>
      <c r="O531" t="n">
        <v>0</v>
      </c>
      <c r="P531" t="n">
        <v>0</v>
      </c>
      <c r="Q531" t="n">
        <v>0</v>
      </c>
      <c r="R531" s="2" t="inlineStr"/>
    </row>
    <row r="532" ht="15" customHeight="1">
      <c r="A532" t="inlineStr">
        <is>
          <t>A 31355-2023</t>
        </is>
      </c>
      <c r="B532" s="1" t="n">
        <v>45114.49505787037</v>
      </c>
      <c r="C532" s="1" t="n">
        <v>45961</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33838-2022</t>
        </is>
      </c>
      <c r="B533" s="1" t="n">
        <v>44790.49040509259</v>
      </c>
      <c r="C533" s="1" t="n">
        <v>45961</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18330-2023</t>
        </is>
      </c>
      <c r="B534" s="1" t="n">
        <v>45041</v>
      </c>
      <c r="C534" s="1" t="n">
        <v>45961</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26124-2025</t>
        </is>
      </c>
      <c r="B535" s="1" t="n">
        <v>45805.39247685186</v>
      </c>
      <c r="C535" s="1" t="n">
        <v>45961</v>
      </c>
      <c r="D535" t="inlineStr">
        <is>
          <t>KALMAR LÄN</t>
        </is>
      </c>
      <c r="E535" t="inlineStr">
        <is>
          <t>VIMMERBY</t>
        </is>
      </c>
      <c r="G535" t="n">
        <v>6.6</v>
      </c>
      <c r="H535" t="n">
        <v>0</v>
      </c>
      <c r="I535" t="n">
        <v>0</v>
      </c>
      <c r="J535" t="n">
        <v>0</v>
      </c>
      <c r="K535" t="n">
        <v>0</v>
      </c>
      <c r="L535" t="n">
        <v>0</v>
      </c>
      <c r="M535" t="n">
        <v>0</v>
      </c>
      <c r="N535" t="n">
        <v>0</v>
      </c>
      <c r="O535" t="n">
        <v>0</v>
      </c>
      <c r="P535" t="n">
        <v>0</v>
      </c>
      <c r="Q535" t="n">
        <v>0</v>
      </c>
      <c r="R535" s="2" t="inlineStr"/>
    </row>
    <row r="536" ht="15" customHeight="1">
      <c r="A536" t="inlineStr">
        <is>
          <t>A 4058-2024</t>
        </is>
      </c>
      <c r="B536" s="1" t="n">
        <v>45323.53744212963</v>
      </c>
      <c r="C536" s="1" t="n">
        <v>45961</v>
      </c>
      <c r="D536" t="inlineStr">
        <is>
          <t>KALMAR LÄN</t>
        </is>
      </c>
      <c r="E536" t="inlineStr">
        <is>
          <t>VIMMERBY</t>
        </is>
      </c>
      <c r="G536" t="n">
        <v>6.5</v>
      </c>
      <c r="H536" t="n">
        <v>0</v>
      </c>
      <c r="I536" t="n">
        <v>0</v>
      </c>
      <c r="J536" t="n">
        <v>0</v>
      </c>
      <c r="K536" t="n">
        <v>0</v>
      </c>
      <c r="L536" t="n">
        <v>0</v>
      </c>
      <c r="M536" t="n">
        <v>0</v>
      </c>
      <c r="N536" t="n">
        <v>0</v>
      </c>
      <c r="O536" t="n">
        <v>0</v>
      </c>
      <c r="P536" t="n">
        <v>0</v>
      </c>
      <c r="Q536" t="n">
        <v>0</v>
      </c>
      <c r="R536" s="2" t="inlineStr"/>
    </row>
    <row r="537" ht="15" customHeight="1">
      <c r="A537" t="inlineStr">
        <is>
          <t>A 36008-2024</t>
        </is>
      </c>
      <c r="B537" s="1" t="n">
        <v>45533.55362268518</v>
      </c>
      <c r="C537" s="1" t="n">
        <v>45961</v>
      </c>
      <c r="D537" t="inlineStr">
        <is>
          <t>KALMAR LÄN</t>
        </is>
      </c>
      <c r="E537" t="inlineStr">
        <is>
          <t>VIMMERBY</t>
        </is>
      </c>
      <c r="G537" t="n">
        <v>3.7</v>
      </c>
      <c r="H537" t="n">
        <v>0</v>
      </c>
      <c r="I537" t="n">
        <v>0</v>
      </c>
      <c r="J537" t="n">
        <v>0</v>
      </c>
      <c r="K537" t="n">
        <v>0</v>
      </c>
      <c r="L537" t="n">
        <v>0</v>
      </c>
      <c r="M537" t="n">
        <v>0</v>
      </c>
      <c r="N537" t="n">
        <v>0</v>
      </c>
      <c r="O537" t="n">
        <v>0</v>
      </c>
      <c r="P537" t="n">
        <v>0</v>
      </c>
      <c r="Q537" t="n">
        <v>0</v>
      </c>
      <c r="R537" s="2" t="inlineStr"/>
    </row>
    <row r="538" ht="15" customHeight="1">
      <c r="A538" t="inlineStr">
        <is>
          <t>A 26254-2025</t>
        </is>
      </c>
      <c r="B538" s="1" t="n">
        <v>45805</v>
      </c>
      <c r="C538" s="1" t="n">
        <v>45961</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58100-2024</t>
        </is>
      </c>
      <c r="B539" s="1" t="n">
        <v>45632.36706018518</v>
      </c>
      <c r="C539" s="1" t="n">
        <v>45961</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18669-2025</t>
        </is>
      </c>
      <c r="B540" s="1" t="n">
        <v>45763.59436342592</v>
      </c>
      <c r="C540" s="1" t="n">
        <v>45961</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8540-2024</t>
        </is>
      </c>
      <c r="B541" s="1" t="n">
        <v>45355.54138888889</v>
      </c>
      <c r="C541" s="1" t="n">
        <v>45961</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9623-2024</t>
        </is>
      </c>
      <c r="B542" s="1" t="n">
        <v>45361.87975694444</v>
      </c>
      <c r="C542" s="1" t="n">
        <v>45961</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5146-2024</t>
        </is>
      </c>
      <c r="B543" s="1" t="n">
        <v>45330</v>
      </c>
      <c r="C543" s="1" t="n">
        <v>45961</v>
      </c>
      <c r="D543" t="inlineStr">
        <is>
          <t>KALMAR LÄN</t>
        </is>
      </c>
      <c r="E543" t="inlineStr">
        <is>
          <t>VIMMERBY</t>
        </is>
      </c>
      <c r="G543" t="n">
        <v>5.3</v>
      </c>
      <c r="H543" t="n">
        <v>0</v>
      </c>
      <c r="I543" t="n">
        <v>0</v>
      </c>
      <c r="J543" t="n">
        <v>0</v>
      </c>
      <c r="K543" t="n">
        <v>0</v>
      </c>
      <c r="L543" t="n">
        <v>0</v>
      </c>
      <c r="M543" t="n">
        <v>0</v>
      </c>
      <c r="N543" t="n">
        <v>0</v>
      </c>
      <c r="O543" t="n">
        <v>0</v>
      </c>
      <c r="P543" t="n">
        <v>0</v>
      </c>
      <c r="Q543" t="n">
        <v>0</v>
      </c>
      <c r="R543" s="2" t="inlineStr"/>
    </row>
    <row r="544" ht="15" customHeight="1">
      <c r="A544" t="inlineStr">
        <is>
          <t>A 5148-2024</t>
        </is>
      </c>
      <c r="B544" s="1" t="n">
        <v>45330</v>
      </c>
      <c r="C544" s="1" t="n">
        <v>45961</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27993-2022</t>
        </is>
      </c>
      <c r="B545" s="1" t="n">
        <v>44745.84396990741</v>
      </c>
      <c r="C545" s="1" t="n">
        <v>45961</v>
      </c>
      <c r="D545" t="inlineStr">
        <is>
          <t>KALMAR LÄN</t>
        </is>
      </c>
      <c r="E545" t="inlineStr">
        <is>
          <t>VIMMERBY</t>
        </is>
      </c>
      <c r="G545" t="n">
        <v>2.8</v>
      </c>
      <c r="H545" t="n">
        <v>0</v>
      </c>
      <c r="I545" t="n">
        <v>0</v>
      </c>
      <c r="J545" t="n">
        <v>0</v>
      </c>
      <c r="K545" t="n">
        <v>0</v>
      </c>
      <c r="L545" t="n">
        <v>0</v>
      </c>
      <c r="M545" t="n">
        <v>0</v>
      </c>
      <c r="N545" t="n">
        <v>0</v>
      </c>
      <c r="O545" t="n">
        <v>0</v>
      </c>
      <c r="P545" t="n">
        <v>0</v>
      </c>
      <c r="Q545" t="n">
        <v>0</v>
      </c>
      <c r="R545" s="2" t="inlineStr"/>
    </row>
    <row r="546" ht="15" customHeight="1">
      <c r="A546" t="inlineStr">
        <is>
          <t>A 44179-2022</t>
        </is>
      </c>
      <c r="B546" s="1" t="n">
        <v>44839.4528125</v>
      </c>
      <c r="C546" s="1" t="n">
        <v>45961</v>
      </c>
      <c r="D546" t="inlineStr">
        <is>
          <t>KALMAR LÄN</t>
        </is>
      </c>
      <c r="E546" t="inlineStr">
        <is>
          <t>VIMMERBY</t>
        </is>
      </c>
      <c r="G546" t="n">
        <v>2.8</v>
      </c>
      <c r="H546" t="n">
        <v>0</v>
      </c>
      <c r="I546" t="n">
        <v>0</v>
      </c>
      <c r="J546" t="n">
        <v>0</v>
      </c>
      <c r="K546" t="n">
        <v>0</v>
      </c>
      <c r="L546" t="n">
        <v>0</v>
      </c>
      <c r="M546" t="n">
        <v>0</v>
      </c>
      <c r="N546" t="n">
        <v>0</v>
      </c>
      <c r="O546" t="n">
        <v>0</v>
      </c>
      <c r="P546" t="n">
        <v>0</v>
      </c>
      <c r="Q546" t="n">
        <v>0</v>
      </c>
      <c r="R546" s="2" t="inlineStr"/>
    </row>
    <row r="547" ht="15" customHeight="1">
      <c r="A547" t="inlineStr">
        <is>
          <t>A 38969-2023</t>
        </is>
      </c>
      <c r="B547" s="1" t="n">
        <v>45163.63621527778</v>
      </c>
      <c r="C547" s="1" t="n">
        <v>45961</v>
      </c>
      <c r="D547" t="inlineStr">
        <is>
          <t>KALMAR LÄN</t>
        </is>
      </c>
      <c r="E547" t="inlineStr">
        <is>
          <t>VIMMERBY</t>
        </is>
      </c>
      <c r="F547" t="inlineStr">
        <is>
          <t>Sveaskog</t>
        </is>
      </c>
      <c r="G547" t="n">
        <v>2.4</v>
      </c>
      <c r="H547" t="n">
        <v>0</v>
      </c>
      <c r="I547" t="n">
        <v>0</v>
      </c>
      <c r="J547" t="n">
        <v>0</v>
      </c>
      <c r="K547" t="n">
        <v>0</v>
      </c>
      <c r="L547" t="n">
        <v>0</v>
      </c>
      <c r="M547" t="n">
        <v>0</v>
      </c>
      <c r="N547" t="n">
        <v>0</v>
      </c>
      <c r="O547" t="n">
        <v>0</v>
      </c>
      <c r="P547" t="n">
        <v>0</v>
      </c>
      <c r="Q547" t="n">
        <v>0</v>
      </c>
      <c r="R547" s="2" t="inlineStr"/>
    </row>
    <row r="548" ht="15" customHeight="1">
      <c r="A548" t="inlineStr">
        <is>
          <t>A 26207-2025</t>
        </is>
      </c>
      <c r="B548" s="1" t="n">
        <v>45805.52983796296</v>
      </c>
      <c r="C548" s="1" t="n">
        <v>45961</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46361-2025</t>
        </is>
      </c>
      <c r="B549" s="1" t="n">
        <v>45925.49670138889</v>
      </c>
      <c r="C549" s="1" t="n">
        <v>45961</v>
      </c>
      <c r="D549" t="inlineStr">
        <is>
          <t>KALMAR LÄN</t>
        </is>
      </c>
      <c r="E549" t="inlineStr">
        <is>
          <t>VIMMERBY</t>
        </is>
      </c>
      <c r="G549" t="n">
        <v>4.2</v>
      </c>
      <c r="H549" t="n">
        <v>0</v>
      </c>
      <c r="I549" t="n">
        <v>0</v>
      </c>
      <c r="J549" t="n">
        <v>0</v>
      </c>
      <c r="K549" t="n">
        <v>0</v>
      </c>
      <c r="L549" t="n">
        <v>0</v>
      </c>
      <c r="M549" t="n">
        <v>0</v>
      </c>
      <c r="N549" t="n">
        <v>0</v>
      </c>
      <c r="O549" t="n">
        <v>0</v>
      </c>
      <c r="P549" t="n">
        <v>0</v>
      </c>
      <c r="Q549" t="n">
        <v>0</v>
      </c>
      <c r="R549" s="2" t="inlineStr"/>
    </row>
    <row r="550" ht="15" customHeight="1">
      <c r="A550" t="inlineStr">
        <is>
          <t>A 50648-2023</t>
        </is>
      </c>
      <c r="B550" s="1" t="n">
        <v>45217.47834490741</v>
      </c>
      <c r="C550" s="1" t="n">
        <v>45961</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53752-2024</t>
        </is>
      </c>
      <c r="B551" s="1" t="n">
        <v>45615.48927083334</v>
      </c>
      <c r="C551" s="1" t="n">
        <v>45961</v>
      </c>
      <c r="D551" t="inlineStr">
        <is>
          <t>KALMAR LÄN</t>
        </is>
      </c>
      <c r="E551" t="inlineStr">
        <is>
          <t>VIMMERBY</t>
        </is>
      </c>
      <c r="G551" t="n">
        <v>2.4</v>
      </c>
      <c r="H551" t="n">
        <v>0</v>
      </c>
      <c r="I551" t="n">
        <v>0</v>
      </c>
      <c r="J551" t="n">
        <v>0</v>
      </c>
      <c r="K551" t="n">
        <v>0</v>
      </c>
      <c r="L551" t="n">
        <v>0</v>
      </c>
      <c r="M551" t="n">
        <v>0</v>
      </c>
      <c r="N551" t="n">
        <v>0</v>
      </c>
      <c r="O551" t="n">
        <v>0</v>
      </c>
      <c r="P551" t="n">
        <v>0</v>
      </c>
      <c r="Q551" t="n">
        <v>0</v>
      </c>
      <c r="R551" s="2" t="inlineStr"/>
    </row>
    <row r="552" ht="15" customHeight="1">
      <c r="A552" t="inlineStr">
        <is>
          <t>A 2121-2022</t>
        </is>
      </c>
      <c r="B552" s="1" t="n">
        <v>44578.32717592592</v>
      </c>
      <c r="C552" s="1" t="n">
        <v>45961</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57799-2022</t>
        </is>
      </c>
      <c r="B553" s="1" t="n">
        <v>44897</v>
      </c>
      <c r="C553" s="1" t="n">
        <v>45961</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15394-2025</t>
        </is>
      </c>
      <c r="B554" s="1" t="n">
        <v>45747.43196759259</v>
      </c>
      <c r="C554" s="1" t="n">
        <v>45961</v>
      </c>
      <c r="D554" t="inlineStr">
        <is>
          <t>KALMAR LÄN</t>
        </is>
      </c>
      <c r="E554" t="inlineStr">
        <is>
          <t>VIMMERBY</t>
        </is>
      </c>
      <c r="G554" t="n">
        <v>0.8</v>
      </c>
      <c r="H554" t="n">
        <v>0</v>
      </c>
      <c r="I554" t="n">
        <v>0</v>
      </c>
      <c r="J554" t="n">
        <v>0</v>
      </c>
      <c r="K554" t="n">
        <v>0</v>
      </c>
      <c r="L554" t="n">
        <v>0</v>
      </c>
      <c r="M554" t="n">
        <v>0</v>
      </c>
      <c r="N554" t="n">
        <v>0</v>
      </c>
      <c r="O554" t="n">
        <v>0</v>
      </c>
      <c r="P554" t="n">
        <v>0</v>
      </c>
      <c r="Q554" t="n">
        <v>0</v>
      </c>
      <c r="R554" s="2" t="inlineStr"/>
    </row>
    <row r="555" ht="15" customHeight="1">
      <c r="A555" t="inlineStr">
        <is>
          <t>A 26318-2023</t>
        </is>
      </c>
      <c r="B555" s="1" t="n">
        <v>45091.67936342592</v>
      </c>
      <c r="C555" s="1" t="n">
        <v>45961</v>
      </c>
      <c r="D555" t="inlineStr">
        <is>
          <t>KALMAR LÄN</t>
        </is>
      </c>
      <c r="E555" t="inlineStr">
        <is>
          <t>VIMMERBY</t>
        </is>
      </c>
      <c r="G555" t="n">
        <v>3.8</v>
      </c>
      <c r="H555" t="n">
        <v>0</v>
      </c>
      <c r="I555" t="n">
        <v>0</v>
      </c>
      <c r="J555" t="n">
        <v>0</v>
      </c>
      <c r="K555" t="n">
        <v>0</v>
      </c>
      <c r="L555" t="n">
        <v>0</v>
      </c>
      <c r="M555" t="n">
        <v>0</v>
      </c>
      <c r="N555" t="n">
        <v>0</v>
      </c>
      <c r="O555" t="n">
        <v>0</v>
      </c>
      <c r="P555" t="n">
        <v>0</v>
      </c>
      <c r="Q555" t="n">
        <v>0</v>
      </c>
      <c r="R555" s="2" t="inlineStr"/>
    </row>
    <row r="556" ht="15" customHeight="1">
      <c r="A556" t="inlineStr">
        <is>
          <t>A 60437-2023</t>
        </is>
      </c>
      <c r="B556" s="1" t="n">
        <v>45259.51916666667</v>
      </c>
      <c r="C556" s="1" t="n">
        <v>45961</v>
      </c>
      <c r="D556" t="inlineStr">
        <is>
          <t>KALMAR LÄN</t>
        </is>
      </c>
      <c r="E556" t="inlineStr">
        <is>
          <t>VIMMERBY</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60438-2023</t>
        </is>
      </c>
      <c r="B557" s="1" t="n">
        <v>45259.52020833334</v>
      </c>
      <c r="C557" s="1" t="n">
        <v>45961</v>
      </c>
      <c r="D557" t="inlineStr">
        <is>
          <t>KALMAR LÄN</t>
        </is>
      </c>
      <c r="E557" t="inlineStr">
        <is>
          <t>VIMMERBY</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58728-2024</t>
        </is>
      </c>
      <c r="B558" s="1" t="n">
        <v>45635.66695601852</v>
      </c>
      <c r="C558" s="1" t="n">
        <v>45961</v>
      </c>
      <c r="D558" t="inlineStr">
        <is>
          <t>KALMAR LÄN</t>
        </is>
      </c>
      <c r="E558" t="inlineStr">
        <is>
          <t>VIMMERBY</t>
        </is>
      </c>
      <c r="G558" t="n">
        <v>0.4</v>
      </c>
      <c r="H558" t="n">
        <v>0</v>
      </c>
      <c r="I558" t="n">
        <v>0</v>
      </c>
      <c r="J558" t="n">
        <v>0</v>
      </c>
      <c r="K558" t="n">
        <v>0</v>
      </c>
      <c r="L558" t="n">
        <v>0</v>
      </c>
      <c r="M558" t="n">
        <v>0</v>
      </c>
      <c r="N558" t="n">
        <v>0</v>
      </c>
      <c r="O558" t="n">
        <v>0</v>
      </c>
      <c r="P558" t="n">
        <v>0</v>
      </c>
      <c r="Q558" t="n">
        <v>0</v>
      </c>
      <c r="R558" s="2" t="inlineStr"/>
    </row>
    <row r="559" ht="15" customHeight="1">
      <c r="A559" t="inlineStr">
        <is>
          <t>A 43242-2024</t>
        </is>
      </c>
      <c r="B559" s="1" t="n">
        <v>45568.30189814815</v>
      </c>
      <c r="C559" s="1" t="n">
        <v>45961</v>
      </c>
      <c r="D559" t="inlineStr">
        <is>
          <t>KALMAR LÄN</t>
        </is>
      </c>
      <c r="E559" t="inlineStr">
        <is>
          <t>VIMMERBY</t>
        </is>
      </c>
      <c r="G559" t="n">
        <v>2.6</v>
      </c>
      <c r="H559" t="n">
        <v>0</v>
      </c>
      <c r="I559" t="n">
        <v>0</v>
      </c>
      <c r="J559" t="n">
        <v>0</v>
      </c>
      <c r="K559" t="n">
        <v>0</v>
      </c>
      <c r="L559" t="n">
        <v>0</v>
      </c>
      <c r="M559" t="n">
        <v>0</v>
      </c>
      <c r="N559" t="n">
        <v>0</v>
      </c>
      <c r="O559" t="n">
        <v>0</v>
      </c>
      <c r="P559" t="n">
        <v>0</v>
      </c>
      <c r="Q559" t="n">
        <v>0</v>
      </c>
      <c r="R559" s="2" t="inlineStr"/>
    </row>
    <row r="560" ht="15" customHeight="1">
      <c r="A560" t="inlineStr">
        <is>
          <t>A 16983-2023</t>
        </is>
      </c>
      <c r="B560" s="1" t="n">
        <v>45033.76043981482</v>
      </c>
      <c r="C560" s="1" t="n">
        <v>45961</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7758-2024</t>
        </is>
      </c>
      <c r="B561" s="1" t="n">
        <v>45349.54434027777</v>
      </c>
      <c r="C561" s="1" t="n">
        <v>45961</v>
      </c>
      <c r="D561" t="inlineStr">
        <is>
          <t>KALMAR LÄN</t>
        </is>
      </c>
      <c r="E561" t="inlineStr">
        <is>
          <t>VIMMERBY</t>
        </is>
      </c>
      <c r="G561" t="n">
        <v>3.5</v>
      </c>
      <c r="H561" t="n">
        <v>0</v>
      </c>
      <c r="I561" t="n">
        <v>0</v>
      </c>
      <c r="J561" t="n">
        <v>0</v>
      </c>
      <c r="K561" t="n">
        <v>0</v>
      </c>
      <c r="L561" t="n">
        <v>0</v>
      </c>
      <c r="M561" t="n">
        <v>0</v>
      </c>
      <c r="N561" t="n">
        <v>0</v>
      </c>
      <c r="O561" t="n">
        <v>0</v>
      </c>
      <c r="P561" t="n">
        <v>0</v>
      </c>
      <c r="Q561" t="n">
        <v>0</v>
      </c>
      <c r="R561" s="2" t="inlineStr"/>
    </row>
    <row r="562" ht="15" customHeight="1">
      <c r="A562" t="inlineStr">
        <is>
          <t>A 7456-2024</t>
        </is>
      </c>
      <c r="B562" s="1" t="n">
        <v>45345.83557870371</v>
      </c>
      <c r="C562" s="1" t="n">
        <v>45961</v>
      </c>
      <c r="D562" t="inlineStr">
        <is>
          <t>KALMAR LÄN</t>
        </is>
      </c>
      <c r="E562" t="inlineStr">
        <is>
          <t>VIMMERBY</t>
        </is>
      </c>
      <c r="G562" t="n">
        <v>4.1</v>
      </c>
      <c r="H562" t="n">
        <v>0</v>
      </c>
      <c r="I562" t="n">
        <v>0</v>
      </c>
      <c r="J562" t="n">
        <v>0</v>
      </c>
      <c r="K562" t="n">
        <v>0</v>
      </c>
      <c r="L562" t="n">
        <v>0</v>
      </c>
      <c r="M562" t="n">
        <v>0</v>
      </c>
      <c r="N562" t="n">
        <v>0</v>
      </c>
      <c r="O562" t="n">
        <v>0</v>
      </c>
      <c r="P562" t="n">
        <v>0</v>
      </c>
      <c r="Q562" t="n">
        <v>0</v>
      </c>
      <c r="R562" s="2" t="inlineStr"/>
    </row>
    <row r="563" ht="15" customHeight="1">
      <c r="A563" t="inlineStr">
        <is>
          <t>A 6405-2025</t>
        </is>
      </c>
      <c r="B563" s="1" t="n">
        <v>45699.45392361111</v>
      </c>
      <c r="C563" s="1" t="n">
        <v>45961</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36843-2023</t>
        </is>
      </c>
      <c r="B564" s="1" t="n">
        <v>45154.49831018518</v>
      </c>
      <c r="C564" s="1" t="n">
        <v>45961</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57486-2024</t>
        </is>
      </c>
      <c r="B565" s="1" t="n">
        <v>45630.35827546296</v>
      </c>
      <c r="C565" s="1" t="n">
        <v>45961</v>
      </c>
      <c r="D565" t="inlineStr">
        <is>
          <t>KALMAR LÄN</t>
        </is>
      </c>
      <c r="E565" t="inlineStr">
        <is>
          <t>VIMMERBY</t>
        </is>
      </c>
      <c r="G565" t="n">
        <v>0.4</v>
      </c>
      <c r="H565" t="n">
        <v>0</v>
      </c>
      <c r="I565" t="n">
        <v>0</v>
      </c>
      <c r="J565" t="n">
        <v>0</v>
      </c>
      <c r="K565" t="n">
        <v>0</v>
      </c>
      <c r="L565" t="n">
        <v>0</v>
      </c>
      <c r="M565" t="n">
        <v>0</v>
      </c>
      <c r="N565" t="n">
        <v>0</v>
      </c>
      <c r="O565" t="n">
        <v>0</v>
      </c>
      <c r="P565" t="n">
        <v>0</v>
      </c>
      <c r="Q565" t="n">
        <v>0</v>
      </c>
      <c r="R565" s="2" t="inlineStr"/>
    </row>
    <row r="566" ht="15" customHeight="1">
      <c r="A566" t="inlineStr">
        <is>
          <t>A 6082-2022</t>
        </is>
      </c>
      <c r="B566" s="1" t="n">
        <v>44599</v>
      </c>
      <c r="C566" s="1" t="n">
        <v>45961</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46979-2023</t>
        </is>
      </c>
      <c r="B567" s="1" t="n">
        <v>45201</v>
      </c>
      <c r="C567" s="1" t="n">
        <v>45961</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66295-2020</t>
        </is>
      </c>
      <c r="B568" s="1" t="n">
        <v>44176</v>
      </c>
      <c r="C568" s="1" t="n">
        <v>45961</v>
      </c>
      <c r="D568" t="inlineStr">
        <is>
          <t>KALMAR LÄN</t>
        </is>
      </c>
      <c r="E568" t="inlineStr">
        <is>
          <t>VIMMERBY</t>
        </is>
      </c>
      <c r="G568" t="n">
        <v>4.1</v>
      </c>
      <c r="H568" t="n">
        <v>0</v>
      </c>
      <c r="I568" t="n">
        <v>0</v>
      </c>
      <c r="J568" t="n">
        <v>0</v>
      </c>
      <c r="K568" t="n">
        <v>0</v>
      </c>
      <c r="L568" t="n">
        <v>0</v>
      </c>
      <c r="M568" t="n">
        <v>0</v>
      </c>
      <c r="N568" t="n">
        <v>0</v>
      </c>
      <c r="O568" t="n">
        <v>0</v>
      </c>
      <c r="P568" t="n">
        <v>0</v>
      </c>
      <c r="Q568" t="n">
        <v>0</v>
      </c>
      <c r="R568" s="2" t="inlineStr"/>
    </row>
    <row r="569" ht="15" customHeight="1">
      <c r="A569" t="inlineStr">
        <is>
          <t>A 2596-2025</t>
        </is>
      </c>
      <c r="B569" s="1" t="n">
        <v>45674.71810185185</v>
      </c>
      <c r="C569" s="1" t="n">
        <v>45961</v>
      </c>
      <c r="D569" t="inlineStr">
        <is>
          <t>KALMAR LÄN</t>
        </is>
      </c>
      <c r="E569" t="inlineStr">
        <is>
          <t>VIMMERBY</t>
        </is>
      </c>
      <c r="G569" t="n">
        <v>9</v>
      </c>
      <c r="H569" t="n">
        <v>0</v>
      </c>
      <c r="I569" t="n">
        <v>0</v>
      </c>
      <c r="J569" t="n">
        <v>0</v>
      </c>
      <c r="K569" t="n">
        <v>0</v>
      </c>
      <c r="L569" t="n">
        <v>0</v>
      </c>
      <c r="M569" t="n">
        <v>0</v>
      </c>
      <c r="N569" t="n">
        <v>0</v>
      </c>
      <c r="O569" t="n">
        <v>0</v>
      </c>
      <c r="P569" t="n">
        <v>0</v>
      </c>
      <c r="Q569" t="n">
        <v>0</v>
      </c>
      <c r="R569" s="2" t="inlineStr"/>
    </row>
    <row r="570" ht="15" customHeight="1">
      <c r="A570" t="inlineStr">
        <is>
          <t>A 47855-2024</t>
        </is>
      </c>
      <c r="B570" s="1" t="n">
        <v>45588.66457175926</v>
      </c>
      <c r="C570" s="1" t="n">
        <v>45961</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63583-2023</t>
        </is>
      </c>
      <c r="B571" s="1" t="n">
        <v>45275.41833333333</v>
      </c>
      <c r="C571" s="1" t="n">
        <v>45961</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44423-2023</t>
        </is>
      </c>
      <c r="B572" s="1" t="n">
        <v>45189</v>
      </c>
      <c r="C572" s="1" t="n">
        <v>45961</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20-2025</t>
        </is>
      </c>
      <c r="B573" s="1" t="n">
        <v>45658.80232638889</v>
      </c>
      <c r="C573" s="1" t="n">
        <v>45961</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23-2025</t>
        </is>
      </c>
      <c r="B574" s="1" t="n">
        <v>45658.80827546296</v>
      </c>
      <c r="C574" s="1" t="n">
        <v>45961</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21496-2023</t>
        </is>
      </c>
      <c r="B575" s="1" t="n">
        <v>45063.49936342592</v>
      </c>
      <c r="C575" s="1" t="n">
        <v>45961</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60228-2021</t>
        </is>
      </c>
      <c r="B576" s="1" t="n">
        <v>44495</v>
      </c>
      <c r="C576" s="1" t="n">
        <v>45961</v>
      </c>
      <c r="D576" t="inlineStr">
        <is>
          <t>KALMAR LÄN</t>
        </is>
      </c>
      <c r="E576" t="inlineStr">
        <is>
          <t>VIMMERBY</t>
        </is>
      </c>
      <c r="G576" t="n">
        <v>4.1</v>
      </c>
      <c r="H576" t="n">
        <v>0</v>
      </c>
      <c r="I576" t="n">
        <v>0</v>
      </c>
      <c r="J576" t="n">
        <v>0</v>
      </c>
      <c r="K576" t="n">
        <v>0</v>
      </c>
      <c r="L576" t="n">
        <v>0</v>
      </c>
      <c r="M576" t="n">
        <v>0</v>
      </c>
      <c r="N576" t="n">
        <v>0</v>
      </c>
      <c r="O576" t="n">
        <v>0</v>
      </c>
      <c r="P576" t="n">
        <v>0</v>
      </c>
      <c r="Q576" t="n">
        <v>0</v>
      </c>
      <c r="R576" s="2" t="inlineStr"/>
    </row>
    <row r="577" ht="15" customHeight="1">
      <c r="A577" t="inlineStr">
        <is>
          <t>A 31056-2022</t>
        </is>
      </c>
      <c r="B577" s="1" t="n">
        <v>44769.45805555556</v>
      </c>
      <c r="C577" s="1" t="n">
        <v>45961</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28290-2025</t>
        </is>
      </c>
      <c r="B578" s="1" t="n">
        <v>45818.59261574074</v>
      </c>
      <c r="C578" s="1" t="n">
        <v>45961</v>
      </c>
      <c r="D578" t="inlineStr">
        <is>
          <t>KALMAR LÄN</t>
        </is>
      </c>
      <c r="E578" t="inlineStr">
        <is>
          <t>VIMMERBY</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46522-2022</t>
        </is>
      </c>
      <c r="B579" s="1" t="n">
        <v>44848.59133101852</v>
      </c>
      <c r="C579" s="1" t="n">
        <v>45961</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28280-2025</t>
        </is>
      </c>
      <c r="B580" s="1" t="n">
        <v>45818.5862037037</v>
      </c>
      <c r="C580" s="1" t="n">
        <v>45961</v>
      </c>
      <c r="D580" t="inlineStr">
        <is>
          <t>KALMAR LÄN</t>
        </is>
      </c>
      <c r="E580" t="inlineStr">
        <is>
          <t>VIMMERBY</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28286-2025</t>
        </is>
      </c>
      <c r="B581" s="1" t="n">
        <v>45818.58993055556</v>
      </c>
      <c r="C581" s="1" t="n">
        <v>45961</v>
      </c>
      <c r="D581" t="inlineStr">
        <is>
          <t>KALMAR LÄN</t>
        </is>
      </c>
      <c r="E581" t="inlineStr">
        <is>
          <t>VIMMERBY</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21109-2024</t>
        </is>
      </c>
      <c r="B582" s="1" t="n">
        <v>45440.28329861111</v>
      </c>
      <c r="C582" s="1" t="n">
        <v>45961</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72701-2021</t>
        </is>
      </c>
      <c r="B583" s="1" t="n">
        <v>44546</v>
      </c>
      <c r="C583" s="1" t="n">
        <v>45961</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52294-2023</t>
        </is>
      </c>
      <c r="B584" s="1" t="n">
        <v>45224.60075231481</v>
      </c>
      <c r="C584" s="1" t="n">
        <v>45961</v>
      </c>
      <c r="D584" t="inlineStr">
        <is>
          <t>KALMAR LÄN</t>
        </is>
      </c>
      <c r="E584" t="inlineStr">
        <is>
          <t>VIMMERBY</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38604-2025</t>
        </is>
      </c>
      <c r="B585" s="1" t="n">
        <v>45884.50613425926</v>
      </c>
      <c r="C585" s="1" t="n">
        <v>45961</v>
      </c>
      <c r="D585" t="inlineStr">
        <is>
          <t>KALMAR LÄN</t>
        </is>
      </c>
      <c r="E585" t="inlineStr">
        <is>
          <t>VIMMERBY</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61355-2024</t>
        </is>
      </c>
      <c r="B586" s="1" t="n">
        <v>45646.38200231481</v>
      </c>
      <c r="C586" s="1" t="n">
        <v>45961</v>
      </c>
      <c r="D586" t="inlineStr">
        <is>
          <t>KALMAR LÄN</t>
        </is>
      </c>
      <c r="E586" t="inlineStr">
        <is>
          <t>VIMMERBY</t>
        </is>
      </c>
      <c r="G586" t="n">
        <v>2.7</v>
      </c>
      <c r="H586" t="n">
        <v>0</v>
      </c>
      <c r="I586" t="n">
        <v>0</v>
      </c>
      <c r="J586" t="n">
        <v>0</v>
      </c>
      <c r="K586" t="n">
        <v>0</v>
      </c>
      <c r="L586" t="n">
        <v>0</v>
      </c>
      <c r="M586" t="n">
        <v>0</v>
      </c>
      <c r="N586" t="n">
        <v>0</v>
      </c>
      <c r="O586" t="n">
        <v>0</v>
      </c>
      <c r="P586" t="n">
        <v>0</v>
      </c>
      <c r="Q586" t="n">
        <v>0</v>
      </c>
      <c r="R586" s="2" t="inlineStr"/>
    </row>
    <row r="587" ht="15" customHeight="1">
      <c r="A587" t="inlineStr">
        <is>
          <t>A 33815-2022</t>
        </is>
      </c>
      <c r="B587" s="1" t="n">
        <v>44790.45876157407</v>
      </c>
      <c r="C587" s="1" t="n">
        <v>45961</v>
      </c>
      <c r="D587" t="inlineStr">
        <is>
          <t>KALMAR LÄN</t>
        </is>
      </c>
      <c r="E587" t="inlineStr">
        <is>
          <t>VIMMERBY</t>
        </is>
      </c>
      <c r="G587" t="n">
        <v>0.9</v>
      </c>
      <c r="H587" t="n">
        <v>0</v>
      </c>
      <c r="I587" t="n">
        <v>0</v>
      </c>
      <c r="J587" t="n">
        <v>0</v>
      </c>
      <c r="K587" t="n">
        <v>0</v>
      </c>
      <c r="L587" t="n">
        <v>0</v>
      </c>
      <c r="M587" t="n">
        <v>0</v>
      </c>
      <c r="N587" t="n">
        <v>0</v>
      </c>
      <c r="O587" t="n">
        <v>0</v>
      </c>
      <c r="P587" t="n">
        <v>0</v>
      </c>
      <c r="Q587" t="n">
        <v>0</v>
      </c>
      <c r="R587" s="2" t="inlineStr"/>
    </row>
    <row r="588" ht="15" customHeight="1">
      <c r="A588" t="inlineStr">
        <is>
          <t>A 49461-2022</t>
        </is>
      </c>
      <c r="B588" s="1" t="n">
        <v>44861</v>
      </c>
      <c r="C588" s="1" t="n">
        <v>45961</v>
      </c>
      <c r="D588" t="inlineStr">
        <is>
          <t>KALMAR LÄN</t>
        </is>
      </c>
      <c r="E588" t="inlineStr">
        <is>
          <t>VIMMERBY</t>
        </is>
      </c>
      <c r="G588" t="n">
        <v>3.2</v>
      </c>
      <c r="H588" t="n">
        <v>0</v>
      </c>
      <c r="I588" t="n">
        <v>0</v>
      </c>
      <c r="J588" t="n">
        <v>0</v>
      </c>
      <c r="K588" t="n">
        <v>0</v>
      </c>
      <c r="L588" t="n">
        <v>0</v>
      </c>
      <c r="M588" t="n">
        <v>0</v>
      </c>
      <c r="N588" t="n">
        <v>0</v>
      </c>
      <c r="O588" t="n">
        <v>0</v>
      </c>
      <c r="P588" t="n">
        <v>0</v>
      </c>
      <c r="Q588" t="n">
        <v>0</v>
      </c>
      <c r="R588" s="2" t="inlineStr"/>
    </row>
    <row r="589" ht="15" customHeight="1">
      <c r="A589" t="inlineStr">
        <is>
          <t>A 28282-2025</t>
        </is>
      </c>
      <c r="B589" s="1" t="n">
        <v>45818.58769675926</v>
      </c>
      <c r="C589" s="1" t="n">
        <v>45961</v>
      </c>
      <c r="D589" t="inlineStr">
        <is>
          <t>KALMAR LÄN</t>
        </is>
      </c>
      <c r="E589" t="inlineStr">
        <is>
          <t>VIMMERBY</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28294-2025</t>
        </is>
      </c>
      <c r="B590" s="1" t="n">
        <v>45818.595625</v>
      </c>
      <c r="C590" s="1" t="n">
        <v>45961</v>
      </c>
      <c r="D590" t="inlineStr">
        <is>
          <t>KALMAR LÄN</t>
        </is>
      </c>
      <c r="E590" t="inlineStr">
        <is>
          <t>VIMMERBY</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53542-2022</t>
        </is>
      </c>
      <c r="B591" s="1" t="n">
        <v>44879.62173611111</v>
      </c>
      <c r="C591" s="1" t="n">
        <v>45961</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35713-2023</t>
        </is>
      </c>
      <c r="B592" s="1" t="n">
        <v>45147</v>
      </c>
      <c r="C592" s="1" t="n">
        <v>45961</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45961</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10759-2023</t>
        </is>
      </c>
      <c r="B594" s="1" t="n">
        <v>44988</v>
      </c>
      <c r="C594" s="1" t="n">
        <v>45961</v>
      </c>
      <c r="D594" t="inlineStr">
        <is>
          <t>KALMAR LÄN</t>
        </is>
      </c>
      <c r="E594" t="inlineStr">
        <is>
          <t>VIMMERBY</t>
        </is>
      </c>
      <c r="G594" t="n">
        <v>0.4</v>
      </c>
      <c r="H594" t="n">
        <v>0</v>
      </c>
      <c r="I594" t="n">
        <v>0</v>
      </c>
      <c r="J594" t="n">
        <v>0</v>
      </c>
      <c r="K594" t="n">
        <v>0</v>
      </c>
      <c r="L594" t="n">
        <v>0</v>
      </c>
      <c r="M594" t="n">
        <v>0</v>
      </c>
      <c r="N594" t="n">
        <v>0</v>
      </c>
      <c r="O594" t="n">
        <v>0</v>
      </c>
      <c r="P594" t="n">
        <v>0</v>
      </c>
      <c r="Q594" t="n">
        <v>0</v>
      </c>
      <c r="R594" s="2" t="inlineStr"/>
    </row>
    <row r="595" ht="15" customHeight="1">
      <c r="A595" t="inlineStr">
        <is>
          <t>A 10424-2023</t>
        </is>
      </c>
      <c r="B595" s="1" t="n">
        <v>44987.54104166666</v>
      </c>
      <c r="C595" s="1" t="n">
        <v>45961</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18899-2025</t>
        </is>
      </c>
      <c r="B596" s="1" t="n">
        <v>45764.44931712963</v>
      </c>
      <c r="C596" s="1" t="n">
        <v>45961</v>
      </c>
      <c r="D596" t="inlineStr">
        <is>
          <t>KALMAR LÄN</t>
        </is>
      </c>
      <c r="E596" t="inlineStr">
        <is>
          <t>VIMMERBY</t>
        </is>
      </c>
      <c r="F596" t="inlineStr">
        <is>
          <t>Kommuner</t>
        </is>
      </c>
      <c r="G596" t="n">
        <v>4</v>
      </c>
      <c r="H596" t="n">
        <v>0</v>
      </c>
      <c r="I596" t="n">
        <v>0</v>
      </c>
      <c r="J596" t="n">
        <v>0</v>
      </c>
      <c r="K596" t="n">
        <v>0</v>
      </c>
      <c r="L596" t="n">
        <v>0</v>
      </c>
      <c r="M596" t="n">
        <v>0</v>
      </c>
      <c r="N596" t="n">
        <v>0</v>
      </c>
      <c r="O596" t="n">
        <v>0</v>
      </c>
      <c r="P596" t="n">
        <v>0</v>
      </c>
      <c r="Q596" t="n">
        <v>0</v>
      </c>
      <c r="R596" s="2" t="inlineStr"/>
    </row>
    <row r="597" ht="15" customHeight="1">
      <c r="A597" t="inlineStr">
        <is>
          <t>A 12586-2021</t>
        </is>
      </c>
      <c r="B597" s="1" t="n">
        <v>44270.38002314815</v>
      </c>
      <c r="C597" s="1" t="n">
        <v>45961</v>
      </c>
      <c r="D597" t="inlineStr">
        <is>
          <t>KALMAR LÄN</t>
        </is>
      </c>
      <c r="E597" t="inlineStr">
        <is>
          <t>VIMMERBY</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28713-2025</t>
        </is>
      </c>
      <c r="B598" s="1" t="n">
        <v>45820.33930555556</v>
      </c>
      <c r="C598" s="1" t="n">
        <v>45961</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28712-2025</t>
        </is>
      </c>
      <c r="B599" s="1" t="n">
        <v>45820.33708333333</v>
      </c>
      <c r="C599" s="1" t="n">
        <v>45961</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28714-2025</t>
        </is>
      </c>
      <c r="B600" s="1" t="n">
        <v>45820.34128472222</v>
      </c>
      <c r="C600" s="1" t="n">
        <v>45961</v>
      </c>
      <c r="D600" t="inlineStr">
        <is>
          <t>KALMAR LÄN</t>
        </is>
      </c>
      <c r="E600" t="inlineStr">
        <is>
          <t>VIMMERBY</t>
        </is>
      </c>
      <c r="G600" t="n">
        <v>1.8</v>
      </c>
      <c r="H600" t="n">
        <v>0</v>
      </c>
      <c r="I600" t="n">
        <v>0</v>
      </c>
      <c r="J600" t="n">
        <v>0</v>
      </c>
      <c r="K600" t="n">
        <v>0</v>
      </c>
      <c r="L600" t="n">
        <v>0</v>
      </c>
      <c r="M600" t="n">
        <v>0</v>
      </c>
      <c r="N600" t="n">
        <v>0</v>
      </c>
      <c r="O600" t="n">
        <v>0</v>
      </c>
      <c r="P600" t="n">
        <v>0</v>
      </c>
      <c r="Q600" t="n">
        <v>0</v>
      </c>
      <c r="R600" s="2" t="inlineStr"/>
    </row>
    <row r="601" ht="15" customHeight="1">
      <c r="A601" t="inlineStr">
        <is>
          <t>A 28620-2025</t>
        </is>
      </c>
      <c r="B601" s="1" t="n">
        <v>45819.61060185185</v>
      </c>
      <c r="C601" s="1" t="n">
        <v>45961</v>
      </c>
      <c r="D601" t="inlineStr">
        <is>
          <t>KALMAR LÄN</t>
        </is>
      </c>
      <c r="E601" t="inlineStr">
        <is>
          <t>VIMMERBY</t>
        </is>
      </c>
      <c r="G601" t="n">
        <v>5.6</v>
      </c>
      <c r="H601" t="n">
        <v>0</v>
      </c>
      <c r="I601" t="n">
        <v>0</v>
      </c>
      <c r="J601" t="n">
        <v>0</v>
      </c>
      <c r="K601" t="n">
        <v>0</v>
      </c>
      <c r="L601" t="n">
        <v>0</v>
      </c>
      <c r="M601" t="n">
        <v>0</v>
      </c>
      <c r="N601" t="n">
        <v>0</v>
      </c>
      <c r="O601" t="n">
        <v>0</v>
      </c>
      <c r="P601" t="n">
        <v>0</v>
      </c>
      <c r="Q601" t="n">
        <v>0</v>
      </c>
      <c r="R601" s="2" t="inlineStr"/>
    </row>
    <row r="602" ht="15" customHeight="1">
      <c r="A602" t="inlineStr">
        <is>
          <t>A 32614-2023</t>
        </is>
      </c>
      <c r="B602" s="1" t="n">
        <v>45121</v>
      </c>
      <c r="C602" s="1" t="n">
        <v>45961</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61939-2021</t>
        </is>
      </c>
      <c r="B603" s="1" t="n">
        <v>44502</v>
      </c>
      <c r="C603" s="1" t="n">
        <v>45961</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33340-2023</t>
        </is>
      </c>
      <c r="B604" s="1" t="n">
        <v>45128.37305555555</v>
      </c>
      <c r="C604" s="1" t="n">
        <v>45961</v>
      </c>
      <c r="D604" t="inlineStr">
        <is>
          <t>KALMAR LÄN</t>
        </is>
      </c>
      <c r="E604" t="inlineStr">
        <is>
          <t>VIMMERBY</t>
        </is>
      </c>
      <c r="G604" t="n">
        <v>1.5</v>
      </c>
      <c r="H604" t="n">
        <v>0</v>
      </c>
      <c r="I604" t="n">
        <v>0</v>
      </c>
      <c r="J604" t="n">
        <v>0</v>
      </c>
      <c r="K604" t="n">
        <v>0</v>
      </c>
      <c r="L604" t="n">
        <v>0</v>
      </c>
      <c r="M604" t="n">
        <v>0</v>
      </c>
      <c r="N604" t="n">
        <v>0</v>
      </c>
      <c r="O604" t="n">
        <v>0</v>
      </c>
      <c r="P604" t="n">
        <v>0</v>
      </c>
      <c r="Q604" t="n">
        <v>0</v>
      </c>
      <c r="R604" s="2" t="inlineStr"/>
    </row>
    <row r="605" ht="15" customHeight="1">
      <c r="A605" t="inlineStr">
        <is>
          <t>A 29017-2024</t>
        </is>
      </c>
      <c r="B605" s="1" t="n">
        <v>45481.56722222222</v>
      </c>
      <c r="C605" s="1" t="n">
        <v>45961</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58046-2022</t>
        </is>
      </c>
      <c r="B606" s="1" t="n">
        <v>44900.57393518519</v>
      </c>
      <c r="C606" s="1" t="n">
        <v>45961</v>
      </c>
      <c r="D606" t="inlineStr">
        <is>
          <t>KALMAR LÄN</t>
        </is>
      </c>
      <c r="E606" t="inlineStr">
        <is>
          <t>VIMMERBY</t>
        </is>
      </c>
      <c r="G606" t="n">
        <v>2.5</v>
      </c>
      <c r="H606" t="n">
        <v>0</v>
      </c>
      <c r="I606" t="n">
        <v>0</v>
      </c>
      <c r="J606" t="n">
        <v>0</v>
      </c>
      <c r="K606" t="n">
        <v>0</v>
      </c>
      <c r="L606" t="n">
        <v>0</v>
      </c>
      <c r="M606" t="n">
        <v>0</v>
      </c>
      <c r="N606" t="n">
        <v>0</v>
      </c>
      <c r="O606" t="n">
        <v>0</v>
      </c>
      <c r="P606" t="n">
        <v>0</v>
      </c>
      <c r="Q606" t="n">
        <v>0</v>
      </c>
      <c r="R606" s="2" t="inlineStr"/>
    </row>
    <row r="607" ht="15" customHeight="1">
      <c r="A607" t="inlineStr">
        <is>
          <t>A 14548-2024</t>
        </is>
      </c>
      <c r="B607" s="1" t="n">
        <v>45394.66887731481</v>
      </c>
      <c r="C607" s="1" t="n">
        <v>45961</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29727-2025</t>
        </is>
      </c>
      <c r="B608" s="1" t="n">
        <v>45825.5796875</v>
      </c>
      <c r="C608" s="1" t="n">
        <v>45961</v>
      </c>
      <c r="D608" t="inlineStr">
        <is>
          <t>KALMAR LÄN</t>
        </is>
      </c>
      <c r="E608" t="inlineStr">
        <is>
          <t>VIMMERBY</t>
        </is>
      </c>
      <c r="G608" t="n">
        <v>1.3</v>
      </c>
      <c r="H608" t="n">
        <v>0</v>
      </c>
      <c r="I608" t="n">
        <v>0</v>
      </c>
      <c r="J608" t="n">
        <v>0</v>
      </c>
      <c r="K608" t="n">
        <v>0</v>
      </c>
      <c r="L608" t="n">
        <v>0</v>
      </c>
      <c r="M608" t="n">
        <v>0</v>
      </c>
      <c r="N608" t="n">
        <v>0</v>
      </c>
      <c r="O608" t="n">
        <v>0</v>
      </c>
      <c r="P608" t="n">
        <v>0</v>
      </c>
      <c r="Q608" t="n">
        <v>0</v>
      </c>
      <c r="R608" s="2" t="inlineStr"/>
    </row>
    <row r="609" ht="15" customHeight="1">
      <c r="A609" t="inlineStr">
        <is>
          <t>A 29737-2025</t>
        </is>
      </c>
      <c r="B609" s="1" t="n">
        <v>45825.58672453704</v>
      </c>
      <c r="C609" s="1" t="n">
        <v>45961</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45854-2025</t>
        </is>
      </c>
      <c r="B610" s="1" t="n">
        <v>45923</v>
      </c>
      <c r="C610" s="1" t="n">
        <v>45961</v>
      </c>
      <c r="D610" t="inlineStr">
        <is>
          <t>KALMAR LÄN</t>
        </is>
      </c>
      <c r="E610" t="inlineStr">
        <is>
          <t>VIMMERBY</t>
        </is>
      </c>
      <c r="G610" t="n">
        <v>2.2</v>
      </c>
      <c r="H610" t="n">
        <v>0</v>
      </c>
      <c r="I610" t="n">
        <v>0</v>
      </c>
      <c r="J610" t="n">
        <v>0</v>
      </c>
      <c r="K610" t="n">
        <v>0</v>
      </c>
      <c r="L610" t="n">
        <v>0</v>
      </c>
      <c r="M610" t="n">
        <v>0</v>
      </c>
      <c r="N610" t="n">
        <v>0</v>
      </c>
      <c r="O610" t="n">
        <v>0</v>
      </c>
      <c r="P610" t="n">
        <v>0</v>
      </c>
      <c r="Q610" t="n">
        <v>0</v>
      </c>
      <c r="R610" s="2" t="inlineStr"/>
    </row>
    <row r="611" ht="15" customHeight="1">
      <c r="A611" t="inlineStr">
        <is>
          <t>A 48120-2022</t>
        </is>
      </c>
      <c r="B611" s="1" t="n">
        <v>44857.65989583333</v>
      </c>
      <c r="C611" s="1" t="n">
        <v>45961</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3423-2022</t>
        </is>
      </c>
      <c r="B612" s="1" t="n">
        <v>44585.50431712963</v>
      </c>
      <c r="C612" s="1" t="n">
        <v>45961</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11074-2023</t>
        </is>
      </c>
      <c r="B613" s="1" t="n">
        <v>44992.34151620371</v>
      </c>
      <c r="C613" s="1" t="n">
        <v>45961</v>
      </c>
      <c r="D613" t="inlineStr">
        <is>
          <t>KALMAR LÄN</t>
        </is>
      </c>
      <c r="E613" t="inlineStr">
        <is>
          <t>VIMMERBY</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71631-2021</t>
        </is>
      </c>
      <c r="B614" s="1" t="n">
        <v>44542.90072916666</v>
      </c>
      <c r="C614" s="1" t="n">
        <v>45961</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6218-2025</t>
        </is>
      </c>
      <c r="B615" s="1" t="n">
        <v>45698.53336805556</v>
      </c>
      <c r="C615" s="1" t="n">
        <v>45961</v>
      </c>
      <c r="D615" t="inlineStr">
        <is>
          <t>KALMAR LÄN</t>
        </is>
      </c>
      <c r="E615" t="inlineStr">
        <is>
          <t>VIMMERBY</t>
        </is>
      </c>
      <c r="G615" t="n">
        <v>1.1</v>
      </c>
      <c r="H615" t="n">
        <v>0</v>
      </c>
      <c r="I615" t="n">
        <v>0</v>
      </c>
      <c r="J615" t="n">
        <v>0</v>
      </c>
      <c r="K615" t="n">
        <v>0</v>
      </c>
      <c r="L615" t="n">
        <v>0</v>
      </c>
      <c r="M615" t="n">
        <v>0</v>
      </c>
      <c r="N615" t="n">
        <v>0</v>
      </c>
      <c r="O615" t="n">
        <v>0</v>
      </c>
      <c r="P615" t="n">
        <v>0</v>
      </c>
      <c r="Q615" t="n">
        <v>0</v>
      </c>
      <c r="R615" s="2" t="inlineStr"/>
    </row>
    <row r="616" ht="15" customHeight="1">
      <c r="A616" t="inlineStr">
        <is>
          <t>A 40076-2021</t>
        </is>
      </c>
      <c r="B616" s="1" t="n">
        <v>44418</v>
      </c>
      <c r="C616" s="1" t="n">
        <v>45961</v>
      </c>
      <c r="D616" t="inlineStr">
        <is>
          <t>KALMAR LÄN</t>
        </is>
      </c>
      <c r="E616" t="inlineStr">
        <is>
          <t>VIMMERBY</t>
        </is>
      </c>
      <c r="G616" t="n">
        <v>2</v>
      </c>
      <c r="H616" t="n">
        <v>0</v>
      </c>
      <c r="I616" t="n">
        <v>0</v>
      </c>
      <c r="J616" t="n">
        <v>0</v>
      </c>
      <c r="K616" t="n">
        <v>0</v>
      </c>
      <c r="L616" t="n">
        <v>0</v>
      </c>
      <c r="M616" t="n">
        <v>0</v>
      </c>
      <c r="N616" t="n">
        <v>0</v>
      </c>
      <c r="O616" t="n">
        <v>0</v>
      </c>
      <c r="P616" t="n">
        <v>0</v>
      </c>
      <c r="Q616" t="n">
        <v>0</v>
      </c>
      <c r="R616" s="2" t="inlineStr"/>
    </row>
    <row r="617" ht="15" customHeight="1">
      <c r="A617" t="inlineStr">
        <is>
          <t>A 49039-2021</t>
        </is>
      </c>
      <c r="B617" s="1" t="n">
        <v>44453.56578703703</v>
      </c>
      <c r="C617" s="1" t="n">
        <v>45961</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42918-2021</t>
        </is>
      </c>
      <c r="B618" s="1" t="n">
        <v>44431</v>
      </c>
      <c r="C618" s="1" t="n">
        <v>45961</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529-2022</t>
        </is>
      </c>
      <c r="B619" s="1" t="n">
        <v>44566</v>
      </c>
      <c r="C619" s="1" t="n">
        <v>45961</v>
      </c>
      <c r="D619" t="inlineStr">
        <is>
          <t>KALMAR LÄN</t>
        </is>
      </c>
      <c r="E619" t="inlineStr">
        <is>
          <t>VIMMERBY</t>
        </is>
      </c>
      <c r="G619" t="n">
        <v>1.5</v>
      </c>
      <c r="H619" t="n">
        <v>0</v>
      </c>
      <c r="I619" t="n">
        <v>0</v>
      </c>
      <c r="J619" t="n">
        <v>0</v>
      </c>
      <c r="K619" t="n">
        <v>0</v>
      </c>
      <c r="L619" t="n">
        <v>0</v>
      </c>
      <c r="M619" t="n">
        <v>0</v>
      </c>
      <c r="N619" t="n">
        <v>0</v>
      </c>
      <c r="O619" t="n">
        <v>0</v>
      </c>
      <c r="P619" t="n">
        <v>0</v>
      </c>
      <c r="Q619" t="n">
        <v>0</v>
      </c>
      <c r="R619" s="2" t="inlineStr"/>
    </row>
    <row r="620" ht="15" customHeight="1">
      <c r="A620" t="inlineStr">
        <is>
          <t>A 30293-2025</t>
        </is>
      </c>
      <c r="B620" s="1" t="n">
        <v>45827</v>
      </c>
      <c r="C620" s="1" t="n">
        <v>45961</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14855-2025</t>
        </is>
      </c>
      <c r="B621" s="1" t="n">
        <v>45743.41148148148</v>
      </c>
      <c r="C621" s="1" t="n">
        <v>45961</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60951-2023</t>
        </is>
      </c>
      <c r="B622" s="1" t="n">
        <v>45261.44914351852</v>
      </c>
      <c r="C622" s="1" t="n">
        <v>45961</v>
      </c>
      <c r="D622" t="inlineStr">
        <is>
          <t>KALMAR LÄN</t>
        </is>
      </c>
      <c r="E622" t="inlineStr">
        <is>
          <t>VIMMERBY</t>
        </is>
      </c>
      <c r="G622" t="n">
        <v>4.3</v>
      </c>
      <c r="H622" t="n">
        <v>0</v>
      </c>
      <c r="I622" t="n">
        <v>0</v>
      </c>
      <c r="J622" t="n">
        <v>0</v>
      </c>
      <c r="K622" t="n">
        <v>0</v>
      </c>
      <c r="L622" t="n">
        <v>0</v>
      </c>
      <c r="M622" t="n">
        <v>0</v>
      </c>
      <c r="N622" t="n">
        <v>0</v>
      </c>
      <c r="O622" t="n">
        <v>0</v>
      </c>
      <c r="P622" t="n">
        <v>0</v>
      </c>
      <c r="Q622" t="n">
        <v>0</v>
      </c>
      <c r="R622" s="2" t="inlineStr"/>
    </row>
    <row r="623" ht="15" customHeight="1">
      <c r="A623" t="inlineStr">
        <is>
          <t>A 30290-2025</t>
        </is>
      </c>
      <c r="B623" s="1" t="n">
        <v>45827</v>
      </c>
      <c r="C623" s="1" t="n">
        <v>45961</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19162-2023</t>
        </is>
      </c>
      <c r="B624" s="1" t="n">
        <v>45048.59699074074</v>
      </c>
      <c r="C624" s="1" t="n">
        <v>45961</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31209-2024</t>
        </is>
      </c>
      <c r="B625" s="1" t="n">
        <v>45503.5658912037</v>
      </c>
      <c r="C625" s="1" t="n">
        <v>45961</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30850-2025</t>
        </is>
      </c>
      <c r="B626" s="1" t="n">
        <v>45831</v>
      </c>
      <c r="C626" s="1" t="n">
        <v>45961</v>
      </c>
      <c r="D626" t="inlineStr">
        <is>
          <t>KALMAR LÄN</t>
        </is>
      </c>
      <c r="E626" t="inlineStr">
        <is>
          <t>VIMMERBY</t>
        </is>
      </c>
      <c r="G626" t="n">
        <v>2.7</v>
      </c>
      <c r="H626" t="n">
        <v>0</v>
      </c>
      <c r="I626" t="n">
        <v>0</v>
      </c>
      <c r="J626" t="n">
        <v>0</v>
      </c>
      <c r="K626" t="n">
        <v>0</v>
      </c>
      <c r="L626" t="n">
        <v>0</v>
      </c>
      <c r="M626" t="n">
        <v>0</v>
      </c>
      <c r="N626" t="n">
        <v>0</v>
      </c>
      <c r="O626" t="n">
        <v>0</v>
      </c>
      <c r="P626" t="n">
        <v>0</v>
      </c>
      <c r="Q626" t="n">
        <v>0</v>
      </c>
      <c r="R626" s="2" t="inlineStr"/>
    </row>
    <row r="627" ht="15" customHeight="1">
      <c r="A627" t="inlineStr">
        <is>
          <t>A 12588-2025</t>
        </is>
      </c>
      <c r="B627" s="1" t="n">
        <v>45732.76936342593</v>
      </c>
      <c r="C627" s="1" t="n">
        <v>45961</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25979-2023</t>
        </is>
      </c>
      <c r="B628" s="1" t="n">
        <v>45090.89653935185</v>
      </c>
      <c r="C628" s="1" t="n">
        <v>45961</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25980-2023</t>
        </is>
      </c>
      <c r="B629" s="1" t="n">
        <v>45090.89880787037</v>
      </c>
      <c r="C629" s="1" t="n">
        <v>45961</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5864-2022</t>
        </is>
      </c>
      <c r="B630" s="1" t="n">
        <v>44596</v>
      </c>
      <c r="C630" s="1" t="n">
        <v>45961</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46921-2023</t>
        </is>
      </c>
      <c r="B631" s="1" t="n">
        <v>45201.39996527778</v>
      </c>
      <c r="C631" s="1" t="n">
        <v>45961</v>
      </c>
      <c r="D631" t="inlineStr">
        <is>
          <t>KALMAR LÄN</t>
        </is>
      </c>
      <c r="E631" t="inlineStr">
        <is>
          <t>VIMMERBY</t>
        </is>
      </c>
      <c r="G631" t="n">
        <v>2.6</v>
      </c>
      <c r="H631" t="n">
        <v>0</v>
      </c>
      <c r="I631" t="n">
        <v>0</v>
      </c>
      <c r="J631" t="n">
        <v>0</v>
      </c>
      <c r="K631" t="n">
        <v>0</v>
      </c>
      <c r="L631" t="n">
        <v>0</v>
      </c>
      <c r="M631" t="n">
        <v>0</v>
      </c>
      <c r="N631" t="n">
        <v>0</v>
      </c>
      <c r="O631" t="n">
        <v>0</v>
      </c>
      <c r="P631" t="n">
        <v>0</v>
      </c>
      <c r="Q631" t="n">
        <v>0</v>
      </c>
      <c r="R631" s="2" t="inlineStr"/>
    </row>
    <row r="632" ht="15" customHeight="1">
      <c r="A632" t="inlineStr">
        <is>
          <t>A 10837-2023</t>
        </is>
      </c>
      <c r="B632" s="1" t="n">
        <v>44991.30547453704</v>
      </c>
      <c r="C632" s="1" t="n">
        <v>45961</v>
      </c>
      <c r="D632" t="inlineStr">
        <is>
          <t>KALMAR LÄN</t>
        </is>
      </c>
      <c r="E632" t="inlineStr">
        <is>
          <t>VIMMERBY</t>
        </is>
      </c>
      <c r="G632" t="n">
        <v>7.3</v>
      </c>
      <c r="H632" t="n">
        <v>0</v>
      </c>
      <c r="I632" t="n">
        <v>0</v>
      </c>
      <c r="J632" t="n">
        <v>0</v>
      </c>
      <c r="K632" t="n">
        <v>0</v>
      </c>
      <c r="L632" t="n">
        <v>0</v>
      </c>
      <c r="M632" t="n">
        <v>0</v>
      </c>
      <c r="N632" t="n">
        <v>0</v>
      </c>
      <c r="O632" t="n">
        <v>0</v>
      </c>
      <c r="P632" t="n">
        <v>0</v>
      </c>
      <c r="Q632" t="n">
        <v>0</v>
      </c>
      <c r="R632" s="2" t="inlineStr"/>
    </row>
    <row r="633" ht="15" customHeight="1">
      <c r="A633" t="inlineStr">
        <is>
          <t>A 10838-2023</t>
        </is>
      </c>
      <c r="B633" s="1" t="n">
        <v>44991</v>
      </c>
      <c r="C633" s="1" t="n">
        <v>45961</v>
      </c>
      <c r="D633" t="inlineStr">
        <is>
          <t>KALMAR LÄN</t>
        </is>
      </c>
      <c r="E633" t="inlineStr">
        <is>
          <t>VIMMERBY</t>
        </is>
      </c>
      <c r="G633" t="n">
        <v>5.1</v>
      </c>
      <c r="H633" t="n">
        <v>0</v>
      </c>
      <c r="I633" t="n">
        <v>0</v>
      </c>
      <c r="J633" t="n">
        <v>0</v>
      </c>
      <c r="K633" t="n">
        <v>0</v>
      </c>
      <c r="L633" t="n">
        <v>0</v>
      </c>
      <c r="M633" t="n">
        <v>0</v>
      </c>
      <c r="N633" t="n">
        <v>0</v>
      </c>
      <c r="O633" t="n">
        <v>0</v>
      </c>
      <c r="P633" t="n">
        <v>0</v>
      </c>
      <c r="Q633" t="n">
        <v>0</v>
      </c>
      <c r="R633" s="2" t="inlineStr"/>
    </row>
    <row r="634" ht="15" customHeight="1">
      <c r="A634" t="inlineStr">
        <is>
          <t>A 30912-2023</t>
        </is>
      </c>
      <c r="B634" s="1" t="n">
        <v>45113.41633101852</v>
      </c>
      <c r="C634" s="1" t="n">
        <v>45961</v>
      </c>
      <c r="D634" t="inlineStr">
        <is>
          <t>KALMAR LÄN</t>
        </is>
      </c>
      <c r="E634" t="inlineStr">
        <is>
          <t>VIMMERBY</t>
        </is>
      </c>
      <c r="G634" t="n">
        <v>5</v>
      </c>
      <c r="H634" t="n">
        <v>0</v>
      </c>
      <c r="I634" t="n">
        <v>0</v>
      </c>
      <c r="J634" t="n">
        <v>0</v>
      </c>
      <c r="K634" t="n">
        <v>0</v>
      </c>
      <c r="L634" t="n">
        <v>0</v>
      </c>
      <c r="M634" t="n">
        <v>0</v>
      </c>
      <c r="N634" t="n">
        <v>0</v>
      </c>
      <c r="O634" t="n">
        <v>0</v>
      </c>
      <c r="P634" t="n">
        <v>0</v>
      </c>
      <c r="Q634" t="n">
        <v>0</v>
      </c>
      <c r="R634" s="2" t="inlineStr"/>
    </row>
    <row r="635" ht="15" customHeight="1">
      <c r="A635" t="inlineStr">
        <is>
          <t>A 30882-2025</t>
        </is>
      </c>
      <c r="B635" s="1" t="n">
        <v>45832.34540509259</v>
      </c>
      <c r="C635" s="1" t="n">
        <v>45961</v>
      </c>
      <c r="D635" t="inlineStr">
        <is>
          <t>KALMAR LÄN</t>
        </is>
      </c>
      <c r="E635" t="inlineStr">
        <is>
          <t>VIMMERBY</t>
        </is>
      </c>
      <c r="G635" t="n">
        <v>0.7</v>
      </c>
      <c r="H635" t="n">
        <v>0</v>
      </c>
      <c r="I635" t="n">
        <v>0</v>
      </c>
      <c r="J635" t="n">
        <v>0</v>
      </c>
      <c r="K635" t="n">
        <v>0</v>
      </c>
      <c r="L635" t="n">
        <v>0</v>
      </c>
      <c r="M635" t="n">
        <v>0</v>
      </c>
      <c r="N635" t="n">
        <v>0</v>
      </c>
      <c r="O635" t="n">
        <v>0</v>
      </c>
      <c r="P635" t="n">
        <v>0</v>
      </c>
      <c r="Q635" t="n">
        <v>0</v>
      </c>
      <c r="R635" s="2" t="inlineStr"/>
    </row>
    <row r="636" ht="15" customHeight="1">
      <c r="A636" t="inlineStr">
        <is>
          <t>A 3938-2023</t>
        </is>
      </c>
      <c r="B636" s="1" t="n">
        <v>44952.35775462963</v>
      </c>
      <c r="C636" s="1" t="n">
        <v>45961</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30971-2025</t>
        </is>
      </c>
      <c r="B637" s="1" t="n">
        <v>45832.46146990741</v>
      </c>
      <c r="C637" s="1" t="n">
        <v>45961</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55436-2023</t>
        </is>
      </c>
      <c r="B638" s="1" t="n">
        <v>45238.4328587963</v>
      </c>
      <c r="C638" s="1" t="n">
        <v>45961</v>
      </c>
      <c r="D638" t="inlineStr">
        <is>
          <t>KALMAR LÄN</t>
        </is>
      </c>
      <c r="E638" t="inlineStr">
        <is>
          <t>VIMMERBY</t>
        </is>
      </c>
      <c r="G638" t="n">
        <v>5.6</v>
      </c>
      <c r="H638" t="n">
        <v>0</v>
      </c>
      <c r="I638" t="n">
        <v>0</v>
      </c>
      <c r="J638" t="n">
        <v>0</v>
      </c>
      <c r="K638" t="n">
        <v>0</v>
      </c>
      <c r="L638" t="n">
        <v>0</v>
      </c>
      <c r="M638" t="n">
        <v>0</v>
      </c>
      <c r="N638" t="n">
        <v>0</v>
      </c>
      <c r="O638" t="n">
        <v>0</v>
      </c>
      <c r="P638" t="n">
        <v>0</v>
      </c>
      <c r="Q638" t="n">
        <v>0</v>
      </c>
      <c r="R638" s="2" t="inlineStr"/>
    </row>
    <row r="639" ht="15" customHeight="1">
      <c r="A639" t="inlineStr">
        <is>
          <t>A 26937-2023</t>
        </is>
      </c>
      <c r="B639" s="1" t="n">
        <v>45093.62777777778</v>
      </c>
      <c r="C639" s="1" t="n">
        <v>45961</v>
      </c>
      <c r="D639" t="inlineStr">
        <is>
          <t>KALMAR LÄN</t>
        </is>
      </c>
      <c r="E639" t="inlineStr">
        <is>
          <t>VIMMERBY</t>
        </is>
      </c>
      <c r="F639" t="inlineStr">
        <is>
          <t>Sveaskog</t>
        </is>
      </c>
      <c r="G639" t="n">
        <v>14.5</v>
      </c>
      <c r="H639" t="n">
        <v>0</v>
      </c>
      <c r="I639" t="n">
        <v>0</v>
      </c>
      <c r="J639" t="n">
        <v>0</v>
      </c>
      <c r="K639" t="n">
        <v>0</v>
      </c>
      <c r="L639" t="n">
        <v>0</v>
      </c>
      <c r="M639" t="n">
        <v>0</v>
      </c>
      <c r="N639" t="n">
        <v>0</v>
      </c>
      <c r="O639" t="n">
        <v>0</v>
      </c>
      <c r="P639" t="n">
        <v>0</v>
      </c>
      <c r="Q639" t="n">
        <v>0</v>
      </c>
      <c r="R639" s="2" t="inlineStr"/>
    </row>
    <row r="640" ht="15" customHeight="1">
      <c r="A640" t="inlineStr">
        <is>
          <t>A 31552-2025</t>
        </is>
      </c>
      <c r="B640" s="1" t="n">
        <v>45833.64563657407</v>
      </c>
      <c r="C640" s="1" t="n">
        <v>45961</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31555-2025</t>
        </is>
      </c>
      <c r="B641" s="1" t="n">
        <v>45833.64814814815</v>
      </c>
      <c r="C641" s="1" t="n">
        <v>45961</v>
      </c>
      <c r="D641" t="inlineStr">
        <is>
          <t>KALMAR LÄN</t>
        </is>
      </c>
      <c r="E641" t="inlineStr">
        <is>
          <t>VIMMERBY</t>
        </is>
      </c>
      <c r="G641" t="n">
        <v>1.8</v>
      </c>
      <c r="H641" t="n">
        <v>0</v>
      </c>
      <c r="I641" t="n">
        <v>0</v>
      </c>
      <c r="J641" t="n">
        <v>0</v>
      </c>
      <c r="K641" t="n">
        <v>0</v>
      </c>
      <c r="L641" t="n">
        <v>0</v>
      </c>
      <c r="M641" t="n">
        <v>0</v>
      </c>
      <c r="N641" t="n">
        <v>0</v>
      </c>
      <c r="O641" t="n">
        <v>0</v>
      </c>
      <c r="P641" t="n">
        <v>0</v>
      </c>
      <c r="Q641" t="n">
        <v>0</v>
      </c>
      <c r="R641" s="2" t="inlineStr"/>
    </row>
    <row r="642" ht="15" customHeight="1">
      <c r="A642" t="inlineStr">
        <is>
          <t>A 50085-2023</t>
        </is>
      </c>
      <c r="B642" s="1" t="n">
        <v>45215.5959375</v>
      </c>
      <c r="C642" s="1" t="n">
        <v>45961</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21507-2023</t>
        </is>
      </c>
      <c r="B643" s="1" t="n">
        <v>45063.508125</v>
      </c>
      <c r="C643" s="1" t="n">
        <v>45961</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51187-2023</t>
        </is>
      </c>
      <c r="B644" s="1" t="n">
        <v>45219.40528935185</v>
      </c>
      <c r="C644" s="1" t="n">
        <v>45961</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11219-2023</t>
        </is>
      </c>
      <c r="B645" s="1" t="n">
        <v>44992.62498842592</v>
      </c>
      <c r="C645" s="1" t="n">
        <v>45961</v>
      </c>
      <c r="D645" t="inlineStr">
        <is>
          <t>KALMAR LÄN</t>
        </is>
      </c>
      <c r="E645" t="inlineStr">
        <is>
          <t>VIMMERBY</t>
        </is>
      </c>
      <c r="G645" t="n">
        <v>2.5</v>
      </c>
      <c r="H645" t="n">
        <v>0</v>
      </c>
      <c r="I645" t="n">
        <v>0</v>
      </c>
      <c r="J645" t="n">
        <v>0</v>
      </c>
      <c r="K645" t="n">
        <v>0</v>
      </c>
      <c r="L645" t="n">
        <v>0</v>
      </c>
      <c r="M645" t="n">
        <v>0</v>
      </c>
      <c r="N645" t="n">
        <v>0</v>
      </c>
      <c r="O645" t="n">
        <v>0</v>
      </c>
      <c r="P645" t="n">
        <v>0</v>
      </c>
      <c r="Q645" t="n">
        <v>0</v>
      </c>
      <c r="R645" s="2" t="inlineStr"/>
    </row>
    <row r="646" ht="15" customHeight="1">
      <c r="A646" t="inlineStr">
        <is>
          <t>A 31870-2025</t>
        </is>
      </c>
      <c r="B646" s="1" t="n">
        <v>45834.64667824074</v>
      </c>
      <c r="C646" s="1" t="n">
        <v>45961</v>
      </c>
      <c r="D646" t="inlineStr">
        <is>
          <t>KALMAR LÄN</t>
        </is>
      </c>
      <c r="E646" t="inlineStr">
        <is>
          <t>VIMMERBY</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13290-2025</t>
        </is>
      </c>
      <c r="B647" s="1" t="n">
        <v>45735.56751157407</v>
      </c>
      <c r="C647" s="1" t="n">
        <v>45961</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45560-2021</t>
        </is>
      </c>
      <c r="B648" s="1" t="n">
        <v>44440</v>
      </c>
      <c r="C648" s="1" t="n">
        <v>45961</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8559-2025</t>
        </is>
      </c>
      <c r="B649" s="1" t="n">
        <v>45709.62280092593</v>
      </c>
      <c r="C649" s="1" t="n">
        <v>45961</v>
      </c>
      <c r="D649" t="inlineStr">
        <is>
          <t>KALMAR LÄN</t>
        </is>
      </c>
      <c r="E649" t="inlineStr">
        <is>
          <t>VIMMERBY</t>
        </is>
      </c>
      <c r="G649" t="n">
        <v>8.9</v>
      </c>
      <c r="H649" t="n">
        <v>0</v>
      </c>
      <c r="I649" t="n">
        <v>0</v>
      </c>
      <c r="J649" t="n">
        <v>0</v>
      </c>
      <c r="K649" t="n">
        <v>0</v>
      </c>
      <c r="L649" t="n">
        <v>0</v>
      </c>
      <c r="M649" t="n">
        <v>0</v>
      </c>
      <c r="N649" t="n">
        <v>0</v>
      </c>
      <c r="O649" t="n">
        <v>0</v>
      </c>
      <c r="P649" t="n">
        <v>0</v>
      </c>
      <c r="Q649" t="n">
        <v>0</v>
      </c>
      <c r="R649" s="2" t="inlineStr"/>
    </row>
    <row r="650" ht="15" customHeight="1">
      <c r="A650" t="inlineStr">
        <is>
          <t>A 31872-2025</t>
        </is>
      </c>
      <c r="B650" s="1" t="n">
        <v>45834.65040509259</v>
      </c>
      <c r="C650" s="1" t="n">
        <v>45961</v>
      </c>
      <c r="D650" t="inlineStr">
        <is>
          <t>KALMAR LÄN</t>
        </is>
      </c>
      <c r="E650" t="inlineStr">
        <is>
          <t>VIMMERBY</t>
        </is>
      </c>
      <c r="F650" t="inlineStr">
        <is>
          <t>Sveaskog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31876-2025</t>
        </is>
      </c>
      <c r="B651" s="1" t="n">
        <v>45834.65197916667</v>
      </c>
      <c r="C651" s="1" t="n">
        <v>45961</v>
      </c>
      <c r="D651" t="inlineStr">
        <is>
          <t>KALMAR LÄN</t>
        </is>
      </c>
      <c r="E651" t="inlineStr">
        <is>
          <t>VIMMERBY</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16622-2025</t>
        </is>
      </c>
      <c r="B652" s="1" t="n">
        <v>45754.33641203704</v>
      </c>
      <c r="C652" s="1" t="n">
        <v>45961</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31551-2025</t>
        </is>
      </c>
      <c r="B653" s="1" t="n">
        <v>45833.64237268519</v>
      </c>
      <c r="C653" s="1" t="n">
        <v>45961</v>
      </c>
      <c r="D653" t="inlineStr">
        <is>
          <t>KALMAR LÄN</t>
        </is>
      </c>
      <c r="E653" t="inlineStr">
        <is>
          <t>VIMMERBY</t>
        </is>
      </c>
      <c r="G653" t="n">
        <v>1.9</v>
      </c>
      <c r="H653" t="n">
        <v>0</v>
      </c>
      <c r="I653" t="n">
        <v>0</v>
      </c>
      <c r="J653" t="n">
        <v>0</v>
      </c>
      <c r="K653" t="n">
        <v>0</v>
      </c>
      <c r="L653" t="n">
        <v>0</v>
      </c>
      <c r="M653" t="n">
        <v>0</v>
      </c>
      <c r="N653" t="n">
        <v>0</v>
      </c>
      <c r="O653" t="n">
        <v>0</v>
      </c>
      <c r="P653" t="n">
        <v>0</v>
      </c>
      <c r="Q653" t="n">
        <v>0</v>
      </c>
      <c r="R653" s="2" t="inlineStr"/>
    </row>
    <row r="654" ht="15" customHeight="1">
      <c r="A654" t="inlineStr">
        <is>
          <t>A 31987-2025</t>
        </is>
      </c>
      <c r="B654" s="1" t="n">
        <v>45835.36229166666</v>
      </c>
      <c r="C654" s="1" t="n">
        <v>45961</v>
      </c>
      <c r="D654" t="inlineStr">
        <is>
          <t>KALMAR LÄN</t>
        </is>
      </c>
      <c r="E654" t="inlineStr">
        <is>
          <t>VIMMERBY</t>
        </is>
      </c>
      <c r="F654" t="inlineStr">
        <is>
          <t>Kyrkan</t>
        </is>
      </c>
      <c r="G654" t="n">
        <v>1.2</v>
      </c>
      <c r="H654" t="n">
        <v>0</v>
      </c>
      <c r="I654" t="n">
        <v>0</v>
      </c>
      <c r="J654" t="n">
        <v>0</v>
      </c>
      <c r="K654" t="n">
        <v>0</v>
      </c>
      <c r="L654" t="n">
        <v>0</v>
      </c>
      <c r="M654" t="n">
        <v>0</v>
      </c>
      <c r="N654" t="n">
        <v>0</v>
      </c>
      <c r="O654" t="n">
        <v>0</v>
      </c>
      <c r="P654" t="n">
        <v>0</v>
      </c>
      <c r="Q654" t="n">
        <v>0</v>
      </c>
      <c r="R654" s="2" t="inlineStr"/>
    </row>
    <row r="655" ht="15" customHeight="1">
      <c r="A655" t="inlineStr">
        <is>
          <t>A 32120-2025</t>
        </is>
      </c>
      <c r="B655" s="1" t="n">
        <v>45835.4924537037</v>
      </c>
      <c r="C655" s="1" t="n">
        <v>45961</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32116-2025</t>
        </is>
      </c>
      <c r="B656" s="1" t="n">
        <v>45835.48862268519</v>
      </c>
      <c r="C656" s="1" t="n">
        <v>45961</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6850-2023</t>
        </is>
      </c>
      <c r="B657" s="1" t="n">
        <v>44967.44255787037</v>
      </c>
      <c r="C657" s="1" t="n">
        <v>45961</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6358-2022</t>
        </is>
      </c>
      <c r="B658" s="1" t="n">
        <v>44600</v>
      </c>
      <c r="C658" s="1" t="n">
        <v>45961</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31340-2023</t>
        </is>
      </c>
      <c r="B659" s="1" t="n">
        <v>45114.47895833333</v>
      </c>
      <c r="C659" s="1" t="n">
        <v>45961</v>
      </c>
      <c r="D659" t="inlineStr">
        <is>
          <t>KALMAR LÄN</t>
        </is>
      </c>
      <c r="E659" t="inlineStr">
        <is>
          <t>VIMMERBY</t>
        </is>
      </c>
      <c r="G659" t="n">
        <v>1.8</v>
      </c>
      <c r="H659" t="n">
        <v>0</v>
      </c>
      <c r="I659" t="n">
        <v>0</v>
      </c>
      <c r="J659" t="n">
        <v>0</v>
      </c>
      <c r="K659" t="n">
        <v>0</v>
      </c>
      <c r="L659" t="n">
        <v>0</v>
      </c>
      <c r="M659" t="n">
        <v>0</v>
      </c>
      <c r="N659" t="n">
        <v>0</v>
      </c>
      <c r="O659" t="n">
        <v>0</v>
      </c>
      <c r="P659" t="n">
        <v>0</v>
      </c>
      <c r="Q659" t="n">
        <v>0</v>
      </c>
      <c r="R659" s="2" t="inlineStr"/>
    </row>
    <row r="660" ht="15" customHeight="1">
      <c r="A660" t="inlineStr">
        <is>
          <t>A 32380-2025</t>
        </is>
      </c>
      <c r="B660" s="1" t="n">
        <v>45837.77701388889</v>
      </c>
      <c r="C660" s="1" t="n">
        <v>45961</v>
      </c>
      <c r="D660" t="inlineStr">
        <is>
          <t>KALMAR LÄN</t>
        </is>
      </c>
      <c r="E660" t="inlineStr">
        <is>
          <t>VIMMERBY</t>
        </is>
      </c>
      <c r="G660" t="n">
        <v>3.1</v>
      </c>
      <c r="H660" t="n">
        <v>0</v>
      </c>
      <c r="I660" t="n">
        <v>0</v>
      </c>
      <c r="J660" t="n">
        <v>0</v>
      </c>
      <c r="K660" t="n">
        <v>0</v>
      </c>
      <c r="L660" t="n">
        <v>0</v>
      </c>
      <c r="M660" t="n">
        <v>0</v>
      </c>
      <c r="N660" t="n">
        <v>0</v>
      </c>
      <c r="O660" t="n">
        <v>0</v>
      </c>
      <c r="P660" t="n">
        <v>0</v>
      </c>
      <c r="Q660" t="n">
        <v>0</v>
      </c>
      <c r="R660" s="2" t="inlineStr"/>
    </row>
    <row r="661" ht="15" customHeight="1">
      <c r="A661" t="inlineStr">
        <is>
          <t>A 29168-2024</t>
        </is>
      </c>
      <c r="B661" s="1" t="n">
        <v>45482.49870370371</v>
      </c>
      <c r="C661" s="1" t="n">
        <v>45961</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29186-2024</t>
        </is>
      </c>
      <c r="B662" s="1" t="n">
        <v>45482.54844907407</v>
      </c>
      <c r="C662" s="1" t="n">
        <v>45961</v>
      </c>
      <c r="D662" t="inlineStr">
        <is>
          <t>KALMAR LÄN</t>
        </is>
      </c>
      <c r="E662" t="inlineStr">
        <is>
          <t>VIMMERBY</t>
        </is>
      </c>
      <c r="G662" t="n">
        <v>2.6</v>
      </c>
      <c r="H662" t="n">
        <v>0</v>
      </c>
      <c r="I662" t="n">
        <v>0</v>
      </c>
      <c r="J662" t="n">
        <v>0</v>
      </c>
      <c r="K662" t="n">
        <v>0</v>
      </c>
      <c r="L662" t="n">
        <v>0</v>
      </c>
      <c r="M662" t="n">
        <v>0</v>
      </c>
      <c r="N662" t="n">
        <v>0</v>
      </c>
      <c r="O662" t="n">
        <v>0</v>
      </c>
      <c r="P662" t="n">
        <v>0</v>
      </c>
      <c r="Q662" t="n">
        <v>0</v>
      </c>
      <c r="R662" s="2" t="inlineStr"/>
    </row>
    <row r="663" ht="15" customHeight="1">
      <c r="A663" t="inlineStr">
        <is>
          <t>A 32109-2025</t>
        </is>
      </c>
      <c r="B663" s="1" t="n">
        <v>45835.48267361111</v>
      </c>
      <c r="C663" s="1" t="n">
        <v>45961</v>
      </c>
      <c r="D663" t="inlineStr">
        <is>
          <t>KALMAR LÄN</t>
        </is>
      </c>
      <c r="E663" t="inlineStr">
        <is>
          <t>VIMMERBY</t>
        </is>
      </c>
      <c r="G663" t="n">
        <v>2.5</v>
      </c>
      <c r="H663" t="n">
        <v>0</v>
      </c>
      <c r="I663" t="n">
        <v>0</v>
      </c>
      <c r="J663" t="n">
        <v>0</v>
      </c>
      <c r="K663" t="n">
        <v>0</v>
      </c>
      <c r="L663" t="n">
        <v>0</v>
      </c>
      <c r="M663" t="n">
        <v>0</v>
      </c>
      <c r="N663" t="n">
        <v>0</v>
      </c>
      <c r="O663" t="n">
        <v>0</v>
      </c>
      <c r="P663" t="n">
        <v>0</v>
      </c>
      <c r="Q663" t="n">
        <v>0</v>
      </c>
      <c r="R663" s="2" t="inlineStr"/>
    </row>
    <row r="664" ht="15" customHeight="1">
      <c r="A664" t="inlineStr">
        <is>
          <t>A 32113-2025</t>
        </is>
      </c>
      <c r="B664" s="1" t="n">
        <v>45835.48445601852</v>
      </c>
      <c r="C664" s="1" t="n">
        <v>45961</v>
      </c>
      <c r="D664" t="inlineStr">
        <is>
          <t>KALMAR LÄN</t>
        </is>
      </c>
      <c r="E664" t="inlineStr">
        <is>
          <t>VIMMERBY</t>
        </is>
      </c>
      <c r="G664" t="n">
        <v>3.5</v>
      </c>
      <c r="H664" t="n">
        <v>0</v>
      </c>
      <c r="I664" t="n">
        <v>0</v>
      </c>
      <c r="J664" t="n">
        <v>0</v>
      </c>
      <c r="K664" t="n">
        <v>0</v>
      </c>
      <c r="L664" t="n">
        <v>0</v>
      </c>
      <c r="M664" t="n">
        <v>0</v>
      </c>
      <c r="N664" t="n">
        <v>0</v>
      </c>
      <c r="O664" t="n">
        <v>0</v>
      </c>
      <c r="P664" t="n">
        <v>0</v>
      </c>
      <c r="Q664" t="n">
        <v>0</v>
      </c>
      <c r="R664" s="2" t="inlineStr"/>
    </row>
    <row r="665" ht="15" customHeight="1">
      <c r="A665" t="inlineStr">
        <is>
          <t>A 35895-2024</t>
        </is>
      </c>
      <c r="B665" s="1" t="n">
        <v>45533.38870370371</v>
      </c>
      <c r="C665" s="1" t="n">
        <v>45961</v>
      </c>
      <c r="D665" t="inlineStr">
        <is>
          <t>KALMAR LÄN</t>
        </is>
      </c>
      <c r="E665" t="inlineStr">
        <is>
          <t>VIMMERBY</t>
        </is>
      </c>
      <c r="G665" t="n">
        <v>1.4</v>
      </c>
      <c r="H665" t="n">
        <v>0</v>
      </c>
      <c r="I665" t="n">
        <v>0</v>
      </c>
      <c r="J665" t="n">
        <v>0</v>
      </c>
      <c r="K665" t="n">
        <v>0</v>
      </c>
      <c r="L665" t="n">
        <v>0</v>
      </c>
      <c r="M665" t="n">
        <v>0</v>
      </c>
      <c r="N665" t="n">
        <v>0</v>
      </c>
      <c r="O665" t="n">
        <v>0</v>
      </c>
      <c r="P665" t="n">
        <v>0</v>
      </c>
      <c r="Q665" t="n">
        <v>0</v>
      </c>
      <c r="R665" s="2" t="inlineStr"/>
    </row>
    <row r="666" ht="15" customHeight="1">
      <c r="A666" t="inlineStr">
        <is>
          <t>A 12590-2025</t>
        </is>
      </c>
      <c r="B666" s="1" t="n">
        <v>45732.79925925926</v>
      </c>
      <c r="C666" s="1" t="n">
        <v>45961</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32077-2025</t>
        </is>
      </c>
      <c r="B667" s="1" t="n">
        <v>45835.45099537037</v>
      </c>
      <c r="C667" s="1" t="n">
        <v>45961</v>
      </c>
      <c r="D667" t="inlineStr">
        <is>
          <t>KALMAR LÄN</t>
        </is>
      </c>
      <c r="E667" t="inlineStr">
        <is>
          <t>VIMMERBY</t>
        </is>
      </c>
      <c r="G667" t="n">
        <v>1.8</v>
      </c>
      <c r="H667" t="n">
        <v>0</v>
      </c>
      <c r="I667" t="n">
        <v>0</v>
      </c>
      <c r="J667" t="n">
        <v>0</v>
      </c>
      <c r="K667" t="n">
        <v>0</v>
      </c>
      <c r="L667" t="n">
        <v>0</v>
      </c>
      <c r="M667" t="n">
        <v>0</v>
      </c>
      <c r="N667" t="n">
        <v>0</v>
      </c>
      <c r="O667" t="n">
        <v>0</v>
      </c>
      <c r="P667" t="n">
        <v>0</v>
      </c>
      <c r="Q667" t="n">
        <v>0</v>
      </c>
      <c r="R667" s="2" t="inlineStr"/>
    </row>
    <row r="668" ht="15" customHeight="1">
      <c r="A668" t="inlineStr">
        <is>
          <t>A 30318-2023</t>
        </is>
      </c>
      <c r="B668" s="1" t="n">
        <v>45111.30824074074</v>
      </c>
      <c r="C668" s="1" t="n">
        <v>45961</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43853-2023</t>
        </is>
      </c>
      <c r="B669" s="1" t="n">
        <v>45187.60813657408</v>
      </c>
      <c r="C669" s="1" t="n">
        <v>45961</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7075-2021</t>
        </is>
      </c>
      <c r="B670" s="1" t="n">
        <v>44237</v>
      </c>
      <c r="C670" s="1" t="n">
        <v>45961</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32064-2025</t>
        </is>
      </c>
      <c r="B671" s="1" t="n">
        <v>45835.44709490741</v>
      </c>
      <c r="C671" s="1" t="n">
        <v>45961</v>
      </c>
      <c r="D671" t="inlineStr">
        <is>
          <t>KALMAR LÄN</t>
        </is>
      </c>
      <c r="E671" t="inlineStr">
        <is>
          <t>VIMMERBY</t>
        </is>
      </c>
      <c r="G671" t="n">
        <v>2.6</v>
      </c>
      <c r="H671" t="n">
        <v>0</v>
      </c>
      <c r="I671" t="n">
        <v>0</v>
      </c>
      <c r="J671" t="n">
        <v>0</v>
      </c>
      <c r="K671" t="n">
        <v>0</v>
      </c>
      <c r="L671" t="n">
        <v>0</v>
      </c>
      <c r="M671" t="n">
        <v>0</v>
      </c>
      <c r="N671" t="n">
        <v>0</v>
      </c>
      <c r="O671" t="n">
        <v>0</v>
      </c>
      <c r="P671" t="n">
        <v>0</v>
      </c>
      <c r="Q671" t="n">
        <v>0</v>
      </c>
      <c r="R671" s="2" t="inlineStr"/>
    </row>
    <row r="672" ht="15" customHeight="1">
      <c r="A672" t="inlineStr">
        <is>
          <t>A 32065-2025</t>
        </is>
      </c>
      <c r="B672" s="1" t="n">
        <v>45835.44732638889</v>
      </c>
      <c r="C672" s="1" t="n">
        <v>45961</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48673-2021</t>
        </is>
      </c>
      <c r="B673" s="1" t="n">
        <v>44452</v>
      </c>
      <c r="C673" s="1" t="n">
        <v>45961</v>
      </c>
      <c r="D673" t="inlineStr">
        <is>
          <t>KALMAR LÄN</t>
        </is>
      </c>
      <c r="E673" t="inlineStr">
        <is>
          <t>VIMMERBY</t>
        </is>
      </c>
      <c r="G673" t="n">
        <v>1.3</v>
      </c>
      <c r="H673" t="n">
        <v>0</v>
      </c>
      <c r="I673" t="n">
        <v>0</v>
      </c>
      <c r="J673" t="n">
        <v>0</v>
      </c>
      <c r="K673" t="n">
        <v>0</v>
      </c>
      <c r="L673" t="n">
        <v>0</v>
      </c>
      <c r="M673" t="n">
        <v>0</v>
      </c>
      <c r="N673" t="n">
        <v>0</v>
      </c>
      <c r="O673" t="n">
        <v>0</v>
      </c>
      <c r="P673" t="n">
        <v>0</v>
      </c>
      <c r="Q673" t="n">
        <v>0</v>
      </c>
      <c r="R673" s="2" t="inlineStr"/>
    </row>
    <row r="674" ht="15" customHeight="1">
      <c r="A674" t="inlineStr">
        <is>
          <t>A 43186-2021</t>
        </is>
      </c>
      <c r="B674" s="1" t="n">
        <v>44431.84840277778</v>
      </c>
      <c r="C674" s="1" t="n">
        <v>45961</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60215-2022</t>
        </is>
      </c>
      <c r="B675" s="1" t="n">
        <v>44910.41346064815</v>
      </c>
      <c r="C675" s="1" t="n">
        <v>45961</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60230-2022</t>
        </is>
      </c>
      <c r="B676" s="1" t="n">
        <v>44910</v>
      </c>
      <c r="C676" s="1" t="n">
        <v>45961</v>
      </c>
      <c r="D676" t="inlineStr">
        <is>
          <t>KALMAR LÄN</t>
        </is>
      </c>
      <c r="E676" t="inlineStr">
        <is>
          <t>VIMMERBY</t>
        </is>
      </c>
      <c r="G676" t="n">
        <v>11.3</v>
      </c>
      <c r="H676" t="n">
        <v>0</v>
      </c>
      <c r="I676" t="n">
        <v>0</v>
      </c>
      <c r="J676" t="n">
        <v>0</v>
      </c>
      <c r="K676" t="n">
        <v>0</v>
      </c>
      <c r="L676" t="n">
        <v>0</v>
      </c>
      <c r="M676" t="n">
        <v>0</v>
      </c>
      <c r="N676" t="n">
        <v>0</v>
      </c>
      <c r="O676" t="n">
        <v>0</v>
      </c>
      <c r="P676" t="n">
        <v>0</v>
      </c>
      <c r="Q676" t="n">
        <v>0</v>
      </c>
      <c r="R676" s="2" t="inlineStr"/>
    </row>
    <row r="677" ht="15" customHeight="1">
      <c r="A677" t="inlineStr">
        <is>
          <t>A 14137-2023</t>
        </is>
      </c>
      <c r="B677" s="1" t="n">
        <v>45009.4671875</v>
      </c>
      <c r="C677" s="1" t="n">
        <v>45961</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7630-2025</t>
        </is>
      </c>
      <c r="B678" s="1" t="n">
        <v>45705.74418981482</v>
      </c>
      <c r="C678" s="1" t="n">
        <v>45961</v>
      </c>
      <c r="D678" t="inlineStr">
        <is>
          <t>KALMAR LÄN</t>
        </is>
      </c>
      <c r="E678" t="inlineStr">
        <is>
          <t>VIMMERBY</t>
        </is>
      </c>
      <c r="G678" t="n">
        <v>2.5</v>
      </c>
      <c r="H678" t="n">
        <v>0</v>
      </c>
      <c r="I678" t="n">
        <v>0</v>
      </c>
      <c r="J678" t="n">
        <v>0</v>
      </c>
      <c r="K678" t="n">
        <v>0</v>
      </c>
      <c r="L678" t="n">
        <v>0</v>
      </c>
      <c r="M678" t="n">
        <v>0</v>
      </c>
      <c r="N678" t="n">
        <v>0</v>
      </c>
      <c r="O678" t="n">
        <v>0</v>
      </c>
      <c r="P678" t="n">
        <v>0</v>
      </c>
      <c r="Q678" t="n">
        <v>0</v>
      </c>
      <c r="R678" s="2" t="inlineStr"/>
    </row>
    <row r="679" ht="15" customHeight="1">
      <c r="A679" t="inlineStr">
        <is>
          <t>A 5925-2022</t>
        </is>
      </c>
      <c r="B679" s="1" t="n">
        <v>44598.7384837963</v>
      </c>
      <c r="C679" s="1" t="n">
        <v>45961</v>
      </c>
      <c r="D679" t="inlineStr">
        <is>
          <t>KALMAR LÄN</t>
        </is>
      </c>
      <c r="E679" t="inlineStr">
        <is>
          <t>VIMMERBY</t>
        </is>
      </c>
      <c r="G679" t="n">
        <v>2.1</v>
      </c>
      <c r="H679" t="n">
        <v>0</v>
      </c>
      <c r="I679" t="n">
        <v>0</v>
      </c>
      <c r="J679" t="n">
        <v>0</v>
      </c>
      <c r="K679" t="n">
        <v>0</v>
      </c>
      <c r="L679" t="n">
        <v>0</v>
      </c>
      <c r="M679" t="n">
        <v>0</v>
      </c>
      <c r="N679" t="n">
        <v>0</v>
      </c>
      <c r="O679" t="n">
        <v>0</v>
      </c>
      <c r="P679" t="n">
        <v>0</v>
      </c>
      <c r="Q679" t="n">
        <v>0</v>
      </c>
      <c r="R679" s="2" t="inlineStr"/>
    </row>
    <row r="680" ht="15" customHeight="1">
      <c r="A680" t="inlineStr">
        <is>
          <t>A 845-2023</t>
        </is>
      </c>
      <c r="B680" s="1" t="n">
        <v>44931</v>
      </c>
      <c r="C680" s="1" t="n">
        <v>45961</v>
      </c>
      <c r="D680" t="inlineStr">
        <is>
          <t>KALMAR LÄN</t>
        </is>
      </c>
      <c r="E680" t="inlineStr">
        <is>
          <t>VIMMERBY</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16119-2023</t>
        </is>
      </c>
      <c r="B681" s="1" t="n">
        <v>45027.59450231482</v>
      </c>
      <c r="C681" s="1" t="n">
        <v>45961</v>
      </c>
      <c r="D681" t="inlineStr">
        <is>
          <t>KALMAR LÄN</t>
        </is>
      </c>
      <c r="E681" t="inlineStr">
        <is>
          <t>VIMMERBY</t>
        </is>
      </c>
      <c r="F681" t="inlineStr">
        <is>
          <t>Kommuner</t>
        </is>
      </c>
      <c r="G681" t="n">
        <v>4.4</v>
      </c>
      <c r="H681" t="n">
        <v>0</v>
      </c>
      <c r="I681" t="n">
        <v>0</v>
      </c>
      <c r="J681" t="n">
        <v>0</v>
      </c>
      <c r="K681" t="n">
        <v>0</v>
      </c>
      <c r="L681" t="n">
        <v>0</v>
      </c>
      <c r="M681" t="n">
        <v>0</v>
      </c>
      <c r="N681" t="n">
        <v>0</v>
      </c>
      <c r="O681" t="n">
        <v>0</v>
      </c>
      <c r="P681" t="n">
        <v>0</v>
      </c>
      <c r="Q681" t="n">
        <v>0</v>
      </c>
      <c r="R681" s="2" t="inlineStr"/>
    </row>
    <row r="682" ht="15" customHeight="1">
      <c r="A682" t="inlineStr">
        <is>
          <t>A 30588-2023</t>
        </is>
      </c>
      <c r="B682" s="1" t="n">
        <v>45112.33599537037</v>
      </c>
      <c r="C682" s="1" t="n">
        <v>45961</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33186-2025</t>
        </is>
      </c>
      <c r="B683" s="1" t="n">
        <v>45840.59474537037</v>
      </c>
      <c r="C683" s="1" t="n">
        <v>45961</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38780-2021</t>
        </is>
      </c>
      <c r="B684" s="1" t="n">
        <v>44410</v>
      </c>
      <c r="C684" s="1" t="n">
        <v>45961</v>
      </c>
      <c r="D684" t="inlineStr">
        <is>
          <t>KALMAR LÄN</t>
        </is>
      </c>
      <c r="E684" t="inlineStr">
        <is>
          <t>VIMMERBY</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30503-2023</t>
        </is>
      </c>
      <c r="B685" s="1" t="n">
        <v>45111</v>
      </c>
      <c r="C685" s="1" t="n">
        <v>45961</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30977-2025</t>
        </is>
      </c>
      <c r="B686" s="1" t="n">
        <v>45832.46649305556</v>
      </c>
      <c r="C686" s="1" t="n">
        <v>45961</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45528-2021</t>
        </is>
      </c>
      <c r="B687" s="1" t="n">
        <v>44440.60415509259</v>
      </c>
      <c r="C687" s="1" t="n">
        <v>45961</v>
      </c>
      <c r="D687" t="inlineStr">
        <is>
          <t>KALMAR LÄN</t>
        </is>
      </c>
      <c r="E687" t="inlineStr">
        <is>
          <t>VIMMERBY</t>
        </is>
      </c>
      <c r="G687" t="n">
        <v>2.2</v>
      </c>
      <c r="H687" t="n">
        <v>0</v>
      </c>
      <c r="I687" t="n">
        <v>0</v>
      </c>
      <c r="J687" t="n">
        <v>0</v>
      </c>
      <c r="K687" t="n">
        <v>0</v>
      </c>
      <c r="L687" t="n">
        <v>0</v>
      </c>
      <c r="M687" t="n">
        <v>0</v>
      </c>
      <c r="N687" t="n">
        <v>0</v>
      </c>
      <c r="O687" t="n">
        <v>0</v>
      </c>
      <c r="P687" t="n">
        <v>0</v>
      </c>
      <c r="Q687" t="n">
        <v>0</v>
      </c>
      <c r="R687" s="2" t="inlineStr"/>
    </row>
    <row r="688" ht="15" customHeight="1">
      <c r="A688" t="inlineStr">
        <is>
          <t>A 33695-2025</t>
        </is>
      </c>
      <c r="B688" s="1" t="n">
        <v>45841.70569444444</v>
      </c>
      <c r="C688" s="1" t="n">
        <v>45961</v>
      </c>
      <c r="D688" t="inlineStr">
        <is>
          <t>KALMAR LÄN</t>
        </is>
      </c>
      <c r="E688" t="inlineStr">
        <is>
          <t>VIMMERBY</t>
        </is>
      </c>
      <c r="G688" t="n">
        <v>2.7</v>
      </c>
      <c r="H688" t="n">
        <v>0</v>
      </c>
      <c r="I688" t="n">
        <v>0</v>
      </c>
      <c r="J688" t="n">
        <v>0</v>
      </c>
      <c r="K688" t="n">
        <v>0</v>
      </c>
      <c r="L688" t="n">
        <v>0</v>
      </c>
      <c r="M688" t="n">
        <v>0</v>
      </c>
      <c r="N688" t="n">
        <v>0</v>
      </c>
      <c r="O688" t="n">
        <v>0</v>
      </c>
      <c r="P688" t="n">
        <v>0</v>
      </c>
      <c r="Q688" t="n">
        <v>0</v>
      </c>
      <c r="R688" s="2" t="inlineStr"/>
    </row>
    <row r="689" ht="15" customHeight="1">
      <c r="A689" t="inlineStr">
        <is>
          <t>A 33698-2025</t>
        </is>
      </c>
      <c r="B689" s="1" t="n">
        <v>45841.70868055556</v>
      </c>
      <c r="C689" s="1" t="n">
        <v>45961</v>
      </c>
      <c r="D689" t="inlineStr">
        <is>
          <t>KALMAR LÄN</t>
        </is>
      </c>
      <c r="E689" t="inlineStr">
        <is>
          <t>VIMMERBY</t>
        </is>
      </c>
      <c r="G689" t="n">
        <v>3.7</v>
      </c>
      <c r="H689" t="n">
        <v>0</v>
      </c>
      <c r="I689" t="n">
        <v>0</v>
      </c>
      <c r="J689" t="n">
        <v>0</v>
      </c>
      <c r="K689" t="n">
        <v>0</v>
      </c>
      <c r="L689" t="n">
        <v>0</v>
      </c>
      <c r="M689" t="n">
        <v>0</v>
      </c>
      <c r="N689" t="n">
        <v>0</v>
      </c>
      <c r="O689" t="n">
        <v>0</v>
      </c>
      <c r="P689" t="n">
        <v>0</v>
      </c>
      <c r="Q689" t="n">
        <v>0</v>
      </c>
      <c r="R689" s="2" t="inlineStr"/>
    </row>
    <row r="690" ht="15" customHeight="1">
      <c r="A690" t="inlineStr">
        <is>
          <t>A 60110-2022</t>
        </is>
      </c>
      <c r="B690" s="1" t="n">
        <v>44909</v>
      </c>
      <c r="C690" s="1" t="n">
        <v>45961</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59300-2024</t>
        </is>
      </c>
      <c r="B691" s="1" t="n">
        <v>45637.66542824074</v>
      </c>
      <c r="C691" s="1" t="n">
        <v>45961</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16516-2023</t>
        </is>
      </c>
      <c r="B692" s="1" t="n">
        <v>45029</v>
      </c>
      <c r="C692" s="1" t="n">
        <v>45961</v>
      </c>
      <c r="D692" t="inlineStr">
        <is>
          <t>KALMAR LÄN</t>
        </is>
      </c>
      <c r="E692" t="inlineStr">
        <is>
          <t>VIMMERBY</t>
        </is>
      </c>
      <c r="G692" t="n">
        <v>4.3</v>
      </c>
      <c r="H692" t="n">
        <v>0</v>
      </c>
      <c r="I692" t="n">
        <v>0</v>
      </c>
      <c r="J692" t="n">
        <v>0</v>
      </c>
      <c r="K692" t="n">
        <v>0</v>
      </c>
      <c r="L692" t="n">
        <v>0</v>
      </c>
      <c r="M692" t="n">
        <v>0</v>
      </c>
      <c r="N692" t="n">
        <v>0</v>
      </c>
      <c r="O692" t="n">
        <v>0</v>
      </c>
      <c r="P692" t="n">
        <v>0</v>
      </c>
      <c r="Q692" t="n">
        <v>0</v>
      </c>
      <c r="R692" s="2" t="inlineStr"/>
    </row>
    <row r="693" ht="15" customHeight="1">
      <c r="A693" t="inlineStr">
        <is>
          <t>A 2510-2023</t>
        </is>
      </c>
      <c r="B693" s="1" t="n">
        <v>44943.57309027778</v>
      </c>
      <c r="C693" s="1" t="n">
        <v>45961</v>
      </c>
      <c r="D693" t="inlineStr">
        <is>
          <t>KALMAR LÄN</t>
        </is>
      </c>
      <c r="E693" t="inlineStr">
        <is>
          <t>VIMMERBY</t>
        </is>
      </c>
      <c r="G693" t="n">
        <v>8.6</v>
      </c>
      <c r="H693" t="n">
        <v>0</v>
      </c>
      <c r="I693" t="n">
        <v>0</v>
      </c>
      <c r="J693" t="n">
        <v>0</v>
      </c>
      <c r="K693" t="n">
        <v>0</v>
      </c>
      <c r="L693" t="n">
        <v>0</v>
      </c>
      <c r="M693" t="n">
        <v>0</v>
      </c>
      <c r="N693" t="n">
        <v>0</v>
      </c>
      <c r="O693" t="n">
        <v>0</v>
      </c>
      <c r="P693" t="n">
        <v>0</v>
      </c>
      <c r="Q693" t="n">
        <v>0</v>
      </c>
      <c r="R693" s="2" t="inlineStr"/>
    </row>
    <row r="694" ht="15" customHeight="1">
      <c r="A694" t="inlineStr">
        <is>
          <t>A 19445-2021</t>
        </is>
      </c>
      <c r="B694" s="1" t="n">
        <v>44310</v>
      </c>
      <c r="C694" s="1" t="n">
        <v>45961</v>
      </c>
      <c r="D694" t="inlineStr">
        <is>
          <t>KALMAR LÄN</t>
        </is>
      </c>
      <c r="E694" t="inlineStr">
        <is>
          <t>VIMMERBY</t>
        </is>
      </c>
      <c r="G694" t="n">
        <v>6.8</v>
      </c>
      <c r="H694" t="n">
        <v>0</v>
      </c>
      <c r="I694" t="n">
        <v>0</v>
      </c>
      <c r="J694" t="n">
        <v>0</v>
      </c>
      <c r="K694" t="n">
        <v>0</v>
      </c>
      <c r="L694" t="n">
        <v>0</v>
      </c>
      <c r="M694" t="n">
        <v>0</v>
      </c>
      <c r="N694" t="n">
        <v>0</v>
      </c>
      <c r="O694" t="n">
        <v>0</v>
      </c>
      <c r="P694" t="n">
        <v>0</v>
      </c>
      <c r="Q694" t="n">
        <v>0</v>
      </c>
      <c r="R694" s="2" t="inlineStr"/>
    </row>
    <row r="695" ht="15" customHeight="1">
      <c r="A695" t="inlineStr">
        <is>
          <t>A 33696-2025</t>
        </is>
      </c>
      <c r="B695" s="1" t="n">
        <v>45841.7072337963</v>
      </c>
      <c r="C695" s="1" t="n">
        <v>45961</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48373-2021</t>
        </is>
      </c>
      <c r="B696" s="1" t="n">
        <v>44451</v>
      </c>
      <c r="C696" s="1" t="n">
        <v>45961</v>
      </c>
      <c r="D696" t="inlineStr">
        <is>
          <t>KALMAR LÄN</t>
        </is>
      </c>
      <c r="E696" t="inlineStr">
        <is>
          <t>VIMMERBY</t>
        </is>
      </c>
      <c r="G696" t="n">
        <v>2.2</v>
      </c>
      <c r="H696" t="n">
        <v>0</v>
      </c>
      <c r="I696" t="n">
        <v>0</v>
      </c>
      <c r="J696" t="n">
        <v>0</v>
      </c>
      <c r="K696" t="n">
        <v>0</v>
      </c>
      <c r="L696" t="n">
        <v>0</v>
      </c>
      <c r="M696" t="n">
        <v>0</v>
      </c>
      <c r="N696" t="n">
        <v>0</v>
      </c>
      <c r="O696" t="n">
        <v>0</v>
      </c>
      <c r="P696" t="n">
        <v>0</v>
      </c>
      <c r="Q696" t="n">
        <v>0</v>
      </c>
      <c r="R696" s="2" t="inlineStr"/>
    </row>
    <row r="697" ht="15" customHeight="1">
      <c r="A697" t="inlineStr">
        <is>
          <t>A 18329-2023</t>
        </is>
      </c>
      <c r="B697" s="1" t="n">
        <v>45041.63380787037</v>
      </c>
      <c r="C697" s="1" t="n">
        <v>45961</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5720-2023</t>
        </is>
      </c>
      <c r="B698" s="1" t="n">
        <v>44961</v>
      </c>
      <c r="C698" s="1" t="n">
        <v>45961</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28702-2025</t>
        </is>
      </c>
      <c r="B699" s="1" t="n">
        <v>45820.03976851852</v>
      </c>
      <c r="C699" s="1" t="n">
        <v>45961</v>
      </c>
      <c r="D699" t="inlineStr">
        <is>
          <t>KALMAR LÄN</t>
        </is>
      </c>
      <c r="E699" t="inlineStr">
        <is>
          <t>VIMMERBY</t>
        </is>
      </c>
      <c r="G699" t="n">
        <v>2.1</v>
      </c>
      <c r="H699" t="n">
        <v>0</v>
      </c>
      <c r="I699" t="n">
        <v>0</v>
      </c>
      <c r="J699" t="n">
        <v>0</v>
      </c>
      <c r="K699" t="n">
        <v>0</v>
      </c>
      <c r="L699" t="n">
        <v>0</v>
      </c>
      <c r="M699" t="n">
        <v>0</v>
      </c>
      <c r="N699" t="n">
        <v>0</v>
      </c>
      <c r="O699" t="n">
        <v>0</v>
      </c>
      <c r="P699" t="n">
        <v>0</v>
      </c>
      <c r="Q699" t="n">
        <v>0</v>
      </c>
      <c r="R699" s="2" t="inlineStr"/>
    </row>
    <row r="700" ht="15" customHeight="1">
      <c r="A700" t="inlineStr">
        <is>
          <t>A 61538-2022</t>
        </is>
      </c>
      <c r="B700" s="1" t="n">
        <v>44916.55414351852</v>
      </c>
      <c r="C700" s="1" t="n">
        <v>45961</v>
      </c>
      <c r="D700" t="inlineStr">
        <is>
          <t>KALMAR LÄN</t>
        </is>
      </c>
      <c r="E700" t="inlineStr">
        <is>
          <t>VIMMERBY</t>
        </is>
      </c>
      <c r="G700" t="n">
        <v>1.5</v>
      </c>
      <c r="H700" t="n">
        <v>0</v>
      </c>
      <c r="I700" t="n">
        <v>0</v>
      </c>
      <c r="J700" t="n">
        <v>0</v>
      </c>
      <c r="K700" t="n">
        <v>0</v>
      </c>
      <c r="L700" t="n">
        <v>0</v>
      </c>
      <c r="M700" t="n">
        <v>0</v>
      </c>
      <c r="N700" t="n">
        <v>0</v>
      </c>
      <c r="O700" t="n">
        <v>0</v>
      </c>
      <c r="P700" t="n">
        <v>0</v>
      </c>
      <c r="Q700" t="n">
        <v>0</v>
      </c>
      <c r="R700" s="2" t="inlineStr"/>
    </row>
    <row r="701" ht="15" customHeight="1">
      <c r="A701" t="inlineStr">
        <is>
          <t>A 7485-2024</t>
        </is>
      </c>
      <c r="B701" s="1" t="n">
        <v>45346.67184027778</v>
      </c>
      <c r="C701" s="1" t="n">
        <v>45961</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694-2024</t>
        </is>
      </c>
      <c r="B702" s="1" t="n">
        <v>45300.3794212963</v>
      </c>
      <c r="C702" s="1" t="n">
        <v>45961</v>
      </c>
      <c r="D702" t="inlineStr">
        <is>
          <t>KALMAR LÄN</t>
        </is>
      </c>
      <c r="E702" t="inlineStr">
        <is>
          <t>VIMMERBY</t>
        </is>
      </c>
      <c r="G702" t="n">
        <v>1.4</v>
      </c>
      <c r="H702" t="n">
        <v>0</v>
      </c>
      <c r="I702" t="n">
        <v>0</v>
      </c>
      <c r="J702" t="n">
        <v>0</v>
      </c>
      <c r="K702" t="n">
        <v>0</v>
      </c>
      <c r="L702" t="n">
        <v>0</v>
      </c>
      <c r="M702" t="n">
        <v>0</v>
      </c>
      <c r="N702" t="n">
        <v>0</v>
      </c>
      <c r="O702" t="n">
        <v>0</v>
      </c>
      <c r="P702" t="n">
        <v>0</v>
      </c>
      <c r="Q702" t="n">
        <v>0</v>
      </c>
      <c r="R702" s="2" t="inlineStr"/>
    </row>
    <row r="703" ht="15" customHeight="1">
      <c r="A703" t="inlineStr">
        <is>
          <t>A 57114-2023</t>
        </is>
      </c>
      <c r="B703" s="1" t="n">
        <v>45245.36174768519</v>
      </c>
      <c r="C703" s="1" t="n">
        <v>45961</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6574-2023</t>
        </is>
      </c>
      <c r="B704" s="1" t="n">
        <v>44966</v>
      </c>
      <c r="C704" s="1" t="n">
        <v>45961</v>
      </c>
      <c r="D704" t="inlineStr">
        <is>
          <t>KALMAR LÄN</t>
        </is>
      </c>
      <c r="E704" t="inlineStr">
        <is>
          <t>VIMMERBY</t>
        </is>
      </c>
      <c r="G704" t="n">
        <v>2.5</v>
      </c>
      <c r="H704" t="n">
        <v>0</v>
      </c>
      <c r="I704" t="n">
        <v>0</v>
      </c>
      <c r="J704" t="n">
        <v>0</v>
      </c>
      <c r="K704" t="n">
        <v>0</v>
      </c>
      <c r="L704" t="n">
        <v>0</v>
      </c>
      <c r="M704" t="n">
        <v>0</v>
      </c>
      <c r="N704" t="n">
        <v>0</v>
      </c>
      <c r="O704" t="n">
        <v>0</v>
      </c>
      <c r="P704" t="n">
        <v>0</v>
      </c>
      <c r="Q704" t="n">
        <v>0</v>
      </c>
      <c r="R704" s="2" t="inlineStr"/>
    </row>
    <row r="705" ht="15" customHeight="1">
      <c r="A705" t="inlineStr">
        <is>
          <t>A 34071-2025</t>
        </is>
      </c>
      <c r="B705" s="1" t="n">
        <v>45845.43803240741</v>
      </c>
      <c r="C705" s="1" t="n">
        <v>45961</v>
      </c>
      <c r="D705" t="inlineStr">
        <is>
          <t>KALMAR LÄN</t>
        </is>
      </c>
      <c r="E705" t="inlineStr">
        <is>
          <t>VIMMERBY</t>
        </is>
      </c>
      <c r="G705" t="n">
        <v>6.8</v>
      </c>
      <c r="H705" t="n">
        <v>0</v>
      </c>
      <c r="I705" t="n">
        <v>0</v>
      </c>
      <c r="J705" t="n">
        <v>0</v>
      </c>
      <c r="K705" t="n">
        <v>0</v>
      </c>
      <c r="L705" t="n">
        <v>0</v>
      </c>
      <c r="M705" t="n">
        <v>0</v>
      </c>
      <c r="N705" t="n">
        <v>0</v>
      </c>
      <c r="O705" t="n">
        <v>0</v>
      </c>
      <c r="P705" t="n">
        <v>0</v>
      </c>
      <c r="Q705" t="n">
        <v>0</v>
      </c>
      <c r="R705" s="2" t="inlineStr"/>
    </row>
    <row r="706" ht="15" customHeight="1">
      <c r="A706" t="inlineStr">
        <is>
          <t>A 34106-2025</t>
        </is>
      </c>
      <c r="B706" s="1" t="n">
        <v>45845.49414351852</v>
      </c>
      <c r="C706" s="1" t="n">
        <v>45961</v>
      </c>
      <c r="D706" t="inlineStr">
        <is>
          <t>KALMAR LÄN</t>
        </is>
      </c>
      <c r="E706" t="inlineStr">
        <is>
          <t>VIMMERBY</t>
        </is>
      </c>
      <c r="G706" t="n">
        <v>6</v>
      </c>
      <c r="H706" t="n">
        <v>0</v>
      </c>
      <c r="I706" t="n">
        <v>0</v>
      </c>
      <c r="J706" t="n">
        <v>0</v>
      </c>
      <c r="K706" t="n">
        <v>0</v>
      </c>
      <c r="L706" t="n">
        <v>0</v>
      </c>
      <c r="M706" t="n">
        <v>0</v>
      </c>
      <c r="N706" t="n">
        <v>0</v>
      </c>
      <c r="O706" t="n">
        <v>0</v>
      </c>
      <c r="P706" t="n">
        <v>0</v>
      </c>
      <c r="Q706" t="n">
        <v>0</v>
      </c>
      <c r="R706" s="2" t="inlineStr"/>
    </row>
    <row r="707" ht="15" customHeight="1">
      <c r="A707" t="inlineStr">
        <is>
          <t>A 20054-2023</t>
        </is>
      </c>
      <c r="B707" s="1" t="n">
        <v>45054.6750462963</v>
      </c>
      <c r="C707" s="1" t="n">
        <v>45961</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26956-2025</t>
        </is>
      </c>
      <c r="B708" s="1" t="n">
        <v>45811.45460648148</v>
      </c>
      <c r="C708" s="1" t="n">
        <v>45961</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58750-2022</t>
        </is>
      </c>
      <c r="B709" s="1" t="n">
        <v>44903.33363425926</v>
      </c>
      <c r="C709" s="1" t="n">
        <v>45961</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12327-2023</t>
        </is>
      </c>
      <c r="B710" s="1" t="n">
        <v>44999.36081018519</v>
      </c>
      <c r="C710" s="1" t="n">
        <v>45961</v>
      </c>
      <c r="D710" t="inlineStr">
        <is>
          <t>KALMAR LÄN</t>
        </is>
      </c>
      <c r="E710" t="inlineStr">
        <is>
          <t>VIMMERBY</t>
        </is>
      </c>
      <c r="G710" t="n">
        <v>1.2</v>
      </c>
      <c r="H710" t="n">
        <v>0</v>
      </c>
      <c r="I710" t="n">
        <v>0</v>
      </c>
      <c r="J710" t="n">
        <v>0</v>
      </c>
      <c r="K710" t="n">
        <v>0</v>
      </c>
      <c r="L710" t="n">
        <v>0</v>
      </c>
      <c r="M710" t="n">
        <v>0</v>
      </c>
      <c r="N710" t="n">
        <v>0</v>
      </c>
      <c r="O710" t="n">
        <v>0</v>
      </c>
      <c r="P710" t="n">
        <v>0</v>
      </c>
      <c r="Q710" t="n">
        <v>0</v>
      </c>
      <c r="R710" s="2" t="inlineStr"/>
    </row>
    <row r="711" ht="15" customHeight="1">
      <c r="A711" t="inlineStr">
        <is>
          <t>A 30633-2024</t>
        </is>
      </c>
      <c r="B711" s="1" t="n">
        <v>45495</v>
      </c>
      <c r="C711" s="1" t="n">
        <v>45961</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34628-2025</t>
        </is>
      </c>
      <c r="B712" s="1" t="n">
        <v>45847.91280092593</v>
      </c>
      <c r="C712" s="1" t="n">
        <v>45961</v>
      </c>
      <c r="D712" t="inlineStr">
        <is>
          <t>KALMAR LÄN</t>
        </is>
      </c>
      <c r="E712" t="inlineStr">
        <is>
          <t>VIMMERBY</t>
        </is>
      </c>
      <c r="G712" t="n">
        <v>4.2</v>
      </c>
      <c r="H712" t="n">
        <v>0</v>
      </c>
      <c r="I712" t="n">
        <v>0</v>
      </c>
      <c r="J712" t="n">
        <v>0</v>
      </c>
      <c r="K712" t="n">
        <v>0</v>
      </c>
      <c r="L712" t="n">
        <v>0</v>
      </c>
      <c r="M712" t="n">
        <v>0</v>
      </c>
      <c r="N712" t="n">
        <v>0</v>
      </c>
      <c r="O712" t="n">
        <v>0</v>
      </c>
      <c r="P712" t="n">
        <v>0</v>
      </c>
      <c r="Q712" t="n">
        <v>0</v>
      </c>
      <c r="R712" s="2" t="inlineStr"/>
    </row>
    <row r="713" ht="15" customHeight="1">
      <c r="A713" t="inlineStr">
        <is>
          <t>A 33424-2023</t>
        </is>
      </c>
      <c r="B713" s="1" t="n">
        <v>45128.9325</v>
      </c>
      <c r="C713" s="1" t="n">
        <v>45961</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33425-2023</t>
        </is>
      </c>
      <c r="B714" s="1" t="n">
        <v>45128.93540509259</v>
      </c>
      <c r="C714" s="1" t="n">
        <v>45961</v>
      </c>
      <c r="D714" t="inlineStr">
        <is>
          <t>KALMAR LÄN</t>
        </is>
      </c>
      <c r="E714" t="inlineStr">
        <is>
          <t>VIMMERBY</t>
        </is>
      </c>
      <c r="G714" t="n">
        <v>1.4</v>
      </c>
      <c r="H714" t="n">
        <v>0</v>
      </c>
      <c r="I714" t="n">
        <v>0</v>
      </c>
      <c r="J714" t="n">
        <v>0</v>
      </c>
      <c r="K714" t="n">
        <v>0</v>
      </c>
      <c r="L714" t="n">
        <v>0</v>
      </c>
      <c r="M714" t="n">
        <v>0</v>
      </c>
      <c r="N714" t="n">
        <v>0</v>
      </c>
      <c r="O714" t="n">
        <v>0</v>
      </c>
      <c r="P714" t="n">
        <v>0</v>
      </c>
      <c r="Q714" t="n">
        <v>0</v>
      </c>
      <c r="R714" s="2" t="inlineStr"/>
    </row>
    <row r="715" ht="15" customHeight="1">
      <c r="A715" t="inlineStr">
        <is>
          <t>A 3609-2024</t>
        </is>
      </c>
      <c r="B715" s="1" t="n">
        <v>45320.89128472222</v>
      </c>
      <c r="C715" s="1" t="n">
        <v>45961</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2260-2022</t>
        </is>
      </c>
      <c r="B716" s="1" t="n">
        <v>44578.62943287037</v>
      </c>
      <c r="C716" s="1" t="n">
        <v>45961</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50860-2022</t>
        </is>
      </c>
      <c r="B717" s="1" t="n">
        <v>44867</v>
      </c>
      <c r="C717" s="1" t="n">
        <v>45961</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53483-2022</t>
        </is>
      </c>
      <c r="B718" s="1" t="n">
        <v>44879.55940972222</v>
      </c>
      <c r="C718" s="1" t="n">
        <v>45961</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58962-2022</t>
        </is>
      </c>
      <c r="B719" s="1" t="n">
        <v>44903</v>
      </c>
      <c r="C719" s="1" t="n">
        <v>45961</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58967-2022</t>
        </is>
      </c>
      <c r="B720" s="1" t="n">
        <v>44896</v>
      </c>
      <c r="C720" s="1" t="n">
        <v>45961</v>
      </c>
      <c r="D720" t="inlineStr">
        <is>
          <t>KALMAR LÄN</t>
        </is>
      </c>
      <c r="E720" t="inlineStr">
        <is>
          <t>VIMMERBY</t>
        </is>
      </c>
      <c r="G720" t="n">
        <v>5</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45961</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35270-2025</t>
        </is>
      </c>
      <c r="B722" s="1" t="n">
        <v>45853.87112268519</v>
      </c>
      <c r="C722" s="1" t="n">
        <v>45961</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35271-2025</t>
        </is>
      </c>
      <c r="B723" s="1" t="n">
        <v>45853.87599537037</v>
      </c>
      <c r="C723" s="1" t="n">
        <v>45961</v>
      </c>
      <c r="D723" t="inlineStr">
        <is>
          <t>KALMAR LÄN</t>
        </is>
      </c>
      <c r="E723" t="inlineStr">
        <is>
          <t>VIMMERBY</t>
        </is>
      </c>
      <c r="G723" t="n">
        <v>0.4</v>
      </c>
      <c r="H723" t="n">
        <v>0</v>
      </c>
      <c r="I723" t="n">
        <v>0</v>
      </c>
      <c r="J723" t="n">
        <v>0</v>
      </c>
      <c r="K723" t="n">
        <v>0</v>
      </c>
      <c r="L723" t="n">
        <v>0</v>
      </c>
      <c r="M723" t="n">
        <v>0</v>
      </c>
      <c r="N723" t="n">
        <v>0</v>
      </c>
      <c r="O723" t="n">
        <v>0</v>
      </c>
      <c r="P723" t="n">
        <v>0</v>
      </c>
      <c r="Q723" t="n">
        <v>0</v>
      </c>
      <c r="R723" s="2" t="inlineStr"/>
    </row>
    <row r="724" ht="15" customHeight="1">
      <c r="A724" t="inlineStr">
        <is>
          <t>A 35272-2025</t>
        </is>
      </c>
      <c r="B724" s="1" t="n">
        <v>45853.88070601852</v>
      </c>
      <c r="C724" s="1" t="n">
        <v>45961</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16953-2025</t>
        </is>
      </c>
      <c r="B725" s="1" t="n">
        <v>45755.44333333334</v>
      </c>
      <c r="C725" s="1" t="n">
        <v>45961</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8650-2022</t>
        </is>
      </c>
      <c r="B726" s="1" t="n">
        <v>44613</v>
      </c>
      <c r="C726" s="1" t="n">
        <v>45961</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4076-2022</t>
        </is>
      </c>
      <c r="B727" s="1" t="n">
        <v>44588.37998842593</v>
      </c>
      <c r="C727" s="1" t="n">
        <v>45961</v>
      </c>
      <c r="D727" t="inlineStr">
        <is>
          <t>KALMAR LÄN</t>
        </is>
      </c>
      <c r="E727" t="inlineStr">
        <is>
          <t>VIMMERBY</t>
        </is>
      </c>
      <c r="G727" t="n">
        <v>3</v>
      </c>
      <c r="H727" t="n">
        <v>0</v>
      </c>
      <c r="I727" t="n">
        <v>0</v>
      </c>
      <c r="J727" t="n">
        <v>0</v>
      </c>
      <c r="K727" t="n">
        <v>0</v>
      </c>
      <c r="L727" t="n">
        <v>0</v>
      </c>
      <c r="M727" t="n">
        <v>0</v>
      </c>
      <c r="N727" t="n">
        <v>0</v>
      </c>
      <c r="O727" t="n">
        <v>0</v>
      </c>
      <c r="P727" t="n">
        <v>0</v>
      </c>
      <c r="Q727" t="n">
        <v>0</v>
      </c>
      <c r="R727" s="2" t="inlineStr"/>
    </row>
    <row r="728" ht="15" customHeight="1">
      <c r="A728" t="inlineStr">
        <is>
          <t>A 4122-2022</t>
        </is>
      </c>
      <c r="B728" s="1" t="n">
        <v>44588</v>
      </c>
      <c r="C728" s="1" t="n">
        <v>45961</v>
      </c>
      <c r="D728" t="inlineStr">
        <is>
          <t>KALMAR LÄN</t>
        </is>
      </c>
      <c r="E728" t="inlineStr">
        <is>
          <t>VIMMERBY</t>
        </is>
      </c>
      <c r="G728" t="n">
        <v>0.6</v>
      </c>
      <c r="H728" t="n">
        <v>0</v>
      </c>
      <c r="I728" t="n">
        <v>0</v>
      </c>
      <c r="J728" t="n">
        <v>0</v>
      </c>
      <c r="K728" t="n">
        <v>0</v>
      </c>
      <c r="L728" t="n">
        <v>0</v>
      </c>
      <c r="M728" t="n">
        <v>0</v>
      </c>
      <c r="N728" t="n">
        <v>0</v>
      </c>
      <c r="O728" t="n">
        <v>0</v>
      </c>
      <c r="P728" t="n">
        <v>0</v>
      </c>
      <c r="Q728" t="n">
        <v>0</v>
      </c>
      <c r="R728" s="2" t="inlineStr"/>
    </row>
    <row r="729" ht="15" customHeight="1">
      <c r="A729" t="inlineStr">
        <is>
          <t>A 65961-2020</t>
        </is>
      </c>
      <c r="B729" s="1" t="n">
        <v>44175.39748842592</v>
      </c>
      <c r="C729" s="1" t="n">
        <v>45961</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35597-2025</t>
        </is>
      </c>
      <c r="B730" s="1" t="n">
        <v>45858.66019675926</v>
      </c>
      <c r="C730" s="1" t="n">
        <v>45961</v>
      </c>
      <c r="D730" t="inlineStr">
        <is>
          <t>KALMAR LÄN</t>
        </is>
      </c>
      <c r="E730" t="inlineStr">
        <is>
          <t>VIMMERBY</t>
        </is>
      </c>
      <c r="G730" t="n">
        <v>6.4</v>
      </c>
      <c r="H730" t="n">
        <v>0</v>
      </c>
      <c r="I730" t="n">
        <v>0</v>
      </c>
      <c r="J730" t="n">
        <v>0</v>
      </c>
      <c r="K730" t="n">
        <v>0</v>
      </c>
      <c r="L730" t="n">
        <v>0</v>
      </c>
      <c r="M730" t="n">
        <v>0</v>
      </c>
      <c r="N730" t="n">
        <v>0</v>
      </c>
      <c r="O730" t="n">
        <v>0</v>
      </c>
      <c r="P730" t="n">
        <v>0</v>
      </c>
      <c r="Q730" t="n">
        <v>0</v>
      </c>
      <c r="R730" s="2" t="inlineStr"/>
    </row>
    <row r="731" ht="15" customHeight="1">
      <c r="A731" t="inlineStr">
        <is>
          <t>A 11147-2023</t>
        </is>
      </c>
      <c r="B731" s="1" t="n">
        <v>44992</v>
      </c>
      <c r="C731" s="1" t="n">
        <v>45961</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9624-2024</t>
        </is>
      </c>
      <c r="B732" s="1" t="n">
        <v>45361.90282407407</v>
      </c>
      <c r="C732" s="1" t="n">
        <v>45961</v>
      </c>
      <c r="D732" t="inlineStr">
        <is>
          <t>KALMAR LÄN</t>
        </is>
      </c>
      <c r="E732" t="inlineStr">
        <is>
          <t>VIMMERBY</t>
        </is>
      </c>
      <c r="G732" t="n">
        <v>3.8</v>
      </c>
      <c r="H732" t="n">
        <v>0</v>
      </c>
      <c r="I732" t="n">
        <v>0</v>
      </c>
      <c r="J732" t="n">
        <v>0</v>
      </c>
      <c r="K732" t="n">
        <v>0</v>
      </c>
      <c r="L732" t="n">
        <v>0</v>
      </c>
      <c r="M732" t="n">
        <v>0</v>
      </c>
      <c r="N732" t="n">
        <v>0</v>
      </c>
      <c r="O732" t="n">
        <v>0</v>
      </c>
      <c r="P732" t="n">
        <v>0</v>
      </c>
      <c r="Q732" t="n">
        <v>0</v>
      </c>
      <c r="R732" s="2" t="inlineStr"/>
    </row>
    <row r="733" ht="15" customHeight="1">
      <c r="A733" t="inlineStr">
        <is>
          <t>A 52327-2023</t>
        </is>
      </c>
      <c r="B733" s="1" t="n">
        <v>45224.6515162037</v>
      </c>
      <c r="C733" s="1" t="n">
        <v>45961</v>
      </c>
      <c r="D733" t="inlineStr">
        <is>
          <t>KALMAR LÄN</t>
        </is>
      </c>
      <c r="E733" t="inlineStr">
        <is>
          <t>VIMMERBY</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35596-2025</t>
        </is>
      </c>
      <c r="B734" s="1" t="n">
        <v>45858.60641203704</v>
      </c>
      <c r="C734" s="1" t="n">
        <v>45961</v>
      </c>
      <c r="D734" t="inlineStr">
        <is>
          <t>KALMAR LÄN</t>
        </is>
      </c>
      <c r="E734" t="inlineStr">
        <is>
          <t>VIMMERBY</t>
        </is>
      </c>
      <c r="G734" t="n">
        <v>2.8</v>
      </c>
      <c r="H734" t="n">
        <v>0</v>
      </c>
      <c r="I734" t="n">
        <v>0</v>
      </c>
      <c r="J734" t="n">
        <v>0</v>
      </c>
      <c r="K734" t="n">
        <v>0</v>
      </c>
      <c r="L734" t="n">
        <v>0</v>
      </c>
      <c r="M734" t="n">
        <v>0</v>
      </c>
      <c r="N734" t="n">
        <v>0</v>
      </c>
      <c r="O734" t="n">
        <v>0</v>
      </c>
      <c r="P734" t="n">
        <v>0</v>
      </c>
      <c r="Q734" t="n">
        <v>0</v>
      </c>
      <c r="R734" s="2" t="inlineStr"/>
    </row>
    <row r="735" ht="15" customHeight="1">
      <c r="A735" t="inlineStr">
        <is>
          <t>A 47227-2025</t>
        </is>
      </c>
      <c r="B735" s="1" t="n">
        <v>45930.39769675926</v>
      </c>
      <c r="C735" s="1" t="n">
        <v>45961</v>
      </c>
      <c r="D735" t="inlineStr">
        <is>
          <t>KALMAR LÄN</t>
        </is>
      </c>
      <c r="E735" t="inlineStr">
        <is>
          <t>VIMMERBY</t>
        </is>
      </c>
      <c r="G735" t="n">
        <v>1.3</v>
      </c>
      <c r="H735" t="n">
        <v>0</v>
      </c>
      <c r="I735" t="n">
        <v>0</v>
      </c>
      <c r="J735" t="n">
        <v>0</v>
      </c>
      <c r="K735" t="n">
        <v>0</v>
      </c>
      <c r="L735" t="n">
        <v>0</v>
      </c>
      <c r="M735" t="n">
        <v>0</v>
      </c>
      <c r="N735" t="n">
        <v>0</v>
      </c>
      <c r="O735" t="n">
        <v>0</v>
      </c>
      <c r="P735" t="n">
        <v>0</v>
      </c>
      <c r="Q735" t="n">
        <v>0</v>
      </c>
      <c r="R735" s="2" t="inlineStr"/>
    </row>
    <row r="736" ht="15" customHeight="1">
      <c r="A736" t="inlineStr">
        <is>
          <t>A 16676-2023</t>
        </is>
      </c>
      <c r="B736" s="1" t="n">
        <v>45028</v>
      </c>
      <c r="C736" s="1" t="n">
        <v>45961</v>
      </c>
      <c r="D736" t="inlineStr">
        <is>
          <t>KALMAR LÄN</t>
        </is>
      </c>
      <c r="E736" t="inlineStr">
        <is>
          <t>VIMMERBY</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29616-2022</t>
        </is>
      </c>
      <c r="B737" s="1" t="n">
        <v>44754</v>
      </c>
      <c r="C737" s="1" t="n">
        <v>45961</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29348-2023</t>
        </is>
      </c>
      <c r="B738" s="1" t="n">
        <v>45106.25025462963</v>
      </c>
      <c r="C738" s="1" t="n">
        <v>45961</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28403-2023</t>
        </is>
      </c>
      <c r="B739" s="1" t="n">
        <v>45100.85270833333</v>
      </c>
      <c r="C739" s="1" t="n">
        <v>45961</v>
      </c>
      <c r="D739" t="inlineStr">
        <is>
          <t>KALMAR LÄN</t>
        </is>
      </c>
      <c r="E739" t="inlineStr">
        <is>
          <t>VIMMERBY</t>
        </is>
      </c>
      <c r="G739" t="n">
        <v>1.8</v>
      </c>
      <c r="H739" t="n">
        <v>0</v>
      </c>
      <c r="I739" t="n">
        <v>0</v>
      </c>
      <c r="J739" t="n">
        <v>0</v>
      </c>
      <c r="K739" t="n">
        <v>0</v>
      </c>
      <c r="L739" t="n">
        <v>0</v>
      </c>
      <c r="M739" t="n">
        <v>0</v>
      </c>
      <c r="N739" t="n">
        <v>0</v>
      </c>
      <c r="O739" t="n">
        <v>0</v>
      </c>
      <c r="P739" t="n">
        <v>0</v>
      </c>
      <c r="Q739" t="n">
        <v>0</v>
      </c>
      <c r="R739" s="2" t="inlineStr"/>
    </row>
    <row r="740" ht="15" customHeight="1">
      <c r="A740" t="inlineStr">
        <is>
          <t>A 23263-2024</t>
        </is>
      </c>
      <c r="B740" s="1" t="n">
        <v>45453.36854166666</v>
      </c>
      <c r="C740" s="1" t="n">
        <v>45961</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17511-2024</t>
        </is>
      </c>
      <c r="B741" s="1" t="n">
        <v>45415.57682870371</v>
      </c>
      <c r="C741" s="1" t="n">
        <v>45961</v>
      </c>
      <c r="D741" t="inlineStr">
        <is>
          <t>KALMAR LÄN</t>
        </is>
      </c>
      <c r="E741" t="inlineStr">
        <is>
          <t>VIMMERBY</t>
        </is>
      </c>
      <c r="G741" t="n">
        <v>5.3</v>
      </c>
      <c r="H741" t="n">
        <v>0</v>
      </c>
      <c r="I741" t="n">
        <v>0</v>
      </c>
      <c r="J741" t="n">
        <v>0</v>
      </c>
      <c r="K741" t="n">
        <v>0</v>
      </c>
      <c r="L741" t="n">
        <v>0</v>
      </c>
      <c r="M741" t="n">
        <v>0</v>
      </c>
      <c r="N741" t="n">
        <v>0</v>
      </c>
      <c r="O741" t="n">
        <v>0</v>
      </c>
      <c r="P741" t="n">
        <v>0</v>
      </c>
      <c r="Q741" t="n">
        <v>0</v>
      </c>
      <c r="R741" s="2" t="inlineStr"/>
    </row>
    <row r="742" ht="15" customHeight="1">
      <c r="A742" t="inlineStr">
        <is>
          <t>A 49488-2023</t>
        </is>
      </c>
      <c r="B742" s="1" t="n">
        <v>45211.55472222222</v>
      </c>
      <c r="C742" s="1" t="n">
        <v>45961</v>
      </c>
      <c r="D742" t="inlineStr">
        <is>
          <t>KALMAR LÄN</t>
        </is>
      </c>
      <c r="E742" t="inlineStr">
        <is>
          <t>VIMMERBY</t>
        </is>
      </c>
      <c r="F742" t="inlineStr">
        <is>
          <t>Sveaskog</t>
        </is>
      </c>
      <c r="G742" t="n">
        <v>6.2</v>
      </c>
      <c r="H742" t="n">
        <v>0</v>
      </c>
      <c r="I742" t="n">
        <v>0</v>
      </c>
      <c r="J742" t="n">
        <v>0</v>
      </c>
      <c r="K742" t="n">
        <v>0</v>
      </c>
      <c r="L742" t="n">
        <v>0</v>
      </c>
      <c r="M742" t="n">
        <v>0</v>
      </c>
      <c r="N742" t="n">
        <v>0</v>
      </c>
      <c r="O742" t="n">
        <v>0</v>
      </c>
      <c r="P742" t="n">
        <v>0</v>
      </c>
      <c r="Q742" t="n">
        <v>0</v>
      </c>
      <c r="R742" s="2" t="inlineStr"/>
    </row>
    <row r="743" ht="15" customHeight="1">
      <c r="A743" t="inlineStr">
        <is>
          <t>A 66022-2021</t>
        </is>
      </c>
      <c r="B743" s="1" t="n">
        <v>44517</v>
      </c>
      <c r="C743" s="1" t="n">
        <v>45961</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29973-2023</t>
        </is>
      </c>
      <c r="B744" s="1" t="n">
        <v>45108.703125</v>
      </c>
      <c r="C744" s="1" t="n">
        <v>45961</v>
      </c>
      <c r="D744" t="inlineStr">
        <is>
          <t>KALMAR LÄN</t>
        </is>
      </c>
      <c r="E744" t="inlineStr">
        <is>
          <t>VIMMERBY</t>
        </is>
      </c>
      <c r="G744" t="n">
        <v>4</v>
      </c>
      <c r="H744" t="n">
        <v>0</v>
      </c>
      <c r="I744" t="n">
        <v>0</v>
      </c>
      <c r="J744" t="n">
        <v>0</v>
      </c>
      <c r="K744" t="n">
        <v>0</v>
      </c>
      <c r="L744" t="n">
        <v>0</v>
      </c>
      <c r="M744" t="n">
        <v>0</v>
      </c>
      <c r="N744" t="n">
        <v>0</v>
      </c>
      <c r="O744" t="n">
        <v>0</v>
      </c>
      <c r="P744" t="n">
        <v>0</v>
      </c>
      <c r="Q744" t="n">
        <v>0</v>
      </c>
      <c r="R744" s="2" t="inlineStr"/>
    </row>
    <row r="745" ht="15" customHeight="1">
      <c r="A745" t="inlineStr">
        <is>
          <t>A 19502-2025</t>
        </is>
      </c>
      <c r="B745" s="1" t="n">
        <v>45769</v>
      </c>
      <c r="C745" s="1" t="n">
        <v>45961</v>
      </c>
      <c r="D745" t="inlineStr">
        <is>
          <t>KALMAR LÄN</t>
        </is>
      </c>
      <c r="E745" t="inlineStr">
        <is>
          <t>VIMMERBY</t>
        </is>
      </c>
      <c r="G745" t="n">
        <v>1.9</v>
      </c>
      <c r="H745" t="n">
        <v>0</v>
      </c>
      <c r="I745" t="n">
        <v>0</v>
      </c>
      <c r="J745" t="n">
        <v>0</v>
      </c>
      <c r="K745" t="n">
        <v>0</v>
      </c>
      <c r="L745" t="n">
        <v>0</v>
      </c>
      <c r="M745" t="n">
        <v>0</v>
      </c>
      <c r="N745" t="n">
        <v>0</v>
      </c>
      <c r="O745" t="n">
        <v>0</v>
      </c>
      <c r="P745" t="n">
        <v>0</v>
      </c>
      <c r="Q745" t="n">
        <v>0</v>
      </c>
      <c r="R745" s="2" t="inlineStr"/>
    </row>
    <row r="746" ht="15" customHeight="1">
      <c r="A746" t="inlineStr">
        <is>
          <t>A 30070-2023</t>
        </is>
      </c>
      <c r="B746" s="1" t="n">
        <v>45110.4275</v>
      </c>
      <c r="C746" s="1" t="n">
        <v>45961</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59768-2024</t>
        </is>
      </c>
      <c r="B747" s="1" t="n">
        <v>45639.56185185185</v>
      </c>
      <c r="C747" s="1" t="n">
        <v>45961</v>
      </c>
      <c r="D747" t="inlineStr">
        <is>
          <t>KALMAR LÄN</t>
        </is>
      </c>
      <c r="E747" t="inlineStr">
        <is>
          <t>VIMMERBY</t>
        </is>
      </c>
      <c r="G747" t="n">
        <v>5.9</v>
      </c>
      <c r="H747" t="n">
        <v>0</v>
      </c>
      <c r="I747" t="n">
        <v>0</v>
      </c>
      <c r="J747" t="n">
        <v>0</v>
      </c>
      <c r="K747" t="n">
        <v>0</v>
      </c>
      <c r="L747" t="n">
        <v>0</v>
      </c>
      <c r="M747" t="n">
        <v>0</v>
      </c>
      <c r="N747" t="n">
        <v>0</v>
      </c>
      <c r="O747" t="n">
        <v>0</v>
      </c>
      <c r="P747" t="n">
        <v>0</v>
      </c>
      <c r="Q747" t="n">
        <v>0</v>
      </c>
      <c r="R747" s="2" t="inlineStr"/>
    </row>
    <row r="748" ht="15" customHeight="1">
      <c r="A748" t="inlineStr">
        <is>
          <t>A 72067-2021</t>
        </is>
      </c>
      <c r="B748" s="1" t="n">
        <v>44540</v>
      </c>
      <c r="C748" s="1" t="n">
        <v>45961</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36273-2025</t>
        </is>
      </c>
      <c r="B749" s="1" t="n">
        <v>45867.63094907408</v>
      </c>
      <c r="C749" s="1" t="n">
        <v>45961</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36299-2025</t>
        </is>
      </c>
      <c r="B750" s="1" t="n">
        <v>45867.69346064814</v>
      </c>
      <c r="C750" s="1" t="n">
        <v>45961</v>
      </c>
      <c r="D750" t="inlineStr">
        <is>
          <t>KALMAR LÄN</t>
        </is>
      </c>
      <c r="E750" t="inlineStr">
        <is>
          <t>VIMMERBY</t>
        </is>
      </c>
      <c r="G750" t="n">
        <v>7.6</v>
      </c>
      <c r="H750" t="n">
        <v>0</v>
      </c>
      <c r="I750" t="n">
        <v>0</v>
      </c>
      <c r="J750" t="n">
        <v>0</v>
      </c>
      <c r="K750" t="n">
        <v>0</v>
      </c>
      <c r="L750" t="n">
        <v>0</v>
      </c>
      <c r="M750" t="n">
        <v>0</v>
      </c>
      <c r="N750" t="n">
        <v>0</v>
      </c>
      <c r="O750" t="n">
        <v>0</v>
      </c>
      <c r="P750" t="n">
        <v>0</v>
      </c>
      <c r="Q750" t="n">
        <v>0</v>
      </c>
      <c r="R750" s="2" t="inlineStr"/>
    </row>
    <row r="751" ht="15" customHeight="1">
      <c r="A751" t="inlineStr">
        <is>
          <t>A 41158-2023</t>
        </is>
      </c>
      <c r="B751" s="1" t="n">
        <v>45174.31395833333</v>
      </c>
      <c r="C751" s="1" t="n">
        <v>45961</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36221-2025</t>
        </is>
      </c>
      <c r="B752" s="1" t="n">
        <v>45867.50792824074</v>
      </c>
      <c r="C752" s="1" t="n">
        <v>45961</v>
      </c>
      <c r="D752" t="inlineStr">
        <is>
          <t>KALMAR LÄN</t>
        </is>
      </c>
      <c r="E752" t="inlineStr">
        <is>
          <t>VIMMERBY</t>
        </is>
      </c>
      <c r="G752" t="n">
        <v>2.5</v>
      </c>
      <c r="H752" t="n">
        <v>0</v>
      </c>
      <c r="I752" t="n">
        <v>0</v>
      </c>
      <c r="J752" t="n">
        <v>0</v>
      </c>
      <c r="K752" t="n">
        <v>0</v>
      </c>
      <c r="L752" t="n">
        <v>0</v>
      </c>
      <c r="M752" t="n">
        <v>0</v>
      </c>
      <c r="N752" t="n">
        <v>0</v>
      </c>
      <c r="O752" t="n">
        <v>0</v>
      </c>
      <c r="P752" t="n">
        <v>0</v>
      </c>
      <c r="Q752" t="n">
        <v>0</v>
      </c>
      <c r="R752" s="2" t="inlineStr"/>
    </row>
    <row r="753" ht="15" customHeight="1">
      <c r="A753" t="inlineStr">
        <is>
          <t>A 36226-2025</t>
        </is>
      </c>
      <c r="B753" s="1" t="n">
        <v>45867.51630787037</v>
      </c>
      <c r="C753" s="1" t="n">
        <v>45961</v>
      </c>
      <c r="D753" t="inlineStr">
        <is>
          <t>KALMAR LÄN</t>
        </is>
      </c>
      <c r="E753" t="inlineStr">
        <is>
          <t>VIMMERBY</t>
        </is>
      </c>
      <c r="G753" t="n">
        <v>3.1</v>
      </c>
      <c r="H753" t="n">
        <v>0</v>
      </c>
      <c r="I753" t="n">
        <v>0</v>
      </c>
      <c r="J753" t="n">
        <v>0</v>
      </c>
      <c r="K753" t="n">
        <v>0</v>
      </c>
      <c r="L753" t="n">
        <v>0</v>
      </c>
      <c r="M753" t="n">
        <v>0</v>
      </c>
      <c r="N753" t="n">
        <v>0</v>
      </c>
      <c r="O753" t="n">
        <v>0</v>
      </c>
      <c r="P753" t="n">
        <v>0</v>
      </c>
      <c r="Q753" t="n">
        <v>0</v>
      </c>
      <c r="R753" s="2" t="inlineStr"/>
    </row>
    <row r="754" ht="15" customHeight="1">
      <c r="A754" t="inlineStr">
        <is>
          <t>A 36297-2025</t>
        </is>
      </c>
      <c r="B754" s="1" t="n">
        <v>45867.68625</v>
      </c>
      <c r="C754" s="1" t="n">
        <v>45961</v>
      </c>
      <c r="D754" t="inlineStr">
        <is>
          <t>KALMAR LÄN</t>
        </is>
      </c>
      <c r="E754" t="inlineStr">
        <is>
          <t>VIMMERBY</t>
        </is>
      </c>
      <c r="G754" t="n">
        <v>4.9</v>
      </c>
      <c r="H754" t="n">
        <v>0</v>
      </c>
      <c r="I754" t="n">
        <v>0</v>
      </c>
      <c r="J754" t="n">
        <v>0</v>
      </c>
      <c r="K754" t="n">
        <v>0</v>
      </c>
      <c r="L754" t="n">
        <v>0</v>
      </c>
      <c r="M754" t="n">
        <v>0</v>
      </c>
      <c r="N754" t="n">
        <v>0</v>
      </c>
      <c r="O754" t="n">
        <v>0</v>
      </c>
      <c r="P754" t="n">
        <v>0</v>
      </c>
      <c r="Q754" t="n">
        <v>0</v>
      </c>
      <c r="R754" s="2" t="inlineStr"/>
    </row>
    <row r="755" ht="15" customHeight="1">
      <c r="A755" t="inlineStr">
        <is>
          <t>A 36246-2025</t>
        </is>
      </c>
      <c r="B755" s="1" t="n">
        <v>45867.56320601852</v>
      </c>
      <c r="C755" s="1" t="n">
        <v>45961</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22198-2024</t>
        </is>
      </c>
      <c r="B756" s="1" t="n">
        <v>45446.36865740741</v>
      </c>
      <c r="C756" s="1" t="n">
        <v>45961</v>
      </c>
      <c r="D756" t="inlineStr">
        <is>
          <t>KALMAR LÄN</t>
        </is>
      </c>
      <c r="E756" t="inlineStr">
        <is>
          <t>VIMMERBY</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9511-2023</t>
        </is>
      </c>
      <c r="B757" s="1" t="n">
        <v>44981.64725694444</v>
      </c>
      <c r="C757" s="1" t="n">
        <v>45961</v>
      </c>
      <c r="D757" t="inlineStr">
        <is>
          <t>KALMAR LÄN</t>
        </is>
      </c>
      <c r="E757" t="inlineStr">
        <is>
          <t>VIMMERBY</t>
        </is>
      </c>
      <c r="G757" t="n">
        <v>3.5</v>
      </c>
      <c r="H757" t="n">
        <v>0</v>
      </c>
      <c r="I757" t="n">
        <v>0</v>
      </c>
      <c r="J757" t="n">
        <v>0</v>
      </c>
      <c r="K757" t="n">
        <v>0</v>
      </c>
      <c r="L757" t="n">
        <v>0</v>
      </c>
      <c r="M757" t="n">
        <v>0</v>
      </c>
      <c r="N757" t="n">
        <v>0</v>
      </c>
      <c r="O757" t="n">
        <v>0</v>
      </c>
      <c r="P757" t="n">
        <v>0</v>
      </c>
      <c r="Q757" t="n">
        <v>0</v>
      </c>
      <c r="R757" s="2" t="inlineStr"/>
    </row>
    <row r="758" ht="15" customHeight="1">
      <c r="A758" t="inlineStr">
        <is>
          <t>A 36282-2025</t>
        </is>
      </c>
      <c r="B758" s="1" t="n">
        <v>45867.64663194444</v>
      </c>
      <c r="C758" s="1" t="n">
        <v>45961</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36538-2025</t>
        </is>
      </c>
      <c r="B759" s="1" t="n">
        <v>45869.62276620371</v>
      </c>
      <c r="C759" s="1" t="n">
        <v>45961</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36598-2025</t>
        </is>
      </c>
      <c r="B760" s="1" t="n">
        <v>45870.51708333333</v>
      </c>
      <c r="C760" s="1" t="n">
        <v>45961</v>
      </c>
      <c r="D760" t="inlineStr">
        <is>
          <t>KALMAR LÄN</t>
        </is>
      </c>
      <c r="E760" t="inlineStr">
        <is>
          <t>VIMMERBY</t>
        </is>
      </c>
      <c r="G760" t="n">
        <v>3.7</v>
      </c>
      <c r="H760" t="n">
        <v>0</v>
      </c>
      <c r="I760" t="n">
        <v>0</v>
      </c>
      <c r="J760" t="n">
        <v>0</v>
      </c>
      <c r="K760" t="n">
        <v>0</v>
      </c>
      <c r="L760" t="n">
        <v>0</v>
      </c>
      <c r="M760" t="n">
        <v>0</v>
      </c>
      <c r="N760" t="n">
        <v>0</v>
      </c>
      <c r="O760" t="n">
        <v>0</v>
      </c>
      <c r="P760" t="n">
        <v>0</v>
      </c>
      <c r="Q760" t="n">
        <v>0</v>
      </c>
      <c r="R760" s="2" t="inlineStr"/>
    </row>
    <row r="761" ht="15" customHeight="1">
      <c r="A761" t="inlineStr">
        <is>
          <t>A 36602-2025</t>
        </is>
      </c>
      <c r="B761" s="1" t="n">
        <v>45870.52111111111</v>
      </c>
      <c r="C761" s="1" t="n">
        <v>45961</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36600-2025</t>
        </is>
      </c>
      <c r="B762" s="1" t="n">
        <v>45870.51958333333</v>
      </c>
      <c r="C762" s="1" t="n">
        <v>45961</v>
      </c>
      <c r="D762" t="inlineStr">
        <is>
          <t>KALMAR LÄN</t>
        </is>
      </c>
      <c r="E762" t="inlineStr">
        <is>
          <t>VIMMERBY</t>
        </is>
      </c>
      <c r="G762" t="n">
        <v>2</v>
      </c>
      <c r="H762" t="n">
        <v>0</v>
      </c>
      <c r="I762" t="n">
        <v>0</v>
      </c>
      <c r="J762" t="n">
        <v>0</v>
      </c>
      <c r="K762" t="n">
        <v>0</v>
      </c>
      <c r="L762" t="n">
        <v>0</v>
      </c>
      <c r="M762" t="n">
        <v>0</v>
      </c>
      <c r="N762" t="n">
        <v>0</v>
      </c>
      <c r="O762" t="n">
        <v>0</v>
      </c>
      <c r="P762" t="n">
        <v>0</v>
      </c>
      <c r="Q762" t="n">
        <v>0</v>
      </c>
      <c r="R762" s="2" t="inlineStr"/>
    </row>
    <row r="763" ht="15" customHeight="1">
      <c r="A763" t="inlineStr">
        <is>
          <t>A 36601-2025</t>
        </is>
      </c>
      <c r="B763" s="1" t="n">
        <v>45870.52005787037</v>
      </c>
      <c r="C763" s="1" t="n">
        <v>45961</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36603-2025</t>
        </is>
      </c>
      <c r="B764" s="1" t="n">
        <v>45870.52142361111</v>
      </c>
      <c r="C764" s="1" t="n">
        <v>45961</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34205-2023</t>
        </is>
      </c>
      <c r="B765" s="1" t="n">
        <v>45138</v>
      </c>
      <c r="C765" s="1" t="n">
        <v>45961</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57091-2022</t>
        </is>
      </c>
      <c r="B766" s="1" t="n">
        <v>44895.46524305556</v>
      </c>
      <c r="C766" s="1" t="n">
        <v>45961</v>
      </c>
      <c r="D766" t="inlineStr">
        <is>
          <t>KALMAR LÄN</t>
        </is>
      </c>
      <c r="E766" t="inlineStr">
        <is>
          <t>VIMMERBY</t>
        </is>
      </c>
      <c r="G766" t="n">
        <v>2.6</v>
      </c>
      <c r="H766" t="n">
        <v>0</v>
      </c>
      <c r="I766" t="n">
        <v>0</v>
      </c>
      <c r="J766" t="n">
        <v>0</v>
      </c>
      <c r="K766" t="n">
        <v>0</v>
      </c>
      <c r="L766" t="n">
        <v>0</v>
      </c>
      <c r="M766" t="n">
        <v>0</v>
      </c>
      <c r="N766" t="n">
        <v>0</v>
      </c>
      <c r="O766" t="n">
        <v>0</v>
      </c>
      <c r="P766" t="n">
        <v>0</v>
      </c>
      <c r="Q766" t="n">
        <v>0</v>
      </c>
      <c r="R766" s="2" t="inlineStr"/>
    </row>
    <row r="767" ht="15" customHeight="1">
      <c r="A767" t="inlineStr">
        <is>
          <t>A 2604-2025</t>
        </is>
      </c>
      <c r="B767" s="1" t="n">
        <v>45674.74094907408</v>
      </c>
      <c r="C767" s="1" t="n">
        <v>45961</v>
      </c>
      <c r="D767" t="inlineStr">
        <is>
          <t>KALMAR LÄN</t>
        </is>
      </c>
      <c r="E767" t="inlineStr">
        <is>
          <t>VIMMERBY</t>
        </is>
      </c>
      <c r="G767" t="n">
        <v>7.6</v>
      </c>
      <c r="H767" t="n">
        <v>0</v>
      </c>
      <c r="I767" t="n">
        <v>0</v>
      </c>
      <c r="J767" t="n">
        <v>0</v>
      </c>
      <c r="K767" t="n">
        <v>0</v>
      </c>
      <c r="L767" t="n">
        <v>0</v>
      </c>
      <c r="M767" t="n">
        <v>0</v>
      </c>
      <c r="N767" t="n">
        <v>0</v>
      </c>
      <c r="O767" t="n">
        <v>0</v>
      </c>
      <c r="P767" t="n">
        <v>0</v>
      </c>
      <c r="Q767" t="n">
        <v>0</v>
      </c>
      <c r="R767" s="2" t="inlineStr"/>
    </row>
    <row r="768" ht="15" customHeight="1">
      <c r="A768" t="inlineStr">
        <is>
          <t>A 36934-2025</t>
        </is>
      </c>
      <c r="B768" s="1" t="n">
        <v>45874.57109953704</v>
      </c>
      <c r="C768" s="1" t="n">
        <v>45961</v>
      </c>
      <c r="D768" t="inlineStr">
        <is>
          <t>KALMAR LÄN</t>
        </is>
      </c>
      <c r="E768" t="inlineStr">
        <is>
          <t>VIMMERBY</t>
        </is>
      </c>
      <c r="G768" t="n">
        <v>4.2</v>
      </c>
      <c r="H768" t="n">
        <v>0</v>
      </c>
      <c r="I768" t="n">
        <v>0</v>
      </c>
      <c r="J768" t="n">
        <v>0</v>
      </c>
      <c r="K768" t="n">
        <v>0</v>
      </c>
      <c r="L768" t="n">
        <v>0</v>
      </c>
      <c r="M768" t="n">
        <v>0</v>
      </c>
      <c r="N768" t="n">
        <v>0</v>
      </c>
      <c r="O768" t="n">
        <v>0</v>
      </c>
      <c r="P768" t="n">
        <v>0</v>
      </c>
      <c r="Q768" t="n">
        <v>0</v>
      </c>
      <c r="R768" s="2" t="inlineStr"/>
    </row>
    <row r="769" ht="15" customHeight="1">
      <c r="A769" t="inlineStr">
        <is>
          <t>A 6807-2025</t>
        </is>
      </c>
      <c r="B769" s="1" t="n">
        <v>45700.68672453704</v>
      </c>
      <c r="C769" s="1" t="n">
        <v>45961</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38851-2023</t>
        </is>
      </c>
      <c r="B770" s="1" t="n">
        <v>45163</v>
      </c>
      <c r="C770" s="1" t="n">
        <v>45961</v>
      </c>
      <c r="D770" t="inlineStr">
        <is>
          <t>KALMAR LÄN</t>
        </is>
      </c>
      <c r="E770" t="inlineStr">
        <is>
          <t>VIMMERBY</t>
        </is>
      </c>
      <c r="G770" t="n">
        <v>4.3</v>
      </c>
      <c r="H770" t="n">
        <v>0</v>
      </c>
      <c r="I770" t="n">
        <v>0</v>
      </c>
      <c r="J770" t="n">
        <v>0</v>
      </c>
      <c r="K770" t="n">
        <v>0</v>
      </c>
      <c r="L770" t="n">
        <v>0</v>
      </c>
      <c r="M770" t="n">
        <v>0</v>
      </c>
      <c r="N770" t="n">
        <v>0</v>
      </c>
      <c r="O770" t="n">
        <v>0</v>
      </c>
      <c r="P770" t="n">
        <v>0</v>
      </c>
      <c r="Q770" t="n">
        <v>0</v>
      </c>
      <c r="R770" s="2" t="inlineStr"/>
    </row>
    <row r="771" ht="15" customHeight="1">
      <c r="A771" t="inlineStr">
        <is>
          <t>A 37088-2025</t>
        </is>
      </c>
      <c r="B771" s="1" t="n">
        <v>45875.45716435185</v>
      </c>
      <c r="C771" s="1" t="n">
        <v>45961</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37102-2025</t>
        </is>
      </c>
      <c r="B772" s="1" t="n">
        <v>45875.47454861111</v>
      </c>
      <c r="C772" s="1" t="n">
        <v>45961</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29726-2025</t>
        </is>
      </c>
      <c r="B773" s="1" t="n">
        <v>45825.57805555555</v>
      </c>
      <c r="C773" s="1" t="n">
        <v>45961</v>
      </c>
      <c r="D773" t="inlineStr">
        <is>
          <t>KALMAR LÄN</t>
        </is>
      </c>
      <c r="E773" t="inlineStr">
        <is>
          <t>VIMMERBY</t>
        </is>
      </c>
      <c r="G773" t="n">
        <v>2</v>
      </c>
      <c r="H773" t="n">
        <v>0</v>
      </c>
      <c r="I773" t="n">
        <v>0</v>
      </c>
      <c r="J773" t="n">
        <v>0</v>
      </c>
      <c r="K773" t="n">
        <v>0</v>
      </c>
      <c r="L773" t="n">
        <v>0</v>
      </c>
      <c r="M773" t="n">
        <v>0</v>
      </c>
      <c r="N773" t="n">
        <v>0</v>
      </c>
      <c r="O773" t="n">
        <v>0</v>
      </c>
      <c r="P773" t="n">
        <v>0</v>
      </c>
      <c r="Q773" t="n">
        <v>0</v>
      </c>
      <c r="R773" s="2" t="inlineStr"/>
    </row>
    <row r="774" ht="15" customHeight="1">
      <c r="A774" t="inlineStr">
        <is>
          <t>A 23252-2024</t>
        </is>
      </c>
      <c r="B774" s="1" t="n">
        <v>45453.36067129629</v>
      </c>
      <c r="C774" s="1" t="n">
        <v>45961</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37079-2025</t>
        </is>
      </c>
      <c r="B775" s="1" t="n">
        <v>45875.42716435185</v>
      </c>
      <c r="C775" s="1" t="n">
        <v>45961</v>
      </c>
      <c r="D775" t="inlineStr">
        <is>
          <t>KALMAR LÄN</t>
        </is>
      </c>
      <c r="E775" t="inlineStr">
        <is>
          <t>VIMMERBY</t>
        </is>
      </c>
      <c r="G775" t="n">
        <v>0.8</v>
      </c>
      <c r="H775" t="n">
        <v>0</v>
      </c>
      <c r="I775" t="n">
        <v>0</v>
      </c>
      <c r="J775" t="n">
        <v>0</v>
      </c>
      <c r="K775" t="n">
        <v>0</v>
      </c>
      <c r="L775" t="n">
        <v>0</v>
      </c>
      <c r="M775" t="n">
        <v>0</v>
      </c>
      <c r="N775" t="n">
        <v>0</v>
      </c>
      <c r="O775" t="n">
        <v>0</v>
      </c>
      <c r="P775" t="n">
        <v>0</v>
      </c>
      <c r="Q775" t="n">
        <v>0</v>
      </c>
      <c r="R775" s="2" t="inlineStr"/>
    </row>
    <row r="776" ht="15" customHeight="1">
      <c r="A776" t="inlineStr">
        <is>
          <t>A 5792-2023</t>
        </is>
      </c>
      <c r="B776" s="1" t="n">
        <v>44963.44769675926</v>
      </c>
      <c r="C776" s="1" t="n">
        <v>45961</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45114-2025</t>
        </is>
      </c>
      <c r="B777" s="1" t="n">
        <v>45919.42387731482</v>
      </c>
      <c r="C777" s="1" t="n">
        <v>45961</v>
      </c>
      <c r="D777" t="inlineStr">
        <is>
          <t>KALMAR LÄN</t>
        </is>
      </c>
      <c r="E777" t="inlineStr">
        <is>
          <t>VIMMERBY</t>
        </is>
      </c>
      <c r="G777" t="n">
        <v>2.7</v>
      </c>
      <c r="H777" t="n">
        <v>0</v>
      </c>
      <c r="I777" t="n">
        <v>0</v>
      </c>
      <c r="J777" t="n">
        <v>0</v>
      </c>
      <c r="K777" t="n">
        <v>0</v>
      </c>
      <c r="L777" t="n">
        <v>0</v>
      </c>
      <c r="M777" t="n">
        <v>0</v>
      </c>
      <c r="N777" t="n">
        <v>0</v>
      </c>
      <c r="O777" t="n">
        <v>0</v>
      </c>
      <c r="P777" t="n">
        <v>0</v>
      </c>
      <c r="Q777" t="n">
        <v>0</v>
      </c>
      <c r="R777" s="2" t="inlineStr"/>
    </row>
    <row r="778" ht="15" customHeight="1">
      <c r="A778" t="inlineStr">
        <is>
          <t>A 2797-2023</t>
        </is>
      </c>
      <c r="B778" s="1" t="n">
        <v>44944.71386574074</v>
      </c>
      <c r="C778" s="1" t="n">
        <v>45961</v>
      </c>
      <c r="D778" t="inlineStr">
        <is>
          <t>KALMAR LÄN</t>
        </is>
      </c>
      <c r="E778" t="inlineStr">
        <is>
          <t>VIMMERBY</t>
        </is>
      </c>
      <c r="G778" t="n">
        <v>3.4</v>
      </c>
      <c r="H778" t="n">
        <v>0</v>
      </c>
      <c r="I778" t="n">
        <v>0</v>
      </c>
      <c r="J778" t="n">
        <v>0</v>
      </c>
      <c r="K778" t="n">
        <v>0</v>
      </c>
      <c r="L778" t="n">
        <v>0</v>
      </c>
      <c r="M778" t="n">
        <v>0</v>
      </c>
      <c r="N778" t="n">
        <v>0</v>
      </c>
      <c r="O778" t="n">
        <v>0</v>
      </c>
      <c r="P778" t="n">
        <v>0</v>
      </c>
      <c r="Q778" t="n">
        <v>0</v>
      </c>
      <c r="R778" s="2" t="inlineStr"/>
    </row>
    <row r="779" ht="15" customHeight="1">
      <c r="A779" t="inlineStr">
        <is>
          <t>A 2799-2023</t>
        </is>
      </c>
      <c r="B779" s="1" t="n">
        <v>44944.72100694444</v>
      </c>
      <c r="C779" s="1" t="n">
        <v>45961</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6220-2025</t>
        </is>
      </c>
      <c r="B780" s="1" t="n">
        <v>45698.53725694444</v>
      </c>
      <c r="C780" s="1" t="n">
        <v>45961</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45320-2025</t>
        </is>
      </c>
      <c r="B781" s="1" t="n">
        <v>45921.96395833333</v>
      </c>
      <c r="C781" s="1" t="n">
        <v>45961</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37668-2025</t>
        </is>
      </c>
      <c r="B782" s="1" t="n">
        <v>45880.51550925926</v>
      </c>
      <c r="C782" s="1" t="n">
        <v>45961</v>
      </c>
      <c r="D782" t="inlineStr">
        <is>
          <t>KALMAR LÄN</t>
        </is>
      </c>
      <c r="E782" t="inlineStr">
        <is>
          <t>VIMMERBY</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58278-2023</t>
        </is>
      </c>
      <c r="B783" s="1" t="n">
        <v>45250.5278587963</v>
      </c>
      <c r="C783" s="1" t="n">
        <v>45961</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37578-2025</t>
        </is>
      </c>
      <c r="B784" s="1" t="n">
        <v>45880.38380787037</v>
      </c>
      <c r="C784" s="1" t="n">
        <v>45961</v>
      </c>
      <c r="D784" t="inlineStr">
        <is>
          <t>KALMAR LÄN</t>
        </is>
      </c>
      <c r="E784" t="inlineStr">
        <is>
          <t>VIMMERBY</t>
        </is>
      </c>
      <c r="G784" t="n">
        <v>0.7</v>
      </c>
      <c r="H784" t="n">
        <v>0</v>
      </c>
      <c r="I784" t="n">
        <v>0</v>
      </c>
      <c r="J784" t="n">
        <v>0</v>
      </c>
      <c r="K784" t="n">
        <v>0</v>
      </c>
      <c r="L784" t="n">
        <v>0</v>
      </c>
      <c r="M784" t="n">
        <v>0</v>
      </c>
      <c r="N784" t="n">
        <v>0</v>
      </c>
      <c r="O784" t="n">
        <v>0</v>
      </c>
      <c r="P784" t="n">
        <v>0</v>
      </c>
      <c r="Q784" t="n">
        <v>0</v>
      </c>
      <c r="R784" s="2" t="inlineStr"/>
    </row>
    <row r="785" ht="15" customHeight="1">
      <c r="A785" t="inlineStr">
        <is>
          <t>A 36259-2022</t>
        </is>
      </c>
      <c r="B785" s="1" t="n">
        <v>44803.59118055556</v>
      </c>
      <c r="C785" s="1" t="n">
        <v>45961</v>
      </c>
      <c r="D785" t="inlineStr">
        <is>
          <t>KALMAR LÄN</t>
        </is>
      </c>
      <c r="E785" t="inlineStr">
        <is>
          <t>VIMMERBY</t>
        </is>
      </c>
      <c r="G785" t="n">
        <v>3.9</v>
      </c>
      <c r="H785" t="n">
        <v>0</v>
      </c>
      <c r="I785" t="n">
        <v>0</v>
      </c>
      <c r="J785" t="n">
        <v>0</v>
      </c>
      <c r="K785" t="n">
        <v>0</v>
      </c>
      <c r="L785" t="n">
        <v>0</v>
      </c>
      <c r="M785" t="n">
        <v>0</v>
      </c>
      <c r="N785" t="n">
        <v>0</v>
      </c>
      <c r="O785" t="n">
        <v>0</v>
      </c>
      <c r="P785" t="n">
        <v>0</v>
      </c>
      <c r="Q785" t="n">
        <v>0</v>
      </c>
      <c r="R785" s="2" t="inlineStr"/>
    </row>
    <row r="786" ht="15" customHeight="1">
      <c r="A786" t="inlineStr">
        <is>
          <t>A 36526-2023</t>
        </is>
      </c>
      <c r="B786" s="1" t="n">
        <v>45153.32778935185</v>
      </c>
      <c r="C786" s="1" t="n">
        <v>45961</v>
      </c>
      <c r="D786" t="inlineStr">
        <is>
          <t>KALMAR LÄN</t>
        </is>
      </c>
      <c r="E786" t="inlineStr">
        <is>
          <t>VIMMERBY</t>
        </is>
      </c>
      <c r="G786" t="n">
        <v>2.7</v>
      </c>
      <c r="H786" t="n">
        <v>0</v>
      </c>
      <c r="I786" t="n">
        <v>0</v>
      </c>
      <c r="J786" t="n">
        <v>0</v>
      </c>
      <c r="K786" t="n">
        <v>0</v>
      </c>
      <c r="L786" t="n">
        <v>0</v>
      </c>
      <c r="M786" t="n">
        <v>0</v>
      </c>
      <c r="N786" t="n">
        <v>0</v>
      </c>
      <c r="O786" t="n">
        <v>0</v>
      </c>
      <c r="P786" t="n">
        <v>0</v>
      </c>
      <c r="Q786" t="n">
        <v>0</v>
      </c>
      <c r="R786" s="2" t="inlineStr"/>
    </row>
    <row r="787" ht="15" customHeight="1">
      <c r="A787" t="inlineStr">
        <is>
          <t>A 17988-2025</t>
        </is>
      </c>
      <c r="B787" s="1" t="n">
        <v>45761.39600694444</v>
      </c>
      <c r="C787" s="1" t="n">
        <v>45961</v>
      </c>
      <c r="D787" t="inlineStr">
        <is>
          <t>KALMAR LÄN</t>
        </is>
      </c>
      <c r="E787" t="inlineStr">
        <is>
          <t>VIMMERBY</t>
        </is>
      </c>
      <c r="G787" t="n">
        <v>2.8</v>
      </c>
      <c r="H787" t="n">
        <v>0</v>
      </c>
      <c r="I787" t="n">
        <v>0</v>
      </c>
      <c r="J787" t="n">
        <v>0</v>
      </c>
      <c r="K787" t="n">
        <v>0</v>
      </c>
      <c r="L787" t="n">
        <v>0</v>
      </c>
      <c r="M787" t="n">
        <v>0</v>
      </c>
      <c r="N787" t="n">
        <v>0</v>
      </c>
      <c r="O787" t="n">
        <v>0</v>
      </c>
      <c r="P787" t="n">
        <v>0</v>
      </c>
      <c r="Q787" t="n">
        <v>0</v>
      </c>
      <c r="R787" s="2" t="inlineStr"/>
    </row>
    <row r="788" ht="15" customHeight="1">
      <c r="A788" t="inlineStr">
        <is>
          <t>A 45319-2025</t>
        </is>
      </c>
      <c r="B788" s="1" t="n">
        <v>45921.95611111111</v>
      </c>
      <c r="C788" s="1" t="n">
        <v>45961</v>
      </c>
      <c r="D788" t="inlineStr">
        <is>
          <t>KALMAR LÄN</t>
        </is>
      </c>
      <c r="E788" t="inlineStr">
        <is>
          <t>VIMMERBY</t>
        </is>
      </c>
      <c r="G788" t="n">
        <v>1</v>
      </c>
      <c r="H788" t="n">
        <v>0</v>
      </c>
      <c r="I788" t="n">
        <v>0</v>
      </c>
      <c r="J788" t="n">
        <v>0</v>
      </c>
      <c r="K788" t="n">
        <v>0</v>
      </c>
      <c r="L788" t="n">
        <v>0</v>
      </c>
      <c r="M788" t="n">
        <v>0</v>
      </c>
      <c r="N788" t="n">
        <v>0</v>
      </c>
      <c r="O788" t="n">
        <v>0</v>
      </c>
      <c r="P788" t="n">
        <v>0</v>
      </c>
      <c r="Q788" t="n">
        <v>0</v>
      </c>
      <c r="R788" s="2" t="inlineStr"/>
    </row>
    <row r="789" ht="15" customHeight="1">
      <c r="A789" t="inlineStr">
        <is>
          <t>A 29350-2023</t>
        </is>
      </c>
      <c r="B789" s="1" t="n">
        <v>45106</v>
      </c>
      <c r="C789" s="1" t="n">
        <v>45961</v>
      </c>
      <c r="D789" t="inlineStr">
        <is>
          <t>KALMAR LÄN</t>
        </is>
      </c>
      <c r="E789" t="inlineStr">
        <is>
          <t>VIMMERBY</t>
        </is>
      </c>
      <c r="G789" t="n">
        <v>0.8</v>
      </c>
      <c r="H789" t="n">
        <v>0</v>
      </c>
      <c r="I789" t="n">
        <v>0</v>
      </c>
      <c r="J789" t="n">
        <v>0</v>
      </c>
      <c r="K789" t="n">
        <v>0</v>
      </c>
      <c r="L789" t="n">
        <v>0</v>
      </c>
      <c r="M789" t="n">
        <v>0</v>
      </c>
      <c r="N789" t="n">
        <v>0</v>
      </c>
      <c r="O789" t="n">
        <v>0</v>
      </c>
      <c r="P789" t="n">
        <v>0</v>
      </c>
      <c r="Q789" t="n">
        <v>0</v>
      </c>
      <c r="R789" s="2" t="inlineStr"/>
    </row>
    <row r="790" ht="15" customHeight="1">
      <c r="A790" t="inlineStr">
        <is>
          <t>A 29351-2023</t>
        </is>
      </c>
      <c r="B790" s="1" t="n">
        <v>45106.2610300926</v>
      </c>
      <c r="C790" s="1" t="n">
        <v>45961</v>
      </c>
      <c r="D790" t="inlineStr">
        <is>
          <t>KALMAR LÄN</t>
        </is>
      </c>
      <c r="E790" t="inlineStr">
        <is>
          <t>VIMMERBY</t>
        </is>
      </c>
      <c r="G790" t="n">
        <v>0.4</v>
      </c>
      <c r="H790" t="n">
        <v>0</v>
      </c>
      <c r="I790" t="n">
        <v>0</v>
      </c>
      <c r="J790" t="n">
        <v>0</v>
      </c>
      <c r="K790" t="n">
        <v>0</v>
      </c>
      <c r="L790" t="n">
        <v>0</v>
      </c>
      <c r="M790" t="n">
        <v>0</v>
      </c>
      <c r="N790" t="n">
        <v>0</v>
      </c>
      <c r="O790" t="n">
        <v>0</v>
      </c>
      <c r="P790" t="n">
        <v>0</v>
      </c>
      <c r="Q790" t="n">
        <v>0</v>
      </c>
      <c r="R790" s="2" t="inlineStr"/>
    </row>
    <row r="791" ht="15" customHeight="1">
      <c r="A791" t="inlineStr">
        <is>
          <t>A 46887-2025</t>
        </is>
      </c>
      <c r="B791" s="1" t="n">
        <v>45929.3672337963</v>
      </c>
      <c r="C791" s="1" t="n">
        <v>45961</v>
      </c>
      <c r="D791" t="inlineStr">
        <is>
          <t>KALMAR LÄN</t>
        </is>
      </c>
      <c r="E791" t="inlineStr">
        <is>
          <t>VIMMERBY</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6474-2025</t>
        </is>
      </c>
      <c r="B792" s="1" t="n">
        <v>45699.60055555555</v>
      </c>
      <c r="C792" s="1" t="n">
        <v>45961</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38964-2025</t>
        </is>
      </c>
      <c r="B793" s="1" t="n">
        <v>45887.68759259259</v>
      </c>
      <c r="C793" s="1" t="n">
        <v>45961</v>
      </c>
      <c r="D793" t="inlineStr">
        <is>
          <t>KALMAR LÄN</t>
        </is>
      </c>
      <c r="E793" t="inlineStr">
        <is>
          <t>VIMMERBY</t>
        </is>
      </c>
      <c r="G793" t="n">
        <v>7.5</v>
      </c>
      <c r="H793" t="n">
        <v>0</v>
      </c>
      <c r="I793" t="n">
        <v>0</v>
      </c>
      <c r="J793" t="n">
        <v>0</v>
      </c>
      <c r="K793" t="n">
        <v>0</v>
      </c>
      <c r="L793" t="n">
        <v>0</v>
      </c>
      <c r="M793" t="n">
        <v>0</v>
      </c>
      <c r="N793" t="n">
        <v>0</v>
      </c>
      <c r="O793" t="n">
        <v>0</v>
      </c>
      <c r="P793" t="n">
        <v>0</v>
      </c>
      <c r="Q793" t="n">
        <v>0</v>
      </c>
      <c r="R793" s="2" t="inlineStr"/>
    </row>
    <row r="794" ht="15" customHeight="1">
      <c r="A794" t="inlineStr">
        <is>
          <t>A 17-2025</t>
        </is>
      </c>
      <c r="B794" s="1" t="n">
        <v>45658.78774305555</v>
      </c>
      <c r="C794" s="1" t="n">
        <v>45961</v>
      </c>
      <c r="D794" t="inlineStr">
        <is>
          <t>KALMAR LÄN</t>
        </is>
      </c>
      <c r="E794" t="inlineStr">
        <is>
          <t>VIMMERBY</t>
        </is>
      </c>
      <c r="G794" t="n">
        <v>4.4</v>
      </c>
      <c r="H794" t="n">
        <v>0</v>
      </c>
      <c r="I794" t="n">
        <v>0</v>
      </c>
      <c r="J794" t="n">
        <v>0</v>
      </c>
      <c r="K794" t="n">
        <v>0</v>
      </c>
      <c r="L794" t="n">
        <v>0</v>
      </c>
      <c r="M794" t="n">
        <v>0</v>
      </c>
      <c r="N794" t="n">
        <v>0</v>
      </c>
      <c r="O794" t="n">
        <v>0</v>
      </c>
      <c r="P794" t="n">
        <v>0</v>
      </c>
      <c r="Q794" t="n">
        <v>0</v>
      </c>
      <c r="R794" s="2" t="inlineStr"/>
    </row>
    <row r="795" ht="15" customHeight="1">
      <c r="A795" t="inlineStr">
        <is>
          <t>A 57555-2024</t>
        </is>
      </c>
      <c r="B795" s="1" t="n">
        <v>45630.45069444444</v>
      </c>
      <c r="C795" s="1" t="n">
        <v>45961</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46118-2025</t>
        </is>
      </c>
      <c r="B796" s="1" t="n">
        <v>45924.57697916667</v>
      </c>
      <c r="C796" s="1" t="n">
        <v>45961</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18411-2021</t>
        </is>
      </c>
      <c r="B797" s="1" t="n">
        <v>44302</v>
      </c>
      <c r="C797" s="1" t="n">
        <v>45961</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52279-2023</t>
        </is>
      </c>
      <c r="B798" s="1" t="n">
        <v>45224</v>
      </c>
      <c r="C798" s="1" t="n">
        <v>45961</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52324-2023</t>
        </is>
      </c>
      <c r="B799" s="1" t="n">
        <v>45224.64659722222</v>
      </c>
      <c r="C799" s="1" t="n">
        <v>45961</v>
      </c>
      <c r="D799" t="inlineStr">
        <is>
          <t>KALMAR LÄN</t>
        </is>
      </c>
      <c r="E799" t="inlineStr">
        <is>
          <t>VIMMERBY</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37866-2025</t>
        </is>
      </c>
      <c r="B800" s="1" t="n">
        <v>45881</v>
      </c>
      <c r="C800" s="1" t="n">
        <v>45961</v>
      </c>
      <c r="D800" t="inlineStr">
        <is>
          <t>KALMAR LÄN</t>
        </is>
      </c>
      <c r="E800" t="inlineStr">
        <is>
          <t>VIMMERBY</t>
        </is>
      </c>
      <c r="G800" t="n">
        <v>3.4</v>
      </c>
      <c r="H800" t="n">
        <v>0</v>
      </c>
      <c r="I800" t="n">
        <v>0</v>
      </c>
      <c r="J800" t="n">
        <v>0</v>
      </c>
      <c r="K800" t="n">
        <v>0</v>
      </c>
      <c r="L800" t="n">
        <v>0</v>
      </c>
      <c r="M800" t="n">
        <v>0</v>
      </c>
      <c r="N800" t="n">
        <v>0</v>
      </c>
      <c r="O800" t="n">
        <v>0</v>
      </c>
      <c r="P800" t="n">
        <v>0</v>
      </c>
      <c r="Q800" t="n">
        <v>0</v>
      </c>
      <c r="R800" s="2" t="inlineStr"/>
    </row>
    <row r="801" ht="15" customHeight="1">
      <c r="A801" t="inlineStr">
        <is>
          <t>A 47955-2025</t>
        </is>
      </c>
      <c r="B801" s="1" t="n">
        <v>45932.58896990741</v>
      </c>
      <c r="C801" s="1" t="n">
        <v>45961</v>
      </c>
      <c r="D801" t="inlineStr">
        <is>
          <t>KALMAR LÄN</t>
        </is>
      </c>
      <c r="E801" t="inlineStr">
        <is>
          <t>VIMMERBY</t>
        </is>
      </c>
      <c r="G801" t="n">
        <v>3.4</v>
      </c>
      <c r="H801" t="n">
        <v>0</v>
      </c>
      <c r="I801" t="n">
        <v>0</v>
      </c>
      <c r="J801" t="n">
        <v>0</v>
      </c>
      <c r="K801" t="n">
        <v>0</v>
      </c>
      <c r="L801" t="n">
        <v>0</v>
      </c>
      <c r="M801" t="n">
        <v>0</v>
      </c>
      <c r="N801" t="n">
        <v>0</v>
      </c>
      <c r="O801" t="n">
        <v>0</v>
      </c>
      <c r="P801" t="n">
        <v>0</v>
      </c>
      <c r="Q801" t="n">
        <v>0</v>
      </c>
      <c r="R801" s="2" t="inlineStr"/>
    </row>
    <row r="802" ht="15" customHeight="1">
      <c r="A802" t="inlineStr">
        <is>
          <t>A 32639-2023</t>
        </is>
      </c>
      <c r="B802" s="1" t="n">
        <v>45121.5965162037</v>
      </c>
      <c r="C802" s="1" t="n">
        <v>45961</v>
      </c>
      <c r="D802" t="inlineStr">
        <is>
          <t>KALMAR LÄN</t>
        </is>
      </c>
      <c r="E802" t="inlineStr">
        <is>
          <t>VIMMERBY</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32642-2023</t>
        </is>
      </c>
      <c r="B803" s="1" t="n">
        <v>45121.59954861111</v>
      </c>
      <c r="C803" s="1" t="n">
        <v>45961</v>
      </c>
      <c r="D803" t="inlineStr">
        <is>
          <t>KALMAR LÄN</t>
        </is>
      </c>
      <c r="E803" t="inlineStr">
        <is>
          <t>VIMMERBY</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32651-2023</t>
        </is>
      </c>
      <c r="B804" s="1" t="n">
        <v>45121.6096875</v>
      </c>
      <c r="C804" s="1" t="n">
        <v>45961</v>
      </c>
      <c r="D804" t="inlineStr">
        <is>
          <t>KALMAR LÄN</t>
        </is>
      </c>
      <c r="E804" t="inlineStr">
        <is>
          <t>VIMMERBY</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40730-2024</t>
        </is>
      </c>
      <c r="B805" s="1" t="n">
        <v>45558.44914351852</v>
      </c>
      <c r="C805" s="1" t="n">
        <v>45961</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9643-2023</t>
        </is>
      </c>
      <c r="B806" s="1" t="n">
        <v>44984</v>
      </c>
      <c r="C806" s="1" t="n">
        <v>45961</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56213-2024</t>
        </is>
      </c>
      <c r="B807" s="1" t="n">
        <v>45624.60141203704</v>
      </c>
      <c r="C807" s="1" t="n">
        <v>45961</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20126-2024</t>
        </is>
      </c>
      <c r="B808" s="1" t="n">
        <v>45434.55471064815</v>
      </c>
      <c r="C808" s="1" t="n">
        <v>45961</v>
      </c>
      <c r="D808" t="inlineStr">
        <is>
          <t>KALMAR LÄN</t>
        </is>
      </c>
      <c r="E808" t="inlineStr">
        <is>
          <t>VIMMERBY</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19865-2021</t>
        </is>
      </c>
      <c r="B809" s="1" t="n">
        <v>44312</v>
      </c>
      <c r="C809" s="1" t="n">
        <v>45961</v>
      </c>
      <c r="D809" t="inlineStr">
        <is>
          <t>KALMAR LÄN</t>
        </is>
      </c>
      <c r="E809" t="inlineStr">
        <is>
          <t>VIMMERBY</t>
        </is>
      </c>
      <c r="G809" t="n">
        <v>8.6</v>
      </c>
      <c r="H809" t="n">
        <v>0</v>
      </c>
      <c r="I809" t="n">
        <v>0</v>
      </c>
      <c r="J809" t="n">
        <v>0</v>
      </c>
      <c r="K809" t="n">
        <v>0</v>
      </c>
      <c r="L809" t="n">
        <v>0</v>
      </c>
      <c r="M809" t="n">
        <v>0</v>
      </c>
      <c r="N809" t="n">
        <v>0</v>
      </c>
      <c r="O809" t="n">
        <v>0</v>
      </c>
      <c r="P809" t="n">
        <v>0</v>
      </c>
      <c r="Q809" t="n">
        <v>0</v>
      </c>
      <c r="R809" s="2" t="inlineStr"/>
    </row>
    <row r="810" ht="15" customHeight="1">
      <c r="A810" t="inlineStr">
        <is>
          <t>A 37939-2025</t>
        </is>
      </c>
      <c r="B810" s="1" t="n">
        <v>45881.59877314815</v>
      </c>
      <c r="C810" s="1" t="n">
        <v>45961</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9694-2023</t>
        </is>
      </c>
      <c r="B811" s="1" t="n">
        <v>44984.45895833334</v>
      </c>
      <c r="C811" s="1" t="n">
        <v>45961</v>
      </c>
      <c r="D811" t="inlineStr">
        <is>
          <t>KALMAR LÄN</t>
        </is>
      </c>
      <c r="E811" t="inlineStr">
        <is>
          <t>VIMMERBY</t>
        </is>
      </c>
      <c r="G811" t="n">
        <v>2.1</v>
      </c>
      <c r="H811" t="n">
        <v>0</v>
      </c>
      <c r="I811" t="n">
        <v>0</v>
      </c>
      <c r="J811" t="n">
        <v>0</v>
      </c>
      <c r="K811" t="n">
        <v>0</v>
      </c>
      <c r="L811" t="n">
        <v>0</v>
      </c>
      <c r="M811" t="n">
        <v>0</v>
      </c>
      <c r="N811" t="n">
        <v>0</v>
      </c>
      <c r="O811" t="n">
        <v>0</v>
      </c>
      <c r="P811" t="n">
        <v>0</v>
      </c>
      <c r="Q811" t="n">
        <v>0</v>
      </c>
      <c r="R811" s="2" t="inlineStr"/>
    </row>
    <row r="812" ht="15" customHeight="1">
      <c r="A812" t="inlineStr">
        <is>
          <t>A 9710-2023</t>
        </is>
      </c>
      <c r="B812" s="1" t="n">
        <v>44984</v>
      </c>
      <c r="C812" s="1" t="n">
        <v>45961</v>
      </c>
      <c r="D812" t="inlineStr">
        <is>
          <t>KALMAR LÄN</t>
        </is>
      </c>
      <c r="E812" t="inlineStr">
        <is>
          <t>VIMMERBY</t>
        </is>
      </c>
      <c r="G812" t="n">
        <v>3.7</v>
      </c>
      <c r="H812" t="n">
        <v>0</v>
      </c>
      <c r="I812" t="n">
        <v>0</v>
      </c>
      <c r="J812" t="n">
        <v>0</v>
      </c>
      <c r="K812" t="n">
        <v>0</v>
      </c>
      <c r="L812" t="n">
        <v>0</v>
      </c>
      <c r="M812" t="n">
        <v>0</v>
      </c>
      <c r="N812" t="n">
        <v>0</v>
      </c>
      <c r="O812" t="n">
        <v>0</v>
      </c>
      <c r="P812" t="n">
        <v>0</v>
      </c>
      <c r="Q812" t="n">
        <v>0</v>
      </c>
      <c r="R812" s="2" t="inlineStr"/>
    </row>
    <row r="813" ht="15" customHeight="1">
      <c r="A813" t="inlineStr">
        <is>
          <t>A 6216-2025</t>
        </is>
      </c>
      <c r="B813" s="1" t="n">
        <v>45698.52806712963</v>
      </c>
      <c r="C813" s="1" t="n">
        <v>45961</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47965-2025</t>
        </is>
      </c>
      <c r="B814" s="1" t="n">
        <v>45932.59597222223</v>
      </c>
      <c r="C814" s="1" t="n">
        <v>45961</v>
      </c>
      <c r="D814" t="inlineStr">
        <is>
          <t>KALMAR LÄN</t>
        </is>
      </c>
      <c r="E814" t="inlineStr">
        <is>
          <t>VIMMERBY</t>
        </is>
      </c>
      <c r="G814" t="n">
        <v>2.2</v>
      </c>
      <c r="H814" t="n">
        <v>0</v>
      </c>
      <c r="I814" t="n">
        <v>0</v>
      </c>
      <c r="J814" t="n">
        <v>0</v>
      </c>
      <c r="K814" t="n">
        <v>0</v>
      </c>
      <c r="L814" t="n">
        <v>0</v>
      </c>
      <c r="M814" t="n">
        <v>0</v>
      </c>
      <c r="N814" t="n">
        <v>0</v>
      </c>
      <c r="O814" t="n">
        <v>0</v>
      </c>
      <c r="P814" t="n">
        <v>0</v>
      </c>
      <c r="Q814" t="n">
        <v>0</v>
      </c>
      <c r="R814" s="2" t="inlineStr"/>
    </row>
    <row r="815" ht="15" customHeight="1">
      <c r="A815" t="inlineStr">
        <is>
          <t>A 48600-2025</t>
        </is>
      </c>
      <c r="B815" s="1" t="n">
        <v>45935</v>
      </c>
      <c r="C815" s="1" t="n">
        <v>45961</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39801-2025</t>
        </is>
      </c>
      <c r="B816" s="1" t="n">
        <v>45891.50216435185</v>
      </c>
      <c r="C816" s="1" t="n">
        <v>45961</v>
      </c>
      <c r="D816" t="inlineStr">
        <is>
          <t>KALMAR LÄN</t>
        </is>
      </c>
      <c r="E816" t="inlineStr">
        <is>
          <t>VIMMERBY</t>
        </is>
      </c>
      <c r="G816" t="n">
        <v>2</v>
      </c>
      <c r="H816" t="n">
        <v>0</v>
      </c>
      <c r="I816" t="n">
        <v>0</v>
      </c>
      <c r="J816" t="n">
        <v>0</v>
      </c>
      <c r="K816" t="n">
        <v>0</v>
      </c>
      <c r="L816" t="n">
        <v>0</v>
      </c>
      <c r="M816" t="n">
        <v>0</v>
      </c>
      <c r="N816" t="n">
        <v>0</v>
      </c>
      <c r="O816" t="n">
        <v>0</v>
      </c>
      <c r="P816" t="n">
        <v>0</v>
      </c>
      <c r="Q816" t="n">
        <v>0</v>
      </c>
      <c r="R816" s="2" t="inlineStr"/>
    </row>
    <row r="817" ht="15" customHeight="1">
      <c r="A817" t="inlineStr">
        <is>
          <t>A 39807-2025</t>
        </is>
      </c>
      <c r="B817" s="1" t="n">
        <v>45891.50986111111</v>
      </c>
      <c r="C817" s="1" t="n">
        <v>45961</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48408-2025</t>
        </is>
      </c>
      <c r="B818" s="1" t="n">
        <v>45934.40527777778</v>
      </c>
      <c r="C818" s="1" t="n">
        <v>45961</v>
      </c>
      <c r="D818" t="inlineStr">
        <is>
          <t>KALMAR LÄN</t>
        </is>
      </c>
      <c r="E818" t="inlineStr">
        <is>
          <t>VIMMERBY</t>
        </is>
      </c>
      <c r="G818" t="n">
        <v>2.4</v>
      </c>
      <c r="H818" t="n">
        <v>0</v>
      </c>
      <c r="I818" t="n">
        <v>0</v>
      </c>
      <c r="J818" t="n">
        <v>0</v>
      </c>
      <c r="K818" t="n">
        <v>0</v>
      </c>
      <c r="L818" t="n">
        <v>0</v>
      </c>
      <c r="M818" t="n">
        <v>0</v>
      </c>
      <c r="N818" t="n">
        <v>0</v>
      </c>
      <c r="O818" t="n">
        <v>0</v>
      </c>
      <c r="P818" t="n">
        <v>0</v>
      </c>
      <c r="Q818" t="n">
        <v>0</v>
      </c>
      <c r="R818" s="2" t="inlineStr"/>
    </row>
    <row r="819" ht="15" customHeight="1">
      <c r="A819" t="inlineStr">
        <is>
          <t>A 48409-2025</t>
        </is>
      </c>
      <c r="B819" s="1" t="n">
        <v>45934.41387731482</v>
      </c>
      <c r="C819" s="1" t="n">
        <v>45961</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39736-2025</t>
        </is>
      </c>
      <c r="B820" s="1" t="n">
        <v>45891</v>
      </c>
      <c r="C820" s="1" t="n">
        <v>45961</v>
      </c>
      <c r="D820" t="inlineStr">
        <is>
          <t>KALMAR LÄN</t>
        </is>
      </c>
      <c r="E820" t="inlineStr">
        <is>
          <t>VIMMERBY</t>
        </is>
      </c>
      <c r="G820" t="n">
        <v>12.8</v>
      </c>
      <c r="H820" t="n">
        <v>0</v>
      </c>
      <c r="I820" t="n">
        <v>0</v>
      </c>
      <c r="J820" t="n">
        <v>0</v>
      </c>
      <c r="K820" t="n">
        <v>0</v>
      </c>
      <c r="L820" t="n">
        <v>0</v>
      </c>
      <c r="M820" t="n">
        <v>0</v>
      </c>
      <c r="N820" t="n">
        <v>0</v>
      </c>
      <c r="O820" t="n">
        <v>0</v>
      </c>
      <c r="P820" t="n">
        <v>0</v>
      </c>
      <c r="Q820" t="n">
        <v>0</v>
      </c>
      <c r="R820" s="2" t="inlineStr"/>
    </row>
    <row r="821" ht="15" customHeight="1">
      <c r="A821" t="inlineStr">
        <is>
          <t>A 48723-2025</t>
        </is>
      </c>
      <c r="B821" s="1" t="n">
        <v>45936.65121527778</v>
      </c>
      <c r="C821" s="1" t="n">
        <v>45961</v>
      </c>
      <c r="D821" t="inlineStr">
        <is>
          <t>KALMAR LÄN</t>
        </is>
      </c>
      <c r="E821" t="inlineStr">
        <is>
          <t>VIMMERBY</t>
        </is>
      </c>
      <c r="G821" t="n">
        <v>3</v>
      </c>
      <c r="H821" t="n">
        <v>0</v>
      </c>
      <c r="I821" t="n">
        <v>0</v>
      </c>
      <c r="J821" t="n">
        <v>0</v>
      </c>
      <c r="K821" t="n">
        <v>0</v>
      </c>
      <c r="L821" t="n">
        <v>0</v>
      </c>
      <c r="M821" t="n">
        <v>0</v>
      </c>
      <c r="N821" t="n">
        <v>0</v>
      </c>
      <c r="O821" t="n">
        <v>0</v>
      </c>
      <c r="P821" t="n">
        <v>0</v>
      </c>
      <c r="Q821" t="n">
        <v>0</v>
      </c>
      <c r="R821" s="2" t="inlineStr"/>
    </row>
    <row r="822" ht="15" customHeight="1">
      <c r="A822" t="inlineStr">
        <is>
          <t>A 48712-2025</t>
        </is>
      </c>
      <c r="B822" s="1" t="n">
        <v>45936.63373842592</v>
      </c>
      <c r="C822" s="1" t="n">
        <v>45961</v>
      </c>
      <c r="D822" t="inlineStr">
        <is>
          <t>KALMAR LÄN</t>
        </is>
      </c>
      <c r="E822" t="inlineStr">
        <is>
          <t>VIMMERBY</t>
        </is>
      </c>
      <c r="G822" t="n">
        <v>3</v>
      </c>
      <c r="H822" t="n">
        <v>0</v>
      </c>
      <c r="I822" t="n">
        <v>0</v>
      </c>
      <c r="J822" t="n">
        <v>0</v>
      </c>
      <c r="K822" t="n">
        <v>0</v>
      </c>
      <c r="L822" t="n">
        <v>0</v>
      </c>
      <c r="M822" t="n">
        <v>0</v>
      </c>
      <c r="N822" t="n">
        <v>0</v>
      </c>
      <c r="O822" t="n">
        <v>0</v>
      </c>
      <c r="P822" t="n">
        <v>0</v>
      </c>
      <c r="Q822" t="n">
        <v>0</v>
      </c>
      <c r="R822" s="2" t="inlineStr"/>
    </row>
    <row r="823" ht="15" customHeight="1">
      <c r="A823" t="inlineStr">
        <is>
          <t>A 39803-2025</t>
        </is>
      </c>
      <c r="B823" s="1" t="n">
        <v>45891.50525462963</v>
      </c>
      <c r="C823" s="1" t="n">
        <v>45961</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39889-2025</t>
        </is>
      </c>
      <c r="B824" s="1" t="n">
        <v>45891</v>
      </c>
      <c r="C824" s="1" t="n">
        <v>45961</v>
      </c>
      <c r="D824" t="inlineStr">
        <is>
          <t>KALMAR LÄN</t>
        </is>
      </c>
      <c r="E824" t="inlineStr">
        <is>
          <t>VIMMERBY</t>
        </is>
      </c>
      <c r="G824" t="n">
        <v>4.5</v>
      </c>
      <c r="H824" t="n">
        <v>0</v>
      </c>
      <c r="I824" t="n">
        <v>0</v>
      </c>
      <c r="J824" t="n">
        <v>0</v>
      </c>
      <c r="K824" t="n">
        <v>0</v>
      </c>
      <c r="L824" t="n">
        <v>0</v>
      </c>
      <c r="M824" t="n">
        <v>0</v>
      </c>
      <c r="N824" t="n">
        <v>0</v>
      </c>
      <c r="O824" t="n">
        <v>0</v>
      </c>
      <c r="P824" t="n">
        <v>0</v>
      </c>
      <c r="Q824" t="n">
        <v>0</v>
      </c>
      <c r="R824" s="2" t="inlineStr"/>
    </row>
    <row r="825" ht="15" customHeight="1">
      <c r="A825" t="inlineStr">
        <is>
          <t>A 48299-2025</t>
        </is>
      </c>
      <c r="B825" s="1" t="n">
        <v>45933.60982638889</v>
      </c>
      <c r="C825" s="1" t="n">
        <v>45961</v>
      </c>
      <c r="D825" t="inlineStr">
        <is>
          <t>KALMAR LÄN</t>
        </is>
      </c>
      <c r="E825" t="inlineStr">
        <is>
          <t>VIMMERBY</t>
        </is>
      </c>
      <c r="G825" t="n">
        <v>1.8</v>
      </c>
      <c r="H825" t="n">
        <v>0</v>
      </c>
      <c r="I825" t="n">
        <v>0</v>
      </c>
      <c r="J825" t="n">
        <v>0</v>
      </c>
      <c r="K825" t="n">
        <v>0</v>
      </c>
      <c r="L825" t="n">
        <v>0</v>
      </c>
      <c r="M825" t="n">
        <v>0</v>
      </c>
      <c r="N825" t="n">
        <v>0</v>
      </c>
      <c r="O825" t="n">
        <v>0</v>
      </c>
      <c r="P825" t="n">
        <v>0</v>
      </c>
      <c r="Q825" t="n">
        <v>0</v>
      </c>
      <c r="R825" s="2" t="inlineStr"/>
    </row>
    <row r="826" ht="15" customHeight="1">
      <c r="A826" t="inlineStr">
        <is>
          <t>A 40970-2025</t>
        </is>
      </c>
      <c r="B826" s="1" t="n">
        <v>45897.88706018519</v>
      </c>
      <c r="C826" s="1" t="n">
        <v>45961</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40973-2025</t>
        </is>
      </c>
      <c r="B827" s="1" t="n">
        <v>45897.89737268518</v>
      </c>
      <c r="C827" s="1" t="n">
        <v>45961</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41224-2025</t>
        </is>
      </c>
      <c r="B828" s="1" t="n">
        <v>45898.58861111111</v>
      </c>
      <c r="C828" s="1" t="n">
        <v>45961</v>
      </c>
      <c r="D828" t="inlineStr">
        <is>
          <t>KALMAR LÄN</t>
        </is>
      </c>
      <c r="E828" t="inlineStr">
        <is>
          <t>VIMMERBY</t>
        </is>
      </c>
      <c r="G828" t="n">
        <v>4.4</v>
      </c>
      <c r="H828" t="n">
        <v>0</v>
      </c>
      <c r="I828" t="n">
        <v>0</v>
      </c>
      <c r="J828" t="n">
        <v>0</v>
      </c>
      <c r="K828" t="n">
        <v>0</v>
      </c>
      <c r="L828" t="n">
        <v>0</v>
      </c>
      <c r="M828" t="n">
        <v>0</v>
      </c>
      <c r="N828" t="n">
        <v>0</v>
      </c>
      <c r="O828" t="n">
        <v>0</v>
      </c>
      <c r="P828" t="n">
        <v>0</v>
      </c>
      <c r="Q828" t="n">
        <v>0</v>
      </c>
      <c r="R828" s="2" t="inlineStr"/>
    </row>
    <row r="829" ht="15" customHeight="1">
      <c r="A829" t="inlineStr">
        <is>
          <t>A 49871-2025</t>
        </is>
      </c>
      <c r="B829" s="1" t="n">
        <v>45940.54104166666</v>
      </c>
      <c r="C829" s="1" t="n">
        <v>45961</v>
      </c>
      <c r="D829" t="inlineStr">
        <is>
          <t>KALMAR LÄN</t>
        </is>
      </c>
      <c r="E829" t="inlineStr">
        <is>
          <t>VIMMERBY</t>
        </is>
      </c>
      <c r="G829" t="n">
        <v>0.6</v>
      </c>
      <c r="H829" t="n">
        <v>0</v>
      </c>
      <c r="I829" t="n">
        <v>0</v>
      </c>
      <c r="J829" t="n">
        <v>0</v>
      </c>
      <c r="K829" t="n">
        <v>0</v>
      </c>
      <c r="L829" t="n">
        <v>0</v>
      </c>
      <c r="M829" t="n">
        <v>0</v>
      </c>
      <c r="N829" t="n">
        <v>0</v>
      </c>
      <c r="O829" t="n">
        <v>0</v>
      </c>
      <c r="P829" t="n">
        <v>0</v>
      </c>
      <c r="Q829" t="n">
        <v>0</v>
      </c>
      <c r="R829" s="2" t="inlineStr"/>
    </row>
    <row r="830" ht="15" customHeight="1">
      <c r="A830" t="inlineStr">
        <is>
          <t>A 40925-2025</t>
        </is>
      </c>
      <c r="B830" s="1" t="n">
        <v>45897.64208333333</v>
      </c>
      <c r="C830" s="1" t="n">
        <v>45961</v>
      </c>
      <c r="D830" t="inlineStr">
        <is>
          <t>KALMAR LÄN</t>
        </is>
      </c>
      <c r="E830" t="inlineStr">
        <is>
          <t>VIMMERBY</t>
        </is>
      </c>
      <c r="G830" t="n">
        <v>1.9</v>
      </c>
      <c r="H830" t="n">
        <v>0</v>
      </c>
      <c r="I830" t="n">
        <v>0</v>
      </c>
      <c r="J830" t="n">
        <v>0</v>
      </c>
      <c r="K830" t="n">
        <v>0</v>
      </c>
      <c r="L830" t="n">
        <v>0</v>
      </c>
      <c r="M830" t="n">
        <v>0</v>
      </c>
      <c r="N830" t="n">
        <v>0</v>
      </c>
      <c r="O830" t="n">
        <v>0</v>
      </c>
      <c r="P830" t="n">
        <v>0</v>
      </c>
      <c r="Q830" t="n">
        <v>0</v>
      </c>
      <c r="R830" s="2" t="inlineStr"/>
    </row>
    <row r="831" ht="15" customHeight="1">
      <c r="A831" t="inlineStr">
        <is>
          <t>A 45855-2025</t>
        </is>
      </c>
      <c r="B831" s="1" t="n">
        <v>45923</v>
      </c>
      <c r="C831" s="1" t="n">
        <v>45961</v>
      </c>
      <c r="D831" t="inlineStr">
        <is>
          <t>KALMAR LÄN</t>
        </is>
      </c>
      <c r="E831" t="inlineStr">
        <is>
          <t>VIMMERBY</t>
        </is>
      </c>
      <c r="G831" t="n">
        <v>1.4</v>
      </c>
      <c r="H831" t="n">
        <v>0</v>
      </c>
      <c r="I831" t="n">
        <v>0</v>
      </c>
      <c r="J831" t="n">
        <v>0</v>
      </c>
      <c r="K831" t="n">
        <v>0</v>
      </c>
      <c r="L831" t="n">
        <v>0</v>
      </c>
      <c r="M831" t="n">
        <v>0</v>
      </c>
      <c r="N831" t="n">
        <v>0</v>
      </c>
      <c r="O831" t="n">
        <v>0</v>
      </c>
      <c r="P831" t="n">
        <v>0</v>
      </c>
      <c r="Q831" t="n">
        <v>0</v>
      </c>
      <c r="R831" s="2" t="inlineStr"/>
    </row>
    <row r="832" ht="15" customHeight="1">
      <c r="A832" t="inlineStr">
        <is>
          <t>A 40921-2025</t>
        </is>
      </c>
      <c r="B832" s="1" t="n">
        <v>45897.63520833333</v>
      </c>
      <c r="C832" s="1" t="n">
        <v>45961</v>
      </c>
      <c r="D832" t="inlineStr">
        <is>
          <t>KALMAR LÄN</t>
        </is>
      </c>
      <c r="E832" t="inlineStr">
        <is>
          <t>VIMMERBY</t>
        </is>
      </c>
      <c r="G832" t="n">
        <v>4.2</v>
      </c>
      <c r="H832" t="n">
        <v>0</v>
      </c>
      <c r="I832" t="n">
        <v>0</v>
      </c>
      <c r="J832" t="n">
        <v>0</v>
      </c>
      <c r="K832" t="n">
        <v>0</v>
      </c>
      <c r="L832" t="n">
        <v>0</v>
      </c>
      <c r="M832" t="n">
        <v>0</v>
      </c>
      <c r="N832" t="n">
        <v>0</v>
      </c>
      <c r="O832" t="n">
        <v>0</v>
      </c>
      <c r="P832" t="n">
        <v>0</v>
      </c>
      <c r="Q832" t="n">
        <v>0</v>
      </c>
      <c r="R832" s="2" t="inlineStr"/>
    </row>
    <row r="833" ht="15" customHeight="1">
      <c r="A833" t="inlineStr">
        <is>
          <t>A 40971-2025</t>
        </is>
      </c>
      <c r="B833" s="1" t="n">
        <v>45897.88836805556</v>
      </c>
      <c r="C833" s="1" t="n">
        <v>45961</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41591-2025</t>
        </is>
      </c>
      <c r="B834" s="1" t="n">
        <v>45901.6327662037</v>
      </c>
      <c r="C834" s="1" t="n">
        <v>45961</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41589-2025</t>
        </is>
      </c>
      <c r="B835" s="1" t="n">
        <v>45901.63219907408</v>
      </c>
      <c r="C835" s="1" t="n">
        <v>45961</v>
      </c>
      <c r="D835" t="inlineStr">
        <is>
          <t>KALMAR LÄN</t>
        </is>
      </c>
      <c r="E835" t="inlineStr">
        <is>
          <t>VIMMERBY</t>
        </is>
      </c>
      <c r="G835" t="n">
        <v>1.7</v>
      </c>
      <c r="H835" t="n">
        <v>0</v>
      </c>
      <c r="I835" t="n">
        <v>0</v>
      </c>
      <c r="J835" t="n">
        <v>0</v>
      </c>
      <c r="K835" t="n">
        <v>0</v>
      </c>
      <c r="L835" t="n">
        <v>0</v>
      </c>
      <c r="M835" t="n">
        <v>0</v>
      </c>
      <c r="N835" t="n">
        <v>0</v>
      </c>
      <c r="O835" t="n">
        <v>0</v>
      </c>
      <c r="P835" t="n">
        <v>0</v>
      </c>
      <c r="Q835" t="n">
        <v>0</v>
      </c>
      <c r="R835" s="2" t="inlineStr"/>
    </row>
    <row r="836" ht="15" customHeight="1">
      <c r="A836" t="inlineStr">
        <is>
          <t>A 50324-2025</t>
        </is>
      </c>
      <c r="B836" s="1" t="n">
        <v>45944.45962962963</v>
      </c>
      <c r="C836" s="1" t="n">
        <v>45961</v>
      </c>
      <c r="D836" t="inlineStr">
        <is>
          <t>KALMAR LÄN</t>
        </is>
      </c>
      <c r="E836" t="inlineStr">
        <is>
          <t>VIMMERBY</t>
        </is>
      </c>
      <c r="G836" t="n">
        <v>2.1</v>
      </c>
      <c r="H836" t="n">
        <v>0</v>
      </c>
      <c r="I836" t="n">
        <v>0</v>
      </c>
      <c r="J836" t="n">
        <v>0</v>
      </c>
      <c r="K836" t="n">
        <v>0</v>
      </c>
      <c r="L836" t="n">
        <v>0</v>
      </c>
      <c r="M836" t="n">
        <v>0</v>
      </c>
      <c r="N836" t="n">
        <v>0</v>
      </c>
      <c r="O836" t="n">
        <v>0</v>
      </c>
      <c r="P836" t="n">
        <v>0</v>
      </c>
      <c r="Q836" t="n">
        <v>0</v>
      </c>
      <c r="R836" s="2" t="inlineStr"/>
    </row>
    <row r="837" ht="15" customHeight="1">
      <c r="A837" t="inlineStr">
        <is>
          <t>A 34090-2025</t>
        </is>
      </c>
      <c r="B837" s="1" t="n">
        <v>45845</v>
      </c>
      <c r="C837" s="1" t="n">
        <v>45961</v>
      </c>
      <c r="D837" t="inlineStr">
        <is>
          <t>KALMAR LÄN</t>
        </is>
      </c>
      <c r="E837" t="inlineStr">
        <is>
          <t>VIMMERBY</t>
        </is>
      </c>
      <c r="G837" t="n">
        <v>2.8</v>
      </c>
      <c r="H837" t="n">
        <v>0</v>
      </c>
      <c r="I837" t="n">
        <v>0</v>
      </c>
      <c r="J837" t="n">
        <v>0</v>
      </c>
      <c r="K837" t="n">
        <v>0</v>
      </c>
      <c r="L837" t="n">
        <v>0</v>
      </c>
      <c r="M837" t="n">
        <v>0</v>
      </c>
      <c r="N837" t="n">
        <v>0</v>
      </c>
      <c r="O837" t="n">
        <v>0</v>
      </c>
      <c r="P837" t="n">
        <v>0</v>
      </c>
      <c r="Q837" t="n">
        <v>0</v>
      </c>
      <c r="R837" s="2" t="inlineStr"/>
    </row>
    <row r="838" ht="15" customHeight="1">
      <c r="A838" t="inlineStr">
        <is>
          <t>A 41735-2025</t>
        </is>
      </c>
      <c r="B838" s="1" t="n">
        <v>45902.47164351852</v>
      </c>
      <c r="C838" s="1" t="n">
        <v>45961</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50544-2025</t>
        </is>
      </c>
      <c r="B839" s="1" t="n">
        <v>45945.50736111111</v>
      </c>
      <c r="C839" s="1" t="n">
        <v>45961</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42828-2025</t>
        </is>
      </c>
      <c r="B840" s="1" t="n">
        <v>45908.57716435185</v>
      </c>
      <c r="C840" s="1" t="n">
        <v>45961</v>
      </c>
      <c r="D840" t="inlineStr">
        <is>
          <t>KALMAR LÄN</t>
        </is>
      </c>
      <c r="E840" t="inlineStr">
        <is>
          <t>VIMMERBY</t>
        </is>
      </c>
      <c r="G840" t="n">
        <v>5.2</v>
      </c>
      <c r="H840" t="n">
        <v>0</v>
      </c>
      <c r="I840" t="n">
        <v>0</v>
      </c>
      <c r="J840" t="n">
        <v>0</v>
      </c>
      <c r="K840" t="n">
        <v>0</v>
      </c>
      <c r="L840" t="n">
        <v>0</v>
      </c>
      <c r="M840" t="n">
        <v>0</v>
      </c>
      <c r="N840" t="n">
        <v>0</v>
      </c>
      <c r="O840" t="n">
        <v>0</v>
      </c>
      <c r="P840" t="n">
        <v>0</v>
      </c>
      <c r="Q840" t="n">
        <v>0</v>
      </c>
      <c r="R840" s="2" t="inlineStr"/>
    </row>
    <row r="841" ht="15" customHeight="1">
      <c r="A841" t="inlineStr">
        <is>
          <t>A 42794-2025</t>
        </is>
      </c>
      <c r="B841" s="1" t="n">
        <v>45908</v>
      </c>
      <c r="C841" s="1" t="n">
        <v>45961</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51062-2025</t>
        </is>
      </c>
      <c r="B842" s="1" t="n">
        <v>45947.44685185186</v>
      </c>
      <c r="C842" s="1" t="n">
        <v>45961</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42820-2025</t>
        </is>
      </c>
      <c r="B843" s="1" t="n">
        <v>45908</v>
      </c>
      <c r="C843" s="1" t="n">
        <v>45961</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34060-2025</t>
        </is>
      </c>
      <c r="B844" s="1" t="n">
        <v>45845.42015046296</v>
      </c>
      <c r="C844" s="1" t="n">
        <v>45961</v>
      </c>
      <c r="D844" t="inlineStr">
        <is>
          <t>KALMAR LÄN</t>
        </is>
      </c>
      <c r="E844" t="inlineStr">
        <is>
          <t>VIMMERBY</t>
        </is>
      </c>
      <c r="G844" t="n">
        <v>5.7</v>
      </c>
      <c r="H844" t="n">
        <v>0</v>
      </c>
      <c r="I844" t="n">
        <v>0</v>
      </c>
      <c r="J844" t="n">
        <v>0</v>
      </c>
      <c r="K844" t="n">
        <v>0</v>
      </c>
      <c r="L844" t="n">
        <v>0</v>
      </c>
      <c r="M844" t="n">
        <v>0</v>
      </c>
      <c r="N844" t="n">
        <v>0</v>
      </c>
      <c r="O844" t="n">
        <v>0</v>
      </c>
      <c r="P844" t="n">
        <v>0</v>
      </c>
      <c r="Q844" t="n">
        <v>0</v>
      </c>
      <c r="R844" s="2" t="inlineStr"/>
    </row>
    <row r="845" ht="15" customHeight="1">
      <c r="A845" t="inlineStr">
        <is>
          <t>A 51990-2025</t>
        </is>
      </c>
      <c r="B845" s="1" t="n">
        <v>45952.58061342593</v>
      </c>
      <c r="C845" s="1" t="n">
        <v>45961</v>
      </c>
      <c r="D845" t="inlineStr">
        <is>
          <t>KALMAR LÄN</t>
        </is>
      </c>
      <c r="E845" t="inlineStr">
        <is>
          <t>VIMMERBY</t>
        </is>
      </c>
      <c r="G845" t="n">
        <v>2.4</v>
      </c>
      <c r="H845" t="n">
        <v>0</v>
      </c>
      <c r="I845" t="n">
        <v>0</v>
      </c>
      <c r="J845" t="n">
        <v>0</v>
      </c>
      <c r="K845" t="n">
        <v>0</v>
      </c>
      <c r="L845" t="n">
        <v>0</v>
      </c>
      <c r="M845" t="n">
        <v>0</v>
      </c>
      <c r="N845" t="n">
        <v>0</v>
      </c>
      <c r="O845" t="n">
        <v>0</v>
      </c>
      <c r="P845" t="n">
        <v>0</v>
      </c>
      <c r="Q845" t="n">
        <v>0</v>
      </c>
      <c r="R845" s="2" t="inlineStr"/>
    </row>
    <row r="846" ht="15" customHeight="1">
      <c r="A846" t="inlineStr">
        <is>
          <t>A 51993-2025</t>
        </is>
      </c>
      <c r="B846" s="1" t="n">
        <v>45952.58194444444</v>
      </c>
      <c r="C846" s="1" t="n">
        <v>45961</v>
      </c>
      <c r="D846" t="inlineStr">
        <is>
          <t>KALMAR LÄN</t>
        </is>
      </c>
      <c r="E846" t="inlineStr">
        <is>
          <t>VIMMERBY</t>
        </is>
      </c>
      <c r="G846" t="n">
        <v>2.8</v>
      </c>
      <c r="H846" t="n">
        <v>0</v>
      </c>
      <c r="I846" t="n">
        <v>0</v>
      </c>
      <c r="J846" t="n">
        <v>0</v>
      </c>
      <c r="K846" t="n">
        <v>0</v>
      </c>
      <c r="L846" t="n">
        <v>0</v>
      </c>
      <c r="M846" t="n">
        <v>0</v>
      </c>
      <c r="N846" t="n">
        <v>0</v>
      </c>
      <c r="O846" t="n">
        <v>0</v>
      </c>
      <c r="P846" t="n">
        <v>0</v>
      </c>
      <c r="Q846" t="n">
        <v>0</v>
      </c>
      <c r="R846" s="2" t="inlineStr"/>
    </row>
    <row r="847" ht="15" customHeight="1">
      <c r="A847" t="inlineStr">
        <is>
          <t>A 43617-2025</t>
        </is>
      </c>
      <c r="B847" s="1" t="n">
        <v>45911.67798611111</v>
      </c>
      <c r="C847" s="1" t="n">
        <v>45961</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52465-2025</t>
        </is>
      </c>
      <c r="B848" s="1" t="n">
        <v>45954.44543981482</v>
      </c>
      <c r="C848" s="1" t="n">
        <v>45961</v>
      </c>
      <c r="D848" t="inlineStr">
        <is>
          <t>KALMAR LÄN</t>
        </is>
      </c>
      <c r="E848" t="inlineStr">
        <is>
          <t>VIMMERBY</t>
        </is>
      </c>
      <c r="G848" t="n">
        <v>0.9</v>
      </c>
      <c r="H848" t="n">
        <v>0</v>
      </c>
      <c r="I848" t="n">
        <v>0</v>
      </c>
      <c r="J848" t="n">
        <v>0</v>
      </c>
      <c r="K848" t="n">
        <v>0</v>
      </c>
      <c r="L848" t="n">
        <v>0</v>
      </c>
      <c r="M848" t="n">
        <v>0</v>
      </c>
      <c r="N848" t="n">
        <v>0</v>
      </c>
      <c r="O848" t="n">
        <v>0</v>
      </c>
      <c r="P848" t="n">
        <v>0</v>
      </c>
      <c r="Q848" t="n">
        <v>0</v>
      </c>
      <c r="R848" s="2" t="inlineStr"/>
    </row>
    <row r="849" ht="15" customHeight="1">
      <c r="A849" t="inlineStr">
        <is>
          <t>A 52451-2025</t>
        </is>
      </c>
      <c r="B849" s="1" t="n">
        <v>45954.42326388889</v>
      </c>
      <c r="C849" s="1" t="n">
        <v>45961</v>
      </c>
      <c r="D849" t="inlineStr">
        <is>
          <t>KALMAR LÄN</t>
        </is>
      </c>
      <c r="E849" t="inlineStr">
        <is>
          <t>VIMMERBY</t>
        </is>
      </c>
      <c r="G849" t="n">
        <v>2.8</v>
      </c>
      <c r="H849" t="n">
        <v>0</v>
      </c>
      <c r="I849" t="n">
        <v>0</v>
      </c>
      <c r="J849" t="n">
        <v>0</v>
      </c>
      <c r="K849" t="n">
        <v>0</v>
      </c>
      <c r="L849" t="n">
        <v>0</v>
      </c>
      <c r="M849" t="n">
        <v>0</v>
      </c>
      <c r="N849" t="n">
        <v>0</v>
      </c>
      <c r="O849" t="n">
        <v>0</v>
      </c>
      <c r="P849" t="n">
        <v>0</v>
      </c>
      <c r="Q849" t="n">
        <v>0</v>
      </c>
      <c r="R849" s="2" t="inlineStr"/>
    </row>
    <row r="850" ht="15" customHeight="1">
      <c r="A850" t="inlineStr">
        <is>
          <t>A 43465-2025</t>
        </is>
      </c>
      <c r="B850" s="1" t="n">
        <v>45911.47138888889</v>
      </c>
      <c r="C850" s="1" t="n">
        <v>45961</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52473-2025</t>
        </is>
      </c>
      <c r="B851" s="1" t="n">
        <v>45954.45947916667</v>
      </c>
      <c r="C851" s="1" t="n">
        <v>45961</v>
      </c>
      <c r="D851" t="inlineStr">
        <is>
          <t>KALMAR LÄN</t>
        </is>
      </c>
      <c r="E851" t="inlineStr">
        <is>
          <t>VIMMERBY</t>
        </is>
      </c>
      <c r="G851" t="n">
        <v>2.4</v>
      </c>
      <c r="H851" t="n">
        <v>0</v>
      </c>
      <c r="I851" t="n">
        <v>0</v>
      </c>
      <c r="J851" t="n">
        <v>0</v>
      </c>
      <c r="K851" t="n">
        <v>0</v>
      </c>
      <c r="L851" t="n">
        <v>0</v>
      </c>
      <c r="M851" t="n">
        <v>0</v>
      </c>
      <c r="N851" t="n">
        <v>0</v>
      </c>
      <c r="O851" t="n">
        <v>0</v>
      </c>
      <c r="P851" t="n">
        <v>0</v>
      </c>
      <c r="Q851" t="n">
        <v>0</v>
      </c>
      <c r="R851" s="2" t="inlineStr"/>
    </row>
    <row r="852" ht="15" customHeight="1">
      <c r="A852" t="inlineStr">
        <is>
          <t>A 52480-2025</t>
        </is>
      </c>
      <c r="B852" s="1" t="n">
        <v>45954.47172453703</v>
      </c>
      <c r="C852" s="1" t="n">
        <v>45961</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52466-2025</t>
        </is>
      </c>
      <c r="B853" s="1" t="n">
        <v>45954.44707175926</v>
      </c>
      <c r="C853" s="1" t="n">
        <v>45961</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52475-2025</t>
        </is>
      </c>
      <c r="B854" s="1" t="n">
        <v>45954.468125</v>
      </c>
      <c r="C854" s="1" t="n">
        <v>45961</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52516-2025</t>
        </is>
      </c>
      <c r="B855" s="1" t="n">
        <v>45954.51412037037</v>
      </c>
      <c r="C855" s="1" t="n">
        <v>45961</v>
      </c>
      <c r="D855" t="inlineStr">
        <is>
          <t>KALMAR LÄN</t>
        </is>
      </c>
      <c r="E855" t="inlineStr">
        <is>
          <t>VIMMERBY</t>
        </is>
      </c>
      <c r="G855" t="n">
        <v>2.8</v>
      </c>
      <c r="H855" t="n">
        <v>0</v>
      </c>
      <c r="I855" t="n">
        <v>0</v>
      </c>
      <c r="J855" t="n">
        <v>0</v>
      </c>
      <c r="K855" t="n">
        <v>0</v>
      </c>
      <c r="L855" t="n">
        <v>0</v>
      </c>
      <c r="M855" t="n">
        <v>0</v>
      </c>
      <c r="N855" t="n">
        <v>0</v>
      </c>
      <c r="O855" t="n">
        <v>0</v>
      </c>
      <c r="P855" t="n">
        <v>0</v>
      </c>
      <c r="Q855" t="n">
        <v>0</v>
      </c>
      <c r="R855" s="2" t="inlineStr"/>
    </row>
    <row r="856" ht="15" customHeight="1">
      <c r="A856" t="inlineStr">
        <is>
          <t>A 44329-2025</t>
        </is>
      </c>
      <c r="B856" s="1" t="n">
        <v>45916.41019675926</v>
      </c>
      <c r="C856" s="1" t="n">
        <v>45961</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44517-2025</t>
        </is>
      </c>
      <c r="B857" s="1" t="n">
        <v>45916.7103587963</v>
      </c>
      <c r="C857" s="1" t="n">
        <v>45961</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53220-2025</t>
        </is>
      </c>
      <c r="B858" s="1" t="n">
        <v>45958.60146990741</v>
      </c>
      <c r="C858" s="1" t="n">
        <v>45961</v>
      </c>
      <c r="D858" t="inlineStr">
        <is>
          <t>KALMAR LÄN</t>
        </is>
      </c>
      <c r="E858" t="inlineStr">
        <is>
          <t>VIMMERBY</t>
        </is>
      </c>
      <c r="G858" t="n">
        <v>2.2</v>
      </c>
      <c r="H858" t="n">
        <v>0</v>
      </c>
      <c r="I858" t="n">
        <v>0</v>
      </c>
      <c r="J858" t="n">
        <v>0</v>
      </c>
      <c r="K858" t="n">
        <v>0</v>
      </c>
      <c r="L858" t="n">
        <v>0</v>
      </c>
      <c r="M858" t="n">
        <v>0</v>
      </c>
      <c r="N858" t="n">
        <v>0</v>
      </c>
      <c r="O858" t="n">
        <v>0</v>
      </c>
      <c r="P858" t="n">
        <v>0</v>
      </c>
      <c r="Q858" t="n">
        <v>0</v>
      </c>
      <c r="R858" s="2" t="inlineStr"/>
    </row>
    <row r="859" ht="15" customHeight="1">
      <c r="A859" t="inlineStr">
        <is>
          <t>A 44091-2025</t>
        </is>
      </c>
      <c r="B859" s="1" t="n">
        <v>45915.55950231481</v>
      </c>
      <c r="C859" s="1" t="n">
        <v>45961</v>
      </c>
      <c r="D859" t="inlineStr">
        <is>
          <t>KALMAR LÄN</t>
        </is>
      </c>
      <c r="E859" t="inlineStr">
        <is>
          <t>VIMMERBY</t>
        </is>
      </c>
      <c r="G859" t="n">
        <v>0.8</v>
      </c>
      <c r="H859" t="n">
        <v>0</v>
      </c>
      <c r="I859" t="n">
        <v>0</v>
      </c>
      <c r="J859" t="n">
        <v>0</v>
      </c>
      <c r="K859" t="n">
        <v>0</v>
      </c>
      <c r="L859" t="n">
        <v>0</v>
      </c>
      <c r="M859" t="n">
        <v>0</v>
      </c>
      <c r="N859" t="n">
        <v>0</v>
      </c>
      <c r="O859" t="n">
        <v>0</v>
      </c>
      <c r="P859" t="n">
        <v>0</v>
      </c>
      <c r="Q859" t="n">
        <v>0</v>
      </c>
      <c r="R859" s="2" t="inlineStr"/>
    </row>
    <row r="860" ht="15" customHeight="1">
      <c r="A860" t="inlineStr">
        <is>
          <t>A 44095-2025</t>
        </is>
      </c>
      <c r="B860" s="1" t="n">
        <v>45915.56430555556</v>
      </c>
      <c r="C860" s="1" t="n">
        <v>45961</v>
      </c>
      <c r="D860" t="inlineStr">
        <is>
          <t>KALMAR LÄN</t>
        </is>
      </c>
      <c r="E860" t="inlineStr">
        <is>
          <t>VIMMERBY</t>
        </is>
      </c>
      <c r="G860" t="n">
        <v>2.4</v>
      </c>
      <c r="H860" t="n">
        <v>0</v>
      </c>
      <c r="I860" t="n">
        <v>0</v>
      </c>
      <c r="J860" t="n">
        <v>0</v>
      </c>
      <c r="K860" t="n">
        <v>0</v>
      </c>
      <c r="L860" t="n">
        <v>0</v>
      </c>
      <c r="M860" t="n">
        <v>0</v>
      </c>
      <c r="N860" t="n">
        <v>0</v>
      </c>
      <c r="O860" t="n">
        <v>0</v>
      </c>
      <c r="P860" t="n">
        <v>0</v>
      </c>
      <c r="Q860" t="n">
        <v>0</v>
      </c>
      <c r="R860" s="2" t="inlineStr"/>
    </row>
    <row r="861" ht="15" customHeight="1">
      <c r="A861" t="inlineStr">
        <is>
          <t>A 53404-2025</t>
        </is>
      </c>
      <c r="B861" s="1" t="n">
        <v>45959.57126157408</v>
      </c>
      <c r="C861" s="1" t="n">
        <v>45961</v>
      </c>
      <c r="D861" t="inlineStr">
        <is>
          <t>KALMAR LÄN</t>
        </is>
      </c>
      <c r="E861" t="inlineStr">
        <is>
          <t>VIMMERBY</t>
        </is>
      </c>
      <c r="G861" t="n">
        <v>6.4</v>
      </c>
      <c r="H861" t="n">
        <v>0</v>
      </c>
      <c r="I861" t="n">
        <v>0</v>
      </c>
      <c r="J861" t="n">
        <v>0</v>
      </c>
      <c r="K861" t="n">
        <v>0</v>
      </c>
      <c r="L861" t="n">
        <v>0</v>
      </c>
      <c r="M861" t="n">
        <v>0</v>
      </c>
      <c r="N861" t="n">
        <v>0</v>
      </c>
      <c r="O861" t="n">
        <v>0</v>
      </c>
      <c r="P861" t="n">
        <v>0</v>
      </c>
      <c r="Q861" t="n">
        <v>0</v>
      </c>
      <c r="R861" s="2" t="inlineStr"/>
    </row>
    <row r="862" ht="15" customHeight="1">
      <c r="A862" t="inlineStr">
        <is>
          <t>A 44742-2025</t>
        </is>
      </c>
      <c r="B862" s="1" t="n">
        <v>45917.67054398148</v>
      </c>
      <c r="C862" s="1" t="n">
        <v>45961</v>
      </c>
      <c r="D862" t="inlineStr">
        <is>
          <t>KALMAR LÄN</t>
        </is>
      </c>
      <c r="E862" t="inlineStr">
        <is>
          <t>VIMMERBY</t>
        </is>
      </c>
      <c r="G862" t="n">
        <v>4.7</v>
      </c>
      <c r="H862" t="n">
        <v>0</v>
      </c>
      <c r="I862" t="n">
        <v>0</v>
      </c>
      <c r="J862" t="n">
        <v>0</v>
      </c>
      <c r="K862" t="n">
        <v>0</v>
      </c>
      <c r="L862" t="n">
        <v>0</v>
      </c>
      <c r="M862" t="n">
        <v>0</v>
      </c>
      <c r="N862" t="n">
        <v>0</v>
      </c>
      <c r="O862" t="n">
        <v>0</v>
      </c>
      <c r="P862" t="n">
        <v>0</v>
      </c>
      <c r="Q862" t="n">
        <v>0</v>
      </c>
      <c r="R862" s="2" t="inlineStr"/>
    </row>
    <row r="863" ht="15" customHeight="1">
      <c r="A863" t="inlineStr">
        <is>
          <t>A 53397-2025</t>
        </is>
      </c>
      <c r="B863" s="1" t="n">
        <v>45959.55918981481</v>
      </c>
      <c r="C863" s="1" t="n">
        <v>45961</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53413-2025</t>
        </is>
      </c>
      <c r="B864" s="1" t="n">
        <v>45959.5787037037</v>
      </c>
      <c r="C864" s="1" t="n">
        <v>45961</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52138-2025</t>
        </is>
      </c>
      <c r="B865" s="1" t="n">
        <v>45953</v>
      </c>
      <c r="C865" s="1" t="n">
        <v>45961</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41896-2025</t>
        </is>
      </c>
      <c r="B866" s="1" t="n">
        <v>45903.38800925926</v>
      </c>
      <c r="C866" s="1" t="n">
        <v>45961</v>
      </c>
      <c r="D866" t="inlineStr">
        <is>
          <t>KALMAR LÄN</t>
        </is>
      </c>
      <c r="E866" t="inlineStr">
        <is>
          <t>VIMMERBY</t>
        </is>
      </c>
      <c r="G866" t="n">
        <v>2.9</v>
      </c>
      <c r="H866" t="n">
        <v>0</v>
      </c>
      <c r="I866" t="n">
        <v>0</v>
      </c>
      <c r="J866" t="n">
        <v>0</v>
      </c>
      <c r="K866" t="n">
        <v>0</v>
      </c>
      <c r="L866" t="n">
        <v>0</v>
      </c>
      <c r="M866" t="n">
        <v>0</v>
      </c>
      <c r="N866" t="n">
        <v>0</v>
      </c>
      <c r="O866" t="n">
        <v>0</v>
      </c>
      <c r="P866" t="n">
        <v>0</v>
      </c>
      <c r="Q866" t="n">
        <v>0</v>
      </c>
      <c r="R866" s="2" t="inlineStr"/>
    </row>
    <row r="867" ht="15" customHeight="1">
      <c r="A867" t="inlineStr">
        <is>
          <t>A 53396-2025</t>
        </is>
      </c>
      <c r="B867" s="1" t="n">
        <v>45959.55577546296</v>
      </c>
      <c r="C867" s="1" t="n">
        <v>45961</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53416-2025</t>
        </is>
      </c>
      <c r="B868" s="1" t="n">
        <v>45959.58387731481</v>
      </c>
      <c r="C868" s="1" t="n">
        <v>45961</v>
      </c>
      <c r="D868" t="inlineStr">
        <is>
          <t>KALMAR LÄN</t>
        </is>
      </c>
      <c r="E868" t="inlineStr">
        <is>
          <t>VIMMERBY</t>
        </is>
      </c>
      <c r="G868" t="n">
        <v>4.4</v>
      </c>
      <c r="H868" t="n">
        <v>0</v>
      </c>
      <c r="I868" t="n">
        <v>0</v>
      </c>
      <c r="J868" t="n">
        <v>0</v>
      </c>
      <c r="K868" t="n">
        <v>0</v>
      </c>
      <c r="L868" t="n">
        <v>0</v>
      </c>
      <c r="M868" t="n">
        <v>0</v>
      </c>
      <c r="N868" t="n">
        <v>0</v>
      </c>
      <c r="O868" t="n">
        <v>0</v>
      </c>
      <c r="P868" t="n">
        <v>0</v>
      </c>
      <c r="Q868" t="n">
        <v>0</v>
      </c>
      <c r="R868" s="2" t="inlineStr"/>
    </row>
    <row r="869" ht="15" customHeight="1">
      <c r="A869" t="inlineStr">
        <is>
          <t>A 53586-2025</t>
        </is>
      </c>
      <c r="B869" s="1" t="n">
        <v>45960.43395833333</v>
      </c>
      <c r="C869" s="1" t="n">
        <v>45961</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53393-2025</t>
        </is>
      </c>
      <c r="B870" s="1" t="n">
        <v>45959.55284722222</v>
      </c>
      <c r="C870" s="1" t="n">
        <v>45961</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53398-2025</t>
        </is>
      </c>
      <c r="B871" s="1" t="n">
        <v>45959.56247685185</v>
      </c>
      <c r="C871" s="1" t="n">
        <v>45961</v>
      </c>
      <c r="D871" t="inlineStr">
        <is>
          <t>KALMAR LÄN</t>
        </is>
      </c>
      <c r="E871" t="inlineStr">
        <is>
          <t>VIMMERBY</t>
        </is>
      </c>
      <c r="G871" t="n">
        <v>0.8</v>
      </c>
      <c r="H871" t="n">
        <v>0</v>
      </c>
      <c r="I871" t="n">
        <v>0</v>
      </c>
      <c r="J871" t="n">
        <v>0</v>
      </c>
      <c r="K871" t="n">
        <v>0</v>
      </c>
      <c r="L871" t="n">
        <v>0</v>
      </c>
      <c r="M871" t="n">
        <v>0</v>
      </c>
      <c r="N871" t="n">
        <v>0</v>
      </c>
      <c r="O871" t="n">
        <v>0</v>
      </c>
      <c r="P871" t="n">
        <v>0</v>
      </c>
      <c r="Q871" t="n">
        <v>0</v>
      </c>
      <c r="R871" s="2" t="inlineStr"/>
    </row>
    <row r="872">
      <c r="A872" t="inlineStr">
        <is>
          <t>A 53400-2025</t>
        </is>
      </c>
      <c r="B872" s="1" t="n">
        <v>45959.56684027778</v>
      </c>
      <c r="C872" s="1" t="n">
        <v>45961</v>
      </c>
      <c r="D872" t="inlineStr">
        <is>
          <t>KALMAR LÄN</t>
        </is>
      </c>
      <c r="E872" t="inlineStr">
        <is>
          <t>VIMMERBY</t>
        </is>
      </c>
      <c r="G872" t="n">
        <v>9.199999999999999</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2025-10-31T10:03:15Z</dcterms:created>
  <dcterms:modified xmlns:dcterms="http://purl.org/dc/terms/" xmlns:xsi="http://www.w3.org/2001/XMLSchema-instance" xsi:type="dcterms:W3CDTF">2025-10-31T10:03:15Z</dcterms:modified>
</cp:coreProperties>
</file>