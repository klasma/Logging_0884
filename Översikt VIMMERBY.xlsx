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46135</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46135</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46135</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46135</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46135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46135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7040-2026</t>
        </is>
      </c>
      <c r="B13" s="1" t="n">
        <v>46057.69520833333</v>
      </c>
      <c r="C13" s="1" t="n">
        <v>46135</v>
      </c>
      <c r="D13" t="inlineStr">
        <is>
          <t>KALMAR LÄN</t>
        </is>
      </c>
      <c r="E13" t="inlineStr">
        <is>
          <t>VIMMERBY</t>
        </is>
      </c>
      <c r="G13" t="n">
        <v>2.7</v>
      </c>
      <c r="H13" t="n">
        <v>4</v>
      </c>
      <c r="I13" t="n">
        <v>0</v>
      </c>
      <c r="J13" t="n">
        <v>2</v>
      </c>
      <c r="K13" t="n">
        <v>1</v>
      </c>
      <c r="L13" t="n">
        <v>0</v>
      </c>
      <c r="M13" t="n">
        <v>0</v>
      </c>
      <c r="N13" t="n">
        <v>0</v>
      </c>
      <c r="O13" t="n">
        <v>3</v>
      </c>
      <c r="P13" t="n">
        <v>1</v>
      </c>
      <c r="Q13" t="n">
        <v>4</v>
      </c>
      <c r="R13" s="2" t="inlineStr">
        <is>
          <t>Knärot
Spillkråka
Talltita
Tjäder</t>
        </is>
      </c>
      <c r="S13">
        <f>HYPERLINK("https://klasma.github.io/Logging_0884/artfynd/A 7040-2026 artfynd.xlsx", "A 7040-2026")</f>
        <v/>
      </c>
      <c r="T13">
        <f>HYPERLINK("https://klasma.github.io/Logging_0884/kartor/A 7040-2026 karta.png", "A 7040-2026")</f>
        <v/>
      </c>
      <c r="U13">
        <f>HYPERLINK("https://klasma.github.io/Logging_0884/knärot/A 7040-2026 karta knärot.png", "A 7040-2026")</f>
        <v/>
      </c>
      <c r="V13">
        <f>HYPERLINK("https://klasma.github.io/Logging_0884/klagomål/A 7040-2026 FSC-klagomål.docx", "A 7040-2026")</f>
        <v/>
      </c>
      <c r="W13">
        <f>HYPERLINK("https://klasma.github.io/Logging_0884/klagomålsmail/A 7040-2026 FSC-klagomål mail.docx", "A 7040-2026")</f>
        <v/>
      </c>
      <c r="X13">
        <f>HYPERLINK("https://klasma.github.io/Logging_0884/tillsyn/A 7040-2026 tillsynsbegäran.docx", "A 7040-2026")</f>
        <v/>
      </c>
      <c r="Y13">
        <f>HYPERLINK("https://klasma.github.io/Logging_0884/tillsynsmail/A 7040-2026 tillsynsbegäran mail.docx", "A 7040-2026")</f>
        <v/>
      </c>
      <c r="Z13">
        <f>HYPERLINK("https://klasma.github.io/Logging_0884/fåglar/A 7040-2026 prioriterade fågelarter.docx", "A 7040-2026")</f>
        <v/>
      </c>
    </row>
    <row r="14" ht="15" customHeight="1">
      <c r="A14" t="inlineStr">
        <is>
          <t>A 55604-2025</t>
        </is>
      </c>
      <c r="B14" s="1" t="n">
        <v>45971</v>
      </c>
      <c r="C14" s="1" t="n">
        <v>46135</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46135</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46135</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46135</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46135</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46135</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46135</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46135</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46135</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46135</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46135</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14426-2026</t>
        </is>
      </c>
      <c r="B25" s="1" t="n">
        <v>46100.46956018519</v>
      </c>
      <c r="C25" s="1" t="n">
        <v>46135</v>
      </c>
      <c r="D25" t="inlineStr">
        <is>
          <t>KALMAR LÄN</t>
        </is>
      </c>
      <c r="E25" t="inlineStr">
        <is>
          <t>VIMMERBY</t>
        </is>
      </c>
      <c r="F25" t="inlineStr">
        <is>
          <t>Kyrkan</t>
        </is>
      </c>
      <c r="G25" t="n">
        <v>8.6</v>
      </c>
      <c r="H25" t="n">
        <v>1</v>
      </c>
      <c r="I25" t="n">
        <v>0</v>
      </c>
      <c r="J25" t="n">
        <v>1</v>
      </c>
      <c r="K25" t="n">
        <v>1</v>
      </c>
      <c r="L25" t="n">
        <v>0</v>
      </c>
      <c r="M25" t="n">
        <v>0</v>
      </c>
      <c r="N25" t="n">
        <v>0</v>
      </c>
      <c r="O25" t="n">
        <v>2</v>
      </c>
      <c r="P25" t="n">
        <v>1</v>
      </c>
      <c r="Q25" t="n">
        <v>2</v>
      </c>
      <c r="R25" s="2" t="inlineStr">
        <is>
          <t>Knärot
Tallticka</t>
        </is>
      </c>
      <c r="S25">
        <f>HYPERLINK("https://klasma.github.io/Logging_0884/artfynd/A 14426-2026 artfynd.xlsx", "A 14426-2026")</f>
        <v/>
      </c>
      <c r="T25">
        <f>HYPERLINK("https://klasma.github.io/Logging_0884/kartor/A 14426-2026 karta.png", "A 14426-2026")</f>
        <v/>
      </c>
      <c r="U25">
        <f>HYPERLINK("https://klasma.github.io/Logging_0884/knärot/A 14426-2026 karta knärot.png", "A 14426-2026")</f>
        <v/>
      </c>
      <c r="V25">
        <f>HYPERLINK("https://klasma.github.io/Logging_0884/klagomål/A 14426-2026 FSC-klagomål.docx", "A 14426-2026")</f>
        <v/>
      </c>
      <c r="W25">
        <f>HYPERLINK("https://klasma.github.io/Logging_0884/klagomålsmail/A 14426-2026 FSC-klagomål mail.docx", "A 14426-2026")</f>
        <v/>
      </c>
      <c r="X25">
        <f>HYPERLINK("https://klasma.github.io/Logging_0884/tillsyn/A 14426-2026 tillsynsbegäran.docx", "A 14426-2026")</f>
        <v/>
      </c>
      <c r="Y25">
        <f>HYPERLINK("https://klasma.github.io/Logging_0884/tillsynsmail/A 14426-2026 tillsynsbegäran mail.docx", "A 14426-2026")</f>
        <v/>
      </c>
    </row>
    <row r="26" ht="15" customHeight="1">
      <c r="A26" t="inlineStr">
        <is>
          <t>A 40684-2025</t>
        </is>
      </c>
      <c r="B26" s="1" t="n">
        <v>45896.86820601852</v>
      </c>
      <c r="C26" s="1" t="n">
        <v>46135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46135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14024-2023</t>
        </is>
      </c>
      <c r="B28" s="1" t="n">
        <v>45008.60878472222</v>
      </c>
      <c r="C28" s="1" t="n">
        <v>46135</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2518-2023</t>
        </is>
      </c>
      <c r="B29" s="1" t="n">
        <v>44943</v>
      </c>
      <c r="C29" s="1" t="n">
        <v>46135</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46135</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46135</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46135</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22396-2025</t>
        </is>
      </c>
      <c r="B33" s="1" t="n">
        <v>45786.52827546297</v>
      </c>
      <c r="C33" s="1" t="n">
        <v>46135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22825-2023</t>
        </is>
      </c>
      <c r="B34" s="1" t="n">
        <v>45072</v>
      </c>
      <c r="C34" s="1" t="n">
        <v>46135</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22825-2023 artfynd.xlsx", "A 22825-2023")</f>
        <v/>
      </c>
      <c r="T34">
        <f>HYPERLINK("https://klasma.github.io/Logging_0884/kartor/A 22825-2023 karta.png", "A 22825-2023")</f>
        <v/>
      </c>
      <c r="V34">
        <f>HYPERLINK("https://klasma.github.io/Logging_0884/klagomål/A 22825-2023 FSC-klagomål.docx", "A 22825-2023")</f>
        <v/>
      </c>
      <c r="W34">
        <f>HYPERLINK("https://klasma.github.io/Logging_0884/klagomålsmail/A 22825-2023 FSC-klagomål mail.docx", "A 22825-2023")</f>
        <v/>
      </c>
      <c r="X34">
        <f>HYPERLINK("https://klasma.github.io/Logging_0884/tillsyn/A 22825-2023 tillsynsbegäran.docx", "A 22825-2023")</f>
        <v/>
      </c>
      <c r="Y34">
        <f>HYPERLINK("https://klasma.github.io/Logging_0884/tillsynsmail/A 22825-2023 tillsynsbegäran mail.docx", "A 22825-2023")</f>
        <v/>
      </c>
    </row>
    <row r="35" ht="15" customHeight="1">
      <c r="A35" t="inlineStr">
        <is>
          <t>A 32396-2021</t>
        </is>
      </c>
      <c r="B35" s="1" t="n">
        <v>44371</v>
      </c>
      <c r="C35" s="1" t="n">
        <v>46135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46135</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37930-2021</t>
        </is>
      </c>
      <c r="B37" s="1" t="n">
        <v>44403</v>
      </c>
      <c r="C37" s="1" t="n">
        <v>46135</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33436-2021</t>
        </is>
      </c>
      <c r="B38" s="1" t="n">
        <v>44377.61104166666</v>
      </c>
      <c r="C38" s="1" t="n">
        <v>46135</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61860-2024</t>
        </is>
      </c>
      <c r="B39" s="1" t="n">
        <v>45649</v>
      </c>
      <c r="C39" s="1" t="n">
        <v>46135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28852-2023</t>
        </is>
      </c>
      <c r="B40" s="1" t="n">
        <v>45104</v>
      </c>
      <c r="C40" s="1" t="n">
        <v>46135</v>
      </c>
      <c r="D40" t="inlineStr">
        <is>
          <t>KALMAR LÄN</t>
        </is>
      </c>
      <c r="E40" t="inlineStr">
        <is>
          <t>VIMMERBY</t>
        </is>
      </c>
      <c r="G40" t="n">
        <v>0.7</v>
      </c>
      <c r="H40" t="n">
        <v>0</v>
      </c>
      <c r="I40" t="n">
        <v>1</v>
      </c>
      <c r="J40" t="n">
        <v>0</v>
      </c>
      <c r="K40" t="n">
        <v>0</v>
      </c>
      <c r="L40" t="n">
        <v>0</v>
      </c>
      <c r="M40" t="n">
        <v>0</v>
      </c>
      <c r="N40" t="n">
        <v>0</v>
      </c>
      <c r="O40" t="n">
        <v>0</v>
      </c>
      <c r="P40" t="n">
        <v>0</v>
      </c>
      <c r="Q40" t="n">
        <v>1</v>
      </c>
      <c r="R40" s="2" t="inlineStr">
        <is>
          <t>Tibast</t>
        </is>
      </c>
      <c r="S40">
        <f>HYPERLINK("https://klasma.github.io/Logging_0884/artfynd/A 28852-2023 artfynd.xlsx", "A 28852-2023")</f>
        <v/>
      </c>
      <c r="T40">
        <f>HYPERLINK("https://klasma.github.io/Logging_0884/kartor/A 28852-2023 karta.png", "A 28852-2023")</f>
        <v/>
      </c>
      <c r="V40">
        <f>HYPERLINK("https://klasma.github.io/Logging_0884/klagomål/A 28852-2023 FSC-klagomål.docx", "A 28852-2023")</f>
        <v/>
      </c>
      <c r="W40">
        <f>HYPERLINK("https://klasma.github.io/Logging_0884/klagomålsmail/A 28852-2023 FSC-klagomål mail.docx", "A 28852-2023")</f>
        <v/>
      </c>
      <c r="X40">
        <f>HYPERLINK("https://klasma.github.io/Logging_0884/tillsyn/A 28852-2023 tillsynsbegäran.docx", "A 28852-2023")</f>
        <v/>
      </c>
      <c r="Y40">
        <f>HYPERLINK("https://klasma.github.io/Logging_0884/tillsynsmail/A 28852-2023 tillsynsbegäran mail.docx", "A 28852-2023")</f>
        <v/>
      </c>
    </row>
    <row r="41" ht="15" customHeight="1">
      <c r="A41" t="inlineStr">
        <is>
          <t>A 44515-2024</t>
        </is>
      </c>
      <c r="B41" s="1" t="n">
        <v>45574.42767361111</v>
      </c>
      <c r="C41" s="1" t="n">
        <v>46135</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52301-2023</t>
        </is>
      </c>
      <c r="B42" s="1" t="n">
        <v>45224</v>
      </c>
      <c r="C42" s="1" t="n">
        <v>46135</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53404-2025</t>
        </is>
      </c>
      <c r="B43" s="1" t="n">
        <v>45959.57126157408</v>
      </c>
      <c r="C43" s="1" t="n">
        <v>46135</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53400-2025</t>
        </is>
      </c>
      <c r="B44" s="1" t="n">
        <v>45959.56684027778</v>
      </c>
      <c r="C44" s="1" t="n">
        <v>46135</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55384-2025</t>
        </is>
      </c>
      <c r="B45" s="1" t="n">
        <v>45971.43178240741</v>
      </c>
      <c r="C45" s="1" t="n">
        <v>46135</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40083-2023</t>
        </is>
      </c>
      <c r="B46" s="1" t="n">
        <v>45168</v>
      </c>
      <c r="C46" s="1" t="n">
        <v>46135</v>
      </c>
      <c r="D46" t="inlineStr">
        <is>
          <t>KALMAR LÄN</t>
        </is>
      </c>
      <c r="E46" t="inlineStr">
        <is>
          <t>VIMMERBY</t>
        </is>
      </c>
      <c r="G46" t="n">
        <v>2.2</v>
      </c>
      <c r="H46" t="n">
        <v>1</v>
      </c>
      <c r="I46" t="n">
        <v>0</v>
      </c>
      <c r="J46" t="n">
        <v>0</v>
      </c>
      <c r="K46" t="n">
        <v>0</v>
      </c>
      <c r="L46" t="n">
        <v>0</v>
      </c>
      <c r="M46" t="n">
        <v>0</v>
      </c>
      <c r="N46" t="n">
        <v>0</v>
      </c>
      <c r="O46" t="n">
        <v>0</v>
      </c>
      <c r="P46" t="n">
        <v>0</v>
      </c>
      <c r="Q46" t="n">
        <v>1</v>
      </c>
      <c r="R46" s="2" t="inlineStr">
        <is>
          <t>Revlummer</t>
        </is>
      </c>
      <c r="S46">
        <f>HYPERLINK("https://klasma.github.io/Logging_0884/artfynd/A 40083-2023 artfynd.xlsx", "A 40083-2023")</f>
        <v/>
      </c>
      <c r="T46">
        <f>HYPERLINK("https://klasma.github.io/Logging_0884/kartor/A 40083-2023 karta.png", "A 40083-2023")</f>
        <v/>
      </c>
      <c r="V46">
        <f>HYPERLINK("https://klasma.github.io/Logging_0884/klagomål/A 40083-2023 FSC-klagomål.docx", "A 40083-2023")</f>
        <v/>
      </c>
      <c r="W46">
        <f>HYPERLINK("https://klasma.github.io/Logging_0884/klagomålsmail/A 40083-2023 FSC-klagomål mail.docx", "A 40083-2023")</f>
        <v/>
      </c>
      <c r="X46">
        <f>HYPERLINK("https://klasma.github.io/Logging_0884/tillsyn/A 40083-2023 tillsynsbegäran.docx", "A 40083-2023")</f>
        <v/>
      </c>
      <c r="Y46">
        <f>HYPERLINK("https://klasma.github.io/Logging_0884/tillsynsmail/A 40083-2023 tillsynsbegäran mail.docx", "A 40083-2023")</f>
        <v/>
      </c>
    </row>
    <row r="47" ht="15" customHeight="1">
      <c r="A47" t="inlineStr">
        <is>
          <t>A 40084-2023</t>
        </is>
      </c>
      <c r="B47" s="1" t="n">
        <v>45168</v>
      </c>
      <c r="C47" s="1" t="n">
        <v>46135</v>
      </c>
      <c r="D47" t="inlineStr">
        <is>
          <t>KALMAR LÄN</t>
        </is>
      </c>
      <c r="E47" t="inlineStr">
        <is>
          <t>VIMMERBY</t>
        </is>
      </c>
      <c r="G47" t="n">
        <v>1.3</v>
      </c>
      <c r="H47" t="n">
        <v>1</v>
      </c>
      <c r="I47" t="n">
        <v>0</v>
      </c>
      <c r="J47" t="n">
        <v>1</v>
      </c>
      <c r="K47" t="n">
        <v>0</v>
      </c>
      <c r="L47" t="n">
        <v>0</v>
      </c>
      <c r="M47" t="n">
        <v>0</v>
      </c>
      <c r="N47" t="n">
        <v>0</v>
      </c>
      <c r="O47" t="n">
        <v>1</v>
      </c>
      <c r="P47" t="n">
        <v>0</v>
      </c>
      <c r="Q47" t="n">
        <v>1</v>
      </c>
      <c r="R47" s="2" t="inlineStr">
        <is>
          <t>Entita</t>
        </is>
      </c>
      <c r="S47">
        <f>HYPERLINK("https://klasma.github.io/Logging_0884/artfynd/A 40084-2023 artfynd.xlsx", "A 40084-2023")</f>
        <v/>
      </c>
      <c r="T47">
        <f>HYPERLINK("https://klasma.github.io/Logging_0884/kartor/A 40084-2023 karta.png", "A 40084-2023")</f>
        <v/>
      </c>
      <c r="V47">
        <f>HYPERLINK("https://klasma.github.io/Logging_0884/klagomål/A 40084-2023 FSC-klagomål.docx", "A 40084-2023")</f>
        <v/>
      </c>
      <c r="W47">
        <f>HYPERLINK("https://klasma.github.io/Logging_0884/klagomålsmail/A 40084-2023 FSC-klagomål mail.docx", "A 40084-2023")</f>
        <v/>
      </c>
      <c r="X47">
        <f>HYPERLINK("https://klasma.github.io/Logging_0884/tillsyn/A 40084-2023 tillsynsbegäran.docx", "A 40084-2023")</f>
        <v/>
      </c>
      <c r="Y47">
        <f>HYPERLINK("https://klasma.github.io/Logging_0884/tillsynsmail/A 40084-2023 tillsynsbegäran mail.docx", "A 40084-2023")</f>
        <v/>
      </c>
      <c r="Z47">
        <f>HYPERLINK("https://klasma.github.io/Logging_0884/fåglar/A 40084-2023 prioriterade fågelarter.docx", "A 40084-2023")</f>
        <v/>
      </c>
    </row>
    <row r="48" ht="15" customHeight="1">
      <c r="A48" t="inlineStr">
        <is>
          <t>A 57062-2025</t>
        </is>
      </c>
      <c r="B48" s="1" t="n">
        <v>45979.37598379629</v>
      </c>
      <c r="C48" s="1" t="n">
        <v>46135</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1201-2025</t>
        </is>
      </c>
      <c r="B49" s="1" t="n">
        <v>45667</v>
      </c>
      <c r="C49" s="1" t="n">
        <v>46135</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1201-2025 artfynd.xlsx", "A 1201-2025")</f>
        <v/>
      </c>
      <c r="T49">
        <f>HYPERLINK("https://klasma.github.io/Logging_0884/kartor/A 1201-2025 karta.png", "A 1201-2025")</f>
        <v/>
      </c>
      <c r="U49">
        <f>HYPERLINK("https://klasma.github.io/Logging_0884/knärot/A 1201-2025 karta knärot.png", "A 1201-2025")</f>
        <v/>
      </c>
      <c r="V49">
        <f>HYPERLINK("https://klasma.github.io/Logging_0884/klagomål/A 1201-2025 FSC-klagomål.docx", "A 1201-2025")</f>
        <v/>
      </c>
      <c r="W49">
        <f>HYPERLINK("https://klasma.github.io/Logging_0884/klagomålsmail/A 1201-2025 FSC-klagomål mail.docx", "A 1201-2025")</f>
        <v/>
      </c>
      <c r="X49">
        <f>HYPERLINK("https://klasma.github.io/Logging_0884/tillsyn/A 1201-2025 tillsynsbegäran.docx", "A 1201-2025")</f>
        <v/>
      </c>
      <c r="Y49">
        <f>HYPERLINK("https://klasma.github.io/Logging_0884/tillsynsmail/A 1201-2025 tillsynsbegäran mail.docx", "A 1201-2025")</f>
        <v/>
      </c>
    </row>
    <row r="50" ht="15" customHeight="1">
      <c r="A50" t="inlineStr">
        <is>
          <t>A 29183-2025</t>
        </is>
      </c>
      <c r="B50" s="1" t="n">
        <v>45821</v>
      </c>
      <c r="C50" s="1" t="n">
        <v>46135</v>
      </c>
      <c r="D50" t="inlineStr">
        <is>
          <t>KALMAR LÄN</t>
        </is>
      </c>
      <c r="E50" t="inlineStr">
        <is>
          <t>VIMMERBY</t>
        </is>
      </c>
      <c r="G50" t="n">
        <v>2.7</v>
      </c>
      <c r="H50" t="n">
        <v>0</v>
      </c>
      <c r="I50" t="n">
        <v>1</v>
      </c>
      <c r="J50" t="n">
        <v>0</v>
      </c>
      <c r="K50" t="n">
        <v>0</v>
      </c>
      <c r="L50" t="n">
        <v>0</v>
      </c>
      <c r="M50" t="n">
        <v>0</v>
      </c>
      <c r="N50" t="n">
        <v>0</v>
      </c>
      <c r="O50" t="n">
        <v>0</v>
      </c>
      <c r="P50" t="n">
        <v>0</v>
      </c>
      <c r="Q50" t="n">
        <v>1</v>
      </c>
      <c r="R50" s="2" t="inlineStr">
        <is>
          <t>Sårläka</t>
        </is>
      </c>
      <c r="S50">
        <f>HYPERLINK("https://klasma.github.io/Logging_0884/artfynd/A 29183-2025 artfynd.xlsx", "A 29183-2025")</f>
        <v/>
      </c>
      <c r="T50">
        <f>HYPERLINK("https://klasma.github.io/Logging_0884/kartor/A 29183-2025 karta.png", "A 29183-2025")</f>
        <v/>
      </c>
      <c r="V50">
        <f>HYPERLINK("https://klasma.github.io/Logging_0884/klagomål/A 29183-2025 FSC-klagomål.docx", "A 29183-2025")</f>
        <v/>
      </c>
      <c r="W50">
        <f>HYPERLINK("https://klasma.github.io/Logging_0884/klagomålsmail/A 29183-2025 FSC-klagomål mail.docx", "A 29183-2025")</f>
        <v/>
      </c>
      <c r="X50">
        <f>HYPERLINK("https://klasma.github.io/Logging_0884/tillsyn/A 29183-2025 tillsynsbegäran.docx", "A 29183-2025")</f>
        <v/>
      </c>
      <c r="Y50">
        <f>HYPERLINK("https://klasma.github.io/Logging_0884/tillsynsmail/A 29183-2025 tillsynsbegäran mail.docx", "A 29183-2025")</f>
        <v/>
      </c>
    </row>
    <row r="51" ht="15" customHeight="1">
      <c r="A51" t="inlineStr">
        <is>
          <t>A 23602-2023</t>
        </is>
      </c>
      <c r="B51" s="1" t="n">
        <v>45077</v>
      </c>
      <c r="C51" s="1" t="n">
        <v>46135</v>
      </c>
      <c r="D51" t="inlineStr">
        <is>
          <t>KALMAR LÄN</t>
        </is>
      </c>
      <c r="E51" t="inlineStr">
        <is>
          <t>VIMMERBY</t>
        </is>
      </c>
      <c r="G51" t="n">
        <v>1.6</v>
      </c>
      <c r="H51" t="n">
        <v>0</v>
      </c>
      <c r="I51" t="n">
        <v>0</v>
      </c>
      <c r="J51" t="n">
        <v>1</v>
      </c>
      <c r="K51" t="n">
        <v>0</v>
      </c>
      <c r="L51" t="n">
        <v>0</v>
      </c>
      <c r="M51" t="n">
        <v>0</v>
      </c>
      <c r="N51" t="n">
        <v>0</v>
      </c>
      <c r="O51" t="n">
        <v>1</v>
      </c>
      <c r="P51" t="n">
        <v>0</v>
      </c>
      <c r="Q51" t="n">
        <v>1</v>
      </c>
      <c r="R51" s="2" t="inlineStr">
        <is>
          <t>Vedtrappmossa</t>
        </is>
      </c>
      <c r="S51">
        <f>HYPERLINK("https://klasma.github.io/Logging_0884/artfynd/A 23602-2023 artfynd.xlsx", "A 23602-2023")</f>
        <v/>
      </c>
      <c r="T51">
        <f>HYPERLINK("https://klasma.github.io/Logging_0884/kartor/A 23602-2023 karta.png", "A 23602-2023")</f>
        <v/>
      </c>
      <c r="V51">
        <f>HYPERLINK("https://klasma.github.io/Logging_0884/klagomål/A 23602-2023 FSC-klagomål.docx", "A 23602-2023")</f>
        <v/>
      </c>
      <c r="W51">
        <f>HYPERLINK("https://klasma.github.io/Logging_0884/klagomålsmail/A 23602-2023 FSC-klagomål mail.docx", "A 23602-2023")</f>
        <v/>
      </c>
      <c r="X51">
        <f>HYPERLINK("https://klasma.github.io/Logging_0884/tillsyn/A 23602-2023 tillsynsbegäran.docx", "A 23602-2023")</f>
        <v/>
      </c>
      <c r="Y51">
        <f>HYPERLINK("https://klasma.github.io/Logging_0884/tillsynsmail/A 23602-2023 tillsynsbegäran mail.docx", "A 23602-2023")</f>
        <v/>
      </c>
    </row>
    <row r="52" ht="15" customHeight="1">
      <c r="A52" t="inlineStr">
        <is>
          <t>A 32985-2023</t>
        </is>
      </c>
      <c r="B52" s="1" t="n">
        <v>45125</v>
      </c>
      <c r="C52" s="1" t="n">
        <v>46135</v>
      </c>
      <c r="D52" t="inlineStr">
        <is>
          <t>KALMAR LÄN</t>
        </is>
      </c>
      <c r="E52" t="inlineStr">
        <is>
          <t>VIMMERBY</t>
        </is>
      </c>
      <c r="G52" t="n">
        <v>1.9</v>
      </c>
      <c r="H52" t="n">
        <v>0</v>
      </c>
      <c r="I52" t="n">
        <v>0</v>
      </c>
      <c r="J52" t="n">
        <v>0</v>
      </c>
      <c r="K52" t="n">
        <v>0</v>
      </c>
      <c r="L52" t="n">
        <v>1</v>
      </c>
      <c r="M52" t="n">
        <v>0</v>
      </c>
      <c r="N52" t="n">
        <v>0</v>
      </c>
      <c r="O52" t="n">
        <v>1</v>
      </c>
      <c r="P52" t="n">
        <v>1</v>
      </c>
      <c r="Q52" t="n">
        <v>1</v>
      </c>
      <c r="R52" s="2" t="inlineStr">
        <is>
          <t>Ryl</t>
        </is>
      </c>
      <c r="S52">
        <f>HYPERLINK("https://klasma.github.io/Logging_0884/artfynd/A 32985-2023 artfynd.xlsx", "A 32985-2023")</f>
        <v/>
      </c>
      <c r="T52">
        <f>HYPERLINK("https://klasma.github.io/Logging_0884/kartor/A 32985-2023 karta.png", "A 32985-2023")</f>
        <v/>
      </c>
      <c r="V52">
        <f>HYPERLINK("https://klasma.github.io/Logging_0884/klagomål/A 32985-2023 FSC-klagomål.docx", "A 32985-2023")</f>
        <v/>
      </c>
      <c r="W52">
        <f>HYPERLINK("https://klasma.github.io/Logging_0884/klagomålsmail/A 32985-2023 FSC-klagomål mail.docx", "A 32985-2023")</f>
        <v/>
      </c>
      <c r="X52">
        <f>HYPERLINK("https://klasma.github.io/Logging_0884/tillsyn/A 32985-2023 tillsynsbegäran.docx", "A 32985-2023")</f>
        <v/>
      </c>
      <c r="Y52">
        <f>HYPERLINK("https://klasma.github.io/Logging_0884/tillsynsmail/A 32985-2023 tillsynsbegäran mail.docx", "A 32985-2023")</f>
        <v/>
      </c>
    </row>
    <row r="53" ht="15" customHeight="1">
      <c r="A53" t="inlineStr">
        <is>
          <t>A 15122-2024</t>
        </is>
      </c>
      <c r="B53" s="1" t="n">
        <v>45399.71412037037</v>
      </c>
      <c r="C53" s="1" t="n">
        <v>46135</v>
      </c>
      <c r="D53" t="inlineStr">
        <is>
          <t>KALMAR LÄN</t>
        </is>
      </c>
      <c r="E53" t="inlineStr">
        <is>
          <t>VIMMERBY</t>
        </is>
      </c>
      <c r="G53" t="n">
        <v>1.7</v>
      </c>
      <c r="H53" t="n">
        <v>0</v>
      </c>
      <c r="I53" t="n">
        <v>0</v>
      </c>
      <c r="J53" t="n">
        <v>0</v>
      </c>
      <c r="K53" t="n">
        <v>1</v>
      </c>
      <c r="L53" t="n">
        <v>0</v>
      </c>
      <c r="M53" t="n">
        <v>0</v>
      </c>
      <c r="N53" t="n">
        <v>0</v>
      </c>
      <c r="O53" t="n">
        <v>1</v>
      </c>
      <c r="P53" t="n">
        <v>1</v>
      </c>
      <c r="Q53" t="n">
        <v>1</v>
      </c>
      <c r="R53" s="2" t="inlineStr">
        <is>
          <t>Sågfibbla</t>
        </is>
      </c>
      <c r="S53">
        <f>HYPERLINK("https://klasma.github.io/Logging_0884/artfynd/A 15122-2024 artfynd.xlsx", "A 15122-2024")</f>
        <v/>
      </c>
      <c r="T53">
        <f>HYPERLINK("https://klasma.github.io/Logging_0884/kartor/A 15122-2024 karta.png", "A 15122-2024")</f>
        <v/>
      </c>
      <c r="V53">
        <f>HYPERLINK("https://klasma.github.io/Logging_0884/klagomål/A 15122-2024 FSC-klagomål.docx", "A 15122-2024")</f>
        <v/>
      </c>
      <c r="W53">
        <f>HYPERLINK("https://klasma.github.io/Logging_0884/klagomålsmail/A 15122-2024 FSC-klagomål mail.docx", "A 15122-2024")</f>
        <v/>
      </c>
      <c r="X53">
        <f>HYPERLINK("https://klasma.github.io/Logging_0884/tillsyn/A 15122-2024 tillsynsbegäran.docx", "A 15122-2024")</f>
        <v/>
      </c>
      <c r="Y53">
        <f>HYPERLINK("https://klasma.github.io/Logging_0884/tillsynsmail/A 15122-2024 tillsynsbegäran mail.docx", "A 15122-2024")</f>
        <v/>
      </c>
    </row>
    <row r="54" ht="15" customHeight="1">
      <c r="A54" t="inlineStr">
        <is>
          <t>A 56754-2021</t>
        </is>
      </c>
      <c r="B54" s="1" t="n">
        <v>44481.47483796296</v>
      </c>
      <c r="C54" s="1" t="n">
        <v>46135</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46135</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46135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46135</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46135</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46135</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46135</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46135</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46135</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46135</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46135</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46135</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46135</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46135</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46135</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2183-2022</t>
        </is>
      </c>
      <c r="B71" s="1" t="n">
        <v>44578.47597222222</v>
      </c>
      <c r="C71" s="1" t="n">
        <v>46135</v>
      </c>
      <c r="D71" t="inlineStr">
        <is>
          <t>KALMAR LÄN</t>
        </is>
      </c>
      <c r="E71" t="inlineStr">
        <is>
          <t>VIMMERBY</t>
        </is>
      </c>
      <c r="G71" t="n">
        <v>4.8</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46135</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41438-2022</t>
        </is>
      </c>
      <c r="B73" s="1" t="n">
        <v>44826.68010416667</v>
      </c>
      <c r="C73" s="1" t="n">
        <v>46135</v>
      </c>
      <c r="D73" t="inlineStr">
        <is>
          <t>KALMAR LÄN</t>
        </is>
      </c>
      <c r="E73" t="inlineStr">
        <is>
          <t>VIMMERBY</t>
        </is>
      </c>
      <c r="G73" t="n">
        <v>3.1</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46135</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46135</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46135</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46135</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46135</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59791-2021</t>
        </is>
      </c>
      <c r="B79" s="1" t="n">
        <v>44494</v>
      </c>
      <c r="C79" s="1" t="n">
        <v>46135</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71626-2021</t>
        </is>
      </c>
      <c r="B80" s="1" t="n">
        <v>44542.8859375</v>
      </c>
      <c r="C80" s="1" t="n">
        <v>46135</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46135</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46135</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46135</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46135</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46135</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46135</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46135</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55297-2021</t>
        </is>
      </c>
      <c r="B89" s="1" t="n">
        <v>44475</v>
      </c>
      <c r="C89" s="1" t="n">
        <v>46135</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35531-2021</t>
        </is>
      </c>
      <c r="B90" s="1" t="n">
        <v>44385</v>
      </c>
      <c r="C90" s="1" t="n">
        <v>46135</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38789-2021</t>
        </is>
      </c>
      <c r="B91" s="1" t="n">
        <v>44410.71038194445</v>
      </c>
      <c r="C91" s="1" t="n">
        <v>46135</v>
      </c>
      <c r="D91" t="inlineStr">
        <is>
          <t>KALMAR LÄN</t>
        </is>
      </c>
      <c r="E91" t="inlineStr">
        <is>
          <t>VIMMERBY</t>
        </is>
      </c>
      <c r="G91" t="n">
        <v>3.7</v>
      </c>
      <c r="H91" t="n">
        <v>0</v>
      </c>
      <c r="I91" t="n">
        <v>0</v>
      </c>
      <c r="J91" t="n">
        <v>0</v>
      </c>
      <c r="K91" t="n">
        <v>0</v>
      </c>
      <c r="L91" t="n">
        <v>0</v>
      </c>
      <c r="M91" t="n">
        <v>0</v>
      </c>
      <c r="N91" t="n">
        <v>0</v>
      </c>
      <c r="O91" t="n">
        <v>0</v>
      </c>
      <c r="P91" t="n">
        <v>0</v>
      </c>
      <c r="Q91" t="n">
        <v>0</v>
      </c>
      <c r="R91" s="2" t="inlineStr"/>
    </row>
    <row r="92" ht="15" customHeight="1">
      <c r="A92" t="inlineStr">
        <is>
          <t>A 16290-2022</t>
        </is>
      </c>
      <c r="B92" s="1" t="n">
        <v>44670</v>
      </c>
      <c r="C92" s="1" t="n">
        <v>46135</v>
      </c>
      <c r="D92" t="inlineStr">
        <is>
          <t>KALMAR LÄN</t>
        </is>
      </c>
      <c r="E92" t="inlineStr">
        <is>
          <t>VIMMERBY</t>
        </is>
      </c>
      <c r="G92" t="n">
        <v>1.2</v>
      </c>
      <c r="H92" t="n">
        <v>0</v>
      </c>
      <c r="I92" t="n">
        <v>0</v>
      </c>
      <c r="J92" t="n">
        <v>0</v>
      </c>
      <c r="K92" t="n">
        <v>0</v>
      </c>
      <c r="L92" t="n">
        <v>0</v>
      </c>
      <c r="M92" t="n">
        <v>0</v>
      </c>
      <c r="N92" t="n">
        <v>0</v>
      </c>
      <c r="O92" t="n">
        <v>0</v>
      </c>
      <c r="P92" t="n">
        <v>0</v>
      </c>
      <c r="Q92" t="n">
        <v>0</v>
      </c>
      <c r="R92" s="2" t="inlineStr"/>
    </row>
    <row r="93" ht="15" customHeight="1">
      <c r="A93" t="inlineStr">
        <is>
          <t>A 30682-2021</t>
        </is>
      </c>
      <c r="B93" s="1" t="n">
        <v>44365</v>
      </c>
      <c r="C93" s="1" t="n">
        <v>46135</v>
      </c>
      <c r="D93" t="inlineStr">
        <is>
          <t>KALMAR LÄN</t>
        </is>
      </c>
      <c r="E93" t="inlineStr">
        <is>
          <t>VIMMERBY</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25049-2022</t>
        </is>
      </c>
      <c r="B94" s="1" t="n">
        <v>44729.28226851852</v>
      </c>
      <c r="C94" s="1" t="n">
        <v>46135</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24723-2021</t>
        </is>
      </c>
      <c r="B95" s="1" t="n">
        <v>44340.54472222222</v>
      </c>
      <c r="C95" s="1" t="n">
        <v>46135</v>
      </c>
      <c r="D95" t="inlineStr">
        <is>
          <t>KALMAR LÄN</t>
        </is>
      </c>
      <c r="E95" t="inlineStr">
        <is>
          <t>VIMMERBY</t>
        </is>
      </c>
      <c r="G95" t="n">
        <v>3.3</v>
      </c>
      <c r="H95" t="n">
        <v>0</v>
      </c>
      <c r="I95" t="n">
        <v>0</v>
      </c>
      <c r="J95" t="n">
        <v>0</v>
      </c>
      <c r="K95" t="n">
        <v>0</v>
      </c>
      <c r="L95" t="n">
        <v>0</v>
      </c>
      <c r="M95" t="n">
        <v>0</v>
      </c>
      <c r="N95" t="n">
        <v>0</v>
      </c>
      <c r="O95" t="n">
        <v>0</v>
      </c>
      <c r="P95" t="n">
        <v>0</v>
      </c>
      <c r="Q95" t="n">
        <v>0</v>
      </c>
      <c r="R95" s="2" t="inlineStr"/>
    </row>
    <row r="96" ht="15" customHeight="1">
      <c r="A96" t="inlineStr">
        <is>
          <t>A 24752-2021</t>
        </is>
      </c>
      <c r="B96" s="1" t="n">
        <v>44340</v>
      </c>
      <c r="C96" s="1" t="n">
        <v>46135</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31533-2022</t>
        </is>
      </c>
      <c r="B97" s="1" t="n">
        <v>44774</v>
      </c>
      <c r="C97" s="1" t="n">
        <v>46135</v>
      </c>
      <c r="D97" t="inlineStr">
        <is>
          <t>KALMAR LÄN</t>
        </is>
      </c>
      <c r="E97" t="inlineStr">
        <is>
          <t>VIMMERBY</t>
        </is>
      </c>
      <c r="G97" t="n">
        <v>2.5</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46135</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25859-2022</t>
        </is>
      </c>
      <c r="B99" s="1" t="n">
        <v>44733</v>
      </c>
      <c r="C99" s="1" t="n">
        <v>46135</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25868-2022</t>
        </is>
      </c>
      <c r="B100" s="1" t="n">
        <v>44733</v>
      </c>
      <c r="C100" s="1" t="n">
        <v>46135</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32386-2021</t>
        </is>
      </c>
      <c r="B101" s="1" t="n">
        <v>44371.62743055556</v>
      </c>
      <c r="C101" s="1" t="n">
        <v>46135</v>
      </c>
      <c r="D101" t="inlineStr">
        <is>
          <t>KALMAR LÄN</t>
        </is>
      </c>
      <c r="E101" t="inlineStr">
        <is>
          <t>VIMMERBY</t>
        </is>
      </c>
      <c r="G101" t="n">
        <v>1.6</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46135</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46135</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46135</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46135</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46135</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46135</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46135</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56385-2021</t>
        </is>
      </c>
      <c r="B111" s="1" t="n">
        <v>44480</v>
      </c>
      <c r="C111" s="1" t="n">
        <v>46135</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46135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46135</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31053-2022</t>
        </is>
      </c>
      <c r="B114" s="1" t="n">
        <v>44769.45422453704</v>
      </c>
      <c r="C114" s="1" t="n">
        <v>46135</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46135</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46135</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24999-2021</t>
        </is>
      </c>
      <c r="B117" s="1" t="n">
        <v>44341</v>
      </c>
      <c r="C117" s="1" t="n">
        <v>46135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7917-2022</t>
        </is>
      </c>
      <c r="B118" s="1" t="n">
        <v>44608</v>
      </c>
      <c r="C118" s="1" t="n">
        <v>46135</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47208-2021</t>
        </is>
      </c>
      <c r="B119" s="1" t="n">
        <v>44447.34237268518</v>
      </c>
      <c r="C119" s="1" t="n">
        <v>46135</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39959-2022</t>
        </is>
      </c>
      <c r="B120" s="1" t="n">
        <v>44819</v>
      </c>
      <c r="C120" s="1" t="n">
        <v>46135</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46135</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46135</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46135</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46135</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46135</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46135</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46135</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46135</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46135</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46135</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46135</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46135</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46135</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49313-2022</t>
        </is>
      </c>
      <c r="B136" s="1" t="n">
        <v>44861.52505787037</v>
      </c>
      <c r="C136" s="1" t="n">
        <v>46135</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16983-2023</t>
        </is>
      </c>
      <c r="B137" s="1" t="n">
        <v>45033.76043981482</v>
      </c>
      <c r="C137" s="1" t="n">
        <v>46135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1987-2024</t>
        </is>
      </c>
      <c r="B138" s="1" t="n">
        <v>45308.61152777778</v>
      </c>
      <c r="C138" s="1" t="n">
        <v>46135</v>
      </c>
      <c r="D138" t="inlineStr">
        <is>
          <t>KALMAR LÄN</t>
        </is>
      </c>
      <c r="E138" t="inlineStr">
        <is>
          <t>VIMMERBY</t>
        </is>
      </c>
      <c r="G138" t="n">
        <v>3</v>
      </c>
      <c r="H138" t="n">
        <v>0</v>
      </c>
      <c r="I138" t="n">
        <v>0</v>
      </c>
      <c r="J138" t="n">
        <v>0</v>
      </c>
      <c r="K138" t="n">
        <v>0</v>
      </c>
      <c r="L138" t="n">
        <v>0</v>
      </c>
      <c r="M138" t="n">
        <v>0</v>
      </c>
      <c r="N138" t="n">
        <v>0</v>
      </c>
      <c r="O138" t="n">
        <v>0</v>
      </c>
      <c r="P138" t="n">
        <v>0</v>
      </c>
      <c r="Q138" t="n">
        <v>0</v>
      </c>
      <c r="R138" s="2" t="inlineStr"/>
    </row>
    <row r="139" ht="15" customHeight="1">
      <c r="A139" t="inlineStr">
        <is>
          <t>A 32603-2021</t>
        </is>
      </c>
      <c r="B139" s="1" t="n">
        <v>44375.38789351852</v>
      </c>
      <c r="C139" s="1" t="n">
        <v>46135</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36117-2021</t>
        </is>
      </c>
      <c r="B140" s="1" t="n">
        <v>44386</v>
      </c>
      <c r="C140" s="1" t="n">
        <v>46135</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35316-2021</t>
        </is>
      </c>
      <c r="B141" s="1" t="n">
        <v>44384</v>
      </c>
      <c r="C141" s="1" t="n">
        <v>46135</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42521-2021</t>
        </is>
      </c>
      <c r="B142" s="1" t="n">
        <v>44427</v>
      </c>
      <c r="C142" s="1" t="n">
        <v>46135</v>
      </c>
      <c r="D142" t="inlineStr">
        <is>
          <t>KALMAR LÄN</t>
        </is>
      </c>
      <c r="E142" t="inlineStr">
        <is>
          <t>VIMMERBY</t>
        </is>
      </c>
      <c r="G142" t="n">
        <v>5.4</v>
      </c>
      <c r="H142" t="n">
        <v>0</v>
      </c>
      <c r="I142" t="n">
        <v>0</v>
      </c>
      <c r="J142" t="n">
        <v>0</v>
      </c>
      <c r="K142" t="n">
        <v>0</v>
      </c>
      <c r="L142" t="n">
        <v>0</v>
      </c>
      <c r="M142" t="n">
        <v>0</v>
      </c>
      <c r="N142" t="n">
        <v>0</v>
      </c>
      <c r="O142" t="n">
        <v>0</v>
      </c>
      <c r="P142" t="n">
        <v>0</v>
      </c>
      <c r="Q142" t="n">
        <v>0</v>
      </c>
      <c r="R142" s="2" t="inlineStr"/>
    </row>
    <row r="143" ht="15" customHeight="1">
      <c r="A143" t="inlineStr">
        <is>
          <t>A 33831-2022</t>
        </is>
      </c>
      <c r="B143" s="1" t="n">
        <v>44790.48503472222</v>
      </c>
      <c r="C143" s="1" t="n">
        <v>46135</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47708-2022</t>
        </is>
      </c>
      <c r="B144" s="1" t="n">
        <v>44854.59157407407</v>
      </c>
      <c r="C144" s="1" t="n">
        <v>46135</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21507-2023</t>
        </is>
      </c>
      <c r="B145" s="1" t="n">
        <v>45063.508125</v>
      </c>
      <c r="C145" s="1" t="n">
        <v>46135</v>
      </c>
      <c r="D145" t="inlineStr">
        <is>
          <t>KALMAR LÄN</t>
        </is>
      </c>
      <c r="E145" t="inlineStr">
        <is>
          <t>VIMMERBY</t>
        </is>
      </c>
      <c r="G145" t="n">
        <v>2.8</v>
      </c>
      <c r="H145" t="n">
        <v>0</v>
      </c>
      <c r="I145" t="n">
        <v>0</v>
      </c>
      <c r="J145" t="n">
        <v>0</v>
      </c>
      <c r="K145" t="n">
        <v>0</v>
      </c>
      <c r="L145" t="n">
        <v>0</v>
      </c>
      <c r="M145" t="n">
        <v>0</v>
      </c>
      <c r="N145" t="n">
        <v>0</v>
      </c>
      <c r="O145" t="n">
        <v>0</v>
      </c>
      <c r="P145" t="n">
        <v>0</v>
      </c>
      <c r="Q145" t="n">
        <v>0</v>
      </c>
      <c r="R145" s="2" t="inlineStr"/>
    </row>
    <row r="146" ht="15" customHeight="1">
      <c r="A146" t="inlineStr">
        <is>
          <t>A 57189-2022</t>
        </is>
      </c>
      <c r="B146" s="1" t="n">
        <v>44895.62296296296</v>
      </c>
      <c r="C146" s="1" t="n">
        <v>46135</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48673-2021</t>
        </is>
      </c>
      <c r="B147" s="1" t="n">
        <v>44452</v>
      </c>
      <c r="C147" s="1" t="n">
        <v>46135</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46144-2023</t>
        </is>
      </c>
      <c r="B148" s="1" t="n">
        <v>45196.57247685185</v>
      </c>
      <c r="C148" s="1" t="n">
        <v>46135</v>
      </c>
      <c r="D148" t="inlineStr">
        <is>
          <t>KALMAR LÄN</t>
        </is>
      </c>
      <c r="E148" t="inlineStr">
        <is>
          <t>VIMMERBY</t>
        </is>
      </c>
      <c r="G148" t="n">
        <v>6.5</v>
      </c>
      <c r="H148" t="n">
        <v>0</v>
      </c>
      <c r="I148" t="n">
        <v>0</v>
      </c>
      <c r="J148" t="n">
        <v>0</v>
      </c>
      <c r="K148" t="n">
        <v>0</v>
      </c>
      <c r="L148" t="n">
        <v>0</v>
      </c>
      <c r="M148" t="n">
        <v>0</v>
      </c>
      <c r="N148" t="n">
        <v>0</v>
      </c>
      <c r="O148" t="n">
        <v>0</v>
      </c>
      <c r="P148" t="n">
        <v>0</v>
      </c>
      <c r="Q148" t="n">
        <v>0</v>
      </c>
      <c r="R148" s="2" t="inlineStr"/>
    </row>
    <row r="149" ht="15" customHeight="1">
      <c r="A149" t="inlineStr">
        <is>
          <t>A 14248-2023</t>
        </is>
      </c>
      <c r="B149" s="1" t="n">
        <v>45009</v>
      </c>
      <c r="C149" s="1" t="n">
        <v>46135</v>
      </c>
      <c r="D149" t="inlineStr">
        <is>
          <t>KALMAR LÄN</t>
        </is>
      </c>
      <c r="E149" t="inlineStr">
        <is>
          <t>VIMMERBY</t>
        </is>
      </c>
      <c r="G149" t="n">
        <v>2.6</v>
      </c>
      <c r="H149" t="n">
        <v>0</v>
      </c>
      <c r="I149" t="n">
        <v>0</v>
      </c>
      <c r="J149" t="n">
        <v>0</v>
      </c>
      <c r="K149" t="n">
        <v>0</v>
      </c>
      <c r="L149" t="n">
        <v>0</v>
      </c>
      <c r="M149" t="n">
        <v>0</v>
      </c>
      <c r="N149" t="n">
        <v>0</v>
      </c>
      <c r="O149" t="n">
        <v>0</v>
      </c>
      <c r="P149" t="n">
        <v>0</v>
      </c>
      <c r="Q149" t="n">
        <v>0</v>
      </c>
      <c r="R149" s="2" t="inlineStr"/>
    </row>
    <row r="150" ht="15" customHeight="1">
      <c r="A150" t="inlineStr">
        <is>
          <t>A 12480-2024</t>
        </is>
      </c>
      <c r="B150" s="1" t="n">
        <v>45379</v>
      </c>
      <c r="C150" s="1" t="n">
        <v>46135</v>
      </c>
      <c r="D150" t="inlineStr">
        <is>
          <t>KALMAR LÄN</t>
        </is>
      </c>
      <c r="E150" t="inlineStr">
        <is>
          <t>VIMMERBY</t>
        </is>
      </c>
      <c r="G150" t="n">
        <v>2.8</v>
      </c>
      <c r="H150" t="n">
        <v>0</v>
      </c>
      <c r="I150" t="n">
        <v>0</v>
      </c>
      <c r="J150" t="n">
        <v>0</v>
      </c>
      <c r="K150" t="n">
        <v>0</v>
      </c>
      <c r="L150" t="n">
        <v>0</v>
      </c>
      <c r="M150" t="n">
        <v>0</v>
      </c>
      <c r="N150" t="n">
        <v>0</v>
      </c>
      <c r="O150" t="n">
        <v>0</v>
      </c>
      <c r="P150" t="n">
        <v>0</v>
      </c>
      <c r="Q150" t="n">
        <v>0</v>
      </c>
      <c r="R150" s="2" t="inlineStr"/>
    </row>
    <row r="151" ht="15" customHeight="1">
      <c r="A151" t="inlineStr">
        <is>
          <t>A 9918-2022</t>
        </is>
      </c>
      <c r="B151" s="1" t="n">
        <v>44620</v>
      </c>
      <c r="C151" s="1" t="n">
        <v>46135</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46964-2022</t>
        </is>
      </c>
      <c r="B152" s="1" t="n">
        <v>44851.95016203704</v>
      </c>
      <c r="C152" s="1" t="n">
        <v>46135</v>
      </c>
      <c r="D152" t="inlineStr">
        <is>
          <t>KALMAR LÄN</t>
        </is>
      </c>
      <c r="E152" t="inlineStr">
        <is>
          <t>VIMMERBY</t>
        </is>
      </c>
      <c r="G152" t="n">
        <v>0.2</v>
      </c>
      <c r="H152" t="n">
        <v>0</v>
      </c>
      <c r="I152" t="n">
        <v>0</v>
      </c>
      <c r="J152" t="n">
        <v>0</v>
      </c>
      <c r="K152" t="n">
        <v>0</v>
      </c>
      <c r="L152" t="n">
        <v>0</v>
      </c>
      <c r="M152" t="n">
        <v>0</v>
      </c>
      <c r="N152" t="n">
        <v>0</v>
      </c>
      <c r="O152" t="n">
        <v>0</v>
      </c>
      <c r="P152" t="n">
        <v>0</v>
      </c>
      <c r="Q152" t="n">
        <v>0</v>
      </c>
      <c r="R152" s="2" t="inlineStr"/>
    </row>
    <row r="153" ht="15" customHeight="1">
      <c r="A153" t="inlineStr">
        <is>
          <t>A 13180-2022</t>
        </is>
      </c>
      <c r="B153" s="1" t="n">
        <v>44644</v>
      </c>
      <c r="C153" s="1" t="n">
        <v>46135</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40095-2022</t>
        </is>
      </c>
      <c r="B154" s="1" t="n">
        <v>44820</v>
      </c>
      <c r="C154" s="1" t="n">
        <v>46135</v>
      </c>
      <c r="D154" t="inlineStr">
        <is>
          <t>KALMAR LÄN</t>
        </is>
      </c>
      <c r="E154" t="inlineStr">
        <is>
          <t>VIMMERBY</t>
        </is>
      </c>
      <c r="G154" t="n">
        <v>2.4</v>
      </c>
      <c r="H154" t="n">
        <v>0</v>
      </c>
      <c r="I154" t="n">
        <v>0</v>
      </c>
      <c r="J154" t="n">
        <v>0</v>
      </c>
      <c r="K154" t="n">
        <v>0</v>
      </c>
      <c r="L154" t="n">
        <v>0</v>
      </c>
      <c r="M154" t="n">
        <v>0</v>
      </c>
      <c r="N154" t="n">
        <v>0</v>
      </c>
      <c r="O154" t="n">
        <v>0</v>
      </c>
      <c r="P154" t="n">
        <v>0</v>
      </c>
      <c r="Q154" t="n">
        <v>0</v>
      </c>
      <c r="R154" s="2" t="inlineStr"/>
    </row>
    <row r="155" ht="15" customHeight="1">
      <c r="A155" t="inlineStr">
        <is>
          <t>A 50085-2023</t>
        </is>
      </c>
      <c r="B155" s="1" t="n">
        <v>45215.5959375</v>
      </c>
      <c r="C155" s="1" t="n">
        <v>46135</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50087-2023</t>
        </is>
      </c>
      <c r="B156" s="1" t="n">
        <v>45215.59743055556</v>
      </c>
      <c r="C156" s="1" t="n">
        <v>46135</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8167-2024</t>
        </is>
      </c>
      <c r="B157" s="1" t="n">
        <v>45351.6062962963</v>
      </c>
      <c r="C157" s="1" t="n">
        <v>46135</v>
      </c>
      <c r="D157" t="inlineStr">
        <is>
          <t>KALMAR LÄN</t>
        </is>
      </c>
      <c r="E157" t="inlineStr">
        <is>
          <t>VIMMERBY</t>
        </is>
      </c>
      <c r="G157" t="n">
        <v>3.8</v>
      </c>
      <c r="H157" t="n">
        <v>0</v>
      </c>
      <c r="I157" t="n">
        <v>0</v>
      </c>
      <c r="J157" t="n">
        <v>0</v>
      </c>
      <c r="K157" t="n">
        <v>0</v>
      </c>
      <c r="L157" t="n">
        <v>0</v>
      </c>
      <c r="M157" t="n">
        <v>0</v>
      </c>
      <c r="N157" t="n">
        <v>0</v>
      </c>
      <c r="O157" t="n">
        <v>0</v>
      </c>
      <c r="P157" t="n">
        <v>0</v>
      </c>
      <c r="Q157" t="n">
        <v>0</v>
      </c>
      <c r="R157" s="2" t="inlineStr"/>
    </row>
    <row r="158" ht="15" customHeight="1">
      <c r="A158" t="inlineStr">
        <is>
          <t>A 23825-2022</t>
        </is>
      </c>
      <c r="B158" s="1" t="n">
        <v>44722.48768518519</v>
      </c>
      <c r="C158" s="1" t="n">
        <v>46135</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42850-2022</t>
        </is>
      </c>
      <c r="B159" s="1" t="n">
        <v>44832.67608796297</v>
      </c>
      <c r="C159" s="1" t="n">
        <v>46135</v>
      </c>
      <c r="D159" t="inlineStr">
        <is>
          <t>KALMAR LÄN</t>
        </is>
      </c>
      <c r="E159" t="inlineStr">
        <is>
          <t>VIMMERBY</t>
        </is>
      </c>
      <c r="G159" t="n">
        <v>5.9</v>
      </c>
      <c r="H159" t="n">
        <v>0</v>
      </c>
      <c r="I159" t="n">
        <v>0</v>
      </c>
      <c r="J159" t="n">
        <v>0</v>
      </c>
      <c r="K159" t="n">
        <v>0</v>
      </c>
      <c r="L159" t="n">
        <v>0</v>
      </c>
      <c r="M159" t="n">
        <v>0</v>
      </c>
      <c r="N159" t="n">
        <v>0</v>
      </c>
      <c r="O159" t="n">
        <v>0</v>
      </c>
      <c r="P159" t="n">
        <v>0</v>
      </c>
      <c r="Q159" t="n">
        <v>0</v>
      </c>
      <c r="R159" s="2" t="inlineStr"/>
    </row>
    <row r="160" ht="15" customHeight="1">
      <c r="A160" t="inlineStr">
        <is>
          <t>A 31382-2023</t>
        </is>
      </c>
      <c r="B160" s="1" t="n">
        <v>45114.55136574074</v>
      </c>
      <c r="C160" s="1" t="n">
        <v>46135</v>
      </c>
      <c r="D160" t="inlineStr">
        <is>
          <t>KALMAR LÄN</t>
        </is>
      </c>
      <c r="E160" t="inlineStr">
        <is>
          <t>VIMMERBY</t>
        </is>
      </c>
      <c r="G160" t="n">
        <v>3.7</v>
      </c>
      <c r="H160" t="n">
        <v>0</v>
      </c>
      <c r="I160" t="n">
        <v>0</v>
      </c>
      <c r="J160" t="n">
        <v>0</v>
      </c>
      <c r="K160" t="n">
        <v>0</v>
      </c>
      <c r="L160" t="n">
        <v>0</v>
      </c>
      <c r="M160" t="n">
        <v>0</v>
      </c>
      <c r="N160" t="n">
        <v>0</v>
      </c>
      <c r="O160" t="n">
        <v>0</v>
      </c>
      <c r="P160" t="n">
        <v>0</v>
      </c>
      <c r="Q160" t="n">
        <v>0</v>
      </c>
      <c r="R160" s="2" t="inlineStr"/>
    </row>
    <row r="161" ht="15" customHeight="1">
      <c r="A161" t="inlineStr">
        <is>
          <t>A 2604-2025</t>
        </is>
      </c>
      <c r="B161" s="1" t="n">
        <v>45674.74094907408</v>
      </c>
      <c r="C161" s="1" t="n">
        <v>46135</v>
      </c>
      <c r="D161" t="inlineStr">
        <is>
          <t>KALMAR LÄN</t>
        </is>
      </c>
      <c r="E161" t="inlineStr">
        <is>
          <t>VIMMERBY</t>
        </is>
      </c>
      <c r="G161" t="n">
        <v>7.6</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46135</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56213-2024</t>
        </is>
      </c>
      <c r="B163" s="1" t="n">
        <v>45624.60141203704</v>
      </c>
      <c r="C163" s="1" t="n">
        <v>46135</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46135</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54409-2024</t>
        </is>
      </c>
      <c r="B165" s="1" t="n">
        <v>45617.47570601852</v>
      </c>
      <c r="C165" s="1" t="n">
        <v>46135</v>
      </c>
      <c r="D165" t="inlineStr">
        <is>
          <t>KALMAR LÄN</t>
        </is>
      </c>
      <c r="E165" t="inlineStr">
        <is>
          <t>VIMMERBY</t>
        </is>
      </c>
      <c r="G165" t="n">
        <v>4.3</v>
      </c>
      <c r="H165" t="n">
        <v>0</v>
      </c>
      <c r="I165" t="n">
        <v>0</v>
      </c>
      <c r="J165" t="n">
        <v>0</v>
      </c>
      <c r="K165" t="n">
        <v>0</v>
      </c>
      <c r="L165" t="n">
        <v>0</v>
      </c>
      <c r="M165" t="n">
        <v>0</v>
      </c>
      <c r="N165" t="n">
        <v>0</v>
      </c>
      <c r="O165" t="n">
        <v>0</v>
      </c>
      <c r="P165" t="n">
        <v>0</v>
      </c>
      <c r="Q165" t="n">
        <v>0</v>
      </c>
      <c r="R165" s="2" t="inlineStr"/>
    </row>
    <row r="166" ht="15" customHeight="1">
      <c r="A166" t="inlineStr">
        <is>
          <t>A 41056-2022</t>
        </is>
      </c>
      <c r="B166" s="1" t="n">
        <v>44824</v>
      </c>
      <c r="C166" s="1" t="n">
        <v>46135</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31660-2021</t>
        </is>
      </c>
      <c r="B167" s="1" t="n">
        <v>44369</v>
      </c>
      <c r="C167" s="1" t="n">
        <v>46135</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27455-2022</t>
        </is>
      </c>
      <c r="B168" s="1" t="n">
        <v>44742</v>
      </c>
      <c r="C168" s="1" t="n">
        <v>46135</v>
      </c>
      <c r="D168" t="inlineStr">
        <is>
          <t>KALMAR LÄN</t>
        </is>
      </c>
      <c r="E168" t="inlineStr">
        <is>
          <t>VIMMERBY</t>
        </is>
      </c>
      <c r="G168" t="n">
        <v>1.6</v>
      </c>
      <c r="H168" t="n">
        <v>0</v>
      </c>
      <c r="I168" t="n">
        <v>0</v>
      </c>
      <c r="J168" t="n">
        <v>0</v>
      </c>
      <c r="K168" t="n">
        <v>0</v>
      </c>
      <c r="L168" t="n">
        <v>0</v>
      </c>
      <c r="M168" t="n">
        <v>0</v>
      </c>
      <c r="N168" t="n">
        <v>0</v>
      </c>
      <c r="O168" t="n">
        <v>0</v>
      </c>
      <c r="P168" t="n">
        <v>0</v>
      </c>
      <c r="Q168" t="n">
        <v>0</v>
      </c>
      <c r="R168" s="2" t="inlineStr"/>
    </row>
    <row r="169" ht="15" customHeight="1">
      <c r="A169" t="inlineStr">
        <is>
          <t>A 37192-2024</t>
        </is>
      </c>
      <c r="B169" s="1" t="n">
        <v>45539.66027777778</v>
      </c>
      <c r="C169" s="1" t="n">
        <v>46135</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42429-2024</t>
        </is>
      </c>
      <c r="B170" s="1" t="n">
        <v>45565.40657407408</v>
      </c>
      <c r="C170" s="1" t="n">
        <v>46135</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53145-2022</t>
        </is>
      </c>
      <c r="B171" s="1" t="n">
        <v>44876.48346064815</v>
      </c>
      <c r="C171" s="1" t="n">
        <v>46135</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25738-2022</t>
        </is>
      </c>
      <c r="B172" s="1" t="n">
        <v>44733.43092592592</v>
      </c>
      <c r="C172" s="1" t="n">
        <v>46135</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16825-2024</t>
        </is>
      </c>
      <c r="B173" s="1" t="n">
        <v>45411.47335648148</v>
      </c>
      <c r="C173" s="1" t="n">
        <v>46135</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29180-2024</t>
        </is>
      </c>
      <c r="B174" s="1" t="n">
        <v>45482.54108796296</v>
      </c>
      <c r="C174" s="1" t="n">
        <v>46135</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7643-2022</t>
        </is>
      </c>
      <c r="B175" s="1" t="n">
        <v>44607</v>
      </c>
      <c r="C175" s="1" t="n">
        <v>46135</v>
      </c>
      <c r="D175" t="inlineStr">
        <is>
          <t>KALMAR LÄN</t>
        </is>
      </c>
      <c r="E175" t="inlineStr">
        <is>
          <t>VIMMERBY</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46135</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40971-2021</t>
        </is>
      </c>
      <c r="B177" s="1" t="n">
        <v>44421</v>
      </c>
      <c r="C177" s="1" t="n">
        <v>46135</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45846-2023</t>
        </is>
      </c>
      <c r="B178" s="1" t="n">
        <v>45195.58452546296</v>
      </c>
      <c r="C178" s="1" t="n">
        <v>46135</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16020-2023</t>
        </is>
      </c>
      <c r="B179" s="1" t="n">
        <v>45026.82216435186</v>
      </c>
      <c r="C179" s="1" t="n">
        <v>46135</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61820-2023</t>
        </is>
      </c>
      <c r="B180" s="1" t="n">
        <v>45266.32614583334</v>
      </c>
      <c r="C180" s="1" t="n">
        <v>46135</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36600-2025</t>
        </is>
      </c>
      <c r="B181" s="1" t="n">
        <v>45870.51958333333</v>
      </c>
      <c r="C181" s="1" t="n">
        <v>46135</v>
      </c>
      <c r="D181" t="inlineStr">
        <is>
          <t>KALMAR LÄN</t>
        </is>
      </c>
      <c r="E181" t="inlineStr">
        <is>
          <t>VIMMERBY</t>
        </is>
      </c>
      <c r="G181" t="n">
        <v>2</v>
      </c>
      <c r="H181" t="n">
        <v>0</v>
      </c>
      <c r="I181" t="n">
        <v>0</v>
      </c>
      <c r="J181" t="n">
        <v>0</v>
      </c>
      <c r="K181" t="n">
        <v>0</v>
      </c>
      <c r="L181" t="n">
        <v>0</v>
      </c>
      <c r="M181" t="n">
        <v>0</v>
      </c>
      <c r="N181" t="n">
        <v>0</v>
      </c>
      <c r="O181" t="n">
        <v>0</v>
      </c>
      <c r="P181" t="n">
        <v>0</v>
      </c>
      <c r="Q181" t="n">
        <v>0</v>
      </c>
      <c r="R181" s="2" t="inlineStr"/>
    </row>
    <row r="182" ht="15" customHeight="1">
      <c r="A182" t="inlineStr">
        <is>
          <t>A 36601-2025</t>
        </is>
      </c>
      <c r="B182" s="1" t="n">
        <v>45870.52005787037</v>
      </c>
      <c r="C182" s="1" t="n">
        <v>46135</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11027-2023</t>
        </is>
      </c>
      <c r="B183" s="1" t="n">
        <v>44991.89657407408</v>
      </c>
      <c r="C183" s="1" t="n">
        <v>46135</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46135</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46135</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46135</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37088-2025</t>
        </is>
      </c>
      <c r="B187" s="1" t="n">
        <v>45875.45716435185</v>
      </c>
      <c r="C187" s="1" t="n">
        <v>46135</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37102-2025</t>
        </is>
      </c>
      <c r="B188" s="1" t="n">
        <v>45875.47454861111</v>
      </c>
      <c r="C188" s="1" t="n">
        <v>46135</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46135</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31824-2022</t>
        </is>
      </c>
      <c r="B190" s="1" t="n">
        <v>44776</v>
      </c>
      <c r="C190" s="1" t="n">
        <v>46135</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11733-2022</t>
        </is>
      </c>
      <c r="B191" s="1" t="n">
        <v>44634</v>
      </c>
      <c r="C191" s="1" t="n">
        <v>46135</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37079-2025</t>
        </is>
      </c>
      <c r="B192" s="1" t="n">
        <v>45875.42716435185</v>
      </c>
      <c r="C192" s="1" t="n">
        <v>46135</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7804-2022</t>
        </is>
      </c>
      <c r="B193" s="1" t="n">
        <v>44608.50458333334</v>
      </c>
      <c r="C193" s="1" t="n">
        <v>46135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39042-2022</t>
        </is>
      </c>
      <c r="B194" s="1" t="n">
        <v>44817</v>
      </c>
      <c r="C194" s="1" t="n">
        <v>46135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45560-2021</t>
        </is>
      </c>
      <c r="B195" s="1" t="n">
        <v>44440</v>
      </c>
      <c r="C195" s="1" t="n">
        <v>46135</v>
      </c>
      <c r="D195" t="inlineStr">
        <is>
          <t>KALMAR LÄN</t>
        </is>
      </c>
      <c r="E195" t="inlineStr">
        <is>
          <t>VIMMERBY</t>
        </is>
      </c>
      <c r="G195" t="n">
        <v>1.3</v>
      </c>
      <c r="H195" t="n">
        <v>0</v>
      </c>
      <c r="I195" t="n">
        <v>0</v>
      </c>
      <c r="J195" t="n">
        <v>0</v>
      </c>
      <c r="K195" t="n">
        <v>0</v>
      </c>
      <c r="L195" t="n">
        <v>0</v>
      </c>
      <c r="M195" t="n">
        <v>0</v>
      </c>
      <c r="N195" t="n">
        <v>0</v>
      </c>
      <c r="O195" t="n">
        <v>0</v>
      </c>
      <c r="P195" t="n">
        <v>0</v>
      </c>
      <c r="Q195" t="n">
        <v>0</v>
      </c>
      <c r="R195" s="2" t="inlineStr"/>
    </row>
    <row r="196" ht="15" customHeight="1">
      <c r="A196" t="inlineStr">
        <is>
          <t>A 53483-2022</t>
        </is>
      </c>
      <c r="B196" s="1" t="n">
        <v>44879.55940972222</v>
      </c>
      <c r="C196" s="1" t="n">
        <v>46135</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36934-2025</t>
        </is>
      </c>
      <c r="B197" s="1" t="n">
        <v>45874.57109953704</v>
      </c>
      <c r="C197" s="1" t="n">
        <v>46135</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18899-2025</t>
        </is>
      </c>
      <c r="B198" s="1" t="n">
        <v>45764.44931712963</v>
      </c>
      <c r="C198" s="1" t="n">
        <v>46135</v>
      </c>
      <c r="D198" t="inlineStr">
        <is>
          <t>KALMAR LÄN</t>
        </is>
      </c>
      <c r="E198" t="inlineStr">
        <is>
          <t>VIMMERBY</t>
        </is>
      </c>
      <c r="F198" t="inlineStr">
        <is>
          <t>Kommuner</t>
        </is>
      </c>
      <c r="G198" t="n">
        <v>4</v>
      </c>
      <c r="H198" t="n">
        <v>0</v>
      </c>
      <c r="I198" t="n">
        <v>0</v>
      </c>
      <c r="J198" t="n">
        <v>0</v>
      </c>
      <c r="K198" t="n">
        <v>0</v>
      </c>
      <c r="L198" t="n">
        <v>0</v>
      </c>
      <c r="M198" t="n">
        <v>0</v>
      </c>
      <c r="N198" t="n">
        <v>0</v>
      </c>
      <c r="O198" t="n">
        <v>0</v>
      </c>
      <c r="P198" t="n">
        <v>0</v>
      </c>
      <c r="Q198" t="n">
        <v>0</v>
      </c>
      <c r="R198" s="2" t="inlineStr"/>
    </row>
    <row r="199" ht="15" customHeight="1">
      <c r="A199" t="inlineStr">
        <is>
          <t>A 20054-2023</t>
        </is>
      </c>
      <c r="B199" s="1" t="n">
        <v>45054.6750462963</v>
      </c>
      <c r="C199" s="1" t="n">
        <v>46135</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4076-2022</t>
        </is>
      </c>
      <c r="B200" s="1" t="n">
        <v>44588.37998842593</v>
      </c>
      <c r="C200" s="1" t="n">
        <v>46135</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40256-2024</t>
        </is>
      </c>
      <c r="B201" s="1" t="n">
        <v>45554.62944444444</v>
      </c>
      <c r="C201" s="1" t="n">
        <v>46135</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4122-2022</t>
        </is>
      </c>
      <c r="B202" s="1" t="n">
        <v>44588</v>
      </c>
      <c r="C202" s="1" t="n">
        <v>46135</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46135</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58104-2024</t>
        </is>
      </c>
      <c r="B204" s="1" t="n">
        <v>45632.37459490741</v>
      </c>
      <c r="C204" s="1" t="n">
        <v>46135</v>
      </c>
      <c r="D204" t="inlineStr">
        <is>
          <t>KALMAR LÄN</t>
        </is>
      </c>
      <c r="E204" t="inlineStr">
        <is>
          <t>VIMMERBY</t>
        </is>
      </c>
      <c r="G204" t="n">
        <v>5</v>
      </c>
      <c r="H204" t="n">
        <v>0</v>
      </c>
      <c r="I204" t="n">
        <v>0</v>
      </c>
      <c r="J204" t="n">
        <v>0</v>
      </c>
      <c r="K204" t="n">
        <v>0</v>
      </c>
      <c r="L204" t="n">
        <v>0</v>
      </c>
      <c r="M204" t="n">
        <v>0</v>
      </c>
      <c r="N204" t="n">
        <v>0</v>
      </c>
      <c r="O204" t="n">
        <v>0</v>
      </c>
      <c r="P204" t="n">
        <v>0</v>
      </c>
      <c r="Q204" t="n">
        <v>0</v>
      </c>
      <c r="R204" s="2" t="inlineStr"/>
    </row>
    <row r="205" ht="15" customHeight="1">
      <c r="A205" t="inlineStr">
        <is>
          <t>A 58962-2022</t>
        </is>
      </c>
      <c r="B205" s="1" t="n">
        <v>44903</v>
      </c>
      <c r="C205" s="1" t="n">
        <v>46135</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36259-2022</t>
        </is>
      </c>
      <c r="B206" s="1" t="n">
        <v>44803.59118055556</v>
      </c>
      <c r="C206" s="1" t="n">
        <v>46135</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43034-2024</t>
        </is>
      </c>
      <c r="B207" s="1" t="n">
        <v>45567.42011574074</v>
      </c>
      <c r="C207" s="1" t="n">
        <v>46135</v>
      </c>
      <c r="D207" t="inlineStr">
        <is>
          <t>KALMAR LÄN</t>
        </is>
      </c>
      <c r="E207" t="inlineStr">
        <is>
          <t>VIMMERBY</t>
        </is>
      </c>
      <c r="G207" t="n">
        <v>1.8</v>
      </c>
      <c r="H207" t="n">
        <v>0</v>
      </c>
      <c r="I207" t="n">
        <v>0</v>
      </c>
      <c r="J207" t="n">
        <v>0</v>
      </c>
      <c r="K207" t="n">
        <v>0</v>
      </c>
      <c r="L207" t="n">
        <v>0</v>
      </c>
      <c r="M207" t="n">
        <v>0</v>
      </c>
      <c r="N207" t="n">
        <v>0</v>
      </c>
      <c r="O207" t="n">
        <v>0</v>
      </c>
      <c r="P207" t="n">
        <v>0</v>
      </c>
      <c r="Q207" t="n">
        <v>0</v>
      </c>
      <c r="R207" s="2" t="inlineStr"/>
    </row>
    <row r="208" ht="15" customHeight="1">
      <c r="A208" t="inlineStr">
        <is>
          <t>A 37578-2025</t>
        </is>
      </c>
      <c r="B208" s="1" t="n">
        <v>45880.38380787037</v>
      </c>
      <c r="C208" s="1" t="n">
        <v>46135</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30402-2023</t>
        </is>
      </c>
      <c r="B209" s="1" t="n">
        <v>45111.48395833333</v>
      </c>
      <c r="C209" s="1" t="n">
        <v>46135</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3902-2022</t>
        </is>
      </c>
      <c r="B210" s="1" t="n">
        <v>44587.48847222222</v>
      </c>
      <c r="C210" s="1" t="n">
        <v>46135</v>
      </c>
      <c r="D210" t="inlineStr">
        <is>
          <t>KALMAR LÄN</t>
        </is>
      </c>
      <c r="E210" t="inlineStr">
        <is>
          <t>VIMMERBY</t>
        </is>
      </c>
      <c r="G210" t="n">
        <v>2.6</v>
      </c>
      <c r="H210" t="n">
        <v>0</v>
      </c>
      <c r="I210" t="n">
        <v>0</v>
      </c>
      <c r="J210" t="n">
        <v>0</v>
      </c>
      <c r="K210" t="n">
        <v>0</v>
      </c>
      <c r="L210" t="n">
        <v>0</v>
      </c>
      <c r="M210" t="n">
        <v>0</v>
      </c>
      <c r="N210" t="n">
        <v>0</v>
      </c>
      <c r="O210" t="n">
        <v>0</v>
      </c>
      <c r="P210" t="n">
        <v>0</v>
      </c>
      <c r="Q210" t="n">
        <v>0</v>
      </c>
      <c r="R210" s="2" t="inlineStr"/>
    </row>
    <row r="211" ht="15" customHeight="1">
      <c r="A211" t="inlineStr">
        <is>
          <t>A 30070-2023</t>
        </is>
      </c>
      <c r="B211" s="1" t="n">
        <v>45110.4275</v>
      </c>
      <c r="C211" s="1" t="n">
        <v>46135</v>
      </c>
      <c r="D211" t="inlineStr">
        <is>
          <t>KALMAR LÄN</t>
        </is>
      </c>
      <c r="E211" t="inlineStr">
        <is>
          <t>VIMMERBY</t>
        </is>
      </c>
      <c r="G211" t="n">
        <v>1.6</v>
      </c>
      <c r="H211" t="n">
        <v>0</v>
      </c>
      <c r="I211" t="n">
        <v>0</v>
      </c>
      <c r="J211" t="n">
        <v>0</v>
      </c>
      <c r="K211" t="n">
        <v>0</v>
      </c>
      <c r="L211" t="n">
        <v>0</v>
      </c>
      <c r="M211" t="n">
        <v>0</v>
      </c>
      <c r="N211" t="n">
        <v>0</v>
      </c>
      <c r="O211" t="n">
        <v>0</v>
      </c>
      <c r="P211" t="n">
        <v>0</v>
      </c>
      <c r="Q211" t="n">
        <v>0</v>
      </c>
      <c r="R211" s="2" t="inlineStr"/>
    </row>
    <row r="212" ht="15" customHeight="1">
      <c r="A212" t="inlineStr">
        <is>
          <t>A 37668-2025</t>
        </is>
      </c>
      <c r="B212" s="1" t="n">
        <v>45880.51550925926</v>
      </c>
      <c r="C212" s="1" t="n">
        <v>46135</v>
      </c>
      <c r="D212" t="inlineStr">
        <is>
          <t>KALMAR LÄN</t>
        </is>
      </c>
      <c r="E212" t="inlineStr">
        <is>
          <t>VIMMERBY</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11609-2023</t>
        </is>
      </c>
      <c r="B213" s="1" t="n">
        <v>44994.40635416667</v>
      </c>
      <c r="C213" s="1" t="n">
        <v>46135</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37939-2025</t>
        </is>
      </c>
      <c r="B214" s="1" t="n">
        <v>45881.59877314815</v>
      </c>
      <c r="C214" s="1" t="n">
        <v>46135</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10837-2023</t>
        </is>
      </c>
      <c r="B215" s="1" t="n">
        <v>44991.30547453704</v>
      </c>
      <c r="C215" s="1" t="n">
        <v>46135</v>
      </c>
      <c r="D215" t="inlineStr">
        <is>
          <t>KALMAR LÄN</t>
        </is>
      </c>
      <c r="E215" t="inlineStr">
        <is>
          <t>VIMMERBY</t>
        </is>
      </c>
      <c r="G215" t="n">
        <v>7.3</v>
      </c>
      <c r="H215" t="n">
        <v>0</v>
      </c>
      <c r="I215" t="n">
        <v>0</v>
      </c>
      <c r="J215" t="n">
        <v>0</v>
      </c>
      <c r="K215" t="n">
        <v>0</v>
      </c>
      <c r="L215" t="n">
        <v>0</v>
      </c>
      <c r="M215" t="n">
        <v>0</v>
      </c>
      <c r="N215" t="n">
        <v>0</v>
      </c>
      <c r="O215" t="n">
        <v>0</v>
      </c>
      <c r="P215" t="n">
        <v>0</v>
      </c>
      <c r="Q215" t="n">
        <v>0</v>
      </c>
      <c r="R215" s="2" t="inlineStr"/>
    </row>
    <row r="216" ht="15" customHeight="1">
      <c r="A216" t="inlineStr">
        <is>
          <t>A 37866-2025</t>
        </is>
      </c>
      <c r="B216" s="1" t="n">
        <v>45881</v>
      </c>
      <c r="C216" s="1" t="n">
        <v>46135</v>
      </c>
      <c r="D216" t="inlineStr">
        <is>
          <t>KALMAR LÄN</t>
        </is>
      </c>
      <c r="E216" t="inlineStr">
        <is>
          <t>VIMMERBY</t>
        </is>
      </c>
      <c r="G216" t="n">
        <v>3.4</v>
      </c>
      <c r="H216" t="n">
        <v>0</v>
      </c>
      <c r="I216" t="n">
        <v>0</v>
      </c>
      <c r="J216" t="n">
        <v>0</v>
      </c>
      <c r="K216" t="n">
        <v>0</v>
      </c>
      <c r="L216" t="n">
        <v>0</v>
      </c>
      <c r="M216" t="n">
        <v>0</v>
      </c>
      <c r="N216" t="n">
        <v>0</v>
      </c>
      <c r="O216" t="n">
        <v>0</v>
      </c>
      <c r="P216" t="n">
        <v>0</v>
      </c>
      <c r="Q216" t="n">
        <v>0</v>
      </c>
      <c r="R216" s="2" t="inlineStr"/>
    </row>
    <row r="217" ht="15" customHeight="1">
      <c r="A217" t="inlineStr">
        <is>
          <t>A 10838-2023</t>
        </is>
      </c>
      <c r="B217" s="1" t="n">
        <v>44991</v>
      </c>
      <c r="C217" s="1" t="n">
        <v>46135</v>
      </c>
      <c r="D217" t="inlineStr">
        <is>
          <t>KALMAR LÄN</t>
        </is>
      </c>
      <c r="E217" t="inlineStr">
        <is>
          <t>VIMMERBY</t>
        </is>
      </c>
      <c r="G217" t="n">
        <v>5.1</v>
      </c>
      <c r="H217" t="n">
        <v>0</v>
      </c>
      <c r="I217" t="n">
        <v>0</v>
      </c>
      <c r="J217" t="n">
        <v>0</v>
      </c>
      <c r="K217" t="n">
        <v>0</v>
      </c>
      <c r="L217" t="n">
        <v>0</v>
      </c>
      <c r="M217" t="n">
        <v>0</v>
      </c>
      <c r="N217" t="n">
        <v>0</v>
      </c>
      <c r="O217" t="n">
        <v>0</v>
      </c>
      <c r="P217" t="n">
        <v>0</v>
      </c>
      <c r="Q217" t="n">
        <v>0</v>
      </c>
      <c r="R217" s="2" t="inlineStr"/>
    </row>
    <row r="218" ht="15" customHeight="1">
      <c r="A218" t="inlineStr">
        <is>
          <t>A 31209-2024</t>
        </is>
      </c>
      <c r="B218" s="1" t="n">
        <v>45503.5658912037</v>
      </c>
      <c r="C218" s="1" t="n">
        <v>46135</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4527-2023</t>
        </is>
      </c>
      <c r="B219" s="1" t="n">
        <v>44956</v>
      </c>
      <c r="C219" s="1" t="n">
        <v>46135</v>
      </c>
      <c r="D219" t="inlineStr">
        <is>
          <t>KALMAR LÄN</t>
        </is>
      </c>
      <c r="E219" t="inlineStr">
        <is>
          <t>VIMMERBY</t>
        </is>
      </c>
      <c r="F219" t="inlineStr">
        <is>
          <t>Kommuner</t>
        </is>
      </c>
      <c r="G219" t="n">
        <v>8.5</v>
      </c>
      <c r="H219" t="n">
        <v>0</v>
      </c>
      <c r="I219" t="n">
        <v>0</v>
      </c>
      <c r="J219" t="n">
        <v>0</v>
      </c>
      <c r="K219" t="n">
        <v>0</v>
      </c>
      <c r="L219" t="n">
        <v>0</v>
      </c>
      <c r="M219" t="n">
        <v>0</v>
      </c>
      <c r="N219" t="n">
        <v>0</v>
      </c>
      <c r="O219" t="n">
        <v>0</v>
      </c>
      <c r="P219" t="n">
        <v>0</v>
      </c>
      <c r="Q219" t="n">
        <v>0</v>
      </c>
      <c r="R219" s="2" t="inlineStr"/>
    </row>
    <row r="220" ht="15" customHeight="1">
      <c r="A220" t="inlineStr">
        <is>
          <t>A 5864-2022</t>
        </is>
      </c>
      <c r="B220" s="1" t="n">
        <v>44596</v>
      </c>
      <c r="C220" s="1" t="n">
        <v>46135</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30912-2023</t>
        </is>
      </c>
      <c r="B221" s="1" t="n">
        <v>45113.41633101852</v>
      </c>
      <c r="C221" s="1" t="n">
        <v>46135</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1146-2025</t>
        </is>
      </c>
      <c r="B222" s="1" t="n">
        <v>45666</v>
      </c>
      <c r="C222" s="1" t="n">
        <v>46135</v>
      </c>
      <c r="D222" t="inlineStr">
        <is>
          <t>KALMAR LÄN</t>
        </is>
      </c>
      <c r="E222" t="inlineStr">
        <is>
          <t>VIMMERBY</t>
        </is>
      </c>
      <c r="G222" t="n">
        <v>4</v>
      </c>
      <c r="H222" t="n">
        <v>0</v>
      </c>
      <c r="I222" t="n">
        <v>0</v>
      </c>
      <c r="J222" t="n">
        <v>0</v>
      </c>
      <c r="K222" t="n">
        <v>0</v>
      </c>
      <c r="L222" t="n">
        <v>0</v>
      </c>
      <c r="M222" t="n">
        <v>0</v>
      </c>
      <c r="N222" t="n">
        <v>0</v>
      </c>
      <c r="O222" t="n">
        <v>0</v>
      </c>
      <c r="P222" t="n">
        <v>0</v>
      </c>
      <c r="Q222" t="n">
        <v>0</v>
      </c>
      <c r="R222" s="2" t="inlineStr"/>
    </row>
    <row r="223" ht="15" customHeight="1">
      <c r="A223" t="inlineStr">
        <is>
          <t>A 38964-2025</t>
        </is>
      </c>
      <c r="B223" s="1" t="n">
        <v>45887.68759259259</v>
      </c>
      <c r="C223" s="1" t="n">
        <v>46135</v>
      </c>
      <c r="D223" t="inlineStr">
        <is>
          <t>KALMAR LÄN</t>
        </is>
      </c>
      <c r="E223" t="inlineStr">
        <is>
          <t>VIMMERBY</t>
        </is>
      </c>
      <c r="G223" t="n">
        <v>7.5</v>
      </c>
      <c r="H223" t="n">
        <v>0</v>
      </c>
      <c r="I223" t="n">
        <v>0</v>
      </c>
      <c r="J223" t="n">
        <v>0</v>
      </c>
      <c r="K223" t="n">
        <v>0</v>
      </c>
      <c r="L223" t="n">
        <v>0</v>
      </c>
      <c r="M223" t="n">
        <v>0</v>
      </c>
      <c r="N223" t="n">
        <v>0</v>
      </c>
      <c r="O223" t="n">
        <v>0</v>
      </c>
      <c r="P223" t="n">
        <v>0</v>
      </c>
      <c r="Q223" t="n">
        <v>0</v>
      </c>
      <c r="R223" s="2" t="inlineStr"/>
    </row>
    <row r="224" ht="15" customHeight="1">
      <c r="A224" t="inlineStr">
        <is>
          <t>A 62023-2022</t>
        </is>
      </c>
      <c r="B224" s="1" t="n">
        <v>44918.50106481482</v>
      </c>
      <c r="C224" s="1" t="n">
        <v>46135</v>
      </c>
      <c r="D224" t="inlineStr">
        <is>
          <t>KALMAR LÄN</t>
        </is>
      </c>
      <c r="E224" t="inlineStr">
        <is>
          <t>VIMMERBY</t>
        </is>
      </c>
      <c r="G224" t="n">
        <v>0.3</v>
      </c>
      <c r="H224" t="n">
        <v>0</v>
      </c>
      <c r="I224" t="n">
        <v>0</v>
      </c>
      <c r="J224" t="n">
        <v>0</v>
      </c>
      <c r="K224" t="n">
        <v>0</v>
      </c>
      <c r="L224" t="n">
        <v>0</v>
      </c>
      <c r="M224" t="n">
        <v>0</v>
      </c>
      <c r="N224" t="n">
        <v>0</v>
      </c>
      <c r="O224" t="n">
        <v>0</v>
      </c>
      <c r="P224" t="n">
        <v>0</v>
      </c>
      <c r="Q224" t="n">
        <v>0</v>
      </c>
      <c r="R224" s="2" t="inlineStr"/>
    </row>
    <row r="225" ht="15" customHeight="1">
      <c r="A225" t="inlineStr">
        <is>
          <t>A 13290-2025</t>
        </is>
      </c>
      <c r="B225" s="1" t="n">
        <v>45735.56751157407</v>
      </c>
      <c r="C225" s="1" t="n">
        <v>46135</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19162-2023</t>
        </is>
      </c>
      <c r="B226" s="1" t="n">
        <v>45048.59699074074</v>
      </c>
      <c r="C226" s="1" t="n">
        <v>46135</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16119-2023</t>
        </is>
      </c>
      <c r="B227" s="1" t="n">
        <v>45027.59450231482</v>
      </c>
      <c r="C227" s="1" t="n">
        <v>46135</v>
      </c>
      <c r="D227" t="inlineStr">
        <is>
          <t>KALMAR LÄN</t>
        </is>
      </c>
      <c r="E227" t="inlineStr">
        <is>
          <t>VIMMERBY</t>
        </is>
      </c>
      <c r="F227" t="inlineStr">
        <is>
          <t>Kommuner</t>
        </is>
      </c>
      <c r="G227" t="n">
        <v>4.4</v>
      </c>
      <c r="H227" t="n">
        <v>0</v>
      </c>
      <c r="I227" t="n">
        <v>0</v>
      </c>
      <c r="J227" t="n">
        <v>0</v>
      </c>
      <c r="K227" t="n">
        <v>0</v>
      </c>
      <c r="L227" t="n">
        <v>0</v>
      </c>
      <c r="M227" t="n">
        <v>0</v>
      </c>
      <c r="N227" t="n">
        <v>0</v>
      </c>
      <c r="O227" t="n">
        <v>0</v>
      </c>
      <c r="P227" t="n">
        <v>0</v>
      </c>
      <c r="Q227" t="n">
        <v>0</v>
      </c>
      <c r="R227" s="2" t="inlineStr"/>
    </row>
    <row r="228" ht="15" customHeight="1">
      <c r="A228" t="inlineStr">
        <is>
          <t>A 9475-2023</t>
        </is>
      </c>
      <c r="B228" s="1" t="n">
        <v>44981.58834490741</v>
      </c>
      <c r="C228" s="1" t="n">
        <v>46135</v>
      </c>
      <c r="D228" t="inlineStr">
        <is>
          <t>KALMAR LÄN</t>
        </is>
      </c>
      <c r="E228" t="inlineStr">
        <is>
          <t>VIMMERBY</t>
        </is>
      </c>
      <c r="G228" t="n">
        <v>2</v>
      </c>
      <c r="H228" t="n">
        <v>0</v>
      </c>
      <c r="I228" t="n">
        <v>0</v>
      </c>
      <c r="J228" t="n">
        <v>0</v>
      </c>
      <c r="K228" t="n">
        <v>0</v>
      </c>
      <c r="L228" t="n">
        <v>0</v>
      </c>
      <c r="M228" t="n">
        <v>0</v>
      </c>
      <c r="N228" t="n">
        <v>0</v>
      </c>
      <c r="O228" t="n">
        <v>0</v>
      </c>
      <c r="P228" t="n">
        <v>0</v>
      </c>
      <c r="Q228" t="n">
        <v>0</v>
      </c>
      <c r="R228" s="2" t="inlineStr"/>
    </row>
    <row r="229" ht="15" customHeight="1">
      <c r="A229" t="inlineStr">
        <is>
          <t>A 52327-2023</t>
        </is>
      </c>
      <c r="B229" s="1" t="n">
        <v>45224.6515162037</v>
      </c>
      <c r="C229" s="1" t="n">
        <v>46135</v>
      </c>
      <c r="D229" t="inlineStr">
        <is>
          <t>KALMAR LÄN</t>
        </is>
      </c>
      <c r="E229" t="inlineStr">
        <is>
          <t>VIMMERBY</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12075-2024</t>
        </is>
      </c>
      <c r="B230" s="1" t="n">
        <v>45377</v>
      </c>
      <c r="C230" s="1" t="n">
        <v>46135</v>
      </c>
      <c r="D230" t="inlineStr">
        <is>
          <t>KALMAR LÄN</t>
        </is>
      </c>
      <c r="E230" t="inlineStr">
        <is>
          <t>VIMMERBY</t>
        </is>
      </c>
      <c r="G230" t="n">
        <v>3.7</v>
      </c>
      <c r="H230" t="n">
        <v>0</v>
      </c>
      <c r="I230" t="n">
        <v>0</v>
      </c>
      <c r="J230" t="n">
        <v>0</v>
      </c>
      <c r="K230" t="n">
        <v>0</v>
      </c>
      <c r="L230" t="n">
        <v>0</v>
      </c>
      <c r="M230" t="n">
        <v>0</v>
      </c>
      <c r="N230" t="n">
        <v>0</v>
      </c>
      <c r="O230" t="n">
        <v>0</v>
      </c>
      <c r="P230" t="n">
        <v>0</v>
      </c>
      <c r="Q230" t="n">
        <v>0</v>
      </c>
      <c r="R230" s="2" t="inlineStr"/>
    </row>
    <row r="231" ht="15" customHeight="1">
      <c r="A231" t="inlineStr">
        <is>
          <t>A 11946-2025</t>
        </is>
      </c>
      <c r="B231" s="1" t="n">
        <v>45728.54832175926</v>
      </c>
      <c r="C231" s="1" t="n">
        <v>46135</v>
      </c>
      <c r="D231" t="inlineStr">
        <is>
          <t>KALMAR LÄN</t>
        </is>
      </c>
      <c r="E231" t="inlineStr">
        <is>
          <t>VIMMERBY</t>
        </is>
      </c>
      <c r="G231" t="n">
        <v>0.4</v>
      </c>
      <c r="H231" t="n">
        <v>0</v>
      </c>
      <c r="I231" t="n">
        <v>0</v>
      </c>
      <c r="J231" t="n">
        <v>0</v>
      </c>
      <c r="K231" t="n">
        <v>0</v>
      </c>
      <c r="L231" t="n">
        <v>0</v>
      </c>
      <c r="M231" t="n">
        <v>0</v>
      </c>
      <c r="N231" t="n">
        <v>0</v>
      </c>
      <c r="O231" t="n">
        <v>0</v>
      </c>
      <c r="P231" t="n">
        <v>0</v>
      </c>
      <c r="Q231" t="n">
        <v>0</v>
      </c>
      <c r="R231" s="2" t="inlineStr"/>
    </row>
    <row r="232" ht="15" customHeight="1">
      <c r="A232" t="inlineStr">
        <is>
          <t>A 19537-2022</t>
        </is>
      </c>
      <c r="B232" s="1" t="n">
        <v>44693.62822916666</v>
      </c>
      <c r="C232" s="1" t="n">
        <v>46135</v>
      </c>
      <c r="D232" t="inlineStr">
        <is>
          <t>KALMAR LÄN</t>
        </is>
      </c>
      <c r="E232" t="inlineStr">
        <is>
          <t>VIMMERBY</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29348-2023</t>
        </is>
      </c>
      <c r="B233" s="1" t="n">
        <v>45106.25025462963</v>
      </c>
      <c r="C233" s="1" t="n">
        <v>46135</v>
      </c>
      <c r="D233" t="inlineStr">
        <is>
          <t>KALMAR LÄN</t>
        </is>
      </c>
      <c r="E233" t="inlineStr">
        <is>
          <t>VIMMERBY</t>
        </is>
      </c>
      <c r="G233" t="n">
        <v>2.4</v>
      </c>
      <c r="H233" t="n">
        <v>0</v>
      </c>
      <c r="I233" t="n">
        <v>0</v>
      </c>
      <c r="J233" t="n">
        <v>0</v>
      </c>
      <c r="K233" t="n">
        <v>0</v>
      </c>
      <c r="L233" t="n">
        <v>0</v>
      </c>
      <c r="M233" t="n">
        <v>0</v>
      </c>
      <c r="N233" t="n">
        <v>0</v>
      </c>
      <c r="O233" t="n">
        <v>0</v>
      </c>
      <c r="P233" t="n">
        <v>0</v>
      </c>
      <c r="Q233" t="n">
        <v>0</v>
      </c>
      <c r="R233" s="2" t="inlineStr"/>
    </row>
    <row r="234" ht="15" customHeight="1">
      <c r="A234" t="inlineStr">
        <is>
          <t>A 31340-2023</t>
        </is>
      </c>
      <c r="B234" s="1" t="n">
        <v>45114.47895833333</v>
      </c>
      <c r="C234" s="1" t="n">
        <v>46135</v>
      </c>
      <c r="D234" t="inlineStr">
        <is>
          <t>KALMAR LÄN</t>
        </is>
      </c>
      <c r="E234" t="inlineStr">
        <is>
          <t>VIMMERBY</t>
        </is>
      </c>
      <c r="G234" t="n">
        <v>1.8</v>
      </c>
      <c r="H234" t="n">
        <v>0</v>
      </c>
      <c r="I234" t="n">
        <v>0</v>
      </c>
      <c r="J234" t="n">
        <v>0</v>
      </c>
      <c r="K234" t="n">
        <v>0</v>
      </c>
      <c r="L234" t="n">
        <v>0</v>
      </c>
      <c r="M234" t="n">
        <v>0</v>
      </c>
      <c r="N234" t="n">
        <v>0</v>
      </c>
      <c r="O234" t="n">
        <v>0</v>
      </c>
      <c r="P234" t="n">
        <v>0</v>
      </c>
      <c r="Q234" t="n">
        <v>0</v>
      </c>
      <c r="R234" s="2" t="inlineStr"/>
    </row>
    <row r="235" ht="15" customHeight="1">
      <c r="A235" t="inlineStr">
        <is>
          <t>A 60951-2023</t>
        </is>
      </c>
      <c r="B235" s="1" t="n">
        <v>45261.44914351852</v>
      </c>
      <c r="C235" s="1" t="n">
        <v>46135</v>
      </c>
      <c r="D235" t="inlineStr">
        <is>
          <t>KALMAR LÄN</t>
        </is>
      </c>
      <c r="E235" t="inlineStr">
        <is>
          <t>VIMMERBY</t>
        </is>
      </c>
      <c r="G235" t="n">
        <v>4.3</v>
      </c>
      <c r="H235" t="n">
        <v>0</v>
      </c>
      <c r="I235" t="n">
        <v>0</v>
      </c>
      <c r="J235" t="n">
        <v>0</v>
      </c>
      <c r="K235" t="n">
        <v>0</v>
      </c>
      <c r="L235" t="n">
        <v>0</v>
      </c>
      <c r="M235" t="n">
        <v>0</v>
      </c>
      <c r="N235" t="n">
        <v>0</v>
      </c>
      <c r="O235" t="n">
        <v>0</v>
      </c>
      <c r="P235" t="n">
        <v>0</v>
      </c>
      <c r="Q235" t="n">
        <v>0</v>
      </c>
      <c r="R235" s="2" t="inlineStr"/>
    </row>
    <row r="236" ht="15" customHeight="1">
      <c r="A236" t="inlineStr">
        <is>
          <t>A 60292-2022</t>
        </is>
      </c>
      <c r="B236" s="1" t="n">
        <v>44910.54231481482</v>
      </c>
      <c r="C236" s="1" t="n">
        <v>46135</v>
      </c>
      <c r="D236" t="inlineStr">
        <is>
          <t>KALMAR LÄN</t>
        </is>
      </c>
      <c r="E236" t="inlineStr">
        <is>
          <t>VIMMERBY</t>
        </is>
      </c>
      <c r="G236" t="n">
        <v>4.4</v>
      </c>
      <c r="H236" t="n">
        <v>0</v>
      </c>
      <c r="I236" t="n">
        <v>0</v>
      </c>
      <c r="J236" t="n">
        <v>0</v>
      </c>
      <c r="K236" t="n">
        <v>0</v>
      </c>
      <c r="L236" t="n">
        <v>0</v>
      </c>
      <c r="M236" t="n">
        <v>0</v>
      </c>
      <c r="N236" t="n">
        <v>0</v>
      </c>
      <c r="O236" t="n">
        <v>0</v>
      </c>
      <c r="P236" t="n">
        <v>0</v>
      </c>
      <c r="Q236" t="n">
        <v>0</v>
      </c>
      <c r="R236" s="2" t="inlineStr"/>
    </row>
    <row r="237" ht="15" customHeight="1">
      <c r="A237" t="inlineStr">
        <is>
          <t>A 38604-2025</t>
        </is>
      </c>
      <c r="B237" s="1" t="n">
        <v>45884.50613425926</v>
      </c>
      <c r="C237" s="1" t="n">
        <v>46135</v>
      </c>
      <c r="D237" t="inlineStr">
        <is>
          <t>KALMAR LÄN</t>
        </is>
      </c>
      <c r="E237" t="inlineStr">
        <is>
          <t>VIMMERBY</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7485-2024</t>
        </is>
      </c>
      <c r="B238" s="1" t="n">
        <v>45346.67184027778</v>
      </c>
      <c r="C238" s="1" t="n">
        <v>46135</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12590-2025</t>
        </is>
      </c>
      <c r="B239" s="1" t="n">
        <v>45732.79925925926</v>
      </c>
      <c r="C239" s="1" t="n">
        <v>46135</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35710-2023</t>
        </is>
      </c>
      <c r="B240" s="1" t="n">
        <v>45147.67096064815</v>
      </c>
      <c r="C240" s="1" t="n">
        <v>46135</v>
      </c>
      <c r="D240" t="inlineStr">
        <is>
          <t>KALMAR LÄN</t>
        </is>
      </c>
      <c r="E240" t="inlineStr">
        <is>
          <t>VIMMERBY</t>
        </is>
      </c>
      <c r="G240" t="n">
        <v>3.1</v>
      </c>
      <c r="H240" t="n">
        <v>0</v>
      </c>
      <c r="I240" t="n">
        <v>0</v>
      </c>
      <c r="J240" t="n">
        <v>0</v>
      </c>
      <c r="K240" t="n">
        <v>0</v>
      </c>
      <c r="L240" t="n">
        <v>0</v>
      </c>
      <c r="M240" t="n">
        <v>0</v>
      </c>
      <c r="N240" t="n">
        <v>0</v>
      </c>
      <c r="O240" t="n">
        <v>0</v>
      </c>
      <c r="P240" t="n">
        <v>0</v>
      </c>
      <c r="Q240" t="n">
        <v>0</v>
      </c>
      <c r="R240" s="2" t="inlineStr"/>
    </row>
    <row r="241" ht="15" customHeight="1">
      <c r="A241" t="inlineStr">
        <is>
          <t>A 52823-2024</t>
        </is>
      </c>
      <c r="B241" s="1" t="n">
        <v>45610.59094907407</v>
      </c>
      <c r="C241" s="1" t="n">
        <v>46135</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7758-2024</t>
        </is>
      </c>
      <c r="B242" s="1" t="n">
        <v>45349.54434027777</v>
      </c>
      <c r="C242" s="1" t="n">
        <v>46135</v>
      </c>
      <c r="D242" t="inlineStr">
        <is>
          <t>KALMAR LÄN</t>
        </is>
      </c>
      <c r="E242" t="inlineStr">
        <is>
          <t>VIMMERBY</t>
        </is>
      </c>
      <c r="G242" t="n">
        <v>3.5</v>
      </c>
      <c r="H242" t="n">
        <v>0</v>
      </c>
      <c r="I242" t="n">
        <v>0</v>
      </c>
      <c r="J242" t="n">
        <v>0</v>
      </c>
      <c r="K242" t="n">
        <v>0</v>
      </c>
      <c r="L242" t="n">
        <v>0</v>
      </c>
      <c r="M242" t="n">
        <v>0</v>
      </c>
      <c r="N242" t="n">
        <v>0</v>
      </c>
      <c r="O242" t="n">
        <v>0</v>
      </c>
      <c r="P242" t="n">
        <v>0</v>
      </c>
      <c r="Q242" t="n">
        <v>0</v>
      </c>
      <c r="R242" s="2" t="inlineStr"/>
    </row>
    <row r="243" ht="15" customHeight="1">
      <c r="A243" t="inlineStr">
        <is>
          <t>A 5701-2024</t>
        </is>
      </c>
      <c r="B243" s="1" t="n">
        <v>45334.78826388889</v>
      </c>
      <c r="C243" s="1" t="n">
        <v>46135</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31405-2023</t>
        </is>
      </c>
      <c r="B244" s="1" t="n">
        <v>45114.58148148148</v>
      </c>
      <c r="C244" s="1" t="n">
        <v>46135</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6355-2022</t>
        </is>
      </c>
      <c r="B245" s="1" t="n">
        <v>44600</v>
      </c>
      <c r="C245" s="1" t="n">
        <v>46135</v>
      </c>
      <c r="D245" t="inlineStr">
        <is>
          <t>KALMAR LÄN</t>
        </is>
      </c>
      <c r="E245" t="inlineStr">
        <is>
          <t>VIMMERBY</t>
        </is>
      </c>
      <c r="G245" t="n">
        <v>4.9</v>
      </c>
      <c r="H245" t="n">
        <v>0</v>
      </c>
      <c r="I245" t="n">
        <v>0</v>
      </c>
      <c r="J245" t="n">
        <v>0</v>
      </c>
      <c r="K245" t="n">
        <v>0</v>
      </c>
      <c r="L245" t="n">
        <v>0</v>
      </c>
      <c r="M245" t="n">
        <v>0</v>
      </c>
      <c r="N245" t="n">
        <v>0</v>
      </c>
      <c r="O245" t="n">
        <v>0</v>
      </c>
      <c r="P245" t="n">
        <v>0</v>
      </c>
      <c r="Q245" t="n">
        <v>0</v>
      </c>
      <c r="R245" s="2" t="inlineStr"/>
    </row>
    <row r="246" ht="15" customHeight="1">
      <c r="A246" t="inlineStr">
        <is>
          <t>A 46225-2024</t>
        </is>
      </c>
      <c r="B246" s="1" t="n">
        <v>45581.57333333333</v>
      </c>
      <c r="C246" s="1" t="n">
        <v>46135</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13714-2026</t>
        </is>
      </c>
      <c r="B247" s="1" t="n">
        <v>46097.58472222222</v>
      </c>
      <c r="C247" s="1" t="n">
        <v>46135</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11147-2023</t>
        </is>
      </c>
      <c r="B248" s="1" t="n">
        <v>44992</v>
      </c>
      <c r="C248" s="1" t="n">
        <v>46135</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9418-2024</t>
        </is>
      </c>
      <c r="B249" s="1" t="n">
        <v>45359.45038194444</v>
      </c>
      <c r="C249" s="1" t="n">
        <v>46135</v>
      </c>
      <c r="D249" t="inlineStr">
        <is>
          <t>KALMAR LÄN</t>
        </is>
      </c>
      <c r="E249" t="inlineStr">
        <is>
          <t>VIMMERBY</t>
        </is>
      </c>
      <c r="G249" t="n">
        <v>1.9</v>
      </c>
      <c r="H249" t="n">
        <v>0</v>
      </c>
      <c r="I249" t="n">
        <v>0</v>
      </c>
      <c r="J249" t="n">
        <v>0</v>
      </c>
      <c r="K249" t="n">
        <v>0</v>
      </c>
      <c r="L249" t="n">
        <v>0</v>
      </c>
      <c r="M249" t="n">
        <v>0</v>
      </c>
      <c r="N249" t="n">
        <v>0</v>
      </c>
      <c r="O249" t="n">
        <v>0</v>
      </c>
      <c r="P249" t="n">
        <v>0</v>
      </c>
      <c r="Q249" t="n">
        <v>0</v>
      </c>
      <c r="R249" s="2" t="inlineStr"/>
    </row>
    <row r="250" ht="15" customHeight="1">
      <c r="A250" t="inlineStr">
        <is>
          <t>A 29726-2025</t>
        </is>
      </c>
      <c r="B250" s="1" t="n">
        <v>45825.57805555555</v>
      </c>
      <c r="C250" s="1" t="n">
        <v>46135</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19833-2023</t>
        </is>
      </c>
      <c r="B251" s="1" t="n">
        <v>45052</v>
      </c>
      <c r="C251" s="1" t="n">
        <v>46135</v>
      </c>
      <c r="D251" t="inlineStr">
        <is>
          <t>KALMAR LÄN</t>
        </is>
      </c>
      <c r="E251" t="inlineStr">
        <is>
          <t>VIMMERBY</t>
        </is>
      </c>
      <c r="G251" t="n">
        <v>6.7</v>
      </c>
      <c r="H251" t="n">
        <v>0</v>
      </c>
      <c r="I251" t="n">
        <v>0</v>
      </c>
      <c r="J251" t="n">
        <v>0</v>
      </c>
      <c r="K251" t="n">
        <v>0</v>
      </c>
      <c r="L251" t="n">
        <v>0</v>
      </c>
      <c r="M251" t="n">
        <v>0</v>
      </c>
      <c r="N251" t="n">
        <v>0</v>
      </c>
      <c r="O251" t="n">
        <v>0</v>
      </c>
      <c r="P251" t="n">
        <v>0</v>
      </c>
      <c r="Q251" t="n">
        <v>0</v>
      </c>
      <c r="R251" s="2" t="inlineStr"/>
    </row>
    <row r="252" ht="15" customHeight="1">
      <c r="A252" t="inlineStr">
        <is>
          <t>A 57091-2022</t>
        </is>
      </c>
      <c r="B252" s="1" t="n">
        <v>44895.46524305556</v>
      </c>
      <c r="C252" s="1" t="n">
        <v>46135</v>
      </c>
      <c r="D252" t="inlineStr">
        <is>
          <t>KALMAR LÄN</t>
        </is>
      </c>
      <c r="E252" t="inlineStr">
        <is>
          <t>VIMMERBY</t>
        </is>
      </c>
      <c r="G252" t="n">
        <v>2.6</v>
      </c>
      <c r="H252" t="n">
        <v>0</v>
      </c>
      <c r="I252" t="n">
        <v>0</v>
      </c>
      <c r="J252" t="n">
        <v>0</v>
      </c>
      <c r="K252" t="n">
        <v>0</v>
      </c>
      <c r="L252" t="n">
        <v>0</v>
      </c>
      <c r="M252" t="n">
        <v>0</v>
      </c>
      <c r="N252" t="n">
        <v>0</v>
      </c>
      <c r="O252" t="n">
        <v>0</v>
      </c>
      <c r="P252" t="n">
        <v>0</v>
      </c>
      <c r="Q252" t="n">
        <v>0</v>
      </c>
      <c r="R252" s="2" t="inlineStr"/>
    </row>
    <row r="253" ht="15" customHeight="1">
      <c r="A253" t="inlineStr">
        <is>
          <t>A 3816-2022</t>
        </is>
      </c>
      <c r="B253" s="1" t="n">
        <v>44587</v>
      </c>
      <c r="C253" s="1" t="n">
        <v>46135</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43606-2024</t>
        </is>
      </c>
      <c r="B254" s="1" t="n">
        <v>45569.45017361111</v>
      </c>
      <c r="C254" s="1" t="n">
        <v>46135</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43617-2024</t>
        </is>
      </c>
      <c r="B255" s="1" t="n">
        <v>45569.47494212963</v>
      </c>
      <c r="C255" s="1" t="n">
        <v>46135</v>
      </c>
      <c r="D255" t="inlineStr">
        <is>
          <t>KALMAR LÄN</t>
        </is>
      </c>
      <c r="E255" t="inlineStr">
        <is>
          <t>VIMMERBY</t>
        </is>
      </c>
      <c r="G255" t="n">
        <v>2.7</v>
      </c>
      <c r="H255" t="n">
        <v>0</v>
      </c>
      <c r="I255" t="n">
        <v>0</v>
      </c>
      <c r="J255" t="n">
        <v>0</v>
      </c>
      <c r="K255" t="n">
        <v>0</v>
      </c>
      <c r="L255" t="n">
        <v>0</v>
      </c>
      <c r="M255" t="n">
        <v>0</v>
      </c>
      <c r="N255" t="n">
        <v>0</v>
      </c>
      <c r="O255" t="n">
        <v>0</v>
      </c>
      <c r="P255" t="n">
        <v>0</v>
      </c>
      <c r="Q255" t="n">
        <v>0</v>
      </c>
      <c r="R255" s="2" t="inlineStr"/>
    </row>
    <row r="256" ht="15" customHeight="1">
      <c r="A256" t="inlineStr">
        <is>
          <t>A 47859-2024</t>
        </is>
      </c>
      <c r="B256" s="1" t="n">
        <v>45588.67070601852</v>
      </c>
      <c r="C256" s="1" t="n">
        <v>46135</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8540-2024</t>
        </is>
      </c>
      <c r="B257" s="1" t="n">
        <v>45355.54138888889</v>
      </c>
      <c r="C257" s="1" t="n">
        <v>46135</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14279-2026</t>
        </is>
      </c>
      <c r="B258" s="1" t="n">
        <v>46099.66826388889</v>
      </c>
      <c r="C258" s="1" t="n">
        <v>46135</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46135</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3331-2023</t>
        </is>
      </c>
      <c r="B260" s="1" t="n">
        <v>44949</v>
      </c>
      <c r="C260" s="1" t="n">
        <v>46135</v>
      </c>
      <c r="D260" t="inlineStr">
        <is>
          <t>KALMAR LÄN</t>
        </is>
      </c>
      <c r="E260" t="inlineStr">
        <is>
          <t>VIMMERBY</t>
        </is>
      </c>
      <c r="G260" t="n">
        <v>6.2</v>
      </c>
      <c r="H260" t="n">
        <v>0</v>
      </c>
      <c r="I260" t="n">
        <v>0</v>
      </c>
      <c r="J260" t="n">
        <v>0</v>
      </c>
      <c r="K260" t="n">
        <v>0</v>
      </c>
      <c r="L260" t="n">
        <v>0</v>
      </c>
      <c r="M260" t="n">
        <v>0</v>
      </c>
      <c r="N260" t="n">
        <v>0</v>
      </c>
      <c r="O260" t="n">
        <v>0</v>
      </c>
      <c r="P260" t="n">
        <v>0</v>
      </c>
      <c r="Q260" t="n">
        <v>0</v>
      </c>
      <c r="R260" s="2" t="inlineStr"/>
    </row>
    <row r="261" ht="15" customHeight="1">
      <c r="A261" t="inlineStr">
        <is>
          <t>A 14548-2024</t>
        </is>
      </c>
      <c r="B261" s="1" t="n">
        <v>45394.66887731481</v>
      </c>
      <c r="C261" s="1" t="n">
        <v>46135</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598-2025</t>
        </is>
      </c>
      <c r="B262" s="1" t="n">
        <v>45660</v>
      </c>
      <c r="C262" s="1" t="n">
        <v>46135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39807-2025</t>
        </is>
      </c>
      <c r="B263" s="1" t="n">
        <v>45891.50986111111</v>
      </c>
      <c r="C263" s="1" t="n">
        <v>46135</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39736-2025</t>
        </is>
      </c>
      <c r="B264" s="1" t="n">
        <v>45891</v>
      </c>
      <c r="C264" s="1" t="n">
        <v>46135</v>
      </c>
      <c r="D264" t="inlineStr">
        <is>
          <t>KALMAR LÄN</t>
        </is>
      </c>
      <c r="E264" t="inlineStr">
        <is>
          <t>VIMMERBY</t>
        </is>
      </c>
      <c r="G264" t="n">
        <v>12.8</v>
      </c>
      <c r="H264" t="n">
        <v>0</v>
      </c>
      <c r="I264" t="n">
        <v>0</v>
      </c>
      <c r="J264" t="n">
        <v>0</v>
      </c>
      <c r="K264" t="n">
        <v>0</v>
      </c>
      <c r="L264" t="n">
        <v>0</v>
      </c>
      <c r="M264" t="n">
        <v>0</v>
      </c>
      <c r="N264" t="n">
        <v>0</v>
      </c>
      <c r="O264" t="n">
        <v>0</v>
      </c>
      <c r="P264" t="n">
        <v>0</v>
      </c>
      <c r="Q264" t="n">
        <v>0</v>
      </c>
      <c r="R264" s="2" t="inlineStr"/>
    </row>
    <row r="265" ht="15" customHeight="1">
      <c r="A265" t="inlineStr">
        <is>
          <t>A 6817-2026</t>
        </is>
      </c>
      <c r="B265" s="1" t="n">
        <v>46057.38412037037</v>
      </c>
      <c r="C265" s="1" t="n">
        <v>46135</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25799-2023</t>
        </is>
      </c>
      <c r="B266" s="1" t="n">
        <v>45090</v>
      </c>
      <c r="C266" s="1" t="n">
        <v>46135</v>
      </c>
      <c r="D266" t="inlineStr">
        <is>
          <t>KALMAR LÄN</t>
        </is>
      </c>
      <c r="E266" t="inlineStr">
        <is>
          <t>VIMMERBY</t>
        </is>
      </c>
      <c r="G266" t="n">
        <v>7.7</v>
      </c>
      <c r="H266" t="n">
        <v>0</v>
      </c>
      <c r="I266" t="n">
        <v>0</v>
      </c>
      <c r="J266" t="n">
        <v>0</v>
      </c>
      <c r="K266" t="n">
        <v>0</v>
      </c>
      <c r="L266" t="n">
        <v>0</v>
      </c>
      <c r="M266" t="n">
        <v>0</v>
      </c>
      <c r="N266" t="n">
        <v>0</v>
      </c>
      <c r="O266" t="n">
        <v>0</v>
      </c>
      <c r="P266" t="n">
        <v>0</v>
      </c>
      <c r="Q266" t="n">
        <v>0</v>
      </c>
      <c r="R266" s="2" t="inlineStr"/>
    </row>
    <row r="267" ht="15" customHeight="1">
      <c r="A267" t="inlineStr">
        <is>
          <t>A 585-2024</t>
        </is>
      </c>
      <c r="B267" s="1" t="n">
        <v>45299.62576388889</v>
      </c>
      <c r="C267" s="1" t="n">
        <v>46135</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53083-2021</t>
        </is>
      </c>
      <c r="B268" s="1" t="n">
        <v>44467.83386574074</v>
      </c>
      <c r="C268" s="1" t="n">
        <v>46135</v>
      </c>
      <c r="D268" t="inlineStr">
        <is>
          <t>KALMAR LÄN</t>
        </is>
      </c>
      <c r="E268" t="inlineStr">
        <is>
          <t>VIMMERBY</t>
        </is>
      </c>
      <c r="G268" t="n">
        <v>6.8</v>
      </c>
      <c r="H268" t="n">
        <v>0</v>
      </c>
      <c r="I268" t="n">
        <v>0</v>
      </c>
      <c r="J268" t="n">
        <v>0</v>
      </c>
      <c r="K268" t="n">
        <v>0</v>
      </c>
      <c r="L268" t="n">
        <v>0</v>
      </c>
      <c r="M268" t="n">
        <v>0</v>
      </c>
      <c r="N268" t="n">
        <v>0</v>
      </c>
      <c r="O268" t="n">
        <v>0</v>
      </c>
      <c r="P268" t="n">
        <v>0</v>
      </c>
      <c r="Q268" t="n">
        <v>0</v>
      </c>
      <c r="R268" s="2" t="inlineStr"/>
    </row>
    <row r="269" ht="15" customHeight="1">
      <c r="A269" t="inlineStr">
        <is>
          <t>A 14277-2026</t>
        </is>
      </c>
      <c r="B269" s="1" t="n">
        <v>46099.66305555555</v>
      </c>
      <c r="C269" s="1" t="n">
        <v>46135</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24655-2021</t>
        </is>
      </c>
      <c r="B270" s="1" t="n">
        <v>44340</v>
      </c>
      <c r="C270" s="1" t="n">
        <v>46135</v>
      </c>
      <c r="D270" t="inlineStr">
        <is>
          <t>KALMAR LÄN</t>
        </is>
      </c>
      <c r="E270" t="inlineStr">
        <is>
          <t>VIMMERBY</t>
        </is>
      </c>
      <c r="G270" t="n">
        <v>14.9</v>
      </c>
      <c r="H270" t="n">
        <v>0</v>
      </c>
      <c r="I270" t="n">
        <v>0</v>
      </c>
      <c r="J270" t="n">
        <v>0</v>
      </c>
      <c r="K270" t="n">
        <v>0</v>
      </c>
      <c r="L270" t="n">
        <v>0</v>
      </c>
      <c r="M270" t="n">
        <v>0</v>
      </c>
      <c r="N270" t="n">
        <v>0</v>
      </c>
      <c r="O270" t="n">
        <v>0</v>
      </c>
      <c r="P270" t="n">
        <v>0</v>
      </c>
      <c r="Q270" t="n">
        <v>0</v>
      </c>
      <c r="R270" s="2" t="inlineStr"/>
    </row>
    <row r="271" ht="15" customHeight="1">
      <c r="A271" t="inlineStr">
        <is>
          <t>A 56020-2024</t>
        </is>
      </c>
      <c r="B271" s="1" t="n">
        <v>45623.9525462963</v>
      </c>
      <c r="C271" s="1" t="n">
        <v>46135</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39803-2025</t>
        </is>
      </c>
      <c r="B272" s="1" t="n">
        <v>45891.50525462963</v>
      </c>
      <c r="C272" s="1" t="n">
        <v>46135</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39889-2025</t>
        </is>
      </c>
      <c r="B273" s="1" t="n">
        <v>45891</v>
      </c>
      <c r="C273" s="1" t="n">
        <v>46135</v>
      </c>
      <c r="D273" t="inlineStr">
        <is>
          <t>KALMAR LÄN</t>
        </is>
      </c>
      <c r="E273" t="inlineStr">
        <is>
          <t>VIMMERBY</t>
        </is>
      </c>
      <c r="G273" t="n">
        <v>4.5</v>
      </c>
      <c r="H273" t="n">
        <v>0</v>
      </c>
      <c r="I273" t="n">
        <v>0</v>
      </c>
      <c r="J273" t="n">
        <v>0</v>
      </c>
      <c r="K273" t="n">
        <v>0</v>
      </c>
      <c r="L273" t="n">
        <v>0</v>
      </c>
      <c r="M273" t="n">
        <v>0</v>
      </c>
      <c r="N273" t="n">
        <v>0</v>
      </c>
      <c r="O273" t="n">
        <v>0</v>
      </c>
      <c r="P273" t="n">
        <v>0</v>
      </c>
      <c r="Q273" t="n">
        <v>0</v>
      </c>
      <c r="R273" s="2" t="inlineStr"/>
    </row>
    <row r="274" ht="15" customHeight="1">
      <c r="A274" t="inlineStr">
        <is>
          <t>A 13667-2026</t>
        </is>
      </c>
      <c r="B274" s="1" t="n">
        <v>46097</v>
      </c>
      <c r="C274" s="1" t="n">
        <v>46135</v>
      </c>
      <c r="D274" t="inlineStr">
        <is>
          <t>KALMAR LÄN</t>
        </is>
      </c>
      <c r="E274" t="inlineStr">
        <is>
          <t>VIMMERBY</t>
        </is>
      </c>
      <c r="G274" t="n">
        <v>6.8</v>
      </c>
      <c r="H274" t="n">
        <v>0</v>
      </c>
      <c r="I274" t="n">
        <v>0</v>
      </c>
      <c r="J274" t="n">
        <v>0</v>
      </c>
      <c r="K274" t="n">
        <v>0</v>
      </c>
      <c r="L274" t="n">
        <v>0</v>
      </c>
      <c r="M274" t="n">
        <v>0</v>
      </c>
      <c r="N274" t="n">
        <v>0</v>
      </c>
      <c r="O274" t="n">
        <v>0</v>
      </c>
      <c r="P274" t="n">
        <v>0</v>
      </c>
      <c r="Q274" t="n">
        <v>0</v>
      </c>
      <c r="R274" s="2" t="inlineStr"/>
    </row>
    <row r="275" ht="15" customHeight="1">
      <c r="A275" t="inlineStr">
        <is>
          <t>A 33838-2022</t>
        </is>
      </c>
      <c r="B275" s="1" t="n">
        <v>44790.49040509259</v>
      </c>
      <c r="C275" s="1" t="n">
        <v>46135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13793-2026</t>
        </is>
      </c>
      <c r="B276" s="1" t="n">
        <v>46097.79199074074</v>
      </c>
      <c r="C276" s="1" t="n">
        <v>46135</v>
      </c>
      <c r="D276" t="inlineStr">
        <is>
          <t>KALMAR LÄN</t>
        </is>
      </c>
      <c r="E276" t="inlineStr">
        <is>
          <t>VIMMERBY</t>
        </is>
      </c>
      <c r="G276" t="n">
        <v>2.9</v>
      </c>
      <c r="H276" t="n">
        <v>0</v>
      </c>
      <c r="I276" t="n">
        <v>0</v>
      </c>
      <c r="J276" t="n">
        <v>0</v>
      </c>
      <c r="K276" t="n">
        <v>0</v>
      </c>
      <c r="L276" t="n">
        <v>0</v>
      </c>
      <c r="M276" t="n">
        <v>0</v>
      </c>
      <c r="N276" t="n">
        <v>0</v>
      </c>
      <c r="O276" t="n">
        <v>0</v>
      </c>
      <c r="P276" t="n">
        <v>0</v>
      </c>
      <c r="Q276" t="n">
        <v>0</v>
      </c>
      <c r="R276" s="2" t="inlineStr"/>
    </row>
    <row r="277" ht="15" customHeight="1">
      <c r="A277" t="inlineStr">
        <is>
          <t>A 23252-2024</t>
        </is>
      </c>
      <c r="B277" s="1" t="n">
        <v>45453.36067129629</v>
      </c>
      <c r="C277" s="1" t="n">
        <v>46135</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32835-2022</t>
        </is>
      </c>
      <c r="B278" s="1" t="n">
        <v>44784.42528935185</v>
      </c>
      <c r="C278" s="1" t="n">
        <v>46135</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14320-2026</t>
        </is>
      </c>
      <c r="B279" s="1" t="n">
        <v>46099.88449074074</v>
      </c>
      <c r="C279" s="1" t="n">
        <v>46135</v>
      </c>
      <c r="D279" t="inlineStr">
        <is>
          <t>KALMAR LÄN</t>
        </is>
      </c>
      <c r="E279" t="inlineStr">
        <is>
          <t>VIMMERBY</t>
        </is>
      </c>
      <c r="G279" t="n">
        <v>2.3</v>
      </c>
      <c r="H279" t="n">
        <v>0</v>
      </c>
      <c r="I279" t="n">
        <v>0</v>
      </c>
      <c r="J279" t="n">
        <v>0</v>
      </c>
      <c r="K279" t="n">
        <v>0</v>
      </c>
      <c r="L279" t="n">
        <v>0</v>
      </c>
      <c r="M279" t="n">
        <v>0</v>
      </c>
      <c r="N279" t="n">
        <v>0</v>
      </c>
      <c r="O279" t="n">
        <v>0</v>
      </c>
      <c r="P279" t="n">
        <v>0</v>
      </c>
      <c r="Q279" t="n">
        <v>0</v>
      </c>
      <c r="R279" s="2" t="inlineStr"/>
    </row>
    <row r="280" ht="15" customHeight="1">
      <c r="A280" t="inlineStr">
        <is>
          <t>A 15550-2023</t>
        </is>
      </c>
      <c r="B280" s="1" t="n">
        <v>45020</v>
      </c>
      <c r="C280" s="1" t="n">
        <v>46135</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1081-2023</t>
        </is>
      </c>
      <c r="B281" s="1" t="n">
        <v>44935</v>
      </c>
      <c r="C281" s="1" t="n">
        <v>46135</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47063-2022</t>
        </is>
      </c>
      <c r="B282" s="1" t="n">
        <v>44852</v>
      </c>
      <c r="C282" s="1" t="n">
        <v>46135</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28403-2023</t>
        </is>
      </c>
      <c r="B283" s="1" t="n">
        <v>45100.85270833333</v>
      </c>
      <c r="C283" s="1" t="n">
        <v>46135</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40925-2025</t>
        </is>
      </c>
      <c r="B284" s="1" t="n">
        <v>45897.64208333333</v>
      </c>
      <c r="C284" s="1" t="n">
        <v>46135</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40921-2025</t>
        </is>
      </c>
      <c r="B285" s="1" t="n">
        <v>45897.63520833333</v>
      </c>
      <c r="C285" s="1" t="n">
        <v>46135</v>
      </c>
      <c r="D285" t="inlineStr">
        <is>
          <t>KALMAR LÄN</t>
        </is>
      </c>
      <c r="E285" t="inlineStr">
        <is>
          <t>VIMMERBY</t>
        </is>
      </c>
      <c r="G285" t="n">
        <v>4.2</v>
      </c>
      <c r="H285" t="n">
        <v>0</v>
      </c>
      <c r="I285" t="n">
        <v>0</v>
      </c>
      <c r="J285" t="n">
        <v>0</v>
      </c>
      <c r="K285" t="n">
        <v>0</v>
      </c>
      <c r="L285" t="n">
        <v>0</v>
      </c>
      <c r="M285" t="n">
        <v>0</v>
      </c>
      <c r="N285" t="n">
        <v>0</v>
      </c>
      <c r="O285" t="n">
        <v>0</v>
      </c>
      <c r="P285" t="n">
        <v>0</v>
      </c>
      <c r="Q285" t="n">
        <v>0</v>
      </c>
      <c r="R285" s="2" t="inlineStr"/>
    </row>
    <row r="286" ht="15" customHeight="1">
      <c r="A286" t="inlineStr">
        <is>
          <t>A 33103-2024</t>
        </is>
      </c>
      <c r="B286" s="1" t="n">
        <v>45517.8162037037</v>
      </c>
      <c r="C286" s="1" t="n">
        <v>46135</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14318-2026</t>
        </is>
      </c>
      <c r="B287" s="1" t="n">
        <v>46099.87961805556</v>
      </c>
      <c r="C287" s="1" t="n">
        <v>46135</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2260-2022</t>
        </is>
      </c>
      <c r="B288" s="1" t="n">
        <v>44578.62943287037</v>
      </c>
      <c r="C288" s="1" t="n">
        <v>46135</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11661-2023</t>
        </is>
      </c>
      <c r="B289" s="1" t="n">
        <v>44994.46908564815</v>
      </c>
      <c r="C289" s="1" t="n">
        <v>46135</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58046-2022</t>
        </is>
      </c>
      <c r="B290" s="1" t="n">
        <v>44900.57393518519</v>
      </c>
      <c r="C290" s="1" t="n">
        <v>46135</v>
      </c>
      <c r="D290" t="inlineStr">
        <is>
          <t>KALMAR LÄN</t>
        </is>
      </c>
      <c r="E290" t="inlineStr">
        <is>
          <t>VIMMERBY</t>
        </is>
      </c>
      <c r="G290" t="n">
        <v>2.5</v>
      </c>
      <c r="H290" t="n">
        <v>0</v>
      </c>
      <c r="I290" t="n">
        <v>0</v>
      </c>
      <c r="J290" t="n">
        <v>0</v>
      </c>
      <c r="K290" t="n">
        <v>0</v>
      </c>
      <c r="L290" t="n">
        <v>0</v>
      </c>
      <c r="M290" t="n">
        <v>0</v>
      </c>
      <c r="N290" t="n">
        <v>0</v>
      </c>
      <c r="O290" t="n">
        <v>0</v>
      </c>
      <c r="P290" t="n">
        <v>0</v>
      </c>
      <c r="Q290" t="n">
        <v>0</v>
      </c>
      <c r="R290" s="2" t="inlineStr"/>
    </row>
    <row r="291" ht="15" customHeight="1">
      <c r="A291" t="inlineStr">
        <is>
          <t>A 41224-2025</t>
        </is>
      </c>
      <c r="B291" s="1" t="n">
        <v>45898.58861111111</v>
      </c>
      <c r="C291" s="1" t="n">
        <v>46135</v>
      </c>
      <c r="D291" t="inlineStr">
        <is>
          <t>KALMAR LÄN</t>
        </is>
      </c>
      <c r="E291" t="inlineStr">
        <is>
          <t>VIMMERBY</t>
        </is>
      </c>
      <c r="G291" t="n">
        <v>4.4</v>
      </c>
      <c r="H291" t="n">
        <v>0</v>
      </c>
      <c r="I291" t="n">
        <v>0</v>
      </c>
      <c r="J291" t="n">
        <v>0</v>
      </c>
      <c r="K291" t="n">
        <v>0</v>
      </c>
      <c r="L291" t="n">
        <v>0</v>
      </c>
      <c r="M291" t="n">
        <v>0</v>
      </c>
      <c r="N291" t="n">
        <v>0</v>
      </c>
      <c r="O291" t="n">
        <v>0</v>
      </c>
      <c r="P291" t="n">
        <v>0</v>
      </c>
      <c r="Q291" t="n">
        <v>0</v>
      </c>
      <c r="R291" s="2" t="inlineStr"/>
    </row>
    <row r="292" ht="15" customHeight="1">
      <c r="A292" t="inlineStr">
        <is>
          <t>A 45528-2021</t>
        </is>
      </c>
      <c r="B292" s="1" t="n">
        <v>44440.60415509259</v>
      </c>
      <c r="C292" s="1" t="n">
        <v>46135</v>
      </c>
      <c r="D292" t="inlineStr">
        <is>
          <t>KALMAR LÄN</t>
        </is>
      </c>
      <c r="E292" t="inlineStr">
        <is>
          <t>VIMMERBY</t>
        </is>
      </c>
      <c r="G292" t="n">
        <v>2.2</v>
      </c>
      <c r="H292" t="n">
        <v>0</v>
      </c>
      <c r="I292" t="n">
        <v>0</v>
      </c>
      <c r="J292" t="n">
        <v>0</v>
      </c>
      <c r="K292" t="n">
        <v>0</v>
      </c>
      <c r="L292" t="n">
        <v>0</v>
      </c>
      <c r="M292" t="n">
        <v>0</v>
      </c>
      <c r="N292" t="n">
        <v>0</v>
      </c>
      <c r="O292" t="n">
        <v>0</v>
      </c>
      <c r="P292" t="n">
        <v>0</v>
      </c>
      <c r="Q292" t="n">
        <v>0</v>
      </c>
      <c r="R292" s="2" t="inlineStr"/>
    </row>
    <row r="293" ht="15" customHeight="1">
      <c r="A293" t="inlineStr">
        <is>
          <t>A 11219-2023</t>
        </is>
      </c>
      <c r="B293" s="1" t="n">
        <v>44992.62498842592</v>
      </c>
      <c r="C293" s="1" t="n">
        <v>46135</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46979-2023</t>
        </is>
      </c>
      <c r="B294" s="1" t="n">
        <v>45201</v>
      </c>
      <c r="C294" s="1" t="n">
        <v>46135</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41591-2025</t>
        </is>
      </c>
      <c r="B295" s="1" t="n">
        <v>45901.6327662037</v>
      </c>
      <c r="C295" s="1" t="n">
        <v>46135</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40971-2025</t>
        </is>
      </c>
      <c r="B296" s="1" t="n">
        <v>45897.88836805556</v>
      </c>
      <c r="C296" s="1" t="n">
        <v>46135</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6574-2023</t>
        </is>
      </c>
      <c r="B297" s="1" t="n">
        <v>44966</v>
      </c>
      <c r="C297" s="1" t="n">
        <v>46135</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41589-2025</t>
        </is>
      </c>
      <c r="B298" s="1" t="n">
        <v>45901.63219907408</v>
      </c>
      <c r="C298" s="1" t="n">
        <v>46135</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40970-2025</t>
        </is>
      </c>
      <c r="B299" s="1" t="n">
        <v>45897.88706018519</v>
      </c>
      <c r="C299" s="1" t="n">
        <v>46135</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40973-2025</t>
        </is>
      </c>
      <c r="B300" s="1" t="n">
        <v>45897.89737268518</v>
      </c>
      <c r="C300" s="1" t="n">
        <v>46135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15205-2026</t>
        </is>
      </c>
      <c r="B301" s="1" t="n">
        <v>46105.48628472222</v>
      </c>
      <c r="C301" s="1" t="n">
        <v>46135</v>
      </c>
      <c r="D301" t="inlineStr">
        <is>
          <t>KALMAR LÄN</t>
        </is>
      </c>
      <c r="E301" t="inlineStr">
        <is>
          <t>VIMMERBY</t>
        </is>
      </c>
      <c r="G301" t="n">
        <v>2.1</v>
      </c>
      <c r="H301" t="n">
        <v>0</v>
      </c>
      <c r="I301" t="n">
        <v>0</v>
      </c>
      <c r="J301" t="n">
        <v>0</v>
      </c>
      <c r="K301" t="n">
        <v>0</v>
      </c>
      <c r="L301" t="n">
        <v>0</v>
      </c>
      <c r="M301" t="n">
        <v>0</v>
      </c>
      <c r="N301" t="n">
        <v>0</v>
      </c>
      <c r="O301" t="n">
        <v>0</v>
      </c>
      <c r="P301" t="n">
        <v>0</v>
      </c>
      <c r="Q301" t="n">
        <v>0</v>
      </c>
      <c r="R301" s="2" t="inlineStr"/>
    </row>
    <row r="302" ht="15" customHeight="1">
      <c r="A302" t="inlineStr">
        <is>
          <t>A 47855-2024</t>
        </is>
      </c>
      <c r="B302" s="1" t="n">
        <v>45588.66457175926</v>
      </c>
      <c r="C302" s="1" t="n">
        <v>46135</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14792-2026</t>
        </is>
      </c>
      <c r="B303" s="1" t="n">
        <v>46101.91993055555</v>
      </c>
      <c r="C303" s="1" t="n">
        <v>46135</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34090-2025</t>
        </is>
      </c>
      <c r="B304" s="1" t="n">
        <v>45845</v>
      </c>
      <c r="C304" s="1" t="n">
        <v>46135</v>
      </c>
      <c r="D304" t="inlineStr">
        <is>
          <t>KALMAR LÄN</t>
        </is>
      </c>
      <c r="E304" t="inlineStr">
        <is>
          <t>VIMMERBY</t>
        </is>
      </c>
      <c r="G304" t="n">
        <v>2.8</v>
      </c>
      <c r="H304" t="n">
        <v>0</v>
      </c>
      <c r="I304" t="n">
        <v>0</v>
      </c>
      <c r="J304" t="n">
        <v>0</v>
      </c>
      <c r="K304" t="n">
        <v>0</v>
      </c>
      <c r="L304" t="n">
        <v>0</v>
      </c>
      <c r="M304" t="n">
        <v>0</v>
      </c>
      <c r="N304" t="n">
        <v>0</v>
      </c>
      <c r="O304" t="n">
        <v>0</v>
      </c>
      <c r="P304" t="n">
        <v>0</v>
      </c>
      <c r="Q304" t="n">
        <v>0</v>
      </c>
      <c r="R304" s="2" t="inlineStr"/>
    </row>
    <row r="305" ht="15" customHeight="1">
      <c r="A305" t="inlineStr">
        <is>
          <t>A 4058-2024</t>
        </is>
      </c>
      <c r="B305" s="1" t="n">
        <v>45323.53744212963</v>
      </c>
      <c r="C305" s="1" t="n">
        <v>46135</v>
      </c>
      <c r="D305" t="inlineStr">
        <is>
          <t>KALMAR LÄN</t>
        </is>
      </c>
      <c r="E305" t="inlineStr">
        <is>
          <t>VIMMERBY</t>
        </is>
      </c>
      <c r="G305" t="n">
        <v>6.5</v>
      </c>
      <c r="H305" t="n">
        <v>0</v>
      </c>
      <c r="I305" t="n">
        <v>0</v>
      </c>
      <c r="J305" t="n">
        <v>0</v>
      </c>
      <c r="K305" t="n">
        <v>0</v>
      </c>
      <c r="L305" t="n">
        <v>0</v>
      </c>
      <c r="M305" t="n">
        <v>0</v>
      </c>
      <c r="N305" t="n">
        <v>0</v>
      </c>
      <c r="O305" t="n">
        <v>0</v>
      </c>
      <c r="P305" t="n">
        <v>0</v>
      </c>
      <c r="Q305" t="n">
        <v>0</v>
      </c>
      <c r="R305" s="2" t="inlineStr"/>
    </row>
    <row r="306" ht="15" customHeight="1">
      <c r="A306" t="inlineStr">
        <is>
          <t>A 1978-2024</t>
        </is>
      </c>
      <c r="B306" s="1" t="n">
        <v>45308.59001157407</v>
      </c>
      <c r="C306" s="1" t="n">
        <v>46135</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30318-2023</t>
        </is>
      </c>
      <c r="B307" s="1" t="n">
        <v>45111.30824074074</v>
      </c>
      <c r="C307" s="1" t="n">
        <v>46135</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14793-2026</t>
        </is>
      </c>
      <c r="B308" s="1" t="n">
        <v>46101.92108796296</v>
      </c>
      <c r="C308" s="1" t="n">
        <v>46135</v>
      </c>
      <c r="D308" t="inlineStr">
        <is>
          <t>KALMAR LÄN</t>
        </is>
      </c>
      <c r="E308" t="inlineStr">
        <is>
          <t>VIMMERBY</t>
        </is>
      </c>
      <c r="G308" t="n">
        <v>5.7</v>
      </c>
      <c r="H308" t="n">
        <v>0</v>
      </c>
      <c r="I308" t="n">
        <v>0</v>
      </c>
      <c r="J308" t="n">
        <v>0</v>
      </c>
      <c r="K308" t="n">
        <v>0</v>
      </c>
      <c r="L308" t="n">
        <v>0</v>
      </c>
      <c r="M308" t="n">
        <v>0</v>
      </c>
      <c r="N308" t="n">
        <v>0</v>
      </c>
      <c r="O308" t="n">
        <v>0</v>
      </c>
      <c r="P308" t="n">
        <v>0</v>
      </c>
      <c r="Q308" t="n">
        <v>0</v>
      </c>
      <c r="R308" s="2" t="inlineStr"/>
    </row>
    <row r="309" ht="15" customHeight="1">
      <c r="A309" t="inlineStr">
        <is>
          <t>A 172-2022</t>
        </is>
      </c>
      <c r="B309" s="1" t="n">
        <v>44564.62598379629</v>
      </c>
      <c r="C309" s="1" t="n">
        <v>46135</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25234-2023</t>
        </is>
      </c>
      <c r="B310" s="1" t="n">
        <v>45086.63194444445</v>
      </c>
      <c r="C310" s="1" t="n">
        <v>46135</v>
      </c>
      <c r="D310" t="inlineStr">
        <is>
          <t>KALMAR LÄN</t>
        </is>
      </c>
      <c r="E310" t="inlineStr">
        <is>
          <t>VIMMERBY</t>
        </is>
      </c>
      <c r="G310" t="n">
        <v>2.1</v>
      </c>
      <c r="H310" t="n">
        <v>0</v>
      </c>
      <c r="I310" t="n">
        <v>0</v>
      </c>
      <c r="J310" t="n">
        <v>0</v>
      </c>
      <c r="K310" t="n">
        <v>0</v>
      </c>
      <c r="L310" t="n">
        <v>0</v>
      </c>
      <c r="M310" t="n">
        <v>0</v>
      </c>
      <c r="N310" t="n">
        <v>0</v>
      </c>
      <c r="O310" t="n">
        <v>0</v>
      </c>
      <c r="P310" t="n">
        <v>0</v>
      </c>
      <c r="Q310" t="n">
        <v>0</v>
      </c>
      <c r="R310" s="2" t="inlineStr"/>
    </row>
    <row r="311" ht="15" customHeight="1">
      <c r="A311" t="inlineStr">
        <is>
          <t>A 46078-2023</t>
        </is>
      </c>
      <c r="B311" s="1" t="n">
        <v>45196</v>
      </c>
      <c r="C311" s="1" t="n">
        <v>46135</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41735-2025</t>
        </is>
      </c>
      <c r="B312" s="1" t="n">
        <v>45902.47164351852</v>
      </c>
      <c r="C312" s="1" t="n">
        <v>46135</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15054-2026</t>
        </is>
      </c>
      <c r="B313" s="1" t="n">
        <v>46104.6815162037</v>
      </c>
      <c r="C313" s="1" t="n">
        <v>46135</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39584-2024</t>
        </is>
      </c>
      <c r="B314" s="1" t="n">
        <v>45552.36759259259</v>
      </c>
      <c r="C314" s="1" t="n">
        <v>46135</v>
      </c>
      <c r="D314" t="inlineStr">
        <is>
          <t>KALMAR LÄN</t>
        </is>
      </c>
      <c r="E314" t="inlineStr">
        <is>
          <t>VIMMERBY</t>
        </is>
      </c>
      <c r="G314" t="n">
        <v>1.9</v>
      </c>
      <c r="H314" t="n">
        <v>0</v>
      </c>
      <c r="I314" t="n">
        <v>0</v>
      </c>
      <c r="J314" t="n">
        <v>0</v>
      </c>
      <c r="K314" t="n">
        <v>0</v>
      </c>
      <c r="L314" t="n">
        <v>0</v>
      </c>
      <c r="M314" t="n">
        <v>0</v>
      </c>
      <c r="N314" t="n">
        <v>0</v>
      </c>
      <c r="O314" t="n">
        <v>0</v>
      </c>
      <c r="P314" t="n">
        <v>0</v>
      </c>
      <c r="Q314" t="n">
        <v>0</v>
      </c>
      <c r="R314" s="2" t="inlineStr"/>
    </row>
    <row r="315" ht="15" customHeight="1">
      <c r="A315" t="inlineStr">
        <is>
          <t>A 3609-2024</t>
        </is>
      </c>
      <c r="B315" s="1" t="n">
        <v>45320.89128472222</v>
      </c>
      <c r="C315" s="1" t="n">
        <v>46135</v>
      </c>
      <c r="D315" t="inlineStr">
        <is>
          <t>KALMAR LÄN</t>
        </is>
      </c>
      <c r="E315" t="inlineStr">
        <is>
          <t>VIMMERBY</t>
        </is>
      </c>
      <c r="G315" t="n">
        <v>1.7</v>
      </c>
      <c r="H315" t="n">
        <v>0</v>
      </c>
      <c r="I315" t="n">
        <v>0</v>
      </c>
      <c r="J315" t="n">
        <v>0</v>
      </c>
      <c r="K315" t="n">
        <v>0</v>
      </c>
      <c r="L315" t="n">
        <v>0</v>
      </c>
      <c r="M315" t="n">
        <v>0</v>
      </c>
      <c r="N315" t="n">
        <v>0</v>
      </c>
      <c r="O315" t="n">
        <v>0</v>
      </c>
      <c r="P315" t="n">
        <v>0</v>
      </c>
      <c r="Q315" t="n">
        <v>0</v>
      </c>
      <c r="R315" s="2" t="inlineStr"/>
    </row>
    <row r="316" ht="15" customHeight="1">
      <c r="A316" t="inlineStr">
        <is>
          <t>A 10424-2023</t>
        </is>
      </c>
      <c r="B316" s="1" t="n">
        <v>44987.54104166666</v>
      </c>
      <c r="C316" s="1" t="n">
        <v>46135</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51881-2024</t>
        </is>
      </c>
      <c r="B317" s="1" t="n">
        <v>45607.56773148148</v>
      </c>
      <c r="C317" s="1" t="n">
        <v>46135</v>
      </c>
      <c r="D317" t="inlineStr">
        <is>
          <t>KALMAR LÄN</t>
        </is>
      </c>
      <c r="E317" t="inlineStr">
        <is>
          <t>VIMMERBY</t>
        </is>
      </c>
      <c r="G317" t="n">
        <v>3.4</v>
      </c>
      <c r="H317" t="n">
        <v>0</v>
      </c>
      <c r="I317" t="n">
        <v>0</v>
      </c>
      <c r="J317" t="n">
        <v>0</v>
      </c>
      <c r="K317" t="n">
        <v>0</v>
      </c>
      <c r="L317" t="n">
        <v>0</v>
      </c>
      <c r="M317" t="n">
        <v>0</v>
      </c>
      <c r="N317" t="n">
        <v>0</v>
      </c>
      <c r="O317" t="n">
        <v>0</v>
      </c>
      <c r="P317" t="n">
        <v>0</v>
      </c>
      <c r="Q317" t="n">
        <v>0</v>
      </c>
      <c r="R317" s="2" t="inlineStr"/>
    </row>
    <row r="318" ht="15" customHeight="1">
      <c r="A318" t="inlineStr">
        <is>
          <t>A 49382-2023</t>
        </is>
      </c>
      <c r="B318" s="1" t="n">
        <v>45208</v>
      </c>
      <c r="C318" s="1" t="n">
        <v>46135</v>
      </c>
      <c r="D318" t="inlineStr">
        <is>
          <t>KALMAR LÄN</t>
        </is>
      </c>
      <c r="E318" t="inlineStr">
        <is>
          <t>VIMMERBY</t>
        </is>
      </c>
      <c r="G318" t="n">
        <v>2.2</v>
      </c>
      <c r="H318" t="n">
        <v>0</v>
      </c>
      <c r="I318" t="n">
        <v>0</v>
      </c>
      <c r="J318" t="n">
        <v>0</v>
      </c>
      <c r="K318" t="n">
        <v>0</v>
      </c>
      <c r="L318" t="n">
        <v>0</v>
      </c>
      <c r="M318" t="n">
        <v>0</v>
      </c>
      <c r="N318" t="n">
        <v>0</v>
      </c>
      <c r="O318" t="n">
        <v>0</v>
      </c>
      <c r="P318" t="n">
        <v>0</v>
      </c>
      <c r="Q318" t="n">
        <v>0</v>
      </c>
      <c r="R318" s="2" t="inlineStr"/>
    </row>
    <row r="319" ht="15" customHeight="1">
      <c r="A319" t="inlineStr">
        <is>
          <t>A 12810-2023</t>
        </is>
      </c>
      <c r="B319" s="1" t="n">
        <v>45001.43854166667</v>
      </c>
      <c r="C319" s="1" t="n">
        <v>46135</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2596-2025</t>
        </is>
      </c>
      <c r="B320" s="1" t="n">
        <v>45674.71810185185</v>
      </c>
      <c r="C320" s="1" t="n">
        <v>46135</v>
      </c>
      <c r="D320" t="inlineStr">
        <is>
          <t>KALMAR LÄN</t>
        </is>
      </c>
      <c r="E320" t="inlineStr">
        <is>
          <t>VIMMERBY</t>
        </is>
      </c>
      <c r="G320" t="n">
        <v>9</v>
      </c>
      <c r="H320" t="n">
        <v>0</v>
      </c>
      <c r="I320" t="n">
        <v>0</v>
      </c>
      <c r="J320" t="n">
        <v>0</v>
      </c>
      <c r="K320" t="n">
        <v>0</v>
      </c>
      <c r="L320" t="n">
        <v>0</v>
      </c>
      <c r="M320" t="n">
        <v>0</v>
      </c>
      <c r="N320" t="n">
        <v>0</v>
      </c>
      <c r="O320" t="n">
        <v>0</v>
      </c>
      <c r="P320" t="n">
        <v>0</v>
      </c>
      <c r="Q320" t="n">
        <v>0</v>
      </c>
      <c r="R320" s="2" t="inlineStr"/>
    </row>
    <row r="321" ht="15" customHeight="1">
      <c r="A321" t="inlineStr">
        <is>
          <t>A 3425-2022</t>
        </is>
      </c>
      <c r="B321" s="1" t="n">
        <v>44585.51060185185</v>
      </c>
      <c r="C321" s="1" t="n">
        <v>46135</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60675-2023</t>
        </is>
      </c>
      <c r="B322" s="1" t="n">
        <v>45260.4716550926</v>
      </c>
      <c r="C322" s="1" t="n">
        <v>46135</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2536-2023</t>
        </is>
      </c>
      <c r="B323" s="1" t="n">
        <v>44943.62954861111</v>
      </c>
      <c r="C323" s="1" t="n">
        <v>46135</v>
      </c>
      <c r="D323" t="inlineStr">
        <is>
          <t>KALMAR LÄN</t>
        </is>
      </c>
      <c r="E323" t="inlineStr">
        <is>
          <t>VIMMERBY</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42828-2025</t>
        </is>
      </c>
      <c r="B324" s="1" t="n">
        <v>45908.57716435185</v>
      </c>
      <c r="C324" s="1" t="n">
        <v>46135</v>
      </c>
      <c r="D324" t="inlineStr">
        <is>
          <t>KALMAR LÄN</t>
        </is>
      </c>
      <c r="E324" t="inlineStr">
        <is>
          <t>VIMMERBY</t>
        </is>
      </c>
      <c r="G324" t="n">
        <v>5.2</v>
      </c>
      <c r="H324" t="n">
        <v>0</v>
      </c>
      <c r="I324" t="n">
        <v>0</v>
      </c>
      <c r="J324" t="n">
        <v>0</v>
      </c>
      <c r="K324" t="n">
        <v>0</v>
      </c>
      <c r="L324" t="n">
        <v>0</v>
      </c>
      <c r="M324" t="n">
        <v>0</v>
      </c>
      <c r="N324" t="n">
        <v>0</v>
      </c>
      <c r="O324" t="n">
        <v>0</v>
      </c>
      <c r="P324" t="n">
        <v>0</v>
      </c>
      <c r="Q324" t="n">
        <v>0</v>
      </c>
      <c r="R324" s="2" t="inlineStr"/>
    </row>
    <row r="325" ht="15" customHeight="1">
      <c r="A325" t="inlineStr">
        <is>
          <t>A 42794-2025</t>
        </is>
      </c>
      <c r="B325" s="1" t="n">
        <v>45908</v>
      </c>
      <c r="C325" s="1" t="n">
        <v>46135</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8595-2026</t>
        </is>
      </c>
      <c r="B326" s="1" t="n">
        <v>46065.7372337963</v>
      </c>
      <c r="C326" s="1" t="n">
        <v>46135</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42820-2025</t>
        </is>
      </c>
      <c r="B327" s="1" t="n">
        <v>45908</v>
      </c>
      <c r="C327" s="1" t="n">
        <v>46135</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11111-2024</t>
        </is>
      </c>
      <c r="B328" s="1" t="n">
        <v>45371.36359953704</v>
      </c>
      <c r="C328" s="1" t="n">
        <v>46135</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16183-2026</t>
        </is>
      </c>
      <c r="B329" s="1" t="n">
        <v>46111</v>
      </c>
      <c r="C329" s="1" t="n">
        <v>46135</v>
      </c>
      <c r="D329" t="inlineStr">
        <is>
          <t>KALMAR LÄN</t>
        </is>
      </c>
      <c r="E329" t="inlineStr">
        <is>
          <t>VIMMERBY</t>
        </is>
      </c>
      <c r="G329" t="n">
        <v>1.7</v>
      </c>
      <c r="H329" t="n">
        <v>0</v>
      </c>
      <c r="I329" t="n">
        <v>0</v>
      </c>
      <c r="J329" t="n">
        <v>0</v>
      </c>
      <c r="K329" t="n">
        <v>0</v>
      </c>
      <c r="L329" t="n">
        <v>0</v>
      </c>
      <c r="M329" t="n">
        <v>0</v>
      </c>
      <c r="N329" t="n">
        <v>0</v>
      </c>
      <c r="O329" t="n">
        <v>0</v>
      </c>
      <c r="P329" t="n">
        <v>0</v>
      </c>
      <c r="Q329" t="n">
        <v>0</v>
      </c>
      <c r="R329" s="2" t="inlineStr"/>
    </row>
    <row r="330" ht="15" customHeight="1">
      <c r="A330" t="inlineStr">
        <is>
          <t>A 1687-2023</t>
        </is>
      </c>
      <c r="B330" s="1" t="n">
        <v>44938</v>
      </c>
      <c r="C330" s="1" t="n">
        <v>46135</v>
      </c>
      <c r="D330" t="inlineStr">
        <is>
          <t>KALMAR LÄN</t>
        </is>
      </c>
      <c r="E330" t="inlineStr">
        <is>
          <t>VIMMERBY</t>
        </is>
      </c>
      <c r="F330" t="inlineStr">
        <is>
          <t>Kommuner</t>
        </is>
      </c>
      <c r="G330" t="n">
        <v>2.5</v>
      </c>
      <c r="H330" t="n">
        <v>0</v>
      </c>
      <c r="I330" t="n">
        <v>0</v>
      </c>
      <c r="J330" t="n">
        <v>0</v>
      </c>
      <c r="K330" t="n">
        <v>0</v>
      </c>
      <c r="L330" t="n">
        <v>0</v>
      </c>
      <c r="M330" t="n">
        <v>0</v>
      </c>
      <c r="N330" t="n">
        <v>0</v>
      </c>
      <c r="O330" t="n">
        <v>0</v>
      </c>
      <c r="P330" t="n">
        <v>0</v>
      </c>
      <c r="Q330" t="n">
        <v>0</v>
      </c>
      <c r="R330" s="2" t="inlineStr"/>
    </row>
    <row r="331" ht="15" customHeight="1">
      <c r="A331" t="inlineStr">
        <is>
          <t>A 34060-2025</t>
        </is>
      </c>
      <c r="B331" s="1" t="n">
        <v>45845.42015046296</v>
      </c>
      <c r="C331" s="1" t="n">
        <v>46135</v>
      </c>
      <c r="D331" t="inlineStr">
        <is>
          <t>KALMAR LÄN</t>
        </is>
      </c>
      <c r="E331" t="inlineStr">
        <is>
          <t>VIMMERBY</t>
        </is>
      </c>
      <c r="G331" t="n">
        <v>5.7</v>
      </c>
      <c r="H331" t="n">
        <v>0</v>
      </c>
      <c r="I331" t="n">
        <v>0</v>
      </c>
      <c r="J331" t="n">
        <v>0</v>
      </c>
      <c r="K331" t="n">
        <v>0</v>
      </c>
      <c r="L331" t="n">
        <v>0</v>
      </c>
      <c r="M331" t="n">
        <v>0</v>
      </c>
      <c r="N331" t="n">
        <v>0</v>
      </c>
      <c r="O331" t="n">
        <v>0</v>
      </c>
      <c r="P331" t="n">
        <v>0</v>
      </c>
      <c r="Q331" t="n">
        <v>0</v>
      </c>
      <c r="R331" s="2" t="inlineStr"/>
    </row>
    <row r="332" ht="15" customHeight="1">
      <c r="A332" t="inlineStr">
        <is>
          <t>A 43465-2025</t>
        </is>
      </c>
      <c r="B332" s="1" t="n">
        <v>45911.47138888889</v>
      </c>
      <c r="C332" s="1" t="n">
        <v>46135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3494-2023</t>
        </is>
      </c>
      <c r="B333" s="1" t="n">
        <v>44949</v>
      </c>
      <c r="C333" s="1" t="n">
        <v>46135</v>
      </c>
      <c r="D333" t="inlineStr">
        <is>
          <t>KALMAR LÄN</t>
        </is>
      </c>
      <c r="E333" t="inlineStr">
        <is>
          <t>VIMMERBY</t>
        </is>
      </c>
      <c r="F333" t="inlineStr">
        <is>
          <t>Kyrkan</t>
        </is>
      </c>
      <c r="G333" t="n">
        <v>0.8</v>
      </c>
      <c r="H333" t="n">
        <v>0</v>
      </c>
      <c r="I333" t="n">
        <v>0</v>
      </c>
      <c r="J333" t="n">
        <v>0</v>
      </c>
      <c r="K333" t="n">
        <v>0</v>
      </c>
      <c r="L333" t="n">
        <v>0</v>
      </c>
      <c r="M333" t="n">
        <v>0</v>
      </c>
      <c r="N333" t="n">
        <v>0</v>
      </c>
      <c r="O333" t="n">
        <v>0</v>
      </c>
      <c r="P333" t="n">
        <v>0</v>
      </c>
      <c r="Q333" t="n">
        <v>0</v>
      </c>
      <c r="R333" s="2" t="inlineStr"/>
    </row>
    <row r="334" ht="15" customHeight="1">
      <c r="A334" t="inlineStr">
        <is>
          <t>A 43617-2025</t>
        </is>
      </c>
      <c r="B334" s="1" t="n">
        <v>45911.67798611111</v>
      </c>
      <c r="C334" s="1" t="n">
        <v>46135</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8696-2026</t>
        </is>
      </c>
      <c r="B335" s="1" t="n">
        <v>46066.45273148148</v>
      </c>
      <c r="C335" s="1" t="n">
        <v>46135</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15449-2023</t>
        </is>
      </c>
      <c r="B336" s="1" t="n">
        <v>45020</v>
      </c>
      <c r="C336" s="1" t="n">
        <v>46135</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43242-2024</t>
        </is>
      </c>
      <c r="B337" s="1" t="n">
        <v>45568.30189814815</v>
      </c>
      <c r="C337" s="1" t="n">
        <v>46135</v>
      </c>
      <c r="D337" t="inlineStr">
        <is>
          <t>KALMAR LÄN</t>
        </is>
      </c>
      <c r="E337" t="inlineStr">
        <is>
          <t>VIMMERBY</t>
        </is>
      </c>
      <c r="G337" t="n">
        <v>2.6</v>
      </c>
      <c r="H337" t="n">
        <v>0</v>
      </c>
      <c r="I337" t="n">
        <v>0</v>
      </c>
      <c r="J337" t="n">
        <v>0</v>
      </c>
      <c r="K337" t="n">
        <v>0</v>
      </c>
      <c r="L337" t="n">
        <v>0</v>
      </c>
      <c r="M337" t="n">
        <v>0</v>
      </c>
      <c r="N337" t="n">
        <v>0</v>
      </c>
      <c r="O337" t="n">
        <v>0</v>
      </c>
      <c r="P337" t="n">
        <v>0</v>
      </c>
      <c r="Q337" t="n">
        <v>0</v>
      </c>
      <c r="R337" s="2" t="inlineStr"/>
    </row>
    <row r="338" ht="15" customHeight="1">
      <c r="A338" t="inlineStr">
        <is>
          <t>A 44095-2025</t>
        </is>
      </c>
      <c r="B338" s="1" t="n">
        <v>45915.56430555556</v>
      </c>
      <c r="C338" s="1" t="n">
        <v>46135</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16675-2026</t>
        </is>
      </c>
      <c r="B339" s="1" t="n">
        <v>46112.68202546296</v>
      </c>
      <c r="C339" s="1" t="n">
        <v>46135</v>
      </c>
      <c r="D339" t="inlineStr">
        <is>
          <t>KALMAR LÄN</t>
        </is>
      </c>
      <c r="E339" t="inlineStr">
        <is>
          <t>VIMMERBY</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16653-2026</t>
        </is>
      </c>
      <c r="B340" s="1" t="n">
        <v>46112.64597222222</v>
      </c>
      <c r="C340" s="1" t="n">
        <v>46135</v>
      </c>
      <c r="D340" t="inlineStr">
        <is>
          <t>KALMAR LÄN</t>
        </is>
      </c>
      <c r="E340" t="inlineStr">
        <is>
          <t>VIMMERBY</t>
        </is>
      </c>
      <c r="F340" t="inlineStr">
        <is>
          <t>Kommuner</t>
        </is>
      </c>
      <c r="G340" t="n">
        <v>4.4</v>
      </c>
      <c r="H340" t="n">
        <v>0</v>
      </c>
      <c r="I340" t="n">
        <v>0</v>
      </c>
      <c r="J340" t="n">
        <v>0</v>
      </c>
      <c r="K340" t="n">
        <v>0</v>
      </c>
      <c r="L340" t="n">
        <v>0</v>
      </c>
      <c r="M340" t="n">
        <v>0</v>
      </c>
      <c r="N340" t="n">
        <v>0</v>
      </c>
      <c r="O340" t="n">
        <v>0</v>
      </c>
      <c r="P340" t="n">
        <v>0</v>
      </c>
      <c r="Q340" t="n">
        <v>0</v>
      </c>
      <c r="R340" s="2" t="inlineStr"/>
    </row>
    <row r="341" ht="15" customHeight="1">
      <c r="A341" t="inlineStr">
        <is>
          <t>A 16823-2026</t>
        </is>
      </c>
      <c r="B341" s="1" t="n">
        <v>46113.51649305555</v>
      </c>
      <c r="C341" s="1" t="n">
        <v>46135</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16870-2026</t>
        </is>
      </c>
      <c r="B342" s="1" t="n">
        <v>46113.5822800926</v>
      </c>
      <c r="C342" s="1" t="n">
        <v>46135</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44091-2025</t>
        </is>
      </c>
      <c r="B343" s="1" t="n">
        <v>45915.55950231481</v>
      </c>
      <c r="C343" s="1" t="n">
        <v>46135</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16734-2023</t>
        </is>
      </c>
      <c r="B344" s="1" t="n">
        <v>45030.71012731481</v>
      </c>
      <c r="C344" s="1" t="n">
        <v>46135</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56853-2022</t>
        </is>
      </c>
      <c r="B345" s="1" t="n">
        <v>44894.49538194444</v>
      </c>
      <c r="C345" s="1" t="n">
        <v>46135</v>
      </c>
      <c r="D345" t="inlineStr">
        <is>
          <t>KALMAR LÄN</t>
        </is>
      </c>
      <c r="E345" t="inlineStr">
        <is>
          <t>VIMMERBY</t>
        </is>
      </c>
      <c r="G345" t="n">
        <v>4.3</v>
      </c>
      <c r="H345" t="n">
        <v>0</v>
      </c>
      <c r="I345" t="n">
        <v>0</v>
      </c>
      <c r="J345" t="n">
        <v>0</v>
      </c>
      <c r="K345" t="n">
        <v>0</v>
      </c>
      <c r="L345" t="n">
        <v>0</v>
      </c>
      <c r="M345" t="n">
        <v>0</v>
      </c>
      <c r="N345" t="n">
        <v>0</v>
      </c>
      <c r="O345" t="n">
        <v>0</v>
      </c>
      <c r="P345" t="n">
        <v>0</v>
      </c>
      <c r="Q345" t="n">
        <v>0</v>
      </c>
      <c r="R345" s="2" t="inlineStr"/>
    </row>
    <row r="346" ht="15" customHeight="1">
      <c r="A346" t="inlineStr">
        <is>
          <t>A 16617-2026</t>
        </is>
      </c>
      <c r="B346" s="1" t="n">
        <v>46112.60607638889</v>
      </c>
      <c r="C346" s="1" t="n">
        <v>46135</v>
      </c>
      <c r="D346" t="inlineStr">
        <is>
          <t>KALMAR LÄN</t>
        </is>
      </c>
      <c r="E346" t="inlineStr">
        <is>
          <t>VIMMERBY</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16799-2026</t>
        </is>
      </c>
      <c r="B347" s="1" t="n">
        <v>46113.47913194444</v>
      </c>
      <c r="C347" s="1" t="n">
        <v>46135</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33815-2022</t>
        </is>
      </c>
      <c r="B348" s="1" t="n">
        <v>44790.45876157407</v>
      </c>
      <c r="C348" s="1" t="n">
        <v>46135</v>
      </c>
      <c r="D348" t="inlineStr">
        <is>
          <t>KALMAR LÄN</t>
        </is>
      </c>
      <c r="E348" t="inlineStr">
        <is>
          <t>VIMMERBY</t>
        </is>
      </c>
      <c r="G348" t="n">
        <v>0.9</v>
      </c>
      <c r="H348" t="n">
        <v>0</v>
      </c>
      <c r="I348" t="n">
        <v>0</v>
      </c>
      <c r="J348" t="n">
        <v>0</v>
      </c>
      <c r="K348" t="n">
        <v>0</v>
      </c>
      <c r="L348" t="n">
        <v>0</v>
      </c>
      <c r="M348" t="n">
        <v>0</v>
      </c>
      <c r="N348" t="n">
        <v>0</v>
      </c>
      <c r="O348" t="n">
        <v>0</v>
      </c>
      <c r="P348" t="n">
        <v>0</v>
      </c>
      <c r="Q348" t="n">
        <v>0</v>
      </c>
      <c r="R348" s="2" t="inlineStr"/>
    </row>
    <row r="349" ht="15" customHeight="1">
      <c r="A349" t="inlineStr">
        <is>
          <t>A 33842-2022</t>
        </is>
      </c>
      <c r="B349" s="1" t="n">
        <v>44790.49523148148</v>
      </c>
      <c r="C349" s="1" t="n">
        <v>46135</v>
      </c>
      <c r="D349" t="inlineStr">
        <is>
          <t>KALMAR LÄN</t>
        </is>
      </c>
      <c r="E349" t="inlineStr">
        <is>
          <t>VIMMERBY</t>
        </is>
      </c>
      <c r="G349" t="n">
        <v>1.6</v>
      </c>
      <c r="H349" t="n">
        <v>0</v>
      </c>
      <c r="I349" t="n">
        <v>0</v>
      </c>
      <c r="J349" t="n">
        <v>0</v>
      </c>
      <c r="K349" t="n">
        <v>0</v>
      </c>
      <c r="L349" t="n">
        <v>0</v>
      </c>
      <c r="M349" t="n">
        <v>0</v>
      </c>
      <c r="N349" t="n">
        <v>0</v>
      </c>
      <c r="O349" t="n">
        <v>0</v>
      </c>
      <c r="P349" t="n">
        <v>0</v>
      </c>
      <c r="Q349" t="n">
        <v>0</v>
      </c>
      <c r="R349" s="2" t="inlineStr"/>
    </row>
    <row r="350" ht="15" customHeight="1">
      <c r="A350" t="inlineStr">
        <is>
          <t>A 44517-2025</t>
        </is>
      </c>
      <c r="B350" s="1" t="n">
        <v>45916.7103587963</v>
      </c>
      <c r="C350" s="1" t="n">
        <v>46135</v>
      </c>
      <c r="D350" t="inlineStr">
        <is>
          <t>KALMAR LÄN</t>
        </is>
      </c>
      <c r="E350" t="inlineStr">
        <is>
          <t>VIMMERBY</t>
        </is>
      </c>
      <c r="G350" t="n">
        <v>0.9</v>
      </c>
      <c r="H350" t="n">
        <v>0</v>
      </c>
      <c r="I350" t="n">
        <v>0</v>
      </c>
      <c r="J350" t="n">
        <v>0</v>
      </c>
      <c r="K350" t="n">
        <v>0</v>
      </c>
      <c r="L350" t="n">
        <v>0</v>
      </c>
      <c r="M350" t="n">
        <v>0</v>
      </c>
      <c r="N350" t="n">
        <v>0</v>
      </c>
      <c r="O350" t="n">
        <v>0</v>
      </c>
      <c r="P350" t="n">
        <v>0</v>
      </c>
      <c r="Q350" t="n">
        <v>0</v>
      </c>
      <c r="R350" s="2" t="inlineStr"/>
    </row>
    <row r="351" ht="15" customHeight="1">
      <c r="A351" t="inlineStr">
        <is>
          <t>A 44742-2025</t>
        </is>
      </c>
      <c r="B351" s="1" t="n">
        <v>45917.67054398148</v>
      </c>
      <c r="C351" s="1" t="n">
        <v>46135</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44329-2025</t>
        </is>
      </c>
      <c r="B352" s="1" t="n">
        <v>45916.41019675926</v>
      </c>
      <c r="C352" s="1" t="n">
        <v>46135</v>
      </c>
      <c r="D352" t="inlineStr">
        <is>
          <t>KALMAR LÄN</t>
        </is>
      </c>
      <c r="E352" t="inlineStr">
        <is>
          <t>VIMMERBY</t>
        </is>
      </c>
      <c r="G352" t="n">
        <v>4.3</v>
      </c>
      <c r="H352" t="n">
        <v>0</v>
      </c>
      <c r="I352" t="n">
        <v>0</v>
      </c>
      <c r="J352" t="n">
        <v>0</v>
      </c>
      <c r="K352" t="n">
        <v>0</v>
      </c>
      <c r="L352" t="n">
        <v>0</v>
      </c>
      <c r="M352" t="n">
        <v>0</v>
      </c>
      <c r="N352" t="n">
        <v>0</v>
      </c>
      <c r="O352" t="n">
        <v>0</v>
      </c>
      <c r="P352" t="n">
        <v>0</v>
      </c>
      <c r="Q352" t="n">
        <v>0</v>
      </c>
      <c r="R352" s="2" t="inlineStr"/>
    </row>
    <row r="353" ht="15" customHeight="1">
      <c r="A353" t="inlineStr">
        <is>
          <t>A 16632-2026</t>
        </is>
      </c>
      <c r="B353" s="1" t="n">
        <v>46112.62212962963</v>
      </c>
      <c r="C353" s="1" t="n">
        <v>46135</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16648-2026</t>
        </is>
      </c>
      <c r="B354" s="1" t="n">
        <v>46112.64032407408</v>
      </c>
      <c r="C354" s="1" t="n">
        <v>46135</v>
      </c>
      <c r="D354" t="inlineStr">
        <is>
          <t>KALMAR LÄN</t>
        </is>
      </c>
      <c r="E354" t="inlineStr">
        <is>
          <t>VIMMERBY</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16656-2026</t>
        </is>
      </c>
      <c r="B355" s="1" t="n">
        <v>46112.65111111111</v>
      </c>
      <c r="C355" s="1" t="n">
        <v>46135</v>
      </c>
      <c r="D355" t="inlineStr">
        <is>
          <t>KALMAR LÄN</t>
        </is>
      </c>
      <c r="E355" t="inlineStr">
        <is>
          <t>VIMMERBY</t>
        </is>
      </c>
      <c r="F355" t="inlineStr">
        <is>
          <t>Kommuner</t>
        </is>
      </c>
      <c r="G355" t="n">
        <v>5.5</v>
      </c>
      <c r="H355" t="n">
        <v>0</v>
      </c>
      <c r="I355" t="n">
        <v>0</v>
      </c>
      <c r="J355" t="n">
        <v>0</v>
      </c>
      <c r="K355" t="n">
        <v>0</v>
      </c>
      <c r="L355" t="n">
        <v>0</v>
      </c>
      <c r="M355" t="n">
        <v>0</v>
      </c>
      <c r="N355" t="n">
        <v>0</v>
      </c>
      <c r="O355" t="n">
        <v>0</v>
      </c>
      <c r="P355" t="n">
        <v>0</v>
      </c>
      <c r="Q355" t="n">
        <v>0</v>
      </c>
      <c r="R355" s="2" t="inlineStr"/>
    </row>
    <row r="356" ht="15" customHeight="1">
      <c r="A356" t="inlineStr">
        <is>
          <t>A 41896-2025</t>
        </is>
      </c>
      <c r="B356" s="1" t="n">
        <v>45903.38800925926</v>
      </c>
      <c r="C356" s="1" t="n">
        <v>46135</v>
      </c>
      <c r="D356" t="inlineStr">
        <is>
          <t>KALMAR LÄN</t>
        </is>
      </c>
      <c r="E356" t="inlineStr">
        <is>
          <t>VIMMERBY</t>
        </is>
      </c>
      <c r="G356" t="n">
        <v>2.9</v>
      </c>
      <c r="H356" t="n">
        <v>0</v>
      </c>
      <c r="I356" t="n">
        <v>0</v>
      </c>
      <c r="J356" t="n">
        <v>0</v>
      </c>
      <c r="K356" t="n">
        <v>0</v>
      </c>
      <c r="L356" t="n">
        <v>0</v>
      </c>
      <c r="M356" t="n">
        <v>0</v>
      </c>
      <c r="N356" t="n">
        <v>0</v>
      </c>
      <c r="O356" t="n">
        <v>0</v>
      </c>
      <c r="P356" t="n">
        <v>0</v>
      </c>
      <c r="Q356" t="n">
        <v>0</v>
      </c>
      <c r="R356" s="2" t="inlineStr"/>
    </row>
    <row r="357" ht="15" customHeight="1">
      <c r="A357" t="inlineStr">
        <is>
          <t>A 16795-2026</t>
        </is>
      </c>
      <c r="B357" s="1" t="n">
        <v>46113.47216435185</v>
      </c>
      <c r="C357" s="1" t="n">
        <v>46135</v>
      </c>
      <c r="D357" t="inlineStr">
        <is>
          <t>KALMAR LÄN</t>
        </is>
      </c>
      <c r="E357" t="inlineStr">
        <is>
          <t>VIMMERBY</t>
        </is>
      </c>
      <c r="G357" t="n">
        <v>2.1</v>
      </c>
      <c r="H357" t="n">
        <v>0</v>
      </c>
      <c r="I357" t="n">
        <v>0</v>
      </c>
      <c r="J357" t="n">
        <v>0</v>
      </c>
      <c r="K357" t="n">
        <v>0</v>
      </c>
      <c r="L357" t="n">
        <v>0</v>
      </c>
      <c r="M357" t="n">
        <v>0</v>
      </c>
      <c r="N357" t="n">
        <v>0</v>
      </c>
      <c r="O357" t="n">
        <v>0</v>
      </c>
      <c r="P357" t="n">
        <v>0</v>
      </c>
      <c r="Q357" t="n">
        <v>0</v>
      </c>
      <c r="R357" s="2" t="inlineStr"/>
    </row>
    <row r="358" ht="15" customHeight="1">
      <c r="A358" t="inlineStr">
        <is>
          <t>A 16801-2026</t>
        </is>
      </c>
      <c r="B358" s="1" t="n">
        <v>46113.48400462963</v>
      </c>
      <c r="C358" s="1" t="n">
        <v>46135</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16678-2026</t>
        </is>
      </c>
      <c r="B359" s="1" t="n">
        <v>46112.69435185185</v>
      </c>
      <c r="C359" s="1" t="n">
        <v>46135</v>
      </c>
      <c r="D359" t="inlineStr">
        <is>
          <t>KALMAR LÄN</t>
        </is>
      </c>
      <c r="E359" t="inlineStr">
        <is>
          <t>VIMMERBY</t>
        </is>
      </c>
      <c r="F359" t="inlineStr">
        <is>
          <t>Kommuner</t>
        </is>
      </c>
      <c r="G359" t="n">
        <v>1.6</v>
      </c>
      <c r="H359" t="n">
        <v>0</v>
      </c>
      <c r="I359" t="n">
        <v>0</v>
      </c>
      <c r="J359" t="n">
        <v>0</v>
      </c>
      <c r="K359" t="n">
        <v>0</v>
      </c>
      <c r="L359" t="n">
        <v>0</v>
      </c>
      <c r="M359" t="n">
        <v>0</v>
      </c>
      <c r="N359" t="n">
        <v>0</v>
      </c>
      <c r="O359" t="n">
        <v>0</v>
      </c>
      <c r="P359" t="n">
        <v>0</v>
      </c>
      <c r="Q359" t="n">
        <v>0</v>
      </c>
      <c r="R359" s="2" t="inlineStr"/>
    </row>
    <row r="360" ht="15" customHeight="1">
      <c r="A360" t="inlineStr">
        <is>
          <t>A 16672-2026</t>
        </is>
      </c>
      <c r="B360" s="1" t="n">
        <v>46112.67336805556</v>
      </c>
      <c r="C360" s="1" t="n">
        <v>46135</v>
      </c>
      <c r="D360" t="inlineStr">
        <is>
          <t>KALMAR LÄN</t>
        </is>
      </c>
      <c r="E360" t="inlineStr">
        <is>
          <t>VIMMERBY</t>
        </is>
      </c>
      <c r="F360" t="inlineStr">
        <is>
          <t>Kommuner</t>
        </is>
      </c>
      <c r="G360" t="n">
        <v>1.4</v>
      </c>
      <c r="H360" t="n">
        <v>0</v>
      </c>
      <c r="I360" t="n">
        <v>0</v>
      </c>
      <c r="J360" t="n">
        <v>0</v>
      </c>
      <c r="K360" t="n">
        <v>0</v>
      </c>
      <c r="L360" t="n">
        <v>0</v>
      </c>
      <c r="M360" t="n">
        <v>0</v>
      </c>
      <c r="N360" t="n">
        <v>0</v>
      </c>
      <c r="O360" t="n">
        <v>0</v>
      </c>
      <c r="P360" t="n">
        <v>0</v>
      </c>
      <c r="Q360" t="n">
        <v>0</v>
      </c>
      <c r="R360" s="2" t="inlineStr"/>
    </row>
    <row r="361" ht="15" customHeight="1">
      <c r="A361" t="inlineStr">
        <is>
          <t>A 49408-2023</t>
        </is>
      </c>
      <c r="B361" s="1" t="n">
        <v>45211.43555555555</v>
      </c>
      <c r="C361" s="1" t="n">
        <v>46135</v>
      </c>
      <c r="D361" t="inlineStr">
        <is>
          <t>KALMAR LÄN</t>
        </is>
      </c>
      <c r="E361" t="inlineStr">
        <is>
          <t>VIMMERBY</t>
        </is>
      </c>
      <c r="G361" t="n">
        <v>13.1</v>
      </c>
      <c r="H361" t="n">
        <v>0</v>
      </c>
      <c r="I361" t="n">
        <v>0</v>
      </c>
      <c r="J361" t="n">
        <v>0</v>
      </c>
      <c r="K361" t="n">
        <v>0</v>
      </c>
      <c r="L361" t="n">
        <v>0</v>
      </c>
      <c r="M361" t="n">
        <v>0</v>
      </c>
      <c r="N361" t="n">
        <v>0</v>
      </c>
      <c r="O361" t="n">
        <v>0</v>
      </c>
      <c r="P361" t="n">
        <v>0</v>
      </c>
      <c r="Q361" t="n">
        <v>0</v>
      </c>
      <c r="R361" s="2" t="inlineStr"/>
    </row>
    <row r="362" ht="15" customHeight="1">
      <c r="A362" t="inlineStr">
        <is>
          <t>A 56536-2022</t>
        </is>
      </c>
      <c r="B362" s="1" t="n">
        <v>44893</v>
      </c>
      <c r="C362" s="1" t="n">
        <v>46135</v>
      </c>
      <c r="D362" t="inlineStr">
        <is>
          <t>KALMAR LÄN</t>
        </is>
      </c>
      <c r="E362" t="inlineStr">
        <is>
          <t>VIMMERBY</t>
        </is>
      </c>
      <c r="G362" t="n">
        <v>3.2</v>
      </c>
      <c r="H362" t="n">
        <v>0</v>
      </c>
      <c r="I362" t="n">
        <v>0</v>
      </c>
      <c r="J362" t="n">
        <v>0</v>
      </c>
      <c r="K362" t="n">
        <v>0</v>
      </c>
      <c r="L362" t="n">
        <v>0</v>
      </c>
      <c r="M362" t="n">
        <v>0</v>
      </c>
      <c r="N362" t="n">
        <v>0</v>
      </c>
      <c r="O362" t="n">
        <v>0</v>
      </c>
      <c r="P362" t="n">
        <v>0</v>
      </c>
      <c r="Q362" t="n">
        <v>0</v>
      </c>
      <c r="R362" s="2" t="inlineStr"/>
    </row>
    <row r="363" ht="15" customHeight="1">
      <c r="A363" t="inlineStr">
        <is>
          <t>A 41199-2023</t>
        </is>
      </c>
      <c r="B363" s="1" t="n">
        <v>45174.40454861111</v>
      </c>
      <c r="C363" s="1" t="n">
        <v>46135</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45114-2025</t>
        </is>
      </c>
      <c r="B364" s="1" t="n">
        <v>45919.42387731482</v>
      </c>
      <c r="C364" s="1" t="n">
        <v>46135</v>
      </c>
      <c r="D364" t="inlineStr">
        <is>
          <t>KALMAR LÄN</t>
        </is>
      </c>
      <c r="E364" t="inlineStr">
        <is>
          <t>VIMMERBY</t>
        </is>
      </c>
      <c r="G364" t="n">
        <v>2.7</v>
      </c>
      <c r="H364" t="n">
        <v>0</v>
      </c>
      <c r="I364" t="n">
        <v>0</v>
      </c>
      <c r="J364" t="n">
        <v>0</v>
      </c>
      <c r="K364" t="n">
        <v>0</v>
      </c>
      <c r="L364" t="n">
        <v>0</v>
      </c>
      <c r="M364" t="n">
        <v>0</v>
      </c>
      <c r="N364" t="n">
        <v>0</v>
      </c>
      <c r="O364" t="n">
        <v>0</v>
      </c>
      <c r="P364" t="n">
        <v>0</v>
      </c>
      <c r="Q364" t="n">
        <v>0</v>
      </c>
      <c r="R364" s="2" t="inlineStr"/>
    </row>
    <row r="365" ht="15" customHeight="1">
      <c r="A365" t="inlineStr">
        <is>
          <t>A 20129-2024</t>
        </is>
      </c>
      <c r="B365" s="1" t="n">
        <v>45434.55831018519</v>
      </c>
      <c r="C365" s="1" t="n">
        <v>46135</v>
      </c>
      <c r="D365" t="inlineStr">
        <is>
          <t>KALMAR LÄN</t>
        </is>
      </c>
      <c r="E365" t="inlineStr">
        <is>
          <t>VIMMERBY</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20137-2024</t>
        </is>
      </c>
      <c r="B366" s="1" t="n">
        <v>45434.56398148148</v>
      </c>
      <c r="C366" s="1" t="n">
        <v>46135</v>
      </c>
      <c r="D366" t="inlineStr">
        <is>
          <t>KALMAR LÄN</t>
        </is>
      </c>
      <c r="E366" t="inlineStr">
        <is>
          <t>VIMMERBY</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8945-2025</t>
        </is>
      </c>
      <c r="B367" s="1" t="n">
        <v>45713.45311342592</v>
      </c>
      <c r="C367" s="1" t="n">
        <v>46135</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7456-2024</t>
        </is>
      </c>
      <c r="B368" s="1" t="n">
        <v>45345.83557870371</v>
      </c>
      <c r="C368" s="1" t="n">
        <v>46135</v>
      </c>
      <c r="D368" t="inlineStr">
        <is>
          <t>KALMAR LÄN</t>
        </is>
      </c>
      <c r="E368" t="inlineStr">
        <is>
          <t>VIMMERBY</t>
        </is>
      </c>
      <c r="G368" t="n">
        <v>4.1</v>
      </c>
      <c r="H368" t="n">
        <v>0</v>
      </c>
      <c r="I368" t="n">
        <v>0</v>
      </c>
      <c r="J368" t="n">
        <v>0</v>
      </c>
      <c r="K368" t="n">
        <v>0</v>
      </c>
      <c r="L368" t="n">
        <v>0</v>
      </c>
      <c r="M368" t="n">
        <v>0</v>
      </c>
      <c r="N368" t="n">
        <v>0</v>
      </c>
      <c r="O368" t="n">
        <v>0</v>
      </c>
      <c r="P368" t="n">
        <v>0</v>
      </c>
      <c r="Q368" t="n">
        <v>0</v>
      </c>
      <c r="R368" s="2" t="inlineStr"/>
    </row>
    <row r="369" ht="15" customHeight="1">
      <c r="A369" t="inlineStr">
        <is>
          <t>A 45319-2025</t>
        </is>
      </c>
      <c r="B369" s="1" t="n">
        <v>45921.95611111111</v>
      </c>
      <c r="C369" s="1" t="n">
        <v>46135</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11619-2023</t>
        </is>
      </c>
      <c r="B370" s="1" t="n">
        <v>44994.42113425926</v>
      </c>
      <c r="C370" s="1" t="n">
        <v>46135</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45320-2025</t>
        </is>
      </c>
      <c r="B371" s="1" t="n">
        <v>45921.96395833333</v>
      </c>
      <c r="C371" s="1" t="n">
        <v>46135</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41896-2023</t>
        </is>
      </c>
      <c r="B372" s="1" t="n">
        <v>45176.72427083334</v>
      </c>
      <c r="C372" s="1" t="n">
        <v>46135</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46118-2025</t>
        </is>
      </c>
      <c r="B373" s="1" t="n">
        <v>45924.57697916667</v>
      </c>
      <c r="C373" s="1" t="n">
        <v>46135</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46365-2025</t>
        </is>
      </c>
      <c r="B374" s="1" t="n">
        <v>45925.50075231482</v>
      </c>
      <c r="C374" s="1" t="n">
        <v>46135</v>
      </c>
      <c r="D374" t="inlineStr">
        <is>
          <t>KALMAR LÄN</t>
        </is>
      </c>
      <c r="E374" t="inlineStr">
        <is>
          <t>VIMMERBY</t>
        </is>
      </c>
      <c r="G374" t="n">
        <v>5.6</v>
      </c>
      <c r="H374" t="n">
        <v>0</v>
      </c>
      <c r="I374" t="n">
        <v>0</v>
      </c>
      <c r="J374" t="n">
        <v>0</v>
      </c>
      <c r="K374" t="n">
        <v>0</v>
      </c>
      <c r="L374" t="n">
        <v>0</v>
      </c>
      <c r="M374" t="n">
        <v>0</v>
      </c>
      <c r="N374" t="n">
        <v>0</v>
      </c>
      <c r="O374" t="n">
        <v>0</v>
      </c>
      <c r="P374" t="n">
        <v>0</v>
      </c>
      <c r="Q374" t="n">
        <v>0</v>
      </c>
      <c r="R374" s="2" t="inlineStr"/>
    </row>
    <row r="375" ht="15" customHeight="1">
      <c r="A375" t="inlineStr">
        <is>
          <t>A 17926-2025</t>
        </is>
      </c>
      <c r="B375" s="1" t="n">
        <v>45759.38987268518</v>
      </c>
      <c r="C375" s="1" t="n">
        <v>46135</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46361-2025</t>
        </is>
      </c>
      <c r="B376" s="1" t="n">
        <v>45925.49670138889</v>
      </c>
      <c r="C376" s="1" t="n">
        <v>46135</v>
      </c>
      <c r="D376" t="inlineStr">
        <is>
          <t>KALMAR LÄN</t>
        </is>
      </c>
      <c r="E376" t="inlineStr">
        <is>
          <t>VIMMERBY</t>
        </is>
      </c>
      <c r="G376" t="n">
        <v>4.2</v>
      </c>
      <c r="H376" t="n">
        <v>0</v>
      </c>
      <c r="I376" t="n">
        <v>0</v>
      </c>
      <c r="J376" t="n">
        <v>0</v>
      </c>
      <c r="K376" t="n">
        <v>0</v>
      </c>
      <c r="L376" t="n">
        <v>0</v>
      </c>
      <c r="M376" t="n">
        <v>0</v>
      </c>
      <c r="N376" t="n">
        <v>0</v>
      </c>
      <c r="O376" t="n">
        <v>0</v>
      </c>
      <c r="P376" t="n">
        <v>0</v>
      </c>
      <c r="Q376" t="n">
        <v>0</v>
      </c>
      <c r="R376" s="2" t="inlineStr"/>
    </row>
    <row r="377" ht="15" customHeight="1">
      <c r="A377" t="inlineStr">
        <is>
          <t>A 52324-2023</t>
        </is>
      </c>
      <c r="B377" s="1" t="n">
        <v>45224.64659722222</v>
      </c>
      <c r="C377" s="1" t="n">
        <v>46135</v>
      </c>
      <c r="D377" t="inlineStr">
        <is>
          <t>KALMAR LÄN</t>
        </is>
      </c>
      <c r="E377" t="inlineStr">
        <is>
          <t>VIMMERBY</t>
        </is>
      </c>
      <c r="F377" t="inlineStr">
        <is>
          <t>Sveaskog</t>
        </is>
      </c>
      <c r="G377" t="n">
        <v>2.9</v>
      </c>
      <c r="H377" t="n">
        <v>0</v>
      </c>
      <c r="I377" t="n">
        <v>0</v>
      </c>
      <c r="J377" t="n">
        <v>0</v>
      </c>
      <c r="K377" t="n">
        <v>0</v>
      </c>
      <c r="L377" t="n">
        <v>0</v>
      </c>
      <c r="M377" t="n">
        <v>0</v>
      </c>
      <c r="N377" t="n">
        <v>0</v>
      </c>
      <c r="O377" t="n">
        <v>0</v>
      </c>
      <c r="P377" t="n">
        <v>0</v>
      </c>
      <c r="Q377" t="n">
        <v>0</v>
      </c>
      <c r="R377" s="2" t="inlineStr"/>
    </row>
    <row r="378" ht="15" customHeight="1">
      <c r="A378" t="inlineStr">
        <is>
          <t>A 21028-2023</t>
        </is>
      </c>
      <c r="B378" s="1" t="n">
        <v>45061</v>
      </c>
      <c r="C378" s="1" t="n">
        <v>46135</v>
      </c>
      <c r="D378" t="inlineStr">
        <is>
          <t>KALMAR LÄN</t>
        </is>
      </c>
      <c r="E378" t="inlineStr">
        <is>
          <t>VIMMERBY</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19445-2021</t>
        </is>
      </c>
      <c r="B379" s="1" t="n">
        <v>44310</v>
      </c>
      <c r="C379" s="1" t="n">
        <v>46135</v>
      </c>
      <c r="D379" t="inlineStr">
        <is>
          <t>KALMAR LÄN</t>
        </is>
      </c>
      <c r="E379" t="inlineStr">
        <is>
          <t>VIMMERBY</t>
        </is>
      </c>
      <c r="G379" t="n">
        <v>6.8</v>
      </c>
      <c r="H379" t="n">
        <v>0</v>
      </c>
      <c r="I379" t="n">
        <v>0</v>
      </c>
      <c r="J379" t="n">
        <v>0</v>
      </c>
      <c r="K379" t="n">
        <v>0</v>
      </c>
      <c r="L379" t="n">
        <v>0</v>
      </c>
      <c r="M379" t="n">
        <v>0</v>
      </c>
      <c r="N379" t="n">
        <v>0</v>
      </c>
      <c r="O379" t="n">
        <v>0</v>
      </c>
      <c r="P379" t="n">
        <v>0</v>
      </c>
      <c r="Q379" t="n">
        <v>0</v>
      </c>
      <c r="R379" s="2" t="inlineStr"/>
    </row>
    <row r="380" ht="15" customHeight="1">
      <c r="A380" t="inlineStr">
        <is>
          <t>A 27122-2023</t>
        </is>
      </c>
      <c r="B380" s="1" t="n">
        <v>45096.45247685185</v>
      </c>
      <c r="C380" s="1" t="n">
        <v>46135</v>
      </c>
      <c r="D380" t="inlineStr">
        <is>
          <t>KALMAR LÄN</t>
        </is>
      </c>
      <c r="E380" t="inlineStr">
        <is>
          <t>VIMMERBY</t>
        </is>
      </c>
      <c r="G380" t="n">
        <v>1.7</v>
      </c>
      <c r="H380" t="n">
        <v>0</v>
      </c>
      <c r="I380" t="n">
        <v>0</v>
      </c>
      <c r="J380" t="n">
        <v>0</v>
      </c>
      <c r="K380" t="n">
        <v>0</v>
      </c>
      <c r="L380" t="n">
        <v>0</v>
      </c>
      <c r="M380" t="n">
        <v>0</v>
      </c>
      <c r="N380" t="n">
        <v>0</v>
      </c>
      <c r="O380" t="n">
        <v>0</v>
      </c>
      <c r="P380" t="n">
        <v>0</v>
      </c>
      <c r="Q380" t="n">
        <v>0</v>
      </c>
      <c r="R380" s="2" t="inlineStr"/>
    </row>
    <row r="381" ht="15" customHeight="1">
      <c r="A381" t="inlineStr">
        <is>
          <t>A 13813-2024</t>
        </is>
      </c>
      <c r="B381" s="1" t="n">
        <v>45391.41310185185</v>
      </c>
      <c r="C381" s="1" t="n">
        <v>46135</v>
      </c>
      <c r="D381" t="inlineStr">
        <is>
          <t>KALMAR LÄN</t>
        </is>
      </c>
      <c r="E381" t="inlineStr">
        <is>
          <t>VIMMERBY</t>
        </is>
      </c>
      <c r="G381" t="n">
        <v>0.4</v>
      </c>
      <c r="H381" t="n">
        <v>0</v>
      </c>
      <c r="I381" t="n">
        <v>0</v>
      </c>
      <c r="J381" t="n">
        <v>0</v>
      </c>
      <c r="K381" t="n">
        <v>0</v>
      </c>
      <c r="L381" t="n">
        <v>0</v>
      </c>
      <c r="M381" t="n">
        <v>0</v>
      </c>
      <c r="N381" t="n">
        <v>0</v>
      </c>
      <c r="O381" t="n">
        <v>0</v>
      </c>
      <c r="P381" t="n">
        <v>0</v>
      </c>
      <c r="Q381" t="n">
        <v>0</v>
      </c>
      <c r="R381" s="2" t="inlineStr"/>
    </row>
    <row r="382" ht="15" customHeight="1">
      <c r="A382" t="inlineStr">
        <is>
          <t>A 46887-2025</t>
        </is>
      </c>
      <c r="B382" s="1" t="n">
        <v>45929.3672337963</v>
      </c>
      <c r="C382" s="1" t="n">
        <v>46135</v>
      </c>
      <c r="D382" t="inlineStr">
        <is>
          <t>KALMAR LÄN</t>
        </is>
      </c>
      <c r="E382" t="inlineStr">
        <is>
          <t>VIMMERBY</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38969-2023</t>
        </is>
      </c>
      <c r="B383" s="1" t="n">
        <v>45163.63621527778</v>
      </c>
      <c r="C383" s="1" t="n">
        <v>46135</v>
      </c>
      <c r="D383" t="inlineStr">
        <is>
          <t>KALMAR LÄN</t>
        </is>
      </c>
      <c r="E383" t="inlineStr">
        <is>
          <t>VIMMERBY</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45856-2025</t>
        </is>
      </c>
      <c r="B384" s="1" t="n">
        <v>45923</v>
      </c>
      <c r="C384" s="1" t="n">
        <v>46135</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26937-2023</t>
        </is>
      </c>
      <c r="B385" s="1" t="n">
        <v>45093.62777777778</v>
      </c>
      <c r="C385" s="1" t="n">
        <v>46135</v>
      </c>
      <c r="D385" t="inlineStr">
        <is>
          <t>KALMAR LÄN</t>
        </is>
      </c>
      <c r="E385" t="inlineStr">
        <is>
          <t>VIMMERBY</t>
        </is>
      </c>
      <c r="F385" t="inlineStr">
        <is>
          <t>Sveaskog</t>
        </is>
      </c>
      <c r="G385" t="n">
        <v>14.5</v>
      </c>
      <c r="H385" t="n">
        <v>0</v>
      </c>
      <c r="I385" t="n">
        <v>0</v>
      </c>
      <c r="J385" t="n">
        <v>0</v>
      </c>
      <c r="K385" t="n">
        <v>0</v>
      </c>
      <c r="L385" t="n">
        <v>0</v>
      </c>
      <c r="M385" t="n">
        <v>0</v>
      </c>
      <c r="N385" t="n">
        <v>0</v>
      </c>
      <c r="O385" t="n">
        <v>0</v>
      </c>
      <c r="P385" t="n">
        <v>0</v>
      </c>
      <c r="Q385" t="n">
        <v>0</v>
      </c>
      <c r="R385" s="2" t="inlineStr"/>
    </row>
    <row r="386" ht="15" customHeight="1">
      <c r="A386" t="inlineStr">
        <is>
          <t>A 57486-2024</t>
        </is>
      </c>
      <c r="B386" s="1" t="n">
        <v>45630.35827546296</v>
      </c>
      <c r="C386" s="1" t="n">
        <v>46135</v>
      </c>
      <c r="D386" t="inlineStr">
        <is>
          <t>KALMAR LÄN</t>
        </is>
      </c>
      <c r="E386" t="inlineStr">
        <is>
          <t>VIMMERBY</t>
        </is>
      </c>
      <c r="G386" t="n">
        <v>0.4</v>
      </c>
      <c r="H386" t="n">
        <v>0</v>
      </c>
      <c r="I386" t="n">
        <v>0</v>
      </c>
      <c r="J386" t="n">
        <v>0</v>
      </c>
      <c r="K386" t="n">
        <v>0</v>
      </c>
      <c r="L386" t="n">
        <v>0</v>
      </c>
      <c r="M386" t="n">
        <v>0</v>
      </c>
      <c r="N386" t="n">
        <v>0</v>
      </c>
      <c r="O386" t="n">
        <v>0</v>
      </c>
      <c r="P386" t="n">
        <v>0</v>
      </c>
      <c r="Q386" t="n">
        <v>0</v>
      </c>
      <c r="R386" s="2" t="inlineStr"/>
    </row>
    <row r="387" ht="15" customHeight="1">
      <c r="A387" t="inlineStr">
        <is>
          <t>A 43186-2021</t>
        </is>
      </c>
      <c r="B387" s="1" t="n">
        <v>44431.84840277778</v>
      </c>
      <c r="C387" s="1" t="n">
        <v>46135</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1799-2025</t>
        </is>
      </c>
      <c r="B388" s="1" t="n">
        <v>45671.46746527778</v>
      </c>
      <c r="C388" s="1" t="n">
        <v>46135</v>
      </c>
      <c r="D388" t="inlineStr">
        <is>
          <t>KALMAR LÄN</t>
        </is>
      </c>
      <c r="E388" t="inlineStr">
        <is>
          <t>VIMMERBY</t>
        </is>
      </c>
      <c r="G388" t="n">
        <v>3.3</v>
      </c>
      <c r="H388" t="n">
        <v>0</v>
      </c>
      <c r="I388" t="n">
        <v>0</v>
      </c>
      <c r="J388" t="n">
        <v>0</v>
      </c>
      <c r="K388" t="n">
        <v>0</v>
      </c>
      <c r="L388" t="n">
        <v>0</v>
      </c>
      <c r="M388" t="n">
        <v>0</v>
      </c>
      <c r="N388" t="n">
        <v>0</v>
      </c>
      <c r="O388" t="n">
        <v>0</v>
      </c>
      <c r="P388" t="n">
        <v>0</v>
      </c>
      <c r="Q388" t="n">
        <v>0</v>
      </c>
      <c r="R388" s="2" t="inlineStr"/>
    </row>
    <row r="389" ht="15" customHeight="1">
      <c r="A389" t="inlineStr">
        <is>
          <t>A 30063-2023</t>
        </is>
      </c>
      <c r="B389" s="1" t="n">
        <v>45110.4184375</v>
      </c>
      <c r="C389" s="1" t="n">
        <v>46135</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45854-2025</t>
        </is>
      </c>
      <c r="B390" s="1" t="n">
        <v>45923</v>
      </c>
      <c r="C390" s="1" t="n">
        <v>46135</v>
      </c>
      <c r="D390" t="inlineStr">
        <is>
          <t>KALMAR LÄN</t>
        </is>
      </c>
      <c r="E390" t="inlineStr">
        <is>
          <t>VIMMERBY</t>
        </is>
      </c>
      <c r="G390" t="n">
        <v>2.2</v>
      </c>
      <c r="H390" t="n">
        <v>0</v>
      </c>
      <c r="I390" t="n">
        <v>0</v>
      </c>
      <c r="J390" t="n">
        <v>0</v>
      </c>
      <c r="K390" t="n">
        <v>0</v>
      </c>
      <c r="L390" t="n">
        <v>0</v>
      </c>
      <c r="M390" t="n">
        <v>0</v>
      </c>
      <c r="N390" t="n">
        <v>0</v>
      </c>
      <c r="O390" t="n">
        <v>0</v>
      </c>
      <c r="P390" t="n">
        <v>0</v>
      </c>
      <c r="Q390" t="n">
        <v>0</v>
      </c>
      <c r="R390" s="2" t="inlineStr"/>
    </row>
    <row r="391" ht="15" customHeight="1">
      <c r="A391" t="inlineStr">
        <is>
          <t>A 45855-2025</t>
        </is>
      </c>
      <c r="B391" s="1" t="n">
        <v>45923</v>
      </c>
      <c r="C391" s="1" t="n">
        <v>46135</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17988-2025</t>
        </is>
      </c>
      <c r="B392" s="1" t="n">
        <v>45761.39600694444</v>
      </c>
      <c r="C392" s="1" t="n">
        <v>46135</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23341-2022</t>
        </is>
      </c>
      <c r="B393" s="1" t="n">
        <v>44720.53898148148</v>
      </c>
      <c r="C393" s="1" t="n">
        <v>46135</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37028-2024</t>
        </is>
      </c>
      <c r="B394" s="1" t="n">
        <v>45539.38744212963</v>
      </c>
      <c r="C394" s="1" t="n">
        <v>46135</v>
      </c>
      <c r="D394" t="inlineStr">
        <is>
          <t>KALMAR LÄN</t>
        </is>
      </c>
      <c r="E394" t="inlineStr">
        <is>
          <t>VIMMERBY</t>
        </is>
      </c>
      <c r="G394" t="n">
        <v>5.2</v>
      </c>
      <c r="H394" t="n">
        <v>0</v>
      </c>
      <c r="I394" t="n">
        <v>0</v>
      </c>
      <c r="J394" t="n">
        <v>0</v>
      </c>
      <c r="K394" t="n">
        <v>0</v>
      </c>
      <c r="L394" t="n">
        <v>0</v>
      </c>
      <c r="M394" t="n">
        <v>0</v>
      </c>
      <c r="N394" t="n">
        <v>0</v>
      </c>
      <c r="O394" t="n">
        <v>0</v>
      </c>
      <c r="P394" t="n">
        <v>0</v>
      </c>
      <c r="Q394" t="n">
        <v>0</v>
      </c>
      <c r="R394" s="2" t="inlineStr"/>
    </row>
    <row r="395" ht="15" customHeight="1">
      <c r="A395" t="inlineStr">
        <is>
          <t>A 43068-2023</t>
        </is>
      </c>
      <c r="B395" s="1" t="n">
        <v>45182.78834490741</v>
      </c>
      <c r="C395" s="1" t="n">
        <v>46135</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6668-2023</t>
        </is>
      </c>
      <c r="B396" s="1" t="n">
        <v>44966</v>
      </c>
      <c r="C396" s="1" t="n">
        <v>46135</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29168-2024</t>
        </is>
      </c>
      <c r="B397" s="1" t="n">
        <v>45482.49870370371</v>
      </c>
      <c r="C397" s="1" t="n">
        <v>46135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55236-2023</t>
        </is>
      </c>
      <c r="B398" s="1" t="n">
        <v>45237.63225694445</v>
      </c>
      <c r="C398" s="1" t="n">
        <v>46135</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55245-2023</t>
        </is>
      </c>
      <c r="B399" s="1" t="n">
        <v>45237.64408564815</v>
      </c>
      <c r="C399" s="1" t="n">
        <v>46135</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36055-2024</t>
        </is>
      </c>
      <c r="B400" s="1" t="n">
        <v>45533.63056712963</v>
      </c>
      <c r="C400" s="1" t="n">
        <v>46135</v>
      </c>
      <c r="D400" t="inlineStr">
        <is>
          <t>KALMAR LÄN</t>
        </is>
      </c>
      <c r="E400" t="inlineStr">
        <is>
          <t>VIMMERBY</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47227-2025</t>
        </is>
      </c>
      <c r="B401" s="1" t="n">
        <v>45930.39769675926</v>
      </c>
      <c r="C401" s="1" t="n">
        <v>46135</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18020-2025</t>
        </is>
      </c>
      <c r="B402" s="1" t="n">
        <v>45761.4437962963</v>
      </c>
      <c r="C402" s="1" t="n">
        <v>46135</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33424-2023</t>
        </is>
      </c>
      <c r="B403" s="1" t="n">
        <v>45128.9325</v>
      </c>
      <c r="C403" s="1" t="n">
        <v>46135</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33425-2023</t>
        </is>
      </c>
      <c r="B404" s="1" t="n">
        <v>45128.93540509259</v>
      </c>
      <c r="C404" s="1" t="n">
        <v>46135</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12327-2023</t>
        </is>
      </c>
      <c r="B405" s="1" t="n">
        <v>44999.36081018519</v>
      </c>
      <c r="C405" s="1" t="n">
        <v>46135</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43092-2024</t>
        </is>
      </c>
      <c r="B406" s="1" t="n">
        <v>45567</v>
      </c>
      <c r="C406" s="1" t="n">
        <v>46135</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27443-2023</t>
        </is>
      </c>
      <c r="B407" s="1" t="n">
        <v>45097.40524305555</v>
      </c>
      <c r="C407" s="1" t="n">
        <v>46135</v>
      </c>
      <c r="D407" t="inlineStr">
        <is>
          <t>KALMAR LÄN</t>
        </is>
      </c>
      <c r="E407" t="inlineStr">
        <is>
          <t>VIMMERBY</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845-2023</t>
        </is>
      </c>
      <c r="B408" s="1" t="n">
        <v>44931</v>
      </c>
      <c r="C408" s="1" t="n">
        <v>46135</v>
      </c>
      <c r="D408" t="inlineStr">
        <is>
          <t>KALMAR LÄN</t>
        </is>
      </c>
      <c r="E408" t="inlineStr">
        <is>
          <t>VIMMERBY</t>
        </is>
      </c>
      <c r="F408" t="inlineStr">
        <is>
          <t>Övriga Aktiebolag</t>
        </is>
      </c>
      <c r="G408" t="n">
        <v>19</v>
      </c>
      <c r="H408" t="n">
        <v>0</v>
      </c>
      <c r="I408" t="n">
        <v>0</v>
      </c>
      <c r="J408" t="n">
        <v>0</v>
      </c>
      <c r="K408" t="n">
        <v>0</v>
      </c>
      <c r="L408" t="n">
        <v>0</v>
      </c>
      <c r="M408" t="n">
        <v>0</v>
      </c>
      <c r="N408" t="n">
        <v>0</v>
      </c>
      <c r="O408" t="n">
        <v>0</v>
      </c>
      <c r="P408" t="n">
        <v>0</v>
      </c>
      <c r="Q408" t="n">
        <v>0</v>
      </c>
      <c r="R408" s="2" t="inlineStr"/>
    </row>
    <row r="409" ht="15" customHeight="1">
      <c r="A409" t="inlineStr">
        <is>
          <t>A 52435-2021</t>
        </is>
      </c>
      <c r="B409" s="1" t="n">
        <v>44466.34962962963</v>
      </c>
      <c r="C409" s="1" t="n">
        <v>46135</v>
      </c>
      <c r="D409" t="inlineStr">
        <is>
          <t>KALMAR LÄN</t>
        </is>
      </c>
      <c r="E409" t="inlineStr">
        <is>
          <t>VIMMERBY</t>
        </is>
      </c>
      <c r="G409" t="n">
        <v>2.8</v>
      </c>
      <c r="H409" t="n">
        <v>0</v>
      </c>
      <c r="I409" t="n">
        <v>0</v>
      </c>
      <c r="J409" t="n">
        <v>0</v>
      </c>
      <c r="K409" t="n">
        <v>0</v>
      </c>
      <c r="L409" t="n">
        <v>0</v>
      </c>
      <c r="M409" t="n">
        <v>0</v>
      </c>
      <c r="N409" t="n">
        <v>0</v>
      </c>
      <c r="O409" t="n">
        <v>0</v>
      </c>
      <c r="P409" t="n">
        <v>0</v>
      </c>
      <c r="Q409" t="n">
        <v>0</v>
      </c>
      <c r="R409" s="2" t="inlineStr"/>
    </row>
    <row r="410" ht="15" customHeight="1">
      <c r="A410" t="inlineStr">
        <is>
          <t>A 48299-2025</t>
        </is>
      </c>
      <c r="B410" s="1" t="n">
        <v>45933.60982638889</v>
      </c>
      <c r="C410" s="1" t="n">
        <v>46135</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10965-2026</t>
        </is>
      </c>
      <c r="B411" s="1" t="n">
        <v>46079.43295138889</v>
      </c>
      <c r="C411" s="1" t="n">
        <v>46135</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47965-2025</t>
        </is>
      </c>
      <c r="B412" s="1" t="n">
        <v>45932.59597222223</v>
      </c>
      <c r="C412" s="1" t="n">
        <v>46135</v>
      </c>
      <c r="D412" t="inlineStr">
        <is>
          <t>KALMAR LÄN</t>
        </is>
      </c>
      <c r="E412" t="inlineStr">
        <is>
          <t>VIMMERBY</t>
        </is>
      </c>
      <c r="G412" t="n">
        <v>2.2</v>
      </c>
      <c r="H412" t="n">
        <v>0</v>
      </c>
      <c r="I412" t="n">
        <v>0</v>
      </c>
      <c r="J412" t="n">
        <v>0</v>
      </c>
      <c r="K412" t="n">
        <v>0</v>
      </c>
      <c r="L412" t="n">
        <v>0</v>
      </c>
      <c r="M412" t="n">
        <v>0</v>
      </c>
      <c r="N412" t="n">
        <v>0</v>
      </c>
      <c r="O412" t="n">
        <v>0</v>
      </c>
      <c r="P412" t="n">
        <v>0</v>
      </c>
      <c r="Q412" t="n">
        <v>0</v>
      </c>
      <c r="R412" s="2" t="inlineStr"/>
    </row>
    <row r="413" ht="15" customHeight="1">
      <c r="A413" t="inlineStr">
        <is>
          <t>A 35127-2024</t>
        </is>
      </c>
      <c r="B413" s="1" t="n">
        <v>45530.33202546297</v>
      </c>
      <c r="C413" s="1" t="n">
        <v>46135</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11273-2026</t>
        </is>
      </c>
      <c r="B414" s="1" t="n">
        <v>46080.57634259259</v>
      </c>
      <c r="C414" s="1" t="n">
        <v>46135</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17713-2026</t>
        </is>
      </c>
      <c r="B415" s="1" t="n">
        <v>46121.72810185186</v>
      </c>
      <c r="C415" s="1" t="n">
        <v>46135</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60215-2022</t>
        </is>
      </c>
      <c r="B416" s="1" t="n">
        <v>44910.41346064815</v>
      </c>
      <c r="C416" s="1" t="n">
        <v>46135</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29441-2024</t>
        </is>
      </c>
      <c r="B417" s="1" t="n">
        <v>45483.82834490741</v>
      </c>
      <c r="C417" s="1" t="n">
        <v>46135</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47955-2025</t>
        </is>
      </c>
      <c r="B418" s="1" t="n">
        <v>45932.58896990741</v>
      </c>
      <c r="C418" s="1" t="n">
        <v>46135</v>
      </c>
      <c r="D418" t="inlineStr">
        <is>
          <t>KALMAR LÄN</t>
        </is>
      </c>
      <c r="E418" t="inlineStr">
        <is>
          <t>VIMMERBY</t>
        </is>
      </c>
      <c r="G418" t="n">
        <v>3.4</v>
      </c>
      <c r="H418" t="n">
        <v>0</v>
      </c>
      <c r="I418" t="n">
        <v>0</v>
      </c>
      <c r="J418" t="n">
        <v>0</v>
      </c>
      <c r="K418" t="n">
        <v>0</v>
      </c>
      <c r="L418" t="n">
        <v>0</v>
      </c>
      <c r="M418" t="n">
        <v>0</v>
      </c>
      <c r="N418" t="n">
        <v>0</v>
      </c>
      <c r="O418" t="n">
        <v>0</v>
      </c>
      <c r="P418" t="n">
        <v>0</v>
      </c>
      <c r="Q418" t="n">
        <v>0</v>
      </c>
      <c r="R418" s="2" t="inlineStr"/>
    </row>
    <row r="419" ht="15" customHeight="1">
      <c r="A419" t="inlineStr">
        <is>
          <t>A 48723-2025</t>
        </is>
      </c>
      <c r="B419" s="1" t="n">
        <v>45936.65121527778</v>
      </c>
      <c r="C419" s="1" t="n">
        <v>46135</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48712-2025</t>
        </is>
      </c>
      <c r="B420" s="1" t="n">
        <v>45936.63373842592</v>
      </c>
      <c r="C420" s="1" t="n">
        <v>46135</v>
      </c>
      <c r="D420" t="inlineStr">
        <is>
          <t>KALMAR LÄN</t>
        </is>
      </c>
      <c r="E420" t="inlineStr">
        <is>
          <t>VIMMERBY</t>
        </is>
      </c>
      <c r="G420" t="n">
        <v>3</v>
      </c>
      <c r="H420" t="n">
        <v>0</v>
      </c>
      <c r="I420" t="n">
        <v>0</v>
      </c>
      <c r="J420" t="n">
        <v>0</v>
      </c>
      <c r="K420" t="n">
        <v>0</v>
      </c>
      <c r="L420" t="n">
        <v>0</v>
      </c>
      <c r="M420" t="n">
        <v>0</v>
      </c>
      <c r="N420" t="n">
        <v>0</v>
      </c>
      <c r="O420" t="n">
        <v>0</v>
      </c>
      <c r="P420" t="n">
        <v>0</v>
      </c>
      <c r="Q420" t="n">
        <v>0</v>
      </c>
      <c r="R420" s="2" t="inlineStr"/>
    </row>
    <row r="421" ht="15" customHeight="1">
      <c r="A421" t="inlineStr">
        <is>
          <t>A 6216-2025</t>
        </is>
      </c>
      <c r="B421" s="1" t="n">
        <v>45698.52806712963</v>
      </c>
      <c r="C421" s="1" t="n">
        <v>46135</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48408-2025</t>
        </is>
      </c>
      <c r="B422" s="1" t="n">
        <v>45934.40527777778</v>
      </c>
      <c r="C422" s="1" t="n">
        <v>46135</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62779-2023</t>
        </is>
      </c>
      <c r="B423" s="1" t="n">
        <v>45271.66576388889</v>
      </c>
      <c r="C423" s="1" t="n">
        <v>46135</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52294-2023</t>
        </is>
      </c>
      <c r="B424" s="1" t="n">
        <v>45224.60075231481</v>
      </c>
      <c r="C424" s="1" t="n">
        <v>46135</v>
      </c>
      <c r="D424" t="inlineStr">
        <is>
          <t>KALMAR LÄN</t>
        </is>
      </c>
      <c r="E424" t="inlineStr">
        <is>
          <t>VIMMERBY</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48409-2025</t>
        </is>
      </c>
      <c r="B425" s="1" t="n">
        <v>45934.41387731482</v>
      </c>
      <c r="C425" s="1" t="n">
        <v>46135</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48600-2025</t>
        </is>
      </c>
      <c r="B426" s="1" t="n">
        <v>45935</v>
      </c>
      <c r="C426" s="1" t="n">
        <v>46135</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18122-2026</t>
        </is>
      </c>
      <c r="B427" s="1" t="n">
        <v>46125.58524305555</v>
      </c>
      <c r="C427" s="1" t="n">
        <v>46135</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31013-2023</t>
        </is>
      </c>
      <c r="B428" s="1" t="n">
        <v>45113.56574074074</v>
      </c>
      <c r="C428" s="1" t="n">
        <v>46135</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72067-2021</t>
        </is>
      </c>
      <c r="B429" s="1" t="n">
        <v>44540</v>
      </c>
      <c r="C429" s="1" t="n">
        <v>46135</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61538-2022</t>
        </is>
      </c>
      <c r="B430" s="1" t="n">
        <v>44916.55414351852</v>
      </c>
      <c r="C430" s="1" t="n">
        <v>46135</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11415-2026</t>
        </is>
      </c>
      <c r="B431" s="1" t="n">
        <v>46083</v>
      </c>
      <c r="C431" s="1" t="n">
        <v>46135</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36155-2023</t>
        </is>
      </c>
      <c r="B432" s="1" t="n">
        <v>45149.60917824074</v>
      </c>
      <c r="C432" s="1" t="n">
        <v>46135</v>
      </c>
      <c r="D432" t="inlineStr">
        <is>
          <t>KALMAR LÄN</t>
        </is>
      </c>
      <c r="E432" t="inlineStr">
        <is>
          <t>VIMMERBY</t>
        </is>
      </c>
      <c r="G432" t="n">
        <v>5</v>
      </c>
      <c r="H432" t="n">
        <v>0</v>
      </c>
      <c r="I432" t="n">
        <v>0</v>
      </c>
      <c r="J432" t="n">
        <v>0</v>
      </c>
      <c r="K432" t="n">
        <v>0</v>
      </c>
      <c r="L432" t="n">
        <v>0</v>
      </c>
      <c r="M432" t="n">
        <v>0</v>
      </c>
      <c r="N432" t="n">
        <v>0</v>
      </c>
      <c r="O432" t="n">
        <v>0</v>
      </c>
      <c r="P432" t="n">
        <v>0</v>
      </c>
      <c r="Q432" t="n">
        <v>0</v>
      </c>
      <c r="R432" s="2" t="inlineStr"/>
    </row>
    <row r="433" ht="15" customHeight="1">
      <c r="A433" t="inlineStr">
        <is>
          <t>A 11407-2026</t>
        </is>
      </c>
      <c r="B433" s="1" t="n">
        <v>46083</v>
      </c>
      <c r="C433" s="1" t="n">
        <v>46135</v>
      </c>
      <c r="D433" t="inlineStr">
        <is>
          <t>KALMAR LÄN</t>
        </is>
      </c>
      <c r="E433" t="inlineStr">
        <is>
          <t>VIMMERBY</t>
        </is>
      </c>
      <c r="G433" t="n">
        <v>2.3</v>
      </c>
      <c r="H433" t="n">
        <v>0</v>
      </c>
      <c r="I433" t="n">
        <v>0</v>
      </c>
      <c r="J433" t="n">
        <v>0</v>
      </c>
      <c r="K433" t="n">
        <v>0</v>
      </c>
      <c r="L433" t="n">
        <v>0</v>
      </c>
      <c r="M433" t="n">
        <v>0</v>
      </c>
      <c r="N433" t="n">
        <v>0</v>
      </c>
      <c r="O433" t="n">
        <v>0</v>
      </c>
      <c r="P433" t="n">
        <v>0</v>
      </c>
      <c r="Q433" t="n">
        <v>0</v>
      </c>
      <c r="R433" s="2" t="inlineStr"/>
    </row>
    <row r="434" ht="15" customHeight="1">
      <c r="A434" t="inlineStr">
        <is>
          <t>A 6321-2023</t>
        </is>
      </c>
      <c r="B434" s="1" t="n">
        <v>44965.4815162037</v>
      </c>
      <c r="C434" s="1" t="n">
        <v>46135</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29173-2024</t>
        </is>
      </c>
      <c r="B435" s="1" t="n">
        <v>45482.52887731481</v>
      </c>
      <c r="C435" s="1" t="n">
        <v>46135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53542-2022</t>
        </is>
      </c>
      <c r="B436" s="1" t="n">
        <v>44879.62173611111</v>
      </c>
      <c r="C436" s="1" t="n">
        <v>46135</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4624-2024</t>
        </is>
      </c>
      <c r="B437" s="1" t="n">
        <v>45328.38755787037</v>
      </c>
      <c r="C437" s="1" t="n">
        <v>46135</v>
      </c>
      <c r="D437" t="inlineStr">
        <is>
          <t>KALMAR LÄN</t>
        </is>
      </c>
      <c r="E437" t="inlineStr">
        <is>
          <t>VIMMERBY</t>
        </is>
      </c>
      <c r="G437" t="n">
        <v>1.7</v>
      </c>
      <c r="H437" t="n">
        <v>0</v>
      </c>
      <c r="I437" t="n">
        <v>0</v>
      </c>
      <c r="J437" t="n">
        <v>0</v>
      </c>
      <c r="K437" t="n">
        <v>0</v>
      </c>
      <c r="L437" t="n">
        <v>0</v>
      </c>
      <c r="M437" t="n">
        <v>0</v>
      </c>
      <c r="N437" t="n">
        <v>0</v>
      </c>
      <c r="O437" t="n">
        <v>0</v>
      </c>
      <c r="P437" t="n">
        <v>0</v>
      </c>
      <c r="Q437" t="n">
        <v>0</v>
      </c>
      <c r="R437" s="2" t="inlineStr"/>
    </row>
    <row r="438" ht="15" customHeight="1">
      <c r="A438" t="inlineStr">
        <is>
          <t>A 11798-2026</t>
        </is>
      </c>
      <c r="B438" s="1" t="n">
        <v>46085.34020833333</v>
      </c>
      <c r="C438" s="1" t="n">
        <v>46135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6807-2025</t>
        </is>
      </c>
      <c r="B439" s="1" t="n">
        <v>45700.68672453704</v>
      </c>
      <c r="C439" s="1" t="n">
        <v>46135</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7047-2022</t>
        </is>
      </c>
      <c r="B440" s="1" t="n">
        <v>44603</v>
      </c>
      <c r="C440" s="1" t="n">
        <v>46135</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35711-2023</t>
        </is>
      </c>
      <c r="B441" s="1" t="n">
        <v>45147.67172453704</v>
      </c>
      <c r="C441" s="1" t="n">
        <v>46135</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5382-2023</t>
        </is>
      </c>
      <c r="B442" s="1" t="n">
        <v>44959.66407407408</v>
      </c>
      <c r="C442" s="1" t="n">
        <v>46135</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49871-2025</t>
        </is>
      </c>
      <c r="B443" s="1" t="n">
        <v>45940.54104166666</v>
      </c>
      <c r="C443" s="1" t="n">
        <v>46135</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40730-2024</t>
        </is>
      </c>
      <c r="B444" s="1" t="n">
        <v>45558.44914351852</v>
      </c>
      <c r="C444" s="1" t="n">
        <v>46135</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40823-2023</t>
        </is>
      </c>
      <c r="B445" s="1" t="n">
        <v>45171.77335648148</v>
      </c>
      <c r="C445" s="1" t="n">
        <v>46135</v>
      </c>
      <c r="D445" t="inlineStr">
        <is>
          <t>KALMAR LÄN</t>
        </is>
      </c>
      <c r="E445" t="inlineStr">
        <is>
          <t>VIMMERBY</t>
        </is>
      </c>
      <c r="G445" t="n">
        <v>2.7</v>
      </c>
      <c r="H445" t="n">
        <v>0</v>
      </c>
      <c r="I445" t="n">
        <v>0</v>
      </c>
      <c r="J445" t="n">
        <v>0</v>
      </c>
      <c r="K445" t="n">
        <v>0</v>
      </c>
      <c r="L445" t="n">
        <v>0</v>
      </c>
      <c r="M445" t="n">
        <v>0</v>
      </c>
      <c r="N445" t="n">
        <v>0</v>
      </c>
      <c r="O445" t="n">
        <v>0</v>
      </c>
      <c r="P445" t="n">
        <v>0</v>
      </c>
      <c r="Q445" t="n">
        <v>0</v>
      </c>
      <c r="R445" s="2" t="inlineStr"/>
    </row>
    <row r="446" ht="15" customHeight="1">
      <c r="A446" t="inlineStr">
        <is>
          <t>A 6218-2025</t>
        </is>
      </c>
      <c r="B446" s="1" t="n">
        <v>45698.53336805556</v>
      </c>
      <c r="C446" s="1" t="n">
        <v>46135</v>
      </c>
      <c r="D446" t="inlineStr">
        <is>
          <t>KALMAR LÄN</t>
        </is>
      </c>
      <c r="E446" t="inlineStr">
        <is>
          <t>VIMMERBY</t>
        </is>
      </c>
      <c r="G446" t="n">
        <v>1.1</v>
      </c>
      <c r="H446" t="n">
        <v>0</v>
      </c>
      <c r="I446" t="n">
        <v>0</v>
      </c>
      <c r="J446" t="n">
        <v>0</v>
      </c>
      <c r="K446" t="n">
        <v>0</v>
      </c>
      <c r="L446" t="n">
        <v>0</v>
      </c>
      <c r="M446" t="n">
        <v>0</v>
      </c>
      <c r="N446" t="n">
        <v>0</v>
      </c>
      <c r="O446" t="n">
        <v>0</v>
      </c>
      <c r="P446" t="n">
        <v>0</v>
      </c>
      <c r="Q446" t="n">
        <v>0</v>
      </c>
      <c r="R446" s="2" t="inlineStr"/>
    </row>
    <row r="447" ht="15" customHeight="1">
      <c r="A447" t="inlineStr">
        <is>
          <t>A 18633-2026</t>
        </is>
      </c>
      <c r="B447" s="1" t="n">
        <v>46128.26289351852</v>
      </c>
      <c r="C447" s="1" t="n">
        <v>46135</v>
      </c>
      <c r="D447" t="inlineStr">
        <is>
          <t>KALMAR LÄN</t>
        </is>
      </c>
      <c r="E447" t="inlineStr">
        <is>
          <t>VIMMERBY</t>
        </is>
      </c>
      <c r="G447" t="n">
        <v>2</v>
      </c>
      <c r="H447" t="n">
        <v>0</v>
      </c>
      <c r="I447" t="n">
        <v>0</v>
      </c>
      <c r="J447" t="n">
        <v>0</v>
      </c>
      <c r="K447" t="n">
        <v>0</v>
      </c>
      <c r="L447" t="n">
        <v>0</v>
      </c>
      <c r="M447" t="n">
        <v>0</v>
      </c>
      <c r="N447" t="n">
        <v>0</v>
      </c>
      <c r="O447" t="n">
        <v>0</v>
      </c>
      <c r="P447" t="n">
        <v>0</v>
      </c>
      <c r="Q447" t="n">
        <v>0</v>
      </c>
      <c r="R447" s="2" t="inlineStr"/>
    </row>
    <row r="448" ht="15" customHeight="1">
      <c r="A448" t="inlineStr">
        <is>
          <t>A 2157-2024</t>
        </is>
      </c>
      <c r="B448" s="1" t="n">
        <v>45309.59487268519</v>
      </c>
      <c r="C448" s="1" t="n">
        <v>46135</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30920-2023</t>
        </is>
      </c>
      <c r="B449" s="1" t="n">
        <v>45113.43921296296</v>
      </c>
      <c r="C449" s="1" t="n">
        <v>46135</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50544-2025</t>
        </is>
      </c>
      <c r="B450" s="1" t="n">
        <v>45945.50736111111</v>
      </c>
      <c r="C450" s="1" t="n">
        <v>46135</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49461-2022</t>
        </is>
      </c>
      <c r="B451" s="1" t="n">
        <v>44861</v>
      </c>
      <c r="C451" s="1" t="n">
        <v>46135</v>
      </c>
      <c r="D451" t="inlineStr">
        <is>
          <t>KALMAR LÄN</t>
        </is>
      </c>
      <c r="E451" t="inlineStr">
        <is>
          <t>VIMMERBY</t>
        </is>
      </c>
      <c r="G451" t="n">
        <v>3.2</v>
      </c>
      <c r="H451" t="n">
        <v>0</v>
      </c>
      <c r="I451" t="n">
        <v>0</v>
      </c>
      <c r="J451" t="n">
        <v>0</v>
      </c>
      <c r="K451" t="n">
        <v>0</v>
      </c>
      <c r="L451" t="n">
        <v>0</v>
      </c>
      <c r="M451" t="n">
        <v>0</v>
      </c>
      <c r="N451" t="n">
        <v>0</v>
      </c>
      <c r="O451" t="n">
        <v>0</v>
      </c>
      <c r="P451" t="n">
        <v>0</v>
      </c>
      <c r="Q451" t="n">
        <v>0</v>
      </c>
      <c r="R451" s="2" t="inlineStr"/>
    </row>
    <row r="452" ht="15" customHeight="1">
      <c r="A452" t="inlineStr">
        <is>
          <t>A 694-2024</t>
        </is>
      </c>
      <c r="B452" s="1" t="n">
        <v>45300.3794212963</v>
      </c>
      <c r="C452" s="1" t="n">
        <v>46135</v>
      </c>
      <c r="D452" t="inlineStr">
        <is>
          <t>KALMAR LÄN</t>
        </is>
      </c>
      <c r="E452" t="inlineStr">
        <is>
          <t>VIMMERBY</t>
        </is>
      </c>
      <c r="G452" t="n">
        <v>1.4</v>
      </c>
      <c r="H452" t="n">
        <v>0</v>
      </c>
      <c r="I452" t="n">
        <v>0</v>
      </c>
      <c r="J452" t="n">
        <v>0</v>
      </c>
      <c r="K452" t="n">
        <v>0</v>
      </c>
      <c r="L452" t="n">
        <v>0</v>
      </c>
      <c r="M452" t="n">
        <v>0</v>
      </c>
      <c r="N452" t="n">
        <v>0</v>
      </c>
      <c r="O452" t="n">
        <v>0</v>
      </c>
      <c r="P452" t="n">
        <v>0</v>
      </c>
      <c r="Q452" t="n">
        <v>0</v>
      </c>
      <c r="R452" s="2" t="inlineStr"/>
    </row>
    <row r="453" ht="15" customHeight="1">
      <c r="A453" t="inlineStr">
        <is>
          <t>A 6857-2023</t>
        </is>
      </c>
      <c r="B453" s="1" t="n">
        <v>44967.45122685185</v>
      </c>
      <c r="C453" s="1" t="n">
        <v>46135</v>
      </c>
      <c r="D453" t="inlineStr">
        <is>
          <t>KALMAR LÄN</t>
        </is>
      </c>
      <c r="E453" t="inlineStr">
        <is>
          <t>VIMMERBY</t>
        </is>
      </c>
      <c r="G453" t="n">
        <v>2.1</v>
      </c>
      <c r="H453" t="n">
        <v>0</v>
      </c>
      <c r="I453" t="n">
        <v>0</v>
      </c>
      <c r="J453" t="n">
        <v>0</v>
      </c>
      <c r="K453" t="n">
        <v>0</v>
      </c>
      <c r="L453" t="n">
        <v>0</v>
      </c>
      <c r="M453" t="n">
        <v>0</v>
      </c>
      <c r="N453" t="n">
        <v>0</v>
      </c>
      <c r="O453" t="n">
        <v>0</v>
      </c>
      <c r="P453" t="n">
        <v>0</v>
      </c>
      <c r="Q453" t="n">
        <v>0</v>
      </c>
      <c r="R453" s="2" t="inlineStr"/>
    </row>
    <row r="454" ht="15" customHeight="1">
      <c r="A454" t="inlineStr">
        <is>
          <t>A 50324-2025</t>
        </is>
      </c>
      <c r="B454" s="1" t="n">
        <v>45944.45962962963</v>
      </c>
      <c r="C454" s="1" t="n">
        <v>46135</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59598-2023</t>
        </is>
      </c>
      <c r="B455" s="1" t="n">
        <v>45254.62489583333</v>
      </c>
      <c r="C455" s="1" t="n">
        <v>46135</v>
      </c>
      <c r="D455" t="inlineStr">
        <is>
          <t>KALMAR LÄN</t>
        </is>
      </c>
      <c r="E455" t="inlineStr">
        <is>
          <t>VIMMERBY</t>
        </is>
      </c>
      <c r="F455" t="inlineStr">
        <is>
          <t>Övriga Aktiebolag</t>
        </is>
      </c>
      <c r="G455" t="n">
        <v>4</v>
      </c>
      <c r="H455" t="n">
        <v>0</v>
      </c>
      <c r="I455" t="n">
        <v>0</v>
      </c>
      <c r="J455" t="n">
        <v>0</v>
      </c>
      <c r="K455" t="n">
        <v>0</v>
      </c>
      <c r="L455" t="n">
        <v>0</v>
      </c>
      <c r="M455" t="n">
        <v>0</v>
      </c>
      <c r="N455" t="n">
        <v>0</v>
      </c>
      <c r="O455" t="n">
        <v>0</v>
      </c>
      <c r="P455" t="n">
        <v>0</v>
      </c>
      <c r="Q455" t="n">
        <v>0</v>
      </c>
      <c r="R455" s="2" t="inlineStr"/>
    </row>
    <row r="456" ht="15" customHeight="1">
      <c r="A456" t="inlineStr">
        <is>
          <t>A 7944-2024</t>
        </is>
      </c>
      <c r="B456" s="1" t="n">
        <v>45350.53306712963</v>
      </c>
      <c r="C456" s="1" t="n">
        <v>46135</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21496-2023</t>
        </is>
      </c>
      <c r="B457" s="1" t="n">
        <v>45063.49936342592</v>
      </c>
      <c r="C457" s="1" t="n">
        <v>46135</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5792-2023</t>
        </is>
      </c>
      <c r="B458" s="1" t="n">
        <v>44963.44769675926</v>
      </c>
      <c r="C458" s="1" t="n">
        <v>46135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10303-2025</t>
        </is>
      </c>
      <c r="B459" s="1" t="n">
        <v>45720.44217592593</v>
      </c>
      <c r="C459" s="1" t="n">
        <v>46135</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29783-2024</t>
        </is>
      </c>
      <c r="B460" s="1" t="n">
        <v>45485.45778935185</v>
      </c>
      <c r="C460" s="1" t="n">
        <v>46135</v>
      </c>
      <c r="D460" t="inlineStr">
        <is>
          <t>KALMAR LÄN</t>
        </is>
      </c>
      <c r="E460" t="inlineStr">
        <is>
          <t>VIMMERBY</t>
        </is>
      </c>
      <c r="G460" t="n">
        <v>3.1</v>
      </c>
      <c r="H460" t="n">
        <v>0</v>
      </c>
      <c r="I460" t="n">
        <v>0</v>
      </c>
      <c r="J460" t="n">
        <v>0</v>
      </c>
      <c r="K460" t="n">
        <v>0</v>
      </c>
      <c r="L460" t="n">
        <v>0</v>
      </c>
      <c r="M460" t="n">
        <v>0</v>
      </c>
      <c r="N460" t="n">
        <v>0</v>
      </c>
      <c r="O460" t="n">
        <v>0</v>
      </c>
      <c r="P460" t="n">
        <v>0</v>
      </c>
      <c r="Q460" t="n">
        <v>0</v>
      </c>
      <c r="R460" s="2" t="inlineStr"/>
    </row>
    <row r="461" ht="15" customHeight="1">
      <c r="A461" t="inlineStr">
        <is>
          <t>A 51062-2025</t>
        </is>
      </c>
      <c r="B461" s="1" t="n">
        <v>45947.44685185186</v>
      </c>
      <c r="C461" s="1" t="n">
        <v>46135</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60110-2022</t>
        </is>
      </c>
      <c r="B462" s="1" t="n">
        <v>44909</v>
      </c>
      <c r="C462" s="1" t="n">
        <v>46135</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15394-2025</t>
        </is>
      </c>
      <c r="B463" s="1" t="n">
        <v>45747.43196759259</v>
      </c>
      <c r="C463" s="1" t="n">
        <v>46135</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35198-2023</t>
        </is>
      </c>
      <c r="B464" s="1" t="n">
        <v>45145</v>
      </c>
      <c r="C464" s="1" t="n">
        <v>46135</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15388-2025</t>
        </is>
      </c>
      <c r="B465" s="1" t="n">
        <v>45747.42633101852</v>
      </c>
      <c r="C465" s="1" t="n">
        <v>46135</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15391-2025</t>
        </is>
      </c>
      <c r="B466" s="1" t="n">
        <v>45747.42958333333</v>
      </c>
      <c r="C466" s="1" t="n">
        <v>46135</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6474-2025</t>
        </is>
      </c>
      <c r="B467" s="1" t="n">
        <v>45699.60055555555</v>
      </c>
      <c r="C467" s="1" t="n">
        <v>46135</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32919-2022</t>
        </is>
      </c>
      <c r="B468" s="1" t="n">
        <v>44784.62724537037</v>
      </c>
      <c r="C468" s="1" t="n">
        <v>46135</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43853-2023</t>
        </is>
      </c>
      <c r="B469" s="1" t="n">
        <v>45187.60813657408</v>
      </c>
      <c r="C469" s="1" t="n">
        <v>46135</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56659-2023</t>
        </is>
      </c>
      <c r="B470" s="1" t="n">
        <v>45243.84869212963</v>
      </c>
      <c r="C470" s="1" t="n">
        <v>46135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13015-2022</t>
        </is>
      </c>
      <c r="B471" s="1" t="n">
        <v>44643</v>
      </c>
      <c r="C471" s="1" t="n">
        <v>46135</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51990-2025</t>
        </is>
      </c>
      <c r="B472" s="1" t="n">
        <v>45952.58061342593</v>
      </c>
      <c r="C472" s="1" t="n">
        <v>46135</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17968-2025</t>
        </is>
      </c>
      <c r="B473" s="1" t="n">
        <v>45761.35990740741</v>
      </c>
      <c r="C473" s="1" t="n">
        <v>46135</v>
      </c>
      <c r="D473" t="inlineStr">
        <is>
          <t>KALMAR LÄN</t>
        </is>
      </c>
      <c r="E473" t="inlineStr">
        <is>
          <t>VIMMERBY</t>
        </is>
      </c>
      <c r="G473" t="n">
        <v>3.3</v>
      </c>
      <c r="H473" t="n">
        <v>0</v>
      </c>
      <c r="I473" t="n">
        <v>0</v>
      </c>
      <c r="J473" t="n">
        <v>0</v>
      </c>
      <c r="K473" t="n">
        <v>0</v>
      </c>
      <c r="L473" t="n">
        <v>0</v>
      </c>
      <c r="M473" t="n">
        <v>0</v>
      </c>
      <c r="N473" t="n">
        <v>0</v>
      </c>
      <c r="O473" t="n">
        <v>0</v>
      </c>
      <c r="P473" t="n">
        <v>0</v>
      </c>
      <c r="Q473" t="n">
        <v>0</v>
      </c>
      <c r="R473" s="2" t="inlineStr"/>
    </row>
    <row r="474" ht="15" customHeight="1">
      <c r="A474" t="inlineStr">
        <is>
          <t>A 6028-2023</t>
        </is>
      </c>
      <c r="B474" s="1" t="n">
        <v>44964.44356481481</v>
      </c>
      <c r="C474" s="1" t="n">
        <v>46135</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55436-2023</t>
        </is>
      </c>
      <c r="B475" s="1" t="n">
        <v>45238.4328587963</v>
      </c>
      <c r="C475" s="1" t="n">
        <v>46135</v>
      </c>
      <c r="D475" t="inlineStr">
        <is>
          <t>KALMAR LÄN</t>
        </is>
      </c>
      <c r="E475" t="inlineStr">
        <is>
          <t>VIMMERBY</t>
        </is>
      </c>
      <c r="G475" t="n">
        <v>5.6</v>
      </c>
      <c r="H475" t="n">
        <v>0</v>
      </c>
      <c r="I475" t="n">
        <v>0</v>
      </c>
      <c r="J475" t="n">
        <v>0</v>
      </c>
      <c r="K475" t="n">
        <v>0</v>
      </c>
      <c r="L475" t="n">
        <v>0</v>
      </c>
      <c r="M475" t="n">
        <v>0</v>
      </c>
      <c r="N475" t="n">
        <v>0</v>
      </c>
      <c r="O475" t="n">
        <v>0</v>
      </c>
      <c r="P475" t="n">
        <v>0</v>
      </c>
      <c r="Q475" t="n">
        <v>0</v>
      </c>
      <c r="R475" s="2" t="inlineStr"/>
    </row>
    <row r="476" ht="15" customHeight="1">
      <c r="A476" t="inlineStr">
        <is>
          <t>A 9511-2023</t>
        </is>
      </c>
      <c r="B476" s="1" t="n">
        <v>44981.64725694444</v>
      </c>
      <c r="C476" s="1" t="n">
        <v>46135</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51993-2025</t>
        </is>
      </c>
      <c r="B477" s="1" t="n">
        <v>45952.58194444444</v>
      </c>
      <c r="C477" s="1" t="n">
        <v>46135</v>
      </c>
      <c r="D477" t="inlineStr">
        <is>
          <t>KALMAR LÄN</t>
        </is>
      </c>
      <c r="E477" t="inlineStr">
        <is>
          <t>VIMMERBY</t>
        </is>
      </c>
      <c r="G477" t="n">
        <v>2.8</v>
      </c>
      <c r="H477" t="n">
        <v>0</v>
      </c>
      <c r="I477" t="n">
        <v>0</v>
      </c>
      <c r="J477" t="n">
        <v>0</v>
      </c>
      <c r="K477" t="n">
        <v>0</v>
      </c>
      <c r="L477" t="n">
        <v>0</v>
      </c>
      <c r="M477" t="n">
        <v>0</v>
      </c>
      <c r="N477" t="n">
        <v>0</v>
      </c>
      <c r="O477" t="n">
        <v>0</v>
      </c>
      <c r="P477" t="n">
        <v>0</v>
      </c>
      <c r="Q477" t="n">
        <v>0</v>
      </c>
      <c r="R477" s="2" t="inlineStr"/>
    </row>
    <row r="478" ht="15" customHeight="1">
      <c r="A478" t="inlineStr">
        <is>
          <t>A 38757-2023</t>
        </is>
      </c>
      <c r="B478" s="1" t="n">
        <v>45163.41376157408</v>
      </c>
      <c r="C478" s="1" t="n">
        <v>46135</v>
      </c>
      <c r="D478" t="inlineStr">
        <is>
          <t>KALMAR LÄN</t>
        </is>
      </c>
      <c r="E478" t="inlineStr">
        <is>
          <t>VIMMERBY</t>
        </is>
      </c>
      <c r="G478" t="n">
        <v>2.5</v>
      </c>
      <c r="H478" t="n">
        <v>0</v>
      </c>
      <c r="I478" t="n">
        <v>0</v>
      </c>
      <c r="J478" t="n">
        <v>0</v>
      </c>
      <c r="K478" t="n">
        <v>0</v>
      </c>
      <c r="L478" t="n">
        <v>0</v>
      </c>
      <c r="M478" t="n">
        <v>0</v>
      </c>
      <c r="N478" t="n">
        <v>0</v>
      </c>
      <c r="O478" t="n">
        <v>0</v>
      </c>
      <c r="P478" t="n">
        <v>0</v>
      </c>
      <c r="Q478" t="n">
        <v>0</v>
      </c>
      <c r="R478" s="2" t="inlineStr"/>
    </row>
    <row r="479" ht="15" customHeight="1">
      <c r="A479" t="inlineStr">
        <is>
          <t>A 52465-2025</t>
        </is>
      </c>
      <c r="B479" s="1" t="n">
        <v>45954.44543981482</v>
      </c>
      <c r="C479" s="1" t="n">
        <v>46135</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29973-2023</t>
        </is>
      </c>
      <c r="B480" s="1" t="n">
        <v>45108.703125</v>
      </c>
      <c r="C480" s="1" t="n">
        <v>46135</v>
      </c>
      <c r="D480" t="inlineStr">
        <is>
          <t>KALMAR LÄN</t>
        </is>
      </c>
      <c r="E480" t="inlineStr">
        <is>
          <t>VIMMERBY</t>
        </is>
      </c>
      <c r="G480" t="n">
        <v>4</v>
      </c>
      <c r="H480" t="n">
        <v>0</v>
      </c>
      <c r="I480" t="n">
        <v>0</v>
      </c>
      <c r="J480" t="n">
        <v>0</v>
      </c>
      <c r="K480" t="n">
        <v>0</v>
      </c>
      <c r="L480" t="n">
        <v>0</v>
      </c>
      <c r="M480" t="n">
        <v>0</v>
      </c>
      <c r="N480" t="n">
        <v>0</v>
      </c>
      <c r="O480" t="n">
        <v>0</v>
      </c>
      <c r="P480" t="n">
        <v>0</v>
      </c>
      <c r="Q480" t="n">
        <v>0</v>
      </c>
      <c r="R480" s="2" t="inlineStr"/>
    </row>
    <row r="481" ht="15" customHeight="1">
      <c r="A481" t="inlineStr">
        <is>
          <t>A 12730-2026</t>
        </is>
      </c>
      <c r="B481" s="1" t="n">
        <v>46091</v>
      </c>
      <c r="C481" s="1" t="n">
        <v>46135</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12820-2026</t>
        </is>
      </c>
      <c r="B482" s="1" t="n">
        <v>46092.40909722223</v>
      </c>
      <c r="C482" s="1" t="n">
        <v>46135</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12821-2026</t>
        </is>
      </c>
      <c r="B483" s="1" t="n">
        <v>46092.41256944444</v>
      </c>
      <c r="C483" s="1" t="n">
        <v>46135</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56582-2022</t>
        </is>
      </c>
      <c r="B484" s="1" t="n">
        <v>44893</v>
      </c>
      <c r="C484" s="1" t="n">
        <v>46135</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12825-2026</t>
        </is>
      </c>
      <c r="B485" s="1" t="n">
        <v>46092.41561342592</v>
      </c>
      <c r="C485" s="1" t="n">
        <v>46135</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20-2025</t>
        </is>
      </c>
      <c r="B486" s="1" t="n">
        <v>45658.80232638889</v>
      </c>
      <c r="C486" s="1" t="n">
        <v>46135</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23-2025</t>
        </is>
      </c>
      <c r="B487" s="1" t="n">
        <v>45658.80827546296</v>
      </c>
      <c r="C487" s="1" t="n">
        <v>46135</v>
      </c>
      <c r="D487" t="inlineStr">
        <is>
          <t>KALMAR LÄN</t>
        </is>
      </c>
      <c r="E487" t="inlineStr">
        <is>
          <t>VIMMERBY</t>
        </is>
      </c>
      <c r="G487" t="n">
        <v>1.8</v>
      </c>
      <c r="H487" t="n">
        <v>0</v>
      </c>
      <c r="I487" t="n">
        <v>0</v>
      </c>
      <c r="J487" t="n">
        <v>0</v>
      </c>
      <c r="K487" t="n">
        <v>0</v>
      </c>
      <c r="L487" t="n">
        <v>0</v>
      </c>
      <c r="M487" t="n">
        <v>0</v>
      </c>
      <c r="N487" t="n">
        <v>0</v>
      </c>
      <c r="O487" t="n">
        <v>0</v>
      </c>
      <c r="P487" t="n">
        <v>0</v>
      </c>
      <c r="Q487" t="n">
        <v>0</v>
      </c>
      <c r="R487" s="2" t="inlineStr"/>
    </row>
    <row r="488" ht="15" customHeight="1">
      <c r="A488" t="inlineStr">
        <is>
          <t>A 43962-2024</t>
        </is>
      </c>
      <c r="B488" s="1" t="n">
        <v>45572.48293981481</v>
      </c>
      <c r="C488" s="1" t="n">
        <v>46135</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64143-2021</t>
        </is>
      </c>
      <c r="B489" s="1" t="n">
        <v>44510.52157407408</v>
      </c>
      <c r="C489" s="1" t="n">
        <v>46135</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73938-2021</t>
        </is>
      </c>
      <c r="B490" s="1" t="n">
        <v>44553</v>
      </c>
      <c r="C490" s="1" t="n">
        <v>46135</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52451-2025</t>
        </is>
      </c>
      <c r="B491" s="1" t="n">
        <v>45954.42326388889</v>
      </c>
      <c r="C491" s="1" t="n">
        <v>46135</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35713-2023</t>
        </is>
      </c>
      <c r="B492" s="1" t="n">
        <v>45147</v>
      </c>
      <c r="C492" s="1" t="n">
        <v>46135</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52516-2025</t>
        </is>
      </c>
      <c r="B493" s="1" t="n">
        <v>45954.51412037037</v>
      </c>
      <c r="C493" s="1" t="n">
        <v>46135</v>
      </c>
      <c r="D493" t="inlineStr">
        <is>
          <t>KALMAR LÄN</t>
        </is>
      </c>
      <c r="E493" t="inlineStr">
        <is>
          <t>VIMMERBY</t>
        </is>
      </c>
      <c r="G493" t="n">
        <v>2.8</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46135</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52466-2025</t>
        </is>
      </c>
      <c r="B495" s="1" t="n">
        <v>45954.44707175926</v>
      </c>
      <c r="C495" s="1" t="n">
        <v>46135</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52473-2025</t>
        </is>
      </c>
      <c r="B496" s="1" t="n">
        <v>45954.45947916667</v>
      </c>
      <c r="C496" s="1" t="n">
        <v>46135</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52480-2025</t>
        </is>
      </c>
      <c r="B497" s="1" t="n">
        <v>45954.47172453703</v>
      </c>
      <c r="C497" s="1" t="n">
        <v>46135</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50648-2023</t>
        </is>
      </c>
      <c r="B498" s="1" t="n">
        <v>45217.47834490741</v>
      </c>
      <c r="C498" s="1" t="n">
        <v>46135</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52475-2025</t>
        </is>
      </c>
      <c r="B499" s="1" t="n">
        <v>45954.468125</v>
      </c>
      <c r="C499" s="1" t="n">
        <v>46135</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529-2022</t>
        </is>
      </c>
      <c r="B500" s="1" t="n">
        <v>44566</v>
      </c>
      <c r="C500" s="1" t="n">
        <v>46135</v>
      </c>
      <c r="D500" t="inlineStr">
        <is>
          <t>KALMAR LÄN</t>
        </is>
      </c>
      <c r="E500" t="inlineStr">
        <is>
          <t>VIMMERBY</t>
        </is>
      </c>
      <c r="G500" t="n">
        <v>1.5</v>
      </c>
      <c r="H500" t="n">
        <v>0</v>
      </c>
      <c r="I500" t="n">
        <v>0</v>
      </c>
      <c r="J500" t="n">
        <v>0</v>
      </c>
      <c r="K500" t="n">
        <v>0</v>
      </c>
      <c r="L500" t="n">
        <v>0</v>
      </c>
      <c r="M500" t="n">
        <v>0</v>
      </c>
      <c r="N500" t="n">
        <v>0</v>
      </c>
      <c r="O500" t="n">
        <v>0</v>
      </c>
      <c r="P500" t="n">
        <v>0</v>
      </c>
      <c r="Q500" t="n">
        <v>0</v>
      </c>
      <c r="R500" s="2" t="inlineStr"/>
    </row>
    <row r="501" ht="15" customHeight="1">
      <c r="A501" t="inlineStr">
        <is>
          <t>A 58318-2021</t>
        </is>
      </c>
      <c r="B501" s="1" t="n">
        <v>44488.35878472222</v>
      </c>
      <c r="C501" s="1" t="n">
        <v>46135</v>
      </c>
      <c r="D501" t="inlineStr">
        <is>
          <t>KALMAR LÄN</t>
        </is>
      </c>
      <c r="E501" t="inlineStr">
        <is>
          <t>VIMMERBY</t>
        </is>
      </c>
      <c r="G501" t="n">
        <v>4</v>
      </c>
      <c r="H501" t="n">
        <v>0</v>
      </c>
      <c r="I501" t="n">
        <v>0</v>
      </c>
      <c r="J501" t="n">
        <v>0</v>
      </c>
      <c r="K501" t="n">
        <v>0</v>
      </c>
      <c r="L501" t="n">
        <v>0</v>
      </c>
      <c r="M501" t="n">
        <v>0</v>
      </c>
      <c r="N501" t="n">
        <v>0</v>
      </c>
      <c r="O501" t="n">
        <v>0</v>
      </c>
      <c r="P501" t="n">
        <v>0</v>
      </c>
      <c r="Q501" t="n">
        <v>0</v>
      </c>
      <c r="R501" s="2" t="inlineStr"/>
    </row>
    <row r="502" ht="15" customHeight="1">
      <c r="A502" t="inlineStr">
        <is>
          <t>A 89-2023</t>
        </is>
      </c>
      <c r="B502" s="1" t="n">
        <v>44918</v>
      </c>
      <c r="C502" s="1" t="n">
        <v>46135</v>
      </c>
      <c r="D502" t="inlineStr">
        <is>
          <t>KALMAR LÄN</t>
        </is>
      </c>
      <c r="E502" t="inlineStr">
        <is>
          <t>VIMMERBY</t>
        </is>
      </c>
      <c r="G502" t="n">
        <v>16.1</v>
      </c>
      <c r="H502" t="n">
        <v>0</v>
      </c>
      <c r="I502" t="n">
        <v>0</v>
      </c>
      <c r="J502" t="n">
        <v>0</v>
      </c>
      <c r="K502" t="n">
        <v>0</v>
      </c>
      <c r="L502" t="n">
        <v>0</v>
      </c>
      <c r="M502" t="n">
        <v>0</v>
      </c>
      <c r="N502" t="n">
        <v>0</v>
      </c>
      <c r="O502" t="n">
        <v>0</v>
      </c>
      <c r="P502" t="n">
        <v>0</v>
      </c>
      <c r="Q502" t="n">
        <v>0</v>
      </c>
      <c r="R502" s="2" t="inlineStr"/>
    </row>
    <row r="503" ht="15" customHeight="1">
      <c r="A503" t="inlineStr">
        <is>
          <t>A 23088-2024</t>
        </is>
      </c>
      <c r="B503" s="1" t="n">
        <v>45450.51092592593</v>
      </c>
      <c r="C503" s="1" t="n">
        <v>46135</v>
      </c>
      <c r="D503" t="inlineStr">
        <is>
          <t>KALMAR LÄN</t>
        </is>
      </c>
      <c r="E503" t="inlineStr">
        <is>
          <t>VIMMERBY</t>
        </is>
      </c>
      <c r="G503" t="n">
        <v>1.9</v>
      </c>
      <c r="H503" t="n">
        <v>0</v>
      </c>
      <c r="I503" t="n">
        <v>0</v>
      </c>
      <c r="J503" t="n">
        <v>0</v>
      </c>
      <c r="K503" t="n">
        <v>0</v>
      </c>
      <c r="L503" t="n">
        <v>0</v>
      </c>
      <c r="M503" t="n">
        <v>0</v>
      </c>
      <c r="N503" t="n">
        <v>0</v>
      </c>
      <c r="O503" t="n">
        <v>0</v>
      </c>
      <c r="P503" t="n">
        <v>0</v>
      </c>
      <c r="Q503" t="n">
        <v>0</v>
      </c>
      <c r="R503" s="2" t="inlineStr"/>
    </row>
    <row r="504" ht="15" customHeight="1">
      <c r="A504" t="inlineStr">
        <is>
          <t>A 40147-2023</t>
        </is>
      </c>
      <c r="B504" s="1" t="n">
        <v>45169</v>
      </c>
      <c r="C504" s="1" t="n">
        <v>46135</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38851-2023</t>
        </is>
      </c>
      <c r="B505" s="1" t="n">
        <v>45163</v>
      </c>
      <c r="C505" s="1" t="n">
        <v>46135</v>
      </c>
      <c r="D505" t="inlineStr">
        <is>
          <t>KALMAR LÄN</t>
        </is>
      </c>
      <c r="E505" t="inlineStr">
        <is>
          <t>VIMMERBY</t>
        </is>
      </c>
      <c r="G505" t="n">
        <v>4.3</v>
      </c>
      <c r="H505" t="n">
        <v>0</v>
      </c>
      <c r="I505" t="n">
        <v>0</v>
      </c>
      <c r="J505" t="n">
        <v>0</v>
      </c>
      <c r="K505" t="n">
        <v>0</v>
      </c>
      <c r="L505" t="n">
        <v>0</v>
      </c>
      <c r="M505" t="n">
        <v>0</v>
      </c>
      <c r="N505" t="n">
        <v>0</v>
      </c>
      <c r="O505" t="n">
        <v>0</v>
      </c>
      <c r="P505" t="n">
        <v>0</v>
      </c>
      <c r="Q505" t="n">
        <v>0</v>
      </c>
      <c r="R505" s="2" t="inlineStr"/>
    </row>
    <row r="506" ht="15" customHeight="1">
      <c r="A506" t="inlineStr">
        <is>
          <t>A 10759-2023</t>
        </is>
      </c>
      <c r="B506" s="1" t="n">
        <v>44988</v>
      </c>
      <c r="C506" s="1" t="n">
        <v>46135</v>
      </c>
      <c r="D506" t="inlineStr">
        <is>
          <t>KALMAR LÄN</t>
        </is>
      </c>
      <c r="E506" t="inlineStr">
        <is>
          <t>VIMMERBY</t>
        </is>
      </c>
      <c r="G506" t="n">
        <v>0.4</v>
      </c>
      <c r="H506" t="n">
        <v>0</v>
      </c>
      <c r="I506" t="n">
        <v>0</v>
      </c>
      <c r="J506" t="n">
        <v>0</v>
      </c>
      <c r="K506" t="n">
        <v>0</v>
      </c>
      <c r="L506" t="n">
        <v>0</v>
      </c>
      <c r="M506" t="n">
        <v>0</v>
      </c>
      <c r="N506" t="n">
        <v>0</v>
      </c>
      <c r="O506" t="n">
        <v>0</v>
      </c>
      <c r="P506" t="n">
        <v>0</v>
      </c>
      <c r="Q506" t="n">
        <v>0</v>
      </c>
      <c r="R506" s="2" t="inlineStr"/>
    </row>
    <row r="507" ht="15" customHeight="1">
      <c r="A507" t="inlineStr">
        <is>
          <t>A 53396-2025</t>
        </is>
      </c>
      <c r="B507" s="1" t="n">
        <v>45959.55577546296</v>
      </c>
      <c r="C507" s="1" t="n">
        <v>46135</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53416-2025</t>
        </is>
      </c>
      <c r="B508" s="1" t="n">
        <v>45959.58387731481</v>
      </c>
      <c r="C508" s="1" t="n">
        <v>46135</v>
      </c>
      <c r="D508" t="inlineStr">
        <is>
          <t>KALMAR LÄN</t>
        </is>
      </c>
      <c r="E508" t="inlineStr">
        <is>
          <t>VIMMERBY</t>
        </is>
      </c>
      <c r="G508" t="n">
        <v>4.4</v>
      </c>
      <c r="H508" t="n">
        <v>0</v>
      </c>
      <c r="I508" t="n">
        <v>0</v>
      </c>
      <c r="J508" t="n">
        <v>0</v>
      </c>
      <c r="K508" t="n">
        <v>0</v>
      </c>
      <c r="L508" t="n">
        <v>0</v>
      </c>
      <c r="M508" t="n">
        <v>0</v>
      </c>
      <c r="N508" t="n">
        <v>0</v>
      </c>
      <c r="O508" t="n">
        <v>0</v>
      </c>
      <c r="P508" t="n">
        <v>0</v>
      </c>
      <c r="Q508" t="n">
        <v>0</v>
      </c>
      <c r="R508" s="2" t="inlineStr"/>
    </row>
    <row r="509" ht="15" customHeight="1">
      <c r="A509" t="inlineStr">
        <is>
          <t>A 53398-2025</t>
        </is>
      </c>
      <c r="B509" s="1" t="n">
        <v>45959.56247685185</v>
      </c>
      <c r="C509" s="1" t="n">
        <v>46135</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50995-2022</t>
        </is>
      </c>
      <c r="B510" s="1" t="n">
        <v>44867</v>
      </c>
      <c r="C510" s="1" t="n">
        <v>46135</v>
      </c>
      <c r="D510" t="inlineStr">
        <is>
          <t>KALMAR LÄN</t>
        </is>
      </c>
      <c r="E510" t="inlineStr">
        <is>
          <t>VIMMERBY</t>
        </is>
      </c>
      <c r="G510" t="n">
        <v>2.4</v>
      </c>
      <c r="H510" t="n">
        <v>0</v>
      </c>
      <c r="I510" t="n">
        <v>0</v>
      </c>
      <c r="J510" t="n">
        <v>0</v>
      </c>
      <c r="K510" t="n">
        <v>0</v>
      </c>
      <c r="L510" t="n">
        <v>0</v>
      </c>
      <c r="M510" t="n">
        <v>0</v>
      </c>
      <c r="N510" t="n">
        <v>0</v>
      </c>
      <c r="O510" t="n">
        <v>0</v>
      </c>
      <c r="P510" t="n">
        <v>0</v>
      </c>
      <c r="Q510" t="n">
        <v>0</v>
      </c>
      <c r="R510" s="2" t="inlineStr"/>
    </row>
    <row r="511" ht="15" customHeight="1">
      <c r="A511" t="inlineStr">
        <is>
          <t>A 53397-2025</t>
        </is>
      </c>
      <c r="B511" s="1" t="n">
        <v>45959.55918981481</v>
      </c>
      <c r="C511" s="1" t="n">
        <v>46135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53220-2025</t>
        </is>
      </c>
      <c r="B512" s="1" t="n">
        <v>45958.60146990741</v>
      </c>
      <c r="C512" s="1" t="n">
        <v>46135</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53393-2025</t>
        </is>
      </c>
      <c r="B513" s="1" t="n">
        <v>45959.55284722222</v>
      </c>
      <c r="C513" s="1" t="n">
        <v>46135</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53413-2025</t>
        </is>
      </c>
      <c r="B514" s="1" t="n">
        <v>45959.5787037037</v>
      </c>
      <c r="C514" s="1" t="n">
        <v>46135</v>
      </c>
      <c r="D514" t="inlineStr">
        <is>
          <t>KALMAR LÄN</t>
        </is>
      </c>
      <c r="E514" t="inlineStr">
        <is>
          <t>VIMMERBY</t>
        </is>
      </c>
      <c r="G514" t="n">
        <v>4.3</v>
      </c>
      <c r="H514" t="n">
        <v>0</v>
      </c>
      <c r="I514" t="n">
        <v>0</v>
      </c>
      <c r="J514" t="n">
        <v>0</v>
      </c>
      <c r="K514" t="n">
        <v>0</v>
      </c>
      <c r="L514" t="n">
        <v>0</v>
      </c>
      <c r="M514" t="n">
        <v>0</v>
      </c>
      <c r="N514" t="n">
        <v>0</v>
      </c>
      <c r="O514" t="n">
        <v>0</v>
      </c>
      <c r="P514" t="n">
        <v>0</v>
      </c>
      <c r="Q514" t="n">
        <v>0</v>
      </c>
      <c r="R514" s="2" t="inlineStr"/>
    </row>
    <row r="515" ht="15" customHeight="1">
      <c r="A515" t="inlineStr">
        <is>
          <t>A 53903-2025</t>
        </is>
      </c>
      <c r="B515" s="1" t="n">
        <v>45961.43738425926</v>
      </c>
      <c r="C515" s="1" t="n">
        <v>46135</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63583-2023</t>
        </is>
      </c>
      <c r="B516" s="1" t="n">
        <v>45275.41833333333</v>
      </c>
      <c r="C516" s="1" t="n">
        <v>46135</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40079-2023</t>
        </is>
      </c>
      <c r="B517" s="1" t="n">
        <v>45168.89298611111</v>
      </c>
      <c r="C517" s="1" t="n">
        <v>46135</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43774-2023</t>
        </is>
      </c>
      <c r="B518" s="1" t="n">
        <v>45187</v>
      </c>
      <c r="C518" s="1" t="n">
        <v>46135</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53920-2025</t>
        </is>
      </c>
      <c r="B519" s="1" t="n">
        <v>45961.44951388889</v>
      </c>
      <c r="C519" s="1" t="n">
        <v>46135</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29616-2022</t>
        </is>
      </c>
      <c r="B520" s="1" t="n">
        <v>44754</v>
      </c>
      <c r="C520" s="1" t="n">
        <v>46135</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53927-2025</t>
        </is>
      </c>
      <c r="B521" s="1" t="n">
        <v>45961.46740740741</v>
      </c>
      <c r="C521" s="1" t="n">
        <v>46135</v>
      </c>
      <c r="D521" t="inlineStr">
        <is>
          <t>KALMAR LÄN</t>
        </is>
      </c>
      <c r="E521" t="inlineStr">
        <is>
          <t>VIMMERBY</t>
        </is>
      </c>
      <c r="G521" t="n">
        <v>2.5</v>
      </c>
      <c r="H521" t="n">
        <v>0</v>
      </c>
      <c r="I521" t="n">
        <v>0</v>
      </c>
      <c r="J521" t="n">
        <v>0</v>
      </c>
      <c r="K521" t="n">
        <v>0</v>
      </c>
      <c r="L521" t="n">
        <v>0</v>
      </c>
      <c r="M521" t="n">
        <v>0</v>
      </c>
      <c r="N521" t="n">
        <v>0</v>
      </c>
      <c r="O521" t="n">
        <v>0</v>
      </c>
      <c r="P521" t="n">
        <v>0</v>
      </c>
      <c r="Q521" t="n">
        <v>0</v>
      </c>
      <c r="R521" s="2" t="inlineStr"/>
    </row>
    <row r="522" ht="15" customHeight="1">
      <c r="A522" t="inlineStr">
        <is>
          <t>A 39578-2024</t>
        </is>
      </c>
      <c r="B522" s="1" t="n">
        <v>45552.36484953704</v>
      </c>
      <c r="C522" s="1" t="n">
        <v>46135</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27993-2022</t>
        </is>
      </c>
      <c r="B523" s="1" t="n">
        <v>44745.84396990741</v>
      </c>
      <c r="C523" s="1" t="n">
        <v>46135</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53789-2025</t>
        </is>
      </c>
      <c r="B524" s="1" t="n">
        <v>45960</v>
      </c>
      <c r="C524" s="1" t="n">
        <v>46135</v>
      </c>
      <c r="D524" t="inlineStr">
        <is>
          <t>KALMAR LÄN</t>
        </is>
      </c>
      <c r="E524" t="inlineStr">
        <is>
          <t>VIMMERBY</t>
        </is>
      </c>
      <c r="F524" t="inlineStr">
        <is>
          <t>Övriga statliga verk och myndigheter</t>
        </is>
      </c>
      <c r="G524" t="n">
        <v>1.6</v>
      </c>
      <c r="H524" t="n">
        <v>0</v>
      </c>
      <c r="I524" t="n">
        <v>0</v>
      </c>
      <c r="J524" t="n">
        <v>0</v>
      </c>
      <c r="K524" t="n">
        <v>0</v>
      </c>
      <c r="L524" t="n">
        <v>0</v>
      </c>
      <c r="M524" t="n">
        <v>0</v>
      </c>
      <c r="N524" t="n">
        <v>0</v>
      </c>
      <c r="O524" t="n">
        <v>0</v>
      </c>
      <c r="P524" t="n">
        <v>0</v>
      </c>
      <c r="Q524" t="n">
        <v>0</v>
      </c>
      <c r="R524" s="2" t="inlineStr"/>
    </row>
    <row r="525" ht="15" customHeight="1">
      <c r="A525" t="inlineStr">
        <is>
          <t>A 53923-2025</t>
        </is>
      </c>
      <c r="B525" s="1" t="n">
        <v>45961.4569212963</v>
      </c>
      <c r="C525" s="1" t="n">
        <v>46135</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53933-2025</t>
        </is>
      </c>
      <c r="B526" s="1" t="n">
        <v>45961.47650462963</v>
      </c>
      <c r="C526" s="1" t="n">
        <v>46135</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57555-2024</t>
        </is>
      </c>
      <c r="B527" s="1" t="n">
        <v>45630.45069444444</v>
      </c>
      <c r="C527" s="1" t="n">
        <v>46135</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24707-2024</t>
        </is>
      </c>
      <c r="B528" s="1" t="n">
        <v>45460.62172453704</v>
      </c>
      <c r="C528" s="1" t="n">
        <v>46135</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53788-2025</t>
        </is>
      </c>
      <c r="B529" s="1" t="n">
        <v>45960</v>
      </c>
      <c r="C529" s="1" t="n">
        <v>46135</v>
      </c>
      <c r="D529" t="inlineStr">
        <is>
          <t>KALMAR LÄN</t>
        </is>
      </c>
      <c r="E529" t="inlineStr">
        <is>
          <t>VIMMERBY</t>
        </is>
      </c>
      <c r="F529" t="inlineStr">
        <is>
          <t>Övriga statliga verk och myndigheter</t>
        </is>
      </c>
      <c r="G529" t="n">
        <v>6.3</v>
      </c>
      <c r="H529" t="n">
        <v>0</v>
      </c>
      <c r="I529" t="n">
        <v>0</v>
      </c>
      <c r="J529" t="n">
        <v>0</v>
      </c>
      <c r="K529" t="n">
        <v>0</v>
      </c>
      <c r="L529" t="n">
        <v>0</v>
      </c>
      <c r="M529" t="n">
        <v>0</v>
      </c>
      <c r="N529" t="n">
        <v>0</v>
      </c>
      <c r="O529" t="n">
        <v>0</v>
      </c>
      <c r="P529" t="n">
        <v>0</v>
      </c>
      <c r="Q529" t="n">
        <v>0</v>
      </c>
      <c r="R529" s="2" t="inlineStr"/>
    </row>
    <row r="530" ht="15" customHeight="1">
      <c r="A530" t="inlineStr">
        <is>
          <t>A 31056-2022</t>
        </is>
      </c>
      <c r="B530" s="1" t="n">
        <v>44769.45805555556</v>
      </c>
      <c r="C530" s="1" t="n">
        <v>46135</v>
      </c>
      <c r="D530" t="inlineStr">
        <is>
          <t>KALMAR LÄN</t>
        </is>
      </c>
      <c r="E530" t="inlineStr">
        <is>
          <t>VIMMERBY</t>
        </is>
      </c>
      <c r="G530" t="n">
        <v>2</v>
      </c>
      <c r="H530" t="n">
        <v>0</v>
      </c>
      <c r="I530" t="n">
        <v>0</v>
      </c>
      <c r="J530" t="n">
        <v>0</v>
      </c>
      <c r="K530" t="n">
        <v>0</v>
      </c>
      <c r="L530" t="n">
        <v>0</v>
      </c>
      <c r="M530" t="n">
        <v>0</v>
      </c>
      <c r="N530" t="n">
        <v>0</v>
      </c>
      <c r="O530" t="n">
        <v>0</v>
      </c>
      <c r="P530" t="n">
        <v>0</v>
      </c>
      <c r="Q530" t="n">
        <v>0</v>
      </c>
      <c r="R530" s="2" t="inlineStr"/>
    </row>
    <row r="531" ht="15" customHeight="1">
      <c r="A531" t="inlineStr">
        <is>
          <t>A 33383-2023</t>
        </is>
      </c>
      <c r="B531" s="1" t="n">
        <v>45128.58414351852</v>
      </c>
      <c r="C531" s="1" t="n">
        <v>46135</v>
      </c>
      <c r="D531" t="inlineStr">
        <is>
          <t>KALMAR LÄN</t>
        </is>
      </c>
      <c r="E531" t="inlineStr">
        <is>
          <t>VIMMERBY</t>
        </is>
      </c>
      <c r="G531" t="n">
        <v>2.3</v>
      </c>
      <c r="H531" t="n">
        <v>0</v>
      </c>
      <c r="I531" t="n">
        <v>0</v>
      </c>
      <c r="J531" t="n">
        <v>0</v>
      </c>
      <c r="K531" t="n">
        <v>0</v>
      </c>
      <c r="L531" t="n">
        <v>0</v>
      </c>
      <c r="M531" t="n">
        <v>0</v>
      </c>
      <c r="N531" t="n">
        <v>0</v>
      </c>
      <c r="O531" t="n">
        <v>0</v>
      </c>
      <c r="P531" t="n">
        <v>0</v>
      </c>
      <c r="Q531" t="n">
        <v>0</v>
      </c>
      <c r="R531" s="2" t="inlineStr"/>
    </row>
    <row r="532" ht="15" customHeight="1">
      <c r="A532" t="inlineStr">
        <is>
          <t>A 54236-2025</t>
        </is>
      </c>
      <c r="B532" s="1" t="n">
        <v>45964.62671296296</v>
      </c>
      <c r="C532" s="1" t="n">
        <v>46135</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40828-2023</t>
        </is>
      </c>
      <c r="B533" s="1" t="n">
        <v>45171.96248842592</v>
      </c>
      <c r="C533" s="1" t="n">
        <v>46135</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36014-2024</t>
        </is>
      </c>
      <c r="B534" s="1" t="n">
        <v>45533.56108796296</v>
      </c>
      <c r="C534" s="1" t="n">
        <v>46135</v>
      </c>
      <c r="D534" t="inlineStr">
        <is>
          <t>KALMAR LÄN</t>
        </is>
      </c>
      <c r="E534" t="inlineStr">
        <is>
          <t>VIMMERBY</t>
        </is>
      </c>
      <c r="G534" t="n">
        <v>2.3</v>
      </c>
      <c r="H534" t="n">
        <v>0</v>
      </c>
      <c r="I534" t="n">
        <v>0</v>
      </c>
      <c r="J534" t="n">
        <v>0</v>
      </c>
      <c r="K534" t="n">
        <v>0</v>
      </c>
      <c r="L534" t="n">
        <v>0</v>
      </c>
      <c r="M534" t="n">
        <v>0</v>
      </c>
      <c r="N534" t="n">
        <v>0</v>
      </c>
      <c r="O534" t="n">
        <v>0</v>
      </c>
      <c r="P534" t="n">
        <v>0</v>
      </c>
      <c r="Q534" t="n">
        <v>0</v>
      </c>
      <c r="R534" s="2" t="inlineStr"/>
    </row>
    <row r="535" ht="15" customHeight="1">
      <c r="A535" t="inlineStr">
        <is>
          <t>A 36030-2024</t>
        </is>
      </c>
      <c r="B535" s="1" t="n">
        <v>45533.58302083334</v>
      </c>
      <c r="C535" s="1" t="n">
        <v>46135</v>
      </c>
      <c r="D535" t="inlineStr">
        <is>
          <t>KALMAR LÄN</t>
        </is>
      </c>
      <c r="E535" t="inlineStr">
        <is>
          <t>VIMMERBY</t>
        </is>
      </c>
      <c r="F535" t="inlineStr">
        <is>
          <t>Kommuner</t>
        </is>
      </c>
      <c r="G535" t="n">
        <v>4</v>
      </c>
      <c r="H535" t="n">
        <v>0</v>
      </c>
      <c r="I535" t="n">
        <v>0</v>
      </c>
      <c r="J535" t="n">
        <v>0</v>
      </c>
      <c r="K535" t="n">
        <v>0</v>
      </c>
      <c r="L535" t="n">
        <v>0</v>
      </c>
      <c r="M535" t="n">
        <v>0</v>
      </c>
      <c r="N535" t="n">
        <v>0</v>
      </c>
      <c r="O535" t="n">
        <v>0</v>
      </c>
      <c r="P535" t="n">
        <v>0</v>
      </c>
      <c r="Q535" t="n">
        <v>0</v>
      </c>
      <c r="R535" s="2" t="inlineStr"/>
    </row>
    <row r="536" ht="15" customHeight="1">
      <c r="A536" t="inlineStr">
        <is>
          <t>A 32865-2023</t>
        </is>
      </c>
      <c r="B536" s="1" t="n">
        <v>45124</v>
      </c>
      <c r="C536" s="1" t="n">
        <v>46135</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54234-2025</t>
        </is>
      </c>
      <c r="B537" s="1" t="n">
        <v>45964.62486111111</v>
      </c>
      <c r="C537" s="1" t="n">
        <v>46135</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42918-2021</t>
        </is>
      </c>
      <c r="B538" s="1" t="n">
        <v>44431</v>
      </c>
      <c r="C538" s="1" t="n">
        <v>46135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22643-2023</t>
        </is>
      </c>
      <c r="B539" s="1" t="n">
        <v>45071</v>
      </c>
      <c r="C539" s="1" t="n">
        <v>46135</v>
      </c>
      <c r="D539" t="inlineStr">
        <is>
          <t>KALMAR LÄN</t>
        </is>
      </c>
      <c r="E539" t="inlineStr">
        <is>
          <t>VIMMERBY</t>
        </is>
      </c>
      <c r="G539" t="n">
        <v>3.9</v>
      </c>
      <c r="H539" t="n">
        <v>0</v>
      </c>
      <c r="I539" t="n">
        <v>0</v>
      </c>
      <c r="J539" t="n">
        <v>0</v>
      </c>
      <c r="K539" t="n">
        <v>0</v>
      </c>
      <c r="L539" t="n">
        <v>0</v>
      </c>
      <c r="M539" t="n">
        <v>0</v>
      </c>
      <c r="N539" t="n">
        <v>0</v>
      </c>
      <c r="O539" t="n">
        <v>0</v>
      </c>
      <c r="P539" t="n">
        <v>0</v>
      </c>
      <c r="Q539" t="n">
        <v>0</v>
      </c>
      <c r="R539" s="2" t="inlineStr"/>
    </row>
    <row r="540" ht="15" customHeight="1">
      <c r="A540" t="inlineStr">
        <is>
          <t>A 61861-2024</t>
        </is>
      </c>
      <c r="B540" s="1" t="n">
        <v>45650.37370370371</v>
      </c>
      <c r="C540" s="1" t="n">
        <v>46135</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54737-2025</t>
        </is>
      </c>
      <c r="B541" s="1" t="n">
        <v>45966.56826388889</v>
      </c>
      <c r="C541" s="1" t="n">
        <v>46135</v>
      </c>
      <c r="D541" t="inlineStr">
        <is>
          <t>KALMAR LÄN</t>
        </is>
      </c>
      <c r="E541" t="inlineStr">
        <is>
          <t>VIMMERBY</t>
        </is>
      </c>
      <c r="G541" t="n">
        <v>2.1</v>
      </c>
      <c r="H541" t="n">
        <v>0</v>
      </c>
      <c r="I541" t="n">
        <v>0</v>
      </c>
      <c r="J541" t="n">
        <v>0</v>
      </c>
      <c r="K541" t="n">
        <v>0</v>
      </c>
      <c r="L541" t="n">
        <v>0</v>
      </c>
      <c r="M541" t="n">
        <v>0</v>
      </c>
      <c r="N541" t="n">
        <v>0</v>
      </c>
      <c r="O541" t="n">
        <v>0</v>
      </c>
      <c r="P541" t="n">
        <v>0</v>
      </c>
      <c r="Q541" t="n">
        <v>0</v>
      </c>
      <c r="R541" s="2" t="inlineStr"/>
    </row>
    <row r="542" ht="15" customHeight="1">
      <c r="A542" t="inlineStr">
        <is>
          <t>A 18669-2025</t>
        </is>
      </c>
      <c r="B542" s="1" t="n">
        <v>45763.59436342592</v>
      </c>
      <c r="C542" s="1" t="n">
        <v>46135</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38780-2021</t>
        </is>
      </c>
      <c r="B543" s="1" t="n">
        <v>44410</v>
      </c>
      <c r="C543" s="1" t="n">
        <v>46135</v>
      </c>
      <c r="D543" t="inlineStr">
        <is>
          <t>KALMAR LÄN</t>
        </is>
      </c>
      <c r="E543" t="inlineStr">
        <is>
          <t>VIMMERBY</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54813-2025</t>
        </is>
      </c>
      <c r="B544" s="1" t="n">
        <v>45966.64881944445</v>
      </c>
      <c r="C544" s="1" t="n">
        <v>46135</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8650-2022</t>
        </is>
      </c>
      <c r="B545" s="1" t="n">
        <v>44613</v>
      </c>
      <c r="C545" s="1" t="n">
        <v>46135</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33340-2023</t>
        </is>
      </c>
      <c r="B546" s="1" t="n">
        <v>45128.37305555555</v>
      </c>
      <c r="C546" s="1" t="n">
        <v>46135</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44423-2023</t>
        </is>
      </c>
      <c r="B547" s="1" t="n">
        <v>45189</v>
      </c>
      <c r="C547" s="1" t="n">
        <v>46135</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29020-2024</t>
        </is>
      </c>
      <c r="B548" s="1" t="n">
        <v>45481.58048611111</v>
      </c>
      <c r="C548" s="1" t="n">
        <v>46135</v>
      </c>
      <c r="D548" t="inlineStr">
        <is>
          <t>KALMAR LÄN</t>
        </is>
      </c>
      <c r="E548" t="inlineStr">
        <is>
          <t>VIMMERBY</t>
        </is>
      </c>
      <c r="G548" t="n">
        <v>2.3</v>
      </c>
      <c r="H548" t="n">
        <v>0</v>
      </c>
      <c r="I548" t="n">
        <v>0</v>
      </c>
      <c r="J548" t="n">
        <v>0</v>
      </c>
      <c r="K548" t="n">
        <v>0</v>
      </c>
      <c r="L548" t="n">
        <v>0</v>
      </c>
      <c r="M548" t="n">
        <v>0</v>
      </c>
      <c r="N548" t="n">
        <v>0</v>
      </c>
      <c r="O548" t="n">
        <v>0</v>
      </c>
      <c r="P548" t="n">
        <v>0</v>
      </c>
      <c r="Q548" t="n">
        <v>0</v>
      </c>
      <c r="R548" s="2" t="inlineStr"/>
    </row>
    <row r="549" ht="15" customHeight="1">
      <c r="A549" t="inlineStr">
        <is>
          <t>A 55602-2025</t>
        </is>
      </c>
      <c r="B549" s="1" t="n">
        <v>45971</v>
      </c>
      <c r="C549" s="1" t="n">
        <v>46135</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30406-2023</t>
        </is>
      </c>
      <c r="B550" s="1" t="n">
        <v>45111.48787037037</v>
      </c>
      <c r="C550" s="1" t="n">
        <v>46135</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37323-2024</t>
        </is>
      </c>
      <c r="B551" s="1" t="n">
        <v>45540.50098379629</v>
      </c>
      <c r="C551" s="1" t="n">
        <v>46135</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13817-2024</t>
        </is>
      </c>
      <c r="B552" s="1" t="n">
        <v>45391.41976851852</v>
      </c>
      <c r="C552" s="1" t="n">
        <v>46135</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18501-2024</t>
        </is>
      </c>
      <c r="B553" s="1" t="n">
        <v>45425.57538194444</v>
      </c>
      <c r="C553" s="1" t="n">
        <v>46135</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27758-2024</t>
        </is>
      </c>
      <c r="B554" s="1" t="n">
        <v>45475.48303240741</v>
      </c>
      <c r="C554" s="1" t="n">
        <v>46135</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13307-2025</t>
        </is>
      </c>
      <c r="B555" s="1" t="n">
        <v>45735.58024305556</v>
      </c>
      <c r="C555" s="1" t="n">
        <v>46135</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55603-2025</t>
        </is>
      </c>
      <c r="B556" s="1" t="n">
        <v>45971</v>
      </c>
      <c r="C556" s="1" t="n">
        <v>46135</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55605-2025</t>
        </is>
      </c>
      <c r="B557" s="1" t="n">
        <v>45971</v>
      </c>
      <c r="C557" s="1" t="n">
        <v>46135</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55716-2023</t>
        </is>
      </c>
      <c r="B558" s="1" t="n">
        <v>45232</v>
      </c>
      <c r="C558" s="1" t="n">
        <v>46135</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55385-2025</t>
        </is>
      </c>
      <c r="B559" s="1" t="n">
        <v>45971.43350694444</v>
      </c>
      <c r="C559" s="1" t="n">
        <v>46135</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18329-2023</t>
        </is>
      </c>
      <c r="B560" s="1" t="n">
        <v>45041.63380787037</v>
      </c>
      <c r="C560" s="1" t="n">
        <v>46135</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13015-2023</t>
        </is>
      </c>
      <c r="B561" s="1" t="n">
        <v>45002</v>
      </c>
      <c r="C561" s="1" t="n">
        <v>46135</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29186-2024</t>
        </is>
      </c>
      <c r="B562" s="1" t="n">
        <v>45482.54844907407</v>
      </c>
      <c r="C562" s="1" t="n">
        <v>46135</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50993-2022</t>
        </is>
      </c>
      <c r="B563" s="1" t="n">
        <v>44867</v>
      </c>
      <c r="C563" s="1" t="n">
        <v>46135</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54787-2023</t>
        </is>
      </c>
      <c r="B564" s="1" t="n">
        <v>45236</v>
      </c>
      <c r="C564" s="1" t="n">
        <v>46135</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32614-2023</t>
        </is>
      </c>
      <c r="B565" s="1" t="n">
        <v>45121</v>
      </c>
      <c r="C565" s="1" t="n">
        <v>46135</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6850-2023</t>
        </is>
      </c>
      <c r="B566" s="1" t="n">
        <v>44967.44255787037</v>
      </c>
      <c r="C566" s="1" t="n">
        <v>46135</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58750-2022</t>
        </is>
      </c>
      <c r="B567" s="1" t="n">
        <v>44903.33363425926</v>
      </c>
      <c r="C567" s="1" t="n">
        <v>46135</v>
      </c>
      <c r="D567" t="inlineStr">
        <is>
          <t>KALMAR LÄN</t>
        </is>
      </c>
      <c r="E567" t="inlineStr">
        <is>
          <t>VIMMERBY</t>
        </is>
      </c>
      <c r="G567" t="n">
        <v>3.3</v>
      </c>
      <c r="H567" t="n">
        <v>0</v>
      </c>
      <c r="I567" t="n">
        <v>0</v>
      </c>
      <c r="J567" t="n">
        <v>0</v>
      </c>
      <c r="K567" t="n">
        <v>0</v>
      </c>
      <c r="L567" t="n">
        <v>0</v>
      </c>
      <c r="M567" t="n">
        <v>0</v>
      </c>
      <c r="N567" t="n">
        <v>0</v>
      </c>
      <c r="O567" t="n">
        <v>0</v>
      </c>
      <c r="P567" t="n">
        <v>0</v>
      </c>
      <c r="Q567" t="n">
        <v>0</v>
      </c>
      <c r="R567" s="2" t="inlineStr"/>
    </row>
    <row r="568" ht="15" customHeight="1">
      <c r="A568" t="inlineStr">
        <is>
          <t>A 41158-2023</t>
        </is>
      </c>
      <c r="B568" s="1" t="n">
        <v>45174.31395833333</v>
      </c>
      <c r="C568" s="1" t="n">
        <v>46135</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2510-2023</t>
        </is>
      </c>
      <c r="B569" s="1" t="n">
        <v>44943.57309027778</v>
      </c>
      <c r="C569" s="1" t="n">
        <v>46135</v>
      </c>
      <c r="D569" t="inlineStr">
        <is>
          <t>KALMAR LÄN</t>
        </is>
      </c>
      <c r="E569" t="inlineStr">
        <is>
          <t>VIMMERBY</t>
        </is>
      </c>
      <c r="G569" t="n">
        <v>8.6</v>
      </c>
      <c r="H569" t="n">
        <v>0</v>
      </c>
      <c r="I569" t="n">
        <v>0</v>
      </c>
      <c r="J569" t="n">
        <v>0</v>
      </c>
      <c r="K569" t="n">
        <v>0</v>
      </c>
      <c r="L569" t="n">
        <v>0</v>
      </c>
      <c r="M569" t="n">
        <v>0</v>
      </c>
      <c r="N569" t="n">
        <v>0</v>
      </c>
      <c r="O569" t="n">
        <v>0</v>
      </c>
      <c r="P569" t="n">
        <v>0</v>
      </c>
      <c r="Q569" t="n">
        <v>0</v>
      </c>
      <c r="R569" s="2" t="inlineStr"/>
    </row>
    <row r="570" ht="15" customHeight="1">
      <c r="A570" t="inlineStr">
        <is>
          <t>A 3269-2024</t>
        </is>
      </c>
      <c r="B570" s="1" t="n">
        <v>45317.40372685185</v>
      </c>
      <c r="C570" s="1" t="n">
        <v>46135</v>
      </c>
      <c r="D570" t="inlineStr">
        <is>
          <t>KALMAR LÄN</t>
        </is>
      </c>
      <c r="E570" t="inlineStr">
        <is>
          <t>VIMMERBY</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48120-2022</t>
        </is>
      </c>
      <c r="B571" s="1" t="n">
        <v>44857.65989583333</v>
      </c>
      <c r="C571" s="1" t="n">
        <v>46135</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6368-2023</t>
        </is>
      </c>
      <c r="B572" s="1" t="n">
        <v>44965</v>
      </c>
      <c r="C572" s="1" t="n">
        <v>46135</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9416-2024</t>
        </is>
      </c>
      <c r="B573" s="1" t="n">
        <v>45359.44837962963</v>
      </c>
      <c r="C573" s="1" t="n">
        <v>46135</v>
      </c>
      <c r="D573" t="inlineStr">
        <is>
          <t>KALMAR LÄN</t>
        </is>
      </c>
      <c r="E573" t="inlineStr">
        <is>
          <t>VIMMERBY</t>
        </is>
      </c>
      <c r="G573" t="n">
        <v>3.2</v>
      </c>
      <c r="H573" t="n">
        <v>0</v>
      </c>
      <c r="I573" t="n">
        <v>0</v>
      </c>
      <c r="J573" t="n">
        <v>0</v>
      </c>
      <c r="K573" t="n">
        <v>0</v>
      </c>
      <c r="L573" t="n">
        <v>0</v>
      </c>
      <c r="M573" t="n">
        <v>0</v>
      </c>
      <c r="N573" t="n">
        <v>0</v>
      </c>
      <c r="O573" t="n">
        <v>0</v>
      </c>
      <c r="P573" t="n">
        <v>0</v>
      </c>
      <c r="Q573" t="n">
        <v>0</v>
      </c>
      <c r="R573" s="2" t="inlineStr"/>
    </row>
    <row r="574" ht="15" customHeight="1">
      <c r="A574" t="inlineStr">
        <is>
          <t>A 2797-2023</t>
        </is>
      </c>
      <c r="B574" s="1" t="n">
        <v>44944.71386574074</v>
      </c>
      <c r="C574" s="1" t="n">
        <v>46135</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2799-2023</t>
        </is>
      </c>
      <c r="B575" s="1" t="n">
        <v>44944.72100694444</v>
      </c>
      <c r="C575" s="1" t="n">
        <v>46135</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25987-2024</t>
        </is>
      </c>
      <c r="B576" s="1" t="n">
        <v>45467.74417824074</v>
      </c>
      <c r="C576" s="1" t="n">
        <v>46135</v>
      </c>
      <c r="D576" t="inlineStr">
        <is>
          <t>KALMAR LÄN</t>
        </is>
      </c>
      <c r="E576" t="inlineStr">
        <is>
          <t>VIMMERBY</t>
        </is>
      </c>
      <c r="G576" t="n">
        <v>0.8</v>
      </c>
      <c r="H576" t="n">
        <v>0</v>
      </c>
      <c r="I576" t="n">
        <v>0</v>
      </c>
      <c r="J576" t="n">
        <v>0</v>
      </c>
      <c r="K576" t="n">
        <v>0</v>
      </c>
      <c r="L576" t="n">
        <v>0</v>
      </c>
      <c r="M576" t="n">
        <v>0</v>
      </c>
      <c r="N576" t="n">
        <v>0</v>
      </c>
      <c r="O576" t="n">
        <v>0</v>
      </c>
      <c r="P576" t="n">
        <v>0</v>
      </c>
      <c r="Q576" t="n">
        <v>0</v>
      </c>
      <c r="R576" s="2" t="inlineStr"/>
    </row>
    <row r="577" ht="15" customHeight="1">
      <c r="A577" t="inlineStr">
        <is>
          <t>A 22194-2024</t>
        </is>
      </c>
      <c r="B577" s="1" t="n">
        <v>45446.36482638889</v>
      </c>
      <c r="C577" s="1" t="n">
        <v>46135</v>
      </c>
      <c r="D577" t="inlineStr">
        <is>
          <t>KALMAR LÄN</t>
        </is>
      </c>
      <c r="E577" t="inlineStr">
        <is>
          <t>VIMMERBY</t>
        </is>
      </c>
      <c r="F577" t="inlineStr">
        <is>
          <t>Sveaskog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19865-2021</t>
        </is>
      </c>
      <c r="B578" s="1" t="n">
        <v>44312</v>
      </c>
      <c r="C578" s="1" t="n">
        <v>46135</v>
      </c>
      <c r="D578" t="inlineStr">
        <is>
          <t>KALMAR LÄN</t>
        </is>
      </c>
      <c r="E578" t="inlineStr">
        <is>
          <t>VIMMERBY</t>
        </is>
      </c>
      <c r="G578" t="n">
        <v>8.6</v>
      </c>
      <c r="H578" t="n">
        <v>0</v>
      </c>
      <c r="I578" t="n">
        <v>0</v>
      </c>
      <c r="J578" t="n">
        <v>0</v>
      </c>
      <c r="K578" t="n">
        <v>0</v>
      </c>
      <c r="L578" t="n">
        <v>0</v>
      </c>
      <c r="M578" t="n">
        <v>0</v>
      </c>
      <c r="N578" t="n">
        <v>0</v>
      </c>
      <c r="O578" t="n">
        <v>0</v>
      </c>
      <c r="P578" t="n">
        <v>0</v>
      </c>
      <c r="Q578" t="n">
        <v>0</v>
      </c>
      <c r="R578" s="2" t="inlineStr"/>
    </row>
    <row r="579" ht="15" customHeight="1">
      <c r="A579" t="inlineStr">
        <is>
          <t>A 12630-2023</t>
        </is>
      </c>
      <c r="B579" s="1" t="n">
        <v>45000.47998842593</v>
      </c>
      <c r="C579" s="1" t="n">
        <v>46135</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22399-2025</t>
        </is>
      </c>
      <c r="B580" s="1" t="n">
        <v>45786.52996527778</v>
      </c>
      <c r="C580" s="1" t="n">
        <v>46135</v>
      </c>
      <c r="D580" t="inlineStr">
        <is>
          <t>KALMAR LÄN</t>
        </is>
      </c>
      <c r="E580" t="inlineStr">
        <is>
          <t>VIMMERBY</t>
        </is>
      </c>
      <c r="G580" t="n">
        <v>2.1</v>
      </c>
      <c r="H580" t="n">
        <v>0</v>
      </c>
      <c r="I580" t="n">
        <v>0</v>
      </c>
      <c r="J580" t="n">
        <v>0</v>
      </c>
      <c r="K580" t="n">
        <v>0</v>
      </c>
      <c r="L580" t="n">
        <v>0</v>
      </c>
      <c r="M580" t="n">
        <v>0</v>
      </c>
      <c r="N580" t="n">
        <v>0</v>
      </c>
      <c r="O580" t="n">
        <v>0</v>
      </c>
      <c r="P580" t="n">
        <v>0</v>
      </c>
      <c r="Q580" t="n">
        <v>0</v>
      </c>
      <c r="R580" s="2" t="inlineStr"/>
    </row>
    <row r="581" ht="15" customHeight="1">
      <c r="A581" t="inlineStr">
        <is>
          <t>A 22397-2025</t>
        </is>
      </c>
      <c r="B581" s="1" t="n">
        <v>45786.52878472222</v>
      </c>
      <c r="C581" s="1" t="n">
        <v>46135</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21109-2024</t>
        </is>
      </c>
      <c r="B582" s="1" t="n">
        <v>45440.28329861111</v>
      </c>
      <c r="C582" s="1" t="n">
        <v>46135</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25582-2024</t>
        </is>
      </c>
      <c r="B583" s="1" t="n">
        <v>45463</v>
      </c>
      <c r="C583" s="1" t="n">
        <v>46135</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30634-2024</t>
        </is>
      </c>
      <c r="B584" s="1" t="n">
        <v>45495</v>
      </c>
      <c r="C584" s="1" t="n">
        <v>46135</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40260-2024</t>
        </is>
      </c>
      <c r="B585" s="1" t="n">
        <v>45554.63225694445</v>
      </c>
      <c r="C585" s="1" t="n">
        <v>46135</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57728-2025</t>
        </is>
      </c>
      <c r="B586" s="1" t="n">
        <v>45981</v>
      </c>
      <c r="C586" s="1" t="n">
        <v>46135</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57578-2024</t>
        </is>
      </c>
      <c r="B587" s="1" t="n">
        <v>45630.47564814815</v>
      </c>
      <c r="C587" s="1" t="n">
        <v>46135</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59943-2023</t>
        </is>
      </c>
      <c r="B588" s="1" t="n">
        <v>45257.67958333333</v>
      </c>
      <c r="C588" s="1" t="n">
        <v>46135</v>
      </c>
      <c r="D588" t="inlineStr">
        <is>
          <t>KALMAR LÄN</t>
        </is>
      </c>
      <c r="E588" t="inlineStr">
        <is>
          <t>VIMMERBY</t>
        </is>
      </c>
      <c r="G588" t="n">
        <v>6.4</v>
      </c>
      <c r="H588" t="n">
        <v>0</v>
      </c>
      <c r="I588" t="n">
        <v>0</v>
      </c>
      <c r="J588" t="n">
        <v>0</v>
      </c>
      <c r="K588" t="n">
        <v>0</v>
      </c>
      <c r="L588" t="n">
        <v>0</v>
      </c>
      <c r="M588" t="n">
        <v>0</v>
      </c>
      <c r="N588" t="n">
        <v>0</v>
      </c>
      <c r="O588" t="n">
        <v>0</v>
      </c>
      <c r="P588" t="n">
        <v>0</v>
      </c>
      <c r="Q588" t="n">
        <v>0</v>
      </c>
      <c r="R588" s="2" t="inlineStr"/>
    </row>
    <row r="589" ht="15" customHeight="1">
      <c r="A589" t="inlineStr">
        <is>
          <t>A 58503-2025</t>
        </is>
      </c>
      <c r="B589" s="1" t="n">
        <v>45985.69509259259</v>
      </c>
      <c r="C589" s="1" t="n">
        <v>46135</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58498-2025</t>
        </is>
      </c>
      <c r="B590" s="1" t="n">
        <v>45985.68671296296</v>
      </c>
      <c r="C590" s="1" t="n">
        <v>46135</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58501-2025</t>
        </is>
      </c>
      <c r="B591" s="1" t="n">
        <v>45985.69153935185</v>
      </c>
      <c r="C591" s="1" t="n">
        <v>46135</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58514-2025</t>
        </is>
      </c>
      <c r="B592" s="1" t="n">
        <v>45985.70513888889</v>
      </c>
      <c r="C592" s="1" t="n">
        <v>46135</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58442-2025</t>
        </is>
      </c>
      <c r="B593" s="1" t="n">
        <v>45985.61635416667</v>
      </c>
      <c r="C593" s="1" t="n">
        <v>46135</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58435-2025</t>
        </is>
      </c>
      <c r="B594" s="1" t="n">
        <v>45985.61501157407</v>
      </c>
      <c r="C594" s="1" t="n">
        <v>46135</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58446-2025</t>
        </is>
      </c>
      <c r="B595" s="1" t="n">
        <v>45985.62168981481</v>
      </c>
      <c r="C595" s="1" t="n">
        <v>46135</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6307-2025</t>
        </is>
      </c>
      <c r="B596" s="1" t="n">
        <v>45698.69016203703</v>
      </c>
      <c r="C596" s="1" t="n">
        <v>46135</v>
      </c>
      <c r="D596" t="inlineStr">
        <is>
          <t>KALMAR LÄN</t>
        </is>
      </c>
      <c r="E596" t="inlineStr">
        <is>
          <t>VIMMERBY</t>
        </is>
      </c>
      <c r="G596" t="n">
        <v>3</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44595.583125</v>
      </c>
      <c r="C597" s="1" t="n">
        <v>46135</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11442-2025</t>
        </is>
      </c>
      <c r="B598" s="1" t="n">
        <v>45726.62721064815</v>
      </c>
      <c r="C598" s="1" t="n">
        <v>46135</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58500-2025</t>
        </is>
      </c>
      <c r="B599" s="1" t="n">
        <v>45985.69008101852</v>
      </c>
      <c r="C599" s="1" t="n">
        <v>46135</v>
      </c>
      <c r="D599" t="inlineStr">
        <is>
          <t>KALMAR LÄN</t>
        </is>
      </c>
      <c r="E599" t="inlineStr">
        <is>
          <t>VIMMERBY</t>
        </is>
      </c>
      <c r="G599" t="n">
        <v>1.8</v>
      </c>
      <c r="H599" t="n">
        <v>0</v>
      </c>
      <c r="I599" t="n">
        <v>0</v>
      </c>
      <c r="J599" t="n">
        <v>0</v>
      </c>
      <c r="K599" t="n">
        <v>0</v>
      </c>
      <c r="L599" t="n">
        <v>0</v>
      </c>
      <c r="M599" t="n">
        <v>0</v>
      </c>
      <c r="N599" t="n">
        <v>0</v>
      </c>
      <c r="O599" t="n">
        <v>0</v>
      </c>
      <c r="P599" t="n">
        <v>0</v>
      </c>
      <c r="Q599" t="n">
        <v>0</v>
      </c>
      <c r="R599" s="2" t="inlineStr"/>
    </row>
    <row r="600" ht="15" customHeight="1">
      <c r="A600" t="inlineStr">
        <is>
          <t>A 12325-2023</t>
        </is>
      </c>
      <c r="B600" s="1" t="n">
        <v>44999.35858796296</v>
      </c>
      <c r="C600" s="1" t="n">
        <v>46135</v>
      </c>
      <c r="D600" t="inlineStr">
        <is>
          <t>KALMAR LÄN</t>
        </is>
      </c>
      <c r="E600" t="inlineStr">
        <is>
          <t>VIMMERBY</t>
        </is>
      </c>
      <c r="G600" t="n">
        <v>3.4</v>
      </c>
      <c r="H600" t="n">
        <v>0</v>
      </c>
      <c r="I600" t="n">
        <v>0</v>
      </c>
      <c r="J600" t="n">
        <v>0</v>
      </c>
      <c r="K600" t="n">
        <v>0</v>
      </c>
      <c r="L600" t="n">
        <v>0</v>
      </c>
      <c r="M600" t="n">
        <v>0</v>
      </c>
      <c r="N600" t="n">
        <v>0</v>
      </c>
      <c r="O600" t="n">
        <v>0</v>
      </c>
      <c r="P600" t="n">
        <v>0</v>
      </c>
      <c r="Q600" t="n">
        <v>0</v>
      </c>
      <c r="R600" s="2" t="inlineStr"/>
    </row>
    <row r="601" ht="15" customHeight="1">
      <c r="A601" t="inlineStr">
        <is>
          <t>A 58841-2025</t>
        </is>
      </c>
      <c r="B601" s="1" t="n">
        <v>45987.36275462963</v>
      </c>
      <c r="C601" s="1" t="n">
        <v>46135</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1016-2024</t>
        </is>
      </c>
      <c r="B602" s="1" t="n">
        <v>45301</v>
      </c>
      <c r="C602" s="1" t="n">
        <v>46135</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58858-2025</t>
        </is>
      </c>
      <c r="B603" s="1" t="n">
        <v>45987.4243287037</v>
      </c>
      <c r="C603" s="1" t="n">
        <v>46135</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33681-2022</t>
        </is>
      </c>
      <c r="B604" s="1" t="n">
        <v>44789</v>
      </c>
      <c r="C604" s="1" t="n">
        <v>46135</v>
      </c>
      <c r="D604" t="inlineStr">
        <is>
          <t>KALMAR LÄN</t>
        </is>
      </c>
      <c r="E604" t="inlineStr">
        <is>
          <t>VIMMERBY</t>
        </is>
      </c>
      <c r="G604" t="n">
        <v>3.2</v>
      </c>
      <c r="H604" t="n">
        <v>0</v>
      </c>
      <c r="I604" t="n">
        <v>0</v>
      </c>
      <c r="J604" t="n">
        <v>0</v>
      </c>
      <c r="K604" t="n">
        <v>0</v>
      </c>
      <c r="L604" t="n">
        <v>0</v>
      </c>
      <c r="M604" t="n">
        <v>0</v>
      </c>
      <c r="N604" t="n">
        <v>0</v>
      </c>
      <c r="O604" t="n">
        <v>0</v>
      </c>
      <c r="P604" t="n">
        <v>0</v>
      </c>
      <c r="Q604" t="n">
        <v>0</v>
      </c>
      <c r="R604" s="2" t="inlineStr"/>
    </row>
    <row r="605" ht="15" customHeight="1">
      <c r="A605" t="inlineStr">
        <is>
          <t>A 59039-2025</t>
        </is>
      </c>
      <c r="B605" s="1" t="n">
        <v>45988.36790509259</v>
      </c>
      <c r="C605" s="1" t="n">
        <v>46135</v>
      </c>
      <c r="D605" t="inlineStr">
        <is>
          <t>KALMAR LÄN</t>
        </is>
      </c>
      <c r="E605" t="inlineStr">
        <is>
          <t>VIMMERBY</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59034-2025</t>
        </is>
      </c>
      <c r="B606" s="1" t="n">
        <v>45988.36243055556</v>
      </c>
      <c r="C606" s="1" t="n">
        <v>46135</v>
      </c>
      <c r="D606" t="inlineStr">
        <is>
          <t>KALMAR LÄN</t>
        </is>
      </c>
      <c r="E606" t="inlineStr">
        <is>
          <t>VIMMERBY</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59037-2025</t>
        </is>
      </c>
      <c r="B607" s="1" t="n">
        <v>45988.36508101852</v>
      </c>
      <c r="C607" s="1" t="n">
        <v>46135</v>
      </c>
      <c r="D607" t="inlineStr">
        <is>
          <t>KALMAR LÄN</t>
        </is>
      </c>
      <c r="E607" t="inlineStr">
        <is>
          <t>VIMMERBY</t>
        </is>
      </c>
      <c r="F607" t="inlineStr">
        <is>
          <t>Sveaskog</t>
        </is>
      </c>
      <c r="G607" t="n">
        <v>4</v>
      </c>
      <c r="H607" t="n">
        <v>0</v>
      </c>
      <c r="I607" t="n">
        <v>0</v>
      </c>
      <c r="J607" t="n">
        <v>0</v>
      </c>
      <c r="K607" t="n">
        <v>0</v>
      </c>
      <c r="L607" t="n">
        <v>0</v>
      </c>
      <c r="M607" t="n">
        <v>0</v>
      </c>
      <c r="N607" t="n">
        <v>0</v>
      </c>
      <c r="O607" t="n">
        <v>0</v>
      </c>
      <c r="P607" t="n">
        <v>0</v>
      </c>
      <c r="Q607" t="n">
        <v>0</v>
      </c>
      <c r="R607" s="2" t="inlineStr"/>
    </row>
    <row r="608" ht="15" customHeight="1">
      <c r="A608" t="inlineStr">
        <is>
          <t>A 5074-2023</t>
        </is>
      </c>
      <c r="B608" s="1" t="n">
        <v>44958.61047453704</v>
      </c>
      <c r="C608" s="1" t="n">
        <v>46135</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59068-2025</t>
        </is>
      </c>
      <c r="B609" s="1" t="n">
        <v>45988.41725694444</v>
      </c>
      <c r="C609" s="1" t="n">
        <v>46135</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23394-2025</t>
        </is>
      </c>
      <c r="B610" s="1" t="n">
        <v>45791.89865740741</v>
      </c>
      <c r="C610" s="1" t="n">
        <v>46135</v>
      </c>
      <c r="D610" t="inlineStr">
        <is>
          <t>KALMAR LÄN</t>
        </is>
      </c>
      <c r="E610" t="inlineStr">
        <is>
          <t>VIMMERBY</t>
        </is>
      </c>
      <c r="G610" t="n">
        <v>3.1</v>
      </c>
      <c r="H610" t="n">
        <v>0</v>
      </c>
      <c r="I610" t="n">
        <v>0</v>
      </c>
      <c r="J610" t="n">
        <v>0</v>
      </c>
      <c r="K610" t="n">
        <v>0</v>
      </c>
      <c r="L610" t="n">
        <v>0</v>
      </c>
      <c r="M610" t="n">
        <v>0</v>
      </c>
      <c r="N610" t="n">
        <v>0</v>
      </c>
      <c r="O610" t="n">
        <v>0</v>
      </c>
      <c r="P610" t="n">
        <v>0</v>
      </c>
      <c r="Q610" t="n">
        <v>0</v>
      </c>
      <c r="R610" s="2" t="inlineStr"/>
    </row>
    <row r="611" ht="15" customHeight="1">
      <c r="A611" t="inlineStr">
        <is>
          <t>A 51187-2023</t>
        </is>
      </c>
      <c r="B611" s="1" t="n">
        <v>45219.40528935185</v>
      </c>
      <c r="C611" s="1" t="n">
        <v>46135</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59579-2025</t>
        </is>
      </c>
      <c r="B612" s="1" t="n">
        <v>45992.30569444445</v>
      </c>
      <c r="C612" s="1" t="n">
        <v>46135</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23984-2025</t>
        </is>
      </c>
      <c r="B613" s="1" t="n">
        <v>45796</v>
      </c>
      <c r="C613" s="1" t="n">
        <v>46135</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15715-2022</t>
        </is>
      </c>
      <c r="B614" s="1" t="n">
        <v>44663</v>
      </c>
      <c r="C614" s="1" t="n">
        <v>46135</v>
      </c>
      <c r="D614" t="inlineStr">
        <is>
          <t>KALMAR LÄN</t>
        </is>
      </c>
      <c r="E614" t="inlineStr">
        <is>
          <t>VIMMERBY</t>
        </is>
      </c>
      <c r="G614" t="n">
        <v>2.3</v>
      </c>
      <c r="H614" t="n">
        <v>0</v>
      </c>
      <c r="I614" t="n">
        <v>0</v>
      </c>
      <c r="J614" t="n">
        <v>0</v>
      </c>
      <c r="K614" t="n">
        <v>0</v>
      </c>
      <c r="L614" t="n">
        <v>0</v>
      </c>
      <c r="M614" t="n">
        <v>0</v>
      </c>
      <c r="N614" t="n">
        <v>0</v>
      </c>
      <c r="O614" t="n">
        <v>0</v>
      </c>
      <c r="P614" t="n">
        <v>0</v>
      </c>
      <c r="Q614" t="n">
        <v>0</v>
      </c>
      <c r="R614" s="2" t="inlineStr"/>
    </row>
    <row r="615" ht="15" customHeight="1">
      <c r="A615" t="inlineStr">
        <is>
          <t>A 43093-2024</t>
        </is>
      </c>
      <c r="B615" s="1" t="n">
        <v>45567</v>
      </c>
      <c r="C615" s="1" t="n">
        <v>46135</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56022-2024</t>
        </is>
      </c>
      <c r="B616" s="1" t="n">
        <v>45623.95947916667</v>
      </c>
      <c r="C616" s="1" t="n">
        <v>46135</v>
      </c>
      <c r="D616" t="inlineStr">
        <is>
          <t>KALMAR LÄN</t>
        </is>
      </c>
      <c r="E616" t="inlineStr">
        <is>
          <t>VIMMERBY</t>
        </is>
      </c>
      <c r="G616" t="n">
        <v>0.3</v>
      </c>
      <c r="H616" t="n">
        <v>0</v>
      </c>
      <c r="I616" t="n">
        <v>0</v>
      </c>
      <c r="J616" t="n">
        <v>0</v>
      </c>
      <c r="K616" t="n">
        <v>0</v>
      </c>
      <c r="L616" t="n">
        <v>0</v>
      </c>
      <c r="M616" t="n">
        <v>0</v>
      </c>
      <c r="N616" t="n">
        <v>0</v>
      </c>
      <c r="O616" t="n">
        <v>0</v>
      </c>
      <c r="P616" t="n">
        <v>0</v>
      </c>
      <c r="Q616" t="n">
        <v>0</v>
      </c>
      <c r="R616" s="2" t="inlineStr"/>
    </row>
    <row r="617" ht="15" customHeight="1">
      <c r="A617" t="inlineStr">
        <is>
          <t>A 60180-2025</t>
        </is>
      </c>
      <c r="B617" s="1" t="n">
        <v>45994.46428240741</v>
      </c>
      <c r="C617" s="1" t="n">
        <v>46135</v>
      </c>
      <c r="D617" t="inlineStr">
        <is>
          <t>KALMAR LÄN</t>
        </is>
      </c>
      <c r="E617" t="inlineStr">
        <is>
          <t>VIMMERBY</t>
        </is>
      </c>
      <c r="G617" t="n">
        <v>6.8</v>
      </c>
      <c r="H617" t="n">
        <v>0</v>
      </c>
      <c r="I617" t="n">
        <v>0</v>
      </c>
      <c r="J617" t="n">
        <v>0</v>
      </c>
      <c r="K617" t="n">
        <v>0</v>
      </c>
      <c r="L617" t="n">
        <v>0</v>
      </c>
      <c r="M617" t="n">
        <v>0</v>
      </c>
      <c r="N617" t="n">
        <v>0</v>
      </c>
      <c r="O617" t="n">
        <v>0</v>
      </c>
      <c r="P617" t="n">
        <v>0</v>
      </c>
      <c r="Q617" t="n">
        <v>0</v>
      </c>
      <c r="R617" s="2" t="inlineStr"/>
    </row>
    <row r="618" ht="15" customHeight="1">
      <c r="A618" t="inlineStr">
        <is>
          <t>A 60297-2025</t>
        </is>
      </c>
      <c r="B618" s="1" t="n">
        <v>45994</v>
      </c>
      <c r="C618" s="1" t="n">
        <v>46135</v>
      </c>
      <c r="D618" t="inlineStr">
        <is>
          <t>KALMAR LÄN</t>
        </is>
      </c>
      <c r="E618" t="inlineStr">
        <is>
          <t>VIMMERBY</t>
        </is>
      </c>
      <c r="G618" t="n">
        <v>4.2</v>
      </c>
      <c r="H618" t="n">
        <v>0</v>
      </c>
      <c r="I618" t="n">
        <v>0</v>
      </c>
      <c r="J618" t="n">
        <v>0</v>
      </c>
      <c r="K618" t="n">
        <v>0</v>
      </c>
      <c r="L618" t="n">
        <v>0</v>
      </c>
      <c r="M618" t="n">
        <v>0</v>
      </c>
      <c r="N618" t="n">
        <v>0</v>
      </c>
      <c r="O618" t="n">
        <v>0</v>
      </c>
      <c r="P618" t="n">
        <v>0</v>
      </c>
      <c r="Q618" t="n">
        <v>0</v>
      </c>
      <c r="R618" s="2" t="inlineStr"/>
    </row>
    <row r="619" ht="15" customHeight="1">
      <c r="A619" t="inlineStr">
        <is>
          <t>A 18330-2023</t>
        </is>
      </c>
      <c r="B619" s="1" t="n">
        <v>45041</v>
      </c>
      <c r="C619" s="1" t="n">
        <v>46135</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35082-2024</t>
        </is>
      </c>
      <c r="B620" s="1" t="n">
        <v>45527.68784722222</v>
      </c>
      <c r="C620" s="1" t="n">
        <v>46135</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20126-2024</t>
        </is>
      </c>
      <c r="B621" s="1" t="n">
        <v>45434.55471064815</v>
      </c>
      <c r="C621" s="1" t="n">
        <v>46135</v>
      </c>
      <c r="D621" t="inlineStr">
        <is>
          <t>KALMAR LÄN</t>
        </is>
      </c>
      <c r="E621" t="inlineStr">
        <is>
          <t>VIMMERBY</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20136-2024</t>
        </is>
      </c>
      <c r="B622" s="1" t="n">
        <v>45434.56291666667</v>
      </c>
      <c r="C622" s="1" t="n">
        <v>46135</v>
      </c>
      <c r="D622" t="inlineStr">
        <is>
          <t>KALMAR LÄN</t>
        </is>
      </c>
      <c r="E622" t="inlineStr">
        <is>
          <t>VIMMERBY</t>
        </is>
      </c>
      <c r="F622" t="inlineStr">
        <is>
          <t>Sveaskog</t>
        </is>
      </c>
      <c r="G622" t="n">
        <v>8.4</v>
      </c>
      <c r="H622" t="n">
        <v>0</v>
      </c>
      <c r="I622" t="n">
        <v>0</v>
      </c>
      <c r="J622" t="n">
        <v>0</v>
      </c>
      <c r="K622" t="n">
        <v>0</v>
      </c>
      <c r="L622" t="n">
        <v>0</v>
      </c>
      <c r="M622" t="n">
        <v>0</v>
      </c>
      <c r="N622" t="n">
        <v>0</v>
      </c>
      <c r="O622" t="n">
        <v>0</v>
      </c>
      <c r="P622" t="n">
        <v>0</v>
      </c>
      <c r="Q622" t="n">
        <v>0</v>
      </c>
      <c r="R622" s="2" t="inlineStr"/>
    </row>
    <row r="623" ht="15" customHeight="1">
      <c r="A623" t="inlineStr">
        <is>
          <t>A 51278-2024</t>
        </is>
      </c>
      <c r="B623" s="1" t="n">
        <v>45603.74959490741</v>
      </c>
      <c r="C623" s="1" t="n">
        <v>46135</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9456-2025</t>
        </is>
      </c>
      <c r="B624" s="1" t="n">
        <v>45715.44159722222</v>
      </c>
      <c r="C624" s="1" t="n">
        <v>46135</v>
      </c>
      <c r="D624" t="inlineStr">
        <is>
          <t>KALMAR LÄN</t>
        </is>
      </c>
      <c r="E624" t="inlineStr">
        <is>
          <t>VIMMERBY</t>
        </is>
      </c>
      <c r="G624" t="n">
        <v>1.5</v>
      </c>
      <c r="H624" t="n">
        <v>0</v>
      </c>
      <c r="I624" t="n">
        <v>0</v>
      </c>
      <c r="J624" t="n">
        <v>0</v>
      </c>
      <c r="K624" t="n">
        <v>0</v>
      </c>
      <c r="L624" t="n">
        <v>0</v>
      </c>
      <c r="M624" t="n">
        <v>0</v>
      </c>
      <c r="N624" t="n">
        <v>0</v>
      </c>
      <c r="O624" t="n">
        <v>0</v>
      </c>
      <c r="P624" t="n">
        <v>0</v>
      </c>
      <c r="Q624" t="n">
        <v>0</v>
      </c>
      <c r="R624" s="2" t="inlineStr"/>
    </row>
    <row r="625" ht="15" customHeight="1">
      <c r="A625" t="inlineStr">
        <is>
          <t>A 46921-2023</t>
        </is>
      </c>
      <c r="B625" s="1" t="n">
        <v>45201.39996527778</v>
      </c>
      <c r="C625" s="1" t="n">
        <v>46135</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11111-2023</t>
        </is>
      </c>
      <c r="B626" s="1" t="n">
        <v>44992.4255787037</v>
      </c>
      <c r="C626" s="1" t="n">
        <v>46135</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25236-2023</t>
        </is>
      </c>
      <c r="B627" s="1" t="n">
        <v>45086.63334490741</v>
      </c>
      <c r="C627" s="1" t="n">
        <v>46135</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6082-2022</t>
        </is>
      </c>
      <c r="B628" s="1" t="n">
        <v>44599</v>
      </c>
      <c r="C628" s="1" t="n">
        <v>46135</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2801-2023</t>
        </is>
      </c>
      <c r="B629" s="1" t="n">
        <v>44944.73487268519</v>
      </c>
      <c r="C629" s="1" t="n">
        <v>46135</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5146-2024</t>
        </is>
      </c>
      <c r="B630" s="1" t="n">
        <v>45330</v>
      </c>
      <c r="C630" s="1" t="n">
        <v>46135</v>
      </c>
      <c r="D630" t="inlineStr">
        <is>
          <t>KALMAR LÄN</t>
        </is>
      </c>
      <c r="E630" t="inlineStr">
        <is>
          <t>VIMMERBY</t>
        </is>
      </c>
      <c r="G630" t="n">
        <v>5.3</v>
      </c>
      <c r="H630" t="n">
        <v>0</v>
      </c>
      <c r="I630" t="n">
        <v>0</v>
      </c>
      <c r="J630" t="n">
        <v>0</v>
      </c>
      <c r="K630" t="n">
        <v>0</v>
      </c>
      <c r="L630" t="n">
        <v>0</v>
      </c>
      <c r="M630" t="n">
        <v>0</v>
      </c>
      <c r="N630" t="n">
        <v>0</v>
      </c>
      <c r="O630" t="n">
        <v>0</v>
      </c>
      <c r="P630" t="n">
        <v>0</v>
      </c>
      <c r="Q630" t="n">
        <v>0</v>
      </c>
      <c r="R630" s="2" t="inlineStr"/>
    </row>
    <row r="631" ht="15" customHeight="1">
      <c r="A631" t="inlineStr">
        <is>
          <t>A 5148-2024</t>
        </is>
      </c>
      <c r="B631" s="1" t="n">
        <v>45330</v>
      </c>
      <c r="C631" s="1" t="n">
        <v>46135</v>
      </c>
      <c r="D631" t="inlineStr">
        <is>
          <t>KALMAR LÄN</t>
        </is>
      </c>
      <c r="E631" t="inlineStr">
        <is>
          <t>VIMMERBY</t>
        </is>
      </c>
      <c r="G631" t="n">
        <v>5.6</v>
      </c>
      <c r="H631" t="n">
        <v>0</v>
      </c>
      <c r="I631" t="n">
        <v>0</v>
      </c>
      <c r="J631" t="n">
        <v>0</v>
      </c>
      <c r="K631" t="n">
        <v>0</v>
      </c>
      <c r="L631" t="n">
        <v>0</v>
      </c>
      <c r="M631" t="n">
        <v>0</v>
      </c>
      <c r="N631" t="n">
        <v>0</v>
      </c>
      <c r="O631" t="n">
        <v>0</v>
      </c>
      <c r="P631" t="n">
        <v>0</v>
      </c>
      <c r="Q631" t="n">
        <v>0</v>
      </c>
      <c r="R631" s="2" t="inlineStr"/>
    </row>
    <row r="632" ht="15" customHeight="1">
      <c r="A632" t="inlineStr">
        <is>
          <t>A 44582-2024</t>
        </is>
      </c>
      <c r="B632" s="1" t="n">
        <v>45574.49298611111</v>
      </c>
      <c r="C632" s="1" t="n">
        <v>46135</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61725-2025</t>
        </is>
      </c>
      <c r="B633" s="1" t="n">
        <v>46002.58680555555</v>
      </c>
      <c r="C633" s="1" t="n">
        <v>46135</v>
      </c>
      <c r="D633" t="inlineStr">
        <is>
          <t>KALMAR LÄN</t>
        </is>
      </c>
      <c r="E633" t="inlineStr">
        <is>
          <t>VIMMERBY</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61790-2025</t>
        </is>
      </c>
      <c r="B634" s="1" t="n">
        <v>46002.68768518518</v>
      </c>
      <c r="C634" s="1" t="n">
        <v>46135</v>
      </c>
      <c r="D634" t="inlineStr">
        <is>
          <t>KALMAR LÄN</t>
        </is>
      </c>
      <c r="E634" t="inlineStr">
        <is>
          <t>VIMMERBY</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15494-2024</t>
        </is>
      </c>
      <c r="B635" s="1" t="n">
        <v>45401.53033564815</v>
      </c>
      <c r="C635" s="1" t="n">
        <v>46135</v>
      </c>
      <c r="D635" t="inlineStr">
        <is>
          <t>KALMAR LÄN</t>
        </is>
      </c>
      <c r="E635" t="inlineStr">
        <is>
          <t>VIMMERBY</t>
        </is>
      </c>
      <c r="G635" t="n">
        <v>3.2</v>
      </c>
      <c r="H635" t="n">
        <v>0</v>
      </c>
      <c r="I635" t="n">
        <v>0</v>
      </c>
      <c r="J635" t="n">
        <v>0</v>
      </c>
      <c r="K635" t="n">
        <v>0</v>
      </c>
      <c r="L635" t="n">
        <v>0</v>
      </c>
      <c r="M635" t="n">
        <v>0</v>
      </c>
      <c r="N635" t="n">
        <v>0</v>
      </c>
      <c r="O635" t="n">
        <v>0</v>
      </c>
      <c r="P635" t="n">
        <v>0</v>
      </c>
      <c r="Q635" t="n">
        <v>0</v>
      </c>
      <c r="R635" s="2" t="inlineStr"/>
    </row>
    <row r="636" ht="15" customHeight="1">
      <c r="A636" t="inlineStr">
        <is>
          <t>A 61726-2025</t>
        </is>
      </c>
      <c r="B636" s="1" t="n">
        <v>46002.58822916666</v>
      </c>
      <c r="C636" s="1" t="n">
        <v>46135</v>
      </c>
      <c r="D636" t="inlineStr">
        <is>
          <t>KALMAR LÄN</t>
        </is>
      </c>
      <c r="E636" t="inlineStr">
        <is>
          <t>VIMMERBY</t>
        </is>
      </c>
      <c r="F636" t="inlineStr">
        <is>
          <t>Sveaskog</t>
        </is>
      </c>
      <c r="G636" t="n">
        <v>0.2</v>
      </c>
      <c r="H636" t="n">
        <v>0</v>
      </c>
      <c r="I636" t="n">
        <v>0</v>
      </c>
      <c r="J636" t="n">
        <v>0</v>
      </c>
      <c r="K636" t="n">
        <v>0</v>
      </c>
      <c r="L636" t="n">
        <v>0</v>
      </c>
      <c r="M636" t="n">
        <v>0</v>
      </c>
      <c r="N636" t="n">
        <v>0</v>
      </c>
      <c r="O636" t="n">
        <v>0</v>
      </c>
      <c r="P636" t="n">
        <v>0</v>
      </c>
      <c r="Q636" t="n">
        <v>0</v>
      </c>
      <c r="R636" s="2" t="inlineStr"/>
    </row>
    <row r="637" ht="15" customHeight="1">
      <c r="A637" t="inlineStr">
        <is>
          <t>A 58278-2023</t>
        </is>
      </c>
      <c r="B637" s="1" t="n">
        <v>45250.5278587963</v>
      </c>
      <c r="C637" s="1" t="n">
        <v>46135</v>
      </c>
      <c r="D637" t="inlineStr">
        <is>
          <t>KALMAR LÄN</t>
        </is>
      </c>
      <c r="E637" t="inlineStr">
        <is>
          <t>VIMMERBY</t>
        </is>
      </c>
      <c r="G637" t="n">
        <v>1.8</v>
      </c>
      <c r="H637" t="n">
        <v>0</v>
      </c>
      <c r="I637" t="n">
        <v>0</v>
      </c>
      <c r="J637" t="n">
        <v>0</v>
      </c>
      <c r="K637" t="n">
        <v>0</v>
      </c>
      <c r="L637" t="n">
        <v>0</v>
      </c>
      <c r="M637" t="n">
        <v>0</v>
      </c>
      <c r="N637" t="n">
        <v>0</v>
      </c>
      <c r="O637" t="n">
        <v>0</v>
      </c>
      <c r="P637" t="n">
        <v>0</v>
      </c>
      <c r="Q637" t="n">
        <v>0</v>
      </c>
      <c r="R637" s="2" t="inlineStr"/>
    </row>
    <row r="638" ht="15" customHeight="1">
      <c r="A638" t="inlineStr">
        <is>
          <t>A 22266-2023</t>
        </is>
      </c>
      <c r="B638" s="1" t="n">
        <v>45070</v>
      </c>
      <c r="C638" s="1" t="n">
        <v>46135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52588-2023</t>
        </is>
      </c>
      <c r="B639" s="1" t="n">
        <v>45225.60192129629</v>
      </c>
      <c r="C639" s="1" t="n">
        <v>46135</v>
      </c>
      <c r="D639" t="inlineStr">
        <is>
          <t>KALMAR LÄN</t>
        </is>
      </c>
      <c r="E639" t="inlineStr">
        <is>
          <t>VIMMERBY</t>
        </is>
      </c>
      <c r="G639" t="n">
        <v>2.9</v>
      </c>
      <c r="H639" t="n">
        <v>0</v>
      </c>
      <c r="I639" t="n">
        <v>0</v>
      </c>
      <c r="J639" t="n">
        <v>0</v>
      </c>
      <c r="K639" t="n">
        <v>0</v>
      </c>
      <c r="L639" t="n">
        <v>0</v>
      </c>
      <c r="M639" t="n">
        <v>0</v>
      </c>
      <c r="N639" t="n">
        <v>0</v>
      </c>
      <c r="O639" t="n">
        <v>0</v>
      </c>
      <c r="P639" t="n">
        <v>0</v>
      </c>
      <c r="Q639" t="n">
        <v>0</v>
      </c>
      <c r="R639" s="2" t="inlineStr"/>
    </row>
    <row r="640" ht="15" customHeight="1">
      <c r="A640" t="inlineStr">
        <is>
          <t>A 58724-2024</t>
        </is>
      </c>
      <c r="B640" s="1" t="n">
        <v>45635.66409722222</v>
      </c>
      <c r="C640" s="1" t="n">
        <v>46135</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25792-2025</t>
        </is>
      </c>
      <c r="B641" s="1" t="n">
        <v>45804.39141203704</v>
      </c>
      <c r="C641" s="1" t="n">
        <v>46135</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6802-2025</t>
        </is>
      </c>
      <c r="B642" s="1" t="n">
        <v>45700.68289351852</v>
      </c>
      <c r="C642" s="1" t="n">
        <v>46135</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26039-2025</t>
        </is>
      </c>
      <c r="B643" s="1" t="n">
        <v>45804.6953587963</v>
      </c>
      <c r="C643" s="1" t="n">
        <v>46135</v>
      </c>
      <c r="D643" t="inlineStr">
        <is>
          <t>KALMAR LÄN</t>
        </is>
      </c>
      <c r="E643" t="inlineStr">
        <is>
          <t>VIMMERBY</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71793-2021</t>
        </is>
      </c>
      <c r="B644" s="1" t="n">
        <v>44539</v>
      </c>
      <c r="C644" s="1" t="n">
        <v>46135</v>
      </c>
      <c r="D644" t="inlineStr">
        <is>
          <t>KALMAR LÄN</t>
        </is>
      </c>
      <c r="E644" t="inlineStr">
        <is>
          <t>VIMMERBY</t>
        </is>
      </c>
      <c r="G644" t="n">
        <v>2.7</v>
      </c>
      <c r="H644" t="n">
        <v>0</v>
      </c>
      <c r="I644" t="n">
        <v>0</v>
      </c>
      <c r="J644" t="n">
        <v>0</v>
      </c>
      <c r="K644" t="n">
        <v>0</v>
      </c>
      <c r="L644" t="n">
        <v>0</v>
      </c>
      <c r="M644" t="n">
        <v>0</v>
      </c>
      <c r="N644" t="n">
        <v>0</v>
      </c>
      <c r="O644" t="n">
        <v>0</v>
      </c>
      <c r="P644" t="n">
        <v>0</v>
      </c>
      <c r="Q644" t="n">
        <v>0</v>
      </c>
      <c r="R644" s="2" t="inlineStr"/>
    </row>
    <row r="645" ht="15" customHeight="1">
      <c r="A645" t="inlineStr">
        <is>
          <t>A 26046-2025</t>
        </is>
      </c>
      <c r="B645" s="1" t="n">
        <v>45804.708125</v>
      </c>
      <c r="C645" s="1" t="n">
        <v>46135</v>
      </c>
      <c r="D645" t="inlineStr">
        <is>
          <t>KALMAR LÄN</t>
        </is>
      </c>
      <c r="E645" t="inlineStr">
        <is>
          <t>VIMMERBY</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527-2024</t>
        </is>
      </c>
      <c r="B646" s="1" t="n">
        <v>45299.47513888889</v>
      </c>
      <c r="C646" s="1" t="n">
        <v>46135</v>
      </c>
      <c r="D646" t="inlineStr">
        <is>
          <t>KALMAR LÄN</t>
        </is>
      </c>
      <c r="E646" t="inlineStr">
        <is>
          <t>VIMMERBY</t>
        </is>
      </c>
      <c r="G646" t="n">
        <v>2.2</v>
      </c>
      <c r="H646" t="n">
        <v>0</v>
      </c>
      <c r="I646" t="n">
        <v>0</v>
      </c>
      <c r="J646" t="n">
        <v>0</v>
      </c>
      <c r="K646" t="n">
        <v>0</v>
      </c>
      <c r="L646" t="n">
        <v>0</v>
      </c>
      <c r="M646" t="n">
        <v>0</v>
      </c>
      <c r="N646" t="n">
        <v>0</v>
      </c>
      <c r="O646" t="n">
        <v>0</v>
      </c>
      <c r="P646" t="n">
        <v>0</v>
      </c>
      <c r="Q646" t="n">
        <v>0</v>
      </c>
      <c r="R646" s="2" t="inlineStr"/>
    </row>
    <row r="647" ht="15" customHeight="1">
      <c r="A647" t="inlineStr">
        <is>
          <t>A 26124-2025</t>
        </is>
      </c>
      <c r="B647" s="1" t="n">
        <v>45805.39247685186</v>
      </c>
      <c r="C647" s="1" t="n">
        <v>46135</v>
      </c>
      <c r="D647" t="inlineStr">
        <is>
          <t>KALMAR LÄN</t>
        </is>
      </c>
      <c r="E647" t="inlineStr">
        <is>
          <t>VIMMERBY</t>
        </is>
      </c>
      <c r="G647" t="n">
        <v>6.6</v>
      </c>
      <c r="H647" t="n">
        <v>0</v>
      </c>
      <c r="I647" t="n">
        <v>0</v>
      </c>
      <c r="J647" t="n">
        <v>0</v>
      </c>
      <c r="K647" t="n">
        <v>0</v>
      </c>
      <c r="L647" t="n">
        <v>0</v>
      </c>
      <c r="M647" t="n">
        <v>0</v>
      </c>
      <c r="N647" t="n">
        <v>0</v>
      </c>
      <c r="O647" t="n">
        <v>0</v>
      </c>
      <c r="P647" t="n">
        <v>0</v>
      </c>
      <c r="Q647" t="n">
        <v>0</v>
      </c>
      <c r="R647" s="2" t="inlineStr"/>
    </row>
    <row r="648" ht="15" customHeight="1">
      <c r="A648" t="inlineStr">
        <is>
          <t>A 60230-2022</t>
        </is>
      </c>
      <c r="B648" s="1" t="n">
        <v>44910</v>
      </c>
      <c r="C648" s="1" t="n">
        <v>46135</v>
      </c>
      <c r="D648" t="inlineStr">
        <is>
          <t>KALMAR LÄN</t>
        </is>
      </c>
      <c r="E648" t="inlineStr">
        <is>
          <t>VIMMERBY</t>
        </is>
      </c>
      <c r="G648" t="n">
        <v>11.3</v>
      </c>
      <c r="H648" t="n">
        <v>0</v>
      </c>
      <c r="I648" t="n">
        <v>0</v>
      </c>
      <c r="J648" t="n">
        <v>0</v>
      </c>
      <c r="K648" t="n">
        <v>0</v>
      </c>
      <c r="L648" t="n">
        <v>0</v>
      </c>
      <c r="M648" t="n">
        <v>0</v>
      </c>
      <c r="N648" t="n">
        <v>0</v>
      </c>
      <c r="O648" t="n">
        <v>0</v>
      </c>
      <c r="P648" t="n">
        <v>0</v>
      </c>
      <c r="Q648" t="n">
        <v>0</v>
      </c>
      <c r="R648" s="2" t="inlineStr"/>
    </row>
    <row r="649" ht="15" customHeight="1">
      <c r="A649" t="inlineStr">
        <is>
          <t>A 26207-2025</t>
        </is>
      </c>
      <c r="B649" s="1" t="n">
        <v>45805.52983796296</v>
      </c>
      <c r="C649" s="1" t="n">
        <v>46135</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25830-2025</t>
        </is>
      </c>
      <c r="B650" s="1" t="n">
        <v>45804.44519675926</v>
      </c>
      <c r="C650" s="1" t="n">
        <v>46135</v>
      </c>
      <c r="D650" t="inlineStr">
        <is>
          <t>KALMAR LÄN</t>
        </is>
      </c>
      <c r="E650" t="inlineStr">
        <is>
          <t>VIMMERBY</t>
        </is>
      </c>
      <c r="G650" t="n">
        <v>4.9</v>
      </c>
      <c r="H650" t="n">
        <v>0</v>
      </c>
      <c r="I650" t="n">
        <v>0</v>
      </c>
      <c r="J650" t="n">
        <v>0</v>
      </c>
      <c r="K650" t="n">
        <v>0</v>
      </c>
      <c r="L650" t="n">
        <v>0</v>
      </c>
      <c r="M650" t="n">
        <v>0</v>
      </c>
      <c r="N650" t="n">
        <v>0</v>
      </c>
      <c r="O650" t="n">
        <v>0</v>
      </c>
      <c r="P650" t="n">
        <v>0</v>
      </c>
      <c r="Q650" t="n">
        <v>0</v>
      </c>
      <c r="R650" s="2" t="inlineStr"/>
    </row>
    <row r="651" ht="15" customHeight="1">
      <c r="A651" t="inlineStr">
        <is>
          <t>A 26254-2025</t>
        </is>
      </c>
      <c r="B651" s="1" t="n">
        <v>45805</v>
      </c>
      <c r="C651" s="1" t="n">
        <v>46135</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5925-2022</t>
        </is>
      </c>
      <c r="B652" s="1" t="n">
        <v>44598.7384837963</v>
      </c>
      <c r="C652" s="1" t="n">
        <v>46135</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46522-2022</t>
        </is>
      </c>
      <c r="B653" s="1" t="n">
        <v>44848.59133101852</v>
      </c>
      <c r="C653" s="1" t="n">
        <v>46135</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41066-2024</t>
        </is>
      </c>
      <c r="B654" s="1" t="n">
        <v>45559.38876157408</v>
      </c>
      <c r="C654" s="1" t="n">
        <v>46135</v>
      </c>
      <c r="D654" t="inlineStr">
        <is>
          <t>KALMAR LÄN</t>
        </is>
      </c>
      <c r="E654" t="inlineStr">
        <is>
          <t>VIMMERBY</t>
        </is>
      </c>
      <c r="G654" t="n">
        <v>2.4</v>
      </c>
      <c r="H654" t="n">
        <v>0</v>
      </c>
      <c r="I654" t="n">
        <v>0</v>
      </c>
      <c r="J654" t="n">
        <v>0</v>
      </c>
      <c r="K654" t="n">
        <v>0</v>
      </c>
      <c r="L654" t="n">
        <v>0</v>
      </c>
      <c r="M654" t="n">
        <v>0</v>
      </c>
      <c r="N654" t="n">
        <v>0</v>
      </c>
      <c r="O654" t="n">
        <v>0</v>
      </c>
      <c r="P654" t="n">
        <v>0</v>
      </c>
      <c r="Q654" t="n">
        <v>0</v>
      </c>
      <c r="R654" s="2" t="inlineStr"/>
    </row>
    <row r="655" ht="15" customHeight="1">
      <c r="A655" t="inlineStr">
        <is>
          <t>A 63711-2025</t>
        </is>
      </c>
      <c r="B655" s="1" t="n">
        <v>46014.62724537037</v>
      </c>
      <c r="C655" s="1" t="n">
        <v>46135</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52279-2023</t>
        </is>
      </c>
      <c r="B656" s="1" t="n">
        <v>45224</v>
      </c>
      <c r="C656" s="1" t="n">
        <v>46135</v>
      </c>
      <c r="D656" t="inlineStr">
        <is>
          <t>KALMAR LÄN</t>
        </is>
      </c>
      <c r="E656" t="inlineStr">
        <is>
          <t>VIMMERBY</t>
        </is>
      </c>
      <c r="G656" t="n">
        <v>1.8</v>
      </c>
      <c r="H656" t="n">
        <v>0</v>
      </c>
      <c r="I656" t="n">
        <v>0</v>
      </c>
      <c r="J656" t="n">
        <v>0</v>
      </c>
      <c r="K656" t="n">
        <v>0</v>
      </c>
      <c r="L656" t="n">
        <v>0</v>
      </c>
      <c r="M656" t="n">
        <v>0</v>
      </c>
      <c r="N656" t="n">
        <v>0</v>
      </c>
      <c r="O656" t="n">
        <v>0</v>
      </c>
      <c r="P656" t="n">
        <v>0</v>
      </c>
      <c r="Q656" t="n">
        <v>0</v>
      </c>
      <c r="R656" s="2" t="inlineStr"/>
    </row>
    <row r="657" ht="15" customHeight="1">
      <c r="A657" t="inlineStr">
        <is>
          <t>A 61937-2025</t>
        </is>
      </c>
      <c r="B657" s="1" t="n">
        <v>46003</v>
      </c>
      <c r="C657" s="1" t="n">
        <v>46135</v>
      </c>
      <c r="D657" t="inlineStr">
        <is>
          <t>KALMAR LÄN</t>
        </is>
      </c>
      <c r="E657" t="inlineStr">
        <is>
          <t>VIMMERBY</t>
        </is>
      </c>
      <c r="G657" t="n">
        <v>3.4</v>
      </c>
      <c r="H657" t="n">
        <v>0</v>
      </c>
      <c r="I657" t="n">
        <v>0</v>
      </c>
      <c r="J657" t="n">
        <v>0</v>
      </c>
      <c r="K657" t="n">
        <v>0</v>
      </c>
      <c r="L657" t="n">
        <v>0</v>
      </c>
      <c r="M657" t="n">
        <v>0</v>
      </c>
      <c r="N657" t="n">
        <v>0</v>
      </c>
      <c r="O657" t="n">
        <v>0</v>
      </c>
      <c r="P657" t="n">
        <v>0</v>
      </c>
      <c r="Q657" t="n">
        <v>0</v>
      </c>
      <c r="R657" s="2" t="inlineStr"/>
    </row>
    <row r="658" ht="15" customHeight="1">
      <c r="A658" t="inlineStr">
        <is>
          <t>A 17486-2024</t>
        </is>
      </c>
      <c r="B658" s="1" t="n">
        <v>45415.48979166667</v>
      </c>
      <c r="C658" s="1" t="n">
        <v>46135</v>
      </c>
      <c r="D658" t="inlineStr">
        <is>
          <t>KALMAR LÄN</t>
        </is>
      </c>
      <c r="E658" t="inlineStr">
        <is>
          <t>VIMMERBY</t>
        </is>
      </c>
      <c r="G658" t="n">
        <v>2.6</v>
      </c>
      <c r="H658" t="n">
        <v>0</v>
      </c>
      <c r="I658" t="n">
        <v>0</v>
      </c>
      <c r="J658" t="n">
        <v>0</v>
      </c>
      <c r="K658" t="n">
        <v>0</v>
      </c>
      <c r="L658" t="n">
        <v>0</v>
      </c>
      <c r="M658" t="n">
        <v>0</v>
      </c>
      <c r="N658" t="n">
        <v>0</v>
      </c>
      <c r="O658" t="n">
        <v>0</v>
      </c>
      <c r="P658" t="n">
        <v>0</v>
      </c>
      <c r="Q658" t="n">
        <v>0</v>
      </c>
      <c r="R658" s="2" t="inlineStr"/>
    </row>
    <row r="659" ht="15" customHeight="1">
      <c r="A659" t="inlineStr">
        <is>
          <t>A 63762-2025</t>
        </is>
      </c>
      <c r="B659" s="1" t="n">
        <v>46018.67197916667</v>
      </c>
      <c r="C659" s="1" t="n">
        <v>46135</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63758-2025</t>
        </is>
      </c>
      <c r="B660" s="1" t="n">
        <v>46018.46483796297</v>
      </c>
      <c r="C660" s="1" t="n">
        <v>46135</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63845-2025</t>
        </is>
      </c>
      <c r="B661" s="1" t="n">
        <v>46020.43715277778</v>
      </c>
      <c r="C661" s="1" t="n">
        <v>46135</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63848-2025</t>
        </is>
      </c>
      <c r="B662" s="1" t="n">
        <v>46020.44902777778</v>
      </c>
      <c r="C662" s="1" t="n">
        <v>46135</v>
      </c>
      <c r="D662" t="inlineStr">
        <is>
          <t>KALMAR LÄN</t>
        </is>
      </c>
      <c r="E662" t="inlineStr">
        <is>
          <t>VIMMERBY</t>
        </is>
      </c>
      <c r="G662" t="n">
        <v>3.4</v>
      </c>
      <c r="H662" t="n">
        <v>0</v>
      </c>
      <c r="I662" t="n">
        <v>0</v>
      </c>
      <c r="J662" t="n">
        <v>0</v>
      </c>
      <c r="K662" t="n">
        <v>0</v>
      </c>
      <c r="L662" t="n">
        <v>0</v>
      </c>
      <c r="M662" t="n">
        <v>0</v>
      </c>
      <c r="N662" t="n">
        <v>0</v>
      </c>
      <c r="O662" t="n">
        <v>0</v>
      </c>
      <c r="P662" t="n">
        <v>0</v>
      </c>
      <c r="Q662" t="n">
        <v>0</v>
      </c>
      <c r="R662" s="2" t="inlineStr"/>
    </row>
    <row r="663" ht="15" customHeight="1">
      <c r="A663" t="inlineStr">
        <is>
          <t>A 71631-2021</t>
        </is>
      </c>
      <c r="B663" s="1" t="n">
        <v>44542.90072916666</v>
      </c>
      <c r="C663" s="1" t="n">
        <v>46135</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63839-2025</t>
        </is>
      </c>
      <c r="B664" s="1" t="n">
        <v>46020.41998842593</v>
      </c>
      <c r="C664" s="1" t="n">
        <v>46135</v>
      </c>
      <c r="D664" t="inlineStr">
        <is>
          <t>KALMAR LÄN</t>
        </is>
      </c>
      <c r="E664" t="inlineStr">
        <is>
          <t>VIMMERBY</t>
        </is>
      </c>
      <c r="G664" t="n">
        <v>2.9</v>
      </c>
      <c r="H664" t="n">
        <v>0</v>
      </c>
      <c r="I664" t="n">
        <v>0</v>
      </c>
      <c r="J664" t="n">
        <v>0</v>
      </c>
      <c r="K664" t="n">
        <v>0</v>
      </c>
      <c r="L664" t="n">
        <v>0</v>
      </c>
      <c r="M664" t="n">
        <v>0</v>
      </c>
      <c r="N664" t="n">
        <v>0</v>
      </c>
      <c r="O664" t="n">
        <v>0</v>
      </c>
      <c r="P664" t="n">
        <v>0</v>
      </c>
      <c r="Q664" t="n">
        <v>0</v>
      </c>
      <c r="R664" s="2" t="inlineStr"/>
    </row>
    <row r="665" ht="15" customHeight="1">
      <c r="A665" t="inlineStr">
        <is>
          <t>A 16015-2025</t>
        </is>
      </c>
      <c r="B665" s="1" t="n">
        <v>45749.60487268519</v>
      </c>
      <c r="C665" s="1" t="n">
        <v>46135</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579-2026</t>
        </is>
      </c>
      <c r="B666" s="1" t="n">
        <v>46029.47912037037</v>
      </c>
      <c r="C666" s="1" t="n">
        <v>46135</v>
      </c>
      <c r="D666" t="inlineStr">
        <is>
          <t>KALMAR LÄN</t>
        </is>
      </c>
      <c r="E666" t="inlineStr">
        <is>
          <t>VIMMERBY</t>
        </is>
      </c>
      <c r="G666" t="n">
        <v>3</v>
      </c>
      <c r="H666" t="n">
        <v>0</v>
      </c>
      <c r="I666" t="n">
        <v>0</v>
      </c>
      <c r="J666" t="n">
        <v>0</v>
      </c>
      <c r="K666" t="n">
        <v>0</v>
      </c>
      <c r="L666" t="n">
        <v>0</v>
      </c>
      <c r="M666" t="n">
        <v>0</v>
      </c>
      <c r="N666" t="n">
        <v>0</v>
      </c>
      <c r="O666" t="n">
        <v>0</v>
      </c>
      <c r="P666" t="n">
        <v>0</v>
      </c>
      <c r="Q666" t="n">
        <v>0</v>
      </c>
      <c r="R666" s="2" t="inlineStr"/>
    </row>
    <row r="667" ht="15" customHeight="1">
      <c r="A667" t="inlineStr">
        <is>
          <t>A 28286-2025</t>
        </is>
      </c>
      <c r="B667" s="1" t="n">
        <v>45818.58993055556</v>
      </c>
      <c r="C667" s="1" t="n">
        <v>46135</v>
      </c>
      <c r="D667" t="inlineStr">
        <is>
          <t>KALMAR LÄN</t>
        </is>
      </c>
      <c r="E667" t="inlineStr">
        <is>
          <t>VIMMERBY</t>
        </is>
      </c>
      <c r="F667" t="inlineStr">
        <is>
          <t>Sveaskog</t>
        </is>
      </c>
      <c r="G667" t="n">
        <v>8</v>
      </c>
      <c r="H667" t="n">
        <v>0</v>
      </c>
      <c r="I667" t="n">
        <v>0</v>
      </c>
      <c r="J667" t="n">
        <v>0</v>
      </c>
      <c r="K667" t="n">
        <v>0</v>
      </c>
      <c r="L667" t="n">
        <v>0</v>
      </c>
      <c r="M667" t="n">
        <v>0</v>
      </c>
      <c r="N667" t="n">
        <v>0</v>
      </c>
      <c r="O667" t="n">
        <v>0</v>
      </c>
      <c r="P667" t="n">
        <v>0</v>
      </c>
      <c r="Q667" t="n">
        <v>0</v>
      </c>
      <c r="R667" s="2" t="inlineStr"/>
    </row>
    <row r="668" ht="15" customHeight="1">
      <c r="A668" t="inlineStr">
        <is>
          <t>A 28282-2025</t>
        </is>
      </c>
      <c r="B668" s="1" t="n">
        <v>45818.58769675926</v>
      </c>
      <c r="C668" s="1" t="n">
        <v>46135</v>
      </c>
      <c r="D668" t="inlineStr">
        <is>
          <t>KALMAR LÄN</t>
        </is>
      </c>
      <c r="E668" t="inlineStr">
        <is>
          <t>VIMMERBY</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28294-2025</t>
        </is>
      </c>
      <c r="B669" s="1" t="n">
        <v>45818.595625</v>
      </c>
      <c r="C669" s="1" t="n">
        <v>46135</v>
      </c>
      <c r="D669" t="inlineStr">
        <is>
          <t>KALMAR LÄN</t>
        </is>
      </c>
      <c r="E669" t="inlineStr">
        <is>
          <t>VIMMERBY</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9694-2023</t>
        </is>
      </c>
      <c r="B670" s="1" t="n">
        <v>44984.45895833334</v>
      </c>
      <c r="C670" s="1" t="n">
        <v>46135</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28290-2025</t>
        </is>
      </c>
      <c r="B671" s="1" t="n">
        <v>45818.59261574074</v>
      </c>
      <c r="C671" s="1" t="n">
        <v>46135</v>
      </c>
      <c r="D671" t="inlineStr">
        <is>
          <t>KALMAR LÄN</t>
        </is>
      </c>
      <c r="E671" t="inlineStr">
        <is>
          <t>VIMMERBY</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409-2026</t>
        </is>
      </c>
      <c r="B672" s="1" t="n">
        <v>46028.69432870371</v>
      </c>
      <c r="C672" s="1" t="n">
        <v>46135</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406-2026</t>
        </is>
      </c>
      <c r="B673" s="1" t="n">
        <v>46028.68663194445</v>
      </c>
      <c r="C673" s="1" t="n">
        <v>46135</v>
      </c>
      <c r="D673" t="inlineStr">
        <is>
          <t>KALMAR LÄN</t>
        </is>
      </c>
      <c r="E673" t="inlineStr">
        <is>
          <t>VIMMERBY</t>
        </is>
      </c>
      <c r="G673" t="n">
        <v>1.8</v>
      </c>
      <c r="H673" t="n">
        <v>0</v>
      </c>
      <c r="I673" t="n">
        <v>0</v>
      </c>
      <c r="J673" t="n">
        <v>0</v>
      </c>
      <c r="K673" t="n">
        <v>0</v>
      </c>
      <c r="L673" t="n">
        <v>0</v>
      </c>
      <c r="M673" t="n">
        <v>0</v>
      </c>
      <c r="N673" t="n">
        <v>0</v>
      </c>
      <c r="O673" t="n">
        <v>0</v>
      </c>
      <c r="P673" t="n">
        <v>0</v>
      </c>
      <c r="Q673" t="n">
        <v>0</v>
      </c>
      <c r="R673" s="2" t="inlineStr"/>
    </row>
    <row r="674" ht="15" customHeight="1">
      <c r="A674" t="inlineStr">
        <is>
          <t>A 22198-2024</t>
        </is>
      </c>
      <c r="B674" s="1" t="n">
        <v>45446.36865740741</v>
      </c>
      <c r="C674" s="1" t="n">
        <v>46135</v>
      </c>
      <c r="D674" t="inlineStr">
        <is>
          <t>KALMAR LÄN</t>
        </is>
      </c>
      <c r="E674" t="inlineStr">
        <is>
          <t>VIMMERBY</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28280-2025</t>
        </is>
      </c>
      <c r="B675" s="1" t="n">
        <v>45818.5862037037</v>
      </c>
      <c r="C675" s="1" t="n">
        <v>46135</v>
      </c>
      <c r="D675" t="inlineStr">
        <is>
          <t>KALMAR LÄN</t>
        </is>
      </c>
      <c r="E675" t="inlineStr">
        <is>
          <t>VIMMERBY</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57311-2023</t>
        </is>
      </c>
      <c r="B676" s="1" t="n">
        <v>45245.63574074074</v>
      </c>
      <c r="C676" s="1" t="n">
        <v>46135</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28620-2025</t>
        </is>
      </c>
      <c r="B677" s="1" t="n">
        <v>45819.61060185185</v>
      </c>
      <c r="C677" s="1" t="n">
        <v>46135</v>
      </c>
      <c r="D677" t="inlineStr">
        <is>
          <t>KALMAR LÄN</t>
        </is>
      </c>
      <c r="E677" t="inlineStr">
        <is>
          <t>VIMMERBY</t>
        </is>
      </c>
      <c r="G677" t="n">
        <v>5.6</v>
      </c>
      <c r="H677" t="n">
        <v>0</v>
      </c>
      <c r="I677" t="n">
        <v>0</v>
      </c>
      <c r="J677" t="n">
        <v>0</v>
      </c>
      <c r="K677" t="n">
        <v>0</v>
      </c>
      <c r="L677" t="n">
        <v>0</v>
      </c>
      <c r="M677" t="n">
        <v>0</v>
      </c>
      <c r="N677" t="n">
        <v>0</v>
      </c>
      <c r="O677" t="n">
        <v>0</v>
      </c>
      <c r="P677" t="n">
        <v>0</v>
      </c>
      <c r="Q677" t="n">
        <v>0</v>
      </c>
      <c r="R677" s="2" t="inlineStr"/>
    </row>
    <row r="678" ht="15" customHeight="1">
      <c r="A678" t="inlineStr">
        <is>
          <t>A 12588-2025</t>
        </is>
      </c>
      <c r="B678" s="1" t="n">
        <v>45732.76936342593</v>
      </c>
      <c r="C678" s="1" t="n">
        <v>46135</v>
      </c>
      <c r="D678" t="inlineStr">
        <is>
          <t>KALMAR LÄN</t>
        </is>
      </c>
      <c r="E678" t="inlineStr">
        <is>
          <t>VIMMERBY</t>
        </is>
      </c>
      <c r="G678" t="n">
        <v>1.6</v>
      </c>
      <c r="H678" t="n">
        <v>0</v>
      </c>
      <c r="I678" t="n">
        <v>0</v>
      </c>
      <c r="J678" t="n">
        <v>0</v>
      </c>
      <c r="K678" t="n">
        <v>0</v>
      </c>
      <c r="L678" t="n">
        <v>0</v>
      </c>
      <c r="M678" t="n">
        <v>0</v>
      </c>
      <c r="N678" t="n">
        <v>0</v>
      </c>
      <c r="O678" t="n">
        <v>0</v>
      </c>
      <c r="P678" t="n">
        <v>0</v>
      </c>
      <c r="Q678" t="n">
        <v>0</v>
      </c>
      <c r="R678" s="2" t="inlineStr"/>
    </row>
    <row r="679" ht="15" customHeight="1">
      <c r="A679" t="inlineStr">
        <is>
          <t>A 842-2026</t>
        </is>
      </c>
      <c r="B679" s="1" t="n">
        <v>46030.380625</v>
      </c>
      <c r="C679" s="1" t="n">
        <v>46135</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7932-2025</t>
        </is>
      </c>
      <c r="B680" s="1" t="n">
        <v>45707.3793287037</v>
      </c>
      <c r="C680" s="1" t="n">
        <v>46135</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28712-2025</t>
        </is>
      </c>
      <c r="B681" s="1" t="n">
        <v>45820.33708333333</v>
      </c>
      <c r="C681" s="1" t="n">
        <v>46135</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28714-2025</t>
        </is>
      </c>
      <c r="B682" s="1" t="n">
        <v>45820.34128472222</v>
      </c>
      <c r="C682" s="1" t="n">
        <v>46135</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1069-2026</t>
        </is>
      </c>
      <c r="B683" s="1" t="n">
        <v>46030</v>
      </c>
      <c r="C683" s="1" t="n">
        <v>46135</v>
      </c>
      <c r="D683" t="inlineStr">
        <is>
          <t>KALMAR LÄN</t>
        </is>
      </c>
      <c r="E683" t="inlineStr">
        <is>
          <t>VIMMERBY</t>
        </is>
      </c>
      <c r="G683" t="n">
        <v>3.3</v>
      </c>
      <c r="H683" t="n">
        <v>0</v>
      </c>
      <c r="I683" t="n">
        <v>0</v>
      </c>
      <c r="J683" t="n">
        <v>0</v>
      </c>
      <c r="K683" t="n">
        <v>0</v>
      </c>
      <c r="L683" t="n">
        <v>0</v>
      </c>
      <c r="M683" t="n">
        <v>0</v>
      </c>
      <c r="N683" t="n">
        <v>0</v>
      </c>
      <c r="O683" t="n">
        <v>0</v>
      </c>
      <c r="P683" t="n">
        <v>0</v>
      </c>
      <c r="Q683" t="n">
        <v>0</v>
      </c>
      <c r="R683" s="2" t="inlineStr"/>
    </row>
    <row r="684" ht="15" customHeight="1">
      <c r="A684" t="inlineStr">
        <is>
          <t>A 1734-2026</t>
        </is>
      </c>
      <c r="B684" s="1" t="n">
        <v>46034</v>
      </c>
      <c r="C684" s="1" t="n">
        <v>46135</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1743-2026</t>
        </is>
      </c>
      <c r="B685" s="1" t="n">
        <v>46034</v>
      </c>
      <c r="C685" s="1" t="n">
        <v>46135</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28713-2025</t>
        </is>
      </c>
      <c r="B686" s="1" t="n">
        <v>45820.33930555556</v>
      </c>
      <c r="C686" s="1" t="n">
        <v>46135</v>
      </c>
      <c r="D686" t="inlineStr">
        <is>
          <t>KALMAR LÄN</t>
        </is>
      </c>
      <c r="E686" t="inlineStr">
        <is>
          <t>VIMMERBY</t>
        </is>
      </c>
      <c r="G686" t="n">
        <v>2.3</v>
      </c>
      <c r="H686" t="n">
        <v>0</v>
      </c>
      <c r="I686" t="n">
        <v>0</v>
      </c>
      <c r="J686" t="n">
        <v>0</v>
      </c>
      <c r="K686" t="n">
        <v>0</v>
      </c>
      <c r="L686" t="n">
        <v>0</v>
      </c>
      <c r="M686" t="n">
        <v>0</v>
      </c>
      <c r="N686" t="n">
        <v>0</v>
      </c>
      <c r="O686" t="n">
        <v>0</v>
      </c>
      <c r="P686" t="n">
        <v>0</v>
      </c>
      <c r="Q686" t="n">
        <v>0</v>
      </c>
      <c r="R686" s="2" t="inlineStr"/>
    </row>
    <row r="687" ht="15" customHeight="1">
      <c r="A687" t="inlineStr">
        <is>
          <t>A 1748-2026</t>
        </is>
      </c>
      <c r="B687" s="1" t="n">
        <v>46034.65589120371</v>
      </c>
      <c r="C687" s="1" t="n">
        <v>46135</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1862-2026</t>
        </is>
      </c>
      <c r="B688" s="1" t="n">
        <v>46035.44689814815</v>
      </c>
      <c r="C688" s="1" t="n">
        <v>46135</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29737-2025</t>
        </is>
      </c>
      <c r="B689" s="1" t="n">
        <v>45825.58672453704</v>
      </c>
      <c r="C689" s="1" t="n">
        <v>46135</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2121-2022</t>
        </is>
      </c>
      <c r="B690" s="1" t="n">
        <v>44578.32717592592</v>
      </c>
      <c r="C690" s="1" t="n">
        <v>46135</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29727-2025</t>
        </is>
      </c>
      <c r="B691" s="1" t="n">
        <v>45825.5796875</v>
      </c>
      <c r="C691" s="1" t="n">
        <v>46135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34386-2024</t>
        </is>
      </c>
      <c r="B692" s="1" t="n">
        <v>45525.41762731481</v>
      </c>
      <c r="C692" s="1" t="n">
        <v>46135</v>
      </c>
      <c r="D692" t="inlineStr">
        <is>
          <t>KALMAR LÄN</t>
        </is>
      </c>
      <c r="E692" t="inlineStr">
        <is>
          <t>VIMMERBY</t>
        </is>
      </c>
      <c r="G692" t="n">
        <v>0.3</v>
      </c>
      <c r="H692" t="n">
        <v>0</v>
      </c>
      <c r="I692" t="n">
        <v>0</v>
      </c>
      <c r="J692" t="n">
        <v>0</v>
      </c>
      <c r="K692" t="n">
        <v>0</v>
      </c>
      <c r="L692" t="n">
        <v>0</v>
      </c>
      <c r="M692" t="n">
        <v>0</v>
      </c>
      <c r="N692" t="n">
        <v>0</v>
      </c>
      <c r="O692" t="n">
        <v>0</v>
      </c>
      <c r="P692" t="n">
        <v>0</v>
      </c>
      <c r="Q692" t="n">
        <v>0</v>
      </c>
      <c r="R692" s="2" t="inlineStr"/>
    </row>
    <row r="693" ht="15" customHeight="1">
      <c r="A693" t="inlineStr">
        <is>
          <t>A 2518-2026</t>
        </is>
      </c>
      <c r="B693" s="1" t="n">
        <v>46037.42511574074</v>
      </c>
      <c r="C693" s="1" t="n">
        <v>46135</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6069-2023</t>
        </is>
      </c>
      <c r="B694" s="1" t="n">
        <v>44964.5115162037</v>
      </c>
      <c r="C694" s="1" t="n">
        <v>46135</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2514-2026</t>
        </is>
      </c>
      <c r="B695" s="1" t="n">
        <v>46037.42219907408</v>
      </c>
      <c r="C695" s="1" t="n">
        <v>46135</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2523-2026</t>
        </is>
      </c>
      <c r="B696" s="1" t="n">
        <v>46037.42825231481</v>
      </c>
      <c r="C696" s="1" t="n">
        <v>46135</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3266-2026</t>
        </is>
      </c>
      <c r="B697" s="1" t="n">
        <v>46041</v>
      </c>
      <c r="C697" s="1" t="n">
        <v>46135</v>
      </c>
      <c r="D697" t="inlineStr">
        <is>
          <t>KALMAR LÄN</t>
        </is>
      </c>
      <c r="E697" t="inlineStr">
        <is>
          <t>VIMMERBY</t>
        </is>
      </c>
      <c r="G697" t="n">
        <v>1.2</v>
      </c>
      <c r="H697" t="n">
        <v>0</v>
      </c>
      <c r="I697" t="n">
        <v>0</v>
      </c>
      <c r="J697" t="n">
        <v>0</v>
      </c>
      <c r="K697" t="n">
        <v>0</v>
      </c>
      <c r="L697" t="n">
        <v>0</v>
      </c>
      <c r="M697" t="n">
        <v>0</v>
      </c>
      <c r="N697" t="n">
        <v>0</v>
      </c>
      <c r="O697" t="n">
        <v>0</v>
      </c>
      <c r="P697" t="n">
        <v>0</v>
      </c>
      <c r="Q697" t="n">
        <v>0</v>
      </c>
      <c r="R697" s="2" t="inlineStr"/>
    </row>
    <row r="698" ht="15" customHeight="1">
      <c r="A698" t="inlineStr">
        <is>
          <t>A 32633-2023</t>
        </is>
      </c>
      <c r="B698" s="1" t="n">
        <v>45121.58699074074</v>
      </c>
      <c r="C698" s="1" t="n">
        <v>46135</v>
      </c>
      <c r="D698" t="inlineStr">
        <is>
          <t>KALMAR LÄN</t>
        </is>
      </c>
      <c r="E698" t="inlineStr">
        <is>
          <t>VIMMERBY</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30293-2025</t>
        </is>
      </c>
      <c r="B699" s="1" t="n">
        <v>45827</v>
      </c>
      <c r="C699" s="1" t="n">
        <v>46135</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30290-2025</t>
        </is>
      </c>
      <c r="B700" s="1" t="n">
        <v>45827</v>
      </c>
      <c r="C700" s="1" t="n">
        <v>46135</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3292-2026</t>
        </is>
      </c>
      <c r="B701" s="1" t="n">
        <v>46041</v>
      </c>
      <c r="C701" s="1" t="n">
        <v>46135</v>
      </c>
      <c r="D701" t="inlineStr">
        <is>
          <t>KALMAR LÄN</t>
        </is>
      </c>
      <c r="E701" t="inlineStr">
        <is>
          <t>VIMMERBY</t>
        </is>
      </c>
      <c r="G701" t="n">
        <v>3.9</v>
      </c>
      <c r="H701" t="n">
        <v>0</v>
      </c>
      <c r="I701" t="n">
        <v>0</v>
      </c>
      <c r="J701" t="n">
        <v>0</v>
      </c>
      <c r="K701" t="n">
        <v>0</v>
      </c>
      <c r="L701" t="n">
        <v>0</v>
      </c>
      <c r="M701" t="n">
        <v>0</v>
      </c>
      <c r="N701" t="n">
        <v>0</v>
      </c>
      <c r="O701" t="n">
        <v>0</v>
      </c>
      <c r="P701" t="n">
        <v>0</v>
      </c>
      <c r="Q701" t="n">
        <v>0</v>
      </c>
      <c r="R701" s="2" t="inlineStr"/>
    </row>
    <row r="702" ht="15" customHeight="1">
      <c r="A702" t="inlineStr">
        <is>
          <t>A 49461-2023</t>
        </is>
      </c>
      <c r="B702" s="1" t="n">
        <v>45211.52642361111</v>
      </c>
      <c r="C702" s="1" t="n">
        <v>46135</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23095-2023</t>
        </is>
      </c>
      <c r="B703" s="1" t="n">
        <v>45075.43059027778</v>
      </c>
      <c r="C703" s="1" t="n">
        <v>46135</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11429-2022</t>
        </is>
      </c>
      <c r="B704" s="1" t="n">
        <v>44630</v>
      </c>
      <c r="C704" s="1" t="n">
        <v>46135</v>
      </c>
      <c r="D704" t="inlineStr">
        <is>
          <t>KALMAR LÄN</t>
        </is>
      </c>
      <c r="E704" t="inlineStr">
        <is>
          <t>VIMMERBY</t>
        </is>
      </c>
      <c r="G704" t="n">
        <v>2.6</v>
      </c>
      <c r="H704" t="n">
        <v>0</v>
      </c>
      <c r="I704" t="n">
        <v>0</v>
      </c>
      <c r="J704" t="n">
        <v>0</v>
      </c>
      <c r="K704" t="n">
        <v>0</v>
      </c>
      <c r="L704" t="n">
        <v>0</v>
      </c>
      <c r="M704" t="n">
        <v>0</v>
      </c>
      <c r="N704" t="n">
        <v>0</v>
      </c>
      <c r="O704" t="n">
        <v>0</v>
      </c>
      <c r="P704" t="n">
        <v>0</v>
      </c>
      <c r="Q704" t="n">
        <v>0</v>
      </c>
      <c r="R704" s="2" t="inlineStr"/>
    </row>
    <row r="705" ht="15" customHeight="1">
      <c r="A705" t="inlineStr">
        <is>
          <t>A 30850-2025</t>
        </is>
      </c>
      <c r="B705" s="1" t="n">
        <v>45831</v>
      </c>
      <c r="C705" s="1" t="n">
        <v>46135</v>
      </c>
      <c r="D705" t="inlineStr">
        <is>
          <t>KALMAR LÄN</t>
        </is>
      </c>
      <c r="E705" t="inlineStr">
        <is>
          <t>VIMMERBY</t>
        </is>
      </c>
      <c r="G705" t="n">
        <v>2.7</v>
      </c>
      <c r="H705" t="n">
        <v>0</v>
      </c>
      <c r="I705" t="n">
        <v>0</v>
      </c>
      <c r="J705" t="n">
        <v>0</v>
      </c>
      <c r="K705" t="n">
        <v>0</v>
      </c>
      <c r="L705" t="n">
        <v>0</v>
      </c>
      <c r="M705" t="n">
        <v>0</v>
      </c>
      <c r="N705" t="n">
        <v>0</v>
      </c>
      <c r="O705" t="n">
        <v>0</v>
      </c>
      <c r="P705" t="n">
        <v>0</v>
      </c>
      <c r="Q705" t="n">
        <v>0</v>
      </c>
      <c r="R705" s="2" t="inlineStr"/>
    </row>
    <row r="706" ht="15" customHeight="1">
      <c r="A706" t="inlineStr">
        <is>
          <t>A 3868-2026</t>
        </is>
      </c>
      <c r="B706" s="1" t="n">
        <v>46043.6360300926</v>
      </c>
      <c r="C706" s="1" t="n">
        <v>46135</v>
      </c>
      <c r="D706" t="inlineStr">
        <is>
          <t>KALMAR LÄN</t>
        </is>
      </c>
      <c r="E706" t="inlineStr">
        <is>
          <t>VIMMERBY</t>
        </is>
      </c>
      <c r="G706" t="n">
        <v>0.9</v>
      </c>
      <c r="H706" t="n">
        <v>0</v>
      </c>
      <c r="I706" t="n">
        <v>0</v>
      </c>
      <c r="J706" t="n">
        <v>0</v>
      </c>
      <c r="K706" t="n">
        <v>0</v>
      </c>
      <c r="L706" t="n">
        <v>0</v>
      </c>
      <c r="M706" t="n">
        <v>0</v>
      </c>
      <c r="N706" t="n">
        <v>0</v>
      </c>
      <c r="O706" t="n">
        <v>0</v>
      </c>
      <c r="P706" t="n">
        <v>0</v>
      </c>
      <c r="Q706" t="n">
        <v>0</v>
      </c>
      <c r="R706" s="2" t="inlineStr"/>
    </row>
    <row r="707" ht="15" customHeight="1">
      <c r="A707" t="inlineStr">
        <is>
          <t>A 3869-2026</t>
        </is>
      </c>
      <c r="B707" s="1" t="n">
        <v>46043.63940972222</v>
      </c>
      <c r="C707" s="1" t="n">
        <v>46135</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11141-2024</t>
        </is>
      </c>
      <c r="B708" s="1" t="n">
        <v>45371.45865740741</v>
      </c>
      <c r="C708" s="1" t="n">
        <v>46135</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31552-2025</t>
        </is>
      </c>
      <c r="B709" s="1" t="n">
        <v>45833.64563657407</v>
      </c>
      <c r="C709" s="1" t="n">
        <v>46135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31555-2025</t>
        </is>
      </c>
      <c r="B710" s="1" t="n">
        <v>45833.64814814815</v>
      </c>
      <c r="C710" s="1" t="n">
        <v>46135</v>
      </c>
      <c r="D710" t="inlineStr">
        <is>
          <t>KALMAR LÄN</t>
        </is>
      </c>
      <c r="E710" t="inlineStr">
        <is>
          <t>VIMMERBY</t>
        </is>
      </c>
      <c r="G710" t="n">
        <v>1.8</v>
      </c>
      <c r="H710" t="n">
        <v>0</v>
      </c>
      <c r="I710" t="n">
        <v>0</v>
      </c>
      <c r="J710" t="n">
        <v>0</v>
      </c>
      <c r="K710" t="n">
        <v>0</v>
      </c>
      <c r="L710" t="n">
        <v>0</v>
      </c>
      <c r="M710" t="n">
        <v>0</v>
      </c>
      <c r="N710" t="n">
        <v>0</v>
      </c>
      <c r="O710" t="n">
        <v>0</v>
      </c>
      <c r="P710" t="n">
        <v>0</v>
      </c>
      <c r="Q710" t="n">
        <v>0</v>
      </c>
      <c r="R710" s="2" t="inlineStr"/>
    </row>
    <row r="711" ht="15" customHeight="1">
      <c r="A711" t="inlineStr">
        <is>
          <t>A 28395-2023</t>
        </is>
      </c>
      <c r="B711" s="1" t="n">
        <v>45100.4062962963</v>
      </c>
      <c r="C711" s="1" t="n">
        <v>46135</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30971-2025</t>
        </is>
      </c>
      <c r="B712" s="1" t="n">
        <v>45832.46146990741</v>
      </c>
      <c r="C712" s="1" t="n">
        <v>46135</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31551-2025</t>
        </is>
      </c>
      <c r="B713" s="1" t="n">
        <v>45833.64237268519</v>
      </c>
      <c r="C713" s="1" t="n">
        <v>46135</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34597-2022</t>
        </is>
      </c>
      <c r="B714" s="1" t="n">
        <v>44795</v>
      </c>
      <c r="C714" s="1" t="n">
        <v>46135</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30882-2025</t>
        </is>
      </c>
      <c r="B715" s="1" t="n">
        <v>45832.34540509259</v>
      </c>
      <c r="C715" s="1" t="n">
        <v>46135</v>
      </c>
      <c r="D715" t="inlineStr">
        <is>
          <t>KALMAR LÄN</t>
        </is>
      </c>
      <c r="E715" t="inlineStr">
        <is>
          <t>VIMMERBY</t>
        </is>
      </c>
      <c r="G715" t="n">
        <v>0.7</v>
      </c>
      <c r="H715" t="n">
        <v>0</v>
      </c>
      <c r="I715" t="n">
        <v>0</v>
      </c>
      <c r="J715" t="n">
        <v>0</v>
      </c>
      <c r="K715" t="n">
        <v>0</v>
      </c>
      <c r="L715" t="n">
        <v>0</v>
      </c>
      <c r="M715" t="n">
        <v>0</v>
      </c>
      <c r="N715" t="n">
        <v>0</v>
      </c>
      <c r="O715" t="n">
        <v>0</v>
      </c>
      <c r="P715" t="n">
        <v>0</v>
      </c>
      <c r="Q715" t="n">
        <v>0</v>
      </c>
      <c r="R715" s="2" t="inlineStr"/>
    </row>
    <row r="716" ht="15" customHeight="1">
      <c r="A716" t="inlineStr">
        <is>
          <t>A 31872-2025</t>
        </is>
      </c>
      <c r="B716" s="1" t="n">
        <v>45834.65040509259</v>
      </c>
      <c r="C716" s="1" t="n">
        <v>46135</v>
      </c>
      <c r="D716" t="inlineStr">
        <is>
          <t>KALMAR LÄN</t>
        </is>
      </c>
      <c r="E716" t="inlineStr">
        <is>
          <t>VIMMERBY</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3965-2026</t>
        </is>
      </c>
      <c r="B717" s="1" t="n">
        <v>46044.34563657407</v>
      </c>
      <c r="C717" s="1" t="n">
        <v>46135</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8559-2025</t>
        </is>
      </c>
      <c r="B718" s="1" t="n">
        <v>45709.62280092593</v>
      </c>
      <c r="C718" s="1" t="n">
        <v>46135</v>
      </c>
      <c r="D718" t="inlineStr">
        <is>
          <t>KALMAR LÄN</t>
        </is>
      </c>
      <c r="E718" t="inlineStr">
        <is>
          <t>VIMMERBY</t>
        </is>
      </c>
      <c r="G718" t="n">
        <v>8.9</v>
      </c>
      <c r="H718" t="n">
        <v>0</v>
      </c>
      <c r="I718" t="n">
        <v>0</v>
      </c>
      <c r="J718" t="n">
        <v>0</v>
      </c>
      <c r="K718" t="n">
        <v>0</v>
      </c>
      <c r="L718" t="n">
        <v>0</v>
      </c>
      <c r="M718" t="n">
        <v>0</v>
      </c>
      <c r="N718" t="n">
        <v>0</v>
      </c>
      <c r="O718" t="n">
        <v>0</v>
      </c>
      <c r="P718" t="n">
        <v>0</v>
      </c>
      <c r="Q718" t="n">
        <v>0</v>
      </c>
      <c r="R718" s="2" t="inlineStr"/>
    </row>
    <row r="719" ht="15" customHeight="1">
      <c r="A719" t="inlineStr">
        <is>
          <t>A 32064-2025</t>
        </is>
      </c>
      <c r="B719" s="1" t="n">
        <v>45835.44709490741</v>
      </c>
      <c r="C719" s="1" t="n">
        <v>46135</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32109-2025</t>
        </is>
      </c>
      <c r="B720" s="1" t="n">
        <v>45835.48267361111</v>
      </c>
      <c r="C720" s="1" t="n">
        <v>46135</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32113-2025</t>
        </is>
      </c>
      <c r="B721" s="1" t="n">
        <v>45835.48445601852</v>
      </c>
      <c r="C721" s="1" t="n">
        <v>46135</v>
      </c>
      <c r="D721" t="inlineStr">
        <is>
          <t>KALMAR LÄN</t>
        </is>
      </c>
      <c r="E721" t="inlineStr">
        <is>
          <t>VIMMERBY</t>
        </is>
      </c>
      <c r="G721" t="n">
        <v>3.5</v>
      </c>
      <c r="H721" t="n">
        <v>0</v>
      </c>
      <c r="I721" t="n">
        <v>0</v>
      </c>
      <c r="J721" t="n">
        <v>0</v>
      </c>
      <c r="K721" t="n">
        <v>0</v>
      </c>
      <c r="L721" t="n">
        <v>0</v>
      </c>
      <c r="M721" t="n">
        <v>0</v>
      </c>
      <c r="N721" t="n">
        <v>0</v>
      </c>
      <c r="O721" t="n">
        <v>0</v>
      </c>
      <c r="P721" t="n">
        <v>0</v>
      </c>
      <c r="Q721" t="n">
        <v>0</v>
      </c>
      <c r="R721" s="2" t="inlineStr"/>
    </row>
    <row r="722" ht="15" customHeight="1">
      <c r="A722" t="inlineStr">
        <is>
          <t>A 32116-2025</t>
        </is>
      </c>
      <c r="B722" s="1" t="n">
        <v>45835.48862268519</v>
      </c>
      <c r="C722" s="1" t="n">
        <v>46135</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31870-2025</t>
        </is>
      </c>
      <c r="B723" s="1" t="n">
        <v>45834.64667824074</v>
      </c>
      <c r="C723" s="1" t="n">
        <v>46135</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64428-2023</t>
        </is>
      </c>
      <c r="B724" s="1" t="n">
        <v>45280.66769675926</v>
      </c>
      <c r="C724" s="1" t="n">
        <v>46135</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32065-2025</t>
        </is>
      </c>
      <c r="B725" s="1" t="n">
        <v>45835.44732638889</v>
      </c>
      <c r="C725" s="1" t="n">
        <v>46135</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30588-2023</t>
        </is>
      </c>
      <c r="B726" s="1" t="n">
        <v>45112.33599537037</v>
      </c>
      <c r="C726" s="1" t="n">
        <v>46135</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31987-2025</t>
        </is>
      </c>
      <c r="B727" s="1" t="n">
        <v>45835.36229166666</v>
      </c>
      <c r="C727" s="1" t="n">
        <v>46135</v>
      </c>
      <c r="D727" t="inlineStr">
        <is>
          <t>KALMAR LÄN</t>
        </is>
      </c>
      <c r="E727" t="inlineStr">
        <is>
          <t>VIMMERBY</t>
        </is>
      </c>
      <c r="F727" t="inlineStr">
        <is>
          <t>Kyrkan</t>
        </is>
      </c>
      <c r="G727" t="n">
        <v>1.2</v>
      </c>
      <c r="H727" t="n">
        <v>0</v>
      </c>
      <c r="I727" t="n">
        <v>0</v>
      </c>
      <c r="J727" t="n">
        <v>0</v>
      </c>
      <c r="K727" t="n">
        <v>0</v>
      </c>
      <c r="L727" t="n">
        <v>0</v>
      </c>
      <c r="M727" t="n">
        <v>0</v>
      </c>
      <c r="N727" t="n">
        <v>0</v>
      </c>
      <c r="O727" t="n">
        <v>0</v>
      </c>
      <c r="P727" t="n">
        <v>0</v>
      </c>
      <c r="Q727" t="n">
        <v>0</v>
      </c>
      <c r="R727" s="2" t="inlineStr"/>
    </row>
    <row r="728" ht="15" customHeight="1">
      <c r="A728" t="inlineStr">
        <is>
          <t>A 32077-2025</t>
        </is>
      </c>
      <c r="B728" s="1" t="n">
        <v>45835.45099537037</v>
      </c>
      <c r="C728" s="1" t="n">
        <v>46135</v>
      </c>
      <c r="D728" t="inlineStr">
        <is>
          <t>KALMAR LÄN</t>
        </is>
      </c>
      <c r="E728" t="inlineStr">
        <is>
          <t>VIMMERBY</t>
        </is>
      </c>
      <c r="G728" t="n">
        <v>1.8</v>
      </c>
      <c r="H728" t="n">
        <v>0</v>
      </c>
      <c r="I728" t="n">
        <v>0</v>
      </c>
      <c r="J728" t="n">
        <v>0</v>
      </c>
      <c r="K728" t="n">
        <v>0</v>
      </c>
      <c r="L728" t="n">
        <v>0</v>
      </c>
      <c r="M728" t="n">
        <v>0</v>
      </c>
      <c r="N728" t="n">
        <v>0</v>
      </c>
      <c r="O728" t="n">
        <v>0</v>
      </c>
      <c r="P728" t="n">
        <v>0</v>
      </c>
      <c r="Q728" t="n">
        <v>0</v>
      </c>
      <c r="R728" s="2" t="inlineStr"/>
    </row>
    <row r="729" ht="15" customHeight="1">
      <c r="A729" t="inlineStr">
        <is>
          <t>A 30503-2023</t>
        </is>
      </c>
      <c r="B729" s="1" t="n">
        <v>45111</v>
      </c>
      <c r="C729" s="1" t="n">
        <v>46135</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32120-2025</t>
        </is>
      </c>
      <c r="B730" s="1" t="n">
        <v>45835.4924537037</v>
      </c>
      <c r="C730" s="1" t="n">
        <v>46135</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31876-2025</t>
        </is>
      </c>
      <c r="B731" s="1" t="n">
        <v>45834.65197916667</v>
      </c>
      <c r="C731" s="1" t="n">
        <v>46135</v>
      </c>
      <c r="D731" t="inlineStr">
        <is>
          <t>KALMAR LÄN</t>
        </is>
      </c>
      <c r="E731" t="inlineStr">
        <is>
          <t>VIMMERBY</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32380-2025</t>
        </is>
      </c>
      <c r="B732" s="1" t="n">
        <v>45837.77701388889</v>
      </c>
      <c r="C732" s="1" t="n">
        <v>46135</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47263-2023</t>
        </is>
      </c>
      <c r="B733" s="1" t="n">
        <v>45202.4209837963</v>
      </c>
      <c r="C733" s="1" t="n">
        <v>46135</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33186-2025</t>
        </is>
      </c>
      <c r="B734" s="1" t="n">
        <v>45840.59474537037</v>
      </c>
      <c r="C734" s="1" t="n">
        <v>46135</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58100-2024</t>
        </is>
      </c>
      <c r="B735" s="1" t="n">
        <v>45632.36706018518</v>
      </c>
      <c r="C735" s="1" t="n">
        <v>46135</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33695-2025</t>
        </is>
      </c>
      <c r="B736" s="1" t="n">
        <v>45841.70569444444</v>
      </c>
      <c r="C736" s="1" t="n">
        <v>46135</v>
      </c>
      <c r="D736" t="inlineStr">
        <is>
          <t>KALMAR LÄN</t>
        </is>
      </c>
      <c r="E736" t="inlineStr">
        <is>
          <t>VIMMERBY</t>
        </is>
      </c>
      <c r="G736" t="n">
        <v>2.7</v>
      </c>
      <c r="H736" t="n">
        <v>0</v>
      </c>
      <c r="I736" t="n">
        <v>0</v>
      </c>
      <c r="J736" t="n">
        <v>0</v>
      </c>
      <c r="K736" t="n">
        <v>0</v>
      </c>
      <c r="L736" t="n">
        <v>0</v>
      </c>
      <c r="M736" t="n">
        <v>0</v>
      </c>
      <c r="N736" t="n">
        <v>0</v>
      </c>
      <c r="O736" t="n">
        <v>0</v>
      </c>
      <c r="P736" t="n">
        <v>0</v>
      </c>
      <c r="Q736" t="n">
        <v>0</v>
      </c>
      <c r="R736" s="2" t="inlineStr"/>
    </row>
    <row r="737" ht="15" customHeight="1">
      <c r="A737" t="inlineStr">
        <is>
          <t>A 33698-2025</t>
        </is>
      </c>
      <c r="B737" s="1" t="n">
        <v>45841.70868055556</v>
      </c>
      <c r="C737" s="1" t="n">
        <v>46135</v>
      </c>
      <c r="D737" t="inlineStr">
        <is>
          <t>KALMAR LÄN</t>
        </is>
      </c>
      <c r="E737" t="inlineStr">
        <is>
          <t>VIMMERBY</t>
        </is>
      </c>
      <c r="G737" t="n">
        <v>3.7</v>
      </c>
      <c r="H737" t="n">
        <v>0</v>
      </c>
      <c r="I737" t="n">
        <v>0</v>
      </c>
      <c r="J737" t="n">
        <v>0</v>
      </c>
      <c r="K737" t="n">
        <v>0</v>
      </c>
      <c r="L737" t="n">
        <v>0</v>
      </c>
      <c r="M737" t="n">
        <v>0</v>
      </c>
      <c r="N737" t="n">
        <v>0</v>
      </c>
      <c r="O737" t="n">
        <v>0</v>
      </c>
      <c r="P737" t="n">
        <v>0</v>
      </c>
      <c r="Q737" t="n">
        <v>0</v>
      </c>
      <c r="R737" s="2" t="inlineStr"/>
    </row>
    <row r="738" ht="15" customHeight="1">
      <c r="A738" t="inlineStr">
        <is>
          <t>A 58159-2024</t>
        </is>
      </c>
      <c r="B738" s="1" t="n">
        <v>45632.44886574074</v>
      </c>
      <c r="C738" s="1" t="n">
        <v>46135</v>
      </c>
      <c r="D738" t="inlineStr">
        <is>
          <t>KALMAR LÄN</t>
        </is>
      </c>
      <c r="E738" t="inlineStr">
        <is>
          <t>VIMMERBY</t>
        </is>
      </c>
      <c r="G738" t="n">
        <v>7.5</v>
      </c>
      <c r="H738" t="n">
        <v>0</v>
      </c>
      <c r="I738" t="n">
        <v>0</v>
      </c>
      <c r="J738" t="n">
        <v>0</v>
      </c>
      <c r="K738" t="n">
        <v>0</v>
      </c>
      <c r="L738" t="n">
        <v>0</v>
      </c>
      <c r="M738" t="n">
        <v>0</v>
      </c>
      <c r="N738" t="n">
        <v>0</v>
      </c>
      <c r="O738" t="n">
        <v>0</v>
      </c>
      <c r="P738" t="n">
        <v>0</v>
      </c>
      <c r="Q738" t="n">
        <v>0</v>
      </c>
      <c r="R738" s="2" t="inlineStr"/>
    </row>
    <row r="739" ht="15" customHeight="1">
      <c r="A739" t="inlineStr">
        <is>
          <t>A 30977-2025</t>
        </is>
      </c>
      <c r="B739" s="1" t="n">
        <v>45832.46649305556</v>
      </c>
      <c r="C739" s="1" t="n">
        <v>46135</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57114-2023</t>
        </is>
      </c>
      <c r="B740" s="1" t="n">
        <v>45245.36174768519</v>
      </c>
      <c r="C740" s="1" t="n">
        <v>46135</v>
      </c>
      <c r="D740" t="inlineStr">
        <is>
          <t>KALMAR LÄN</t>
        </is>
      </c>
      <c r="E740" t="inlineStr">
        <is>
          <t>VIMMERBY</t>
        </is>
      </c>
      <c r="G740" t="n">
        <v>1.5</v>
      </c>
      <c r="H740" t="n">
        <v>0</v>
      </c>
      <c r="I740" t="n">
        <v>0</v>
      </c>
      <c r="J740" t="n">
        <v>0</v>
      </c>
      <c r="K740" t="n">
        <v>0</v>
      </c>
      <c r="L740" t="n">
        <v>0</v>
      </c>
      <c r="M740" t="n">
        <v>0</v>
      </c>
      <c r="N740" t="n">
        <v>0</v>
      </c>
      <c r="O740" t="n">
        <v>0</v>
      </c>
      <c r="P740" t="n">
        <v>0</v>
      </c>
      <c r="Q740" t="n">
        <v>0</v>
      </c>
      <c r="R740" s="2" t="inlineStr"/>
    </row>
    <row r="741" ht="15" customHeight="1">
      <c r="A741" t="inlineStr">
        <is>
          <t>A 3423-2022</t>
        </is>
      </c>
      <c r="B741" s="1" t="n">
        <v>44585.50431712963</v>
      </c>
      <c r="C741" s="1" t="n">
        <v>46135</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33696-2025</t>
        </is>
      </c>
      <c r="B742" s="1" t="n">
        <v>45841.7072337963</v>
      </c>
      <c r="C742" s="1" t="n">
        <v>46135</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40665-2023</t>
        </is>
      </c>
      <c r="B743" s="1" t="n">
        <v>45170</v>
      </c>
      <c r="C743" s="1" t="n">
        <v>46135</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50860-2022</t>
        </is>
      </c>
      <c r="B744" s="1" t="n">
        <v>44867</v>
      </c>
      <c r="C744" s="1" t="n">
        <v>46135</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25370-2022</t>
        </is>
      </c>
      <c r="B745" s="1" t="n">
        <v>44732.3659837963</v>
      </c>
      <c r="C745" s="1" t="n">
        <v>46135</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26956-2025</t>
        </is>
      </c>
      <c r="B746" s="1" t="n">
        <v>45811.45460648148</v>
      </c>
      <c r="C746" s="1" t="n">
        <v>46135</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58577-2024</t>
        </is>
      </c>
      <c r="B747" s="1" t="n">
        <v>45635.4874537037</v>
      </c>
      <c r="C747" s="1" t="n">
        <v>46135</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29440-2024</t>
        </is>
      </c>
      <c r="B748" s="1" t="n">
        <v>45483.82479166667</v>
      </c>
      <c r="C748" s="1" t="n">
        <v>46135</v>
      </c>
      <c r="D748" t="inlineStr">
        <is>
          <t>KALMAR LÄN</t>
        </is>
      </c>
      <c r="E748" t="inlineStr">
        <is>
          <t>VIMMERBY</t>
        </is>
      </c>
      <c r="G748" t="n">
        <v>4.5</v>
      </c>
      <c r="H748" t="n">
        <v>0</v>
      </c>
      <c r="I748" t="n">
        <v>0</v>
      </c>
      <c r="J748" t="n">
        <v>0</v>
      </c>
      <c r="K748" t="n">
        <v>0</v>
      </c>
      <c r="L748" t="n">
        <v>0</v>
      </c>
      <c r="M748" t="n">
        <v>0</v>
      </c>
      <c r="N748" t="n">
        <v>0</v>
      </c>
      <c r="O748" t="n">
        <v>0</v>
      </c>
      <c r="P748" t="n">
        <v>0</v>
      </c>
      <c r="Q748" t="n">
        <v>0</v>
      </c>
      <c r="R748" s="2" t="inlineStr"/>
    </row>
    <row r="749" ht="15" customHeight="1">
      <c r="A749" t="inlineStr">
        <is>
          <t>A 34071-2025</t>
        </is>
      </c>
      <c r="B749" s="1" t="n">
        <v>45845.43803240741</v>
      </c>
      <c r="C749" s="1" t="n">
        <v>46135</v>
      </c>
      <c r="D749" t="inlineStr">
        <is>
          <t>KALMAR LÄN</t>
        </is>
      </c>
      <c r="E749" t="inlineStr">
        <is>
          <t>VIMMERBY</t>
        </is>
      </c>
      <c r="G749" t="n">
        <v>6.8</v>
      </c>
      <c r="H749" t="n">
        <v>0</v>
      </c>
      <c r="I749" t="n">
        <v>0</v>
      </c>
      <c r="J749" t="n">
        <v>0</v>
      </c>
      <c r="K749" t="n">
        <v>0</v>
      </c>
      <c r="L749" t="n">
        <v>0</v>
      </c>
      <c r="M749" t="n">
        <v>0</v>
      </c>
      <c r="N749" t="n">
        <v>0</v>
      </c>
      <c r="O749" t="n">
        <v>0</v>
      </c>
      <c r="P749" t="n">
        <v>0</v>
      </c>
      <c r="Q749" t="n">
        <v>0</v>
      </c>
      <c r="R749" s="2" t="inlineStr"/>
    </row>
    <row r="750" ht="15" customHeight="1">
      <c r="A750" t="inlineStr">
        <is>
          <t>A 34106-2025</t>
        </is>
      </c>
      <c r="B750" s="1" t="n">
        <v>45845.49414351852</v>
      </c>
      <c r="C750" s="1" t="n">
        <v>46135</v>
      </c>
      <c r="D750" t="inlineStr">
        <is>
          <t>KALMAR LÄN</t>
        </is>
      </c>
      <c r="E750" t="inlineStr">
        <is>
          <t>VIMMERBY</t>
        </is>
      </c>
      <c r="G750" t="n">
        <v>6</v>
      </c>
      <c r="H750" t="n">
        <v>0</v>
      </c>
      <c r="I750" t="n">
        <v>0</v>
      </c>
      <c r="J750" t="n">
        <v>0</v>
      </c>
      <c r="K750" t="n">
        <v>0</v>
      </c>
      <c r="L750" t="n">
        <v>0</v>
      </c>
      <c r="M750" t="n">
        <v>0</v>
      </c>
      <c r="N750" t="n">
        <v>0</v>
      </c>
      <c r="O750" t="n">
        <v>0</v>
      </c>
      <c r="P750" t="n">
        <v>0</v>
      </c>
      <c r="Q750" t="n">
        <v>0</v>
      </c>
      <c r="R750" s="2" t="inlineStr"/>
    </row>
    <row r="751" ht="15" customHeight="1">
      <c r="A751" t="inlineStr">
        <is>
          <t>A 28702-2025</t>
        </is>
      </c>
      <c r="B751" s="1" t="n">
        <v>45820.03976851852</v>
      </c>
      <c r="C751" s="1" t="n">
        <v>46135</v>
      </c>
      <c r="D751" t="inlineStr">
        <is>
          <t>KALMAR LÄN</t>
        </is>
      </c>
      <c r="E751" t="inlineStr">
        <is>
          <t>VIMMERBY</t>
        </is>
      </c>
      <c r="G751" t="n">
        <v>2.1</v>
      </c>
      <c r="H751" t="n">
        <v>0</v>
      </c>
      <c r="I751" t="n">
        <v>0</v>
      </c>
      <c r="J751" t="n">
        <v>0</v>
      </c>
      <c r="K751" t="n">
        <v>0</v>
      </c>
      <c r="L751" t="n">
        <v>0</v>
      </c>
      <c r="M751" t="n">
        <v>0</v>
      </c>
      <c r="N751" t="n">
        <v>0</v>
      </c>
      <c r="O751" t="n">
        <v>0</v>
      </c>
      <c r="P751" t="n">
        <v>0</v>
      </c>
      <c r="Q751" t="n">
        <v>0</v>
      </c>
      <c r="R751" s="2" t="inlineStr"/>
    </row>
    <row r="752" ht="15" customHeight="1">
      <c r="A752" t="inlineStr">
        <is>
          <t>A 9129-2025</t>
        </is>
      </c>
      <c r="B752" s="1" t="n">
        <v>45713.92412037037</v>
      </c>
      <c r="C752" s="1" t="n">
        <v>46135</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22197-2024</t>
        </is>
      </c>
      <c r="B753" s="1" t="n">
        <v>45446.36774305555</v>
      </c>
      <c r="C753" s="1" t="n">
        <v>46135</v>
      </c>
      <c r="D753" t="inlineStr">
        <is>
          <t>KALMAR LÄN</t>
        </is>
      </c>
      <c r="E753" t="inlineStr">
        <is>
          <t>VIMMERBY</t>
        </is>
      </c>
      <c r="F753" t="inlineStr">
        <is>
          <t>Sveaskog</t>
        </is>
      </c>
      <c r="G753" t="n">
        <v>3.2</v>
      </c>
      <c r="H753" t="n">
        <v>0</v>
      </c>
      <c r="I753" t="n">
        <v>0</v>
      </c>
      <c r="J753" t="n">
        <v>0</v>
      </c>
      <c r="K753" t="n">
        <v>0</v>
      </c>
      <c r="L753" t="n">
        <v>0</v>
      </c>
      <c r="M753" t="n">
        <v>0</v>
      </c>
      <c r="N753" t="n">
        <v>0</v>
      </c>
      <c r="O753" t="n">
        <v>0</v>
      </c>
      <c r="P753" t="n">
        <v>0</v>
      </c>
      <c r="Q753" t="n">
        <v>0</v>
      </c>
      <c r="R753" s="2" t="inlineStr"/>
    </row>
    <row r="754" ht="15" customHeight="1">
      <c r="A754" t="inlineStr">
        <is>
          <t>A 53752-2024</t>
        </is>
      </c>
      <c r="B754" s="1" t="n">
        <v>45615.48927083334</v>
      </c>
      <c r="C754" s="1" t="n">
        <v>46135</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12121-2025</t>
        </is>
      </c>
      <c r="B755" s="1" t="n">
        <v>45729.36868055556</v>
      </c>
      <c r="C755" s="1" t="n">
        <v>46135</v>
      </c>
      <c r="D755" t="inlineStr">
        <is>
          <t>KALMAR LÄN</t>
        </is>
      </c>
      <c r="E755" t="inlineStr">
        <is>
          <t>VIMMERBY</t>
        </is>
      </c>
      <c r="G755" t="n">
        <v>4.3</v>
      </c>
      <c r="H755" t="n">
        <v>0</v>
      </c>
      <c r="I755" t="n">
        <v>0</v>
      </c>
      <c r="J755" t="n">
        <v>0</v>
      </c>
      <c r="K755" t="n">
        <v>0</v>
      </c>
      <c r="L755" t="n">
        <v>0</v>
      </c>
      <c r="M755" t="n">
        <v>0</v>
      </c>
      <c r="N755" t="n">
        <v>0</v>
      </c>
      <c r="O755" t="n">
        <v>0</v>
      </c>
      <c r="P755" t="n">
        <v>0</v>
      </c>
      <c r="Q755" t="n">
        <v>0</v>
      </c>
      <c r="R755" s="2" t="inlineStr"/>
    </row>
    <row r="756" ht="15" customHeight="1">
      <c r="A756" t="inlineStr">
        <is>
          <t>A 34628-2025</t>
        </is>
      </c>
      <c r="B756" s="1" t="n">
        <v>45847.91280092593</v>
      </c>
      <c r="C756" s="1" t="n">
        <v>46135</v>
      </c>
      <c r="D756" t="inlineStr">
        <is>
          <t>KALMAR LÄN</t>
        </is>
      </c>
      <c r="E756" t="inlineStr">
        <is>
          <t>VIMMERBY</t>
        </is>
      </c>
      <c r="G756" t="n">
        <v>4.2</v>
      </c>
      <c r="H756" t="n">
        <v>0</v>
      </c>
      <c r="I756" t="n">
        <v>0</v>
      </c>
      <c r="J756" t="n">
        <v>0</v>
      </c>
      <c r="K756" t="n">
        <v>0</v>
      </c>
      <c r="L756" t="n">
        <v>0</v>
      </c>
      <c r="M756" t="n">
        <v>0</v>
      </c>
      <c r="N756" t="n">
        <v>0</v>
      </c>
      <c r="O756" t="n">
        <v>0</v>
      </c>
      <c r="P756" t="n">
        <v>0</v>
      </c>
      <c r="Q756" t="n">
        <v>0</v>
      </c>
      <c r="R756" s="2" t="inlineStr"/>
    </row>
    <row r="757" ht="15" customHeight="1">
      <c r="A757" t="inlineStr">
        <is>
          <t>A 9710-2023</t>
        </is>
      </c>
      <c r="B757" s="1" t="n">
        <v>44984</v>
      </c>
      <c r="C757" s="1" t="n">
        <v>46135</v>
      </c>
      <c r="D757" t="inlineStr">
        <is>
          <t>KALMAR LÄN</t>
        </is>
      </c>
      <c r="E757" t="inlineStr">
        <is>
          <t>VIMMERBY</t>
        </is>
      </c>
      <c r="G757" t="n">
        <v>3.7</v>
      </c>
      <c r="H757" t="n">
        <v>0</v>
      </c>
      <c r="I757" t="n">
        <v>0</v>
      </c>
      <c r="J757" t="n">
        <v>0</v>
      </c>
      <c r="K757" t="n">
        <v>0</v>
      </c>
      <c r="L757" t="n">
        <v>0</v>
      </c>
      <c r="M757" t="n">
        <v>0</v>
      </c>
      <c r="N757" t="n">
        <v>0</v>
      </c>
      <c r="O757" t="n">
        <v>0</v>
      </c>
      <c r="P757" t="n">
        <v>0</v>
      </c>
      <c r="Q757" t="n">
        <v>0</v>
      </c>
      <c r="R757" s="2" t="inlineStr"/>
    </row>
    <row r="758" ht="15" customHeight="1">
      <c r="A758" t="inlineStr">
        <is>
          <t>A 9720-2023</t>
        </is>
      </c>
      <c r="B758" s="1" t="n">
        <v>44984</v>
      </c>
      <c r="C758" s="1" t="n">
        <v>46135</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15493-2023</t>
        </is>
      </c>
      <c r="B759" s="1" t="n">
        <v>45018</v>
      </c>
      <c r="C759" s="1" t="n">
        <v>46135</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29093-2023</t>
        </is>
      </c>
      <c r="B760" s="1" t="n">
        <v>45105</v>
      </c>
      <c r="C760" s="1" t="n">
        <v>46135</v>
      </c>
      <c r="D760" t="inlineStr">
        <is>
          <t>KALMAR LÄN</t>
        </is>
      </c>
      <c r="E760" t="inlineStr">
        <is>
          <t>VIMMERBY</t>
        </is>
      </c>
      <c r="G760" t="n">
        <v>2.9</v>
      </c>
      <c r="H760" t="n">
        <v>0</v>
      </c>
      <c r="I760" t="n">
        <v>0</v>
      </c>
      <c r="J760" t="n">
        <v>0</v>
      </c>
      <c r="K760" t="n">
        <v>0</v>
      </c>
      <c r="L760" t="n">
        <v>0</v>
      </c>
      <c r="M760" t="n">
        <v>0</v>
      </c>
      <c r="N760" t="n">
        <v>0</v>
      </c>
      <c r="O760" t="n">
        <v>0</v>
      </c>
      <c r="P760" t="n">
        <v>0</v>
      </c>
      <c r="Q760" t="n">
        <v>0</v>
      </c>
      <c r="R760" s="2" t="inlineStr"/>
    </row>
    <row r="761" ht="15" customHeight="1">
      <c r="A761" t="inlineStr">
        <is>
          <t>A 33352-2022</t>
        </is>
      </c>
      <c r="B761" s="1" t="n">
        <v>44788</v>
      </c>
      <c r="C761" s="1" t="n">
        <v>46135</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35270-2025</t>
        </is>
      </c>
      <c r="B762" s="1" t="n">
        <v>45853.87112268519</v>
      </c>
      <c r="C762" s="1" t="n">
        <v>46135</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22264-2023</t>
        </is>
      </c>
      <c r="B763" s="1" t="n">
        <v>45070.3665625</v>
      </c>
      <c r="C763" s="1" t="n">
        <v>46135</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35271-2025</t>
        </is>
      </c>
      <c r="B764" s="1" t="n">
        <v>45853.87599537037</v>
      </c>
      <c r="C764" s="1" t="n">
        <v>46135</v>
      </c>
      <c r="D764" t="inlineStr">
        <is>
          <t>KALMAR LÄN</t>
        </is>
      </c>
      <c r="E764" t="inlineStr">
        <is>
          <t>VIMMERBY</t>
        </is>
      </c>
      <c r="G764" t="n">
        <v>0.4</v>
      </c>
      <c r="H764" t="n">
        <v>0</v>
      </c>
      <c r="I764" t="n">
        <v>0</v>
      </c>
      <c r="J764" t="n">
        <v>0</v>
      </c>
      <c r="K764" t="n">
        <v>0</v>
      </c>
      <c r="L764" t="n">
        <v>0</v>
      </c>
      <c r="M764" t="n">
        <v>0</v>
      </c>
      <c r="N764" t="n">
        <v>0</v>
      </c>
      <c r="O764" t="n">
        <v>0</v>
      </c>
      <c r="P764" t="n">
        <v>0</v>
      </c>
      <c r="Q764" t="n">
        <v>0</v>
      </c>
      <c r="R764" s="2" t="inlineStr"/>
    </row>
    <row r="765" ht="15" customHeight="1">
      <c r="A765" t="inlineStr">
        <is>
          <t>A 35272-2025</t>
        </is>
      </c>
      <c r="B765" s="1" t="n">
        <v>45853.88070601852</v>
      </c>
      <c r="C765" s="1" t="n">
        <v>46135</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16953-2025</t>
        </is>
      </c>
      <c r="B766" s="1" t="n">
        <v>45755.44333333334</v>
      </c>
      <c r="C766" s="1" t="n">
        <v>46135</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16676-2023</t>
        </is>
      </c>
      <c r="B767" s="1" t="n">
        <v>45028</v>
      </c>
      <c r="C767" s="1" t="n">
        <v>46135</v>
      </c>
      <c r="D767" t="inlineStr">
        <is>
          <t>KALMAR LÄN</t>
        </is>
      </c>
      <c r="E767" t="inlineStr">
        <is>
          <t>VIMMERBY</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35596-2025</t>
        </is>
      </c>
      <c r="B768" s="1" t="n">
        <v>45858.60641203704</v>
      </c>
      <c r="C768" s="1" t="n">
        <v>46135</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6220-2025</t>
        </is>
      </c>
      <c r="B769" s="1" t="n">
        <v>45698.53725694444</v>
      </c>
      <c r="C769" s="1" t="n">
        <v>46135</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35597-2025</t>
        </is>
      </c>
      <c r="B770" s="1" t="n">
        <v>45858.66019675926</v>
      </c>
      <c r="C770" s="1" t="n">
        <v>46135</v>
      </c>
      <c r="D770" t="inlineStr">
        <is>
          <t>KALMAR LÄN</t>
        </is>
      </c>
      <c r="E770" t="inlineStr">
        <is>
          <t>VIMMERBY</t>
        </is>
      </c>
      <c r="G770" t="n">
        <v>6.4</v>
      </c>
      <c r="H770" t="n">
        <v>0</v>
      </c>
      <c r="I770" t="n">
        <v>0</v>
      </c>
      <c r="J770" t="n">
        <v>0</v>
      </c>
      <c r="K770" t="n">
        <v>0</v>
      </c>
      <c r="L770" t="n">
        <v>0</v>
      </c>
      <c r="M770" t="n">
        <v>0</v>
      </c>
      <c r="N770" t="n">
        <v>0</v>
      </c>
      <c r="O770" t="n">
        <v>0</v>
      </c>
      <c r="P770" t="n">
        <v>0</v>
      </c>
      <c r="Q770" t="n">
        <v>0</v>
      </c>
      <c r="R770" s="2" t="inlineStr"/>
    </row>
    <row r="771" ht="15" customHeight="1">
      <c r="A771" t="inlineStr">
        <is>
          <t>A 24096-2024</t>
        </is>
      </c>
      <c r="B771" s="1" t="n">
        <v>45456.59289351852</v>
      </c>
      <c r="C771" s="1" t="n">
        <v>46135</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29013-2024</t>
        </is>
      </c>
      <c r="B772" s="1" t="n">
        <v>45481.55984953704</v>
      </c>
      <c r="C772" s="1" t="n">
        <v>46135</v>
      </c>
      <c r="D772" t="inlineStr">
        <is>
          <t>KALMAR LÄN</t>
        </is>
      </c>
      <c r="E772" t="inlineStr">
        <is>
          <t>VIMMERBY</t>
        </is>
      </c>
      <c r="G772" t="n">
        <v>3.4</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44964.50894675926</v>
      </c>
      <c r="C773" s="1" t="n">
        <v>46135</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59955-2023</t>
        </is>
      </c>
      <c r="B774" s="1" t="n">
        <v>45257.70313657408</v>
      </c>
      <c r="C774" s="1" t="n">
        <v>46135</v>
      </c>
      <c r="D774" t="inlineStr">
        <is>
          <t>KALMAR LÄN</t>
        </is>
      </c>
      <c r="E774" t="inlineStr">
        <is>
          <t>VIMMERBY</t>
        </is>
      </c>
      <c r="G774" t="n">
        <v>13.8</v>
      </c>
      <c r="H774" t="n">
        <v>0</v>
      </c>
      <c r="I774" t="n">
        <v>0</v>
      </c>
      <c r="J774" t="n">
        <v>0</v>
      </c>
      <c r="K774" t="n">
        <v>0</v>
      </c>
      <c r="L774" t="n">
        <v>0</v>
      </c>
      <c r="M774" t="n">
        <v>0</v>
      </c>
      <c r="N774" t="n">
        <v>0</v>
      </c>
      <c r="O774" t="n">
        <v>0</v>
      </c>
      <c r="P774" t="n">
        <v>0</v>
      </c>
      <c r="Q774" t="n">
        <v>0</v>
      </c>
      <c r="R774" s="2" t="inlineStr"/>
    </row>
    <row r="775" ht="15" customHeight="1">
      <c r="A775" t="inlineStr">
        <is>
          <t>A 36040-2024</t>
        </is>
      </c>
      <c r="B775" s="1" t="n">
        <v>45533.60232638889</v>
      </c>
      <c r="C775" s="1" t="n">
        <v>46135</v>
      </c>
      <c r="D775" t="inlineStr">
        <is>
          <t>KALMAR LÄN</t>
        </is>
      </c>
      <c r="E775" t="inlineStr">
        <is>
          <t>VIMMERBY</t>
        </is>
      </c>
      <c r="F775" t="inlineStr">
        <is>
          <t>Kommuner</t>
        </is>
      </c>
      <c r="G775" t="n">
        <v>3.6</v>
      </c>
      <c r="H775" t="n">
        <v>0</v>
      </c>
      <c r="I775" t="n">
        <v>0</v>
      </c>
      <c r="J775" t="n">
        <v>0</v>
      </c>
      <c r="K775" t="n">
        <v>0</v>
      </c>
      <c r="L775" t="n">
        <v>0</v>
      </c>
      <c r="M775" t="n">
        <v>0</v>
      </c>
      <c r="N775" t="n">
        <v>0</v>
      </c>
      <c r="O775" t="n">
        <v>0</v>
      </c>
      <c r="P775" t="n">
        <v>0</v>
      </c>
      <c r="Q775" t="n">
        <v>0</v>
      </c>
      <c r="R775" s="2" t="inlineStr"/>
    </row>
    <row r="776" ht="15" customHeight="1">
      <c r="A776" t="inlineStr">
        <is>
          <t>A 36043-2024</t>
        </is>
      </c>
      <c r="B776" s="1" t="n">
        <v>45533.60770833334</v>
      </c>
      <c r="C776" s="1" t="n">
        <v>46135</v>
      </c>
      <c r="D776" t="inlineStr">
        <is>
          <t>KALMAR LÄN</t>
        </is>
      </c>
      <c r="E776" t="inlineStr">
        <is>
          <t>VIMMERBY</t>
        </is>
      </c>
      <c r="F776" t="inlineStr">
        <is>
          <t>Kommuner</t>
        </is>
      </c>
      <c r="G776" t="n">
        <v>1.5</v>
      </c>
      <c r="H776" t="n">
        <v>0</v>
      </c>
      <c r="I776" t="n">
        <v>0</v>
      </c>
      <c r="J776" t="n">
        <v>0</v>
      </c>
      <c r="K776" t="n">
        <v>0</v>
      </c>
      <c r="L776" t="n">
        <v>0</v>
      </c>
      <c r="M776" t="n">
        <v>0</v>
      </c>
      <c r="N776" t="n">
        <v>0</v>
      </c>
      <c r="O776" t="n">
        <v>0</v>
      </c>
      <c r="P776" t="n">
        <v>0</v>
      </c>
      <c r="Q776" t="n">
        <v>0</v>
      </c>
      <c r="R776" s="2" t="inlineStr"/>
    </row>
    <row r="777" ht="15" customHeight="1">
      <c r="A777" t="inlineStr">
        <is>
          <t>A 12890-2023</t>
        </is>
      </c>
      <c r="B777" s="1" t="n">
        <v>45001.59209490741</v>
      </c>
      <c r="C777" s="1" t="n">
        <v>46135</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43594-2024</t>
        </is>
      </c>
      <c r="B778" s="1" t="n">
        <v>45569.44295138889</v>
      </c>
      <c r="C778" s="1" t="n">
        <v>46135</v>
      </c>
      <c r="D778" t="inlineStr">
        <is>
          <t>KALMAR LÄN</t>
        </is>
      </c>
      <c r="E778" t="inlineStr">
        <is>
          <t>VIMMERBY</t>
        </is>
      </c>
      <c r="G778" t="n">
        <v>3.9</v>
      </c>
      <c r="H778" t="n">
        <v>0</v>
      </c>
      <c r="I778" t="n">
        <v>0</v>
      </c>
      <c r="J778" t="n">
        <v>0</v>
      </c>
      <c r="K778" t="n">
        <v>0</v>
      </c>
      <c r="L778" t="n">
        <v>0</v>
      </c>
      <c r="M778" t="n">
        <v>0</v>
      </c>
      <c r="N778" t="n">
        <v>0</v>
      </c>
      <c r="O778" t="n">
        <v>0</v>
      </c>
      <c r="P778" t="n">
        <v>0</v>
      </c>
      <c r="Q778" t="n">
        <v>0</v>
      </c>
      <c r="R778" s="2" t="inlineStr"/>
    </row>
    <row r="779" ht="15" customHeight="1">
      <c r="A779" t="inlineStr">
        <is>
          <t>A 53482-2022</t>
        </is>
      </c>
      <c r="B779" s="1" t="n">
        <v>44879</v>
      </c>
      <c r="C779" s="1" t="n">
        <v>46135</v>
      </c>
      <c r="D779" t="inlineStr">
        <is>
          <t>KALMAR LÄN</t>
        </is>
      </c>
      <c r="E779" t="inlineStr">
        <is>
          <t>VIMMERBY</t>
        </is>
      </c>
      <c r="G779" t="n">
        <v>10.1</v>
      </c>
      <c r="H779" t="n">
        <v>0</v>
      </c>
      <c r="I779" t="n">
        <v>0</v>
      </c>
      <c r="J779" t="n">
        <v>0</v>
      </c>
      <c r="K779" t="n">
        <v>0</v>
      </c>
      <c r="L779" t="n">
        <v>0</v>
      </c>
      <c r="M779" t="n">
        <v>0</v>
      </c>
      <c r="N779" t="n">
        <v>0</v>
      </c>
      <c r="O779" t="n">
        <v>0</v>
      </c>
      <c r="P779" t="n">
        <v>0</v>
      </c>
      <c r="Q779" t="n">
        <v>0</v>
      </c>
      <c r="R779" s="2" t="inlineStr"/>
    </row>
    <row r="780" ht="15" customHeight="1">
      <c r="A780" t="inlineStr">
        <is>
          <t>A 36226-2025</t>
        </is>
      </c>
      <c r="B780" s="1" t="n">
        <v>45867.51630787037</v>
      </c>
      <c r="C780" s="1" t="n">
        <v>46135</v>
      </c>
      <c r="D780" t="inlineStr">
        <is>
          <t>KALMAR LÄN</t>
        </is>
      </c>
      <c r="E780" t="inlineStr">
        <is>
          <t>VIMMERBY</t>
        </is>
      </c>
      <c r="G780" t="n">
        <v>3.1</v>
      </c>
      <c r="H780" t="n">
        <v>0</v>
      </c>
      <c r="I780" t="n">
        <v>0</v>
      </c>
      <c r="J780" t="n">
        <v>0</v>
      </c>
      <c r="K780" t="n">
        <v>0</v>
      </c>
      <c r="L780" t="n">
        <v>0</v>
      </c>
      <c r="M780" t="n">
        <v>0</v>
      </c>
      <c r="N780" t="n">
        <v>0</v>
      </c>
      <c r="O780" t="n">
        <v>0</v>
      </c>
      <c r="P780" t="n">
        <v>0</v>
      </c>
      <c r="Q780" t="n">
        <v>0</v>
      </c>
      <c r="R780" s="2" t="inlineStr"/>
    </row>
    <row r="781" ht="15" customHeight="1">
      <c r="A781" t="inlineStr">
        <is>
          <t>A 36273-2025</t>
        </is>
      </c>
      <c r="B781" s="1" t="n">
        <v>45867.63094907408</v>
      </c>
      <c r="C781" s="1" t="n">
        <v>46135</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36282-2025</t>
        </is>
      </c>
      <c r="B782" s="1" t="n">
        <v>45867.64663194444</v>
      </c>
      <c r="C782" s="1" t="n">
        <v>46135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36246-2025</t>
        </is>
      </c>
      <c r="B783" s="1" t="n">
        <v>45867.56320601852</v>
      </c>
      <c r="C783" s="1" t="n">
        <v>46135</v>
      </c>
      <c r="D783" t="inlineStr">
        <is>
          <t>KALMAR LÄN</t>
        </is>
      </c>
      <c r="E783" t="inlineStr">
        <is>
          <t>VIMMERBY</t>
        </is>
      </c>
      <c r="G783" t="n">
        <v>1</v>
      </c>
      <c r="H783" t="n">
        <v>0</v>
      </c>
      <c r="I783" t="n">
        <v>0</v>
      </c>
      <c r="J783" t="n">
        <v>0</v>
      </c>
      <c r="K783" t="n">
        <v>0</v>
      </c>
      <c r="L783" t="n">
        <v>0</v>
      </c>
      <c r="M783" t="n">
        <v>0</v>
      </c>
      <c r="N783" t="n">
        <v>0</v>
      </c>
      <c r="O783" t="n">
        <v>0</v>
      </c>
      <c r="P783" t="n">
        <v>0</v>
      </c>
      <c r="Q783" t="n">
        <v>0</v>
      </c>
      <c r="R783" s="2" t="inlineStr"/>
    </row>
    <row r="784" ht="15" customHeight="1">
      <c r="A784" t="inlineStr">
        <is>
          <t>A 27761-2024</t>
        </is>
      </c>
      <c r="B784" s="1" t="n">
        <v>45475.49018518518</v>
      </c>
      <c r="C784" s="1" t="n">
        <v>46135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64203-2021</t>
        </is>
      </c>
      <c r="B785" s="1" t="n">
        <v>44510.60921296296</v>
      </c>
      <c r="C785" s="1" t="n">
        <v>46135</v>
      </c>
      <c r="D785" t="inlineStr">
        <is>
          <t>KALMAR LÄN</t>
        </is>
      </c>
      <c r="E785" t="inlineStr">
        <is>
          <t>VIMMERBY</t>
        </is>
      </c>
      <c r="F785" t="inlineStr">
        <is>
          <t>Övriga Aktiebolag</t>
        </is>
      </c>
      <c r="G785" t="n">
        <v>5.4</v>
      </c>
      <c r="H785" t="n">
        <v>0</v>
      </c>
      <c r="I785" t="n">
        <v>0</v>
      </c>
      <c r="J785" t="n">
        <v>0</v>
      </c>
      <c r="K785" t="n">
        <v>0</v>
      </c>
      <c r="L785" t="n">
        <v>0</v>
      </c>
      <c r="M785" t="n">
        <v>0</v>
      </c>
      <c r="N785" t="n">
        <v>0</v>
      </c>
      <c r="O785" t="n">
        <v>0</v>
      </c>
      <c r="P785" t="n">
        <v>0</v>
      </c>
      <c r="Q785" t="n">
        <v>0</v>
      </c>
      <c r="R785" s="2" t="inlineStr"/>
    </row>
    <row r="786" ht="15" customHeight="1">
      <c r="A786" t="inlineStr">
        <is>
          <t>A 36297-2025</t>
        </is>
      </c>
      <c r="B786" s="1" t="n">
        <v>45867.68625</v>
      </c>
      <c r="C786" s="1" t="n">
        <v>46135</v>
      </c>
      <c r="D786" t="inlineStr">
        <is>
          <t>KALMAR LÄN</t>
        </is>
      </c>
      <c r="E786" t="inlineStr">
        <is>
          <t>VIMMERBY</t>
        </is>
      </c>
      <c r="G786" t="n">
        <v>4.9</v>
      </c>
      <c r="H786" t="n">
        <v>0</v>
      </c>
      <c r="I786" t="n">
        <v>0</v>
      </c>
      <c r="J786" t="n">
        <v>0</v>
      </c>
      <c r="K786" t="n">
        <v>0</v>
      </c>
      <c r="L786" t="n">
        <v>0</v>
      </c>
      <c r="M786" t="n">
        <v>0</v>
      </c>
      <c r="N786" t="n">
        <v>0</v>
      </c>
      <c r="O786" t="n">
        <v>0</v>
      </c>
      <c r="P786" t="n">
        <v>0</v>
      </c>
      <c r="Q786" t="n">
        <v>0</v>
      </c>
      <c r="R786" s="2" t="inlineStr"/>
    </row>
    <row r="787" ht="15" customHeight="1">
      <c r="A787" t="inlineStr">
        <is>
          <t>A 36221-2025</t>
        </is>
      </c>
      <c r="B787" s="1" t="n">
        <v>45867.50792824074</v>
      </c>
      <c r="C787" s="1" t="n">
        <v>46135</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5720-2023</t>
        </is>
      </c>
      <c r="B788" s="1" t="n">
        <v>44961</v>
      </c>
      <c r="C788" s="1" t="n">
        <v>46135</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19502-2025</t>
        </is>
      </c>
      <c r="B789" s="1" t="n">
        <v>45769</v>
      </c>
      <c r="C789" s="1" t="n">
        <v>46135</v>
      </c>
      <c r="D789" t="inlineStr">
        <is>
          <t>KALMAR LÄN</t>
        </is>
      </c>
      <c r="E789" t="inlineStr">
        <is>
          <t>VIMMERBY</t>
        </is>
      </c>
      <c r="G789" t="n">
        <v>1.9</v>
      </c>
      <c r="H789" t="n">
        <v>0</v>
      </c>
      <c r="I789" t="n">
        <v>0</v>
      </c>
      <c r="J789" t="n">
        <v>0</v>
      </c>
      <c r="K789" t="n">
        <v>0</v>
      </c>
      <c r="L789" t="n">
        <v>0</v>
      </c>
      <c r="M789" t="n">
        <v>0</v>
      </c>
      <c r="N789" t="n">
        <v>0</v>
      </c>
      <c r="O789" t="n">
        <v>0</v>
      </c>
      <c r="P789" t="n">
        <v>0</v>
      </c>
      <c r="Q789" t="n">
        <v>0</v>
      </c>
      <c r="R789" s="2" t="inlineStr"/>
    </row>
    <row r="790" ht="15" customHeight="1">
      <c r="A790" t="inlineStr">
        <is>
          <t>A 9643-2023</t>
        </is>
      </c>
      <c r="B790" s="1" t="n">
        <v>44984</v>
      </c>
      <c r="C790" s="1" t="n">
        <v>46135</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25728-2023</t>
        </is>
      </c>
      <c r="B791" s="1" t="n">
        <v>45090.38012731481</v>
      </c>
      <c r="C791" s="1" t="n">
        <v>46135</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36299-2025</t>
        </is>
      </c>
      <c r="B792" s="1" t="n">
        <v>45867.69346064814</v>
      </c>
      <c r="C792" s="1" t="n">
        <v>46135</v>
      </c>
      <c r="D792" t="inlineStr">
        <is>
          <t>KALMAR LÄN</t>
        </is>
      </c>
      <c r="E792" t="inlineStr">
        <is>
          <t>VIMMERBY</t>
        </is>
      </c>
      <c r="G792" t="n">
        <v>7.6</v>
      </c>
      <c r="H792" t="n">
        <v>0</v>
      </c>
      <c r="I792" t="n">
        <v>0</v>
      </c>
      <c r="J792" t="n">
        <v>0</v>
      </c>
      <c r="K792" t="n">
        <v>0</v>
      </c>
      <c r="L792" t="n">
        <v>0</v>
      </c>
      <c r="M792" t="n">
        <v>0</v>
      </c>
      <c r="N792" t="n">
        <v>0</v>
      </c>
      <c r="O792" t="n">
        <v>0</v>
      </c>
      <c r="P792" t="n">
        <v>0</v>
      </c>
      <c r="Q792" t="n">
        <v>0</v>
      </c>
      <c r="R792" s="2" t="inlineStr"/>
    </row>
    <row r="793" ht="15" customHeight="1">
      <c r="A793" t="inlineStr">
        <is>
          <t>A 36538-2025</t>
        </is>
      </c>
      <c r="B793" s="1" t="n">
        <v>45869.62276620371</v>
      </c>
      <c r="C793" s="1" t="n">
        <v>46135</v>
      </c>
      <c r="D793" t="inlineStr">
        <is>
          <t>KALMAR LÄN</t>
        </is>
      </c>
      <c r="E793" t="inlineStr">
        <is>
          <t>VIMMERBY</t>
        </is>
      </c>
      <c r="G793" t="n">
        <v>2.6</v>
      </c>
      <c r="H793" t="n">
        <v>0</v>
      </c>
      <c r="I793" t="n">
        <v>0</v>
      </c>
      <c r="J793" t="n">
        <v>0</v>
      </c>
      <c r="K793" t="n">
        <v>0</v>
      </c>
      <c r="L793" t="n">
        <v>0</v>
      </c>
      <c r="M793" t="n">
        <v>0</v>
      </c>
      <c r="N793" t="n">
        <v>0</v>
      </c>
      <c r="O793" t="n">
        <v>0</v>
      </c>
      <c r="P793" t="n">
        <v>0</v>
      </c>
      <c r="Q793" t="n">
        <v>0</v>
      </c>
      <c r="R793" s="2" t="inlineStr"/>
    </row>
    <row r="794" ht="15" customHeight="1">
      <c r="A794" t="inlineStr">
        <is>
          <t>A 41311-2023</t>
        </is>
      </c>
      <c r="B794" s="1" t="n">
        <v>45174</v>
      </c>
      <c r="C794" s="1" t="n">
        <v>46135</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36598-2025</t>
        </is>
      </c>
      <c r="B795" s="1" t="n">
        <v>45870.51708333333</v>
      </c>
      <c r="C795" s="1" t="n">
        <v>46135</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36602-2025</t>
        </is>
      </c>
      <c r="B796" s="1" t="n">
        <v>45870.52111111111</v>
      </c>
      <c r="C796" s="1" t="n">
        <v>46135</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26318-2023</t>
        </is>
      </c>
      <c r="B797" s="1" t="n">
        <v>45091.67936342592</v>
      </c>
      <c r="C797" s="1" t="n">
        <v>46135</v>
      </c>
      <c r="D797" t="inlineStr">
        <is>
          <t>KALMAR LÄN</t>
        </is>
      </c>
      <c r="E797" t="inlineStr">
        <is>
          <t>VIMMERBY</t>
        </is>
      </c>
      <c r="G797" t="n">
        <v>3.8</v>
      </c>
      <c r="H797" t="n">
        <v>0</v>
      </c>
      <c r="I797" t="n">
        <v>0</v>
      </c>
      <c r="J797" t="n">
        <v>0</v>
      </c>
      <c r="K797" t="n">
        <v>0</v>
      </c>
      <c r="L797" t="n">
        <v>0</v>
      </c>
      <c r="M797" t="n">
        <v>0</v>
      </c>
      <c r="N797" t="n">
        <v>0</v>
      </c>
      <c r="O797" t="n">
        <v>0</v>
      </c>
      <c r="P797" t="n">
        <v>0</v>
      </c>
      <c r="Q797" t="n">
        <v>0</v>
      </c>
      <c r="R797" s="2" t="inlineStr"/>
    </row>
    <row r="798" ht="15" customHeight="1">
      <c r="A798" t="inlineStr">
        <is>
          <t>A 36603-2025</t>
        </is>
      </c>
      <c r="B798" s="1" t="n">
        <v>45870.52142361111</v>
      </c>
      <c r="C798" s="1" t="n">
        <v>46135</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61355-2024</t>
        </is>
      </c>
      <c r="B799" s="1" t="n">
        <v>45646.38200231481</v>
      </c>
      <c r="C799" s="1" t="n">
        <v>46135</v>
      </c>
      <c r="D799" t="inlineStr">
        <is>
          <t>KALMAR LÄN</t>
        </is>
      </c>
      <c r="E799" t="inlineStr">
        <is>
          <t>VIMMERBY</t>
        </is>
      </c>
      <c r="G799" t="n">
        <v>2.7</v>
      </c>
      <c r="H799" t="n">
        <v>0</v>
      </c>
      <c r="I799" t="n">
        <v>0</v>
      </c>
      <c r="J799" t="n">
        <v>0</v>
      </c>
      <c r="K799" t="n">
        <v>0</v>
      </c>
      <c r="L799" t="n">
        <v>0</v>
      </c>
      <c r="M799" t="n">
        <v>0</v>
      </c>
      <c r="N799" t="n">
        <v>0</v>
      </c>
      <c r="O799" t="n">
        <v>0</v>
      </c>
      <c r="P799" t="n">
        <v>0</v>
      </c>
      <c r="Q799" t="n">
        <v>0</v>
      </c>
      <c r="R799" s="2" t="inlineStr"/>
    </row>
    <row r="800" ht="15" customHeight="1">
      <c r="A800" t="inlineStr">
        <is>
          <t>A 36802-2021</t>
        </is>
      </c>
      <c r="B800" s="1" t="n">
        <v>44392</v>
      </c>
      <c r="C800" s="1" t="n">
        <v>46135</v>
      </c>
      <c r="D800" t="inlineStr">
        <is>
          <t>KALMAR LÄN</t>
        </is>
      </c>
      <c r="E800" t="inlineStr">
        <is>
          <t>VIMMERBY</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38198-2024</t>
        </is>
      </c>
      <c r="B801" s="1" t="n">
        <v>45545.49508101852</v>
      </c>
      <c r="C801" s="1" t="n">
        <v>46135</v>
      </c>
      <c r="D801" t="inlineStr">
        <is>
          <t>KALMAR LÄN</t>
        </is>
      </c>
      <c r="E801" t="inlineStr">
        <is>
          <t>VIMMERBY</t>
        </is>
      </c>
      <c r="G801" t="n">
        <v>7.9</v>
      </c>
      <c r="H801" t="n">
        <v>0</v>
      </c>
      <c r="I801" t="n">
        <v>0</v>
      </c>
      <c r="J801" t="n">
        <v>0</v>
      </c>
      <c r="K801" t="n">
        <v>0</v>
      </c>
      <c r="L801" t="n">
        <v>0</v>
      </c>
      <c r="M801" t="n">
        <v>0</v>
      </c>
      <c r="N801" t="n">
        <v>0</v>
      </c>
      <c r="O801" t="n">
        <v>0</v>
      </c>
      <c r="P801" t="n">
        <v>0</v>
      </c>
      <c r="Q801" t="n">
        <v>0</v>
      </c>
      <c r="R801" s="2" t="inlineStr"/>
    </row>
    <row r="802" ht="15" customHeight="1">
      <c r="A802" t="inlineStr">
        <is>
          <t>A 9623-2024</t>
        </is>
      </c>
      <c r="B802" s="1" t="n">
        <v>45361.87975694444</v>
      </c>
      <c r="C802" s="1" t="n">
        <v>46135</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58967-2022</t>
        </is>
      </c>
      <c r="B803" s="1" t="n">
        <v>44896</v>
      </c>
      <c r="C803" s="1" t="n">
        <v>46135</v>
      </c>
      <c r="D803" t="inlineStr">
        <is>
          <t>KALMAR LÄN</t>
        </is>
      </c>
      <c r="E803" t="inlineStr">
        <is>
          <t>VIMMERBY</t>
        </is>
      </c>
      <c r="G803" t="n">
        <v>5</v>
      </c>
      <c r="H803" t="n">
        <v>0</v>
      </c>
      <c r="I803" t="n">
        <v>0</v>
      </c>
      <c r="J803" t="n">
        <v>0</v>
      </c>
      <c r="K803" t="n">
        <v>0</v>
      </c>
      <c r="L803" t="n">
        <v>0</v>
      </c>
      <c r="M803" t="n">
        <v>0</v>
      </c>
      <c r="N803" t="n">
        <v>0</v>
      </c>
      <c r="O803" t="n">
        <v>0</v>
      </c>
      <c r="P803" t="n">
        <v>0</v>
      </c>
      <c r="Q803" t="n">
        <v>0</v>
      </c>
      <c r="R803" s="2" t="inlineStr"/>
    </row>
    <row r="804" ht="15" customHeight="1">
      <c r="A804" t="inlineStr">
        <is>
          <t>A 6399-2025</t>
        </is>
      </c>
      <c r="B804" s="1" t="n">
        <v>45699.44291666667</v>
      </c>
      <c r="C804" s="1" t="n">
        <v>46135</v>
      </c>
      <c r="D804" t="inlineStr">
        <is>
          <t>KALMAR LÄN</t>
        </is>
      </c>
      <c r="E804" t="inlineStr">
        <is>
          <t>VIMMERBY</t>
        </is>
      </c>
      <c r="G804" t="n">
        <v>3.1</v>
      </c>
      <c r="H804" t="n">
        <v>0</v>
      </c>
      <c r="I804" t="n">
        <v>0</v>
      </c>
      <c r="J804" t="n">
        <v>0</v>
      </c>
      <c r="K804" t="n">
        <v>0</v>
      </c>
      <c r="L804" t="n">
        <v>0</v>
      </c>
      <c r="M804" t="n">
        <v>0</v>
      </c>
      <c r="N804" t="n">
        <v>0</v>
      </c>
      <c r="O804" t="n">
        <v>0</v>
      </c>
      <c r="P804" t="n">
        <v>0</v>
      </c>
      <c r="Q804" t="n">
        <v>0</v>
      </c>
      <c r="R804" s="2" t="inlineStr"/>
    </row>
    <row r="805" ht="15" customHeight="1">
      <c r="A805" t="inlineStr">
        <is>
          <t>A 31355-2023</t>
        </is>
      </c>
      <c r="B805" s="1" t="n">
        <v>45114.49505787037</v>
      </c>
      <c r="C805" s="1" t="n">
        <v>46135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30400-2023</t>
        </is>
      </c>
      <c r="B806" s="1" t="n">
        <v>45111.48225694444</v>
      </c>
      <c r="C806" s="1" t="n">
        <v>46135</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30404-2023</t>
        </is>
      </c>
      <c r="B807" s="1" t="n">
        <v>45111.48636574074</v>
      </c>
      <c r="C807" s="1" t="n">
        <v>46135</v>
      </c>
      <c r="D807" t="inlineStr">
        <is>
          <t>KALMAR LÄN</t>
        </is>
      </c>
      <c r="E807" t="inlineStr">
        <is>
          <t>VIMMERBY</t>
        </is>
      </c>
      <c r="G807" t="n">
        <v>0.6</v>
      </c>
      <c r="H807" t="n">
        <v>0</v>
      </c>
      <c r="I807" t="n">
        <v>0</v>
      </c>
      <c r="J807" t="n">
        <v>0</v>
      </c>
      <c r="K807" t="n">
        <v>0</v>
      </c>
      <c r="L807" t="n">
        <v>0</v>
      </c>
      <c r="M807" t="n">
        <v>0</v>
      </c>
      <c r="N807" t="n">
        <v>0</v>
      </c>
      <c r="O807" t="n">
        <v>0</v>
      </c>
      <c r="P807" t="n">
        <v>0</v>
      </c>
      <c r="Q807" t="n">
        <v>0</v>
      </c>
      <c r="R807" s="2" t="inlineStr"/>
    </row>
    <row r="808" ht="15" customHeight="1">
      <c r="A808" t="inlineStr">
        <is>
          <t>A 27705-2023</t>
        </is>
      </c>
      <c r="B808" s="1" t="n">
        <v>45098.30535879629</v>
      </c>
      <c r="C808" s="1" t="n">
        <v>46135</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36843-2023</t>
        </is>
      </c>
      <c r="B809" s="1" t="n">
        <v>45154.49831018518</v>
      </c>
      <c r="C809" s="1" t="n">
        <v>46135</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10785-2025</t>
        </is>
      </c>
      <c r="B810" s="1" t="n">
        <v>45722.48634259259</v>
      </c>
      <c r="C810" s="1" t="n">
        <v>46135</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29017-2024</t>
        </is>
      </c>
      <c r="B811" s="1" t="n">
        <v>45481.56722222222</v>
      </c>
      <c r="C811" s="1" t="n">
        <v>46135</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23263-2024</t>
        </is>
      </c>
      <c r="B812" s="1" t="n">
        <v>45453.36854166666</v>
      </c>
      <c r="C812" s="1" t="n">
        <v>46135</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44992.34151620371</v>
      </c>
      <c r="C813" s="1" t="n">
        <v>46135</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61939-2021</t>
        </is>
      </c>
      <c r="B814" s="1" t="n">
        <v>44502</v>
      </c>
      <c r="C814" s="1" t="n">
        <v>46135</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12215-2024</t>
        </is>
      </c>
      <c r="B815" s="1" t="n">
        <v>45378.32185185186</v>
      </c>
      <c r="C815" s="1" t="n">
        <v>46135</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11303-2025</t>
        </is>
      </c>
      <c r="B816" s="1" t="n">
        <v>45726.44471064815</v>
      </c>
      <c r="C816" s="1" t="n">
        <v>46135</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12033-2024</t>
        </is>
      </c>
      <c r="B817" s="1" t="n">
        <v>45377.40043981482</v>
      </c>
      <c r="C817" s="1" t="n">
        <v>46135</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51408-2023</t>
        </is>
      </c>
      <c r="B818" s="1" t="n">
        <v>45219.69356481481</v>
      </c>
      <c r="C818" s="1" t="n">
        <v>46135</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49488-2023</t>
        </is>
      </c>
      <c r="B819" s="1" t="n">
        <v>45211.55472222222</v>
      </c>
      <c r="C819" s="1" t="n">
        <v>46135</v>
      </c>
      <c r="D819" t="inlineStr">
        <is>
          <t>KALMAR LÄN</t>
        </is>
      </c>
      <c r="E819" t="inlineStr">
        <is>
          <t>VIMMERBY</t>
        </is>
      </c>
      <c r="F819" t="inlineStr">
        <is>
          <t>Sveaskog</t>
        </is>
      </c>
      <c r="G819" t="n">
        <v>6.2</v>
      </c>
      <c r="H819" t="n">
        <v>0</v>
      </c>
      <c r="I819" t="n">
        <v>0</v>
      </c>
      <c r="J819" t="n">
        <v>0</v>
      </c>
      <c r="K819" t="n">
        <v>0</v>
      </c>
      <c r="L819" t="n">
        <v>0</v>
      </c>
      <c r="M819" t="n">
        <v>0</v>
      </c>
      <c r="N819" t="n">
        <v>0</v>
      </c>
      <c r="O819" t="n">
        <v>0</v>
      </c>
      <c r="P819" t="n">
        <v>0</v>
      </c>
      <c r="Q819" t="n">
        <v>0</v>
      </c>
      <c r="R819" s="2" t="inlineStr"/>
    </row>
    <row r="820" ht="15" customHeight="1">
      <c r="A820" t="inlineStr">
        <is>
          <t>A 8410-2023</t>
        </is>
      </c>
      <c r="B820" s="1" t="n">
        <v>44977</v>
      </c>
      <c r="C820" s="1" t="n">
        <v>46135</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30920-2024</t>
        </is>
      </c>
      <c r="B821" s="1" t="n">
        <v>45498.673125</v>
      </c>
      <c r="C821" s="1" t="n">
        <v>46135</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40929-2022</t>
        </is>
      </c>
      <c r="B822" s="1" t="n">
        <v>44825.4336574074</v>
      </c>
      <c r="C822" s="1" t="n">
        <v>46135</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50091-2023</t>
        </is>
      </c>
      <c r="B823" s="1" t="n">
        <v>45215.60199074074</v>
      </c>
      <c r="C823" s="1" t="n">
        <v>46135</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36008-2024</t>
        </is>
      </c>
      <c r="B824" s="1" t="n">
        <v>45533.55362268518</v>
      </c>
      <c r="C824" s="1" t="n">
        <v>46135</v>
      </c>
      <c r="D824" t="inlineStr">
        <is>
          <t>KALMAR LÄN</t>
        </is>
      </c>
      <c r="E824" t="inlineStr">
        <is>
          <t>VIMMERBY</t>
        </is>
      </c>
      <c r="G824" t="n">
        <v>3.7</v>
      </c>
      <c r="H824" t="n">
        <v>0</v>
      </c>
      <c r="I824" t="n">
        <v>0</v>
      </c>
      <c r="J824" t="n">
        <v>0</v>
      </c>
      <c r="K824" t="n">
        <v>0</v>
      </c>
      <c r="L824" t="n">
        <v>0</v>
      </c>
      <c r="M824" t="n">
        <v>0</v>
      </c>
      <c r="N824" t="n">
        <v>0</v>
      </c>
      <c r="O824" t="n">
        <v>0</v>
      </c>
      <c r="P824" t="n">
        <v>0</v>
      </c>
      <c r="Q824" t="n">
        <v>0</v>
      </c>
      <c r="R824" s="2" t="inlineStr"/>
    </row>
    <row r="825" ht="15" customHeight="1">
      <c r="A825" t="inlineStr">
        <is>
          <t>A 16622-2025</t>
        </is>
      </c>
      <c r="B825" s="1" t="n">
        <v>45754.33641203704</v>
      </c>
      <c r="C825" s="1" t="n">
        <v>46135</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17511-2024</t>
        </is>
      </c>
      <c r="B826" s="1" t="n">
        <v>45415.57682870371</v>
      </c>
      <c r="C826" s="1" t="n">
        <v>46135</v>
      </c>
      <c r="D826" t="inlineStr">
        <is>
          <t>KALMAR LÄN</t>
        </is>
      </c>
      <c r="E826" t="inlineStr">
        <is>
          <t>VIMMERBY</t>
        </is>
      </c>
      <c r="G826" t="n">
        <v>5.3</v>
      </c>
      <c r="H826" t="n">
        <v>0</v>
      </c>
      <c r="I826" t="n">
        <v>0</v>
      </c>
      <c r="J826" t="n">
        <v>0</v>
      </c>
      <c r="K826" t="n">
        <v>0</v>
      </c>
      <c r="L826" t="n">
        <v>0</v>
      </c>
      <c r="M826" t="n">
        <v>0</v>
      </c>
      <c r="N826" t="n">
        <v>0</v>
      </c>
      <c r="O826" t="n">
        <v>0</v>
      </c>
      <c r="P826" t="n">
        <v>0</v>
      </c>
      <c r="Q826" t="n">
        <v>0</v>
      </c>
      <c r="R826" s="2" t="inlineStr"/>
    </row>
    <row r="827" ht="15" customHeight="1">
      <c r="A827" t="inlineStr">
        <is>
          <t>A 43705-2023</t>
        </is>
      </c>
      <c r="B827" s="1" t="n">
        <v>45187.42854166667</v>
      </c>
      <c r="C827" s="1" t="n">
        <v>46135</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55300-2021</t>
        </is>
      </c>
      <c r="B828" s="1" t="n">
        <v>44475</v>
      </c>
      <c r="C828" s="1" t="n">
        <v>46135</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44179-2022</t>
        </is>
      </c>
      <c r="B829" s="1" t="n">
        <v>44839.4528125</v>
      </c>
      <c r="C829" s="1" t="n">
        <v>46135</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44875.27736111111</v>
      </c>
      <c r="C830" s="1" t="n">
        <v>46135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35998-2024</t>
        </is>
      </c>
      <c r="B831" s="1" t="n">
        <v>45533.54429398148</v>
      </c>
      <c r="C831" s="1" t="n">
        <v>46135</v>
      </c>
      <c r="D831" t="inlineStr">
        <is>
          <t>KALMAR LÄN</t>
        </is>
      </c>
      <c r="E831" t="inlineStr">
        <is>
          <t>VIMMERBY</t>
        </is>
      </c>
      <c r="G831" t="n">
        <v>8.6</v>
      </c>
      <c r="H831" t="n">
        <v>0</v>
      </c>
      <c r="I831" t="n">
        <v>0</v>
      </c>
      <c r="J831" t="n">
        <v>0</v>
      </c>
      <c r="K831" t="n">
        <v>0</v>
      </c>
      <c r="L831" t="n">
        <v>0</v>
      </c>
      <c r="M831" t="n">
        <v>0</v>
      </c>
      <c r="N831" t="n">
        <v>0</v>
      </c>
      <c r="O831" t="n">
        <v>0</v>
      </c>
      <c r="P831" t="n">
        <v>0</v>
      </c>
      <c r="Q831" t="n">
        <v>0</v>
      </c>
      <c r="R831" s="2" t="inlineStr"/>
    </row>
    <row r="832" ht="15" customHeight="1">
      <c r="A832" t="inlineStr">
        <is>
          <t>A 7797-2023</t>
        </is>
      </c>
      <c r="B832" s="1" t="n">
        <v>44973.43075231482</v>
      </c>
      <c r="C832" s="1" t="n">
        <v>46135</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29351-2023</t>
        </is>
      </c>
      <c r="B833" s="1" t="n">
        <v>45106.2610300926</v>
      </c>
      <c r="C833" s="1" t="n">
        <v>46135</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7630-2025</t>
        </is>
      </c>
      <c r="B834" s="1" t="n">
        <v>45705.74418981482</v>
      </c>
      <c r="C834" s="1" t="n">
        <v>46135</v>
      </c>
      <c r="D834" t="inlineStr">
        <is>
          <t>KALMAR LÄN</t>
        </is>
      </c>
      <c r="E834" t="inlineStr">
        <is>
          <t>VIMMERBY</t>
        </is>
      </c>
      <c r="G834" t="n">
        <v>2.5</v>
      </c>
      <c r="H834" t="n">
        <v>0</v>
      </c>
      <c r="I834" t="n">
        <v>0</v>
      </c>
      <c r="J834" t="n">
        <v>0</v>
      </c>
      <c r="K834" t="n">
        <v>0</v>
      </c>
      <c r="L834" t="n">
        <v>0</v>
      </c>
      <c r="M834" t="n">
        <v>0</v>
      </c>
      <c r="N834" t="n">
        <v>0</v>
      </c>
      <c r="O834" t="n">
        <v>0</v>
      </c>
      <c r="P834" t="n">
        <v>0</v>
      </c>
      <c r="Q834" t="n">
        <v>0</v>
      </c>
      <c r="R834" s="2" t="inlineStr"/>
    </row>
    <row r="835" ht="15" customHeight="1">
      <c r="A835" t="inlineStr">
        <is>
          <t>A 1024-2024</t>
        </is>
      </c>
      <c r="B835" s="1" t="n">
        <v>45301.68237268519</v>
      </c>
      <c r="C835" s="1" t="n">
        <v>46135</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10787-2025</t>
        </is>
      </c>
      <c r="B836" s="1" t="n">
        <v>45722.48915509259</v>
      </c>
      <c r="C836" s="1" t="n">
        <v>46135</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29350-2023</t>
        </is>
      </c>
      <c r="B837" s="1" t="n">
        <v>45106</v>
      </c>
      <c r="C837" s="1" t="n">
        <v>46135</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14855-2025</t>
        </is>
      </c>
      <c r="B838" s="1" t="n">
        <v>45743.41148148148</v>
      </c>
      <c r="C838" s="1" t="n">
        <v>46135</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43601-2024</t>
        </is>
      </c>
      <c r="B839" s="1" t="n">
        <v>45569.44684027778</v>
      </c>
      <c r="C839" s="1" t="n">
        <v>46135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35913-2023</t>
        </is>
      </c>
      <c r="B840" s="1" t="n">
        <v>45148</v>
      </c>
      <c r="C840" s="1" t="n">
        <v>46135</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9624-2024</t>
        </is>
      </c>
      <c r="B841" s="1" t="n">
        <v>45361.90282407407</v>
      </c>
      <c r="C841" s="1" t="n">
        <v>46135</v>
      </c>
      <c r="D841" t="inlineStr">
        <is>
          <t>KALMAR LÄN</t>
        </is>
      </c>
      <c r="E841" t="inlineStr">
        <is>
          <t>VIMMERBY</t>
        </is>
      </c>
      <c r="G841" t="n">
        <v>3.8</v>
      </c>
      <c r="H841" t="n">
        <v>0</v>
      </c>
      <c r="I841" t="n">
        <v>0</v>
      </c>
      <c r="J841" t="n">
        <v>0</v>
      </c>
      <c r="K841" t="n">
        <v>0</v>
      </c>
      <c r="L841" t="n">
        <v>0</v>
      </c>
      <c r="M841" t="n">
        <v>0</v>
      </c>
      <c r="N841" t="n">
        <v>0</v>
      </c>
      <c r="O841" t="n">
        <v>0</v>
      </c>
      <c r="P841" t="n">
        <v>0</v>
      </c>
      <c r="Q841" t="n">
        <v>0</v>
      </c>
      <c r="R841" s="2" t="inlineStr"/>
    </row>
    <row r="842" ht="15" customHeight="1">
      <c r="A842" t="inlineStr">
        <is>
          <t>A 3938-2023</t>
        </is>
      </c>
      <c r="B842" s="1" t="n">
        <v>44952.35775462963</v>
      </c>
      <c r="C842" s="1" t="n">
        <v>46135</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39053-2024</t>
        </is>
      </c>
      <c r="B843" s="1" t="n">
        <v>45548</v>
      </c>
      <c r="C843" s="1" t="n">
        <v>46135</v>
      </c>
      <c r="D843" t="inlineStr">
        <is>
          <t>KALMAR LÄN</t>
        </is>
      </c>
      <c r="E843" t="inlineStr">
        <is>
          <t>VIMMERBY</t>
        </is>
      </c>
      <c r="G843" t="n">
        <v>5</v>
      </c>
      <c r="H843" t="n">
        <v>0</v>
      </c>
      <c r="I843" t="n">
        <v>0</v>
      </c>
      <c r="J843" t="n">
        <v>0</v>
      </c>
      <c r="K843" t="n">
        <v>0</v>
      </c>
      <c r="L843" t="n">
        <v>0</v>
      </c>
      <c r="M843" t="n">
        <v>0</v>
      </c>
      <c r="N843" t="n">
        <v>0</v>
      </c>
      <c r="O843" t="n">
        <v>0</v>
      </c>
      <c r="P843" t="n">
        <v>0</v>
      </c>
      <c r="Q843" t="n">
        <v>0</v>
      </c>
      <c r="R843" s="2" t="inlineStr"/>
    </row>
    <row r="844" ht="15" customHeight="1">
      <c r="A844" t="inlineStr">
        <is>
          <t>A 14451-2024</t>
        </is>
      </c>
      <c r="B844" s="1" t="n">
        <v>45394.50028935185</v>
      </c>
      <c r="C844" s="1" t="n">
        <v>46135</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34205-2023</t>
        </is>
      </c>
      <c r="B845" s="1" t="n">
        <v>45138</v>
      </c>
      <c r="C845" s="1" t="n">
        <v>46135</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3268-2024</t>
        </is>
      </c>
      <c r="B846" s="1" t="n">
        <v>45317</v>
      </c>
      <c r="C846" s="1" t="n">
        <v>46135</v>
      </c>
      <c r="D846" t="inlineStr">
        <is>
          <t>KALMAR LÄN</t>
        </is>
      </c>
      <c r="E846" t="inlineStr">
        <is>
          <t>VIMMERBY</t>
        </is>
      </c>
      <c r="F846" t="inlineStr">
        <is>
          <t>Övriga Aktiebolag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12819-2024</t>
        </is>
      </c>
      <c r="B847" s="1" t="n">
        <v>45384.66917824074</v>
      </c>
      <c r="C847" s="1" t="n">
        <v>46135</v>
      </c>
      <c r="D847" t="inlineStr">
        <is>
          <t>KALMAR LÄN</t>
        </is>
      </c>
      <c r="E847" t="inlineStr">
        <is>
          <t>VIMMERBY</t>
        </is>
      </c>
      <c r="G847" t="n">
        <v>5.1</v>
      </c>
      <c r="H847" t="n">
        <v>0</v>
      </c>
      <c r="I847" t="n">
        <v>0</v>
      </c>
      <c r="J847" t="n">
        <v>0</v>
      </c>
      <c r="K847" t="n">
        <v>0</v>
      </c>
      <c r="L847" t="n">
        <v>0</v>
      </c>
      <c r="M847" t="n">
        <v>0</v>
      </c>
      <c r="N847" t="n">
        <v>0</v>
      </c>
      <c r="O847" t="n">
        <v>0</v>
      </c>
      <c r="P847" t="n">
        <v>0</v>
      </c>
      <c r="Q847" t="n">
        <v>0</v>
      </c>
      <c r="R847" s="2" t="inlineStr"/>
    </row>
    <row r="848" ht="15" customHeight="1">
      <c r="A848" t="inlineStr">
        <is>
          <t>A 6214-2025</t>
        </is>
      </c>
      <c r="B848" s="1" t="n">
        <v>45698.51711805556</v>
      </c>
      <c r="C848" s="1" t="n">
        <v>46135</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32569-2024</t>
        </is>
      </c>
      <c r="B849" s="1" t="n">
        <v>45513.55840277778</v>
      </c>
      <c r="C849" s="1" t="n">
        <v>46135</v>
      </c>
      <c r="D849" t="inlineStr">
        <is>
          <t>KALMAR LÄN</t>
        </is>
      </c>
      <c r="E849" t="inlineStr">
        <is>
          <t>VIMMERBY</t>
        </is>
      </c>
      <c r="G849" t="n">
        <v>3.7</v>
      </c>
      <c r="H849" t="n">
        <v>0</v>
      </c>
      <c r="I849" t="n">
        <v>0</v>
      </c>
      <c r="J849" t="n">
        <v>0</v>
      </c>
      <c r="K849" t="n">
        <v>0</v>
      </c>
      <c r="L849" t="n">
        <v>0</v>
      </c>
      <c r="M849" t="n">
        <v>0</v>
      </c>
      <c r="N849" t="n">
        <v>0</v>
      </c>
      <c r="O849" t="n">
        <v>0</v>
      </c>
      <c r="P849" t="n">
        <v>0</v>
      </c>
      <c r="Q849" t="n">
        <v>0</v>
      </c>
      <c r="R849" s="2" t="inlineStr"/>
    </row>
    <row r="850" ht="15" customHeight="1">
      <c r="A850" t="inlineStr">
        <is>
          <t>A 32575-2024</t>
        </is>
      </c>
      <c r="B850" s="1" t="n">
        <v>45513.56527777778</v>
      </c>
      <c r="C850" s="1" t="n">
        <v>46135</v>
      </c>
      <c r="D850" t="inlineStr">
        <is>
          <t>KALMAR LÄN</t>
        </is>
      </c>
      <c r="E850" t="inlineStr">
        <is>
          <t>VIMMERBY</t>
        </is>
      </c>
      <c r="G850" t="n">
        <v>1.5</v>
      </c>
      <c r="H850" t="n">
        <v>0</v>
      </c>
      <c r="I850" t="n">
        <v>0</v>
      </c>
      <c r="J850" t="n">
        <v>0</v>
      </c>
      <c r="K850" t="n">
        <v>0</v>
      </c>
      <c r="L850" t="n">
        <v>0</v>
      </c>
      <c r="M850" t="n">
        <v>0</v>
      </c>
      <c r="N850" t="n">
        <v>0</v>
      </c>
      <c r="O850" t="n">
        <v>0</v>
      </c>
      <c r="P850" t="n">
        <v>0</v>
      </c>
      <c r="Q850" t="n">
        <v>0</v>
      </c>
      <c r="R850" s="2" t="inlineStr"/>
    </row>
    <row r="851" ht="15" customHeight="1">
      <c r="A851" t="inlineStr">
        <is>
          <t>A 59300-2024</t>
        </is>
      </c>
      <c r="B851" s="1" t="n">
        <v>45637.66542824074</v>
      </c>
      <c r="C851" s="1" t="n">
        <v>46135</v>
      </c>
      <c r="D851" t="inlineStr">
        <is>
          <t>KALMAR LÄN</t>
        </is>
      </c>
      <c r="E851" t="inlineStr">
        <is>
          <t>VIMMERBY</t>
        </is>
      </c>
      <c r="G851" t="n">
        <v>0.8</v>
      </c>
      <c r="H851" t="n">
        <v>0</v>
      </c>
      <c r="I851" t="n">
        <v>0</v>
      </c>
      <c r="J851" t="n">
        <v>0</v>
      </c>
      <c r="K851" t="n">
        <v>0</v>
      </c>
      <c r="L851" t="n">
        <v>0</v>
      </c>
      <c r="M851" t="n">
        <v>0</v>
      </c>
      <c r="N851" t="n">
        <v>0</v>
      </c>
      <c r="O851" t="n">
        <v>0</v>
      </c>
      <c r="P851" t="n">
        <v>0</v>
      </c>
      <c r="Q851" t="n">
        <v>0</v>
      </c>
      <c r="R851" s="2" t="inlineStr"/>
    </row>
    <row r="852" ht="15" customHeight="1">
      <c r="A852" t="inlineStr">
        <is>
          <t>A 59768-2024</t>
        </is>
      </c>
      <c r="B852" s="1" t="n">
        <v>45639.56185185185</v>
      </c>
      <c r="C852" s="1" t="n">
        <v>46135</v>
      </c>
      <c r="D852" t="inlineStr">
        <is>
          <t>KALMAR LÄN</t>
        </is>
      </c>
      <c r="E852" t="inlineStr">
        <is>
          <t>VIMMERBY</t>
        </is>
      </c>
      <c r="G852" t="n">
        <v>5.9</v>
      </c>
      <c r="H852" t="n">
        <v>0</v>
      </c>
      <c r="I852" t="n">
        <v>0</v>
      </c>
      <c r="J852" t="n">
        <v>0</v>
      </c>
      <c r="K852" t="n">
        <v>0</v>
      </c>
      <c r="L852" t="n">
        <v>0</v>
      </c>
      <c r="M852" t="n">
        <v>0</v>
      </c>
      <c r="N852" t="n">
        <v>0</v>
      </c>
      <c r="O852" t="n">
        <v>0</v>
      </c>
      <c r="P852" t="n">
        <v>0</v>
      </c>
      <c r="Q852" t="n">
        <v>0</v>
      </c>
      <c r="R852" s="2" t="inlineStr"/>
    </row>
    <row r="853" ht="15" customHeight="1">
      <c r="A853" t="inlineStr">
        <is>
          <t>A 36526-2023</t>
        </is>
      </c>
      <c r="B853" s="1" t="n">
        <v>45153.32778935185</v>
      </c>
      <c r="C853" s="1" t="n">
        <v>46135</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58728-2024</t>
        </is>
      </c>
      <c r="B854" s="1" t="n">
        <v>45635.66695601852</v>
      </c>
      <c r="C854" s="1" t="n">
        <v>46135</v>
      </c>
      <c r="D854" t="inlineStr">
        <is>
          <t>KALMAR LÄN</t>
        </is>
      </c>
      <c r="E854" t="inlineStr">
        <is>
          <t>VIMMERBY</t>
        </is>
      </c>
      <c r="G854" t="n">
        <v>0.4</v>
      </c>
      <c r="H854" t="n">
        <v>0</v>
      </c>
      <c r="I854" t="n">
        <v>0</v>
      </c>
      <c r="J854" t="n">
        <v>0</v>
      </c>
      <c r="K854" t="n">
        <v>0</v>
      </c>
      <c r="L854" t="n">
        <v>0</v>
      </c>
      <c r="M854" t="n">
        <v>0</v>
      </c>
      <c r="N854" t="n">
        <v>0</v>
      </c>
      <c r="O854" t="n">
        <v>0</v>
      </c>
      <c r="P854" t="n">
        <v>0</v>
      </c>
      <c r="Q854" t="n">
        <v>0</v>
      </c>
      <c r="R854" s="2" t="inlineStr"/>
    </row>
    <row r="855" ht="15" customHeight="1">
      <c r="A855" t="inlineStr">
        <is>
          <t>A 49474-2023</t>
        </is>
      </c>
      <c r="B855" s="1" t="n">
        <v>45211.541875</v>
      </c>
      <c r="C855" s="1" t="n">
        <v>46135</v>
      </c>
      <c r="D855" t="inlineStr">
        <is>
          <t>KALMAR LÄN</t>
        </is>
      </c>
      <c r="E855" t="inlineStr">
        <is>
          <t>VIMMERBY</t>
        </is>
      </c>
      <c r="G855" t="n">
        <v>3.6</v>
      </c>
      <c r="H855" t="n">
        <v>0</v>
      </c>
      <c r="I855" t="n">
        <v>0</v>
      </c>
      <c r="J855" t="n">
        <v>0</v>
      </c>
      <c r="K855" t="n">
        <v>0</v>
      </c>
      <c r="L855" t="n">
        <v>0</v>
      </c>
      <c r="M855" t="n">
        <v>0</v>
      </c>
      <c r="N855" t="n">
        <v>0</v>
      </c>
      <c r="O855" t="n">
        <v>0</v>
      </c>
      <c r="P855" t="n">
        <v>0</v>
      </c>
      <c r="Q855" t="n">
        <v>0</v>
      </c>
      <c r="R855" s="2" t="inlineStr"/>
    </row>
    <row r="856" ht="15" customHeight="1">
      <c r="A856" t="inlineStr">
        <is>
          <t>A 57682-2022</t>
        </is>
      </c>
      <c r="B856" s="1" t="n">
        <v>44890</v>
      </c>
      <c r="C856" s="1" t="n">
        <v>46135</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63950-2023</t>
        </is>
      </c>
      <c r="B857" s="1" t="n">
        <v>45278</v>
      </c>
      <c r="C857" s="1" t="n">
        <v>46135</v>
      </c>
      <c r="D857" t="inlineStr">
        <is>
          <t>KALMAR LÄN</t>
        </is>
      </c>
      <c r="E857" t="inlineStr">
        <is>
          <t>VIMMERBY</t>
        </is>
      </c>
      <c r="F857" t="inlineStr">
        <is>
          <t>Kyrkan</t>
        </is>
      </c>
      <c r="G857" t="n">
        <v>2.7</v>
      </c>
      <c r="H857" t="n">
        <v>0</v>
      </c>
      <c r="I857" t="n">
        <v>0</v>
      </c>
      <c r="J857" t="n">
        <v>0</v>
      </c>
      <c r="K857" t="n">
        <v>0</v>
      </c>
      <c r="L857" t="n">
        <v>0</v>
      </c>
      <c r="M857" t="n">
        <v>0</v>
      </c>
      <c r="N857" t="n">
        <v>0</v>
      </c>
      <c r="O857" t="n">
        <v>0</v>
      </c>
      <c r="P857" t="n">
        <v>0</v>
      </c>
      <c r="Q857" t="n">
        <v>0</v>
      </c>
      <c r="R857" s="2" t="inlineStr"/>
    </row>
    <row r="858" ht="15" customHeight="1">
      <c r="A858" t="inlineStr">
        <is>
          <t>A 16516-2023</t>
        </is>
      </c>
      <c r="B858" s="1" t="n">
        <v>45029</v>
      </c>
      <c r="C858" s="1" t="n">
        <v>46135</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47842-2024</t>
        </is>
      </c>
      <c r="B859" s="1" t="n">
        <v>45588.65545138889</v>
      </c>
      <c r="C859" s="1" t="n">
        <v>46135</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6408-2025</t>
        </is>
      </c>
      <c r="B860" s="1" t="n">
        <v>45699.45671296296</v>
      </c>
      <c r="C860" s="1" t="n">
        <v>46135</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25109-2023</t>
        </is>
      </c>
      <c r="B861" s="1" t="n">
        <v>45086</v>
      </c>
      <c r="C861" s="1" t="n">
        <v>46135</v>
      </c>
      <c r="D861" t="inlineStr">
        <is>
          <t>KALMAR LÄN</t>
        </is>
      </c>
      <c r="E861" t="inlineStr">
        <is>
          <t>VIMMERBY</t>
        </is>
      </c>
      <c r="G861" t="n">
        <v>1.5</v>
      </c>
      <c r="H861" t="n">
        <v>0</v>
      </c>
      <c r="I861" t="n">
        <v>0</v>
      </c>
      <c r="J861" t="n">
        <v>0</v>
      </c>
      <c r="K861" t="n">
        <v>0</v>
      </c>
      <c r="L861" t="n">
        <v>0</v>
      </c>
      <c r="M861" t="n">
        <v>0</v>
      </c>
      <c r="N861" t="n">
        <v>0</v>
      </c>
      <c r="O861" t="n">
        <v>0</v>
      </c>
      <c r="P861" t="n">
        <v>0</v>
      </c>
      <c r="Q861" t="n">
        <v>0</v>
      </c>
      <c r="R861" s="2" t="inlineStr"/>
    </row>
    <row r="862" ht="15" customHeight="1">
      <c r="A862" t="inlineStr">
        <is>
          <t>A 33380-2023</t>
        </is>
      </c>
      <c r="B862" s="1" t="n">
        <v>45128</v>
      </c>
      <c r="C862" s="1" t="n">
        <v>46135</v>
      </c>
      <c r="D862" t="inlineStr">
        <is>
          <t>KALMAR LÄN</t>
        </is>
      </c>
      <c r="E862" t="inlineStr">
        <is>
          <t>VIMMERBY</t>
        </is>
      </c>
      <c r="G862" t="n">
        <v>5.2</v>
      </c>
      <c r="H862" t="n">
        <v>0</v>
      </c>
      <c r="I862" t="n">
        <v>0</v>
      </c>
      <c r="J862" t="n">
        <v>0</v>
      </c>
      <c r="K862" t="n">
        <v>0</v>
      </c>
      <c r="L862" t="n">
        <v>0</v>
      </c>
      <c r="M862" t="n">
        <v>0</v>
      </c>
      <c r="N862" t="n">
        <v>0</v>
      </c>
      <c r="O862" t="n">
        <v>0</v>
      </c>
      <c r="P862" t="n">
        <v>0</v>
      </c>
      <c r="Q862" t="n">
        <v>0</v>
      </c>
      <c r="R862" s="2" t="inlineStr"/>
    </row>
    <row r="863" ht="15" customHeight="1">
      <c r="A863" t="inlineStr">
        <is>
          <t>A 32639-2023</t>
        </is>
      </c>
      <c r="B863" s="1" t="n">
        <v>45121.5965162037</v>
      </c>
      <c r="C863" s="1" t="n">
        <v>46135</v>
      </c>
      <c r="D863" t="inlineStr">
        <is>
          <t>KALMAR LÄN</t>
        </is>
      </c>
      <c r="E863" t="inlineStr">
        <is>
          <t>VIMMERBY</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32642-2023</t>
        </is>
      </c>
      <c r="B864" s="1" t="n">
        <v>45121.59954861111</v>
      </c>
      <c r="C864" s="1" t="n">
        <v>46135</v>
      </c>
      <c r="D864" t="inlineStr">
        <is>
          <t>KALMAR LÄN</t>
        </is>
      </c>
      <c r="E864" t="inlineStr">
        <is>
          <t>VIMMERBY</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32651-2023</t>
        </is>
      </c>
      <c r="B865" s="1" t="n">
        <v>45121.6096875</v>
      </c>
      <c r="C865" s="1" t="n">
        <v>46135</v>
      </c>
      <c r="D865" t="inlineStr">
        <is>
          <t>KALMAR LÄN</t>
        </is>
      </c>
      <c r="E865" t="inlineStr">
        <is>
          <t>VIMMERBY</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11928-2022</t>
        </is>
      </c>
      <c r="B866" s="1" t="n">
        <v>44635</v>
      </c>
      <c r="C866" s="1" t="n">
        <v>46135</v>
      </c>
      <c r="D866" t="inlineStr">
        <is>
          <t>KALMAR LÄN</t>
        </is>
      </c>
      <c r="E866" t="inlineStr">
        <is>
          <t>VIMMERBY</t>
        </is>
      </c>
      <c r="G866" t="n">
        <v>2.8</v>
      </c>
      <c r="H866" t="n">
        <v>0</v>
      </c>
      <c r="I866" t="n">
        <v>0</v>
      </c>
      <c r="J866" t="n">
        <v>0</v>
      </c>
      <c r="K866" t="n">
        <v>0</v>
      </c>
      <c r="L866" t="n">
        <v>0</v>
      </c>
      <c r="M866" t="n">
        <v>0</v>
      </c>
      <c r="N866" t="n">
        <v>0</v>
      </c>
      <c r="O866" t="n">
        <v>0</v>
      </c>
      <c r="P866" t="n">
        <v>0</v>
      </c>
      <c r="Q866" t="n">
        <v>0</v>
      </c>
      <c r="R866" s="2" t="inlineStr"/>
    </row>
    <row r="867" ht="15" customHeight="1">
      <c r="A867" t="inlineStr">
        <is>
          <t>A 7068-2024</t>
        </is>
      </c>
      <c r="B867" s="1" t="n">
        <v>45343.68038194445</v>
      </c>
      <c r="C867" s="1" t="n">
        <v>46135</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46234-2024</t>
        </is>
      </c>
      <c r="B868" s="1" t="n">
        <v>45581.57958333333</v>
      </c>
      <c r="C868" s="1" t="n">
        <v>46135</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37187-2024</t>
        </is>
      </c>
      <c r="B869" s="1" t="n">
        <v>45539.65212962963</v>
      </c>
      <c r="C869" s="1" t="n">
        <v>46135</v>
      </c>
      <c r="D869" t="inlineStr">
        <is>
          <t>KALMAR LÄN</t>
        </is>
      </c>
      <c r="E869" t="inlineStr">
        <is>
          <t>VIMMERBY</t>
        </is>
      </c>
      <c r="G869" t="n">
        <v>2.7</v>
      </c>
      <c r="H869" t="n">
        <v>0</v>
      </c>
      <c r="I869" t="n">
        <v>0</v>
      </c>
      <c r="J869" t="n">
        <v>0</v>
      </c>
      <c r="K869" t="n">
        <v>0</v>
      </c>
      <c r="L869" t="n">
        <v>0</v>
      </c>
      <c r="M869" t="n">
        <v>0</v>
      </c>
      <c r="N869" t="n">
        <v>0</v>
      </c>
      <c r="O869" t="n">
        <v>0</v>
      </c>
      <c r="P869" t="n">
        <v>0</v>
      </c>
      <c r="Q869" t="n">
        <v>0</v>
      </c>
      <c r="R869" s="2" t="inlineStr"/>
    </row>
    <row r="870" ht="15" customHeight="1">
      <c r="A870" t="inlineStr">
        <is>
          <t>A 1021-2024</t>
        </is>
      </c>
      <c r="B870" s="1" t="n">
        <v>45301.67736111111</v>
      </c>
      <c r="C870" s="1" t="n">
        <v>46135</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72701-2021</t>
        </is>
      </c>
      <c r="B871" s="1" t="n">
        <v>44546</v>
      </c>
      <c r="C871" s="1" t="n">
        <v>46135</v>
      </c>
      <c r="D871" t="inlineStr">
        <is>
          <t>KALMAR LÄN</t>
        </is>
      </c>
      <c r="E871" t="inlineStr">
        <is>
          <t>VIMMERBY</t>
        </is>
      </c>
      <c r="G871" t="n">
        <v>0.7</v>
      </c>
      <c r="H871" t="n">
        <v>0</v>
      </c>
      <c r="I871" t="n">
        <v>0</v>
      </c>
      <c r="J871" t="n">
        <v>0</v>
      </c>
      <c r="K871" t="n">
        <v>0</v>
      </c>
      <c r="L871" t="n">
        <v>0</v>
      </c>
      <c r="M871" t="n">
        <v>0</v>
      </c>
      <c r="N871" t="n">
        <v>0</v>
      </c>
      <c r="O871" t="n">
        <v>0</v>
      </c>
      <c r="P871" t="n">
        <v>0</v>
      </c>
      <c r="Q871" t="n">
        <v>0</v>
      </c>
      <c r="R871" s="2" t="inlineStr"/>
    </row>
    <row r="872" ht="15" customHeight="1">
      <c r="A872" t="inlineStr">
        <is>
          <t>A 19111-2025</t>
        </is>
      </c>
      <c r="B872" s="1" t="n">
        <v>45768.65611111111</v>
      </c>
      <c r="C872" s="1" t="n">
        <v>46135</v>
      </c>
      <c r="D872" t="inlineStr">
        <is>
          <t>KALMAR LÄN</t>
        </is>
      </c>
      <c r="E872" t="inlineStr">
        <is>
          <t>VIMMERBY</t>
        </is>
      </c>
      <c r="G872" t="n">
        <v>6.2</v>
      </c>
      <c r="H872" t="n">
        <v>0</v>
      </c>
      <c r="I872" t="n">
        <v>0</v>
      </c>
      <c r="J872" t="n">
        <v>0</v>
      </c>
      <c r="K872" t="n">
        <v>0</v>
      </c>
      <c r="L872" t="n">
        <v>0</v>
      </c>
      <c r="M872" t="n">
        <v>0</v>
      </c>
      <c r="N872" t="n">
        <v>0</v>
      </c>
      <c r="O872" t="n">
        <v>0</v>
      </c>
      <c r="P872" t="n">
        <v>0</v>
      </c>
      <c r="Q872" t="n">
        <v>0</v>
      </c>
      <c r="R872" s="2" t="inlineStr"/>
    </row>
    <row r="873" ht="15" customHeight="1">
      <c r="A873" t="inlineStr">
        <is>
          <t>A 33374-2021</t>
        </is>
      </c>
      <c r="B873" s="1" t="n">
        <v>44377</v>
      </c>
      <c r="C873" s="1" t="n">
        <v>46135</v>
      </c>
      <c r="D873" t="inlineStr">
        <is>
          <t>KALMAR LÄN</t>
        </is>
      </c>
      <c r="E873" t="inlineStr">
        <is>
          <t>VIMMERBY</t>
        </is>
      </c>
      <c r="G873" t="n">
        <v>3.3</v>
      </c>
      <c r="H873" t="n">
        <v>0</v>
      </c>
      <c r="I873" t="n">
        <v>0</v>
      </c>
      <c r="J873" t="n">
        <v>0</v>
      </c>
      <c r="K873" t="n">
        <v>0</v>
      </c>
      <c r="L873" t="n">
        <v>0</v>
      </c>
      <c r="M873" t="n">
        <v>0</v>
      </c>
      <c r="N873" t="n">
        <v>0</v>
      </c>
      <c r="O873" t="n">
        <v>0</v>
      </c>
      <c r="P873" t="n">
        <v>0</v>
      </c>
      <c r="Q873" t="n">
        <v>0</v>
      </c>
      <c r="R873" s="2" t="inlineStr"/>
    </row>
    <row r="874" ht="15" customHeight="1">
      <c r="A874" t="inlineStr">
        <is>
          <t>A 10807-2024</t>
        </is>
      </c>
      <c r="B874" s="1" t="n">
        <v>45369.62780092593</v>
      </c>
      <c r="C874" s="1" t="n">
        <v>46135</v>
      </c>
      <c r="D874" t="inlineStr">
        <is>
          <t>KALMAR LÄN</t>
        </is>
      </c>
      <c r="E874" t="inlineStr">
        <is>
          <t>VIMMERBY</t>
        </is>
      </c>
      <c r="G874" t="n">
        <v>0.7</v>
      </c>
      <c r="H874" t="n">
        <v>0</v>
      </c>
      <c r="I874" t="n">
        <v>0</v>
      </c>
      <c r="J874" t="n">
        <v>0</v>
      </c>
      <c r="K874" t="n">
        <v>0</v>
      </c>
      <c r="L874" t="n">
        <v>0</v>
      </c>
      <c r="M874" t="n">
        <v>0</v>
      </c>
      <c r="N874" t="n">
        <v>0</v>
      </c>
      <c r="O874" t="n">
        <v>0</v>
      </c>
      <c r="P874" t="n">
        <v>0</v>
      </c>
      <c r="Q874" t="n">
        <v>0</v>
      </c>
      <c r="R874" s="2" t="inlineStr"/>
    </row>
    <row r="875" ht="15" customHeight="1">
      <c r="A875" t="inlineStr">
        <is>
          <t>A 33359-2021</t>
        </is>
      </c>
      <c r="B875" s="1" t="n">
        <v>44377.49684027778</v>
      </c>
      <c r="C875" s="1" t="n">
        <v>46135</v>
      </c>
      <c r="D875" t="inlineStr">
        <is>
          <t>KALMAR LÄN</t>
        </is>
      </c>
      <c r="E875" t="inlineStr">
        <is>
          <t>VIMMERBY</t>
        </is>
      </c>
      <c r="F875" t="inlineStr">
        <is>
          <t>Kommuner</t>
        </is>
      </c>
      <c r="G875" t="n">
        <v>8</v>
      </c>
      <c r="H875" t="n">
        <v>0</v>
      </c>
      <c r="I875" t="n">
        <v>0</v>
      </c>
      <c r="J875" t="n">
        <v>0</v>
      </c>
      <c r="K875" t="n">
        <v>0</v>
      </c>
      <c r="L875" t="n">
        <v>0</v>
      </c>
      <c r="M875" t="n">
        <v>0</v>
      </c>
      <c r="N875" t="n">
        <v>0</v>
      </c>
      <c r="O875" t="n">
        <v>0</v>
      </c>
      <c r="P875" t="n">
        <v>0</v>
      </c>
      <c r="Q875" t="n">
        <v>0</v>
      </c>
      <c r="R875" s="2" t="inlineStr"/>
    </row>
    <row r="876" ht="15" customHeight="1">
      <c r="A876" t="inlineStr">
        <is>
          <t>A 34588-2024</t>
        </is>
      </c>
      <c r="B876" s="1" t="n">
        <v>45526.3865625</v>
      </c>
      <c r="C876" s="1" t="n">
        <v>46135</v>
      </c>
      <c r="D876" t="inlineStr">
        <is>
          <t>KALMAR LÄN</t>
        </is>
      </c>
      <c r="E876" t="inlineStr">
        <is>
          <t>VIMMERBY</t>
        </is>
      </c>
      <c r="F876" t="inlineStr">
        <is>
          <t>Övriga Aktiebolag</t>
        </is>
      </c>
      <c r="G876" t="n">
        <v>3.3</v>
      </c>
      <c r="H876" t="n">
        <v>0</v>
      </c>
      <c r="I876" t="n">
        <v>0</v>
      </c>
      <c r="J876" t="n">
        <v>0</v>
      </c>
      <c r="K876" t="n">
        <v>0</v>
      </c>
      <c r="L876" t="n">
        <v>0</v>
      </c>
      <c r="M876" t="n">
        <v>0</v>
      </c>
      <c r="N876" t="n">
        <v>0</v>
      </c>
      <c r="O876" t="n">
        <v>0</v>
      </c>
      <c r="P876" t="n">
        <v>0</v>
      </c>
      <c r="Q876" t="n">
        <v>0</v>
      </c>
      <c r="R876" s="2" t="inlineStr"/>
    </row>
    <row r="877" ht="15" customHeight="1">
      <c r="A877" t="inlineStr">
        <is>
          <t>A 17084-2025</t>
        </is>
      </c>
      <c r="B877" s="1" t="n">
        <v>45755.64450231481</v>
      </c>
      <c r="C877" s="1" t="n">
        <v>46135</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33161-2024</t>
        </is>
      </c>
      <c r="B878" s="1" t="n">
        <v>45518.40657407408</v>
      </c>
      <c r="C878" s="1" t="n">
        <v>46135</v>
      </c>
      <c r="D878" t="inlineStr">
        <is>
          <t>KALMAR LÄN</t>
        </is>
      </c>
      <c r="E878" t="inlineStr">
        <is>
          <t>VIMMERBY</t>
        </is>
      </c>
      <c r="G878" t="n">
        <v>4.7</v>
      </c>
      <c r="H878" t="n">
        <v>0</v>
      </c>
      <c r="I878" t="n">
        <v>0</v>
      </c>
      <c r="J878" t="n">
        <v>0</v>
      </c>
      <c r="K878" t="n">
        <v>0</v>
      </c>
      <c r="L878" t="n">
        <v>0</v>
      </c>
      <c r="M878" t="n">
        <v>0</v>
      </c>
      <c r="N878" t="n">
        <v>0</v>
      </c>
      <c r="O878" t="n">
        <v>0</v>
      </c>
      <c r="P878" t="n">
        <v>0</v>
      </c>
      <c r="Q878" t="n">
        <v>0</v>
      </c>
      <c r="R878" s="2" t="inlineStr"/>
    </row>
    <row r="879" ht="15" customHeight="1">
      <c r="A879" t="inlineStr">
        <is>
          <t>A 14359-2025</t>
        </is>
      </c>
      <c r="B879" s="1" t="n">
        <v>45741.37270833334</v>
      </c>
      <c r="C879" s="1" t="n">
        <v>46135</v>
      </c>
      <c r="D879" t="inlineStr">
        <is>
          <t>KALMAR LÄN</t>
        </is>
      </c>
      <c r="E879" t="inlineStr">
        <is>
          <t>VIMMERBY</t>
        </is>
      </c>
      <c r="G879" t="n">
        <v>2</v>
      </c>
      <c r="H879" t="n">
        <v>0</v>
      </c>
      <c r="I879" t="n">
        <v>0</v>
      </c>
      <c r="J879" t="n">
        <v>0</v>
      </c>
      <c r="K879" t="n">
        <v>0</v>
      </c>
      <c r="L879" t="n">
        <v>0</v>
      </c>
      <c r="M879" t="n">
        <v>0</v>
      </c>
      <c r="N879" t="n">
        <v>0</v>
      </c>
      <c r="O879" t="n">
        <v>0</v>
      </c>
      <c r="P879" t="n">
        <v>0</v>
      </c>
      <c r="Q879" t="n">
        <v>0</v>
      </c>
      <c r="R879" s="2" t="inlineStr"/>
    </row>
    <row r="880" ht="15" customHeight="1">
      <c r="A880" t="inlineStr">
        <is>
          <t>A 55605-2024</t>
        </is>
      </c>
      <c r="B880" s="1" t="n">
        <v>45622</v>
      </c>
      <c r="C880" s="1" t="n">
        <v>46135</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44464-2024</t>
        </is>
      </c>
      <c r="B881" s="1" t="n">
        <v>45574.35809027778</v>
      </c>
      <c r="C881" s="1" t="n">
        <v>46135</v>
      </c>
      <c r="D881" t="inlineStr">
        <is>
          <t>KALMAR LÄN</t>
        </is>
      </c>
      <c r="E881" t="inlineStr">
        <is>
          <t>VIMMERBY</t>
        </is>
      </c>
      <c r="G881" t="n">
        <v>0.7</v>
      </c>
      <c r="H881" t="n">
        <v>0</v>
      </c>
      <c r="I881" t="n">
        <v>0</v>
      </c>
      <c r="J881" t="n">
        <v>0</v>
      </c>
      <c r="K881" t="n">
        <v>0</v>
      </c>
      <c r="L881" t="n">
        <v>0</v>
      </c>
      <c r="M881" t="n">
        <v>0</v>
      </c>
      <c r="N881" t="n">
        <v>0</v>
      </c>
      <c r="O881" t="n">
        <v>0</v>
      </c>
      <c r="P881" t="n">
        <v>0</v>
      </c>
      <c r="Q881" t="n">
        <v>0</v>
      </c>
      <c r="R881" s="2" t="inlineStr"/>
    </row>
    <row r="882" ht="15" customHeight="1">
      <c r="A882" t="inlineStr">
        <is>
          <t>A 36049-2024</t>
        </is>
      </c>
      <c r="B882" s="1" t="n">
        <v>45533.61996527778</v>
      </c>
      <c r="C882" s="1" t="n">
        <v>46135</v>
      </c>
      <c r="D882" t="inlineStr">
        <is>
          <t>KALMAR LÄN</t>
        </is>
      </c>
      <c r="E882" t="inlineStr">
        <is>
          <t>VIMMERBY</t>
        </is>
      </c>
      <c r="F882" t="inlineStr">
        <is>
          <t>Kommuner</t>
        </is>
      </c>
      <c r="G882" t="n">
        <v>2.6</v>
      </c>
      <c r="H882" t="n">
        <v>0</v>
      </c>
      <c r="I882" t="n">
        <v>0</v>
      </c>
      <c r="J882" t="n">
        <v>0</v>
      </c>
      <c r="K882" t="n">
        <v>0</v>
      </c>
      <c r="L882" t="n">
        <v>0</v>
      </c>
      <c r="M882" t="n">
        <v>0</v>
      </c>
      <c r="N882" t="n">
        <v>0</v>
      </c>
      <c r="O882" t="n">
        <v>0</v>
      </c>
      <c r="P882" t="n">
        <v>0</v>
      </c>
      <c r="Q882" t="n">
        <v>0</v>
      </c>
      <c r="R882" s="2" t="inlineStr"/>
    </row>
    <row r="883" ht="15" customHeight="1">
      <c r="A883" t="inlineStr">
        <is>
          <t>A 4297-2022</t>
        </is>
      </c>
      <c r="B883" s="1" t="n">
        <v>44588</v>
      </c>
      <c r="C883" s="1" t="n">
        <v>46135</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46399-2024</t>
        </is>
      </c>
      <c r="B884" s="1" t="n">
        <v>45582.41200231481</v>
      </c>
      <c r="C884" s="1" t="n">
        <v>46135</v>
      </c>
      <c r="D884" t="inlineStr">
        <is>
          <t>KALMAR LÄN</t>
        </is>
      </c>
      <c r="E884" t="inlineStr">
        <is>
          <t>VIMMERBY</t>
        </is>
      </c>
      <c r="G884" t="n">
        <v>4.6</v>
      </c>
      <c r="H884" t="n">
        <v>0</v>
      </c>
      <c r="I884" t="n">
        <v>0</v>
      </c>
      <c r="J884" t="n">
        <v>0</v>
      </c>
      <c r="K884" t="n">
        <v>0</v>
      </c>
      <c r="L884" t="n">
        <v>0</v>
      </c>
      <c r="M884" t="n">
        <v>0</v>
      </c>
      <c r="N884" t="n">
        <v>0</v>
      </c>
      <c r="O884" t="n">
        <v>0</v>
      </c>
      <c r="P884" t="n">
        <v>0</v>
      </c>
      <c r="Q884" t="n">
        <v>0</v>
      </c>
      <c r="R884" s="2" t="inlineStr"/>
    </row>
    <row r="885" ht="15" customHeight="1">
      <c r="A885" t="inlineStr">
        <is>
          <t>A 13532-2025</t>
        </is>
      </c>
      <c r="B885" s="1" t="n">
        <v>45736.50743055555</v>
      </c>
      <c r="C885" s="1" t="n">
        <v>46135</v>
      </c>
      <c r="D885" t="inlineStr">
        <is>
          <t>KALMAR LÄN</t>
        </is>
      </c>
      <c r="E885" t="inlineStr">
        <is>
          <t>VIMMERBY</t>
        </is>
      </c>
      <c r="G885" t="n">
        <v>3.6</v>
      </c>
      <c r="H885" t="n">
        <v>0</v>
      </c>
      <c r="I885" t="n">
        <v>0</v>
      </c>
      <c r="J885" t="n">
        <v>0</v>
      </c>
      <c r="K885" t="n">
        <v>0</v>
      </c>
      <c r="L885" t="n">
        <v>0</v>
      </c>
      <c r="M885" t="n">
        <v>0</v>
      </c>
      <c r="N885" t="n">
        <v>0</v>
      </c>
      <c r="O885" t="n">
        <v>0</v>
      </c>
      <c r="P885" t="n">
        <v>0</v>
      </c>
      <c r="Q885" t="n">
        <v>0</v>
      </c>
      <c r="R885" s="2" t="inlineStr"/>
    </row>
    <row r="886" ht="15" customHeight="1">
      <c r="A886" t="inlineStr">
        <is>
          <t>A 43038-2022</t>
        </is>
      </c>
      <c r="B886" s="1" t="n">
        <v>44833.60123842592</v>
      </c>
      <c r="C886" s="1" t="n">
        <v>46135</v>
      </c>
      <c r="D886" t="inlineStr">
        <is>
          <t>KALMAR LÄN</t>
        </is>
      </c>
      <c r="E886" t="inlineStr">
        <is>
          <t>VIMMERBY</t>
        </is>
      </c>
      <c r="G886" t="n">
        <v>4.2</v>
      </c>
      <c r="H886" t="n">
        <v>0</v>
      </c>
      <c r="I886" t="n">
        <v>0</v>
      </c>
      <c r="J886" t="n">
        <v>0</v>
      </c>
      <c r="K886" t="n">
        <v>0</v>
      </c>
      <c r="L886" t="n">
        <v>0</v>
      </c>
      <c r="M886" t="n">
        <v>0</v>
      </c>
      <c r="N886" t="n">
        <v>0</v>
      </c>
      <c r="O886" t="n">
        <v>0</v>
      </c>
      <c r="P886" t="n">
        <v>0</v>
      </c>
      <c r="Q886" t="n">
        <v>0</v>
      </c>
      <c r="R886" s="2" t="inlineStr"/>
    </row>
    <row r="887" ht="15" customHeight="1">
      <c r="A887" t="inlineStr">
        <is>
          <t>A 57799-2022</t>
        </is>
      </c>
      <c r="B887" s="1" t="n">
        <v>44897</v>
      </c>
      <c r="C887" s="1" t="n">
        <v>46135</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30921-2024</t>
        </is>
      </c>
      <c r="B888" s="1" t="n">
        <v>45498</v>
      </c>
      <c r="C888" s="1" t="n">
        <v>46135</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14137-2023</t>
        </is>
      </c>
      <c r="B889" s="1" t="n">
        <v>45009.4671875</v>
      </c>
      <c r="C889" s="1" t="n">
        <v>46135</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11152-2023</t>
        </is>
      </c>
      <c r="B890" s="1" t="n">
        <v>44992</v>
      </c>
      <c r="C890" s="1" t="n">
        <v>46135</v>
      </c>
      <c r="D890" t="inlineStr">
        <is>
          <t>KALMAR LÄN</t>
        </is>
      </c>
      <c r="E890" t="inlineStr">
        <is>
          <t>VIMMERBY</t>
        </is>
      </c>
      <c r="G890" t="n">
        <v>10.6</v>
      </c>
      <c r="H890" t="n">
        <v>0</v>
      </c>
      <c r="I890" t="n">
        <v>0</v>
      </c>
      <c r="J890" t="n">
        <v>0</v>
      </c>
      <c r="K890" t="n">
        <v>0</v>
      </c>
      <c r="L890" t="n">
        <v>0</v>
      </c>
      <c r="M890" t="n">
        <v>0</v>
      </c>
      <c r="N890" t="n">
        <v>0</v>
      </c>
      <c r="O890" t="n">
        <v>0</v>
      </c>
      <c r="P890" t="n">
        <v>0</v>
      </c>
      <c r="Q890" t="n">
        <v>0</v>
      </c>
      <c r="R890" s="2" t="inlineStr"/>
    </row>
    <row r="891" ht="15" customHeight="1">
      <c r="A891" t="inlineStr">
        <is>
          <t>A 12499-2023</t>
        </is>
      </c>
      <c r="B891" s="1" t="n">
        <v>44999.86172453704</v>
      </c>
      <c r="C891" s="1" t="n">
        <v>46135</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12500-2023</t>
        </is>
      </c>
      <c r="B892" s="1" t="n">
        <v>44999.8625</v>
      </c>
      <c r="C892" s="1" t="n">
        <v>46135</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35846-2023</t>
        </is>
      </c>
      <c r="B893" s="1" t="n">
        <v>45148</v>
      </c>
      <c r="C893" s="1" t="n">
        <v>46135</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49039-2021</t>
        </is>
      </c>
      <c r="B894" s="1" t="n">
        <v>44453.56578703703</v>
      </c>
      <c r="C894" s="1" t="n">
        <v>46135</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46224-2024</t>
        </is>
      </c>
      <c r="B895" s="1" t="n">
        <v>45581.57016203704</v>
      </c>
      <c r="C895" s="1" t="n">
        <v>46135</v>
      </c>
      <c r="D895" t="inlineStr">
        <is>
          <t>KALMAR LÄN</t>
        </is>
      </c>
      <c r="E895" t="inlineStr">
        <is>
          <t>VIMMERBY</t>
        </is>
      </c>
      <c r="G895" t="n">
        <v>3.1</v>
      </c>
      <c r="H895" t="n">
        <v>0</v>
      </c>
      <c r="I895" t="n">
        <v>0</v>
      </c>
      <c r="J895" t="n">
        <v>0</v>
      </c>
      <c r="K895" t="n">
        <v>0</v>
      </c>
      <c r="L895" t="n">
        <v>0</v>
      </c>
      <c r="M895" t="n">
        <v>0</v>
      </c>
      <c r="N895" t="n">
        <v>0</v>
      </c>
      <c r="O895" t="n">
        <v>0</v>
      </c>
      <c r="P895" t="n">
        <v>0</v>
      </c>
      <c r="Q895" t="n">
        <v>0</v>
      </c>
      <c r="R895" s="2" t="inlineStr"/>
    </row>
    <row r="896" ht="15" customHeight="1">
      <c r="A896" t="inlineStr">
        <is>
          <t>A 46238-2024</t>
        </is>
      </c>
      <c r="B896" s="1" t="n">
        <v>45581.58418981481</v>
      </c>
      <c r="C896" s="1" t="n">
        <v>46135</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30633-2024</t>
        </is>
      </c>
      <c r="B897" s="1" t="n">
        <v>45495</v>
      </c>
      <c r="C897" s="1" t="n">
        <v>46135</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54838-2024</t>
        </is>
      </c>
      <c r="B898" s="1" t="n">
        <v>45618.56787037037</v>
      </c>
      <c r="C898" s="1" t="n">
        <v>46135</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6405-2025</t>
        </is>
      </c>
      <c r="B899" s="1" t="n">
        <v>45699.45392361111</v>
      </c>
      <c r="C899" s="1" t="n">
        <v>46135</v>
      </c>
      <c r="D899" t="inlineStr">
        <is>
          <t>KALMAR LÄN</t>
        </is>
      </c>
      <c r="E899" t="inlineStr">
        <is>
          <t>VIMMERBY</t>
        </is>
      </c>
      <c r="G899" t="n">
        <v>1.2</v>
      </c>
      <c r="H899" t="n">
        <v>0</v>
      </c>
      <c r="I899" t="n">
        <v>0</v>
      </c>
      <c r="J899" t="n">
        <v>0</v>
      </c>
      <c r="K899" t="n">
        <v>0</v>
      </c>
      <c r="L899" t="n">
        <v>0</v>
      </c>
      <c r="M899" t="n">
        <v>0</v>
      </c>
      <c r="N899" t="n">
        <v>0</v>
      </c>
      <c r="O899" t="n">
        <v>0</v>
      </c>
      <c r="P899" t="n">
        <v>0</v>
      </c>
      <c r="Q899" t="n">
        <v>0</v>
      </c>
      <c r="R899" s="2" t="inlineStr"/>
    </row>
    <row r="900" ht="15" customHeight="1">
      <c r="A900" t="inlineStr">
        <is>
          <t>A 60437-2023</t>
        </is>
      </c>
      <c r="B900" s="1" t="n">
        <v>45259.51916666667</v>
      </c>
      <c r="C900" s="1" t="n">
        <v>46135</v>
      </c>
      <c r="D900" t="inlineStr">
        <is>
          <t>KALMAR LÄN</t>
        </is>
      </c>
      <c r="E900" t="inlineStr">
        <is>
          <t>VIMMERBY</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60438-2023</t>
        </is>
      </c>
      <c r="B901" s="1" t="n">
        <v>45259.52020833334</v>
      </c>
      <c r="C901" s="1" t="n">
        <v>46135</v>
      </c>
      <c r="D901" t="inlineStr">
        <is>
          <t>KALMAR LÄN</t>
        </is>
      </c>
      <c r="E901" t="inlineStr">
        <is>
          <t>VIMMERBY</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42165-2024</t>
        </is>
      </c>
      <c r="B902" s="1" t="n">
        <v>45562.46342592593</v>
      </c>
      <c r="C902" s="1" t="n">
        <v>46135</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25244-2023</t>
        </is>
      </c>
      <c r="B903" s="1" t="n">
        <v>45086</v>
      </c>
      <c r="C903" s="1" t="n">
        <v>46135</v>
      </c>
      <c r="D903" t="inlineStr">
        <is>
          <t>KALMAR LÄN</t>
        </is>
      </c>
      <c r="E903" t="inlineStr">
        <is>
          <t>VIMMERBY</t>
        </is>
      </c>
      <c r="G903" t="n">
        <v>4.7</v>
      </c>
      <c r="H903" t="n">
        <v>0</v>
      </c>
      <c r="I903" t="n">
        <v>0</v>
      </c>
      <c r="J903" t="n">
        <v>0</v>
      </c>
      <c r="K903" t="n">
        <v>0</v>
      </c>
      <c r="L903" t="n">
        <v>0</v>
      </c>
      <c r="M903" t="n">
        <v>0</v>
      </c>
      <c r="N903" t="n">
        <v>0</v>
      </c>
      <c r="O903" t="n">
        <v>0</v>
      </c>
      <c r="P903" t="n">
        <v>0</v>
      </c>
      <c r="Q903" t="n">
        <v>0</v>
      </c>
      <c r="R903" s="2" t="inlineStr"/>
    </row>
    <row r="904" ht="15" customHeight="1">
      <c r="A904" t="inlineStr">
        <is>
          <t>A 66022-2021</t>
        </is>
      </c>
      <c r="B904" s="1" t="n">
        <v>44517</v>
      </c>
      <c r="C904" s="1" t="n">
        <v>46135</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35895-2024</t>
        </is>
      </c>
      <c r="B905" s="1" t="n">
        <v>45533.38870370371</v>
      </c>
      <c r="C905" s="1" t="n">
        <v>46135</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11073-2023</t>
        </is>
      </c>
      <c r="B906" s="1" t="n">
        <v>44992</v>
      </c>
      <c r="C906" s="1" t="n">
        <v>46135</v>
      </c>
      <c r="D906" t="inlineStr">
        <is>
          <t>KALMAR LÄN</t>
        </is>
      </c>
      <c r="E906" t="inlineStr">
        <is>
          <t>VIMMERBY</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17-2025</t>
        </is>
      </c>
      <c r="B907" s="1" t="n">
        <v>45658.78774305555</v>
      </c>
      <c r="C907" s="1" t="n">
        <v>46135</v>
      </c>
      <c r="D907" t="inlineStr">
        <is>
          <t>KALMAR LÄN</t>
        </is>
      </c>
      <c r="E907" t="inlineStr">
        <is>
          <t>VIMMERBY</t>
        </is>
      </c>
      <c r="G907" t="n">
        <v>4.4</v>
      </c>
      <c r="H907" t="n">
        <v>0</v>
      </c>
      <c r="I907" t="n">
        <v>0</v>
      </c>
      <c r="J907" t="n">
        <v>0</v>
      </c>
      <c r="K907" t="n">
        <v>0</v>
      </c>
      <c r="L907" t="n">
        <v>0</v>
      </c>
      <c r="M907" t="n">
        <v>0</v>
      </c>
      <c r="N907" t="n">
        <v>0</v>
      </c>
      <c r="O907" t="n">
        <v>0</v>
      </c>
      <c r="P907" t="n">
        <v>0</v>
      </c>
      <c r="Q907" t="n">
        <v>0</v>
      </c>
      <c r="R907" s="2" t="inlineStr"/>
    </row>
    <row r="908" ht="15" customHeight="1">
      <c r="A908" t="inlineStr">
        <is>
          <t>A 32655-2023</t>
        </is>
      </c>
      <c r="B908" s="1" t="n">
        <v>45121.61318287037</v>
      </c>
      <c r="C908" s="1" t="n">
        <v>46135</v>
      </c>
      <c r="D908" t="inlineStr">
        <is>
          <t>KALMAR LÄN</t>
        </is>
      </c>
      <c r="E908" t="inlineStr">
        <is>
          <t>VIMMERBY</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63541-2023</t>
        </is>
      </c>
      <c r="B909" s="1" t="n">
        <v>45275.32266203704</v>
      </c>
      <c r="C909" s="1" t="n">
        <v>46135</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28034-2022</t>
        </is>
      </c>
      <c r="B910" s="1" t="n">
        <v>44746.38834490741</v>
      </c>
      <c r="C910" s="1" t="n">
        <v>46135</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5938-2022</t>
        </is>
      </c>
      <c r="B911" s="1" t="n">
        <v>44598</v>
      </c>
      <c r="C911" s="1" t="n">
        <v>46135</v>
      </c>
      <c r="D911" t="inlineStr">
        <is>
          <t>KALMAR LÄN</t>
        </is>
      </c>
      <c r="E911" t="inlineStr">
        <is>
          <t>VIMMERBY</t>
        </is>
      </c>
      <c r="G911" t="n">
        <v>2.4</v>
      </c>
      <c r="H911" t="n">
        <v>0</v>
      </c>
      <c r="I911" t="n">
        <v>0</v>
      </c>
      <c r="J911" t="n">
        <v>0</v>
      </c>
      <c r="K911" t="n">
        <v>0</v>
      </c>
      <c r="L911" t="n">
        <v>0</v>
      </c>
      <c r="M911" t="n">
        <v>0</v>
      </c>
      <c r="N911" t="n">
        <v>0</v>
      </c>
      <c r="O911" t="n">
        <v>0</v>
      </c>
      <c r="P911" t="n">
        <v>0</v>
      </c>
      <c r="Q911" t="n">
        <v>0</v>
      </c>
      <c r="R911" s="2" t="inlineStr"/>
    </row>
    <row r="912" ht="15" customHeight="1">
      <c r="A912" t="inlineStr">
        <is>
          <t>A 24283-2023</t>
        </is>
      </c>
      <c r="B912" s="1" t="n">
        <v>45079.87827546296</v>
      </c>
      <c r="C912" s="1" t="n">
        <v>46135</v>
      </c>
      <c r="D912" t="inlineStr">
        <is>
          <t>KALMAR LÄN</t>
        </is>
      </c>
      <c r="E912" t="inlineStr">
        <is>
          <t>VIMMERBY</t>
        </is>
      </c>
      <c r="G912" t="n">
        <v>2</v>
      </c>
      <c r="H912" t="n">
        <v>0</v>
      </c>
      <c r="I912" t="n">
        <v>0</v>
      </c>
      <c r="J912" t="n">
        <v>0</v>
      </c>
      <c r="K912" t="n">
        <v>0</v>
      </c>
      <c r="L912" t="n">
        <v>0</v>
      </c>
      <c r="M912" t="n">
        <v>0</v>
      </c>
      <c r="N912" t="n">
        <v>0</v>
      </c>
      <c r="O912" t="n">
        <v>0</v>
      </c>
      <c r="P912" t="n">
        <v>0</v>
      </c>
      <c r="Q912" t="n">
        <v>0</v>
      </c>
      <c r="R912" s="2" t="inlineStr"/>
    </row>
    <row r="913" ht="15" customHeight="1">
      <c r="A913" t="inlineStr">
        <is>
          <t>A 2462-2022</t>
        </is>
      </c>
      <c r="B913" s="1" t="n">
        <v>44579.62225694444</v>
      </c>
      <c r="C913" s="1" t="n">
        <v>46135</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60228-2021</t>
        </is>
      </c>
      <c r="B914" s="1" t="n">
        <v>44495</v>
      </c>
      <c r="C914" s="1" t="n">
        <v>46135</v>
      </c>
      <c r="D914" t="inlineStr">
        <is>
          <t>KALMAR LÄN</t>
        </is>
      </c>
      <c r="E914" t="inlineStr">
        <is>
          <t>VIMMERBY</t>
        </is>
      </c>
      <c r="G914" t="n">
        <v>4.1</v>
      </c>
      <c r="H914" t="n">
        <v>0</v>
      </c>
      <c r="I914" t="n">
        <v>0</v>
      </c>
      <c r="J914" t="n">
        <v>0</v>
      </c>
      <c r="K914" t="n">
        <v>0</v>
      </c>
      <c r="L914" t="n">
        <v>0</v>
      </c>
      <c r="M914" t="n">
        <v>0</v>
      </c>
      <c r="N914" t="n">
        <v>0</v>
      </c>
      <c r="O914" t="n">
        <v>0</v>
      </c>
      <c r="P914" t="n">
        <v>0</v>
      </c>
      <c r="Q914" t="n">
        <v>0</v>
      </c>
      <c r="R914" s="2" t="inlineStr"/>
    </row>
    <row r="915" ht="15" customHeight="1">
      <c r="A915" t="inlineStr">
        <is>
          <t>A 25979-2023</t>
        </is>
      </c>
      <c r="B915" s="1" t="n">
        <v>45090.89653935185</v>
      </c>
      <c r="C915" s="1" t="n">
        <v>46135</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25980-2023</t>
        </is>
      </c>
      <c r="B916" s="1" t="n">
        <v>45090.89880787037</v>
      </c>
      <c r="C916" s="1" t="n">
        <v>46135</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12510-2022</t>
        </is>
      </c>
      <c r="B917" s="1" t="n">
        <v>44638.55256944444</v>
      </c>
      <c r="C917" s="1" t="n">
        <v>46135</v>
      </c>
      <c r="D917" t="inlineStr">
        <is>
          <t>KALMAR LÄN</t>
        </is>
      </c>
      <c r="E917" t="inlineStr">
        <is>
          <t>VIMMERBY</t>
        </is>
      </c>
      <c r="G917" t="n">
        <v>2.4</v>
      </c>
      <c r="H917" t="n">
        <v>0</v>
      </c>
      <c r="I917" t="n">
        <v>0</v>
      </c>
      <c r="J917" t="n">
        <v>0</v>
      </c>
      <c r="K917" t="n">
        <v>0</v>
      </c>
      <c r="L917" t="n">
        <v>0</v>
      </c>
      <c r="M917" t="n">
        <v>0</v>
      </c>
      <c r="N917" t="n">
        <v>0</v>
      </c>
      <c r="O917" t="n">
        <v>0</v>
      </c>
      <c r="P917" t="n">
        <v>0</v>
      </c>
      <c r="Q917" t="n">
        <v>0</v>
      </c>
      <c r="R917" s="2" t="inlineStr"/>
    </row>
    <row r="918" ht="15" customHeight="1">
      <c r="A918" t="inlineStr">
        <is>
          <t>A 6358-2022</t>
        </is>
      </c>
      <c r="B918" s="1" t="n">
        <v>44600</v>
      </c>
      <c r="C918" s="1" t="n">
        <v>46135</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48373-2021</t>
        </is>
      </c>
      <c r="B919" s="1" t="n">
        <v>44451</v>
      </c>
      <c r="C919" s="1" t="n">
        <v>46135</v>
      </c>
      <c r="D919" t="inlineStr">
        <is>
          <t>KALMAR LÄN</t>
        </is>
      </c>
      <c r="E919" t="inlineStr">
        <is>
          <t>VIMMERBY</t>
        </is>
      </c>
      <c r="G919" t="n">
        <v>2.2</v>
      </c>
      <c r="H919" t="n">
        <v>0</v>
      </c>
      <c r="I919" t="n">
        <v>0</v>
      </c>
      <c r="J919" t="n">
        <v>0</v>
      </c>
      <c r="K919" t="n">
        <v>0</v>
      </c>
      <c r="L919" t="n">
        <v>0</v>
      </c>
      <c r="M919" t="n">
        <v>0</v>
      </c>
      <c r="N919" t="n">
        <v>0</v>
      </c>
      <c r="O919" t="n">
        <v>0</v>
      </c>
      <c r="P919" t="n">
        <v>0</v>
      </c>
      <c r="Q919" t="n">
        <v>0</v>
      </c>
      <c r="R919" s="2" t="inlineStr"/>
    </row>
    <row r="920" ht="15" customHeight="1">
      <c r="A920" t="inlineStr">
        <is>
          <t>A 57256-2023</t>
        </is>
      </c>
      <c r="B920" s="1" t="n">
        <v>45245.5735300926</v>
      </c>
      <c r="C920" s="1" t="n">
        <v>46135</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17482-2024</t>
        </is>
      </c>
      <c r="B921" s="1" t="n">
        <v>45415.47848379629</v>
      </c>
      <c r="C921" s="1" t="n">
        <v>46135</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c r="A922" t="inlineStr">
        <is>
          <t>A 55123-2024</t>
        </is>
      </c>
      <c r="B922" s="1" t="n">
        <v>45621.46103009259</v>
      </c>
      <c r="C922" s="1" t="n">
        <v>46135</v>
      </c>
      <c r="D922" t="inlineStr">
        <is>
          <t>KALMAR LÄN</t>
        </is>
      </c>
      <c r="E922" t="inlineStr">
        <is>
          <t>VIMMERBY</t>
        </is>
      </c>
      <c r="G922" t="n">
        <v>3.1</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2026-04-23T10:46:50Z</dcterms:created>
  <dcterms:modified xmlns:dcterms="http://purl.org/dc/terms/" xmlns:xsi="http://www.w3.org/2001/XMLSchema-instance" xsi:type="dcterms:W3CDTF">2026-04-23T10:46:50Z</dcterms:modified>
</cp:coreProperties>
</file>