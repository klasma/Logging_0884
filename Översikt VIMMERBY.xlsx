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46109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46109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46109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46109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46109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46109</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46109</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46109</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58997-2025</t>
        </is>
      </c>
      <c r="B15" s="1" t="n">
        <v>45987</v>
      </c>
      <c r="C15" s="1" t="n">
        <v>46109</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46109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46109</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15808-2025</t>
        </is>
      </c>
      <c r="B18" s="1" t="n">
        <v>45748</v>
      </c>
      <c r="C18" s="1" t="n">
        <v>46109</v>
      </c>
      <c r="D18" t="inlineStr">
        <is>
          <t>KALMAR LÄN</t>
        </is>
      </c>
      <c r="E18" t="inlineStr">
        <is>
          <t>VIMMERBY</t>
        </is>
      </c>
      <c r="G18" t="n">
        <v>6.1</v>
      </c>
      <c r="H18" t="n">
        <v>4</v>
      </c>
      <c r="I18" t="n">
        <v>0</v>
      </c>
      <c r="J18" t="n">
        <v>1</v>
      </c>
      <c r="K18" t="n">
        <v>0</v>
      </c>
      <c r="L18" t="n">
        <v>0</v>
      </c>
      <c r="M18" t="n">
        <v>0</v>
      </c>
      <c r="N18" t="n">
        <v>0</v>
      </c>
      <c r="O18" t="n">
        <v>1</v>
      </c>
      <c r="P18" t="n">
        <v>0</v>
      </c>
      <c r="Q18" t="n">
        <v>4</v>
      </c>
      <c r="R18" s="2" t="inlineStr">
        <is>
          <t>Talltita
Kungsfågel
Åkergroda
Mattlummer</t>
        </is>
      </c>
      <c r="S18">
        <f>HYPERLINK("https://klasma.github.io/Logging_0884/artfynd/A 15808-2025 artfynd.xlsx", "A 15808-2025")</f>
        <v/>
      </c>
      <c r="T18">
        <f>HYPERLINK("https://klasma.github.io/Logging_0884/kartor/A 15808-2025 karta.png", "A 15808-2025")</f>
        <v/>
      </c>
      <c r="V18">
        <f>HYPERLINK("https://klasma.github.io/Logging_0884/klagomål/A 15808-2025 FSC-klagomål.docx", "A 15808-2025")</f>
        <v/>
      </c>
      <c r="W18">
        <f>HYPERLINK("https://klasma.github.io/Logging_0884/klagomålsmail/A 15808-2025 FSC-klagomål mail.docx", "A 15808-2025")</f>
        <v/>
      </c>
      <c r="X18">
        <f>HYPERLINK("https://klasma.github.io/Logging_0884/tillsyn/A 15808-2025 tillsynsbegäran.docx", "A 15808-2025")</f>
        <v/>
      </c>
      <c r="Y18">
        <f>HYPERLINK("https://klasma.github.io/Logging_0884/tillsynsmail/A 15808-2025 tillsynsbegäran mail.docx", "A 15808-2025")</f>
        <v/>
      </c>
      <c r="Z18">
        <f>HYPERLINK("https://klasma.github.io/Logging_0884/fåglar/A 15808-2025 prioriterade fågelarter.docx", "A 15808-2025")</f>
        <v/>
      </c>
    </row>
    <row r="19" ht="15" customHeight="1">
      <c r="A19" t="inlineStr">
        <is>
          <t>A 37901-2022</t>
        </is>
      </c>
      <c r="B19" s="1" t="n">
        <v>44811</v>
      </c>
      <c r="C19" s="1" t="n">
        <v>46109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46109</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46109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46109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46109</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46109</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53787-2025</t>
        </is>
      </c>
      <c r="B31" s="1" t="n">
        <v>45960</v>
      </c>
      <c r="C31" s="1" t="n">
        <v>46109</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46109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46109</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19158-2023</t>
        </is>
      </c>
      <c r="B34" s="1" t="n">
        <v>45048</v>
      </c>
      <c r="C34" s="1" t="n">
        <v>46109</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14024-2023</t>
        </is>
      </c>
      <c r="B35" s="1" t="n">
        <v>45008.60878472222</v>
      </c>
      <c r="C35" s="1" t="n">
        <v>46109</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32396-2021</t>
        </is>
      </c>
      <c r="B36" s="1" t="n">
        <v>44371</v>
      </c>
      <c r="C36" s="1" t="n">
        <v>46109</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37930-2021</t>
        </is>
      </c>
      <c r="B37" s="1" t="n">
        <v>44403</v>
      </c>
      <c r="C37" s="1" t="n">
        <v>46109</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57062-2025</t>
        </is>
      </c>
      <c r="B38" s="1" t="n">
        <v>45979.37598379629</v>
      </c>
      <c r="C38" s="1" t="n">
        <v>46109</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61860-2024</t>
        </is>
      </c>
      <c r="B39" s="1" t="n">
        <v>45649</v>
      </c>
      <c r="C39" s="1" t="n">
        <v>46109</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46109</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46109</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46109</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29183-2025</t>
        </is>
      </c>
      <c r="B43" s="1" t="n">
        <v>45821</v>
      </c>
      <c r="C43" s="1" t="n">
        <v>46109</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53400-2025</t>
        </is>
      </c>
      <c r="B44" s="1" t="n">
        <v>45959.56684027778</v>
      </c>
      <c r="C44" s="1" t="n">
        <v>46109</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53404-2025</t>
        </is>
      </c>
      <c r="B45" s="1" t="n">
        <v>45959.57126157408</v>
      </c>
      <c r="C45" s="1" t="n">
        <v>46109</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55384-2025</t>
        </is>
      </c>
      <c r="B46" s="1" t="n">
        <v>45971.43178240741</v>
      </c>
      <c r="C46" s="1" t="n">
        <v>46109</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23602-2023</t>
        </is>
      </c>
      <c r="B47" s="1" t="n">
        <v>45077</v>
      </c>
      <c r="C47" s="1" t="n">
        <v>46109</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46109</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46109</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46109</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46109</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46109</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46109</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46109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15903-2021</t>
        </is>
      </c>
      <c r="B55" s="1" t="n">
        <v>44287.33261574074</v>
      </c>
      <c r="C55" s="1" t="n">
        <v>46109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46109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46109</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46109</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46109</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46109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46109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46109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46109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46109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46109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46109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46109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46109</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46109</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46109</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46109</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46109</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46109</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46109</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38086-2021</t>
        </is>
      </c>
      <c r="B79" s="1" t="n">
        <v>44404.87505787037</v>
      </c>
      <c r="C79" s="1" t="n">
        <v>46109</v>
      </c>
      <c r="D79" t="inlineStr">
        <is>
          <t>KALMAR LÄN</t>
        </is>
      </c>
      <c r="E79" t="inlineStr">
        <is>
          <t>VIMMERBY</t>
        </is>
      </c>
      <c r="G79" t="n">
        <v>4.4</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46109</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46109</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46109</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46109</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46109</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46109</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46109</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46109</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46109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46109</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46109</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46109</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46109</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46109</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46109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46109</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30682-2021</t>
        </is>
      </c>
      <c r="B96" s="1" t="n">
        <v>44365</v>
      </c>
      <c r="C96" s="1" t="n">
        <v>46109</v>
      </c>
      <c r="D96" t="inlineStr">
        <is>
          <t>KALMAR LÄN</t>
        </is>
      </c>
      <c r="E96" t="inlineStr">
        <is>
          <t>VIMMERBY</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46109</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17869-2021</t>
        </is>
      </c>
      <c r="B98" s="1" t="n">
        <v>44301.36048611111</v>
      </c>
      <c r="C98" s="1" t="n">
        <v>46109</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25049-2022</t>
        </is>
      </c>
      <c r="B99" s="1" t="n">
        <v>44729.28226851852</v>
      </c>
      <c r="C99" s="1" t="n">
        <v>46109</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24723-2021</t>
        </is>
      </c>
      <c r="B100" s="1" t="n">
        <v>44340.54472222222</v>
      </c>
      <c r="C100" s="1" t="n">
        <v>46109</v>
      </c>
      <c r="D100" t="inlineStr">
        <is>
          <t>KALMAR LÄN</t>
        </is>
      </c>
      <c r="E100" t="inlineStr">
        <is>
          <t>VIMMERBY</t>
        </is>
      </c>
      <c r="G100" t="n">
        <v>3.3</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46109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46109</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25859-2022</t>
        </is>
      </c>
      <c r="B103" s="1" t="n">
        <v>44733</v>
      </c>
      <c r="C103" s="1" t="n">
        <v>46109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25868-2022</t>
        </is>
      </c>
      <c r="B104" s="1" t="n">
        <v>44733</v>
      </c>
      <c r="C104" s="1" t="n">
        <v>46109</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32386-2021</t>
        </is>
      </c>
      <c r="B105" s="1" t="n">
        <v>44371.62743055556</v>
      </c>
      <c r="C105" s="1" t="n">
        <v>46109</v>
      </c>
      <c r="D105" t="inlineStr">
        <is>
          <t>KALMAR LÄN</t>
        </is>
      </c>
      <c r="E105" t="inlineStr">
        <is>
          <t>VIMMERBY</t>
        </is>
      </c>
      <c r="G105" t="n">
        <v>1.6</v>
      </c>
      <c r="H105" t="n">
        <v>0</v>
      </c>
      <c r="I105" t="n">
        <v>0</v>
      </c>
      <c r="J105" t="n">
        <v>0</v>
      </c>
      <c r="K105" t="n">
        <v>0</v>
      </c>
      <c r="L105" t="n">
        <v>0</v>
      </c>
      <c r="M105" t="n">
        <v>0</v>
      </c>
      <c r="N105" t="n">
        <v>0</v>
      </c>
      <c r="O105" t="n">
        <v>0</v>
      </c>
      <c r="P105" t="n">
        <v>0</v>
      </c>
      <c r="Q105" t="n">
        <v>0</v>
      </c>
      <c r="R105" s="2" t="inlineStr"/>
    </row>
    <row r="106" ht="15" customHeight="1">
      <c r="A106" t="inlineStr">
        <is>
          <t>A 35633-2021</t>
        </is>
      </c>
      <c r="B106" s="1" t="n">
        <v>44386.40783564815</v>
      </c>
      <c r="C106" s="1" t="n">
        <v>46109</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56343-2021</t>
        </is>
      </c>
      <c r="B107" s="1" t="n">
        <v>44480</v>
      </c>
      <c r="C107" s="1" t="n">
        <v>46109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24369-2021</t>
        </is>
      </c>
      <c r="B108" s="1" t="n">
        <v>44337</v>
      </c>
      <c r="C108" s="1" t="n">
        <v>46109</v>
      </c>
      <c r="D108" t="inlineStr">
        <is>
          <t>KALMAR LÄN</t>
        </is>
      </c>
      <c r="E108" t="inlineStr">
        <is>
          <t>VIMMERBY</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51972-2021</t>
        </is>
      </c>
      <c r="B109" s="1" t="n">
        <v>44463.29439814815</v>
      </c>
      <c r="C109" s="1" t="n">
        <v>46109</v>
      </c>
      <c r="D109" t="inlineStr">
        <is>
          <t>KALMAR LÄN</t>
        </is>
      </c>
      <c r="E109" t="inlineStr">
        <is>
          <t>VIMMERBY</t>
        </is>
      </c>
      <c r="G109" t="n">
        <v>4.5</v>
      </c>
      <c r="H109" t="n">
        <v>0</v>
      </c>
      <c r="I109" t="n">
        <v>0</v>
      </c>
      <c r="J109" t="n">
        <v>0</v>
      </c>
      <c r="K109" t="n">
        <v>0</v>
      </c>
      <c r="L109" t="n">
        <v>0</v>
      </c>
      <c r="M109" t="n">
        <v>0</v>
      </c>
      <c r="N109" t="n">
        <v>0</v>
      </c>
      <c r="O109" t="n">
        <v>0</v>
      </c>
      <c r="P109" t="n">
        <v>0</v>
      </c>
      <c r="Q109" t="n">
        <v>0</v>
      </c>
      <c r="R109" s="2" t="inlineStr"/>
    </row>
    <row r="110" ht="15" customHeight="1">
      <c r="A110" t="inlineStr">
        <is>
          <t>A 33690-2022</t>
        </is>
      </c>
      <c r="B110" s="1" t="n">
        <v>44789</v>
      </c>
      <c r="C110" s="1" t="n">
        <v>46109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46109</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46109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34036-2021</t>
        </is>
      </c>
      <c r="B113" s="1" t="n">
        <v>44379</v>
      </c>
      <c r="C113" s="1" t="n">
        <v>46109</v>
      </c>
      <c r="D113" t="inlineStr">
        <is>
          <t>KALMAR LÄN</t>
        </is>
      </c>
      <c r="E113" t="inlineStr">
        <is>
          <t>VIMMERBY</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63244-2021</t>
        </is>
      </c>
      <c r="B114" s="1" t="n">
        <v>44508</v>
      </c>
      <c r="C114" s="1" t="n">
        <v>46109</v>
      </c>
      <c r="D114" t="inlineStr">
        <is>
          <t>KALMAR LÄN</t>
        </is>
      </c>
      <c r="E114" t="inlineStr">
        <is>
          <t>VIMMERBY</t>
        </is>
      </c>
      <c r="F114" t="inlineStr">
        <is>
          <t>Övriga statliga verk och myndigheter</t>
        </is>
      </c>
      <c r="G114" t="n">
        <v>0.6</v>
      </c>
      <c r="H114" t="n">
        <v>0</v>
      </c>
      <c r="I114" t="n">
        <v>0</v>
      </c>
      <c r="J114" t="n">
        <v>0</v>
      </c>
      <c r="K114" t="n">
        <v>0</v>
      </c>
      <c r="L114" t="n">
        <v>0</v>
      </c>
      <c r="M114" t="n">
        <v>0</v>
      </c>
      <c r="N114" t="n">
        <v>0</v>
      </c>
      <c r="O114" t="n">
        <v>0</v>
      </c>
      <c r="P114" t="n">
        <v>0</v>
      </c>
      <c r="Q114" t="n">
        <v>0</v>
      </c>
      <c r="R114" s="2" t="inlineStr"/>
    </row>
    <row r="115" ht="15" customHeight="1">
      <c r="A115" t="inlineStr">
        <is>
          <t>A 11814-2022</t>
        </is>
      </c>
      <c r="B115" s="1" t="n">
        <v>44634.69703703704</v>
      </c>
      <c r="C115" s="1" t="n">
        <v>46109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56385-2021</t>
        </is>
      </c>
      <c r="B116" s="1" t="n">
        <v>44480</v>
      </c>
      <c r="C116" s="1" t="n">
        <v>46109</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31053-2022</t>
        </is>
      </c>
      <c r="B117" s="1" t="n">
        <v>44769.45422453704</v>
      </c>
      <c r="C117" s="1" t="n">
        <v>46109</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46109</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8454-2022</t>
        </is>
      </c>
      <c r="B119" s="1" t="n">
        <v>44612.86762731482</v>
      </c>
      <c r="C119" s="1" t="n">
        <v>46109</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46109</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39959-2022</t>
        </is>
      </c>
      <c r="B121" s="1" t="n">
        <v>44819</v>
      </c>
      <c r="C121" s="1" t="n">
        <v>46109</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7917-2022</t>
        </is>
      </c>
      <c r="B122" s="1" t="n">
        <v>44608</v>
      </c>
      <c r="C122" s="1" t="n">
        <v>46109</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24999-2021</t>
        </is>
      </c>
      <c r="B123" s="1" t="n">
        <v>44341</v>
      </c>
      <c r="C123" s="1" t="n">
        <v>46109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47208-2021</t>
        </is>
      </c>
      <c r="B124" s="1" t="n">
        <v>44447.34237268518</v>
      </c>
      <c r="C124" s="1" t="n">
        <v>46109</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16705-2021</t>
        </is>
      </c>
      <c r="B125" s="1" t="n">
        <v>44294</v>
      </c>
      <c r="C125" s="1" t="n">
        <v>46109</v>
      </c>
      <c r="D125" t="inlineStr">
        <is>
          <t>KALMAR LÄN</t>
        </is>
      </c>
      <c r="E125" t="inlineStr">
        <is>
          <t>VIMMERBY</t>
        </is>
      </c>
      <c r="G125" t="n">
        <v>2.6</v>
      </c>
      <c r="H125" t="n">
        <v>0</v>
      </c>
      <c r="I125" t="n">
        <v>0</v>
      </c>
      <c r="J125" t="n">
        <v>0</v>
      </c>
      <c r="K125" t="n">
        <v>0</v>
      </c>
      <c r="L125" t="n">
        <v>0</v>
      </c>
      <c r="M125" t="n">
        <v>0</v>
      </c>
      <c r="N125" t="n">
        <v>0</v>
      </c>
      <c r="O125" t="n">
        <v>0</v>
      </c>
      <c r="P125" t="n">
        <v>0</v>
      </c>
      <c r="Q125" t="n">
        <v>0</v>
      </c>
      <c r="R125" s="2" t="inlineStr"/>
    </row>
    <row r="126" ht="15" customHeight="1">
      <c r="A126" t="inlineStr">
        <is>
          <t>A 56389-2021</t>
        </is>
      </c>
      <c r="B126" s="1" t="n">
        <v>44480</v>
      </c>
      <c r="C126" s="1" t="n">
        <v>46109</v>
      </c>
      <c r="D126" t="inlineStr">
        <is>
          <t>KALMAR LÄN</t>
        </is>
      </c>
      <c r="E126" t="inlineStr">
        <is>
          <t>VIMMERBY</t>
        </is>
      </c>
      <c r="G126" t="n">
        <v>0.9</v>
      </c>
      <c r="H126" t="n">
        <v>0</v>
      </c>
      <c r="I126" t="n">
        <v>0</v>
      </c>
      <c r="J126" t="n">
        <v>0</v>
      </c>
      <c r="K126" t="n">
        <v>0</v>
      </c>
      <c r="L126" t="n">
        <v>0</v>
      </c>
      <c r="M126" t="n">
        <v>0</v>
      </c>
      <c r="N126" t="n">
        <v>0</v>
      </c>
      <c r="O126" t="n">
        <v>0</v>
      </c>
      <c r="P126" t="n">
        <v>0</v>
      </c>
      <c r="Q126" t="n">
        <v>0</v>
      </c>
      <c r="R126" s="2" t="inlineStr"/>
    </row>
    <row r="127" ht="15" customHeight="1">
      <c r="A127" t="inlineStr">
        <is>
          <t>A 67952-2021</t>
        </is>
      </c>
      <c r="B127" s="1" t="n">
        <v>44525.63913194444</v>
      </c>
      <c r="C127" s="1" t="n">
        <v>46109</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15533-2022</t>
        </is>
      </c>
      <c r="B128" s="1" t="n">
        <v>44662</v>
      </c>
      <c r="C128" s="1" t="n">
        <v>46109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165-2022</t>
        </is>
      </c>
      <c r="B129" s="1" t="n">
        <v>44564</v>
      </c>
      <c r="C129" s="1" t="n">
        <v>46109</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34040-2021</t>
        </is>
      </c>
      <c r="B130" s="1" t="n">
        <v>44379</v>
      </c>
      <c r="C130" s="1" t="n">
        <v>46109</v>
      </c>
      <c r="D130" t="inlineStr">
        <is>
          <t>KALMAR LÄN</t>
        </is>
      </c>
      <c r="E130" t="inlineStr">
        <is>
          <t>VIMMERBY</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15200-2021</t>
        </is>
      </c>
      <c r="B131" s="1" t="n">
        <v>44284.44574074074</v>
      </c>
      <c r="C131" s="1" t="n">
        <v>46109</v>
      </c>
      <c r="D131" t="inlineStr">
        <is>
          <t>KALMAR LÄN</t>
        </is>
      </c>
      <c r="E131" t="inlineStr">
        <is>
          <t>VIMMERBY</t>
        </is>
      </c>
      <c r="G131" t="n">
        <v>1.2</v>
      </c>
      <c r="H131" t="n">
        <v>0</v>
      </c>
      <c r="I131" t="n">
        <v>0</v>
      </c>
      <c r="J131" t="n">
        <v>0</v>
      </c>
      <c r="K131" t="n">
        <v>0</v>
      </c>
      <c r="L131" t="n">
        <v>0</v>
      </c>
      <c r="M131" t="n">
        <v>0</v>
      </c>
      <c r="N131" t="n">
        <v>0</v>
      </c>
      <c r="O131" t="n">
        <v>0</v>
      </c>
      <c r="P131" t="n">
        <v>0</v>
      </c>
      <c r="Q131" t="n">
        <v>0</v>
      </c>
      <c r="R131" s="2" t="inlineStr"/>
    </row>
    <row r="132" ht="15" customHeight="1">
      <c r="A132" t="inlineStr">
        <is>
          <t>A 12107-2022</t>
        </is>
      </c>
      <c r="B132" s="1" t="n">
        <v>44636</v>
      </c>
      <c r="C132" s="1" t="n">
        <v>46109</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39225-2022</t>
        </is>
      </c>
      <c r="B133" s="1" t="n">
        <v>44817.57988425926</v>
      </c>
      <c r="C133" s="1" t="n">
        <v>46109</v>
      </c>
      <c r="D133" t="inlineStr">
        <is>
          <t>KALMAR LÄN</t>
        </is>
      </c>
      <c r="E133" t="inlineStr">
        <is>
          <t>VIMMERBY</t>
        </is>
      </c>
      <c r="G133" t="n">
        <v>2.2</v>
      </c>
      <c r="H133" t="n">
        <v>0</v>
      </c>
      <c r="I133" t="n">
        <v>0</v>
      </c>
      <c r="J133" t="n">
        <v>0</v>
      </c>
      <c r="K133" t="n">
        <v>0</v>
      </c>
      <c r="L133" t="n">
        <v>0</v>
      </c>
      <c r="M133" t="n">
        <v>0</v>
      </c>
      <c r="N133" t="n">
        <v>0</v>
      </c>
      <c r="O133" t="n">
        <v>0</v>
      </c>
      <c r="P133" t="n">
        <v>0</v>
      </c>
      <c r="Q133" t="n">
        <v>0</v>
      </c>
      <c r="R133" s="2" t="inlineStr"/>
    </row>
    <row r="134" ht="15" customHeight="1">
      <c r="A134" t="inlineStr">
        <is>
          <t>A 16602-2021</t>
        </is>
      </c>
      <c r="B134" s="1" t="n">
        <v>44294</v>
      </c>
      <c r="C134" s="1" t="n">
        <v>46109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16607-2021</t>
        </is>
      </c>
      <c r="B135" s="1" t="n">
        <v>44294</v>
      </c>
      <c r="C135" s="1" t="n">
        <v>46109</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17029-2022</t>
        </is>
      </c>
      <c r="B136" s="1" t="n">
        <v>44676.85248842592</v>
      </c>
      <c r="C136" s="1" t="n">
        <v>46109</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18356-2021</t>
        </is>
      </c>
      <c r="B137" s="1" t="n">
        <v>44305</v>
      </c>
      <c r="C137" s="1" t="n">
        <v>46109</v>
      </c>
      <c r="D137" t="inlineStr">
        <is>
          <t>KALMAR LÄN</t>
        </is>
      </c>
      <c r="E137" t="inlineStr">
        <is>
          <t>VIMMERBY</t>
        </is>
      </c>
      <c r="G137" t="n">
        <v>3.4</v>
      </c>
      <c r="H137" t="n">
        <v>0</v>
      </c>
      <c r="I137" t="n">
        <v>0</v>
      </c>
      <c r="J137" t="n">
        <v>0</v>
      </c>
      <c r="K137" t="n">
        <v>0</v>
      </c>
      <c r="L137" t="n">
        <v>0</v>
      </c>
      <c r="M137" t="n">
        <v>0</v>
      </c>
      <c r="N137" t="n">
        <v>0</v>
      </c>
      <c r="O137" t="n">
        <v>0</v>
      </c>
      <c r="P137" t="n">
        <v>0</v>
      </c>
      <c r="Q137" t="n">
        <v>0</v>
      </c>
      <c r="R137" s="2" t="inlineStr"/>
    </row>
    <row r="138" ht="15" customHeight="1">
      <c r="A138" t="inlineStr">
        <is>
          <t>A 7167-2022</t>
        </is>
      </c>
      <c r="B138" s="1" t="n">
        <v>44604</v>
      </c>
      <c r="C138" s="1" t="n">
        <v>46109</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46109</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55674-2021</t>
        </is>
      </c>
      <c r="B140" s="1" t="n">
        <v>44476</v>
      </c>
      <c r="C140" s="1" t="n">
        <v>46109</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46109</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47769-2022</t>
        </is>
      </c>
      <c r="B142" s="1" t="n">
        <v>44854</v>
      </c>
      <c r="C142" s="1" t="n">
        <v>46109</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48377-2021</t>
        </is>
      </c>
      <c r="B143" s="1" t="n">
        <v>44451.8375</v>
      </c>
      <c r="C143" s="1" t="n">
        <v>46109</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40472-2022</t>
        </is>
      </c>
      <c r="B144" s="1" t="n">
        <v>44823</v>
      </c>
      <c r="C144" s="1" t="n">
        <v>46109</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35316-2021</t>
        </is>
      </c>
      <c r="B145" s="1" t="n">
        <v>44384</v>
      </c>
      <c r="C145" s="1" t="n">
        <v>46109</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33831-2022</t>
        </is>
      </c>
      <c r="B146" s="1" t="n">
        <v>44790.48503472222</v>
      </c>
      <c r="C146" s="1" t="n">
        <v>46109</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46109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46109</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46109</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46109</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47473-2021</t>
        </is>
      </c>
      <c r="B151" s="1" t="n">
        <v>44447</v>
      </c>
      <c r="C151" s="1" t="n">
        <v>46109</v>
      </c>
      <c r="D151" t="inlineStr">
        <is>
          <t>KALMAR LÄN</t>
        </is>
      </c>
      <c r="E151" t="inlineStr">
        <is>
          <t>VIMMERBY</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46109</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46109</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46109</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32603-2021</t>
        </is>
      </c>
      <c r="B155" s="1" t="n">
        <v>44375.38789351852</v>
      </c>
      <c r="C155" s="1" t="n">
        <v>46109</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36117-2021</t>
        </is>
      </c>
      <c r="B156" s="1" t="n">
        <v>44386</v>
      </c>
      <c r="C156" s="1" t="n">
        <v>46109</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42521-2021</t>
        </is>
      </c>
      <c r="B157" s="1" t="n">
        <v>44427</v>
      </c>
      <c r="C157" s="1" t="n">
        <v>46109</v>
      </c>
      <c r="D157" t="inlineStr">
        <is>
          <t>KALMAR LÄN</t>
        </is>
      </c>
      <c r="E157" t="inlineStr">
        <is>
          <t>VIMMERBY</t>
        </is>
      </c>
      <c r="G157" t="n">
        <v>5.4</v>
      </c>
      <c r="H157" t="n">
        <v>0</v>
      </c>
      <c r="I157" t="n">
        <v>0</v>
      </c>
      <c r="J157" t="n">
        <v>0</v>
      </c>
      <c r="K157" t="n">
        <v>0</v>
      </c>
      <c r="L157" t="n">
        <v>0</v>
      </c>
      <c r="M157" t="n">
        <v>0</v>
      </c>
      <c r="N157" t="n">
        <v>0</v>
      </c>
      <c r="O157" t="n">
        <v>0</v>
      </c>
      <c r="P157" t="n">
        <v>0</v>
      </c>
      <c r="Q157" t="n">
        <v>0</v>
      </c>
      <c r="R157" s="2" t="inlineStr"/>
    </row>
    <row r="158" ht="15" customHeight="1">
      <c r="A158" t="inlineStr">
        <is>
          <t>A 46964-2022</t>
        </is>
      </c>
      <c r="B158" s="1" t="n">
        <v>44851.95016203704</v>
      </c>
      <c r="C158" s="1" t="n">
        <v>46109</v>
      </c>
      <c r="D158" t="inlineStr">
        <is>
          <t>KALMAR LÄN</t>
        </is>
      </c>
      <c r="E158" t="inlineStr">
        <is>
          <t>VIMMERBY</t>
        </is>
      </c>
      <c r="G158" t="n">
        <v>0.2</v>
      </c>
      <c r="H158" t="n">
        <v>0</v>
      </c>
      <c r="I158" t="n">
        <v>0</v>
      </c>
      <c r="J158" t="n">
        <v>0</v>
      </c>
      <c r="K158" t="n">
        <v>0</v>
      </c>
      <c r="L158" t="n">
        <v>0</v>
      </c>
      <c r="M158" t="n">
        <v>0</v>
      </c>
      <c r="N158" t="n">
        <v>0</v>
      </c>
      <c r="O158" t="n">
        <v>0</v>
      </c>
      <c r="P158" t="n">
        <v>0</v>
      </c>
      <c r="Q158" t="n">
        <v>0</v>
      </c>
      <c r="R158" s="2" t="inlineStr"/>
    </row>
    <row r="159" ht="15" customHeight="1">
      <c r="A159" t="inlineStr">
        <is>
          <t>A 13180-2022</t>
        </is>
      </c>
      <c r="B159" s="1" t="n">
        <v>44644</v>
      </c>
      <c r="C159" s="1" t="n">
        <v>46109</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42850-2022</t>
        </is>
      </c>
      <c r="B160" s="1" t="n">
        <v>44832.67608796297</v>
      </c>
      <c r="C160" s="1" t="n">
        <v>46109</v>
      </c>
      <c r="D160" t="inlineStr">
        <is>
          <t>KALMAR LÄN</t>
        </is>
      </c>
      <c r="E160" t="inlineStr">
        <is>
          <t>VIMMERBY</t>
        </is>
      </c>
      <c r="G160" t="n">
        <v>5.9</v>
      </c>
      <c r="H160" t="n">
        <v>0</v>
      </c>
      <c r="I160" t="n">
        <v>0</v>
      </c>
      <c r="J160" t="n">
        <v>0</v>
      </c>
      <c r="K160" t="n">
        <v>0</v>
      </c>
      <c r="L160" t="n">
        <v>0</v>
      </c>
      <c r="M160" t="n">
        <v>0</v>
      </c>
      <c r="N160" t="n">
        <v>0</v>
      </c>
      <c r="O160" t="n">
        <v>0</v>
      </c>
      <c r="P160" t="n">
        <v>0</v>
      </c>
      <c r="Q160" t="n">
        <v>0</v>
      </c>
      <c r="R160" s="2" t="inlineStr"/>
    </row>
    <row r="161" ht="15" customHeight="1">
      <c r="A161" t="inlineStr">
        <is>
          <t>A 10086-2022</t>
        </is>
      </c>
      <c r="B161" s="1" t="n">
        <v>44621</v>
      </c>
      <c r="C161" s="1" t="n">
        <v>46109</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46109</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25738-2022</t>
        </is>
      </c>
      <c r="B163" s="1" t="n">
        <v>44733.43092592592</v>
      </c>
      <c r="C163" s="1" t="n">
        <v>46109</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8194-2022</t>
        </is>
      </c>
      <c r="B164" s="1" t="n">
        <v>44609</v>
      </c>
      <c r="C164" s="1" t="n">
        <v>46109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15191-2021</t>
        </is>
      </c>
      <c r="B165" s="1" t="n">
        <v>44284.42348379629</v>
      </c>
      <c r="C165" s="1" t="n">
        <v>46109</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40971-2021</t>
        </is>
      </c>
      <c r="B166" s="1" t="n">
        <v>44421</v>
      </c>
      <c r="C166" s="1" t="n">
        <v>46109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8453-2022</t>
        </is>
      </c>
      <c r="B167" s="1" t="n">
        <v>44612.86554398148</v>
      </c>
      <c r="C167" s="1" t="n">
        <v>46109</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54065-2021</t>
        </is>
      </c>
      <c r="B168" s="1" t="n">
        <v>44470.44232638889</v>
      </c>
      <c r="C168" s="1" t="n">
        <v>46109</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52433-2021</t>
        </is>
      </c>
      <c r="B169" s="1" t="n">
        <v>44466.34726851852</v>
      </c>
      <c r="C169" s="1" t="n">
        <v>46109</v>
      </c>
      <c r="D169" t="inlineStr">
        <is>
          <t>KALMAR LÄN</t>
        </is>
      </c>
      <c r="E169" t="inlineStr">
        <is>
          <t>VIMMERBY</t>
        </is>
      </c>
      <c r="G169" t="n">
        <v>3.5</v>
      </c>
      <c r="H169" t="n">
        <v>0</v>
      </c>
      <c r="I169" t="n">
        <v>0</v>
      </c>
      <c r="J169" t="n">
        <v>0</v>
      </c>
      <c r="K169" t="n">
        <v>0</v>
      </c>
      <c r="L169" t="n">
        <v>0</v>
      </c>
      <c r="M169" t="n">
        <v>0</v>
      </c>
      <c r="N169" t="n">
        <v>0</v>
      </c>
      <c r="O169" t="n">
        <v>0</v>
      </c>
      <c r="P169" t="n">
        <v>0</v>
      </c>
      <c r="Q169" t="n">
        <v>0</v>
      </c>
      <c r="R169" s="2" t="inlineStr"/>
    </row>
    <row r="170" ht="15" customHeight="1">
      <c r="A170" t="inlineStr">
        <is>
          <t>A 50621-2022</t>
        </is>
      </c>
      <c r="B170" s="1" t="n">
        <v>44866.81100694444</v>
      </c>
      <c r="C170" s="1" t="n">
        <v>46109</v>
      </c>
      <c r="D170" t="inlineStr">
        <is>
          <t>KALMAR LÄN</t>
        </is>
      </c>
      <c r="E170" t="inlineStr">
        <is>
          <t>VIMMERBY</t>
        </is>
      </c>
      <c r="F170" t="inlineStr">
        <is>
          <t>Övriga Aktiebolag</t>
        </is>
      </c>
      <c r="G170" t="n">
        <v>5.1</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46109</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11733-2022</t>
        </is>
      </c>
      <c r="B172" s="1" t="n">
        <v>44634</v>
      </c>
      <c r="C172" s="1" t="n">
        <v>46109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46109</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46109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16288-2021</t>
        </is>
      </c>
      <c r="B175" s="1" t="n">
        <v>44292</v>
      </c>
      <c r="C175" s="1" t="n">
        <v>46109</v>
      </c>
      <c r="D175" t="inlineStr">
        <is>
          <t>KALMAR LÄN</t>
        </is>
      </c>
      <c r="E175" t="inlineStr">
        <is>
          <t>VIMMERBY</t>
        </is>
      </c>
      <c r="F175" t="inlineStr">
        <is>
          <t>Övriga Aktiebolag</t>
        </is>
      </c>
      <c r="G175" t="n">
        <v>27.6</v>
      </c>
      <c r="H175" t="n">
        <v>0</v>
      </c>
      <c r="I175" t="n">
        <v>0</v>
      </c>
      <c r="J175" t="n">
        <v>0</v>
      </c>
      <c r="K175" t="n">
        <v>0</v>
      </c>
      <c r="L175" t="n">
        <v>0</v>
      </c>
      <c r="M175" t="n">
        <v>0</v>
      </c>
      <c r="N175" t="n">
        <v>0</v>
      </c>
      <c r="O175" t="n">
        <v>0</v>
      </c>
      <c r="P175" t="n">
        <v>0</v>
      </c>
      <c r="Q175" t="n">
        <v>0</v>
      </c>
      <c r="R175" s="2" t="inlineStr"/>
    </row>
    <row r="176" ht="15" customHeight="1">
      <c r="A176" t="inlineStr">
        <is>
          <t>A 29441-2024</t>
        </is>
      </c>
      <c r="B176" s="1" t="n">
        <v>45483.82834490741</v>
      </c>
      <c r="C176" s="1" t="n">
        <v>46109</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33359-2021</t>
        </is>
      </c>
      <c r="B177" s="1" t="n">
        <v>44377.49684027778</v>
      </c>
      <c r="C177" s="1" t="n">
        <v>46109</v>
      </c>
      <c r="D177" t="inlineStr">
        <is>
          <t>KALMAR LÄN</t>
        </is>
      </c>
      <c r="E177" t="inlineStr">
        <is>
          <t>VIMMERBY</t>
        </is>
      </c>
      <c r="F177" t="inlineStr">
        <is>
          <t>Kommuner</t>
        </is>
      </c>
      <c r="G177" t="n">
        <v>8</v>
      </c>
      <c r="H177" t="n">
        <v>0</v>
      </c>
      <c r="I177" t="n">
        <v>0</v>
      </c>
      <c r="J177" t="n">
        <v>0</v>
      </c>
      <c r="K177" t="n">
        <v>0</v>
      </c>
      <c r="L177" t="n">
        <v>0</v>
      </c>
      <c r="M177" t="n">
        <v>0</v>
      </c>
      <c r="N177" t="n">
        <v>0</v>
      </c>
      <c r="O177" t="n">
        <v>0</v>
      </c>
      <c r="P177" t="n">
        <v>0</v>
      </c>
      <c r="Q177" t="n">
        <v>0</v>
      </c>
      <c r="R177" s="2" t="inlineStr"/>
    </row>
    <row r="178" ht="15" customHeight="1">
      <c r="A178" t="inlineStr">
        <is>
          <t>A 25728-2023</t>
        </is>
      </c>
      <c r="B178" s="1" t="n">
        <v>45090.38012731481</v>
      </c>
      <c r="C178" s="1" t="n">
        <v>46109</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52435-2021</t>
        </is>
      </c>
      <c r="B179" s="1" t="n">
        <v>44466.34962962963</v>
      </c>
      <c r="C179" s="1" t="n">
        <v>46109</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43038-2022</t>
        </is>
      </c>
      <c r="B180" s="1" t="n">
        <v>44833.60123842592</v>
      </c>
      <c r="C180" s="1" t="n">
        <v>46109</v>
      </c>
      <c r="D180" t="inlineStr">
        <is>
          <t>KALMAR LÄN</t>
        </is>
      </c>
      <c r="E180" t="inlineStr">
        <is>
          <t>VIMMERBY</t>
        </is>
      </c>
      <c r="G180" t="n">
        <v>4.2</v>
      </c>
      <c r="H180" t="n">
        <v>0</v>
      </c>
      <c r="I180" t="n">
        <v>0</v>
      </c>
      <c r="J180" t="n">
        <v>0</v>
      </c>
      <c r="K180" t="n">
        <v>0</v>
      </c>
      <c r="L180" t="n">
        <v>0</v>
      </c>
      <c r="M180" t="n">
        <v>0</v>
      </c>
      <c r="N180" t="n">
        <v>0</v>
      </c>
      <c r="O180" t="n">
        <v>0</v>
      </c>
      <c r="P180" t="n">
        <v>0</v>
      </c>
      <c r="Q180" t="n">
        <v>0</v>
      </c>
      <c r="R180" s="2" t="inlineStr"/>
    </row>
    <row r="181" ht="15" customHeight="1">
      <c r="A181" t="inlineStr">
        <is>
          <t>A 29093-2023</t>
        </is>
      </c>
      <c r="B181" s="1" t="n">
        <v>45105</v>
      </c>
      <c r="C181" s="1" t="n">
        <v>46109</v>
      </c>
      <c r="D181" t="inlineStr">
        <is>
          <t>KALMAR LÄN</t>
        </is>
      </c>
      <c r="E181" t="inlineStr">
        <is>
          <t>VIMMERBY</t>
        </is>
      </c>
      <c r="G181" t="n">
        <v>2.9</v>
      </c>
      <c r="H181" t="n">
        <v>0</v>
      </c>
      <c r="I181" t="n">
        <v>0</v>
      </c>
      <c r="J181" t="n">
        <v>0</v>
      </c>
      <c r="K181" t="n">
        <v>0</v>
      </c>
      <c r="L181" t="n">
        <v>0</v>
      </c>
      <c r="M181" t="n">
        <v>0</v>
      </c>
      <c r="N181" t="n">
        <v>0</v>
      </c>
      <c r="O181" t="n">
        <v>0</v>
      </c>
      <c r="P181" t="n">
        <v>0</v>
      </c>
      <c r="Q181" t="n">
        <v>0</v>
      </c>
      <c r="R181" s="2" t="inlineStr"/>
    </row>
    <row r="182" ht="15" customHeight="1">
      <c r="A182" t="inlineStr">
        <is>
          <t>A 50087-2023</t>
        </is>
      </c>
      <c r="B182" s="1" t="n">
        <v>45215.59743055556</v>
      </c>
      <c r="C182" s="1" t="n">
        <v>46109</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33681-2022</t>
        </is>
      </c>
      <c r="B183" s="1" t="n">
        <v>44789</v>
      </c>
      <c r="C183" s="1" t="n">
        <v>46109</v>
      </c>
      <c r="D183" t="inlineStr">
        <is>
          <t>KALMAR LÄN</t>
        </is>
      </c>
      <c r="E183" t="inlineStr">
        <is>
          <t>VIMMERBY</t>
        </is>
      </c>
      <c r="G183" t="n">
        <v>3.2</v>
      </c>
      <c r="H183" t="n">
        <v>0</v>
      </c>
      <c r="I183" t="n">
        <v>0</v>
      </c>
      <c r="J183" t="n">
        <v>0</v>
      </c>
      <c r="K183" t="n">
        <v>0</v>
      </c>
      <c r="L183" t="n">
        <v>0</v>
      </c>
      <c r="M183" t="n">
        <v>0</v>
      </c>
      <c r="N183" t="n">
        <v>0</v>
      </c>
      <c r="O183" t="n">
        <v>0</v>
      </c>
      <c r="P183" t="n">
        <v>0</v>
      </c>
      <c r="Q183" t="n">
        <v>0</v>
      </c>
      <c r="R183" s="2" t="inlineStr"/>
    </row>
    <row r="184" ht="15" customHeight="1">
      <c r="A184" t="inlineStr">
        <is>
          <t>A 16825-2024</t>
        </is>
      </c>
      <c r="B184" s="1" t="n">
        <v>45411.47335648148</v>
      </c>
      <c r="C184" s="1" t="n">
        <v>46109</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12033-2024</t>
        </is>
      </c>
      <c r="B185" s="1" t="n">
        <v>45377.40043981482</v>
      </c>
      <c r="C185" s="1" t="n">
        <v>46109</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18501-2024</t>
        </is>
      </c>
      <c r="B186" s="1" t="n">
        <v>45425.57538194444</v>
      </c>
      <c r="C186" s="1" t="n">
        <v>46109</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28395-2023</t>
        </is>
      </c>
      <c r="B187" s="1" t="n">
        <v>45100.4062962963</v>
      </c>
      <c r="C187" s="1" t="n">
        <v>46109</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6214-2025</t>
        </is>
      </c>
      <c r="B188" s="1" t="n">
        <v>45698.51711805556</v>
      </c>
      <c r="C188" s="1" t="n">
        <v>46109</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49408-2023</t>
        </is>
      </c>
      <c r="B189" s="1" t="n">
        <v>45211.43555555555</v>
      </c>
      <c r="C189" s="1" t="n">
        <v>46109</v>
      </c>
      <c r="D189" t="inlineStr">
        <is>
          <t>KALMAR LÄN</t>
        </is>
      </c>
      <c r="E189" t="inlineStr">
        <is>
          <t>VIMMERBY</t>
        </is>
      </c>
      <c r="G189" t="n">
        <v>13.1</v>
      </c>
      <c r="H189" t="n">
        <v>0</v>
      </c>
      <c r="I189" t="n">
        <v>0</v>
      </c>
      <c r="J189" t="n">
        <v>0</v>
      </c>
      <c r="K189" t="n">
        <v>0</v>
      </c>
      <c r="L189" t="n">
        <v>0</v>
      </c>
      <c r="M189" t="n">
        <v>0</v>
      </c>
      <c r="N189" t="n">
        <v>0</v>
      </c>
      <c r="O189" t="n">
        <v>0</v>
      </c>
      <c r="P189" t="n">
        <v>0</v>
      </c>
      <c r="Q189" t="n">
        <v>0</v>
      </c>
      <c r="R189" s="2" t="inlineStr"/>
    </row>
    <row r="190" ht="15" customHeight="1">
      <c r="A190" t="inlineStr">
        <is>
          <t>A 57256-2023</t>
        </is>
      </c>
      <c r="B190" s="1" t="n">
        <v>45245.5735300926</v>
      </c>
      <c r="C190" s="1" t="n">
        <v>46109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25799-2023</t>
        </is>
      </c>
      <c r="B191" s="1" t="n">
        <v>45090</v>
      </c>
      <c r="C191" s="1" t="n">
        <v>46109</v>
      </c>
      <c r="D191" t="inlineStr">
        <is>
          <t>KALMAR LÄN</t>
        </is>
      </c>
      <c r="E191" t="inlineStr">
        <is>
          <t>VIMMERBY</t>
        </is>
      </c>
      <c r="G191" t="n">
        <v>7.7</v>
      </c>
      <c r="H191" t="n">
        <v>0</v>
      </c>
      <c r="I191" t="n">
        <v>0</v>
      </c>
      <c r="J191" t="n">
        <v>0</v>
      </c>
      <c r="K191" t="n">
        <v>0</v>
      </c>
      <c r="L191" t="n">
        <v>0</v>
      </c>
      <c r="M191" t="n">
        <v>0</v>
      </c>
      <c r="N191" t="n">
        <v>0</v>
      </c>
      <c r="O191" t="n">
        <v>0</v>
      </c>
      <c r="P191" t="n">
        <v>0</v>
      </c>
      <c r="Q191" t="n">
        <v>0</v>
      </c>
      <c r="R191" s="2" t="inlineStr"/>
    </row>
    <row r="192" ht="15" customHeight="1">
      <c r="A192" t="inlineStr">
        <is>
          <t>A 23088-2024</t>
        </is>
      </c>
      <c r="B192" s="1" t="n">
        <v>45450.51092592593</v>
      </c>
      <c r="C192" s="1" t="n">
        <v>46109</v>
      </c>
      <c r="D192" t="inlineStr">
        <is>
          <t>KALMAR LÄN</t>
        </is>
      </c>
      <c r="E192" t="inlineStr">
        <is>
          <t>VIMMERBY</t>
        </is>
      </c>
      <c r="G192" t="n">
        <v>1.9</v>
      </c>
      <c r="H192" t="n">
        <v>0</v>
      </c>
      <c r="I192" t="n">
        <v>0</v>
      </c>
      <c r="J192" t="n">
        <v>0</v>
      </c>
      <c r="K192" t="n">
        <v>0</v>
      </c>
      <c r="L192" t="n">
        <v>0</v>
      </c>
      <c r="M192" t="n">
        <v>0</v>
      </c>
      <c r="N192" t="n">
        <v>0</v>
      </c>
      <c r="O192" t="n">
        <v>0</v>
      </c>
      <c r="P192" t="n">
        <v>0</v>
      </c>
      <c r="Q192" t="n">
        <v>0</v>
      </c>
      <c r="R192" s="2" t="inlineStr"/>
    </row>
    <row r="193" ht="15" customHeight="1">
      <c r="A193" t="inlineStr">
        <is>
          <t>A 16015-2025</t>
        </is>
      </c>
      <c r="B193" s="1" t="n">
        <v>45749.60487268519</v>
      </c>
      <c r="C193" s="1" t="n">
        <v>46109</v>
      </c>
      <c r="D193" t="inlineStr">
        <is>
          <t>KALMAR LÄN</t>
        </is>
      </c>
      <c r="E193" t="inlineStr">
        <is>
          <t>VIMMERBY</t>
        </is>
      </c>
      <c r="F193" t="inlineStr">
        <is>
          <t>Kyrkan</t>
        </is>
      </c>
      <c r="G193" t="n">
        <v>2.7</v>
      </c>
      <c r="H193" t="n">
        <v>0</v>
      </c>
      <c r="I193" t="n">
        <v>0</v>
      </c>
      <c r="J193" t="n">
        <v>0</v>
      </c>
      <c r="K193" t="n">
        <v>0</v>
      </c>
      <c r="L193" t="n">
        <v>0</v>
      </c>
      <c r="M193" t="n">
        <v>0</v>
      </c>
      <c r="N193" t="n">
        <v>0</v>
      </c>
      <c r="O193" t="n">
        <v>0</v>
      </c>
      <c r="P193" t="n">
        <v>0</v>
      </c>
      <c r="Q193" t="n">
        <v>0</v>
      </c>
      <c r="R193" s="2" t="inlineStr"/>
    </row>
    <row r="194" ht="15" customHeight="1">
      <c r="A194" t="inlineStr">
        <is>
          <t>A 57189-2022</t>
        </is>
      </c>
      <c r="B194" s="1" t="n">
        <v>44895.62296296296</v>
      </c>
      <c r="C194" s="1" t="n">
        <v>46109</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1987-2024</t>
        </is>
      </c>
      <c r="B195" s="1" t="n">
        <v>45308.61152777778</v>
      </c>
      <c r="C195" s="1" t="n">
        <v>46109</v>
      </c>
      <c r="D195" t="inlineStr">
        <is>
          <t>KALMAR LÄN</t>
        </is>
      </c>
      <c r="E195" t="inlineStr">
        <is>
          <t>VIMMERBY</t>
        </is>
      </c>
      <c r="G195" t="n">
        <v>3</v>
      </c>
      <c r="H195" t="n">
        <v>0</v>
      </c>
      <c r="I195" t="n">
        <v>0</v>
      </c>
      <c r="J195" t="n">
        <v>0</v>
      </c>
      <c r="K195" t="n">
        <v>0</v>
      </c>
      <c r="L195" t="n">
        <v>0</v>
      </c>
      <c r="M195" t="n">
        <v>0</v>
      </c>
      <c r="N195" t="n">
        <v>0</v>
      </c>
      <c r="O195" t="n">
        <v>0</v>
      </c>
      <c r="P195" t="n">
        <v>0</v>
      </c>
      <c r="Q195" t="n">
        <v>0</v>
      </c>
      <c r="R195" s="2" t="inlineStr"/>
    </row>
    <row r="196" ht="15" customHeight="1">
      <c r="A196" t="inlineStr">
        <is>
          <t>A 527-2024</t>
        </is>
      </c>
      <c r="B196" s="1" t="n">
        <v>45299.47513888889</v>
      </c>
      <c r="C196" s="1" t="n">
        <v>46109</v>
      </c>
      <c r="D196" t="inlineStr">
        <is>
          <t>KALMAR LÄN</t>
        </is>
      </c>
      <c r="E196" t="inlineStr">
        <is>
          <t>VIMMERBY</t>
        </is>
      </c>
      <c r="G196" t="n">
        <v>2.2</v>
      </c>
      <c r="H196" t="n">
        <v>0</v>
      </c>
      <c r="I196" t="n">
        <v>0</v>
      </c>
      <c r="J196" t="n">
        <v>0</v>
      </c>
      <c r="K196" t="n">
        <v>0</v>
      </c>
      <c r="L196" t="n">
        <v>0</v>
      </c>
      <c r="M196" t="n">
        <v>0</v>
      </c>
      <c r="N196" t="n">
        <v>0</v>
      </c>
      <c r="O196" t="n">
        <v>0</v>
      </c>
      <c r="P196" t="n">
        <v>0</v>
      </c>
      <c r="Q196" t="n">
        <v>0</v>
      </c>
      <c r="R196" s="2" t="inlineStr"/>
    </row>
    <row r="197" ht="15" customHeight="1">
      <c r="A197" t="inlineStr">
        <is>
          <t>A 27443-2023</t>
        </is>
      </c>
      <c r="B197" s="1" t="n">
        <v>45097.40524305555</v>
      </c>
      <c r="C197" s="1" t="n">
        <v>46109</v>
      </c>
      <c r="D197" t="inlineStr">
        <is>
          <t>KALMAR LÄN</t>
        </is>
      </c>
      <c r="E197" t="inlineStr">
        <is>
          <t>VIMMERBY</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37192-2024</t>
        </is>
      </c>
      <c r="B198" s="1" t="n">
        <v>45539.66027777778</v>
      </c>
      <c r="C198" s="1" t="n">
        <v>46109</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22399-2025</t>
        </is>
      </c>
      <c r="B199" s="1" t="n">
        <v>45786.52996527778</v>
      </c>
      <c r="C199" s="1" t="n">
        <v>46109</v>
      </c>
      <c r="D199" t="inlineStr">
        <is>
          <t>KALMAR LÄN</t>
        </is>
      </c>
      <c r="E199" t="inlineStr">
        <is>
          <t>VIMMERBY</t>
        </is>
      </c>
      <c r="G199" t="n">
        <v>2.1</v>
      </c>
      <c r="H199" t="n">
        <v>0</v>
      </c>
      <c r="I199" t="n">
        <v>0</v>
      </c>
      <c r="J199" t="n">
        <v>0</v>
      </c>
      <c r="K199" t="n">
        <v>0</v>
      </c>
      <c r="L199" t="n">
        <v>0</v>
      </c>
      <c r="M199" t="n">
        <v>0</v>
      </c>
      <c r="N199" t="n">
        <v>0</v>
      </c>
      <c r="O199" t="n">
        <v>0</v>
      </c>
      <c r="P199" t="n">
        <v>0</v>
      </c>
      <c r="Q199" t="n">
        <v>0</v>
      </c>
      <c r="R199" s="2" t="inlineStr"/>
    </row>
    <row r="200" ht="15" customHeight="1">
      <c r="A200" t="inlineStr">
        <is>
          <t>A 47063-2022</t>
        </is>
      </c>
      <c r="B200" s="1" t="n">
        <v>44852</v>
      </c>
      <c r="C200" s="1" t="n">
        <v>46109</v>
      </c>
      <c r="D200" t="inlineStr">
        <is>
          <t>KALMAR LÄN</t>
        </is>
      </c>
      <c r="E200" t="inlineStr">
        <is>
          <t>VIMMERBY</t>
        </is>
      </c>
      <c r="G200" t="n">
        <v>2.5</v>
      </c>
      <c r="H200" t="n">
        <v>0</v>
      </c>
      <c r="I200" t="n">
        <v>0</v>
      </c>
      <c r="J200" t="n">
        <v>0</v>
      </c>
      <c r="K200" t="n">
        <v>0</v>
      </c>
      <c r="L200" t="n">
        <v>0</v>
      </c>
      <c r="M200" t="n">
        <v>0</v>
      </c>
      <c r="N200" t="n">
        <v>0</v>
      </c>
      <c r="O200" t="n">
        <v>0</v>
      </c>
      <c r="P200" t="n">
        <v>0</v>
      </c>
      <c r="Q200" t="n">
        <v>0</v>
      </c>
      <c r="R200" s="2" t="inlineStr"/>
    </row>
    <row r="201" ht="15" customHeight="1">
      <c r="A201" t="inlineStr">
        <is>
          <t>A 12819-2024</t>
        </is>
      </c>
      <c r="B201" s="1" t="n">
        <v>45384.66917824074</v>
      </c>
      <c r="C201" s="1" t="n">
        <v>46109</v>
      </c>
      <c r="D201" t="inlineStr">
        <is>
          <t>KALMAR LÄN</t>
        </is>
      </c>
      <c r="E201" t="inlineStr">
        <is>
          <t>VIMMERBY</t>
        </is>
      </c>
      <c r="G201" t="n">
        <v>5.1</v>
      </c>
      <c r="H201" t="n">
        <v>0</v>
      </c>
      <c r="I201" t="n">
        <v>0</v>
      </c>
      <c r="J201" t="n">
        <v>0</v>
      </c>
      <c r="K201" t="n">
        <v>0</v>
      </c>
      <c r="L201" t="n">
        <v>0</v>
      </c>
      <c r="M201" t="n">
        <v>0</v>
      </c>
      <c r="N201" t="n">
        <v>0</v>
      </c>
      <c r="O201" t="n">
        <v>0</v>
      </c>
      <c r="P201" t="n">
        <v>0</v>
      </c>
      <c r="Q201" t="n">
        <v>0</v>
      </c>
      <c r="R201" s="2" t="inlineStr"/>
    </row>
    <row r="202" ht="15" customHeight="1">
      <c r="A202" t="inlineStr">
        <is>
          <t>A 38604-2025</t>
        </is>
      </c>
      <c r="B202" s="1" t="n">
        <v>45884.50613425926</v>
      </c>
      <c r="C202" s="1" t="n">
        <v>46109</v>
      </c>
      <c r="D202" t="inlineStr">
        <is>
          <t>KALMAR LÄN</t>
        </is>
      </c>
      <c r="E202" t="inlineStr">
        <is>
          <t>VIMMERBY</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31382-2023</t>
        </is>
      </c>
      <c r="B203" s="1" t="n">
        <v>45114.55136574074</v>
      </c>
      <c r="C203" s="1" t="n">
        <v>46109</v>
      </c>
      <c r="D203" t="inlineStr">
        <is>
          <t>KALMAR LÄN</t>
        </is>
      </c>
      <c r="E203" t="inlineStr">
        <is>
          <t>VIMMERBY</t>
        </is>
      </c>
      <c r="G203" t="n">
        <v>3.7</v>
      </c>
      <c r="H203" t="n">
        <v>0</v>
      </c>
      <c r="I203" t="n">
        <v>0</v>
      </c>
      <c r="J203" t="n">
        <v>0</v>
      </c>
      <c r="K203" t="n">
        <v>0</v>
      </c>
      <c r="L203" t="n">
        <v>0</v>
      </c>
      <c r="M203" t="n">
        <v>0</v>
      </c>
      <c r="N203" t="n">
        <v>0</v>
      </c>
      <c r="O203" t="n">
        <v>0</v>
      </c>
      <c r="P203" t="n">
        <v>0</v>
      </c>
      <c r="Q203" t="n">
        <v>0</v>
      </c>
      <c r="R203" s="2" t="inlineStr"/>
    </row>
    <row r="204" ht="15" customHeight="1">
      <c r="A204" t="inlineStr">
        <is>
          <t>A 11073-2023</t>
        </is>
      </c>
      <c r="B204" s="1" t="n">
        <v>44992</v>
      </c>
      <c r="C204" s="1" t="n">
        <v>46109</v>
      </c>
      <c r="D204" t="inlineStr">
        <is>
          <t>KALMAR LÄN</t>
        </is>
      </c>
      <c r="E204" t="inlineStr">
        <is>
          <t>VIMMERBY</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22397-2025</t>
        </is>
      </c>
      <c r="B205" s="1" t="n">
        <v>45786.52878472222</v>
      </c>
      <c r="C205" s="1" t="n">
        <v>46109</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59955-2023</t>
        </is>
      </c>
      <c r="B206" s="1" t="n">
        <v>45257.70313657408</v>
      </c>
      <c r="C206" s="1" t="n">
        <v>46109</v>
      </c>
      <c r="D206" t="inlineStr">
        <is>
          <t>KALMAR LÄN</t>
        </is>
      </c>
      <c r="E206" t="inlineStr">
        <is>
          <t>VIMMERBY</t>
        </is>
      </c>
      <c r="G206" t="n">
        <v>13.8</v>
      </c>
      <c r="H206" t="n">
        <v>0</v>
      </c>
      <c r="I206" t="n">
        <v>0</v>
      </c>
      <c r="J206" t="n">
        <v>0</v>
      </c>
      <c r="K206" t="n">
        <v>0</v>
      </c>
      <c r="L206" t="n">
        <v>0</v>
      </c>
      <c r="M206" t="n">
        <v>0</v>
      </c>
      <c r="N206" t="n">
        <v>0</v>
      </c>
      <c r="O206" t="n">
        <v>0</v>
      </c>
      <c r="P206" t="n">
        <v>0</v>
      </c>
      <c r="Q206" t="n">
        <v>0</v>
      </c>
      <c r="R206" s="2" t="inlineStr"/>
    </row>
    <row r="207" ht="15" customHeight="1">
      <c r="A207" t="inlineStr">
        <is>
          <t>A 36802-2021</t>
        </is>
      </c>
      <c r="B207" s="1" t="n">
        <v>44392</v>
      </c>
      <c r="C207" s="1" t="n">
        <v>46109</v>
      </c>
      <c r="D207" t="inlineStr">
        <is>
          <t>KALMAR LÄN</t>
        </is>
      </c>
      <c r="E207" t="inlineStr">
        <is>
          <t>VIMMERBY</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57728-2025</t>
        </is>
      </c>
      <c r="B208" s="1" t="n">
        <v>45981</v>
      </c>
      <c r="C208" s="1" t="n">
        <v>46109</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61820-2023</t>
        </is>
      </c>
      <c r="B209" s="1" t="n">
        <v>45266.32614583334</v>
      </c>
      <c r="C209" s="1" t="n">
        <v>46109</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3269-2024</t>
        </is>
      </c>
      <c r="B210" s="1" t="n">
        <v>45317.40372685185</v>
      </c>
      <c r="C210" s="1" t="n">
        <v>46109</v>
      </c>
      <c r="D210" t="inlineStr">
        <is>
          <t>KALMAR LÄN</t>
        </is>
      </c>
      <c r="E210" t="inlineStr">
        <is>
          <t>VIMMERBY</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2157-2024</t>
        </is>
      </c>
      <c r="B211" s="1" t="n">
        <v>45309.59487268519</v>
      </c>
      <c r="C211" s="1" t="n">
        <v>46109</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9416-2024</t>
        </is>
      </c>
      <c r="B212" s="1" t="n">
        <v>45359.44837962963</v>
      </c>
      <c r="C212" s="1" t="n">
        <v>46109</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58318-2021</t>
        </is>
      </c>
      <c r="B213" s="1" t="n">
        <v>44488.35878472222</v>
      </c>
      <c r="C213" s="1" t="n">
        <v>46109</v>
      </c>
      <c r="D213" t="inlineStr">
        <is>
          <t>KALMAR LÄN</t>
        </is>
      </c>
      <c r="E213" t="inlineStr">
        <is>
          <t>VIMMERBY</t>
        </is>
      </c>
      <c r="G213" t="n">
        <v>4</v>
      </c>
      <c r="H213" t="n">
        <v>0</v>
      </c>
      <c r="I213" t="n">
        <v>0</v>
      </c>
      <c r="J213" t="n">
        <v>0</v>
      </c>
      <c r="K213" t="n">
        <v>0</v>
      </c>
      <c r="L213" t="n">
        <v>0</v>
      </c>
      <c r="M213" t="n">
        <v>0</v>
      </c>
      <c r="N213" t="n">
        <v>0</v>
      </c>
      <c r="O213" t="n">
        <v>0</v>
      </c>
      <c r="P213" t="n">
        <v>0</v>
      </c>
      <c r="Q213" t="n">
        <v>0</v>
      </c>
      <c r="R213" s="2" t="inlineStr"/>
    </row>
    <row r="214" ht="15" customHeight="1">
      <c r="A214" t="inlineStr">
        <is>
          <t>A 53083-2021</t>
        </is>
      </c>
      <c r="B214" s="1" t="n">
        <v>44467.83386574074</v>
      </c>
      <c r="C214" s="1" t="n">
        <v>46109</v>
      </c>
      <c r="D214" t="inlineStr">
        <is>
          <t>KALMAR LÄN</t>
        </is>
      </c>
      <c r="E214" t="inlineStr">
        <is>
          <t>VIMMERBY</t>
        </is>
      </c>
      <c r="G214" t="n">
        <v>6.8</v>
      </c>
      <c r="H214" t="n">
        <v>0</v>
      </c>
      <c r="I214" t="n">
        <v>0</v>
      </c>
      <c r="J214" t="n">
        <v>0</v>
      </c>
      <c r="K214" t="n">
        <v>0</v>
      </c>
      <c r="L214" t="n">
        <v>0</v>
      </c>
      <c r="M214" t="n">
        <v>0</v>
      </c>
      <c r="N214" t="n">
        <v>0</v>
      </c>
      <c r="O214" t="n">
        <v>0</v>
      </c>
      <c r="P214" t="n">
        <v>0</v>
      </c>
      <c r="Q214" t="n">
        <v>0</v>
      </c>
      <c r="R214" s="2" t="inlineStr"/>
    </row>
    <row r="215" ht="15" customHeight="1">
      <c r="A215" t="inlineStr">
        <is>
          <t>A 29173-2024</t>
        </is>
      </c>
      <c r="B215" s="1" t="n">
        <v>45482.52887731481</v>
      </c>
      <c r="C215" s="1" t="n">
        <v>46109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46109</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46109</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9418-2024</t>
        </is>
      </c>
      <c r="B218" s="1" t="n">
        <v>45359.45038194444</v>
      </c>
      <c r="C218" s="1" t="n">
        <v>46109</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58442-2025</t>
        </is>
      </c>
      <c r="B219" s="1" t="n">
        <v>45985.61635416667</v>
      </c>
      <c r="C219" s="1" t="n">
        <v>46109</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58498-2025</t>
        </is>
      </c>
      <c r="B220" s="1" t="n">
        <v>45985.68671296296</v>
      </c>
      <c r="C220" s="1" t="n">
        <v>46109</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58501-2025</t>
        </is>
      </c>
      <c r="B221" s="1" t="n">
        <v>45985.69153935185</v>
      </c>
      <c r="C221" s="1" t="n">
        <v>46109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58514-2025</t>
        </is>
      </c>
      <c r="B222" s="1" t="n">
        <v>45985.70513888889</v>
      </c>
      <c r="C222" s="1" t="n">
        <v>46109</v>
      </c>
      <c r="D222" t="inlineStr">
        <is>
          <t>KALMAR LÄN</t>
        </is>
      </c>
      <c r="E222" t="inlineStr">
        <is>
          <t>VIMMERBY</t>
        </is>
      </c>
      <c r="G222" t="n">
        <v>3.7</v>
      </c>
      <c r="H222" t="n">
        <v>0</v>
      </c>
      <c r="I222" t="n">
        <v>0</v>
      </c>
      <c r="J222" t="n">
        <v>0</v>
      </c>
      <c r="K222" t="n">
        <v>0</v>
      </c>
      <c r="L222" t="n">
        <v>0</v>
      </c>
      <c r="M222" t="n">
        <v>0</v>
      </c>
      <c r="N222" t="n">
        <v>0</v>
      </c>
      <c r="O222" t="n">
        <v>0</v>
      </c>
      <c r="P222" t="n">
        <v>0</v>
      </c>
      <c r="Q222" t="n">
        <v>0</v>
      </c>
      <c r="R222" s="2" t="inlineStr"/>
    </row>
    <row r="223" ht="15" customHeight="1">
      <c r="A223" t="inlineStr">
        <is>
          <t>A 49313-2022</t>
        </is>
      </c>
      <c r="B223" s="1" t="n">
        <v>44861.52505787037</v>
      </c>
      <c r="C223" s="1" t="n">
        <v>46109</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35998-2024</t>
        </is>
      </c>
      <c r="B224" s="1" t="n">
        <v>45533.54429398148</v>
      </c>
      <c r="C224" s="1" t="n">
        <v>46109</v>
      </c>
      <c r="D224" t="inlineStr">
        <is>
          <t>KALMAR LÄN</t>
        </is>
      </c>
      <c r="E224" t="inlineStr">
        <is>
          <t>VIMMERBY</t>
        </is>
      </c>
      <c r="G224" t="n">
        <v>8.6</v>
      </c>
      <c r="H224" t="n">
        <v>0</v>
      </c>
      <c r="I224" t="n">
        <v>0</v>
      </c>
      <c r="J224" t="n">
        <v>0</v>
      </c>
      <c r="K224" t="n">
        <v>0</v>
      </c>
      <c r="L224" t="n">
        <v>0</v>
      </c>
      <c r="M224" t="n">
        <v>0</v>
      </c>
      <c r="N224" t="n">
        <v>0</v>
      </c>
      <c r="O224" t="n">
        <v>0</v>
      </c>
      <c r="P224" t="n">
        <v>0</v>
      </c>
      <c r="Q224" t="n">
        <v>0</v>
      </c>
      <c r="R224" s="2" t="inlineStr"/>
    </row>
    <row r="225" ht="15" customHeight="1">
      <c r="A225" t="inlineStr">
        <is>
          <t>A 36040-2024</t>
        </is>
      </c>
      <c r="B225" s="1" t="n">
        <v>45533.60232638889</v>
      </c>
      <c r="C225" s="1" t="n">
        <v>46109</v>
      </c>
      <c r="D225" t="inlineStr">
        <is>
          <t>KALMAR LÄN</t>
        </is>
      </c>
      <c r="E225" t="inlineStr">
        <is>
          <t>VIMMERBY</t>
        </is>
      </c>
      <c r="F225" t="inlineStr">
        <is>
          <t>Kommuner</t>
        </is>
      </c>
      <c r="G225" t="n">
        <v>3.6</v>
      </c>
      <c r="H225" t="n">
        <v>0</v>
      </c>
      <c r="I225" t="n">
        <v>0</v>
      </c>
      <c r="J225" t="n">
        <v>0</v>
      </c>
      <c r="K225" t="n">
        <v>0</v>
      </c>
      <c r="L225" t="n">
        <v>0</v>
      </c>
      <c r="M225" t="n">
        <v>0</v>
      </c>
      <c r="N225" t="n">
        <v>0</v>
      </c>
      <c r="O225" t="n">
        <v>0</v>
      </c>
      <c r="P225" t="n">
        <v>0</v>
      </c>
      <c r="Q225" t="n">
        <v>0</v>
      </c>
      <c r="R225" s="2" t="inlineStr"/>
    </row>
    <row r="226" ht="15" customHeight="1">
      <c r="A226" t="inlineStr">
        <is>
          <t>A 36043-2024</t>
        </is>
      </c>
      <c r="B226" s="1" t="n">
        <v>45533.60770833334</v>
      </c>
      <c r="C226" s="1" t="n">
        <v>46109</v>
      </c>
      <c r="D226" t="inlineStr">
        <is>
          <t>KALMAR LÄN</t>
        </is>
      </c>
      <c r="E226" t="inlineStr">
        <is>
          <t>VIMMERBY</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11442-2025</t>
        </is>
      </c>
      <c r="B227" s="1" t="n">
        <v>45726.62721064815</v>
      </c>
      <c r="C227" s="1" t="n">
        <v>46109</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22197-2024</t>
        </is>
      </c>
      <c r="B228" s="1" t="n">
        <v>45446.36774305555</v>
      </c>
      <c r="C228" s="1" t="n">
        <v>46109</v>
      </c>
      <c r="D228" t="inlineStr">
        <is>
          <t>KALMAR LÄN</t>
        </is>
      </c>
      <c r="E228" t="inlineStr">
        <is>
          <t>VIMMERBY</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58503-2025</t>
        </is>
      </c>
      <c r="B229" s="1" t="n">
        <v>45985.69509259259</v>
      </c>
      <c r="C229" s="1" t="n">
        <v>46109</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58446-2025</t>
        </is>
      </c>
      <c r="B230" s="1" t="n">
        <v>45985.62168981481</v>
      </c>
      <c r="C230" s="1" t="n">
        <v>46109</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58500-2025</t>
        </is>
      </c>
      <c r="B231" s="1" t="n">
        <v>45985.69008101852</v>
      </c>
      <c r="C231" s="1" t="n">
        <v>46109</v>
      </c>
      <c r="D231" t="inlineStr">
        <is>
          <t>KALMAR LÄN</t>
        </is>
      </c>
      <c r="E231" t="inlineStr">
        <is>
          <t>VIMMERBY</t>
        </is>
      </c>
      <c r="G231" t="n">
        <v>1.8</v>
      </c>
      <c r="H231" t="n">
        <v>0</v>
      </c>
      <c r="I231" t="n">
        <v>0</v>
      </c>
      <c r="J231" t="n">
        <v>0</v>
      </c>
      <c r="K231" t="n">
        <v>0</v>
      </c>
      <c r="L231" t="n">
        <v>0</v>
      </c>
      <c r="M231" t="n">
        <v>0</v>
      </c>
      <c r="N231" t="n">
        <v>0</v>
      </c>
      <c r="O231" t="n">
        <v>0</v>
      </c>
      <c r="P231" t="n">
        <v>0</v>
      </c>
      <c r="Q231" t="n">
        <v>0</v>
      </c>
      <c r="R231" s="2" t="inlineStr"/>
    </row>
    <row r="232" ht="15" customHeight="1">
      <c r="A232" t="inlineStr">
        <is>
          <t>A 35710-2023</t>
        </is>
      </c>
      <c r="B232" s="1" t="n">
        <v>45147.67096064815</v>
      </c>
      <c r="C232" s="1" t="n">
        <v>46109</v>
      </c>
      <c r="D232" t="inlineStr">
        <is>
          <t>KALMAR LÄN</t>
        </is>
      </c>
      <c r="E232" t="inlineStr">
        <is>
          <t>VIMMERBY</t>
        </is>
      </c>
      <c r="G232" t="n">
        <v>3.1</v>
      </c>
      <c r="H232" t="n">
        <v>0</v>
      </c>
      <c r="I232" t="n">
        <v>0</v>
      </c>
      <c r="J232" t="n">
        <v>0</v>
      </c>
      <c r="K232" t="n">
        <v>0</v>
      </c>
      <c r="L232" t="n">
        <v>0</v>
      </c>
      <c r="M232" t="n">
        <v>0</v>
      </c>
      <c r="N232" t="n">
        <v>0</v>
      </c>
      <c r="O232" t="n">
        <v>0</v>
      </c>
      <c r="P232" t="n">
        <v>0</v>
      </c>
      <c r="Q232" t="n">
        <v>0</v>
      </c>
      <c r="R232" s="2" t="inlineStr"/>
    </row>
    <row r="233" ht="15" customHeight="1">
      <c r="A233" t="inlineStr">
        <is>
          <t>A 35711-2023</t>
        </is>
      </c>
      <c r="B233" s="1" t="n">
        <v>45147.67172453704</v>
      </c>
      <c r="C233" s="1" t="n">
        <v>46109</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58435-2025</t>
        </is>
      </c>
      <c r="B234" s="1" t="n">
        <v>45985.61501157407</v>
      </c>
      <c r="C234" s="1" t="n">
        <v>46109</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6307-2025</t>
        </is>
      </c>
      <c r="B235" s="1" t="n">
        <v>45698.69016203703</v>
      </c>
      <c r="C235" s="1" t="n">
        <v>46109</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29726-2025</t>
        </is>
      </c>
      <c r="B236" s="1" t="n">
        <v>45825.57805555555</v>
      </c>
      <c r="C236" s="1" t="n">
        <v>46109</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59037-2025</t>
        </is>
      </c>
      <c r="B237" s="1" t="n">
        <v>45988.36508101852</v>
      </c>
      <c r="C237" s="1" t="n">
        <v>46109</v>
      </c>
      <c r="D237" t="inlineStr">
        <is>
          <t>KALMAR LÄN</t>
        </is>
      </c>
      <c r="E237" t="inlineStr">
        <is>
          <t>VIMMERBY</t>
        </is>
      </c>
      <c r="F237" t="inlineStr">
        <is>
          <t>Sveaskog</t>
        </is>
      </c>
      <c r="G237" t="n">
        <v>4</v>
      </c>
      <c r="H237" t="n">
        <v>0</v>
      </c>
      <c r="I237" t="n">
        <v>0</v>
      </c>
      <c r="J237" t="n">
        <v>0</v>
      </c>
      <c r="K237" t="n">
        <v>0</v>
      </c>
      <c r="L237" t="n">
        <v>0</v>
      </c>
      <c r="M237" t="n">
        <v>0</v>
      </c>
      <c r="N237" t="n">
        <v>0</v>
      </c>
      <c r="O237" t="n">
        <v>0</v>
      </c>
      <c r="P237" t="n">
        <v>0</v>
      </c>
      <c r="Q237" t="n">
        <v>0</v>
      </c>
      <c r="R237" s="2" t="inlineStr"/>
    </row>
    <row r="238" ht="15" customHeight="1">
      <c r="A238" t="inlineStr">
        <is>
          <t>A 59034-2025</t>
        </is>
      </c>
      <c r="B238" s="1" t="n">
        <v>45988.36243055556</v>
      </c>
      <c r="C238" s="1" t="n">
        <v>46109</v>
      </c>
      <c r="D238" t="inlineStr">
        <is>
          <t>KALMAR LÄN</t>
        </is>
      </c>
      <c r="E238" t="inlineStr">
        <is>
          <t>VIMMERBY</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59068-2025</t>
        </is>
      </c>
      <c r="B239" s="1" t="n">
        <v>45988.41725694444</v>
      </c>
      <c r="C239" s="1" t="n">
        <v>46109</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58858-2025</t>
        </is>
      </c>
      <c r="B240" s="1" t="n">
        <v>45987.4243287037</v>
      </c>
      <c r="C240" s="1" t="n">
        <v>46109</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59039-2025</t>
        </is>
      </c>
      <c r="B241" s="1" t="n">
        <v>45988.36790509259</v>
      </c>
      <c r="C241" s="1" t="n">
        <v>46109</v>
      </c>
      <c r="D241" t="inlineStr">
        <is>
          <t>KALMAR LÄN</t>
        </is>
      </c>
      <c r="E241" t="inlineStr">
        <is>
          <t>VIMMERBY</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38964-2025</t>
        </is>
      </c>
      <c r="B242" s="1" t="n">
        <v>45887.68759259259</v>
      </c>
      <c r="C242" s="1" t="n">
        <v>46109</v>
      </c>
      <c r="D242" t="inlineStr">
        <is>
          <t>KALMAR LÄN</t>
        </is>
      </c>
      <c r="E242" t="inlineStr">
        <is>
          <t>VIMMERBY</t>
        </is>
      </c>
      <c r="G242" t="n">
        <v>7.5</v>
      </c>
      <c r="H242" t="n">
        <v>0</v>
      </c>
      <c r="I242" t="n">
        <v>0</v>
      </c>
      <c r="J242" t="n">
        <v>0</v>
      </c>
      <c r="K242" t="n">
        <v>0</v>
      </c>
      <c r="L242" t="n">
        <v>0</v>
      </c>
      <c r="M242" t="n">
        <v>0</v>
      </c>
      <c r="N242" t="n">
        <v>0</v>
      </c>
      <c r="O242" t="n">
        <v>0</v>
      </c>
      <c r="P242" t="n">
        <v>0</v>
      </c>
      <c r="Q242" t="n">
        <v>0</v>
      </c>
      <c r="R242" s="2" t="inlineStr"/>
    </row>
    <row r="243" ht="15" customHeight="1">
      <c r="A243" t="inlineStr">
        <is>
          <t>A 58841-2025</t>
        </is>
      </c>
      <c r="B243" s="1" t="n">
        <v>45987.36275462963</v>
      </c>
      <c r="C243" s="1" t="n">
        <v>46109</v>
      </c>
      <c r="D243" t="inlineStr">
        <is>
          <t>KALMAR LÄN</t>
        </is>
      </c>
      <c r="E243" t="inlineStr">
        <is>
          <t>VIMMERBY</t>
        </is>
      </c>
      <c r="G243" t="n">
        <v>3.5</v>
      </c>
      <c r="H243" t="n">
        <v>0</v>
      </c>
      <c r="I243" t="n">
        <v>0</v>
      </c>
      <c r="J243" t="n">
        <v>0</v>
      </c>
      <c r="K243" t="n">
        <v>0</v>
      </c>
      <c r="L243" t="n">
        <v>0</v>
      </c>
      <c r="M243" t="n">
        <v>0</v>
      </c>
      <c r="N243" t="n">
        <v>0</v>
      </c>
      <c r="O243" t="n">
        <v>0</v>
      </c>
      <c r="P243" t="n">
        <v>0</v>
      </c>
      <c r="Q243" t="n">
        <v>0</v>
      </c>
      <c r="R243" s="2" t="inlineStr"/>
    </row>
    <row r="244" ht="15" customHeight="1">
      <c r="A244" t="inlineStr">
        <is>
          <t>A 34588-2024</t>
        </is>
      </c>
      <c r="B244" s="1" t="n">
        <v>45526.3865625</v>
      </c>
      <c r="C244" s="1" t="n">
        <v>46109</v>
      </c>
      <c r="D244" t="inlineStr">
        <is>
          <t>KALMAR LÄN</t>
        </is>
      </c>
      <c r="E244" t="inlineStr">
        <is>
          <t>VIMMERBY</t>
        </is>
      </c>
      <c r="F244" t="inlineStr">
        <is>
          <t>Övriga Aktiebolag</t>
        </is>
      </c>
      <c r="G244" t="n">
        <v>3.3</v>
      </c>
      <c r="H244" t="n">
        <v>0</v>
      </c>
      <c r="I244" t="n">
        <v>0</v>
      </c>
      <c r="J244" t="n">
        <v>0</v>
      </c>
      <c r="K244" t="n">
        <v>0</v>
      </c>
      <c r="L244" t="n">
        <v>0</v>
      </c>
      <c r="M244" t="n">
        <v>0</v>
      </c>
      <c r="N244" t="n">
        <v>0</v>
      </c>
      <c r="O244" t="n">
        <v>0</v>
      </c>
      <c r="P244" t="n">
        <v>0</v>
      </c>
      <c r="Q244" t="n">
        <v>0</v>
      </c>
      <c r="R244" s="2" t="inlineStr"/>
    </row>
    <row r="245" ht="15" customHeight="1">
      <c r="A245" t="inlineStr">
        <is>
          <t>A 56659-2023</t>
        </is>
      </c>
      <c r="B245" s="1" t="n">
        <v>45243.84869212963</v>
      </c>
      <c r="C245" s="1" t="n">
        <v>46109</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3331-2023</t>
        </is>
      </c>
      <c r="B246" s="1" t="n">
        <v>44949</v>
      </c>
      <c r="C246" s="1" t="n">
        <v>46109</v>
      </c>
      <c r="D246" t="inlineStr">
        <is>
          <t>KALMAR LÄN</t>
        </is>
      </c>
      <c r="E246" t="inlineStr">
        <is>
          <t>VIMMERBY</t>
        </is>
      </c>
      <c r="G246" t="n">
        <v>6.2</v>
      </c>
      <c r="H246" t="n">
        <v>0</v>
      </c>
      <c r="I246" t="n">
        <v>0</v>
      </c>
      <c r="J246" t="n">
        <v>0</v>
      </c>
      <c r="K246" t="n">
        <v>0</v>
      </c>
      <c r="L246" t="n">
        <v>0</v>
      </c>
      <c r="M246" t="n">
        <v>0</v>
      </c>
      <c r="N246" t="n">
        <v>0</v>
      </c>
      <c r="O246" t="n">
        <v>0</v>
      </c>
      <c r="P246" t="n">
        <v>0</v>
      </c>
      <c r="Q246" t="n">
        <v>0</v>
      </c>
      <c r="R246" s="2" t="inlineStr"/>
    </row>
    <row r="247" ht="15" customHeight="1">
      <c r="A247" t="inlineStr">
        <is>
          <t>A 39801-2025</t>
        </is>
      </c>
      <c r="B247" s="1" t="n">
        <v>45891.50216435185</v>
      </c>
      <c r="C247" s="1" t="n">
        <v>46109</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39807-2025</t>
        </is>
      </c>
      <c r="B248" s="1" t="n">
        <v>45891.50986111111</v>
      </c>
      <c r="C248" s="1" t="n">
        <v>46109</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46109</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16734-2023</t>
        </is>
      </c>
      <c r="B250" s="1" t="n">
        <v>45030.71012731481</v>
      </c>
      <c r="C250" s="1" t="n">
        <v>46109</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59579-2025</t>
        </is>
      </c>
      <c r="B251" s="1" t="n">
        <v>45992.30569444445</v>
      </c>
      <c r="C251" s="1" t="n">
        <v>46109</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60180-2025</t>
        </is>
      </c>
      <c r="B252" s="1" t="n">
        <v>45994.46428240741</v>
      </c>
      <c r="C252" s="1" t="n">
        <v>46109</v>
      </c>
      <c r="D252" t="inlineStr">
        <is>
          <t>KALMAR LÄN</t>
        </is>
      </c>
      <c r="E252" t="inlineStr">
        <is>
          <t>VIMMERBY</t>
        </is>
      </c>
      <c r="G252" t="n">
        <v>6.8</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46109</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39803-2025</t>
        </is>
      </c>
      <c r="B254" s="1" t="n">
        <v>45891.50525462963</v>
      </c>
      <c r="C254" s="1" t="n">
        <v>46109</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46109</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9720-2023</t>
        </is>
      </c>
      <c r="B256" s="1" t="n">
        <v>44984</v>
      </c>
      <c r="C256" s="1" t="n">
        <v>46109</v>
      </c>
      <c r="D256" t="inlineStr">
        <is>
          <t>KALMAR LÄN</t>
        </is>
      </c>
      <c r="E256" t="inlineStr">
        <is>
          <t>VIMMERBY</t>
        </is>
      </c>
      <c r="G256" t="n">
        <v>4.4</v>
      </c>
      <c r="H256" t="n">
        <v>0</v>
      </c>
      <c r="I256" t="n">
        <v>0</v>
      </c>
      <c r="J256" t="n">
        <v>0</v>
      </c>
      <c r="K256" t="n">
        <v>0</v>
      </c>
      <c r="L256" t="n">
        <v>0</v>
      </c>
      <c r="M256" t="n">
        <v>0</v>
      </c>
      <c r="N256" t="n">
        <v>0</v>
      </c>
      <c r="O256" t="n">
        <v>0</v>
      </c>
      <c r="P256" t="n">
        <v>0</v>
      </c>
      <c r="Q256" t="n">
        <v>0</v>
      </c>
      <c r="R256" s="2" t="inlineStr"/>
    </row>
    <row r="257" ht="15" customHeight="1">
      <c r="A257" t="inlineStr">
        <is>
          <t>A 5938-2022</t>
        </is>
      </c>
      <c r="B257" s="1" t="n">
        <v>44598</v>
      </c>
      <c r="C257" s="1" t="n">
        <v>46109</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46109</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1687-2023</t>
        </is>
      </c>
      <c r="B259" s="1" t="n">
        <v>44938</v>
      </c>
      <c r="C259" s="1" t="n">
        <v>46109</v>
      </c>
      <c r="D259" t="inlineStr">
        <is>
          <t>KALMAR LÄN</t>
        </is>
      </c>
      <c r="E259" t="inlineStr">
        <is>
          <t>VIMMERBY</t>
        </is>
      </c>
      <c r="F259" t="inlineStr">
        <is>
          <t>Kommuner</t>
        </is>
      </c>
      <c r="G259" t="n">
        <v>2.5</v>
      </c>
      <c r="H259" t="n">
        <v>0</v>
      </c>
      <c r="I259" t="n">
        <v>0</v>
      </c>
      <c r="J259" t="n">
        <v>0</v>
      </c>
      <c r="K259" t="n">
        <v>0</v>
      </c>
      <c r="L259" t="n">
        <v>0</v>
      </c>
      <c r="M259" t="n">
        <v>0</v>
      </c>
      <c r="N259" t="n">
        <v>0</v>
      </c>
      <c r="O259" t="n">
        <v>0</v>
      </c>
      <c r="P259" t="n">
        <v>0</v>
      </c>
      <c r="Q259" t="n">
        <v>0</v>
      </c>
      <c r="R259" s="2" t="inlineStr"/>
    </row>
    <row r="260" ht="15" customHeight="1">
      <c r="A260" t="inlineStr">
        <is>
          <t>A 29440-2024</t>
        </is>
      </c>
      <c r="B260" s="1" t="n">
        <v>45483.82479166667</v>
      </c>
      <c r="C260" s="1" t="n">
        <v>46109</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30921-2024</t>
        </is>
      </c>
      <c r="B261" s="1" t="n">
        <v>45498</v>
      </c>
      <c r="C261" s="1" t="n">
        <v>46109</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53482-2022</t>
        </is>
      </c>
      <c r="B262" s="1" t="n">
        <v>44879</v>
      </c>
      <c r="C262" s="1" t="n">
        <v>46109</v>
      </c>
      <c r="D262" t="inlineStr">
        <is>
          <t>KALMAR LÄN</t>
        </is>
      </c>
      <c r="E262" t="inlineStr">
        <is>
          <t>VIMMERBY</t>
        </is>
      </c>
      <c r="G262" t="n">
        <v>10.1</v>
      </c>
      <c r="H262" t="n">
        <v>0</v>
      </c>
      <c r="I262" t="n">
        <v>0</v>
      </c>
      <c r="J262" t="n">
        <v>0</v>
      </c>
      <c r="K262" t="n">
        <v>0</v>
      </c>
      <c r="L262" t="n">
        <v>0</v>
      </c>
      <c r="M262" t="n">
        <v>0</v>
      </c>
      <c r="N262" t="n">
        <v>0</v>
      </c>
      <c r="O262" t="n">
        <v>0</v>
      </c>
      <c r="P262" t="n">
        <v>0</v>
      </c>
      <c r="Q262" t="n">
        <v>0</v>
      </c>
      <c r="R262" s="2" t="inlineStr"/>
    </row>
    <row r="263" ht="15" customHeight="1">
      <c r="A263" t="inlineStr">
        <is>
          <t>A 60297-2025</t>
        </is>
      </c>
      <c r="B263" s="1" t="n">
        <v>45994</v>
      </c>
      <c r="C263" s="1" t="n">
        <v>46109</v>
      </c>
      <c r="D263" t="inlineStr">
        <is>
          <t>KALMAR LÄN</t>
        </is>
      </c>
      <c r="E263" t="inlineStr">
        <is>
          <t>VIMMERBY</t>
        </is>
      </c>
      <c r="G263" t="n">
        <v>4.2</v>
      </c>
      <c r="H263" t="n">
        <v>0</v>
      </c>
      <c r="I263" t="n">
        <v>0</v>
      </c>
      <c r="J263" t="n">
        <v>0</v>
      </c>
      <c r="K263" t="n">
        <v>0</v>
      </c>
      <c r="L263" t="n">
        <v>0</v>
      </c>
      <c r="M263" t="n">
        <v>0</v>
      </c>
      <c r="N263" t="n">
        <v>0</v>
      </c>
      <c r="O263" t="n">
        <v>0</v>
      </c>
      <c r="P263" t="n">
        <v>0</v>
      </c>
      <c r="Q263" t="n">
        <v>0</v>
      </c>
      <c r="R263" s="2" t="inlineStr"/>
    </row>
    <row r="264" ht="15" customHeight="1">
      <c r="A264" t="inlineStr">
        <is>
          <t>A 23394-2025</t>
        </is>
      </c>
      <c r="B264" s="1" t="n">
        <v>45791.89865740741</v>
      </c>
      <c r="C264" s="1" t="n">
        <v>46109</v>
      </c>
      <c r="D264" t="inlineStr">
        <is>
          <t>KALMAR LÄN</t>
        </is>
      </c>
      <c r="E264" t="inlineStr">
        <is>
          <t>VIMMERBY</t>
        </is>
      </c>
      <c r="G264" t="n">
        <v>3.1</v>
      </c>
      <c r="H264" t="n">
        <v>0</v>
      </c>
      <c r="I264" t="n">
        <v>0</v>
      </c>
      <c r="J264" t="n">
        <v>0</v>
      </c>
      <c r="K264" t="n">
        <v>0</v>
      </c>
      <c r="L264" t="n">
        <v>0</v>
      </c>
      <c r="M264" t="n">
        <v>0</v>
      </c>
      <c r="N264" t="n">
        <v>0</v>
      </c>
      <c r="O264" t="n">
        <v>0</v>
      </c>
      <c r="P264" t="n">
        <v>0</v>
      </c>
      <c r="Q264" t="n">
        <v>0</v>
      </c>
      <c r="R264" s="2" t="inlineStr"/>
    </row>
    <row r="265" ht="15" customHeight="1">
      <c r="A265" t="inlineStr">
        <is>
          <t>A 23984-2025</t>
        </is>
      </c>
      <c r="B265" s="1" t="n">
        <v>45796</v>
      </c>
      <c r="C265" s="1" t="n">
        <v>46109</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29180-2024</t>
        </is>
      </c>
      <c r="B266" s="1" t="n">
        <v>45482.54108796296</v>
      </c>
      <c r="C266" s="1" t="n">
        <v>46109</v>
      </c>
      <c r="D266" t="inlineStr">
        <is>
          <t>KALMAR LÄN</t>
        </is>
      </c>
      <c r="E266" t="inlineStr">
        <is>
          <t>VIMMERBY</t>
        </is>
      </c>
      <c r="G266" t="n">
        <v>3.8</v>
      </c>
      <c r="H266" t="n">
        <v>0</v>
      </c>
      <c r="I266" t="n">
        <v>0</v>
      </c>
      <c r="J266" t="n">
        <v>0</v>
      </c>
      <c r="K266" t="n">
        <v>0</v>
      </c>
      <c r="L266" t="n">
        <v>0</v>
      </c>
      <c r="M266" t="n">
        <v>0</v>
      </c>
      <c r="N266" t="n">
        <v>0</v>
      </c>
      <c r="O266" t="n">
        <v>0</v>
      </c>
      <c r="P266" t="n">
        <v>0</v>
      </c>
      <c r="Q266" t="n">
        <v>0</v>
      </c>
      <c r="R266" s="2" t="inlineStr"/>
    </row>
    <row r="267" ht="15" customHeight="1">
      <c r="A267" t="inlineStr">
        <is>
          <t>A 40970-2025</t>
        </is>
      </c>
      <c r="B267" s="1" t="n">
        <v>45897.88706018519</v>
      </c>
      <c r="C267" s="1" t="n">
        <v>46109</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40973-2025</t>
        </is>
      </c>
      <c r="B268" s="1" t="n">
        <v>45897.89737268518</v>
      </c>
      <c r="C268" s="1" t="n">
        <v>46109</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46109</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51278-2024</t>
        </is>
      </c>
      <c r="B270" s="1" t="n">
        <v>45603.74959490741</v>
      </c>
      <c r="C270" s="1" t="n">
        <v>46109</v>
      </c>
      <c r="D270" t="inlineStr">
        <is>
          <t>KALMAR LÄN</t>
        </is>
      </c>
      <c r="E270" t="inlineStr">
        <is>
          <t>VIMMERBY</t>
        </is>
      </c>
      <c r="G270" t="n">
        <v>3.4</v>
      </c>
      <c r="H270" t="n">
        <v>0</v>
      </c>
      <c r="I270" t="n">
        <v>0</v>
      </c>
      <c r="J270" t="n">
        <v>0</v>
      </c>
      <c r="K270" t="n">
        <v>0</v>
      </c>
      <c r="L270" t="n">
        <v>0</v>
      </c>
      <c r="M270" t="n">
        <v>0</v>
      </c>
      <c r="N270" t="n">
        <v>0</v>
      </c>
      <c r="O270" t="n">
        <v>0</v>
      </c>
      <c r="P270" t="n">
        <v>0</v>
      </c>
      <c r="Q270" t="n">
        <v>0</v>
      </c>
      <c r="R270" s="2" t="inlineStr"/>
    </row>
    <row r="271" ht="15" customHeight="1">
      <c r="A271" t="inlineStr">
        <is>
          <t>A 35082-2024</t>
        </is>
      </c>
      <c r="B271" s="1" t="n">
        <v>45527.68784722222</v>
      </c>
      <c r="C271" s="1" t="n">
        <v>46109</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44582-2024</t>
        </is>
      </c>
      <c r="B272" s="1" t="n">
        <v>45574.49298611111</v>
      </c>
      <c r="C272" s="1" t="n">
        <v>46109</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9456-2025</t>
        </is>
      </c>
      <c r="B273" s="1" t="n">
        <v>45715.44159722222</v>
      </c>
      <c r="C273" s="1" t="n">
        <v>46109</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46109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29783-2024</t>
        </is>
      </c>
      <c r="B275" s="1" t="n">
        <v>45485.45778935185</v>
      </c>
      <c r="C275" s="1" t="n">
        <v>46109</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54838-2024</t>
        </is>
      </c>
      <c r="B276" s="1" t="n">
        <v>45618.56787037037</v>
      </c>
      <c r="C276" s="1" t="n">
        <v>46109</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58724-2024</t>
        </is>
      </c>
      <c r="B277" s="1" t="n">
        <v>45635.66409722222</v>
      </c>
      <c r="C277" s="1" t="n">
        <v>46109</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15494-2024</t>
        </is>
      </c>
      <c r="B278" s="1" t="n">
        <v>45401.53033564815</v>
      </c>
      <c r="C278" s="1" t="n">
        <v>46109</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25987-2024</t>
        </is>
      </c>
      <c r="B279" s="1" t="n">
        <v>45467.74417824074</v>
      </c>
      <c r="C279" s="1" t="n">
        <v>46109</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25109-2023</t>
        </is>
      </c>
      <c r="B280" s="1" t="n">
        <v>45086</v>
      </c>
      <c r="C280" s="1" t="n">
        <v>46109</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40925-2025</t>
        </is>
      </c>
      <c r="B281" s="1" t="n">
        <v>45897.64208333333</v>
      </c>
      <c r="C281" s="1" t="n">
        <v>46109</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62023-2022</t>
        </is>
      </c>
      <c r="B282" s="1" t="n">
        <v>44918.50106481482</v>
      </c>
      <c r="C282" s="1" t="n">
        <v>46109</v>
      </c>
      <c r="D282" t="inlineStr">
        <is>
          <t>KALMAR LÄN</t>
        </is>
      </c>
      <c r="E282" t="inlineStr">
        <is>
          <t>VIMMERBY</t>
        </is>
      </c>
      <c r="G282" t="n">
        <v>0.3</v>
      </c>
      <c r="H282" t="n">
        <v>0</v>
      </c>
      <c r="I282" t="n">
        <v>0</v>
      </c>
      <c r="J282" t="n">
        <v>0</v>
      </c>
      <c r="K282" t="n">
        <v>0</v>
      </c>
      <c r="L282" t="n">
        <v>0</v>
      </c>
      <c r="M282" t="n">
        <v>0</v>
      </c>
      <c r="N282" t="n">
        <v>0</v>
      </c>
      <c r="O282" t="n">
        <v>0</v>
      </c>
      <c r="P282" t="n">
        <v>0</v>
      </c>
      <c r="Q282" t="n">
        <v>0</v>
      </c>
      <c r="R282" s="2" t="inlineStr"/>
    </row>
    <row r="283" ht="15" customHeight="1">
      <c r="A283" t="inlineStr">
        <is>
          <t>A 26039-2025</t>
        </is>
      </c>
      <c r="B283" s="1" t="n">
        <v>45804.6953587963</v>
      </c>
      <c r="C283" s="1" t="n">
        <v>46109</v>
      </c>
      <c r="D283" t="inlineStr">
        <is>
          <t>KALMAR LÄN</t>
        </is>
      </c>
      <c r="E283" t="inlineStr">
        <is>
          <t>VIMMERBY</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40921-2025</t>
        </is>
      </c>
      <c r="B284" s="1" t="n">
        <v>45897.63520833333</v>
      </c>
      <c r="C284" s="1" t="n">
        <v>46109</v>
      </c>
      <c r="D284" t="inlineStr">
        <is>
          <t>KALMAR LÄN</t>
        </is>
      </c>
      <c r="E284" t="inlineStr">
        <is>
          <t>VIMMERBY</t>
        </is>
      </c>
      <c r="G284" t="n">
        <v>4.2</v>
      </c>
      <c r="H284" t="n">
        <v>0</v>
      </c>
      <c r="I284" t="n">
        <v>0</v>
      </c>
      <c r="J284" t="n">
        <v>0</v>
      </c>
      <c r="K284" t="n">
        <v>0</v>
      </c>
      <c r="L284" t="n">
        <v>0</v>
      </c>
      <c r="M284" t="n">
        <v>0</v>
      </c>
      <c r="N284" t="n">
        <v>0</v>
      </c>
      <c r="O284" t="n">
        <v>0</v>
      </c>
      <c r="P284" t="n">
        <v>0</v>
      </c>
      <c r="Q284" t="n">
        <v>0</v>
      </c>
      <c r="R284" s="2" t="inlineStr"/>
    </row>
    <row r="285" ht="15" customHeight="1">
      <c r="A285" t="inlineStr">
        <is>
          <t>A 26046-2025</t>
        </is>
      </c>
      <c r="B285" s="1" t="n">
        <v>45804.708125</v>
      </c>
      <c r="C285" s="1" t="n">
        <v>46109</v>
      </c>
      <c r="D285" t="inlineStr">
        <is>
          <t>KALMAR LÄN</t>
        </is>
      </c>
      <c r="E285" t="inlineStr">
        <is>
          <t>VIMMERBY</t>
        </is>
      </c>
      <c r="F285" t="inlineStr">
        <is>
          <t>Sveaskog</t>
        </is>
      </c>
      <c r="G285" t="n">
        <v>5.1</v>
      </c>
      <c r="H285" t="n">
        <v>0</v>
      </c>
      <c r="I285" t="n">
        <v>0</v>
      </c>
      <c r="J285" t="n">
        <v>0</v>
      </c>
      <c r="K285" t="n">
        <v>0</v>
      </c>
      <c r="L285" t="n">
        <v>0</v>
      </c>
      <c r="M285" t="n">
        <v>0</v>
      </c>
      <c r="N285" t="n">
        <v>0</v>
      </c>
      <c r="O285" t="n">
        <v>0</v>
      </c>
      <c r="P285" t="n">
        <v>0</v>
      </c>
      <c r="Q285" t="n">
        <v>0</v>
      </c>
      <c r="R285" s="2" t="inlineStr"/>
    </row>
    <row r="286" ht="15" customHeight="1">
      <c r="A286" t="inlineStr">
        <is>
          <t>A 40971-2025</t>
        </is>
      </c>
      <c r="B286" s="1" t="n">
        <v>45897.88836805556</v>
      </c>
      <c r="C286" s="1" t="n">
        <v>46109</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58104-2024</t>
        </is>
      </c>
      <c r="B287" s="1" t="n">
        <v>45632.37459490741</v>
      </c>
      <c r="C287" s="1" t="n">
        <v>46109</v>
      </c>
      <c r="D287" t="inlineStr">
        <is>
          <t>KALMAR LÄN</t>
        </is>
      </c>
      <c r="E287" t="inlineStr">
        <is>
          <t>VIMMERBY</t>
        </is>
      </c>
      <c r="G287" t="n">
        <v>5</v>
      </c>
      <c r="H287" t="n">
        <v>0</v>
      </c>
      <c r="I287" t="n">
        <v>0</v>
      </c>
      <c r="J287" t="n">
        <v>0</v>
      </c>
      <c r="K287" t="n">
        <v>0</v>
      </c>
      <c r="L287" t="n">
        <v>0</v>
      </c>
      <c r="M287" t="n">
        <v>0</v>
      </c>
      <c r="N287" t="n">
        <v>0</v>
      </c>
      <c r="O287" t="n">
        <v>0</v>
      </c>
      <c r="P287" t="n">
        <v>0</v>
      </c>
      <c r="Q287" t="n">
        <v>0</v>
      </c>
      <c r="R287" s="2" t="inlineStr"/>
    </row>
    <row r="288" ht="15" customHeight="1">
      <c r="A288" t="inlineStr">
        <is>
          <t>A 12215-2024</t>
        </is>
      </c>
      <c r="B288" s="1" t="n">
        <v>45378.32185185186</v>
      </c>
      <c r="C288" s="1" t="n">
        <v>46109</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30920-2024</t>
        </is>
      </c>
      <c r="B289" s="1" t="n">
        <v>45498.673125</v>
      </c>
      <c r="C289" s="1" t="n">
        <v>46109</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56536-2022</t>
        </is>
      </c>
      <c r="B290" s="1" t="n">
        <v>44893</v>
      </c>
      <c r="C290" s="1" t="n">
        <v>46109</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63541-2023</t>
        </is>
      </c>
      <c r="B291" s="1" t="n">
        <v>45275.32266203704</v>
      </c>
      <c r="C291" s="1" t="n">
        <v>46109</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37323-2024</t>
        </is>
      </c>
      <c r="B292" s="1" t="n">
        <v>45540.50098379629</v>
      </c>
      <c r="C292" s="1" t="n">
        <v>46109</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41591-2025</t>
        </is>
      </c>
      <c r="B293" s="1" t="n">
        <v>45901.6327662037</v>
      </c>
      <c r="C293" s="1" t="n">
        <v>46109</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41589-2025</t>
        </is>
      </c>
      <c r="B294" s="1" t="n">
        <v>45901.63219907408</v>
      </c>
      <c r="C294" s="1" t="n">
        <v>46109</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25792-2025</t>
        </is>
      </c>
      <c r="B295" s="1" t="n">
        <v>45804.39141203704</v>
      </c>
      <c r="C295" s="1" t="n">
        <v>46109</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61790-2025</t>
        </is>
      </c>
      <c r="B296" s="1" t="n">
        <v>46002.68768518518</v>
      </c>
      <c r="C296" s="1" t="n">
        <v>46109</v>
      </c>
      <c r="D296" t="inlineStr">
        <is>
          <t>KALMAR LÄN</t>
        </is>
      </c>
      <c r="E296" t="inlineStr">
        <is>
          <t>VIMMERBY</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61726-2025</t>
        </is>
      </c>
      <c r="B297" s="1" t="n">
        <v>46002.58822916666</v>
      </c>
      <c r="C297" s="1" t="n">
        <v>46109</v>
      </c>
      <c r="D297" t="inlineStr">
        <is>
          <t>KALMAR LÄN</t>
        </is>
      </c>
      <c r="E297" t="inlineStr">
        <is>
          <t>VIMMERBY</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61725-2025</t>
        </is>
      </c>
      <c r="B298" s="1" t="n">
        <v>46002.58680555555</v>
      </c>
      <c r="C298" s="1" t="n">
        <v>46109</v>
      </c>
      <c r="D298" t="inlineStr">
        <is>
          <t>KALMAR LÄN</t>
        </is>
      </c>
      <c r="E298" t="inlineStr">
        <is>
          <t>VIMMERBY</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11429-2022</t>
        </is>
      </c>
      <c r="B299" s="1" t="n">
        <v>44630</v>
      </c>
      <c r="C299" s="1" t="n">
        <v>46109</v>
      </c>
      <c r="D299" t="inlineStr">
        <is>
          <t>KALMAR LÄN</t>
        </is>
      </c>
      <c r="E299" t="inlineStr">
        <is>
          <t>VIMMERBY</t>
        </is>
      </c>
      <c r="G299" t="n">
        <v>2.6</v>
      </c>
      <c r="H299" t="n">
        <v>0</v>
      </c>
      <c r="I299" t="n">
        <v>0</v>
      </c>
      <c r="J299" t="n">
        <v>0</v>
      </c>
      <c r="K299" t="n">
        <v>0</v>
      </c>
      <c r="L299" t="n">
        <v>0</v>
      </c>
      <c r="M299" t="n">
        <v>0</v>
      </c>
      <c r="N299" t="n">
        <v>0</v>
      </c>
      <c r="O299" t="n">
        <v>0</v>
      </c>
      <c r="P299" t="n">
        <v>0</v>
      </c>
      <c r="Q299" t="n">
        <v>0</v>
      </c>
      <c r="R299" s="2" t="inlineStr"/>
    </row>
    <row r="300" ht="15" customHeight="1">
      <c r="A300" t="inlineStr">
        <is>
          <t>A 34090-2025</t>
        </is>
      </c>
      <c r="B300" s="1" t="n">
        <v>45845</v>
      </c>
      <c r="C300" s="1" t="n">
        <v>46109</v>
      </c>
      <c r="D300" t="inlineStr">
        <is>
          <t>KALMAR LÄN</t>
        </is>
      </c>
      <c r="E300" t="inlineStr">
        <is>
          <t>VIMMERBY</t>
        </is>
      </c>
      <c r="G300" t="n">
        <v>2.8</v>
      </c>
      <c r="H300" t="n">
        <v>0</v>
      </c>
      <c r="I300" t="n">
        <v>0</v>
      </c>
      <c r="J300" t="n">
        <v>0</v>
      </c>
      <c r="K300" t="n">
        <v>0</v>
      </c>
      <c r="L300" t="n">
        <v>0</v>
      </c>
      <c r="M300" t="n">
        <v>0</v>
      </c>
      <c r="N300" t="n">
        <v>0</v>
      </c>
      <c r="O300" t="n">
        <v>0</v>
      </c>
      <c r="P300" t="n">
        <v>0</v>
      </c>
      <c r="Q300" t="n">
        <v>0</v>
      </c>
      <c r="R300" s="2" t="inlineStr"/>
    </row>
    <row r="301" ht="15" customHeight="1">
      <c r="A301" t="inlineStr">
        <is>
          <t>A 56582-2022</t>
        </is>
      </c>
      <c r="B301" s="1" t="n">
        <v>44893</v>
      </c>
      <c r="C301" s="1" t="n">
        <v>46109</v>
      </c>
      <c r="D301" t="inlineStr">
        <is>
          <t>KALMAR LÄN</t>
        </is>
      </c>
      <c r="E301" t="inlineStr">
        <is>
          <t>VIMMERBY</t>
        </is>
      </c>
      <c r="G301" t="n">
        <v>2.2</v>
      </c>
      <c r="H301" t="n">
        <v>0</v>
      </c>
      <c r="I301" t="n">
        <v>0</v>
      </c>
      <c r="J301" t="n">
        <v>0</v>
      </c>
      <c r="K301" t="n">
        <v>0</v>
      </c>
      <c r="L301" t="n">
        <v>0</v>
      </c>
      <c r="M301" t="n">
        <v>0</v>
      </c>
      <c r="N301" t="n">
        <v>0</v>
      </c>
      <c r="O301" t="n">
        <v>0</v>
      </c>
      <c r="P301" t="n">
        <v>0</v>
      </c>
      <c r="Q301" t="n">
        <v>0</v>
      </c>
      <c r="R301" s="2" t="inlineStr"/>
    </row>
    <row r="302" ht="15" customHeight="1">
      <c r="A302" t="inlineStr">
        <is>
          <t>A 41735-2025</t>
        </is>
      </c>
      <c r="B302" s="1" t="n">
        <v>45902.47164351852</v>
      </c>
      <c r="C302" s="1" t="n">
        <v>46109</v>
      </c>
      <c r="D302" t="inlineStr">
        <is>
          <t>KALMAR LÄN</t>
        </is>
      </c>
      <c r="E302" t="inlineStr">
        <is>
          <t>VIMMERBY</t>
        </is>
      </c>
      <c r="G302" t="n">
        <v>3</v>
      </c>
      <c r="H302" t="n">
        <v>0</v>
      </c>
      <c r="I302" t="n">
        <v>0</v>
      </c>
      <c r="J302" t="n">
        <v>0</v>
      </c>
      <c r="K302" t="n">
        <v>0</v>
      </c>
      <c r="L302" t="n">
        <v>0</v>
      </c>
      <c r="M302" t="n">
        <v>0</v>
      </c>
      <c r="N302" t="n">
        <v>0</v>
      </c>
      <c r="O302" t="n">
        <v>0</v>
      </c>
      <c r="P302" t="n">
        <v>0</v>
      </c>
      <c r="Q302" t="n">
        <v>0</v>
      </c>
      <c r="R302" s="2" t="inlineStr"/>
    </row>
    <row r="303" ht="15" customHeight="1">
      <c r="A303" t="inlineStr">
        <is>
          <t>A 6408-2025</t>
        </is>
      </c>
      <c r="B303" s="1" t="n">
        <v>45699.45671296296</v>
      </c>
      <c r="C303" s="1" t="n">
        <v>46109</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11609-2023</t>
        </is>
      </c>
      <c r="B304" s="1" t="n">
        <v>44994.40635416667</v>
      </c>
      <c r="C304" s="1" t="n">
        <v>46109</v>
      </c>
      <c r="D304" t="inlineStr">
        <is>
          <t>KALMAR LÄN</t>
        </is>
      </c>
      <c r="E304" t="inlineStr">
        <is>
          <t>VIMMERBY</t>
        </is>
      </c>
      <c r="G304" t="n">
        <v>4.9</v>
      </c>
      <c r="H304" t="n">
        <v>0</v>
      </c>
      <c r="I304" t="n">
        <v>0</v>
      </c>
      <c r="J304" t="n">
        <v>0</v>
      </c>
      <c r="K304" t="n">
        <v>0</v>
      </c>
      <c r="L304" t="n">
        <v>0</v>
      </c>
      <c r="M304" t="n">
        <v>0</v>
      </c>
      <c r="N304" t="n">
        <v>0</v>
      </c>
      <c r="O304" t="n">
        <v>0</v>
      </c>
      <c r="P304" t="n">
        <v>0</v>
      </c>
      <c r="Q304" t="n">
        <v>0</v>
      </c>
      <c r="R304" s="2" t="inlineStr"/>
    </row>
    <row r="305" ht="15" customHeight="1">
      <c r="A305" t="inlineStr">
        <is>
          <t>A 44464-2024</t>
        </is>
      </c>
      <c r="B305" s="1" t="n">
        <v>45574.35809027778</v>
      </c>
      <c r="C305" s="1" t="n">
        <v>46109</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41066-2024</t>
        </is>
      </c>
      <c r="B306" s="1" t="n">
        <v>45559.38876157408</v>
      </c>
      <c r="C306" s="1" t="n">
        <v>46109</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42828-2025</t>
        </is>
      </c>
      <c r="B307" s="1" t="n">
        <v>45908.57716435185</v>
      </c>
      <c r="C307" s="1" t="n">
        <v>46109</v>
      </c>
      <c r="D307" t="inlineStr">
        <is>
          <t>KALMAR LÄN</t>
        </is>
      </c>
      <c r="E307" t="inlineStr">
        <is>
          <t>VIMMERBY</t>
        </is>
      </c>
      <c r="G307" t="n">
        <v>5.2</v>
      </c>
      <c r="H307" t="n">
        <v>0</v>
      </c>
      <c r="I307" t="n">
        <v>0</v>
      </c>
      <c r="J307" t="n">
        <v>0</v>
      </c>
      <c r="K307" t="n">
        <v>0</v>
      </c>
      <c r="L307" t="n">
        <v>0</v>
      </c>
      <c r="M307" t="n">
        <v>0</v>
      </c>
      <c r="N307" t="n">
        <v>0</v>
      </c>
      <c r="O307" t="n">
        <v>0</v>
      </c>
      <c r="P307" t="n">
        <v>0</v>
      </c>
      <c r="Q307" t="n">
        <v>0</v>
      </c>
      <c r="R307" s="2" t="inlineStr"/>
    </row>
    <row r="308" ht="15" customHeight="1">
      <c r="A308" t="inlineStr">
        <is>
          <t>A 3816-2022</t>
        </is>
      </c>
      <c r="B308" s="1" t="n">
        <v>44587</v>
      </c>
      <c r="C308" s="1" t="n">
        <v>46109</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42794-2025</t>
        </is>
      </c>
      <c r="B309" s="1" t="n">
        <v>45908</v>
      </c>
      <c r="C309" s="1" t="n">
        <v>46109</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1081-2023</t>
        </is>
      </c>
      <c r="B310" s="1" t="n">
        <v>44935</v>
      </c>
      <c r="C310" s="1" t="n">
        <v>46109</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7047-2022</t>
        </is>
      </c>
      <c r="B311" s="1" t="n">
        <v>44603</v>
      </c>
      <c r="C311" s="1" t="n">
        <v>46109</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12499-2023</t>
        </is>
      </c>
      <c r="B312" s="1" t="n">
        <v>44999.86172453704</v>
      </c>
      <c r="C312" s="1" t="n">
        <v>46109</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12500-2023</t>
        </is>
      </c>
      <c r="B313" s="1" t="n">
        <v>44999.8625</v>
      </c>
      <c r="C313" s="1" t="n">
        <v>46109</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42820-2025</t>
        </is>
      </c>
      <c r="B314" s="1" t="n">
        <v>45908</v>
      </c>
      <c r="C314" s="1" t="n">
        <v>46109</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6066-2023</t>
        </is>
      </c>
      <c r="B315" s="1" t="n">
        <v>44964.50894675926</v>
      </c>
      <c r="C315" s="1" t="n">
        <v>46109</v>
      </c>
      <c r="D315" t="inlineStr">
        <is>
          <t>KALMAR LÄN</t>
        </is>
      </c>
      <c r="E315" t="inlineStr">
        <is>
          <t>VIMMERBY</t>
        </is>
      </c>
      <c r="G315" t="n">
        <v>2.8</v>
      </c>
      <c r="H315" t="n">
        <v>0</v>
      </c>
      <c r="I315" t="n">
        <v>0</v>
      </c>
      <c r="J315" t="n">
        <v>0</v>
      </c>
      <c r="K315" t="n">
        <v>0</v>
      </c>
      <c r="L315" t="n">
        <v>0</v>
      </c>
      <c r="M315" t="n">
        <v>0</v>
      </c>
      <c r="N315" t="n">
        <v>0</v>
      </c>
      <c r="O315" t="n">
        <v>0</v>
      </c>
      <c r="P315" t="n">
        <v>0</v>
      </c>
      <c r="Q315" t="n">
        <v>0</v>
      </c>
      <c r="R315" s="2" t="inlineStr"/>
    </row>
    <row r="316" ht="15" customHeight="1">
      <c r="A316" t="inlineStr">
        <is>
          <t>A 25830-2025</t>
        </is>
      </c>
      <c r="B316" s="1" t="n">
        <v>45804.44519675926</v>
      </c>
      <c r="C316" s="1" t="n">
        <v>46109</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33103-2024</t>
        </is>
      </c>
      <c r="B317" s="1" t="n">
        <v>45517.8162037037</v>
      </c>
      <c r="C317" s="1" t="n">
        <v>46109</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33161-2024</t>
        </is>
      </c>
      <c r="B318" s="1" t="n">
        <v>45518.40657407408</v>
      </c>
      <c r="C318" s="1" t="n">
        <v>46109</v>
      </c>
      <c r="D318" t="inlineStr">
        <is>
          <t>KALMAR LÄN</t>
        </is>
      </c>
      <c r="E318" t="inlineStr">
        <is>
          <t>VIMMERBY</t>
        </is>
      </c>
      <c r="G318" t="n">
        <v>4.7</v>
      </c>
      <c r="H318" t="n">
        <v>0</v>
      </c>
      <c r="I318" t="n">
        <v>0</v>
      </c>
      <c r="J318" t="n">
        <v>0</v>
      </c>
      <c r="K318" t="n">
        <v>0</v>
      </c>
      <c r="L318" t="n">
        <v>0</v>
      </c>
      <c r="M318" t="n">
        <v>0</v>
      </c>
      <c r="N318" t="n">
        <v>0</v>
      </c>
      <c r="O318" t="n">
        <v>0</v>
      </c>
      <c r="P318" t="n">
        <v>0</v>
      </c>
      <c r="Q318" t="n">
        <v>0</v>
      </c>
      <c r="R318" s="2" t="inlineStr"/>
    </row>
    <row r="319" ht="15" customHeight="1">
      <c r="A319" t="inlineStr">
        <is>
          <t>A 12510-2022</t>
        </is>
      </c>
      <c r="B319" s="1" t="n">
        <v>44638.55256944444</v>
      </c>
      <c r="C319" s="1" t="n">
        <v>46109</v>
      </c>
      <c r="D319" t="inlineStr">
        <is>
          <t>KALMAR LÄN</t>
        </is>
      </c>
      <c r="E319" t="inlineStr">
        <is>
          <t>VIMMERBY</t>
        </is>
      </c>
      <c r="G319" t="n">
        <v>2.4</v>
      </c>
      <c r="H319" t="n">
        <v>0</v>
      </c>
      <c r="I319" t="n">
        <v>0</v>
      </c>
      <c r="J319" t="n">
        <v>0</v>
      </c>
      <c r="K319" t="n">
        <v>0</v>
      </c>
      <c r="L319" t="n">
        <v>0</v>
      </c>
      <c r="M319" t="n">
        <v>0</v>
      </c>
      <c r="N319" t="n">
        <v>0</v>
      </c>
      <c r="O319" t="n">
        <v>0</v>
      </c>
      <c r="P319" t="n">
        <v>0</v>
      </c>
      <c r="Q319" t="n">
        <v>0</v>
      </c>
      <c r="R319" s="2" t="inlineStr"/>
    </row>
    <row r="320" ht="15" customHeight="1">
      <c r="A320" t="inlineStr">
        <is>
          <t>A 34060-2025</t>
        </is>
      </c>
      <c r="B320" s="1" t="n">
        <v>45845.42015046296</v>
      </c>
      <c r="C320" s="1" t="n">
        <v>46109</v>
      </c>
      <c r="D320" t="inlineStr">
        <is>
          <t>KALMAR LÄN</t>
        </is>
      </c>
      <c r="E320" t="inlineStr">
        <is>
          <t>VIMMERBY</t>
        </is>
      </c>
      <c r="G320" t="n">
        <v>5.7</v>
      </c>
      <c r="H320" t="n">
        <v>0</v>
      </c>
      <c r="I320" t="n">
        <v>0</v>
      </c>
      <c r="J320" t="n">
        <v>0</v>
      </c>
      <c r="K320" t="n">
        <v>0</v>
      </c>
      <c r="L320" t="n">
        <v>0</v>
      </c>
      <c r="M320" t="n">
        <v>0</v>
      </c>
      <c r="N320" t="n">
        <v>0</v>
      </c>
      <c r="O320" t="n">
        <v>0</v>
      </c>
      <c r="P320" t="n">
        <v>0</v>
      </c>
      <c r="Q320" t="n">
        <v>0</v>
      </c>
      <c r="R320" s="2" t="inlineStr"/>
    </row>
    <row r="321" ht="15" customHeight="1">
      <c r="A321" t="inlineStr">
        <is>
          <t>A 1146-2025</t>
        </is>
      </c>
      <c r="B321" s="1" t="n">
        <v>45666</v>
      </c>
      <c r="C321" s="1" t="n">
        <v>46109</v>
      </c>
      <c r="D321" t="inlineStr">
        <is>
          <t>KALMAR LÄN</t>
        </is>
      </c>
      <c r="E321" t="inlineStr">
        <is>
          <t>VIMMERBY</t>
        </is>
      </c>
      <c r="G321" t="n">
        <v>4</v>
      </c>
      <c r="H321" t="n">
        <v>0</v>
      </c>
      <c r="I321" t="n">
        <v>0</v>
      </c>
      <c r="J321" t="n">
        <v>0</v>
      </c>
      <c r="K321" t="n">
        <v>0</v>
      </c>
      <c r="L321" t="n">
        <v>0</v>
      </c>
      <c r="M321" t="n">
        <v>0</v>
      </c>
      <c r="N321" t="n">
        <v>0</v>
      </c>
      <c r="O321" t="n">
        <v>0</v>
      </c>
      <c r="P321" t="n">
        <v>0</v>
      </c>
      <c r="Q321" t="n">
        <v>0</v>
      </c>
      <c r="R321" s="2" t="inlineStr"/>
    </row>
    <row r="322" ht="15" customHeight="1">
      <c r="A322" t="inlineStr">
        <is>
          <t>A 26124-2025</t>
        </is>
      </c>
      <c r="B322" s="1" t="n">
        <v>45805.39247685186</v>
      </c>
      <c r="C322" s="1" t="n">
        <v>46109</v>
      </c>
      <c r="D322" t="inlineStr">
        <is>
          <t>KALMAR LÄN</t>
        </is>
      </c>
      <c r="E322" t="inlineStr">
        <is>
          <t>VIMMERBY</t>
        </is>
      </c>
      <c r="G322" t="n">
        <v>6.6</v>
      </c>
      <c r="H322" t="n">
        <v>0</v>
      </c>
      <c r="I322" t="n">
        <v>0</v>
      </c>
      <c r="J322" t="n">
        <v>0</v>
      </c>
      <c r="K322" t="n">
        <v>0</v>
      </c>
      <c r="L322" t="n">
        <v>0</v>
      </c>
      <c r="M322" t="n">
        <v>0</v>
      </c>
      <c r="N322" t="n">
        <v>0</v>
      </c>
      <c r="O322" t="n">
        <v>0</v>
      </c>
      <c r="P322" t="n">
        <v>0</v>
      </c>
      <c r="Q322" t="n">
        <v>0</v>
      </c>
      <c r="R322" s="2" t="inlineStr"/>
    </row>
    <row r="323" ht="15" customHeight="1">
      <c r="A323" t="inlineStr">
        <is>
          <t>A 43617-2025</t>
        </is>
      </c>
      <c r="B323" s="1" t="n">
        <v>45911.67798611111</v>
      </c>
      <c r="C323" s="1" t="n">
        <v>46109</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12890-2023</t>
        </is>
      </c>
      <c r="B324" s="1" t="n">
        <v>45001.59209490741</v>
      </c>
      <c r="C324" s="1" t="n">
        <v>46109</v>
      </c>
      <c r="D324" t="inlineStr">
        <is>
          <t>KALMAR LÄN</t>
        </is>
      </c>
      <c r="E324" t="inlineStr">
        <is>
          <t>VIMMERBY</t>
        </is>
      </c>
      <c r="G324" t="n">
        <v>2.8</v>
      </c>
      <c r="H324" t="n">
        <v>0</v>
      </c>
      <c r="I324" t="n">
        <v>0</v>
      </c>
      <c r="J324" t="n">
        <v>0</v>
      </c>
      <c r="K324" t="n">
        <v>0</v>
      </c>
      <c r="L324" t="n">
        <v>0</v>
      </c>
      <c r="M324" t="n">
        <v>0</v>
      </c>
      <c r="N324" t="n">
        <v>0</v>
      </c>
      <c r="O324" t="n">
        <v>0</v>
      </c>
      <c r="P324" t="n">
        <v>0</v>
      </c>
      <c r="Q324" t="n">
        <v>0</v>
      </c>
      <c r="R324" s="2" t="inlineStr"/>
    </row>
    <row r="325" ht="15" customHeight="1">
      <c r="A325" t="inlineStr">
        <is>
          <t>A 3902-2022</t>
        </is>
      </c>
      <c r="B325" s="1" t="n">
        <v>44587.48847222222</v>
      </c>
      <c r="C325" s="1" t="n">
        <v>46109</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26254-2025</t>
        </is>
      </c>
      <c r="B326" s="1" t="n">
        <v>45805</v>
      </c>
      <c r="C326" s="1" t="n">
        <v>46109</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43465-2025</t>
        </is>
      </c>
      <c r="B327" s="1" t="n">
        <v>45911.47138888889</v>
      </c>
      <c r="C327" s="1" t="n">
        <v>46109</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89-2023</t>
        </is>
      </c>
      <c r="B328" s="1" t="n">
        <v>44918</v>
      </c>
      <c r="C328" s="1" t="n">
        <v>46109</v>
      </c>
      <c r="D328" t="inlineStr">
        <is>
          <t>KALMAR LÄN</t>
        </is>
      </c>
      <c r="E328" t="inlineStr">
        <is>
          <t>VIMMERBY</t>
        </is>
      </c>
      <c r="G328" t="n">
        <v>16.1</v>
      </c>
      <c r="H328" t="n">
        <v>0</v>
      </c>
      <c r="I328" t="n">
        <v>0</v>
      </c>
      <c r="J328" t="n">
        <v>0</v>
      </c>
      <c r="K328" t="n">
        <v>0</v>
      </c>
      <c r="L328" t="n">
        <v>0</v>
      </c>
      <c r="M328" t="n">
        <v>0</v>
      </c>
      <c r="N328" t="n">
        <v>0</v>
      </c>
      <c r="O328" t="n">
        <v>0</v>
      </c>
      <c r="P328" t="n">
        <v>0</v>
      </c>
      <c r="Q328" t="n">
        <v>0</v>
      </c>
      <c r="R328" s="2" t="inlineStr"/>
    </row>
    <row r="329" ht="15" customHeight="1">
      <c r="A329" t="inlineStr">
        <is>
          <t>A 5382-2023</t>
        </is>
      </c>
      <c r="B329" s="1" t="n">
        <v>44959.66407407408</v>
      </c>
      <c r="C329" s="1" t="n">
        <v>46109</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6668-2023</t>
        </is>
      </c>
      <c r="B330" s="1" t="n">
        <v>44966</v>
      </c>
      <c r="C330" s="1" t="n">
        <v>46109</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172-2022</t>
        </is>
      </c>
      <c r="B331" s="1" t="n">
        <v>44564.62598379629</v>
      </c>
      <c r="C331" s="1" t="n">
        <v>46109</v>
      </c>
      <c r="D331" t="inlineStr">
        <is>
          <t>KALMAR LÄN</t>
        </is>
      </c>
      <c r="E331" t="inlineStr">
        <is>
          <t>VIMMERBY</t>
        </is>
      </c>
      <c r="G331" t="n">
        <v>2.1</v>
      </c>
      <c r="H331" t="n">
        <v>0</v>
      </c>
      <c r="I331" t="n">
        <v>0</v>
      </c>
      <c r="J331" t="n">
        <v>0</v>
      </c>
      <c r="K331" t="n">
        <v>0</v>
      </c>
      <c r="L331" t="n">
        <v>0</v>
      </c>
      <c r="M331" t="n">
        <v>0</v>
      </c>
      <c r="N331" t="n">
        <v>0</v>
      </c>
      <c r="O331" t="n">
        <v>0</v>
      </c>
      <c r="P331" t="n">
        <v>0</v>
      </c>
      <c r="Q331" t="n">
        <v>0</v>
      </c>
      <c r="R331" s="2" t="inlineStr"/>
    </row>
    <row r="332" ht="15" customHeight="1">
      <c r="A332" t="inlineStr">
        <is>
          <t>A 30634-2024</t>
        </is>
      </c>
      <c r="B332" s="1" t="n">
        <v>45495</v>
      </c>
      <c r="C332" s="1" t="n">
        <v>46109</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6355-2022</t>
        </is>
      </c>
      <c r="B333" s="1" t="n">
        <v>44600</v>
      </c>
      <c r="C333" s="1" t="n">
        <v>46109</v>
      </c>
      <c r="D333" t="inlineStr">
        <is>
          <t>KALMAR LÄN</t>
        </is>
      </c>
      <c r="E333" t="inlineStr">
        <is>
          <t>VIMMERBY</t>
        </is>
      </c>
      <c r="G333" t="n">
        <v>4.9</v>
      </c>
      <c r="H333" t="n">
        <v>0</v>
      </c>
      <c r="I333" t="n">
        <v>0</v>
      </c>
      <c r="J333" t="n">
        <v>0</v>
      </c>
      <c r="K333" t="n">
        <v>0</v>
      </c>
      <c r="L333" t="n">
        <v>0</v>
      </c>
      <c r="M333" t="n">
        <v>0</v>
      </c>
      <c r="N333" t="n">
        <v>0</v>
      </c>
      <c r="O333" t="n">
        <v>0</v>
      </c>
      <c r="P333" t="n">
        <v>0</v>
      </c>
      <c r="Q333" t="n">
        <v>0</v>
      </c>
      <c r="R333" s="2" t="inlineStr"/>
    </row>
    <row r="334" ht="15" customHeight="1">
      <c r="A334" t="inlineStr">
        <is>
          <t>A 44329-2025</t>
        </is>
      </c>
      <c r="B334" s="1" t="n">
        <v>45916.41019675926</v>
      </c>
      <c r="C334" s="1" t="n">
        <v>46109</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61937-2025</t>
        </is>
      </c>
      <c r="B335" s="1" t="n">
        <v>46003</v>
      </c>
      <c r="C335" s="1" t="n">
        <v>46109</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16020-2023</t>
        </is>
      </c>
      <c r="B336" s="1" t="n">
        <v>45026.82216435186</v>
      </c>
      <c r="C336" s="1" t="n">
        <v>46109</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44517-2025</t>
        </is>
      </c>
      <c r="B337" s="1" t="n">
        <v>45916.7103587963</v>
      </c>
      <c r="C337" s="1" t="n">
        <v>46109</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63711-2025</t>
        </is>
      </c>
      <c r="B338" s="1" t="n">
        <v>46014.62724537037</v>
      </c>
      <c r="C338" s="1" t="n">
        <v>46109</v>
      </c>
      <c r="D338" t="inlineStr">
        <is>
          <t>KALMAR LÄN</t>
        </is>
      </c>
      <c r="E338" t="inlineStr">
        <is>
          <t>VIMMERBY</t>
        </is>
      </c>
      <c r="G338" t="n">
        <v>2.1</v>
      </c>
      <c r="H338" t="n">
        <v>0</v>
      </c>
      <c r="I338" t="n">
        <v>0</v>
      </c>
      <c r="J338" t="n">
        <v>0</v>
      </c>
      <c r="K338" t="n">
        <v>0</v>
      </c>
      <c r="L338" t="n">
        <v>0</v>
      </c>
      <c r="M338" t="n">
        <v>0</v>
      </c>
      <c r="N338" t="n">
        <v>0</v>
      </c>
      <c r="O338" t="n">
        <v>0</v>
      </c>
      <c r="P338" t="n">
        <v>0</v>
      </c>
      <c r="Q338" t="n">
        <v>0</v>
      </c>
      <c r="R338" s="2" t="inlineStr"/>
    </row>
    <row r="339" ht="15" customHeight="1">
      <c r="A339" t="inlineStr">
        <is>
          <t>A 60292-2022</t>
        </is>
      </c>
      <c r="B339" s="1" t="n">
        <v>44910.54231481482</v>
      </c>
      <c r="C339" s="1" t="n">
        <v>46109</v>
      </c>
      <c r="D339" t="inlineStr">
        <is>
          <t>KALMAR LÄN</t>
        </is>
      </c>
      <c r="E339" t="inlineStr">
        <is>
          <t>VIMMERBY</t>
        </is>
      </c>
      <c r="G339" t="n">
        <v>4.4</v>
      </c>
      <c r="H339" t="n">
        <v>0</v>
      </c>
      <c r="I339" t="n">
        <v>0</v>
      </c>
      <c r="J339" t="n">
        <v>0</v>
      </c>
      <c r="K339" t="n">
        <v>0</v>
      </c>
      <c r="L339" t="n">
        <v>0</v>
      </c>
      <c r="M339" t="n">
        <v>0</v>
      </c>
      <c r="N339" t="n">
        <v>0</v>
      </c>
      <c r="O339" t="n">
        <v>0</v>
      </c>
      <c r="P339" t="n">
        <v>0</v>
      </c>
      <c r="Q339" t="n">
        <v>0</v>
      </c>
      <c r="R339" s="2" t="inlineStr"/>
    </row>
    <row r="340" ht="15" customHeight="1">
      <c r="A340" t="inlineStr">
        <is>
          <t>A 43034-2024</t>
        </is>
      </c>
      <c r="B340" s="1" t="n">
        <v>45567.42011574074</v>
      </c>
      <c r="C340" s="1" t="n">
        <v>46109</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40256-2024</t>
        </is>
      </c>
      <c r="B341" s="1" t="n">
        <v>45554.62944444444</v>
      </c>
      <c r="C341" s="1" t="n">
        <v>46109</v>
      </c>
      <c r="D341" t="inlineStr">
        <is>
          <t>KALMAR LÄN</t>
        </is>
      </c>
      <c r="E341" t="inlineStr">
        <is>
          <t>VIMMERBY</t>
        </is>
      </c>
      <c r="G341" t="n">
        <v>0.9</v>
      </c>
      <c r="H341" t="n">
        <v>0</v>
      </c>
      <c r="I341" t="n">
        <v>0</v>
      </c>
      <c r="J341" t="n">
        <v>0</v>
      </c>
      <c r="K341" t="n">
        <v>0</v>
      </c>
      <c r="L341" t="n">
        <v>0</v>
      </c>
      <c r="M341" t="n">
        <v>0</v>
      </c>
      <c r="N341" t="n">
        <v>0</v>
      </c>
      <c r="O341" t="n">
        <v>0</v>
      </c>
      <c r="P341" t="n">
        <v>0</v>
      </c>
      <c r="Q341" t="n">
        <v>0</v>
      </c>
      <c r="R341" s="2" t="inlineStr"/>
    </row>
    <row r="342" ht="15" customHeight="1">
      <c r="A342" t="inlineStr">
        <is>
          <t>A 44091-2025</t>
        </is>
      </c>
      <c r="B342" s="1" t="n">
        <v>45915.55950231481</v>
      </c>
      <c r="C342" s="1" t="n">
        <v>46109</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44095-2025</t>
        </is>
      </c>
      <c r="B343" s="1" t="n">
        <v>45915.56430555556</v>
      </c>
      <c r="C343" s="1" t="n">
        <v>46109</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63845-2025</t>
        </is>
      </c>
      <c r="B344" s="1" t="n">
        <v>46020.43715277778</v>
      </c>
      <c r="C344" s="1" t="n">
        <v>46109</v>
      </c>
      <c r="D344" t="inlineStr">
        <is>
          <t>KALMAR LÄN</t>
        </is>
      </c>
      <c r="E344" t="inlineStr">
        <is>
          <t>VIMMERBY</t>
        </is>
      </c>
      <c r="G344" t="n">
        <v>3.8</v>
      </c>
      <c r="H344" t="n">
        <v>0</v>
      </c>
      <c r="I344" t="n">
        <v>0</v>
      </c>
      <c r="J344" t="n">
        <v>0</v>
      </c>
      <c r="K344" t="n">
        <v>0</v>
      </c>
      <c r="L344" t="n">
        <v>0</v>
      </c>
      <c r="M344" t="n">
        <v>0</v>
      </c>
      <c r="N344" t="n">
        <v>0</v>
      </c>
      <c r="O344" t="n">
        <v>0</v>
      </c>
      <c r="P344" t="n">
        <v>0</v>
      </c>
      <c r="Q344" t="n">
        <v>0</v>
      </c>
      <c r="R344" s="2" t="inlineStr"/>
    </row>
    <row r="345" ht="15" customHeight="1">
      <c r="A345" t="inlineStr">
        <is>
          <t>A 63848-2025</t>
        </is>
      </c>
      <c r="B345" s="1" t="n">
        <v>46020.44902777778</v>
      </c>
      <c r="C345" s="1" t="n">
        <v>46109</v>
      </c>
      <c r="D345" t="inlineStr">
        <is>
          <t>KALMAR LÄN</t>
        </is>
      </c>
      <c r="E345" t="inlineStr">
        <is>
          <t>VIMMERBY</t>
        </is>
      </c>
      <c r="G345" t="n">
        <v>3.4</v>
      </c>
      <c r="H345" t="n">
        <v>0</v>
      </c>
      <c r="I345" t="n">
        <v>0</v>
      </c>
      <c r="J345" t="n">
        <v>0</v>
      </c>
      <c r="K345" t="n">
        <v>0</v>
      </c>
      <c r="L345" t="n">
        <v>0</v>
      </c>
      <c r="M345" t="n">
        <v>0</v>
      </c>
      <c r="N345" t="n">
        <v>0</v>
      </c>
      <c r="O345" t="n">
        <v>0</v>
      </c>
      <c r="P345" t="n">
        <v>0</v>
      </c>
      <c r="Q345" t="n">
        <v>0</v>
      </c>
      <c r="R345" s="2" t="inlineStr"/>
    </row>
    <row r="346" ht="15" customHeight="1">
      <c r="A346" t="inlineStr">
        <is>
          <t>A 26207-2025</t>
        </is>
      </c>
      <c r="B346" s="1" t="n">
        <v>45805.52983796296</v>
      </c>
      <c r="C346" s="1" t="n">
        <v>46109</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63758-2025</t>
        </is>
      </c>
      <c r="B347" s="1" t="n">
        <v>46018.46483796297</v>
      </c>
      <c r="C347" s="1" t="n">
        <v>46109</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44742-2025</t>
        </is>
      </c>
      <c r="B348" s="1" t="n">
        <v>45917.67054398148</v>
      </c>
      <c r="C348" s="1" t="n">
        <v>46109</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43093-2024</t>
        </is>
      </c>
      <c r="B349" s="1" t="n">
        <v>45567</v>
      </c>
      <c r="C349" s="1" t="n">
        <v>46109</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41896-2025</t>
        </is>
      </c>
      <c r="B350" s="1" t="n">
        <v>45903.38800925926</v>
      </c>
      <c r="C350" s="1" t="n">
        <v>46109</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63839-2025</t>
        </is>
      </c>
      <c r="B351" s="1" t="n">
        <v>46020.41998842593</v>
      </c>
      <c r="C351" s="1" t="n">
        <v>46109</v>
      </c>
      <c r="D351" t="inlineStr">
        <is>
          <t>KALMAR LÄN</t>
        </is>
      </c>
      <c r="E351" t="inlineStr">
        <is>
          <t>VIMMERBY</t>
        </is>
      </c>
      <c r="G351" t="n">
        <v>2.9</v>
      </c>
      <c r="H351" t="n">
        <v>0</v>
      </c>
      <c r="I351" t="n">
        <v>0</v>
      </c>
      <c r="J351" t="n">
        <v>0</v>
      </c>
      <c r="K351" t="n">
        <v>0</v>
      </c>
      <c r="L351" t="n">
        <v>0</v>
      </c>
      <c r="M351" t="n">
        <v>0</v>
      </c>
      <c r="N351" t="n">
        <v>0</v>
      </c>
      <c r="O351" t="n">
        <v>0</v>
      </c>
      <c r="P351" t="n">
        <v>0</v>
      </c>
      <c r="Q351" t="n">
        <v>0</v>
      </c>
      <c r="R351" s="2" t="inlineStr"/>
    </row>
    <row r="352" ht="15" customHeight="1">
      <c r="A352" t="inlineStr">
        <is>
          <t>A 63762-2025</t>
        </is>
      </c>
      <c r="B352" s="1" t="n">
        <v>46018.67197916667</v>
      </c>
      <c r="C352" s="1" t="n">
        <v>46109</v>
      </c>
      <c r="D352" t="inlineStr">
        <is>
          <t>KALMAR LÄN</t>
        </is>
      </c>
      <c r="E352" t="inlineStr">
        <is>
          <t>VIMMERBY</t>
        </is>
      </c>
      <c r="G352" t="n">
        <v>2.5</v>
      </c>
      <c r="H352" t="n">
        <v>0</v>
      </c>
      <c r="I352" t="n">
        <v>0</v>
      </c>
      <c r="J352" t="n">
        <v>0</v>
      </c>
      <c r="K352" t="n">
        <v>0</v>
      </c>
      <c r="L352" t="n">
        <v>0</v>
      </c>
      <c r="M352" t="n">
        <v>0</v>
      </c>
      <c r="N352" t="n">
        <v>0</v>
      </c>
      <c r="O352" t="n">
        <v>0</v>
      </c>
      <c r="P352" t="n">
        <v>0</v>
      </c>
      <c r="Q352" t="n">
        <v>0</v>
      </c>
      <c r="R352" s="2" t="inlineStr"/>
    </row>
    <row r="353" ht="15" customHeight="1">
      <c r="A353" t="inlineStr">
        <is>
          <t>A 35198-2023</t>
        </is>
      </c>
      <c r="B353" s="1" t="n">
        <v>45145</v>
      </c>
      <c r="C353" s="1" t="n">
        <v>46109</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45319-2025</t>
        </is>
      </c>
      <c r="B354" s="1" t="n">
        <v>45921.95611111111</v>
      </c>
      <c r="C354" s="1" t="n">
        <v>46109</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45320-2025</t>
        </is>
      </c>
      <c r="B355" s="1" t="n">
        <v>45921.96395833333</v>
      </c>
      <c r="C355" s="1" t="n">
        <v>46109</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58374-2024</t>
        </is>
      </c>
      <c r="B356" s="1" t="n">
        <v>45632.72635416667</v>
      </c>
      <c r="C356" s="1" t="n">
        <v>46109</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45114-2025</t>
        </is>
      </c>
      <c r="B357" s="1" t="n">
        <v>45919.42387731482</v>
      </c>
      <c r="C357" s="1" t="n">
        <v>46109</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55300-2021</t>
        </is>
      </c>
      <c r="B358" s="1" t="n">
        <v>44475</v>
      </c>
      <c r="C358" s="1" t="n">
        <v>46109</v>
      </c>
      <c r="D358" t="inlineStr">
        <is>
          <t>KALMAR LÄN</t>
        </is>
      </c>
      <c r="E358" t="inlineStr">
        <is>
          <t>VIMMERBY</t>
        </is>
      </c>
      <c r="G358" t="n">
        <v>3.4</v>
      </c>
      <c r="H358" t="n">
        <v>0</v>
      </c>
      <c r="I358" t="n">
        <v>0</v>
      </c>
      <c r="J358" t="n">
        <v>0</v>
      </c>
      <c r="K358" t="n">
        <v>0</v>
      </c>
      <c r="L358" t="n">
        <v>0</v>
      </c>
      <c r="M358" t="n">
        <v>0</v>
      </c>
      <c r="N358" t="n">
        <v>0</v>
      </c>
      <c r="O358" t="n">
        <v>0</v>
      </c>
      <c r="P358" t="n">
        <v>0</v>
      </c>
      <c r="Q358" t="n">
        <v>0</v>
      </c>
      <c r="R358" s="2" t="inlineStr"/>
    </row>
    <row r="359" ht="15" customHeight="1">
      <c r="A359" t="inlineStr">
        <is>
          <t>A 409-2026</t>
        </is>
      </c>
      <c r="B359" s="1" t="n">
        <v>46028.69432870371</v>
      </c>
      <c r="C359" s="1" t="n">
        <v>46109</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47263-2023</t>
        </is>
      </c>
      <c r="B360" s="1" t="n">
        <v>45202.4209837963</v>
      </c>
      <c r="C360" s="1" t="n">
        <v>46109</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46118-2025</t>
        </is>
      </c>
      <c r="B361" s="1" t="n">
        <v>45924.57697916667</v>
      </c>
      <c r="C361" s="1" t="n">
        <v>46109</v>
      </c>
      <c r="D361" t="inlineStr">
        <is>
          <t>KALMAR LÄN</t>
        </is>
      </c>
      <c r="E361" t="inlineStr">
        <is>
          <t>VIMMERBY</t>
        </is>
      </c>
      <c r="G361" t="n">
        <v>2.9</v>
      </c>
      <c r="H361" t="n">
        <v>0</v>
      </c>
      <c r="I361" t="n">
        <v>0</v>
      </c>
      <c r="J361" t="n">
        <v>0</v>
      </c>
      <c r="K361" t="n">
        <v>0</v>
      </c>
      <c r="L361" t="n">
        <v>0</v>
      </c>
      <c r="M361" t="n">
        <v>0</v>
      </c>
      <c r="N361" t="n">
        <v>0</v>
      </c>
      <c r="O361" t="n">
        <v>0</v>
      </c>
      <c r="P361" t="n">
        <v>0</v>
      </c>
      <c r="Q361" t="n">
        <v>0</v>
      </c>
      <c r="R361" s="2" t="inlineStr"/>
    </row>
    <row r="362" ht="15" customHeight="1">
      <c r="A362" t="inlineStr">
        <is>
          <t>A 2536-2023</t>
        </is>
      </c>
      <c r="B362" s="1" t="n">
        <v>44943.62954861111</v>
      </c>
      <c r="C362" s="1" t="n">
        <v>46109</v>
      </c>
      <c r="D362" t="inlineStr">
        <is>
          <t>KALMAR LÄN</t>
        </is>
      </c>
      <c r="E362" t="inlineStr">
        <is>
          <t>VIMMERBY</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2801-2023</t>
        </is>
      </c>
      <c r="B363" s="1" t="n">
        <v>44944.73487268519</v>
      </c>
      <c r="C363" s="1" t="n">
        <v>46109</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406-2026</t>
        </is>
      </c>
      <c r="B364" s="1" t="n">
        <v>46028.68663194445</v>
      </c>
      <c r="C364" s="1" t="n">
        <v>46109</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17968-2025</t>
        </is>
      </c>
      <c r="B365" s="1" t="n">
        <v>45761.35990740741</v>
      </c>
      <c r="C365" s="1" t="n">
        <v>46109</v>
      </c>
      <c r="D365" t="inlineStr">
        <is>
          <t>KALMAR LÄN</t>
        </is>
      </c>
      <c r="E365" t="inlineStr">
        <is>
          <t>VIMMERBY</t>
        </is>
      </c>
      <c r="G365" t="n">
        <v>3.3</v>
      </c>
      <c r="H365" t="n">
        <v>0</v>
      </c>
      <c r="I365" t="n">
        <v>0</v>
      </c>
      <c r="J365" t="n">
        <v>0</v>
      </c>
      <c r="K365" t="n">
        <v>0</v>
      </c>
      <c r="L365" t="n">
        <v>0</v>
      </c>
      <c r="M365" t="n">
        <v>0</v>
      </c>
      <c r="N365" t="n">
        <v>0</v>
      </c>
      <c r="O365" t="n">
        <v>0</v>
      </c>
      <c r="P365" t="n">
        <v>0</v>
      </c>
      <c r="Q365" t="n">
        <v>0</v>
      </c>
      <c r="R365" s="2" t="inlineStr"/>
    </row>
    <row r="366" ht="15" customHeight="1">
      <c r="A366" t="inlineStr">
        <is>
          <t>A 45854-2025</t>
        </is>
      </c>
      <c r="B366" s="1" t="n">
        <v>45923</v>
      </c>
      <c r="C366" s="1" t="n">
        <v>46109</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45855-2025</t>
        </is>
      </c>
      <c r="B367" s="1" t="n">
        <v>45923</v>
      </c>
      <c r="C367" s="1" t="n">
        <v>46109</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579-2026</t>
        </is>
      </c>
      <c r="B368" s="1" t="n">
        <v>46029.47912037037</v>
      </c>
      <c r="C368" s="1" t="n">
        <v>46109</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46361-2025</t>
        </is>
      </c>
      <c r="B369" s="1" t="n">
        <v>45925.49670138889</v>
      </c>
      <c r="C369" s="1" t="n">
        <v>46109</v>
      </c>
      <c r="D369" t="inlineStr">
        <is>
          <t>KALMAR LÄN</t>
        </is>
      </c>
      <c r="E369" t="inlineStr">
        <is>
          <t>VIMMERBY</t>
        </is>
      </c>
      <c r="G369" t="n">
        <v>4.2</v>
      </c>
      <c r="H369" t="n">
        <v>0</v>
      </c>
      <c r="I369" t="n">
        <v>0</v>
      </c>
      <c r="J369" t="n">
        <v>0</v>
      </c>
      <c r="K369" t="n">
        <v>0</v>
      </c>
      <c r="L369" t="n">
        <v>0</v>
      </c>
      <c r="M369" t="n">
        <v>0</v>
      </c>
      <c r="N369" t="n">
        <v>0</v>
      </c>
      <c r="O369" t="n">
        <v>0</v>
      </c>
      <c r="P369" t="n">
        <v>0</v>
      </c>
      <c r="Q369" t="n">
        <v>0</v>
      </c>
      <c r="R369" s="2" t="inlineStr"/>
    </row>
    <row r="370" ht="15" customHeight="1">
      <c r="A370" t="inlineStr">
        <is>
          <t>A 46365-2025</t>
        </is>
      </c>
      <c r="B370" s="1" t="n">
        <v>45925.50075231482</v>
      </c>
      <c r="C370" s="1" t="n">
        <v>46109</v>
      </c>
      <c r="D370" t="inlineStr">
        <is>
          <t>KALMAR LÄN</t>
        </is>
      </c>
      <c r="E370" t="inlineStr">
        <is>
          <t>VIMMERBY</t>
        </is>
      </c>
      <c r="G370" t="n">
        <v>5.6</v>
      </c>
      <c r="H370" t="n">
        <v>0</v>
      </c>
      <c r="I370" t="n">
        <v>0</v>
      </c>
      <c r="J370" t="n">
        <v>0</v>
      </c>
      <c r="K370" t="n">
        <v>0</v>
      </c>
      <c r="L370" t="n">
        <v>0</v>
      </c>
      <c r="M370" t="n">
        <v>0</v>
      </c>
      <c r="N370" t="n">
        <v>0</v>
      </c>
      <c r="O370" t="n">
        <v>0</v>
      </c>
      <c r="P370" t="n">
        <v>0</v>
      </c>
      <c r="Q370" t="n">
        <v>0</v>
      </c>
      <c r="R370" s="2" t="inlineStr"/>
    </row>
    <row r="371" ht="15" customHeight="1">
      <c r="A371" t="inlineStr">
        <is>
          <t>A 14451-2024</t>
        </is>
      </c>
      <c r="B371" s="1" t="n">
        <v>45394.50028935185</v>
      </c>
      <c r="C371" s="1" t="n">
        <v>46109</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46238-2024</t>
        </is>
      </c>
      <c r="B372" s="1" t="n">
        <v>45581.58418981481</v>
      </c>
      <c r="C372" s="1" t="n">
        <v>46109</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50993-2022</t>
        </is>
      </c>
      <c r="B373" s="1" t="n">
        <v>44867</v>
      </c>
      <c r="C373" s="1" t="n">
        <v>46109</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46225-2024</t>
        </is>
      </c>
      <c r="B374" s="1" t="n">
        <v>45581.57333333333</v>
      </c>
      <c r="C374" s="1" t="n">
        <v>46109</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45856-2025</t>
        </is>
      </c>
      <c r="B375" s="1" t="n">
        <v>45923</v>
      </c>
      <c r="C375" s="1" t="n">
        <v>46109</v>
      </c>
      <c r="D375" t="inlineStr">
        <is>
          <t>KALMAR LÄN</t>
        </is>
      </c>
      <c r="E375" t="inlineStr">
        <is>
          <t>VIMMERBY</t>
        </is>
      </c>
      <c r="G375" t="n">
        <v>2.1</v>
      </c>
      <c r="H375" t="n">
        <v>0</v>
      </c>
      <c r="I375" t="n">
        <v>0</v>
      </c>
      <c r="J375" t="n">
        <v>0</v>
      </c>
      <c r="K375" t="n">
        <v>0</v>
      </c>
      <c r="L375" t="n">
        <v>0</v>
      </c>
      <c r="M375" t="n">
        <v>0</v>
      </c>
      <c r="N375" t="n">
        <v>0</v>
      </c>
      <c r="O375" t="n">
        <v>0</v>
      </c>
      <c r="P375" t="n">
        <v>0</v>
      </c>
      <c r="Q375" t="n">
        <v>0</v>
      </c>
      <c r="R375" s="2" t="inlineStr"/>
    </row>
    <row r="376" ht="15" customHeight="1">
      <c r="A376" t="inlineStr">
        <is>
          <t>A 36055-2024</t>
        </is>
      </c>
      <c r="B376" s="1" t="n">
        <v>45533.63056712963</v>
      </c>
      <c r="C376" s="1" t="n">
        <v>46109</v>
      </c>
      <c r="D376" t="inlineStr">
        <is>
          <t>KALMAR LÄN</t>
        </is>
      </c>
      <c r="E376" t="inlineStr">
        <is>
          <t>VIMMERBY</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47859-2024</t>
        </is>
      </c>
      <c r="B377" s="1" t="n">
        <v>45588.67070601852</v>
      </c>
      <c r="C377" s="1" t="n">
        <v>46109</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46887-2025</t>
        </is>
      </c>
      <c r="B378" s="1" t="n">
        <v>45929.3672337963</v>
      </c>
      <c r="C378" s="1" t="n">
        <v>46109</v>
      </c>
      <c r="D378" t="inlineStr">
        <is>
          <t>KALMAR LÄN</t>
        </is>
      </c>
      <c r="E378" t="inlineStr">
        <is>
          <t>VIMMERBY</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842-2026</t>
        </is>
      </c>
      <c r="B379" s="1" t="n">
        <v>46030.380625</v>
      </c>
      <c r="C379" s="1" t="n">
        <v>46109</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32835-2022</t>
        </is>
      </c>
      <c r="B380" s="1" t="n">
        <v>44784.42528935185</v>
      </c>
      <c r="C380" s="1" t="n">
        <v>46109</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47227-2025</t>
        </is>
      </c>
      <c r="B381" s="1" t="n">
        <v>45930.39769675926</v>
      </c>
      <c r="C381" s="1" t="n">
        <v>46109</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1069-2026</t>
        </is>
      </c>
      <c r="B382" s="1" t="n">
        <v>46030</v>
      </c>
      <c r="C382" s="1" t="n">
        <v>46109</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41896-2023</t>
        </is>
      </c>
      <c r="B383" s="1" t="n">
        <v>45176.72427083334</v>
      </c>
      <c r="C383" s="1" t="n">
        <v>46109</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43606-2024</t>
        </is>
      </c>
      <c r="B384" s="1" t="n">
        <v>45569.45017361111</v>
      </c>
      <c r="C384" s="1" t="n">
        <v>46109</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12325-2023</t>
        </is>
      </c>
      <c r="B385" s="1" t="n">
        <v>44999.35858796296</v>
      </c>
      <c r="C385" s="1" t="n">
        <v>46109</v>
      </c>
      <c r="D385" t="inlineStr">
        <is>
          <t>KALMAR LÄN</t>
        </is>
      </c>
      <c r="E385" t="inlineStr">
        <is>
          <t>VIMMERBY</t>
        </is>
      </c>
      <c r="G385" t="n">
        <v>3.4</v>
      </c>
      <c r="H385" t="n">
        <v>0</v>
      </c>
      <c r="I385" t="n">
        <v>0</v>
      </c>
      <c r="J385" t="n">
        <v>0</v>
      </c>
      <c r="K385" t="n">
        <v>0</v>
      </c>
      <c r="L385" t="n">
        <v>0</v>
      </c>
      <c r="M385" t="n">
        <v>0</v>
      </c>
      <c r="N385" t="n">
        <v>0</v>
      </c>
      <c r="O385" t="n">
        <v>0</v>
      </c>
      <c r="P385" t="n">
        <v>0</v>
      </c>
      <c r="Q385" t="n">
        <v>0</v>
      </c>
      <c r="R385" s="2" t="inlineStr"/>
    </row>
    <row r="386" ht="15" customHeight="1">
      <c r="A386" t="inlineStr">
        <is>
          <t>A 8945-2025</t>
        </is>
      </c>
      <c r="B386" s="1" t="n">
        <v>45713.45311342592</v>
      </c>
      <c r="C386" s="1" t="n">
        <v>46109</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47965-2025</t>
        </is>
      </c>
      <c r="B387" s="1" t="n">
        <v>45932.59597222223</v>
      </c>
      <c r="C387" s="1" t="n">
        <v>46109</v>
      </c>
      <c r="D387" t="inlineStr">
        <is>
          <t>KALMAR LÄN</t>
        </is>
      </c>
      <c r="E387" t="inlineStr">
        <is>
          <t>VIMMERBY</t>
        </is>
      </c>
      <c r="G387" t="n">
        <v>2.2</v>
      </c>
      <c r="H387" t="n">
        <v>0</v>
      </c>
      <c r="I387" t="n">
        <v>0</v>
      </c>
      <c r="J387" t="n">
        <v>0</v>
      </c>
      <c r="K387" t="n">
        <v>0</v>
      </c>
      <c r="L387" t="n">
        <v>0</v>
      </c>
      <c r="M387" t="n">
        <v>0</v>
      </c>
      <c r="N387" t="n">
        <v>0</v>
      </c>
      <c r="O387" t="n">
        <v>0</v>
      </c>
      <c r="P387" t="n">
        <v>0</v>
      </c>
      <c r="Q387" t="n">
        <v>0</v>
      </c>
      <c r="R387" s="2" t="inlineStr"/>
    </row>
    <row r="388" ht="15" customHeight="1">
      <c r="A388" t="inlineStr">
        <is>
          <t>A 40665-2023</t>
        </is>
      </c>
      <c r="B388" s="1" t="n">
        <v>45170</v>
      </c>
      <c r="C388" s="1" t="n">
        <v>46109</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13307-2025</t>
        </is>
      </c>
      <c r="B389" s="1" t="n">
        <v>45735.58024305556</v>
      </c>
      <c r="C389" s="1" t="n">
        <v>46109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1734-2026</t>
        </is>
      </c>
      <c r="B390" s="1" t="n">
        <v>46034</v>
      </c>
      <c r="C390" s="1" t="n">
        <v>46109</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1743-2026</t>
        </is>
      </c>
      <c r="B391" s="1" t="n">
        <v>46034</v>
      </c>
      <c r="C391" s="1" t="n">
        <v>46109</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28034-2022</t>
        </is>
      </c>
      <c r="B392" s="1" t="n">
        <v>44746.38834490741</v>
      </c>
      <c r="C392" s="1" t="n">
        <v>46109</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47955-2025</t>
        </is>
      </c>
      <c r="B393" s="1" t="n">
        <v>45932.58896990741</v>
      </c>
      <c r="C393" s="1" t="n">
        <v>46109</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48299-2025</t>
        </is>
      </c>
      <c r="B394" s="1" t="n">
        <v>45933.60982638889</v>
      </c>
      <c r="C394" s="1" t="n">
        <v>46109</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55605-2024</t>
        </is>
      </c>
      <c r="B395" s="1" t="n">
        <v>45622</v>
      </c>
      <c r="C395" s="1" t="n">
        <v>46109</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48723-2025</t>
        </is>
      </c>
      <c r="B396" s="1" t="n">
        <v>45936.65121527778</v>
      </c>
      <c r="C396" s="1" t="n">
        <v>46109</v>
      </c>
      <c r="D396" t="inlineStr">
        <is>
          <t>KALMAR LÄN</t>
        </is>
      </c>
      <c r="E396" t="inlineStr">
        <is>
          <t>VIMMERBY</t>
        </is>
      </c>
      <c r="G396" t="n">
        <v>3</v>
      </c>
      <c r="H396" t="n">
        <v>0</v>
      </c>
      <c r="I396" t="n">
        <v>0</v>
      </c>
      <c r="J396" t="n">
        <v>0</v>
      </c>
      <c r="K396" t="n">
        <v>0</v>
      </c>
      <c r="L396" t="n">
        <v>0</v>
      </c>
      <c r="M396" t="n">
        <v>0</v>
      </c>
      <c r="N396" t="n">
        <v>0</v>
      </c>
      <c r="O396" t="n">
        <v>0</v>
      </c>
      <c r="P396" t="n">
        <v>0</v>
      </c>
      <c r="Q396" t="n">
        <v>0</v>
      </c>
      <c r="R396" s="2" t="inlineStr"/>
    </row>
    <row r="397" ht="15" customHeight="1">
      <c r="A397" t="inlineStr">
        <is>
          <t>A 42165-2024</t>
        </is>
      </c>
      <c r="B397" s="1" t="n">
        <v>45562.46342592593</v>
      </c>
      <c r="C397" s="1" t="n">
        <v>46109</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20129-2024</t>
        </is>
      </c>
      <c r="B398" s="1" t="n">
        <v>45434.55831018519</v>
      </c>
      <c r="C398" s="1" t="n">
        <v>46109</v>
      </c>
      <c r="D398" t="inlineStr">
        <is>
          <t>KALMAR LÄN</t>
        </is>
      </c>
      <c r="E398" t="inlineStr">
        <is>
          <t>VIMMERBY</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20137-2024</t>
        </is>
      </c>
      <c r="B399" s="1" t="n">
        <v>45434.56398148148</v>
      </c>
      <c r="C399" s="1" t="n">
        <v>46109</v>
      </c>
      <c r="D399" t="inlineStr">
        <is>
          <t>KALMAR LÄN</t>
        </is>
      </c>
      <c r="E399" t="inlineStr">
        <is>
          <t>VIMMERBY</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48600-2025</t>
        </is>
      </c>
      <c r="B400" s="1" t="n">
        <v>45935</v>
      </c>
      <c r="C400" s="1" t="n">
        <v>46109</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48408-2025</t>
        </is>
      </c>
      <c r="B401" s="1" t="n">
        <v>45934.40527777778</v>
      </c>
      <c r="C401" s="1" t="n">
        <v>46109</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48409-2025</t>
        </is>
      </c>
      <c r="B402" s="1" t="n">
        <v>45934.41387731482</v>
      </c>
      <c r="C402" s="1" t="n">
        <v>46109</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23095-2023</t>
        </is>
      </c>
      <c r="B403" s="1" t="n">
        <v>45075.43059027778</v>
      </c>
      <c r="C403" s="1" t="n">
        <v>46109</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1748-2026</t>
        </is>
      </c>
      <c r="B404" s="1" t="n">
        <v>46034.65589120371</v>
      </c>
      <c r="C404" s="1" t="n">
        <v>46109</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32919-2022</t>
        </is>
      </c>
      <c r="B405" s="1" t="n">
        <v>44784.62724537037</v>
      </c>
      <c r="C405" s="1" t="n">
        <v>46109</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48712-2025</t>
        </is>
      </c>
      <c r="B406" s="1" t="n">
        <v>45936.63373842592</v>
      </c>
      <c r="C406" s="1" t="n">
        <v>46109</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1862-2026</t>
        </is>
      </c>
      <c r="B407" s="1" t="n">
        <v>46035.44689814815</v>
      </c>
      <c r="C407" s="1" t="n">
        <v>46109</v>
      </c>
      <c r="D407" t="inlineStr">
        <is>
          <t>KALMAR LÄN</t>
        </is>
      </c>
      <c r="E407" t="inlineStr">
        <is>
          <t>VIMMERBY</t>
        </is>
      </c>
      <c r="G407" t="n">
        <v>3.1</v>
      </c>
      <c r="H407" t="n">
        <v>0</v>
      </c>
      <c r="I407" t="n">
        <v>0</v>
      </c>
      <c r="J407" t="n">
        <v>0</v>
      </c>
      <c r="K407" t="n">
        <v>0</v>
      </c>
      <c r="L407" t="n">
        <v>0</v>
      </c>
      <c r="M407" t="n">
        <v>0</v>
      </c>
      <c r="N407" t="n">
        <v>0</v>
      </c>
      <c r="O407" t="n">
        <v>0</v>
      </c>
      <c r="P407" t="n">
        <v>0</v>
      </c>
      <c r="Q407" t="n">
        <v>0</v>
      </c>
      <c r="R407" s="2" t="inlineStr"/>
    </row>
    <row r="408" ht="15" customHeight="1">
      <c r="A408" t="inlineStr">
        <is>
          <t>A 7068-2024</t>
        </is>
      </c>
      <c r="B408" s="1" t="n">
        <v>45343.68038194445</v>
      </c>
      <c r="C408" s="1" t="n">
        <v>46109</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28290-2025</t>
        </is>
      </c>
      <c r="B409" s="1" t="n">
        <v>45818.59261574074</v>
      </c>
      <c r="C409" s="1" t="n">
        <v>46109</v>
      </c>
      <c r="D409" t="inlineStr">
        <is>
          <t>KALMAR LÄN</t>
        </is>
      </c>
      <c r="E409" t="inlineStr">
        <is>
          <t>VIMMERBY</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28280-2025</t>
        </is>
      </c>
      <c r="B410" s="1" t="n">
        <v>45818.5862037037</v>
      </c>
      <c r="C410" s="1" t="n">
        <v>46109</v>
      </c>
      <c r="D410" t="inlineStr">
        <is>
          <t>KALMAR LÄN</t>
        </is>
      </c>
      <c r="E410" t="inlineStr">
        <is>
          <t>VIMMERBY</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28286-2025</t>
        </is>
      </c>
      <c r="B411" s="1" t="n">
        <v>45818.58993055556</v>
      </c>
      <c r="C411" s="1" t="n">
        <v>46109</v>
      </c>
      <c r="D411" t="inlineStr">
        <is>
          <t>KALMAR LÄN</t>
        </is>
      </c>
      <c r="E411" t="inlineStr">
        <is>
          <t>VIMMERBY</t>
        </is>
      </c>
      <c r="F411" t="inlineStr">
        <is>
          <t>Sveaskog</t>
        </is>
      </c>
      <c r="G411" t="n">
        <v>8</v>
      </c>
      <c r="H411" t="n">
        <v>0</v>
      </c>
      <c r="I411" t="n">
        <v>0</v>
      </c>
      <c r="J411" t="n">
        <v>0</v>
      </c>
      <c r="K411" t="n">
        <v>0</v>
      </c>
      <c r="L411" t="n">
        <v>0</v>
      </c>
      <c r="M411" t="n">
        <v>0</v>
      </c>
      <c r="N411" t="n">
        <v>0</v>
      </c>
      <c r="O411" t="n">
        <v>0</v>
      </c>
      <c r="P411" t="n">
        <v>0</v>
      </c>
      <c r="Q411" t="n">
        <v>0</v>
      </c>
      <c r="R411" s="2" t="inlineStr"/>
    </row>
    <row r="412" ht="15" customHeight="1">
      <c r="A412" t="inlineStr">
        <is>
          <t>A 28282-2025</t>
        </is>
      </c>
      <c r="B412" s="1" t="n">
        <v>45818.58769675926</v>
      </c>
      <c r="C412" s="1" t="n">
        <v>46109</v>
      </c>
      <c r="D412" t="inlineStr">
        <is>
          <t>KALMAR LÄN</t>
        </is>
      </c>
      <c r="E412" t="inlineStr">
        <is>
          <t>VIMMERBY</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28294-2025</t>
        </is>
      </c>
      <c r="B413" s="1" t="n">
        <v>45818.595625</v>
      </c>
      <c r="C413" s="1" t="n">
        <v>46109</v>
      </c>
      <c r="D413" t="inlineStr">
        <is>
          <t>KALMAR LÄN</t>
        </is>
      </c>
      <c r="E413" t="inlineStr">
        <is>
          <t>VIMMERBY</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28713-2025</t>
        </is>
      </c>
      <c r="B414" s="1" t="n">
        <v>45820.33930555556</v>
      </c>
      <c r="C414" s="1" t="n">
        <v>46109</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32655-2023</t>
        </is>
      </c>
      <c r="B415" s="1" t="n">
        <v>45121.61318287037</v>
      </c>
      <c r="C415" s="1" t="n">
        <v>46109</v>
      </c>
      <c r="D415" t="inlineStr">
        <is>
          <t>KALMAR LÄN</t>
        </is>
      </c>
      <c r="E415" t="inlineStr">
        <is>
          <t>VIMMERBY</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28712-2025</t>
        </is>
      </c>
      <c r="B416" s="1" t="n">
        <v>45820.33708333333</v>
      </c>
      <c r="C416" s="1" t="n">
        <v>46109</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28714-2025</t>
        </is>
      </c>
      <c r="B417" s="1" t="n">
        <v>45820.34128472222</v>
      </c>
      <c r="C417" s="1" t="n">
        <v>46109</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28620-2025</t>
        </is>
      </c>
      <c r="B418" s="1" t="n">
        <v>45819.61060185185</v>
      </c>
      <c r="C418" s="1" t="n">
        <v>46109</v>
      </c>
      <c r="D418" t="inlineStr">
        <is>
          <t>KALMAR LÄN</t>
        </is>
      </c>
      <c r="E418" t="inlineStr">
        <is>
          <t>VIMMERBY</t>
        </is>
      </c>
      <c r="G418" t="n">
        <v>5.6</v>
      </c>
      <c r="H418" t="n">
        <v>0</v>
      </c>
      <c r="I418" t="n">
        <v>0</v>
      </c>
      <c r="J418" t="n">
        <v>0</v>
      </c>
      <c r="K418" t="n">
        <v>0</v>
      </c>
      <c r="L418" t="n">
        <v>0</v>
      </c>
      <c r="M418" t="n">
        <v>0</v>
      </c>
      <c r="N418" t="n">
        <v>0</v>
      </c>
      <c r="O418" t="n">
        <v>0</v>
      </c>
      <c r="P418" t="n">
        <v>0</v>
      </c>
      <c r="Q418" t="n">
        <v>0</v>
      </c>
      <c r="R418" s="2" t="inlineStr"/>
    </row>
    <row r="419" ht="15" customHeight="1">
      <c r="A419" t="inlineStr">
        <is>
          <t>A 54409-2024</t>
        </is>
      </c>
      <c r="B419" s="1" t="n">
        <v>45617.47570601852</v>
      </c>
      <c r="C419" s="1" t="n">
        <v>46109</v>
      </c>
      <c r="D419" t="inlineStr">
        <is>
          <t>KALMAR LÄN</t>
        </is>
      </c>
      <c r="E419" t="inlineStr">
        <is>
          <t>VIMMERBY</t>
        </is>
      </c>
      <c r="G419" t="n">
        <v>4.3</v>
      </c>
      <c r="H419" t="n">
        <v>0</v>
      </c>
      <c r="I419" t="n">
        <v>0</v>
      </c>
      <c r="J419" t="n">
        <v>0</v>
      </c>
      <c r="K419" t="n">
        <v>0</v>
      </c>
      <c r="L419" t="n">
        <v>0</v>
      </c>
      <c r="M419" t="n">
        <v>0</v>
      </c>
      <c r="N419" t="n">
        <v>0</v>
      </c>
      <c r="O419" t="n">
        <v>0</v>
      </c>
      <c r="P419" t="n">
        <v>0</v>
      </c>
      <c r="Q419" t="n">
        <v>0</v>
      </c>
      <c r="R419" s="2" t="inlineStr"/>
    </row>
    <row r="420" ht="15" customHeight="1">
      <c r="A420" t="inlineStr">
        <is>
          <t>A 29727-2025</t>
        </is>
      </c>
      <c r="B420" s="1" t="n">
        <v>45825.5796875</v>
      </c>
      <c r="C420" s="1" t="n">
        <v>46109</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29737-2025</t>
        </is>
      </c>
      <c r="B421" s="1" t="n">
        <v>45825.58672453704</v>
      </c>
      <c r="C421" s="1" t="n">
        <v>46109</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49871-2025</t>
        </is>
      </c>
      <c r="B422" s="1" t="n">
        <v>45940.54104166666</v>
      </c>
      <c r="C422" s="1" t="n">
        <v>46109</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50324-2025</t>
        </is>
      </c>
      <c r="B423" s="1" t="n">
        <v>45944.45962962963</v>
      </c>
      <c r="C423" s="1" t="n">
        <v>46109</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9475-2023</t>
        </is>
      </c>
      <c r="B424" s="1" t="n">
        <v>44981.58834490741</v>
      </c>
      <c r="C424" s="1" t="n">
        <v>46109</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11273-2026</t>
        </is>
      </c>
      <c r="B425" s="1" t="n">
        <v>46080.57634259259</v>
      </c>
      <c r="C425" s="1" t="n">
        <v>46109</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2523-2026</t>
        </is>
      </c>
      <c r="B426" s="1" t="n">
        <v>46037.42825231481</v>
      </c>
      <c r="C426" s="1" t="n">
        <v>46109</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43092-2024</t>
        </is>
      </c>
      <c r="B427" s="1" t="n">
        <v>45567</v>
      </c>
      <c r="C427" s="1" t="n">
        <v>46109</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2514-2026</t>
        </is>
      </c>
      <c r="B428" s="1" t="n">
        <v>46037.42219907408</v>
      </c>
      <c r="C428" s="1" t="n">
        <v>46109</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2518-2026</t>
        </is>
      </c>
      <c r="B429" s="1" t="n">
        <v>46037.42511574074</v>
      </c>
      <c r="C429" s="1" t="n">
        <v>46109</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50544-2025</t>
        </is>
      </c>
      <c r="B430" s="1" t="n">
        <v>45945.50736111111</v>
      </c>
      <c r="C430" s="1" t="n">
        <v>46109</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30293-2025</t>
        </is>
      </c>
      <c r="B431" s="1" t="n">
        <v>45827</v>
      </c>
      <c r="C431" s="1" t="n">
        <v>46109</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11619-2023</t>
        </is>
      </c>
      <c r="B432" s="1" t="n">
        <v>44994.42113425926</v>
      </c>
      <c r="C432" s="1" t="n">
        <v>46109</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5074-2023</t>
        </is>
      </c>
      <c r="B433" s="1" t="n">
        <v>44958.61047453704</v>
      </c>
      <c r="C433" s="1" t="n">
        <v>46109</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6368-2023</t>
        </is>
      </c>
      <c r="B434" s="1" t="n">
        <v>44965</v>
      </c>
      <c r="C434" s="1" t="n">
        <v>46109</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10965-2026</t>
        </is>
      </c>
      <c r="B435" s="1" t="n">
        <v>46079.43295138889</v>
      </c>
      <c r="C435" s="1" t="n">
        <v>46109</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5701-2024</t>
        </is>
      </c>
      <c r="B436" s="1" t="n">
        <v>45334.78826388889</v>
      </c>
      <c r="C436" s="1" t="n">
        <v>46109</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51062-2025</t>
        </is>
      </c>
      <c r="B437" s="1" t="n">
        <v>45947.44685185186</v>
      </c>
      <c r="C437" s="1" t="n">
        <v>46109</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30290-2025</t>
        </is>
      </c>
      <c r="B438" s="1" t="n">
        <v>45827</v>
      </c>
      <c r="C438" s="1" t="n">
        <v>46109</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7797-2023</t>
        </is>
      </c>
      <c r="B439" s="1" t="n">
        <v>44973.43075231482</v>
      </c>
      <c r="C439" s="1" t="n">
        <v>46109</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24655-2021</t>
        </is>
      </c>
      <c r="B440" s="1" t="n">
        <v>44340</v>
      </c>
      <c r="C440" s="1" t="n">
        <v>46109</v>
      </c>
      <c r="D440" t="inlineStr">
        <is>
          <t>KALMAR LÄN</t>
        </is>
      </c>
      <c r="E440" t="inlineStr">
        <is>
          <t>VIMMERBY</t>
        </is>
      </c>
      <c r="G440" t="n">
        <v>14.9</v>
      </c>
      <c r="H440" t="n">
        <v>0</v>
      </c>
      <c r="I440" t="n">
        <v>0</v>
      </c>
      <c r="J440" t="n">
        <v>0</v>
      </c>
      <c r="K440" t="n">
        <v>0</v>
      </c>
      <c r="L440" t="n">
        <v>0</v>
      </c>
      <c r="M440" t="n">
        <v>0</v>
      </c>
      <c r="N440" t="n">
        <v>0</v>
      </c>
      <c r="O440" t="n">
        <v>0</v>
      </c>
      <c r="P440" t="n">
        <v>0</v>
      </c>
      <c r="Q440" t="n">
        <v>0</v>
      </c>
      <c r="R440" s="2" t="inlineStr"/>
    </row>
    <row r="441" ht="15" customHeight="1">
      <c r="A441" t="inlineStr">
        <is>
          <t>A 30850-2025</t>
        </is>
      </c>
      <c r="B441" s="1" t="n">
        <v>45831</v>
      </c>
      <c r="C441" s="1" t="n">
        <v>46109</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30882-2025</t>
        </is>
      </c>
      <c r="B442" s="1" t="n">
        <v>45832.34540509259</v>
      </c>
      <c r="C442" s="1" t="n">
        <v>46109</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30971-2025</t>
        </is>
      </c>
      <c r="B443" s="1" t="n">
        <v>45832.46146990741</v>
      </c>
      <c r="C443" s="1" t="n">
        <v>46109</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51993-2025</t>
        </is>
      </c>
      <c r="B444" s="1" t="n">
        <v>45952.58194444444</v>
      </c>
      <c r="C444" s="1" t="n">
        <v>46109</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3266-2026</t>
        </is>
      </c>
      <c r="B445" s="1" t="n">
        <v>46041</v>
      </c>
      <c r="C445" s="1" t="n">
        <v>46109</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31552-2025</t>
        </is>
      </c>
      <c r="B446" s="1" t="n">
        <v>45833.64563657407</v>
      </c>
      <c r="C446" s="1" t="n">
        <v>46109</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31555-2025</t>
        </is>
      </c>
      <c r="B447" s="1" t="n">
        <v>45833.64814814815</v>
      </c>
      <c r="C447" s="1" t="n">
        <v>46109</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8410-2023</t>
        </is>
      </c>
      <c r="B448" s="1" t="n">
        <v>44977</v>
      </c>
      <c r="C448" s="1" t="n">
        <v>46109</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11415-2026</t>
        </is>
      </c>
      <c r="B449" s="1" t="n">
        <v>46083</v>
      </c>
      <c r="C449" s="1" t="n">
        <v>46109</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11407-2026</t>
        </is>
      </c>
      <c r="B450" s="1" t="n">
        <v>46083</v>
      </c>
      <c r="C450" s="1" t="n">
        <v>46109</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51990-2025</t>
        </is>
      </c>
      <c r="B451" s="1" t="n">
        <v>45952.58061342593</v>
      </c>
      <c r="C451" s="1" t="n">
        <v>46109</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3292-2026</t>
        </is>
      </c>
      <c r="B452" s="1" t="n">
        <v>46041</v>
      </c>
      <c r="C452" s="1" t="n">
        <v>46109</v>
      </c>
      <c r="D452" t="inlineStr">
        <is>
          <t>KALMAR LÄN</t>
        </is>
      </c>
      <c r="E452" t="inlineStr">
        <is>
          <t>VIMMERBY</t>
        </is>
      </c>
      <c r="G452" t="n">
        <v>3.9</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46109</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52473-2025</t>
        </is>
      </c>
      <c r="B454" s="1" t="n">
        <v>45954.45947916667</v>
      </c>
      <c r="C454" s="1" t="n">
        <v>46109</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52480-2025</t>
        </is>
      </c>
      <c r="B455" s="1" t="n">
        <v>45954.47172453703</v>
      </c>
      <c r="C455" s="1" t="n">
        <v>46109</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52823-2024</t>
        </is>
      </c>
      <c r="B456" s="1" t="n">
        <v>45610.59094907407</v>
      </c>
      <c r="C456" s="1" t="n">
        <v>46109</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3965-2026</t>
        </is>
      </c>
      <c r="B457" s="1" t="n">
        <v>46044.34563657407</v>
      </c>
      <c r="C457" s="1" t="n">
        <v>46109</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52466-2025</t>
        </is>
      </c>
      <c r="B458" s="1" t="n">
        <v>45954.44707175926</v>
      </c>
      <c r="C458" s="1" t="n">
        <v>46109</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31870-2025</t>
        </is>
      </c>
      <c r="B459" s="1" t="n">
        <v>45834.64667824074</v>
      </c>
      <c r="C459" s="1" t="n">
        <v>46109</v>
      </c>
      <c r="D459" t="inlineStr">
        <is>
          <t>KALMAR LÄN</t>
        </is>
      </c>
      <c r="E459" t="inlineStr">
        <is>
          <t>VIMMERBY</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56853-2022</t>
        </is>
      </c>
      <c r="B460" s="1" t="n">
        <v>44894.49538194444</v>
      </c>
      <c r="C460" s="1" t="n">
        <v>46109</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46109</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11152-2023</t>
        </is>
      </c>
      <c r="B462" s="1" t="n">
        <v>44992</v>
      </c>
      <c r="C462" s="1" t="n">
        <v>46109</v>
      </c>
      <c r="D462" t="inlineStr">
        <is>
          <t>KALMAR LÄN</t>
        </is>
      </c>
      <c r="E462" t="inlineStr">
        <is>
          <t>VIMMERBY</t>
        </is>
      </c>
      <c r="G462" t="n">
        <v>10.6</v>
      </c>
      <c r="H462" t="n">
        <v>0</v>
      </c>
      <c r="I462" t="n">
        <v>0</v>
      </c>
      <c r="J462" t="n">
        <v>0</v>
      </c>
      <c r="K462" t="n">
        <v>0</v>
      </c>
      <c r="L462" t="n">
        <v>0</v>
      </c>
      <c r="M462" t="n">
        <v>0</v>
      </c>
      <c r="N462" t="n">
        <v>0</v>
      </c>
      <c r="O462" t="n">
        <v>0</v>
      </c>
      <c r="P462" t="n">
        <v>0</v>
      </c>
      <c r="Q462" t="n">
        <v>0</v>
      </c>
      <c r="R462" s="2" t="inlineStr"/>
    </row>
    <row r="463" ht="15" customHeight="1">
      <c r="A463" t="inlineStr">
        <is>
          <t>A 3868-2026</t>
        </is>
      </c>
      <c r="B463" s="1" t="n">
        <v>46043.6360300926</v>
      </c>
      <c r="C463" s="1" t="n">
        <v>46109</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3869-2026</t>
        </is>
      </c>
      <c r="B464" s="1" t="n">
        <v>46043.63940972222</v>
      </c>
      <c r="C464" s="1" t="n">
        <v>46109</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52465-2025</t>
        </is>
      </c>
      <c r="B465" s="1" t="n">
        <v>45954.44543981482</v>
      </c>
      <c r="C465" s="1" t="n">
        <v>46109</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15550-2023</t>
        </is>
      </c>
      <c r="B466" s="1" t="n">
        <v>45020</v>
      </c>
      <c r="C466" s="1" t="n">
        <v>46109</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8559-2025</t>
        </is>
      </c>
      <c r="B467" s="1" t="n">
        <v>45709.62280092593</v>
      </c>
      <c r="C467" s="1" t="n">
        <v>46109</v>
      </c>
      <c r="D467" t="inlineStr">
        <is>
          <t>KALMAR LÄN</t>
        </is>
      </c>
      <c r="E467" t="inlineStr">
        <is>
          <t>VIMMERBY</t>
        </is>
      </c>
      <c r="G467" t="n">
        <v>8.9</v>
      </c>
      <c r="H467" t="n">
        <v>0</v>
      </c>
      <c r="I467" t="n">
        <v>0</v>
      </c>
      <c r="J467" t="n">
        <v>0</v>
      </c>
      <c r="K467" t="n">
        <v>0</v>
      </c>
      <c r="L467" t="n">
        <v>0</v>
      </c>
      <c r="M467" t="n">
        <v>0</v>
      </c>
      <c r="N467" t="n">
        <v>0</v>
      </c>
      <c r="O467" t="n">
        <v>0</v>
      </c>
      <c r="P467" t="n">
        <v>0</v>
      </c>
      <c r="Q467" t="n">
        <v>0</v>
      </c>
      <c r="R467" s="2" t="inlineStr"/>
    </row>
    <row r="468" ht="15" customHeight="1">
      <c r="A468" t="inlineStr">
        <is>
          <t>A 31872-2025</t>
        </is>
      </c>
      <c r="B468" s="1" t="n">
        <v>45834.65040509259</v>
      </c>
      <c r="C468" s="1" t="n">
        <v>46109</v>
      </c>
      <c r="D468" t="inlineStr">
        <is>
          <t>KALMAR LÄN</t>
        </is>
      </c>
      <c r="E468" t="inlineStr">
        <is>
          <t>VIMMERBY</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31876-2025</t>
        </is>
      </c>
      <c r="B469" s="1" t="n">
        <v>45834.65197916667</v>
      </c>
      <c r="C469" s="1" t="n">
        <v>46109</v>
      </c>
      <c r="D469" t="inlineStr">
        <is>
          <t>KALMAR LÄN</t>
        </is>
      </c>
      <c r="E469" t="inlineStr">
        <is>
          <t>VIMMERBY</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31551-2025</t>
        </is>
      </c>
      <c r="B470" s="1" t="n">
        <v>45833.64237268519</v>
      </c>
      <c r="C470" s="1" t="n">
        <v>46109</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31987-2025</t>
        </is>
      </c>
      <c r="B471" s="1" t="n">
        <v>45835.36229166666</v>
      </c>
      <c r="C471" s="1" t="n">
        <v>46109</v>
      </c>
      <c r="D471" t="inlineStr">
        <is>
          <t>KALMAR LÄN</t>
        </is>
      </c>
      <c r="E471" t="inlineStr">
        <is>
          <t>VIMMERBY</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32120-2025</t>
        </is>
      </c>
      <c r="B472" s="1" t="n">
        <v>45835.4924537037</v>
      </c>
      <c r="C472" s="1" t="n">
        <v>46109</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11798-2026</t>
        </is>
      </c>
      <c r="B473" s="1" t="n">
        <v>46085.34020833333</v>
      </c>
      <c r="C473" s="1" t="n">
        <v>46109</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32116-2025</t>
        </is>
      </c>
      <c r="B474" s="1" t="n">
        <v>45835.48862268519</v>
      </c>
      <c r="C474" s="1" t="n">
        <v>46109</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32380-2025</t>
        </is>
      </c>
      <c r="B475" s="1" t="n">
        <v>45837.77701388889</v>
      </c>
      <c r="C475" s="1" t="n">
        <v>46109</v>
      </c>
      <c r="D475" t="inlineStr">
        <is>
          <t>KALMAR LÄN</t>
        </is>
      </c>
      <c r="E475" t="inlineStr">
        <is>
          <t>VIMMERBY</t>
        </is>
      </c>
      <c r="G475" t="n">
        <v>3.1</v>
      </c>
      <c r="H475" t="n">
        <v>0</v>
      </c>
      <c r="I475" t="n">
        <v>0</v>
      </c>
      <c r="J475" t="n">
        <v>0</v>
      </c>
      <c r="K475" t="n">
        <v>0</v>
      </c>
      <c r="L475" t="n">
        <v>0</v>
      </c>
      <c r="M475" t="n">
        <v>0</v>
      </c>
      <c r="N475" t="n">
        <v>0</v>
      </c>
      <c r="O475" t="n">
        <v>0</v>
      </c>
      <c r="P475" t="n">
        <v>0</v>
      </c>
      <c r="Q475" t="n">
        <v>0</v>
      </c>
      <c r="R475" s="2" t="inlineStr"/>
    </row>
    <row r="476" ht="15" customHeight="1">
      <c r="A476" t="inlineStr">
        <is>
          <t>A 32109-2025</t>
        </is>
      </c>
      <c r="B476" s="1" t="n">
        <v>45835.48267361111</v>
      </c>
      <c r="C476" s="1" t="n">
        <v>46109</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32113-2025</t>
        </is>
      </c>
      <c r="B477" s="1" t="n">
        <v>45835.48445601852</v>
      </c>
      <c r="C477" s="1" t="n">
        <v>46109</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31355-2023</t>
        </is>
      </c>
      <c r="B478" s="1" t="n">
        <v>45114.49505787037</v>
      </c>
      <c r="C478" s="1" t="n">
        <v>46109</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32077-2025</t>
        </is>
      </c>
      <c r="B479" s="1" t="n">
        <v>45835.45099537037</v>
      </c>
      <c r="C479" s="1" t="n">
        <v>46109</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18330-2023</t>
        </is>
      </c>
      <c r="B480" s="1" t="n">
        <v>45041</v>
      </c>
      <c r="C480" s="1" t="n">
        <v>46109</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32064-2025</t>
        </is>
      </c>
      <c r="B481" s="1" t="n">
        <v>45835.44709490741</v>
      </c>
      <c r="C481" s="1" t="n">
        <v>46109</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32065-2025</t>
        </is>
      </c>
      <c r="B482" s="1" t="n">
        <v>45835.44732638889</v>
      </c>
      <c r="C482" s="1" t="n">
        <v>46109</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58100-2024</t>
        </is>
      </c>
      <c r="B483" s="1" t="n">
        <v>45632.36706018518</v>
      </c>
      <c r="C483" s="1" t="n">
        <v>46109</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52475-2025</t>
        </is>
      </c>
      <c r="B484" s="1" t="n">
        <v>45954.468125</v>
      </c>
      <c r="C484" s="1" t="n">
        <v>46109</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27993-2022</t>
        </is>
      </c>
      <c r="B485" s="1" t="n">
        <v>44745.84396990741</v>
      </c>
      <c r="C485" s="1" t="n">
        <v>46109</v>
      </c>
      <c r="D485" t="inlineStr">
        <is>
          <t>KALMAR LÄN</t>
        </is>
      </c>
      <c r="E485" t="inlineStr">
        <is>
          <t>VIMMERBY</t>
        </is>
      </c>
      <c r="G485" t="n">
        <v>2.8</v>
      </c>
      <c r="H485" t="n">
        <v>0</v>
      </c>
      <c r="I485" t="n">
        <v>0</v>
      </c>
      <c r="J485" t="n">
        <v>0</v>
      </c>
      <c r="K485" t="n">
        <v>0</v>
      </c>
      <c r="L485" t="n">
        <v>0</v>
      </c>
      <c r="M485" t="n">
        <v>0</v>
      </c>
      <c r="N485" t="n">
        <v>0</v>
      </c>
      <c r="O485" t="n">
        <v>0</v>
      </c>
      <c r="P485" t="n">
        <v>0</v>
      </c>
      <c r="Q485" t="n">
        <v>0</v>
      </c>
      <c r="R485" s="2" t="inlineStr"/>
    </row>
    <row r="486" ht="15" customHeight="1">
      <c r="A486" t="inlineStr">
        <is>
          <t>A 53220-2025</t>
        </is>
      </c>
      <c r="B486" s="1" t="n">
        <v>45958.60146990741</v>
      </c>
      <c r="C486" s="1" t="n">
        <v>46109</v>
      </c>
      <c r="D486" t="inlineStr">
        <is>
          <t>KALMAR LÄN</t>
        </is>
      </c>
      <c r="E486" t="inlineStr">
        <is>
          <t>VIMMERBY</t>
        </is>
      </c>
      <c r="G486" t="n">
        <v>2.2</v>
      </c>
      <c r="H486" t="n">
        <v>0</v>
      </c>
      <c r="I486" t="n">
        <v>0</v>
      </c>
      <c r="J486" t="n">
        <v>0</v>
      </c>
      <c r="K486" t="n">
        <v>0</v>
      </c>
      <c r="L486" t="n">
        <v>0</v>
      </c>
      <c r="M486" t="n">
        <v>0</v>
      </c>
      <c r="N486" t="n">
        <v>0</v>
      </c>
      <c r="O486" t="n">
        <v>0</v>
      </c>
      <c r="P486" t="n">
        <v>0</v>
      </c>
      <c r="Q486" t="n">
        <v>0</v>
      </c>
      <c r="R486" s="2" t="inlineStr"/>
    </row>
    <row r="487" ht="15" customHeight="1">
      <c r="A487" t="inlineStr">
        <is>
          <t>A 38969-2023</t>
        </is>
      </c>
      <c r="B487" s="1" t="n">
        <v>45163.63621527778</v>
      </c>
      <c r="C487" s="1" t="n">
        <v>46109</v>
      </c>
      <c r="D487" t="inlineStr">
        <is>
          <t>KALMAR LÄN</t>
        </is>
      </c>
      <c r="E487" t="inlineStr">
        <is>
          <t>VIMMERBY</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52451-2025</t>
        </is>
      </c>
      <c r="B488" s="1" t="n">
        <v>45954.42326388889</v>
      </c>
      <c r="C488" s="1" t="n">
        <v>46109</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53393-2025</t>
        </is>
      </c>
      <c r="B489" s="1" t="n">
        <v>45959.55284722222</v>
      </c>
      <c r="C489" s="1" t="n">
        <v>46109</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53398-2025</t>
        </is>
      </c>
      <c r="B490" s="1" t="n">
        <v>45959.56247685185</v>
      </c>
      <c r="C490" s="1" t="n">
        <v>46109</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53397-2025</t>
        </is>
      </c>
      <c r="B491" s="1" t="n">
        <v>45959.55918981481</v>
      </c>
      <c r="C491" s="1" t="n">
        <v>46109</v>
      </c>
      <c r="D491" t="inlineStr">
        <is>
          <t>KALMAR LÄN</t>
        </is>
      </c>
      <c r="E491" t="inlineStr">
        <is>
          <t>VIMMERBY</t>
        </is>
      </c>
      <c r="G491" t="n">
        <v>1.6</v>
      </c>
      <c r="H491" t="n">
        <v>0</v>
      </c>
      <c r="I491" t="n">
        <v>0</v>
      </c>
      <c r="J491" t="n">
        <v>0</v>
      </c>
      <c r="K491" t="n">
        <v>0</v>
      </c>
      <c r="L491" t="n">
        <v>0</v>
      </c>
      <c r="M491" t="n">
        <v>0</v>
      </c>
      <c r="N491" t="n">
        <v>0</v>
      </c>
      <c r="O491" t="n">
        <v>0</v>
      </c>
      <c r="P491" t="n">
        <v>0</v>
      </c>
      <c r="Q491" t="n">
        <v>0</v>
      </c>
      <c r="R491" s="2" t="inlineStr"/>
    </row>
    <row r="492" ht="15" customHeight="1">
      <c r="A492" t="inlineStr">
        <is>
          <t>A 53416-2025</t>
        </is>
      </c>
      <c r="B492" s="1" t="n">
        <v>45959.58387731481</v>
      </c>
      <c r="C492" s="1" t="n">
        <v>46109</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45615.48927083334</v>
      </c>
      <c r="C493" s="1" t="n">
        <v>46109</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53413-2025</t>
        </is>
      </c>
      <c r="B494" s="1" t="n">
        <v>45959.5787037037</v>
      </c>
      <c r="C494" s="1" t="n">
        <v>46109</v>
      </c>
      <c r="D494" t="inlineStr">
        <is>
          <t>KALMAR LÄN</t>
        </is>
      </c>
      <c r="E494" t="inlineStr">
        <is>
          <t>VIMMERBY</t>
        </is>
      </c>
      <c r="G494" t="n">
        <v>4.3</v>
      </c>
      <c r="H494" t="n">
        <v>0</v>
      </c>
      <c r="I494" t="n">
        <v>0</v>
      </c>
      <c r="J494" t="n">
        <v>0</v>
      </c>
      <c r="K494" t="n">
        <v>0</v>
      </c>
      <c r="L494" t="n">
        <v>0</v>
      </c>
      <c r="M494" t="n">
        <v>0</v>
      </c>
      <c r="N494" t="n">
        <v>0</v>
      </c>
      <c r="O494" t="n">
        <v>0</v>
      </c>
      <c r="P494" t="n">
        <v>0</v>
      </c>
      <c r="Q494" t="n">
        <v>0</v>
      </c>
      <c r="R494" s="2" t="inlineStr"/>
    </row>
    <row r="495" ht="15" customHeight="1">
      <c r="A495" t="inlineStr">
        <is>
          <t>A 53396-2025</t>
        </is>
      </c>
      <c r="B495" s="1" t="n">
        <v>45959.55577546296</v>
      </c>
      <c r="C495" s="1" t="n">
        <v>46109</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53788-2025</t>
        </is>
      </c>
      <c r="B496" s="1" t="n">
        <v>45960</v>
      </c>
      <c r="C496" s="1" t="n">
        <v>46109</v>
      </c>
      <c r="D496" t="inlineStr">
        <is>
          <t>KALMAR LÄN</t>
        </is>
      </c>
      <c r="E496" t="inlineStr">
        <is>
          <t>VIMMERBY</t>
        </is>
      </c>
      <c r="F496" t="inlineStr">
        <is>
          <t>Övriga statliga verk och myndigheter</t>
        </is>
      </c>
      <c r="G496" t="n">
        <v>6.3</v>
      </c>
      <c r="H496" t="n">
        <v>0</v>
      </c>
      <c r="I496" t="n">
        <v>0</v>
      </c>
      <c r="J496" t="n">
        <v>0</v>
      </c>
      <c r="K496" t="n">
        <v>0</v>
      </c>
      <c r="L496" t="n">
        <v>0</v>
      </c>
      <c r="M496" t="n">
        <v>0</v>
      </c>
      <c r="N496" t="n">
        <v>0</v>
      </c>
      <c r="O496" t="n">
        <v>0</v>
      </c>
      <c r="P496" t="n">
        <v>0</v>
      </c>
      <c r="Q496" t="n">
        <v>0</v>
      </c>
      <c r="R496" s="2" t="inlineStr"/>
    </row>
    <row r="497" ht="15" customHeight="1">
      <c r="A497" t="inlineStr">
        <is>
          <t>A 58728-2024</t>
        </is>
      </c>
      <c r="B497" s="1" t="n">
        <v>45635.66695601852</v>
      </c>
      <c r="C497" s="1" t="n">
        <v>46109</v>
      </c>
      <c r="D497" t="inlineStr">
        <is>
          <t>KALMAR LÄN</t>
        </is>
      </c>
      <c r="E497" t="inlineStr">
        <is>
          <t>VIMMERBY</t>
        </is>
      </c>
      <c r="G497" t="n">
        <v>0.4</v>
      </c>
      <c r="H497" t="n">
        <v>0</v>
      </c>
      <c r="I497" t="n">
        <v>0</v>
      </c>
      <c r="J497" t="n">
        <v>0</v>
      </c>
      <c r="K497" t="n">
        <v>0</v>
      </c>
      <c r="L497" t="n">
        <v>0</v>
      </c>
      <c r="M497" t="n">
        <v>0</v>
      </c>
      <c r="N497" t="n">
        <v>0</v>
      </c>
      <c r="O497" t="n">
        <v>0</v>
      </c>
      <c r="P497" t="n">
        <v>0</v>
      </c>
      <c r="Q497" t="n">
        <v>0</v>
      </c>
      <c r="R497" s="2" t="inlineStr"/>
    </row>
    <row r="498" ht="15" customHeight="1">
      <c r="A498" t="inlineStr">
        <is>
          <t>A 43242-2024</t>
        </is>
      </c>
      <c r="B498" s="1" t="n">
        <v>45568.30189814815</v>
      </c>
      <c r="C498" s="1" t="n">
        <v>46109</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16983-2023</t>
        </is>
      </c>
      <c r="B499" s="1" t="n">
        <v>45033.76043981482</v>
      </c>
      <c r="C499" s="1" t="n">
        <v>46109</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53927-2025</t>
        </is>
      </c>
      <c r="B500" s="1" t="n">
        <v>45961.46740740741</v>
      </c>
      <c r="C500" s="1" t="n">
        <v>46109</v>
      </c>
      <c r="D500" t="inlineStr">
        <is>
          <t>KALMAR LÄN</t>
        </is>
      </c>
      <c r="E500" t="inlineStr">
        <is>
          <t>VIMMERBY</t>
        </is>
      </c>
      <c r="G500" t="n">
        <v>2.5</v>
      </c>
      <c r="H500" t="n">
        <v>0</v>
      </c>
      <c r="I500" t="n">
        <v>0</v>
      </c>
      <c r="J500" t="n">
        <v>0</v>
      </c>
      <c r="K500" t="n">
        <v>0</v>
      </c>
      <c r="L500" t="n">
        <v>0</v>
      </c>
      <c r="M500" t="n">
        <v>0</v>
      </c>
      <c r="N500" t="n">
        <v>0</v>
      </c>
      <c r="O500" t="n">
        <v>0</v>
      </c>
      <c r="P500" t="n">
        <v>0</v>
      </c>
      <c r="Q500" t="n">
        <v>0</v>
      </c>
      <c r="R500" s="2" t="inlineStr"/>
    </row>
    <row r="501" ht="15" customHeight="1">
      <c r="A501" t="inlineStr">
        <is>
          <t>A 53933-2025</t>
        </is>
      </c>
      <c r="B501" s="1" t="n">
        <v>45961.47650462963</v>
      </c>
      <c r="C501" s="1" t="n">
        <v>46109</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54236-2025</t>
        </is>
      </c>
      <c r="B502" s="1" t="n">
        <v>45964.62671296296</v>
      </c>
      <c r="C502" s="1" t="n">
        <v>46109</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6405-2025</t>
        </is>
      </c>
      <c r="B503" s="1" t="n">
        <v>45699.45392361111</v>
      </c>
      <c r="C503" s="1" t="n">
        <v>46109</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36843-2023</t>
        </is>
      </c>
      <c r="B504" s="1" t="n">
        <v>45154.49831018518</v>
      </c>
      <c r="C504" s="1" t="n">
        <v>46109</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53923-2025</t>
        </is>
      </c>
      <c r="B505" s="1" t="n">
        <v>45961.4569212963</v>
      </c>
      <c r="C505" s="1" t="n">
        <v>46109</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53920-2025</t>
        </is>
      </c>
      <c r="B506" s="1" t="n">
        <v>45961.44951388889</v>
      </c>
      <c r="C506" s="1" t="n">
        <v>46109</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54234-2025</t>
        </is>
      </c>
      <c r="B507" s="1" t="n">
        <v>45964.62486111111</v>
      </c>
      <c r="C507" s="1" t="n">
        <v>46109</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33186-2025</t>
        </is>
      </c>
      <c r="B508" s="1" t="n">
        <v>45840.59474537037</v>
      </c>
      <c r="C508" s="1" t="n">
        <v>46109</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57486-2024</t>
        </is>
      </c>
      <c r="B509" s="1" t="n">
        <v>45630.35827546296</v>
      </c>
      <c r="C509" s="1" t="n">
        <v>46109</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53789-2025</t>
        </is>
      </c>
      <c r="B510" s="1" t="n">
        <v>45960</v>
      </c>
      <c r="C510" s="1" t="n">
        <v>46109</v>
      </c>
      <c r="D510" t="inlineStr">
        <is>
          <t>KALMAR LÄN</t>
        </is>
      </c>
      <c r="E510" t="inlineStr">
        <is>
          <t>VIMMERBY</t>
        </is>
      </c>
      <c r="F510" t="inlineStr">
        <is>
          <t>Övriga statliga verk och myndigheter</t>
        </is>
      </c>
      <c r="G510" t="n">
        <v>1.6</v>
      </c>
      <c r="H510" t="n">
        <v>0</v>
      </c>
      <c r="I510" t="n">
        <v>0</v>
      </c>
      <c r="J510" t="n">
        <v>0</v>
      </c>
      <c r="K510" t="n">
        <v>0</v>
      </c>
      <c r="L510" t="n">
        <v>0</v>
      </c>
      <c r="M510" t="n">
        <v>0</v>
      </c>
      <c r="N510" t="n">
        <v>0</v>
      </c>
      <c r="O510" t="n">
        <v>0</v>
      </c>
      <c r="P510" t="n">
        <v>0</v>
      </c>
      <c r="Q510" t="n">
        <v>0</v>
      </c>
      <c r="R510" s="2" t="inlineStr"/>
    </row>
    <row r="511" ht="15" customHeight="1">
      <c r="A511" t="inlineStr">
        <is>
          <t>A 30977-2025</t>
        </is>
      </c>
      <c r="B511" s="1" t="n">
        <v>45832.46649305556</v>
      </c>
      <c r="C511" s="1" t="n">
        <v>46109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53903-2025</t>
        </is>
      </c>
      <c r="B512" s="1" t="n">
        <v>45961.43738425926</v>
      </c>
      <c r="C512" s="1" t="n">
        <v>46109</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54737-2025</t>
        </is>
      </c>
      <c r="B513" s="1" t="n">
        <v>45966.56826388889</v>
      </c>
      <c r="C513" s="1" t="n">
        <v>46109</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44423-2023</t>
        </is>
      </c>
      <c r="B514" s="1" t="n">
        <v>45189</v>
      </c>
      <c r="C514" s="1" t="n">
        <v>46109</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20-2025</t>
        </is>
      </c>
      <c r="B515" s="1" t="n">
        <v>45658.80232638889</v>
      </c>
      <c r="C515" s="1" t="n">
        <v>46109</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23-2025</t>
        </is>
      </c>
      <c r="B516" s="1" t="n">
        <v>45658.80827546296</v>
      </c>
      <c r="C516" s="1" t="n">
        <v>46109</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12821-2026</t>
        </is>
      </c>
      <c r="B517" s="1" t="n">
        <v>46092.41256944444</v>
      </c>
      <c r="C517" s="1" t="n">
        <v>46109</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12820-2026</t>
        </is>
      </c>
      <c r="B518" s="1" t="n">
        <v>46092.40909722223</v>
      </c>
      <c r="C518" s="1" t="n">
        <v>46109</v>
      </c>
      <c r="D518" t="inlineStr">
        <is>
          <t>KALMAR LÄN</t>
        </is>
      </c>
      <c r="E518" t="inlineStr">
        <is>
          <t>VIMMERBY</t>
        </is>
      </c>
      <c r="G518" t="n">
        <v>4.3</v>
      </c>
      <c r="H518" t="n">
        <v>0</v>
      </c>
      <c r="I518" t="n">
        <v>0</v>
      </c>
      <c r="J518" t="n">
        <v>0</v>
      </c>
      <c r="K518" t="n">
        <v>0</v>
      </c>
      <c r="L518" t="n">
        <v>0</v>
      </c>
      <c r="M518" t="n">
        <v>0</v>
      </c>
      <c r="N518" t="n">
        <v>0</v>
      </c>
      <c r="O518" t="n">
        <v>0</v>
      </c>
      <c r="P518" t="n">
        <v>0</v>
      </c>
      <c r="Q518" t="n">
        <v>0</v>
      </c>
      <c r="R518" s="2" t="inlineStr"/>
    </row>
    <row r="519" ht="15" customHeight="1">
      <c r="A519" t="inlineStr">
        <is>
          <t>A 12825-2026</t>
        </is>
      </c>
      <c r="B519" s="1" t="n">
        <v>46092.41561342592</v>
      </c>
      <c r="C519" s="1" t="n">
        <v>46109</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21496-2023</t>
        </is>
      </c>
      <c r="B520" s="1" t="n">
        <v>45063.49936342592</v>
      </c>
      <c r="C520" s="1" t="n">
        <v>46109</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31056-2022</t>
        </is>
      </c>
      <c r="B521" s="1" t="n">
        <v>44769.45805555556</v>
      </c>
      <c r="C521" s="1" t="n">
        <v>46109</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54813-2025</t>
        </is>
      </c>
      <c r="B522" s="1" t="n">
        <v>45966.64881944445</v>
      </c>
      <c r="C522" s="1" t="n">
        <v>46109</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72701-2021</t>
        </is>
      </c>
      <c r="B523" s="1" t="n">
        <v>44546</v>
      </c>
      <c r="C523" s="1" t="n">
        <v>46109</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52294-2023</t>
        </is>
      </c>
      <c r="B524" s="1" t="n">
        <v>45224.60075231481</v>
      </c>
      <c r="C524" s="1" t="n">
        <v>46109</v>
      </c>
      <c r="D524" t="inlineStr">
        <is>
          <t>KALMAR LÄN</t>
        </is>
      </c>
      <c r="E524" t="inlineStr">
        <is>
          <t>VIMMERBY</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61355-2024</t>
        </is>
      </c>
      <c r="B525" s="1" t="n">
        <v>45646.38200231481</v>
      </c>
      <c r="C525" s="1" t="n">
        <v>46109</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12730-2026</t>
        </is>
      </c>
      <c r="B526" s="1" t="n">
        <v>46091</v>
      </c>
      <c r="C526" s="1" t="n">
        <v>46109</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33695-2025</t>
        </is>
      </c>
      <c r="B527" s="1" t="n">
        <v>45841.70569444444</v>
      </c>
      <c r="C527" s="1" t="n">
        <v>46109</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33698-2025</t>
        </is>
      </c>
      <c r="B528" s="1" t="n">
        <v>45841.70868055556</v>
      </c>
      <c r="C528" s="1" t="n">
        <v>46109</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33374-2021</t>
        </is>
      </c>
      <c r="B529" s="1" t="n">
        <v>44377</v>
      </c>
      <c r="C529" s="1" t="n">
        <v>46109</v>
      </c>
      <c r="D529" t="inlineStr">
        <is>
          <t>KALMAR LÄN</t>
        </is>
      </c>
      <c r="E529" t="inlineStr">
        <is>
          <t>VIMMERBY</t>
        </is>
      </c>
      <c r="G529" t="n">
        <v>3.3</v>
      </c>
      <c r="H529" t="n">
        <v>0</v>
      </c>
      <c r="I529" t="n">
        <v>0</v>
      </c>
      <c r="J529" t="n">
        <v>0</v>
      </c>
      <c r="K529" t="n">
        <v>0</v>
      </c>
      <c r="L529" t="n">
        <v>0</v>
      </c>
      <c r="M529" t="n">
        <v>0</v>
      </c>
      <c r="N529" t="n">
        <v>0</v>
      </c>
      <c r="O529" t="n">
        <v>0</v>
      </c>
      <c r="P529" t="n">
        <v>0</v>
      </c>
      <c r="Q529" t="n">
        <v>0</v>
      </c>
      <c r="R529" s="2" t="inlineStr"/>
    </row>
    <row r="530" ht="15" customHeight="1">
      <c r="A530" t="inlineStr">
        <is>
          <t>A 10759-2023</t>
        </is>
      </c>
      <c r="B530" s="1" t="n">
        <v>44988</v>
      </c>
      <c r="C530" s="1" t="n">
        <v>46109</v>
      </c>
      <c r="D530" t="inlineStr">
        <is>
          <t>KALMAR LÄN</t>
        </is>
      </c>
      <c r="E530" t="inlineStr">
        <is>
          <t>VIMMERBY</t>
        </is>
      </c>
      <c r="G530" t="n">
        <v>0.4</v>
      </c>
      <c r="H530" t="n">
        <v>0</v>
      </c>
      <c r="I530" t="n">
        <v>0</v>
      </c>
      <c r="J530" t="n">
        <v>0</v>
      </c>
      <c r="K530" t="n">
        <v>0</v>
      </c>
      <c r="L530" t="n">
        <v>0</v>
      </c>
      <c r="M530" t="n">
        <v>0</v>
      </c>
      <c r="N530" t="n">
        <v>0</v>
      </c>
      <c r="O530" t="n">
        <v>0</v>
      </c>
      <c r="P530" t="n">
        <v>0</v>
      </c>
      <c r="Q530" t="n">
        <v>0</v>
      </c>
      <c r="R530" s="2" t="inlineStr"/>
    </row>
    <row r="531" ht="15" customHeight="1">
      <c r="A531" t="inlineStr">
        <is>
          <t>A 55385-2025</t>
        </is>
      </c>
      <c r="B531" s="1" t="n">
        <v>45971.43350694444</v>
      </c>
      <c r="C531" s="1" t="n">
        <v>46109</v>
      </c>
      <c r="D531" t="inlineStr">
        <is>
          <t>KALMAR LÄN</t>
        </is>
      </c>
      <c r="E531" t="inlineStr">
        <is>
          <t>VIMMERBY</t>
        </is>
      </c>
      <c r="G531" t="n">
        <v>5</v>
      </c>
      <c r="H531" t="n">
        <v>0</v>
      </c>
      <c r="I531" t="n">
        <v>0</v>
      </c>
      <c r="J531" t="n">
        <v>0</v>
      </c>
      <c r="K531" t="n">
        <v>0</v>
      </c>
      <c r="L531" t="n">
        <v>0</v>
      </c>
      <c r="M531" t="n">
        <v>0</v>
      </c>
      <c r="N531" t="n">
        <v>0</v>
      </c>
      <c r="O531" t="n">
        <v>0</v>
      </c>
      <c r="P531" t="n">
        <v>0</v>
      </c>
      <c r="Q531" t="n">
        <v>0</v>
      </c>
      <c r="R531" s="2" t="inlineStr"/>
    </row>
    <row r="532" ht="15" customHeight="1">
      <c r="A532" t="inlineStr">
        <is>
          <t>A 18899-2025</t>
        </is>
      </c>
      <c r="B532" s="1" t="n">
        <v>45764.44931712963</v>
      </c>
      <c r="C532" s="1" t="n">
        <v>46109</v>
      </c>
      <c r="D532" t="inlineStr">
        <is>
          <t>KALMAR LÄN</t>
        </is>
      </c>
      <c r="E532" t="inlineStr">
        <is>
          <t>VIMMERBY</t>
        </is>
      </c>
      <c r="F532" t="inlineStr">
        <is>
          <t>Kommuner</t>
        </is>
      </c>
      <c r="G532" t="n">
        <v>4</v>
      </c>
      <c r="H532" t="n">
        <v>0</v>
      </c>
      <c r="I532" t="n">
        <v>0</v>
      </c>
      <c r="J532" t="n">
        <v>0</v>
      </c>
      <c r="K532" t="n">
        <v>0</v>
      </c>
      <c r="L532" t="n">
        <v>0</v>
      </c>
      <c r="M532" t="n">
        <v>0</v>
      </c>
      <c r="N532" t="n">
        <v>0</v>
      </c>
      <c r="O532" t="n">
        <v>0</v>
      </c>
      <c r="P532" t="n">
        <v>0</v>
      </c>
      <c r="Q532" t="n">
        <v>0</v>
      </c>
      <c r="R532" s="2" t="inlineStr"/>
    </row>
    <row r="533" ht="15" customHeight="1">
      <c r="A533" t="inlineStr">
        <is>
          <t>A 55602-2025</t>
        </is>
      </c>
      <c r="B533" s="1" t="n">
        <v>45971</v>
      </c>
      <c r="C533" s="1" t="n">
        <v>46109</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55603-2025</t>
        </is>
      </c>
      <c r="B534" s="1" t="n">
        <v>45971</v>
      </c>
      <c r="C534" s="1" t="n">
        <v>46109</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55605-2025</t>
        </is>
      </c>
      <c r="B535" s="1" t="n">
        <v>45971</v>
      </c>
      <c r="C535" s="1" t="n">
        <v>46109</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33696-2025</t>
        </is>
      </c>
      <c r="B536" s="1" t="n">
        <v>45841.7072337963</v>
      </c>
      <c r="C536" s="1" t="n">
        <v>46109</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32614-2023</t>
        </is>
      </c>
      <c r="B537" s="1" t="n">
        <v>45121</v>
      </c>
      <c r="C537" s="1" t="n">
        <v>46109</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46109</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28702-2025</t>
        </is>
      </c>
      <c r="B539" s="1" t="n">
        <v>45820.03976851852</v>
      </c>
      <c r="C539" s="1" t="n">
        <v>46109</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6218-2025</t>
        </is>
      </c>
      <c r="B540" s="1" t="n">
        <v>45698.53336805556</v>
      </c>
      <c r="C540" s="1" t="n">
        <v>46109</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40076-2021</t>
        </is>
      </c>
      <c r="B541" s="1" t="n">
        <v>44418</v>
      </c>
      <c r="C541" s="1" t="n">
        <v>46109</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34071-2025</t>
        </is>
      </c>
      <c r="B542" s="1" t="n">
        <v>45845.43803240741</v>
      </c>
      <c r="C542" s="1" t="n">
        <v>46109</v>
      </c>
      <c r="D542" t="inlineStr">
        <is>
          <t>KALMAR LÄN</t>
        </is>
      </c>
      <c r="E542" t="inlineStr">
        <is>
          <t>VIMMERBY</t>
        </is>
      </c>
      <c r="G542" t="n">
        <v>6.8</v>
      </c>
      <c r="H542" t="n">
        <v>0</v>
      </c>
      <c r="I542" t="n">
        <v>0</v>
      </c>
      <c r="J542" t="n">
        <v>0</v>
      </c>
      <c r="K542" t="n">
        <v>0</v>
      </c>
      <c r="L542" t="n">
        <v>0</v>
      </c>
      <c r="M542" t="n">
        <v>0</v>
      </c>
      <c r="N542" t="n">
        <v>0</v>
      </c>
      <c r="O542" t="n">
        <v>0</v>
      </c>
      <c r="P542" t="n">
        <v>0</v>
      </c>
      <c r="Q542" t="n">
        <v>0</v>
      </c>
      <c r="R542" s="2" t="inlineStr"/>
    </row>
    <row r="543" ht="15" customHeight="1">
      <c r="A543" t="inlineStr">
        <is>
          <t>A 34106-2025</t>
        </is>
      </c>
      <c r="B543" s="1" t="n">
        <v>45845.49414351852</v>
      </c>
      <c r="C543" s="1" t="n">
        <v>46109</v>
      </c>
      <c r="D543" t="inlineStr">
        <is>
          <t>KALMAR LÄN</t>
        </is>
      </c>
      <c r="E543" t="inlineStr">
        <is>
          <t>VIMMERBY</t>
        </is>
      </c>
      <c r="G543" t="n">
        <v>6</v>
      </c>
      <c r="H543" t="n">
        <v>0</v>
      </c>
      <c r="I543" t="n">
        <v>0</v>
      </c>
      <c r="J543" t="n">
        <v>0</v>
      </c>
      <c r="K543" t="n">
        <v>0</v>
      </c>
      <c r="L543" t="n">
        <v>0</v>
      </c>
      <c r="M543" t="n">
        <v>0</v>
      </c>
      <c r="N543" t="n">
        <v>0</v>
      </c>
      <c r="O543" t="n">
        <v>0</v>
      </c>
      <c r="P543" t="n">
        <v>0</v>
      </c>
      <c r="Q543" t="n">
        <v>0</v>
      </c>
      <c r="R543" s="2" t="inlineStr"/>
    </row>
    <row r="544" ht="15" customHeight="1">
      <c r="A544" t="inlineStr">
        <is>
          <t>A 26956-2025</t>
        </is>
      </c>
      <c r="B544" s="1" t="n">
        <v>45811.45460648148</v>
      </c>
      <c r="C544" s="1" t="n">
        <v>46109</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13793-2026</t>
        </is>
      </c>
      <c r="B545" s="1" t="n">
        <v>46097.79199074074</v>
      </c>
      <c r="C545" s="1" t="n">
        <v>46109</v>
      </c>
      <c r="D545" t="inlineStr">
        <is>
          <t>KALMAR LÄN</t>
        </is>
      </c>
      <c r="E545" t="inlineStr">
        <is>
          <t>VIMMERBY</t>
        </is>
      </c>
      <c r="G545" t="n">
        <v>2.9</v>
      </c>
      <c r="H545" t="n">
        <v>0</v>
      </c>
      <c r="I545" t="n">
        <v>0</v>
      </c>
      <c r="J545" t="n">
        <v>0</v>
      </c>
      <c r="K545" t="n">
        <v>0</v>
      </c>
      <c r="L545" t="n">
        <v>0</v>
      </c>
      <c r="M545" t="n">
        <v>0</v>
      </c>
      <c r="N545" t="n">
        <v>0</v>
      </c>
      <c r="O545" t="n">
        <v>0</v>
      </c>
      <c r="P545" t="n">
        <v>0</v>
      </c>
      <c r="Q545" t="n">
        <v>0</v>
      </c>
      <c r="R545" s="2" t="inlineStr"/>
    </row>
    <row r="546" ht="15" customHeight="1">
      <c r="A546" t="inlineStr">
        <is>
          <t>A 34628-2025</t>
        </is>
      </c>
      <c r="B546" s="1" t="n">
        <v>45847.91280092593</v>
      </c>
      <c r="C546" s="1" t="n">
        <v>46109</v>
      </c>
      <c r="D546" t="inlineStr">
        <is>
          <t>KALMAR LÄN</t>
        </is>
      </c>
      <c r="E546" t="inlineStr">
        <is>
          <t>VIMMERBY</t>
        </is>
      </c>
      <c r="G546" t="n">
        <v>4.2</v>
      </c>
      <c r="H546" t="n">
        <v>0</v>
      </c>
      <c r="I546" t="n">
        <v>0</v>
      </c>
      <c r="J546" t="n">
        <v>0</v>
      </c>
      <c r="K546" t="n">
        <v>0</v>
      </c>
      <c r="L546" t="n">
        <v>0</v>
      </c>
      <c r="M546" t="n">
        <v>0</v>
      </c>
      <c r="N546" t="n">
        <v>0</v>
      </c>
      <c r="O546" t="n">
        <v>0</v>
      </c>
      <c r="P546" t="n">
        <v>0</v>
      </c>
      <c r="Q546" t="n">
        <v>0</v>
      </c>
      <c r="R546" s="2" t="inlineStr"/>
    </row>
    <row r="547" ht="15" customHeight="1">
      <c r="A547" t="inlineStr">
        <is>
          <t>A 13667-2026</t>
        </is>
      </c>
      <c r="B547" s="1" t="n">
        <v>46097</v>
      </c>
      <c r="C547" s="1" t="n">
        <v>46109</v>
      </c>
      <c r="D547" t="inlineStr">
        <is>
          <t>KALMAR LÄN</t>
        </is>
      </c>
      <c r="E547" t="inlineStr">
        <is>
          <t>VIMMERBY</t>
        </is>
      </c>
      <c r="G547" t="n">
        <v>6.8</v>
      </c>
      <c r="H547" t="n">
        <v>0</v>
      </c>
      <c r="I547" t="n">
        <v>0</v>
      </c>
      <c r="J547" t="n">
        <v>0</v>
      </c>
      <c r="K547" t="n">
        <v>0</v>
      </c>
      <c r="L547" t="n">
        <v>0</v>
      </c>
      <c r="M547" t="n">
        <v>0</v>
      </c>
      <c r="N547" t="n">
        <v>0</v>
      </c>
      <c r="O547" t="n">
        <v>0</v>
      </c>
      <c r="P547" t="n">
        <v>0</v>
      </c>
      <c r="Q547" t="n">
        <v>0</v>
      </c>
      <c r="R547" s="2" t="inlineStr"/>
    </row>
    <row r="548" ht="15" customHeight="1">
      <c r="A548" t="inlineStr">
        <is>
          <t>A 13714-2026</t>
        </is>
      </c>
      <c r="B548" s="1" t="n">
        <v>46097.58472222222</v>
      </c>
      <c r="C548" s="1" t="n">
        <v>46109</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12588-2025</t>
        </is>
      </c>
      <c r="B549" s="1" t="n">
        <v>45732.76936342593</v>
      </c>
      <c r="C549" s="1" t="n">
        <v>46109</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25979-2023</t>
        </is>
      </c>
      <c r="B550" s="1" t="n">
        <v>45090.89653935185</v>
      </c>
      <c r="C550" s="1" t="n">
        <v>46109</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25980-2023</t>
        </is>
      </c>
      <c r="B551" s="1" t="n">
        <v>45090.89880787037</v>
      </c>
      <c r="C551" s="1" t="n">
        <v>46109</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46921-2023</t>
        </is>
      </c>
      <c r="B552" s="1" t="n">
        <v>45201.39996527778</v>
      </c>
      <c r="C552" s="1" t="n">
        <v>46109</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10837-2023</t>
        </is>
      </c>
      <c r="B553" s="1" t="n">
        <v>44991.30547453704</v>
      </c>
      <c r="C553" s="1" t="n">
        <v>46109</v>
      </c>
      <c r="D553" t="inlineStr">
        <is>
          <t>KALMAR LÄN</t>
        </is>
      </c>
      <c r="E553" t="inlineStr">
        <is>
          <t>VIMMERBY</t>
        </is>
      </c>
      <c r="G553" t="n">
        <v>7.3</v>
      </c>
      <c r="H553" t="n">
        <v>0</v>
      </c>
      <c r="I553" t="n">
        <v>0</v>
      </c>
      <c r="J553" t="n">
        <v>0</v>
      </c>
      <c r="K553" t="n">
        <v>0</v>
      </c>
      <c r="L553" t="n">
        <v>0</v>
      </c>
      <c r="M553" t="n">
        <v>0</v>
      </c>
      <c r="N553" t="n">
        <v>0</v>
      </c>
      <c r="O553" t="n">
        <v>0</v>
      </c>
      <c r="P553" t="n">
        <v>0</v>
      </c>
      <c r="Q553" t="n">
        <v>0</v>
      </c>
      <c r="R553" s="2" t="inlineStr"/>
    </row>
    <row r="554" ht="15" customHeight="1">
      <c r="A554" t="inlineStr">
        <is>
          <t>A 10838-2023</t>
        </is>
      </c>
      <c r="B554" s="1" t="n">
        <v>44991</v>
      </c>
      <c r="C554" s="1" t="n">
        <v>46109</v>
      </c>
      <c r="D554" t="inlineStr">
        <is>
          <t>KALMAR LÄN</t>
        </is>
      </c>
      <c r="E554" t="inlineStr">
        <is>
          <t>VIMMERBY</t>
        </is>
      </c>
      <c r="G554" t="n">
        <v>5.1</v>
      </c>
      <c r="H554" t="n">
        <v>0</v>
      </c>
      <c r="I554" t="n">
        <v>0</v>
      </c>
      <c r="J554" t="n">
        <v>0</v>
      </c>
      <c r="K554" t="n">
        <v>0</v>
      </c>
      <c r="L554" t="n">
        <v>0</v>
      </c>
      <c r="M554" t="n">
        <v>0</v>
      </c>
      <c r="N554" t="n">
        <v>0</v>
      </c>
      <c r="O554" t="n">
        <v>0</v>
      </c>
      <c r="P554" t="n">
        <v>0</v>
      </c>
      <c r="Q554" t="n">
        <v>0</v>
      </c>
      <c r="R554" s="2" t="inlineStr"/>
    </row>
    <row r="555" ht="15" customHeight="1">
      <c r="A555" t="inlineStr">
        <is>
          <t>A 35270-2025</t>
        </is>
      </c>
      <c r="B555" s="1" t="n">
        <v>45853.87112268519</v>
      </c>
      <c r="C555" s="1" t="n">
        <v>46109</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30912-2023</t>
        </is>
      </c>
      <c r="B556" s="1" t="n">
        <v>45113.41633101852</v>
      </c>
      <c r="C556" s="1" t="n">
        <v>46109</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35271-2025</t>
        </is>
      </c>
      <c r="B557" s="1" t="n">
        <v>45853.87599537037</v>
      </c>
      <c r="C557" s="1" t="n">
        <v>46109</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35272-2025</t>
        </is>
      </c>
      <c r="B558" s="1" t="n">
        <v>45853.88070601852</v>
      </c>
      <c r="C558" s="1" t="n">
        <v>46109</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16953-2025</t>
        </is>
      </c>
      <c r="B559" s="1" t="n">
        <v>45755.44333333334</v>
      </c>
      <c r="C559" s="1" t="n">
        <v>46109</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55436-2023</t>
        </is>
      </c>
      <c r="B560" s="1" t="n">
        <v>45238.4328587963</v>
      </c>
      <c r="C560" s="1" t="n">
        <v>46109</v>
      </c>
      <c r="D560" t="inlineStr">
        <is>
          <t>KALMAR LÄN</t>
        </is>
      </c>
      <c r="E560" t="inlineStr">
        <is>
          <t>VIMMERBY</t>
        </is>
      </c>
      <c r="G560" t="n">
        <v>5.6</v>
      </c>
      <c r="H560" t="n">
        <v>0</v>
      </c>
      <c r="I560" t="n">
        <v>0</v>
      </c>
      <c r="J560" t="n">
        <v>0</v>
      </c>
      <c r="K560" t="n">
        <v>0</v>
      </c>
      <c r="L560" t="n">
        <v>0</v>
      </c>
      <c r="M560" t="n">
        <v>0</v>
      </c>
      <c r="N560" t="n">
        <v>0</v>
      </c>
      <c r="O560" t="n">
        <v>0</v>
      </c>
      <c r="P560" t="n">
        <v>0</v>
      </c>
      <c r="Q560" t="n">
        <v>0</v>
      </c>
      <c r="R560" s="2" t="inlineStr"/>
    </row>
    <row r="561" ht="15" customHeight="1">
      <c r="A561" t="inlineStr">
        <is>
          <t>A 14320-2026</t>
        </is>
      </c>
      <c r="B561" s="1" t="n">
        <v>46099.88449074074</v>
      </c>
      <c r="C561" s="1" t="n">
        <v>46109</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21507-2023</t>
        </is>
      </c>
      <c r="B562" s="1" t="n">
        <v>45063.508125</v>
      </c>
      <c r="C562" s="1" t="n">
        <v>46109</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51187-2023</t>
        </is>
      </c>
      <c r="B563" s="1" t="n">
        <v>45219.40528935185</v>
      </c>
      <c r="C563" s="1" t="n">
        <v>46109</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14279-2026</t>
        </is>
      </c>
      <c r="B564" s="1" t="n">
        <v>46099.66826388889</v>
      </c>
      <c r="C564" s="1" t="n">
        <v>46109</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14318-2026</t>
        </is>
      </c>
      <c r="B565" s="1" t="n">
        <v>46099.87961805556</v>
      </c>
      <c r="C565" s="1" t="n">
        <v>46109</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35597-2025</t>
        </is>
      </c>
      <c r="B566" s="1" t="n">
        <v>45858.66019675926</v>
      </c>
      <c r="C566" s="1" t="n">
        <v>46109</v>
      </c>
      <c r="D566" t="inlineStr">
        <is>
          <t>KALMAR LÄN</t>
        </is>
      </c>
      <c r="E566" t="inlineStr">
        <is>
          <t>VIMMERBY</t>
        </is>
      </c>
      <c r="G566" t="n">
        <v>6.4</v>
      </c>
      <c r="H566" t="n">
        <v>0</v>
      </c>
      <c r="I566" t="n">
        <v>0</v>
      </c>
      <c r="J566" t="n">
        <v>0</v>
      </c>
      <c r="K566" t="n">
        <v>0</v>
      </c>
      <c r="L566" t="n">
        <v>0</v>
      </c>
      <c r="M566" t="n">
        <v>0</v>
      </c>
      <c r="N566" t="n">
        <v>0</v>
      </c>
      <c r="O566" t="n">
        <v>0</v>
      </c>
      <c r="P566" t="n">
        <v>0</v>
      </c>
      <c r="Q566" t="n">
        <v>0</v>
      </c>
      <c r="R566" s="2" t="inlineStr"/>
    </row>
    <row r="567" ht="15" customHeight="1">
      <c r="A567" t="inlineStr">
        <is>
          <t>A 13290-2025</t>
        </is>
      </c>
      <c r="B567" s="1" t="n">
        <v>45735.56751157407</v>
      </c>
      <c r="C567" s="1" t="n">
        <v>46109</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6817-2026</t>
        </is>
      </c>
      <c r="B568" s="1" t="n">
        <v>46057.38412037037</v>
      </c>
      <c r="C568" s="1" t="n">
        <v>46109</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14277-2026</t>
        </is>
      </c>
      <c r="B569" s="1" t="n">
        <v>46099.66305555555</v>
      </c>
      <c r="C569" s="1" t="n">
        <v>46109</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45560-2021</t>
        </is>
      </c>
      <c r="B570" s="1" t="n">
        <v>44440</v>
      </c>
      <c r="C570" s="1" t="n">
        <v>46109</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35596-2025</t>
        </is>
      </c>
      <c r="B571" s="1" t="n">
        <v>45858.60641203704</v>
      </c>
      <c r="C571" s="1" t="n">
        <v>46109</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16622-2025</t>
        </is>
      </c>
      <c r="B572" s="1" t="n">
        <v>45754.33641203704</v>
      </c>
      <c r="C572" s="1" t="n">
        <v>46109</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19502-2025</t>
        </is>
      </c>
      <c r="B573" s="1" t="n">
        <v>45769</v>
      </c>
      <c r="C573" s="1" t="n">
        <v>46109</v>
      </c>
      <c r="D573" t="inlineStr">
        <is>
          <t>KALMAR LÄN</t>
        </is>
      </c>
      <c r="E573" t="inlineStr">
        <is>
          <t>VIMMERBY</t>
        </is>
      </c>
      <c r="G573" t="n">
        <v>1.9</v>
      </c>
      <c r="H573" t="n">
        <v>0</v>
      </c>
      <c r="I573" t="n">
        <v>0</v>
      </c>
      <c r="J573" t="n">
        <v>0</v>
      </c>
      <c r="K573" t="n">
        <v>0</v>
      </c>
      <c r="L573" t="n">
        <v>0</v>
      </c>
      <c r="M573" t="n">
        <v>0</v>
      </c>
      <c r="N573" t="n">
        <v>0</v>
      </c>
      <c r="O573" t="n">
        <v>0</v>
      </c>
      <c r="P573" t="n">
        <v>0</v>
      </c>
      <c r="Q573" t="n">
        <v>0</v>
      </c>
      <c r="R573" s="2" t="inlineStr"/>
    </row>
    <row r="574" ht="15" customHeight="1">
      <c r="A574" t="inlineStr">
        <is>
          <t>A 14793-2026</t>
        </is>
      </c>
      <c r="B574" s="1" t="n">
        <v>46101.92108796296</v>
      </c>
      <c r="C574" s="1" t="n">
        <v>46109</v>
      </c>
      <c r="D574" t="inlineStr">
        <is>
          <t>KALMAR LÄN</t>
        </is>
      </c>
      <c r="E574" t="inlineStr">
        <is>
          <t>VIMMERBY</t>
        </is>
      </c>
      <c r="G574" t="n">
        <v>5.7</v>
      </c>
      <c r="H574" t="n">
        <v>0</v>
      </c>
      <c r="I574" t="n">
        <v>0</v>
      </c>
      <c r="J574" t="n">
        <v>0</v>
      </c>
      <c r="K574" t="n">
        <v>0</v>
      </c>
      <c r="L574" t="n">
        <v>0</v>
      </c>
      <c r="M574" t="n">
        <v>0</v>
      </c>
      <c r="N574" t="n">
        <v>0</v>
      </c>
      <c r="O574" t="n">
        <v>0</v>
      </c>
      <c r="P574" t="n">
        <v>0</v>
      </c>
      <c r="Q574" t="n">
        <v>0</v>
      </c>
      <c r="R574" s="2" t="inlineStr"/>
    </row>
    <row r="575" ht="15" customHeight="1">
      <c r="A575" t="inlineStr">
        <is>
          <t>A 31340-2023</t>
        </is>
      </c>
      <c r="B575" s="1" t="n">
        <v>45114.47895833333</v>
      </c>
      <c r="C575" s="1" t="n">
        <v>46109</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29168-2024</t>
        </is>
      </c>
      <c r="B576" s="1" t="n">
        <v>45482.49870370371</v>
      </c>
      <c r="C576" s="1" t="n">
        <v>46109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29186-2024</t>
        </is>
      </c>
      <c r="B577" s="1" t="n">
        <v>45482.54844907407</v>
      </c>
      <c r="C577" s="1" t="n">
        <v>46109</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35895-2024</t>
        </is>
      </c>
      <c r="B578" s="1" t="n">
        <v>45533.38870370371</v>
      </c>
      <c r="C578" s="1" t="n">
        <v>46109</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12590-2025</t>
        </is>
      </c>
      <c r="B579" s="1" t="n">
        <v>45732.79925925926</v>
      </c>
      <c r="C579" s="1" t="n">
        <v>46109</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36273-2025</t>
        </is>
      </c>
      <c r="B580" s="1" t="n">
        <v>45867.63094907408</v>
      </c>
      <c r="C580" s="1" t="n">
        <v>46109</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30318-2023</t>
        </is>
      </c>
      <c r="B581" s="1" t="n">
        <v>45111.30824074074</v>
      </c>
      <c r="C581" s="1" t="n">
        <v>46109</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36299-2025</t>
        </is>
      </c>
      <c r="B582" s="1" t="n">
        <v>45867.69346064814</v>
      </c>
      <c r="C582" s="1" t="n">
        <v>46109</v>
      </c>
      <c r="D582" t="inlineStr">
        <is>
          <t>KALMAR LÄN</t>
        </is>
      </c>
      <c r="E582" t="inlineStr">
        <is>
          <t>VIMMERBY</t>
        </is>
      </c>
      <c r="G582" t="n">
        <v>7.6</v>
      </c>
      <c r="H582" t="n">
        <v>0</v>
      </c>
      <c r="I582" t="n">
        <v>0</v>
      </c>
      <c r="J582" t="n">
        <v>0</v>
      </c>
      <c r="K582" t="n">
        <v>0</v>
      </c>
      <c r="L582" t="n">
        <v>0</v>
      </c>
      <c r="M582" t="n">
        <v>0</v>
      </c>
      <c r="N582" t="n">
        <v>0</v>
      </c>
      <c r="O582" t="n">
        <v>0</v>
      </c>
      <c r="P582" t="n">
        <v>0</v>
      </c>
      <c r="Q582" t="n">
        <v>0</v>
      </c>
      <c r="R582" s="2" t="inlineStr"/>
    </row>
    <row r="583" ht="15" customHeight="1">
      <c r="A583" t="inlineStr">
        <is>
          <t>A 15054-2026</t>
        </is>
      </c>
      <c r="B583" s="1" t="n">
        <v>46104.6815162037</v>
      </c>
      <c r="C583" s="1" t="n">
        <v>46109</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43186-2021</t>
        </is>
      </c>
      <c r="B584" s="1" t="n">
        <v>44431.84840277778</v>
      </c>
      <c r="C584" s="1" t="n">
        <v>46109</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36221-2025</t>
        </is>
      </c>
      <c r="B585" s="1" t="n">
        <v>45867.50792824074</v>
      </c>
      <c r="C585" s="1" t="n">
        <v>46109</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36226-2025</t>
        </is>
      </c>
      <c r="B586" s="1" t="n">
        <v>45867.51630787037</v>
      </c>
      <c r="C586" s="1" t="n">
        <v>46109</v>
      </c>
      <c r="D586" t="inlineStr">
        <is>
          <t>KALMAR LÄN</t>
        </is>
      </c>
      <c r="E586" t="inlineStr">
        <is>
          <t>VIMMERBY</t>
        </is>
      </c>
      <c r="G586" t="n">
        <v>3.1</v>
      </c>
      <c r="H586" t="n">
        <v>0</v>
      </c>
      <c r="I586" t="n">
        <v>0</v>
      </c>
      <c r="J586" t="n">
        <v>0</v>
      </c>
      <c r="K586" t="n">
        <v>0</v>
      </c>
      <c r="L586" t="n">
        <v>0</v>
      </c>
      <c r="M586" t="n">
        <v>0</v>
      </c>
      <c r="N586" t="n">
        <v>0</v>
      </c>
      <c r="O586" t="n">
        <v>0</v>
      </c>
      <c r="P586" t="n">
        <v>0</v>
      </c>
      <c r="Q586" t="n">
        <v>0</v>
      </c>
      <c r="R586" s="2" t="inlineStr"/>
    </row>
    <row r="587" ht="15" customHeight="1">
      <c r="A587" t="inlineStr">
        <is>
          <t>A 60215-2022</t>
        </is>
      </c>
      <c r="B587" s="1" t="n">
        <v>44910.41346064815</v>
      </c>
      <c r="C587" s="1" t="n">
        <v>46109</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60230-2022</t>
        </is>
      </c>
      <c r="B588" s="1" t="n">
        <v>44910</v>
      </c>
      <c r="C588" s="1" t="n">
        <v>46109</v>
      </c>
      <c r="D588" t="inlineStr">
        <is>
          <t>KALMAR LÄN</t>
        </is>
      </c>
      <c r="E588" t="inlineStr">
        <is>
          <t>VIMMERBY</t>
        </is>
      </c>
      <c r="G588" t="n">
        <v>11.3</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44598.7384837963</v>
      </c>
      <c r="C589" s="1" t="n">
        <v>46109</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845-2023</t>
        </is>
      </c>
      <c r="B590" s="1" t="n">
        <v>44931</v>
      </c>
      <c r="C590" s="1" t="n">
        <v>46109</v>
      </c>
      <c r="D590" t="inlineStr">
        <is>
          <t>KALMAR LÄN</t>
        </is>
      </c>
      <c r="E590" t="inlineStr">
        <is>
          <t>VIMMERBY</t>
        </is>
      </c>
      <c r="F590" t="inlineStr">
        <is>
          <t>Övriga Aktiebolag</t>
        </is>
      </c>
      <c r="G590" t="n">
        <v>19</v>
      </c>
      <c r="H590" t="n">
        <v>0</v>
      </c>
      <c r="I590" t="n">
        <v>0</v>
      </c>
      <c r="J590" t="n">
        <v>0</v>
      </c>
      <c r="K590" t="n">
        <v>0</v>
      </c>
      <c r="L590" t="n">
        <v>0</v>
      </c>
      <c r="M590" t="n">
        <v>0</v>
      </c>
      <c r="N590" t="n">
        <v>0</v>
      </c>
      <c r="O590" t="n">
        <v>0</v>
      </c>
      <c r="P590" t="n">
        <v>0</v>
      </c>
      <c r="Q590" t="n">
        <v>0</v>
      </c>
      <c r="R590" s="2" t="inlineStr"/>
    </row>
    <row r="591" ht="15" customHeight="1">
      <c r="A591" t="inlineStr">
        <is>
          <t>A 36297-2025</t>
        </is>
      </c>
      <c r="B591" s="1" t="n">
        <v>45867.68625</v>
      </c>
      <c r="C591" s="1" t="n">
        <v>46109</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36246-2025</t>
        </is>
      </c>
      <c r="B592" s="1" t="n">
        <v>45867.56320601852</v>
      </c>
      <c r="C592" s="1" t="n">
        <v>46109</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16119-2023</t>
        </is>
      </c>
      <c r="B593" s="1" t="n">
        <v>45027.59450231482</v>
      </c>
      <c r="C593" s="1" t="n">
        <v>46109</v>
      </c>
      <c r="D593" t="inlineStr">
        <is>
          <t>KALMAR LÄN</t>
        </is>
      </c>
      <c r="E593" t="inlineStr">
        <is>
          <t>VIMMERBY</t>
        </is>
      </c>
      <c r="F593" t="inlineStr">
        <is>
          <t>Kommuner</t>
        </is>
      </c>
      <c r="G593" t="n">
        <v>4.4</v>
      </c>
      <c r="H593" t="n">
        <v>0</v>
      </c>
      <c r="I593" t="n">
        <v>0</v>
      </c>
      <c r="J593" t="n">
        <v>0</v>
      </c>
      <c r="K593" t="n">
        <v>0</v>
      </c>
      <c r="L593" t="n">
        <v>0</v>
      </c>
      <c r="M593" t="n">
        <v>0</v>
      </c>
      <c r="N593" t="n">
        <v>0</v>
      </c>
      <c r="O593" t="n">
        <v>0</v>
      </c>
      <c r="P593" t="n">
        <v>0</v>
      </c>
      <c r="Q593" t="n">
        <v>0</v>
      </c>
      <c r="R593" s="2" t="inlineStr"/>
    </row>
    <row r="594" ht="15" customHeight="1">
      <c r="A594" t="inlineStr">
        <is>
          <t>A 36282-2025</t>
        </is>
      </c>
      <c r="B594" s="1" t="n">
        <v>45867.64663194444</v>
      </c>
      <c r="C594" s="1" t="n">
        <v>46109</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36538-2025</t>
        </is>
      </c>
      <c r="B595" s="1" t="n">
        <v>45869.62276620371</v>
      </c>
      <c r="C595" s="1" t="n">
        <v>46109</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30588-2023</t>
        </is>
      </c>
      <c r="B596" s="1" t="n">
        <v>45112.33599537037</v>
      </c>
      <c r="C596" s="1" t="n">
        <v>46109</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14792-2026</t>
        </is>
      </c>
      <c r="B597" s="1" t="n">
        <v>46101.91993055555</v>
      </c>
      <c r="C597" s="1" t="n">
        <v>46109</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36598-2025</t>
        </is>
      </c>
      <c r="B598" s="1" t="n">
        <v>45870.51708333333</v>
      </c>
      <c r="C598" s="1" t="n">
        <v>46109</v>
      </c>
      <c r="D598" t="inlineStr">
        <is>
          <t>KALMAR LÄN</t>
        </is>
      </c>
      <c r="E598" t="inlineStr">
        <is>
          <t>VIMMERBY</t>
        </is>
      </c>
      <c r="G598" t="n">
        <v>3.7</v>
      </c>
      <c r="H598" t="n">
        <v>0</v>
      </c>
      <c r="I598" t="n">
        <v>0</v>
      </c>
      <c r="J598" t="n">
        <v>0</v>
      </c>
      <c r="K598" t="n">
        <v>0</v>
      </c>
      <c r="L598" t="n">
        <v>0</v>
      </c>
      <c r="M598" t="n">
        <v>0</v>
      </c>
      <c r="N598" t="n">
        <v>0</v>
      </c>
      <c r="O598" t="n">
        <v>0</v>
      </c>
      <c r="P598" t="n">
        <v>0</v>
      </c>
      <c r="Q598" t="n">
        <v>0</v>
      </c>
      <c r="R598" s="2" t="inlineStr"/>
    </row>
    <row r="599" ht="15" customHeight="1">
      <c r="A599" t="inlineStr">
        <is>
          <t>A 36602-2025</t>
        </is>
      </c>
      <c r="B599" s="1" t="n">
        <v>45870.52111111111</v>
      </c>
      <c r="C599" s="1" t="n">
        <v>46109</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45528-2021</t>
        </is>
      </c>
      <c r="B600" s="1" t="n">
        <v>44440.60415509259</v>
      </c>
      <c r="C600" s="1" t="n">
        <v>46109</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36600-2025</t>
        </is>
      </c>
      <c r="B601" s="1" t="n">
        <v>45870.51958333333</v>
      </c>
      <c r="C601" s="1" t="n">
        <v>46109</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36601-2025</t>
        </is>
      </c>
      <c r="B602" s="1" t="n">
        <v>45870.52005787037</v>
      </c>
      <c r="C602" s="1" t="n">
        <v>46109</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36603-2025</t>
        </is>
      </c>
      <c r="B603" s="1" t="n">
        <v>45870.52142361111</v>
      </c>
      <c r="C603" s="1" t="n">
        <v>46109</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16516-2023</t>
        </is>
      </c>
      <c r="B604" s="1" t="n">
        <v>45029</v>
      </c>
      <c r="C604" s="1" t="n">
        <v>46109</v>
      </c>
      <c r="D604" t="inlineStr">
        <is>
          <t>KALMAR LÄN</t>
        </is>
      </c>
      <c r="E604" t="inlineStr">
        <is>
          <t>VIMMERBY</t>
        </is>
      </c>
      <c r="G604" t="n">
        <v>4.3</v>
      </c>
      <c r="H604" t="n">
        <v>0</v>
      </c>
      <c r="I604" t="n">
        <v>0</v>
      </c>
      <c r="J604" t="n">
        <v>0</v>
      </c>
      <c r="K604" t="n">
        <v>0</v>
      </c>
      <c r="L604" t="n">
        <v>0</v>
      </c>
      <c r="M604" t="n">
        <v>0</v>
      </c>
      <c r="N604" t="n">
        <v>0</v>
      </c>
      <c r="O604" t="n">
        <v>0</v>
      </c>
      <c r="P604" t="n">
        <v>0</v>
      </c>
      <c r="Q604" t="n">
        <v>0</v>
      </c>
      <c r="R604" s="2" t="inlineStr"/>
    </row>
    <row r="605" ht="15" customHeight="1">
      <c r="A605" t="inlineStr">
        <is>
          <t>A 2510-2023</t>
        </is>
      </c>
      <c r="B605" s="1" t="n">
        <v>44943.57309027778</v>
      </c>
      <c r="C605" s="1" t="n">
        <v>46109</v>
      </c>
      <c r="D605" t="inlineStr">
        <is>
          <t>KALMAR LÄN</t>
        </is>
      </c>
      <c r="E605" t="inlineStr">
        <is>
          <t>VIMMERBY</t>
        </is>
      </c>
      <c r="G605" t="n">
        <v>8.6</v>
      </c>
      <c r="H605" t="n">
        <v>0</v>
      </c>
      <c r="I605" t="n">
        <v>0</v>
      </c>
      <c r="J605" t="n">
        <v>0</v>
      </c>
      <c r="K605" t="n">
        <v>0</v>
      </c>
      <c r="L605" t="n">
        <v>0</v>
      </c>
      <c r="M605" t="n">
        <v>0</v>
      </c>
      <c r="N605" t="n">
        <v>0</v>
      </c>
      <c r="O605" t="n">
        <v>0</v>
      </c>
      <c r="P605" t="n">
        <v>0</v>
      </c>
      <c r="Q605" t="n">
        <v>0</v>
      </c>
      <c r="R605" s="2" t="inlineStr"/>
    </row>
    <row r="606" ht="15" customHeight="1">
      <c r="A606" t="inlineStr">
        <is>
          <t>A 48373-2021</t>
        </is>
      </c>
      <c r="B606" s="1" t="n">
        <v>44451</v>
      </c>
      <c r="C606" s="1" t="n">
        <v>46109</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7485-2024</t>
        </is>
      </c>
      <c r="B607" s="1" t="n">
        <v>45346.67184027778</v>
      </c>
      <c r="C607" s="1" t="n">
        <v>46109</v>
      </c>
      <c r="D607" t="inlineStr">
        <is>
          <t>KALMAR LÄN</t>
        </is>
      </c>
      <c r="E607" t="inlineStr">
        <is>
          <t>VIMMERBY</t>
        </is>
      </c>
      <c r="G607" t="n">
        <v>1.9</v>
      </c>
      <c r="H607" t="n">
        <v>0</v>
      </c>
      <c r="I607" t="n">
        <v>0</v>
      </c>
      <c r="J607" t="n">
        <v>0</v>
      </c>
      <c r="K607" t="n">
        <v>0</v>
      </c>
      <c r="L607" t="n">
        <v>0</v>
      </c>
      <c r="M607" t="n">
        <v>0</v>
      </c>
      <c r="N607" t="n">
        <v>0</v>
      </c>
      <c r="O607" t="n">
        <v>0</v>
      </c>
      <c r="P607" t="n">
        <v>0</v>
      </c>
      <c r="Q607" t="n">
        <v>0</v>
      </c>
      <c r="R607" s="2" t="inlineStr"/>
    </row>
    <row r="608" ht="15" customHeight="1">
      <c r="A608" t="inlineStr">
        <is>
          <t>A 15205-2026</t>
        </is>
      </c>
      <c r="B608" s="1" t="n">
        <v>46105.48628472222</v>
      </c>
      <c r="C608" s="1" t="n">
        <v>46109</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6574-2023</t>
        </is>
      </c>
      <c r="B609" s="1" t="n">
        <v>44966</v>
      </c>
      <c r="C609" s="1" t="n">
        <v>46109</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20054-2023</t>
        </is>
      </c>
      <c r="B610" s="1" t="n">
        <v>45054.6750462963</v>
      </c>
      <c r="C610" s="1" t="n">
        <v>46109</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58750-2022</t>
        </is>
      </c>
      <c r="B611" s="1" t="n">
        <v>44903.33363425926</v>
      </c>
      <c r="C611" s="1" t="n">
        <v>46109</v>
      </c>
      <c r="D611" t="inlineStr">
        <is>
          <t>KALMAR LÄN</t>
        </is>
      </c>
      <c r="E611" t="inlineStr">
        <is>
          <t>VIMMERBY</t>
        </is>
      </c>
      <c r="G611" t="n">
        <v>3.3</v>
      </c>
      <c r="H611" t="n">
        <v>0</v>
      </c>
      <c r="I611" t="n">
        <v>0</v>
      </c>
      <c r="J611" t="n">
        <v>0</v>
      </c>
      <c r="K611" t="n">
        <v>0</v>
      </c>
      <c r="L611" t="n">
        <v>0</v>
      </c>
      <c r="M611" t="n">
        <v>0</v>
      </c>
      <c r="N611" t="n">
        <v>0</v>
      </c>
      <c r="O611" t="n">
        <v>0</v>
      </c>
      <c r="P611" t="n">
        <v>0</v>
      </c>
      <c r="Q611" t="n">
        <v>0</v>
      </c>
      <c r="R611" s="2" t="inlineStr"/>
    </row>
    <row r="612" ht="15" customHeight="1">
      <c r="A612" t="inlineStr">
        <is>
          <t>A 36934-2025</t>
        </is>
      </c>
      <c r="B612" s="1" t="n">
        <v>45874.57109953704</v>
      </c>
      <c r="C612" s="1" t="n">
        <v>46109</v>
      </c>
      <c r="D612" t="inlineStr">
        <is>
          <t>KALMAR LÄN</t>
        </is>
      </c>
      <c r="E612" t="inlineStr">
        <is>
          <t>VIMMERBY</t>
        </is>
      </c>
      <c r="G612" t="n">
        <v>4.2</v>
      </c>
      <c r="H612" t="n">
        <v>0</v>
      </c>
      <c r="I612" t="n">
        <v>0</v>
      </c>
      <c r="J612" t="n">
        <v>0</v>
      </c>
      <c r="K612" t="n">
        <v>0</v>
      </c>
      <c r="L612" t="n">
        <v>0</v>
      </c>
      <c r="M612" t="n">
        <v>0</v>
      </c>
      <c r="N612" t="n">
        <v>0</v>
      </c>
      <c r="O612" t="n">
        <v>0</v>
      </c>
      <c r="P612" t="n">
        <v>0</v>
      </c>
      <c r="Q612" t="n">
        <v>0</v>
      </c>
      <c r="R612" s="2" t="inlineStr"/>
    </row>
    <row r="613" ht="15" customHeight="1">
      <c r="A613" t="inlineStr">
        <is>
          <t>A 8696-2026</t>
        </is>
      </c>
      <c r="B613" s="1" t="n">
        <v>46066.45273148148</v>
      </c>
      <c r="C613" s="1" t="n">
        <v>46109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2260-2022</t>
        </is>
      </c>
      <c r="B614" s="1" t="n">
        <v>44578.62943287037</v>
      </c>
      <c r="C614" s="1" t="n">
        <v>46109</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50860-2022</t>
        </is>
      </c>
      <c r="B615" s="1" t="n">
        <v>44867</v>
      </c>
      <c r="C615" s="1" t="n">
        <v>46109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53483-2022</t>
        </is>
      </c>
      <c r="B616" s="1" t="n">
        <v>44879.55940972222</v>
      </c>
      <c r="C616" s="1" t="n">
        <v>46109</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58962-2022</t>
        </is>
      </c>
      <c r="B617" s="1" t="n">
        <v>44903</v>
      </c>
      <c r="C617" s="1" t="n">
        <v>46109</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37088-2025</t>
        </is>
      </c>
      <c r="B618" s="1" t="n">
        <v>45875.45716435185</v>
      </c>
      <c r="C618" s="1" t="n">
        <v>46109</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37102-2025</t>
        </is>
      </c>
      <c r="B619" s="1" t="n">
        <v>45875.47454861111</v>
      </c>
      <c r="C619" s="1" t="n">
        <v>46109</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58967-2022</t>
        </is>
      </c>
      <c r="B620" s="1" t="n">
        <v>44896</v>
      </c>
      <c r="C620" s="1" t="n">
        <v>46109</v>
      </c>
      <c r="D620" t="inlineStr">
        <is>
          <t>KALMAR LÄN</t>
        </is>
      </c>
      <c r="E620" t="inlineStr">
        <is>
          <t>VIMMERBY</t>
        </is>
      </c>
      <c r="G620" t="n">
        <v>5</v>
      </c>
      <c r="H620" t="n">
        <v>0</v>
      </c>
      <c r="I620" t="n">
        <v>0</v>
      </c>
      <c r="J620" t="n">
        <v>0</v>
      </c>
      <c r="K620" t="n">
        <v>0</v>
      </c>
      <c r="L620" t="n">
        <v>0</v>
      </c>
      <c r="M620" t="n">
        <v>0</v>
      </c>
      <c r="N620" t="n">
        <v>0</v>
      </c>
      <c r="O620" t="n">
        <v>0</v>
      </c>
      <c r="P620" t="n">
        <v>0</v>
      </c>
      <c r="Q620" t="n">
        <v>0</v>
      </c>
      <c r="R620" s="2" t="inlineStr"/>
    </row>
    <row r="621" ht="15" customHeight="1">
      <c r="A621" t="inlineStr">
        <is>
          <t>A 57682-2022</t>
        </is>
      </c>
      <c r="B621" s="1" t="n">
        <v>44890</v>
      </c>
      <c r="C621" s="1" t="n">
        <v>46109</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4076-2022</t>
        </is>
      </c>
      <c r="B622" s="1" t="n">
        <v>44588.37998842593</v>
      </c>
      <c r="C622" s="1" t="n">
        <v>46109</v>
      </c>
      <c r="D622" t="inlineStr">
        <is>
          <t>KALMAR LÄN</t>
        </is>
      </c>
      <c r="E622" t="inlineStr">
        <is>
          <t>VIMMERBY</t>
        </is>
      </c>
      <c r="G622" t="n">
        <v>3</v>
      </c>
      <c r="H622" t="n">
        <v>0</v>
      </c>
      <c r="I622" t="n">
        <v>0</v>
      </c>
      <c r="J622" t="n">
        <v>0</v>
      </c>
      <c r="K622" t="n">
        <v>0</v>
      </c>
      <c r="L622" t="n">
        <v>0</v>
      </c>
      <c r="M622" t="n">
        <v>0</v>
      </c>
      <c r="N622" t="n">
        <v>0</v>
      </c>
      <c r="O622" t="n">
        <v>0</v>
      </c>
      <c r="P622" t="n">
        <v>0</v>
      </c>
      <c r="Q622" t="n">
        <v>0</v>
      </c>
      <c r="R622" s="2" t="inlineStr"/>
    </row>
    <row r="623" ht="15" customHeight="1">
      <c r="A623" t="inlineStr">
        <is>
          <t>A 8595-2026</t>
        </is>
      </c>
      <c r="B623" s="1" t="n">
        <v>46065.7372337963</v>
      </c>
      <c r="C623" s="1" t="n">
        <v>46109</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4122-2022</t>
        </is>
      </c>
      <c r="B624" s="1" t="n">
        <v>44588</v>
      </c>
      <c r="C624" s="1" t="n">
        <v>46109</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37079-2025</t>
        </is>
      </c>
      <c r="B625" s="1" t="n">
        <v>45875.42716435185</v>
      </c>
      <c r="C625" s="1" t="n">
        <v>46109</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37668-2025</t>
        </is>
      </c>
      <c r="B626" s="1" t="n">
        <v>45880.51550925926</v>
      </c>
      <c r="C626" s="1" t="n">
        <v>46109</v>
      </c>
      <c r="D626" t="inlineStr">
        <is>
          <t>KALMAR LÄN</t>
        </is>
      </c>
      <c r="E626" t="inlineStr">
        <is>
          <t>VIMMERBY</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37578-2025</t>
        </is>
      </c>
      <c r="B627" s="1" t="n">
        <v>45880.38380787037</v>
      </c>
      <c r="C627" s="1" t="n">
        <v>46109</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9624-2024</t>
        </is>
      </c>
      <c r="B628" s="1" t="n">
        <v>45361.90282407407</v>
      </c>
      <c r="C628" s="1" t="n">
        <v>46109</v>
      </c>
      <c r="D628" t="inlineStr">
        <is>
          <t>KALMAR LÄN</t>
        </is>
      </c>
      <c r="E628" t="inlineStr">
        <is>
          <t>VIMMERBY</t>
        </is>
      </c>
      <c r="G628" t="n">
        <v>3.8</v>
      </c>
      <c r="H628" t="n">
        <v>0</v>
      </c>
      <c r="I628" t="n">
        <v>0</v>
      </c>
      <c r="J628" t="n">
        <v>0</v>
      </c>
      <c r="K628" t="n">
        <v>0</v>
      </c>
      <c r="L628" t="n">
        <v>0</v>
      </c>
      <c r="M628" t="n">
        <v>0</v>
      </c>
      <c r="N628" t="n">
        <v>0</v>
      </c>
      <c r="O628" t="n">
        <v>0</v>
      </c>
      <c r="P628" t="n">
        <v>0</v>
      </c>
      <c r="Q628" t="n">
        <v>0</v>
      </c>
      <c r="R628" s="2" t="inlineStr"/>
    </row>
    <row r="629" ht="15" customHeight="1">
      <c r="A629" t="inlineStr">
        <is>
          <t>A 52327-2023</t>
        </is>
      </c>
      <c r="B629" s="1" t="n">
        <v>45224.6515162037</v>
      </c>
      <c r="C629" s="1" t="n">
        <v>46109</v>
      </c>
      <c r="D629" t="inlineStr">
        <is>
          <t>KALMAR LÄN</t>
        </is>
      </c>
      <c r="E629" t="inlineStr">
        <is>
          <t>VIMMERBY</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29616-2022</t>
        </is>
      </c>
      <c r="B630" s="1" t="n">
        <v>44754</v>
      </c>
      <c r="C630" s="1" t="n">
        <v>46109</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29348-2023</t>
        </is>
      </c>
      <c r="B631" s="1" t="n">
        <v>45106.25025462963</v>
      </c>
      <c r="C631" s="1" t="n">
        <v>46109</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28403-2023</t>
        </is>
      </c>
      <c r="B632" s="1" t="n">
        <v>45100.85270833333</v>
      </c>
      <c r="C632" s="1" t="n">
        <v>46109</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17511-2024</t>
        </is>
      </c>
      <c r="B633" s="1" t="n">
        <v>45415.57682870371</v>
      </c>
      <c r="C633" s="1" t="n">
        <v>46109</v>
      </c>
      <c r="D633" t="inlineStr">
        <is>
          <t>KALMAR LÄN</t>
        </is>
      </c>
      <c r="E633" t="inlineStr">
        <is>
          <t>VIMMERBY</t>
        </is>
      </c>
      <c r="G633" t="n">
        <v>5.3</v>
      </c>
      <c r="H633" t="n">
        <v>0</v>
      </c>
      <c r="I633" t="n">
        <v>0</v>
      </c>
      <c r="J633" t="n">
        <v>0</v>
      </c>
      <c r="K633" t="n">
        <v>0</v>
      </c>
      <c r="L633" t="n">
        <v>0</v>
      </c>
      <c r="M633" t="n">
        <v>0</v>
      </c>
      <c r="N633" t="n">
        <v>0</v>
      </c>
      <c r="O633" t="n">
        <v>0</v>
      </c>
      <c r="P633" t="n">
        <v>0</v>
      </c>
      <c r="Q633" t="n">
        <v>0</v>
      </c>
      <c r="R633" s="2" t="inlineStr"/>
    </row>
    <row r="634" ht="15" customHeight="1">
      <c r="A634" t="inlineStr">
        <is>
          <t>A 66022-2021</t>
        </is>
      </c>
      <c r="B634" s="1" t="n">
        <v>44517</v>
      </c>
      <c r="C634" s="1" t="n">
        <v>46109</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29973-2023</t>
        </is>
      </c>
      <c r="B635" s="1" t="n">
        <v>45108.703125</v>
      </c>
      <c r="C635" s="1" t="n">
        <v>46109</v>
      </c>
      <c r="D635" t="inlineStr">
        <is>
          <t>KALMAR LÄN</t>
        </is>
      </c>
      <c r="E635" t="inlineStr">
        <is>
          <t>VIMMERBY</t>
        </is>
      </c>
      <c r="G635" t="n">
        <v>4</v>
      </c>
      <c r="H635" t="n">
        <v>0</v>
      </c>
      <c r="I635" t="n">
        <v>0</v>
      </c>
      <c r="J635" t="n">
        <v>0</v>
      </c>
      <c r="K635" t="n">
        <v>0</v>
      </c>
      <c r="L635" t="n">
        <v>0</v>
      </c>
      <c r="M635" t="n">
        <v>0</v>
      </c>
      <c r="N635" t="n">
        <v>0</v>
      </c>
      <c r="O635" t="n">
        <v>0</v>
      </c>
      <c r="P635" t="n">
        <v>0</v>
      </c>
      <c r="Q635" t="n">
        <v>0</v>
      </c>
      <c r="R635" s="2" t="inlineStr"/>
    </row>
    <row r="636" ht="15" customHeight="1">
      <c r="A636" t="inlineStr">
        <is>
          <t>A 30070-2023</t>
        </is>
      </c>
      <c r="B636" s="1" t="n">
        <v>45110.4275</v>
      </c>
      <c r="C636" s="1" t="n">
        <v>46109</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37866-2025</t>
        </is>
      </c>
      <c r="B637" s="1" t="n">
        <v>45881</v>
      </c>
      <c r="C637" s="1" t="n">
        <v>46109</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37939-2025</t>
        </is>
      </c>
      <c r="B638" s="1" t="n">
        <v>45881.59877314815</v>
      </c>
      <c r="C638" s="1" t="n">
        <v>46109</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46078-2023</t>
        </is>
      </c>
      <c r="B639" s="1" t="n">
        <v>45196</v>
      </c>
      <c r="C639" s="1" t="n">
        <v>46109</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7643-2022</t>
        </is>
      </c>
      <c r="B640" s="1" t="n">
        <v>44607</v>
      </c>
      <c r="C640" s="1" t="n">
        <v>46109</v>
      </c>
      <c r="D640" t="inlineStr">
        <is>
          <t>KALMAR LÄN</t>
        </is>
      </c>
      <c r="E640" t="inlineStr">
        <is>
          <t>VIMMERBY</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3494-2023</t>
        </is>
      </c>
      <c r="B641" s="1" t="n">
        <v>44949</v>
      </c>
      <c r="C641" s="1" t="n">
        <v>46109</v>
      </c>
      <c r="D641" t="inlineStr">
        <is>
          <t>KALMAR LÄN</t>
        </is>
      </c>
      <c r="E641" t="inlineStr">
        <is>
          <t>VIMMERBY</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32633-2023</t>
        </is>
      </c>
      <c r="B642" s="1" t="n">
        <v>45121.58699074074</v>
      </c>
      <c r="C642" s="1" t="n">
        <v>46109</v>
      </c>
      <c r="D642" t="inlineStr">
        <is>
          <t>KALMAR LÄN</t>
        </is>
      </c>
      <c r="E642" t="inlineStr">
        <is>
          <t>VIMMERBY</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43601-2024</t>
        </is>
      </c>
      <c r="B643" s="1" t="n">
        <v>45569.44684027778</v>
      </c>
      <c r="C643" s="1" t="n">
        <v>46109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13813-2024</t>
        </is>
      </c>
      <c r="B644" s="1" t="n">
        <v>45391.41310185185</v>
      </c>
      <c r="C644" s="1" t="n">
        <v>46109</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25234-2023</t>
        </is>
      </c>
      <c r="B645" s="1" t="n">
        <v>45086.63194444445</v>
      </c>
      <c r="C645" s="1" t="n">
        <v>46109</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25236-2023</t>
        </is>
      </c>
      <c r="B646" s="1" t="n">
        <v>45086.63334490741</v>
      </c>
      <c r="C646" s="1" t="n">
        <v>46109</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25244-2023</t>
        </is>
      </c>
      <c r="B647" s="1" t="n">
        <v>45086</v>
      </c>
      <c r="C647" s="1" t="n">
        <v>46109</v>
      </c>
      <c r="D647" t="inlineStr">
        <is>
          <t>KALMAR LÄN</t>
        </is>
      </c>
      <c r="E647" t="inlineStr">
        <is>
          <t>VIMMERBY</t>
        </is>
      </c>
      <c r="G647" t="n">
        <v>4.7</v>
      </c>
      <c r="H647" t="n">
        <v>0</v>
      </c>
      <c r="I647" t="n">
        <v>0</v>
      </c>
      <c r="J647" t="n">
        <v>0</v>
      </c>
      <c r="K647" t="n">
        <v>0</v>
      </c>
      <c r="L647" t="n">
        <v>0</v>
      </c>
      <c r="M647" t="n">
        <v>0</v>
      </c>
      <c r="N647" t="n">
        <v>0</v>
      </c>
      <c r="O647" t="n">
        <v>0</v>
      </c>
      <c r="P647" t="n">
        <v>0</v>
      </c>
      <c r="Q647" t="n">
        <v>0</v>
      </c>
      <c r="R647" s="2" t="inlineStr"/>
    </row>
    <row r="648" ht="15" customHeight="1">
      <c r="A648" t="inlineStr">
        <is>
          <t>A 23341-2022</t>
        </is>
      </c>
      <c r="B648" s="1" t="n">
        <v>44720.53898148148</v>
      </c>
      <c r="C648" s="1" t="n">
        <v>46109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71793-2021</t>
        </is>
      </c>
      <c r="B649" s="1" t="n">
        <v>44539</v>
      </c>
      <c r="C649" s="1" t="n">
        <v>46109</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73938-2021</t>
        </is>
      </c>
      <c r="B650" s="1" t="n">
        <v>44553</v>
      </c>
      <c r="C650" s="1" t="n">
        <v>46109</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6069-2023</t>
        </is>
      </c>
      <c r="B651" s="1" t="n">
        <v>44964.5115162037</v>
      </c>
      <c r="C651" s="1" t="n">
        <v>46109</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50995-2022</t>
        </is>
      </c>
      <c r="B652" s="1" t="n">
        <v>44867</v>
      </c>
      <c r="C652" s="1" t="n">
        <v>46109</v>
      </c>
      <c r="D652" t="inlineStr">
        <is>
          <t>KALMAR LÄN</t>
        </is>
      </c>
      <c r="E652" t="inlineStr">
        <is>
          <t>VIMMERBY</t>
        </is>
      </c>
      <c r="G652" t="n">
        <v>2.4</v>
      </c>
      <c r="H652" t="n">
        <v>0</v>
      </c>
      <c r="I652" t="n">
        <v>0</v>
      </c>
      <c r="J652" t="n">
        <v>0</v>
      </c>
      <c r="K652" t="n">
        <v>0</v>
      </c>
      <c r="L652" t="n">
        <v>0</v>
      </c>
      <c r="M652" t="n">
        <v>0</v>
      </c>
      <c r="N652" t="n">
        <v>0</v>
      </c>
      <c r="O652" t="n">
        <v>0</v>
      </c>
      <c r="P652" t="n">
        <v>0</v>
      </c>
      <c r="Q652" t="n">
        <v>0</v>
      </c>
      <c r="R652" s="2" t="inlineStr"/>
    </row>
    <row r="653" ht="15" customHeight="1">
      <c r="A653" t="inlineStr">
        <is>
          <t>A 27122-2023</t>
        </is>
      </c>
      <c r="B653" s="1" t="n">
        <v>45096.45247685185</v>
      </c>
      <c r="C653" s="1" t="n">
        <v>46109</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30402-2023</t>
        </is>
      </c>
      <c r="B654" s="1" t="n">
        <v>45111.48395833333</v>
      </c>
      <c r="C654" s="1" t="n">
        <v>46109</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47842-2024</t>
        </is>
      </c>
      <c r="B655" s="1" t="n">
        <v>45588.65545138889</v>
      </c>
      <c r="C655" s="1" t="n">
        <v>46109</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6857-2023</t>
        </is>
      </c>
      <c r="B656" s="1" t="n">
        <v>44967.45122685185</v>
      </c>
      <c r="C656" s="1" t="n">
        <v>46109</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46224-2024</t>
        </is>
      </c>
      <c r="B657" s="1" t="n">
        <v>45581.57016203704</v>
      </c>
      <c r="C657" s="1" t="n">
        <v>46109</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29013-2024</t>
        </is>
      </c>
      <c r="B658" s="1" t="n">
        <v>45481.55984953704</v>
      </c>
      <c r="C658" s="1" t="n">
        <v>46109</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37028-2024</t>
        </is>
      </c>
      <c r="B659" s="1" t="n">
        <v>45539.38744212963</v>
      </c>
      <c r="C659" s="1" t="n">
        <v>46109</v>
      </c>
      <c r="D659" t="inlineStr">
        <is>
          <t>KALMAR LÄN</t>
        </is>
      </c>
      <c r="E659" t="inlineStr">
        <is>
          <t>VIMMERBY</t>
        </is>
      </c>
      <c r="G659" t="n">
        <v>5.2</v>
      </c>
      <c r="H659" t="n">
        <v>0</v>
      </c>
      <c r="I659" t="n">
        <v>0</v>
      </c>
      <c r="J659" t="n">
        <v>0</v>
      </c>
      <c r="K659" t="n">
        <v>0</v>
      </c>
      <c r="L659" t="n">
        <v>0</v>
      </c>
      <c r="M659" t="n">
        <v>0</v>
      </c>
      <c r="N659" t="n">
        <v>0</v>
      </c>
      <c r="O659" t="n">
        <v>0</v>
      </c>
      <c r="P659" t="n">
        <v>0</v>
      </c>
      <c r="Q659" t="n">
        <v>0</v>
      </c>
      <c r="R659" s="2" t="inlineStr"/>
    </row>
    <row r="660" ht="15" customHeight="1">
      <c r="A660" t="inlineStr">
        <is>
          <t>A 37187-2024</t>
        </is>
      </c>
      <c r="B660" s="1" t="n">
        <v>45539.65212962963</v>
      </c>
      <c r="C660" s="1" t="n">
        <v>46109</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12630-2023</t>
        </is>
      </c>
      <c r="B661" s="1" t="n">
        <v>45000.47998842593</v>
      </c>
      <c r="C661" s="1" t="n">
        <v>46109</v>
      </c>
      <c r="D661" t="inlineStr">
        <is>
          <t>KALMAR LÄN</t>
        </is>
      </c>
      <c r="E661" t="inlineStr">
        <is>
          <t>VIMMERBY</t>
        </is>
      </c>
      <c r="G661" t="n">
        <v>2.1</v>
      </c>
      <c r="H661" t="n">
        <v>0</v>
      </c>
      <c r="I661" t="n">
        <v>0</v>
      </c>
      <c r="J661" t="n">
        <v>0</v>
      </c>
      <c r="K661" t="n">
        <v>0</v>
      </c>
      <c r="L661" t="n">
        <v>0</v>
      </c>
      <c r="M661" t="n">
        <v>0</v>
      </c>
      <c r="N661" t="n">
        <v>0</v>
      </c>
      <c r="O661" t="n">
        <v>0</v>
      </c>
      <c r="P661" t="n">
        <v>0</v>
      </c>
      <c r="Q661" t="n">
        <v>0</v>
      </c>
      <c r="R661" s="2" t="inlineStr"/>
    </row>
    <row r="662" ht="15" customHeight="1">
      <c r="A662" t="inlineStr">
        <is>
          <t>A 39584-2024</t>
        </is>
      </c>
      <c r="B662" s="1" t="n">
        <v>45552.36759259259</v>
      </c>
      <c r="C662" s="1" t="n">
        <v>46109</v>
      </c>
      <c r="D662" t="inlineStr">
        <is>
          <t>KALMAR LÄN</t>
        </is>
      </c>
      <c r="E662" t="inlineStr">
        <is>
          <t>VIMMERBY</t>
        </is>
      </c>
      <c r="G662" t="n">
        <v>1.9</v>
      </c>
      <c r="H662" t="n">
        <v>0</v>
      </c>
      <c r="I662" t="n">
        <v>0</v>
      </c>
      <c r="J662" t="n">
        <v>0</v>
      </c>
      <c r="K662" t="n">
        <v>0</v>
      </c>
      <c r="L662" t="n">
        <v>0</v>
      </c>
      <c r="M662" t="n">
        <v>0</v>
      </c>
      <c r="N662" t="n">
        <v>0</v>
      </c>
      <c r="O662" t="n">
        <v>0</v>
      </c>
      <c r="P662" t="n">
        <v>0</v>
      </c>
      <c r="Q662" t="n">
        <v>0</v>
      </c>
      <c r="R662" s="2" t="inlineStr"/>
    </row>
    <row r="663" ht="15" customHeight="1">
      <c r="A663" t="inlineStr">
        <is>
          <t>A 27705-2023</t>
        </is>
      </c>
      <c r="B663" s="1" t="n">
        <v>45098.30535879629</v>
      </c>
      <c r="C663" s="1" t="n">
        <v>46109</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31013-2023</t>
        </is>
      </c>
      <c r="B664" s="1" t="n">
        <v>45113.56574074074</v>
      </c>
      <c r="C664" s="1" t="n">
        <v>46109</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15388-2025</t>
        </is>
      </c>
      <c r="B665" s="1" t="n">
        <v>45747.42633101852</v>
      </c>
      <c r="C665" s="1" t="n">
        <v>46109</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15391-2025</t>
        </is>
      </c>
      <c r="B666" s="1" t="n">
        <v>45747.42958333333</v>
      </c>
      <c r="C666" s="1" t="n">
        <v>46109</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11303-2025</t>
        </is>
      </c>
      <c r="B667" s="1" t="n">
        <v>45726.44471064815</v>
      </c>
      <c r="C667" s="1" t="n">
        <v>46109</v>
      </c>
      <c r="D667" t="inlineStr">
        <is>
          <t>KALMAR LÄN</t>
        </is>
      </c>
      <c r="E667" t="inlineStr">
        <is>
          <t>VIMMERBY</t>
        </is>
      </c>
      <c r="G667" t="n">
        <v>2.1</v>
      </c>
      <c r="H667" t="n">
        <v>0</v>
      </c>
      <c r="I667" t="n">
        <v>0</v>
      </c>
      <c r="J667" t="n">
        <v>0</v>
      </c>
      <c r="K667" t="n">
        <v>0</v>
      </c>
      <c r="L667" t="n">
        <v>0</v>
      </c>
      <c r="M667" t="n">
        <v>0</v>
      </c>
      <c r="N667" t="n">
        <v>0</v>
      </c>
      <c r="O667" t="n">
        <v>0</v>
      </c>
      <c r="P667" t="n">
        <v>0</v>
      </c>
      <c r="Q667" t="n">
        <v>0</v>
      </c>
      <c r="R667" s="2" t="inlineStr"/>
    </row>
    <row r="668" ht="15" customHeight="1">
      <c r="A668" t="inlineStr">
        <is>
          <t>A 33352-2022</t>
        </is>
      </c>
      <c r="B668" s="1" t="n">
        <v>44788</v>
      </c>
      <c r="C668" s="1" t="n">
        <v>46109</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46234-2024</t>
        </is>
      </c>
      <c r="B669" s="1" t="n">
        <v>45581.57958333333</v>
      </c>
      <c r="C669" s="1" t="n">
        <v>46109</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39053-2024</t>
        </is>
      </c>
      <c r="B670" s="1" t="n">
        <v>45548</v>
      </c>
      <c r="C670" s="1" t="n">
        <v>46109</v>
      </c>
      <c r="D670" t="inlineStr">
        <is>
          <t>KALMAR LÄN</t>
        </is>
      </c>
      <c r="E670" t="inlineStr">
        <is>
          <t>VIMMERBY</t>
        </is>
      </c>
      <c r="G670" t="n">
        <v>5</v>
      </c>
      <c r="H670" t="n">
        <v>0</v>
      </c>
      <c r="I670" t="n">
        <v>0</v>
      </c>
      <c r="J670" t="n">
        <v>0</v>
      </c>
      <c r="K670" t="n">
        <v>0</v>
      </c>
      <c r="L670" t="n">
        <v>0</v>
      </c>
      <c r="M670" t="n">
        <v>0</v>
      </c>
      <c r="N670" t="n">
        <v>0</v>
      </c>
      <c r="O670" t="n">
        <v>0</v>
      </c>
      <c r="P670" t="n">
        <v>0</v>
      </c>
      <c r="Q670" t="n">
        <v>0</v>
      </c>
      <c r="R670" s="2" t="inlineStr"/>
    </row>
    <row r="671" ht="15" customHeight="1">
      <c r="A671" t="inlineStr">
        <is>
          <t>A 15449-2023</t>
        </is>
      </c>
      <c r="B671" s="1" t="n">
        <v>45020</v>
      </c>
      <c r="C671" s="1" t="n">
        <v>46109</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43594-2024</t>
        </is>
      </c>
      <c r="B672" s="1" t="n">
        <v>45569.44295138889</v>
      </c>
      <c r="C672" s="1" t="n">
        <v>46109</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17486-2024</t>
        </is>
      </c>
      <c r="B673" s="1" t="n">
        <v>45415.48979166667</v>
      </c>
      <c r="C673" s="1" t="n">
        <v>46109</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14248-2023</t>
        </is>
      </c>
      <c r="B674" s="1" t="n">
        <v>45009</v>
      </c>
      <c r="C674" s="1" t="n">
        <v>46109</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30400-2023</t>
        </is>
      </c>
      <c r="B675" s="1" t="n">
        <v>45111.48225694444</v>
      </c>
      <c r="C675" s="1" t="n">
        <v>46109</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30404-2023</t>
        </is>
      </c>
      <c r="B676" s="1" t="n">
        <v>45111.48636574074</v>
      </c>
      <c r="C676" s="1" t="n">
        <v>46109</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55123-2024</t>
        </is>
      </c>
      <c r="B677" s="1" t="n">
        <v>45621.46103009259</v>
      </c>
      <c r="C677" s="1" t="n">
        <v>46109</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31405-2023</t>
        </is>
      </c>
      <c r="B678" s="1" t="n">
        <v>45114.58148148148</v>
      </c>
      <c r="C678" s="1" t="n">
        <v>46109</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24707-2024</t>
        </is>
      </c>
      <c r="B679" s="1" t="n">
        <v>45460.62172453704</v>
      </c>
      <c r="C679" s="1" t="n">
        <v>46109</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36049-2024</t>
        </is>
      </c>
      <c r="B680" s="1" t="n">
        <v>45533.61996527778</v>
      </c>
      <c r="C680" s="1" t="n">
        <v>46109</v>
      </c>
      <c r="D680" t="inlineStr">
        <is>
          <t>KALMAR LÄN</t>
        </is>
      </c>
      <c r="E680" t="inlineStr">
        <is>
          <t>VIMMERBY</t>
        </is>
      </c>
      <c r="F680" t="inlineStr">
        <is>
          <t>Kommuner</t>
        </is>
      </c>
      <c r="G680" t="n">
        <v>2.6</v>
      </c>
      <c r="H680" t="n">
        <v>0</v>
      </c>
      <c r="I680" t="n">
        <v>0</v>
      </c>
      <c r="J680" t="n">
        <v>0</v>
      </c>
      <c r="K680" t="n">
        <v>0</v>
      </c>
      <c r="L680" t="n">
        <v>0</v>
      </c>
      <c r="M680" t="n">
        <v>0</v>
      </c>
      <c r="N680" t="n">
        <v>0</v>
      </c>
      <c r="O680" t="n">
        <v>0</v>
      </c>
      <c r="P680" t="n">
        <v>0</v>
      </c>
      <c r="Q680" t="n">
        <v>0</v>
      </c>
      <c r="R680" s="2" t="inlineStr"/>
    </row>
    <row r="681" ht="15" customHeight="1">
      <c r="A681" t="inlineStr">
        <is>
          <t>A 58159-2024</t>
        </is>
      </c>
      <c r="B681" s="1" t="n">
        <v>45632.44886574074</v>
      </c>
      <c r="C681" s="1" t="n">
        <v>46109</v>
      </c>
      <c r="D681" t="inlineStr">
        <is>
          <t>KALMAR LÄN</t>
        </is>
      </c>
      <c r="E681" t="inlineStr">
        <is>
          <t>VIMMERBY</t>
        </is>
      </c>
      <c r="G681" t="n">
        <v>7.5</v>
      </c>
      <c r="H681" t="n">
        <v>0</v>
      </c>
      <c r="I681" t="n">
        <v>0</v>
      </c>
      <c r="J681" t="n">
        <v>0</v>
      </c>
      <c r="K681" t="n">
        <v>0</v>
      </c>
      <c r="L681" t="n">
        <v>0</v>
      </c>
      <c r="M681" t="n">
        <v>0</v>
      </c>
      <c r="N681" t="n">
        <v>0</v>
      </c>
      <c r="O681" t="n">
        <v>0</v>
      </c>
      <c r="P681" t="n">
        <v>0</v>
      </c>
      <c r="Q681" t="n">
        <v>0</v>
      </c>
      <c r="R681" s="2" t="inlineStr"/>
    </row>
    <row r="682" ht="15" customHeight="1">
      <c r="A682" t="inlineStr">
        <is>
          <t>A 14359-2025</t>
        </is>
      </c>
      <c r="B682" s="1" t="n">
        <v>45741.37270833334</v>
      </c>
      <c r="C682" s="1" t="n">
        <v>46109</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39578-2024</t>
        </is>
      </c>
      <c r="B683" s="1" t="n">
        <v>45552.36484953704</v>
      </c>
      <c r="C683" s="1" t="n">
        <v>46109</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62779-2023</t>
        </is>
      </c>
      <c r="B684" s="1" t="n">
        <v>45271.66576388889</v>
      </c>
      <c r="C684" s="1" t="n">
        <v>46109</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46399-2024</t>
        </is>
      </c>
      <c r="B685" s="1" t="n">
        <v>45582.41200231481</v>
      </c>
      <c r="C685" s="1" t="n">
        <v>46109</v>
      </c>
      <c r="D685" t="inlineStr">
        <is>
          <t>KALMAR LÄN</t>
        </is>
      </c>
      <c r="E685" t="inlineStr">
        <is>
          <t>VIMMERBY</t>
        </is>
      </c>
      <c r="G685" t="n">
        <v>4.6</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44585.51060185185</v>
      </c>
      <c r="C686" s="1" t="n">
        <v>46109</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43962-2024</t>
        </is>
      </c>
      <c r="B687" s="1" t="n">
        <v>45572.48293981481</v>
      </c>
      <c r="C687" s="1" t="n">
        <v>46109</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12810-2023</t>
        </is>
      </c>
      <c r="B688" s="1" t="n">
        <v>45001.43854166667</v>
      </c>
      <c r="C688" s="1" t="n">
        <v>46109</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43068-2023</t>
        </is>
      </c>
      <c r="B689" s="1" t="n">
        <v>45182.78834490741</v>
      </c>
      <c r="C689" s="1" t="n">
        <v>46109</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12075-2024</t>
        </is>
      </c>
      <c r="B690" s="1" t="n">
        <v>45377</v>
      </c>
      <c r="C690" s="1" t="n">
        <v>46109</v>
      </c>
      <c r="D690" t="inlineStr">
        <is>
          <t>KALMAR LÄN</t>
        </is>
      </c>
      <c r="E690" t="inlineStr">
        <is>
          <t>VIMMERBY</t>
        </is>
      </c>
      <c r="G690" t="n">
        <v>3.7</v>
      </c>
      <c r="H690" t="n">
        <v>0</v>
      </c>
      <c r="I690" t="n">
        <v>0</v>
      </c>
      <c r="J690" t="n">
        <v>0</v>
      </c>
      <c r="K690" t="n">
        <v>0</v>
      </c>
      <c r="L690" t="n">
        <v>0</v>
      </c>
      <c r="M690" t="n">
        <v>0</v>
      </c>
      <c r="N690" t="n">
        <v>0</v>
      </c>
      <c r="O690" t="n">
        <v>0</v>
      </c>
      <c r="P690" t="n">
        <v>0</v>
      </c>
      <c r="Q690" t="n">
        <v>0</v>
      </c>
      <c r="R690" s="2" t="inlineStr"/>
    </row>
    <row r="691" ht="15" customHeight="1">
      <c r="A691" t="inlineStr">
        <is>
          <t>A 1799-2025</t>
        </is>
      </c>
      <c r="B691" s="1" t="n">
        <v>45671.46746527778</v>
      </c>
      <c r="C691" s="1" t="n">
        <v>46109</v>
      </c>
      <c r="D691" t="inlineStr">
        <is>
          <t>KALMAR LÄN</t>
        </is>
      </c>
      <c r="E691" t="inlineStr">
        <is>
          <t>VIMMERBY</t>
        </is>
      </c>
      <c r="G691" t="n">
        <v>3.3</v>
      </c>
      <c r="H691" t="n">
        <v>0</v>
      </c>
      <c r="I691" t="n">
        <v>0</v>
      </c>
      <c r="J691" t="n">
        <v>0</v>
      </c>
      <c r="K691" t="n">
        <v>0</v>
      </c>
      <c r="L691" t="n">
        <v>0</v>
      </c>
      <c r="M691" t="n">
        <v>0</v>
      </c>
      <c r="N691" t="n">
        <v>0</v>
      </c>
      <c r="O691" t="n">
        <v>0</v>
      </c>
      <c r="P691" t="n">
        <v>0</v>
      </c>
      <c r="Q691" t="n">
        <v>0</v>
      </c>
      <c r="R691" s="2" t="inlineStr"/>
    </row>
    <row r="692" ht="15" customHeight="1">
      <c r="A692" t="inlineStr">
        <is>
          <t>A 2462-2022</t>
        </is>
      </c>
      <c r="B692" s="1" t="n">
        <v>44579.62225694444</v>
      </c>
      <c r="C692" s="1" t="n">
        <v>46109</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13015-2022</t>
        </is>
      </c>
      <c r="B693" s="1" t="n">
        <v>44643</v>
      </c>
      <c r="C693" s="1" t="n">
        <v>46109</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4624-2024</t>
        </is>
      </c>
      <c r="B694" s="1" t="n">
        <v>45328.38755787037</v>
      </c>
      <c r="C694" s="1" t="n">
        <v>46109</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9129-2025</t>
        </is>
      </c>
      <c r="B695" s="1" t="n">
        <v>45713.92412037037</v>
      </c>
      <c r="C695" s="1" t="n">
        <v>46109</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22643-2023</t>
        </is>
      </c>
      <c r="B696" s="1" t="n">
        <v>45071</v>
      </c>
      <c r="C696" s="1" t="n">
        <v>46109</v>
      </c>
      <c r="D696" t="inlineStr">
        <is>
          <t>KALMAR LÄN</t>
        </is>
      </c>
      <c r="E696" t="inlineStr">
        <is>
          <t>VIMMERBY</t>
        </is>
      </c>
      <c r="G696" t="n">
        <v>3.9</v>
      </c>
      <c r="H696" t="n">
        <v>0</v>
      </c>
      <c r="I696" t="n">
        <v>0</v>
      </c>
      <c r="J696" t="n">
        <v>0</v>
      </c>
      <c r="K696" t="n">
        <v>0</v>
      </c>
      <c r="L696" t="n">
        <v>0</v>
      </c>
      <c r="M696" t="n">
        <v>0</v>
      </c>
      <c r="N696" t="n">
        <v>0</v>
      </c>
      <c r="O696" t="n">
        <v>0</v>
      </c>
      <c r="P696" t="n">
        <v>0</v>
      </c>
      <c r="Q696" t="n">
        <v>0</v>
      </c>
      <c r="R696" s="2" t="inlineStr"/>
    </row>
    <row r="697" ht="15" customHeight="1">
      <c r="A697" t="inlineStr">
        <is>
          <t>A 34597-2022</t>
        </is>
      </c>
      <c r="B697" s="1" t="n">
        <v>44795</v>
      </c>
      <c r="C697" s="1" t="n">
        <v>46109</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40079-2023</t>
        </is>
      </c>
      <c r="B698" s="1" t="n">
        <v>45168.89298611111</v>
      </c>
      <c r="C698" s="1" t="n">
        <v>46109</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19833-2023</t>
        </is>
      </c>
      <c r="B699" s="1" t="n">
        <v>45052</v>
      </c>
      <c r="C699" s="1" t="n">
        <v>46109</v>
      </c>
      <c r="D699" t="inlineStr">
        <is>
          <t>KALMAR LÄN</t>
        </is>
      </c>
      <c r="E699" t="inlineStr">
        <is>
          <t>VIMMERBY</t>
        </is>
      </c>
      <c r="G699" t="n">
        <v>6.7</v>
      </c>
      <c r="H699" t="n">
        <v>0</v>
      </c>
      <c r="I699" t="n">
        <v>0</v>
      </c>
      <c r="J699" t="n">
        <v>0</v>
      </c>
      <c r="K699" t="n">
        <v>0</v>
      </c>
      <c r="L699" t="n">
        <v>0</v>
      </c>
      <c r="M699" t="n">
        <v>0</v>
      </c>
      <c r="N699" t="n">
        <v>0</v>
      </c>
      <c r="O699" t="n">
        <v>0</v>
      </c>
      <c r="P699" t="n">
        <v>0</v>
      </c>
      <c r="Q699" t="n">
        <v>0</v>
      </c>
      <c r="R699" s="2" t="inlineStr"/>
    </row>
    <row r="700" ht="15" customHeight="1">
      <c r="A700" t="inlineStr">
        <is>
          <t>A 17084-2025</t>
        </is>
      </c>
      <c r="B700" s="1" t="n">
        <v>45755.64450231481</v>
      </c>
      <c r="C700" s="1" t="n">
        <v>46109</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56022-2024</t>
        </is>
      </c>
      <c r="B701" s="1" t="n">
        <v>45623.95947916667</v>
      </c>
      <c r="C701" s="1" t="n">
        <v>46109</v>
      </c>
      <c r="D701" t="inlineStr">
        <is>
          <t>KALMAR LÄN</t>
        </is>
      </c>
      <c r="E701" t="inlineStr">
        <is>
          <t>VIMMERBY</t>
        </is>
      </c>
      <c r="G701" t="n">
        <v>0.3</v>
      </c>
      <c r="H701" t="n">
        <v>0</v>
      </c>
      <c r="I701" t="n">
        <v>0</v>
      </c>
      <c r="J701" t="n">
        <v>0</v>
      </c>
      <c r="K701" t="n">
        <v>0</v>
      </c>
      <c r="L701" t="n">
        <v>0</v>
      </c>
      <c r="M701" t="n">
        <v>0</v>
      </c>
      <c r="N701" t="n">
        <v>0</v>
      </c>
      <c r="O701" t="n">
        <v>0</v>
      </c>
      <c r="P701" t="n">
        <v>0</v>
      </c>
      <c r="Q701" t="n">
        <v>0</v>
      </c>
      <c r="R701" s="2" t="inlineStr"/>
    </row>
    <row r="702" ht="15" customHeight="1">
      <c r="A702" t="inlineStr">
        <is>
          <t>A 11928-2022</t>
        </is>
      </c>
      <c r="B702" s="1" t="n">
        <v>44635</v>
      </c>
      <c r="C702" s="1" t="n">
        <v>46109</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5527-2022</t>
        </is>
      </c>
      <c r="B703" s="1" t="n">
        <v>44595.583125</v>
      </c>
      <c r="C703" s="1" t="n">
        <v>46109</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49461-2023</t>
        </is>
      </c>
      <c r="B704" s="1" t="n">
        <v>45211.52642361111</v>
      </c>
      <c r="C704" s="1" t="n">
        <v>46109</v>
      </c>
      <c r="D704" t="inlineStr">
        <is>
          <t>KALMAR LÄN</t>
        </is>
      </c>
      <c r="E704" t="inlineStr">
        <is>
          <t>VIMMERBY</t>
        </is>
      </c>
      <c r="G704" t="n">
        <v>1.5</v>
      </c>
      <c r="H704" t="n">
        <v>0</v>
      </c>
      <c r="I704" t="n">
        <v>0</v>
      </c>
      <c r="J704" t="n">
        <v>0</v>
      </c>
      <c r="K704" t="n">
        <v>0</v>
      </c>
      <c r="L704" t="n">
        <v>0</v>
      </c>
      <c r="M704" t="n">
        <v>0</v>
      </c>
      <c r="N704" t="n">
        <v>0</v>
      </c>
      <c r="O704" t="n">
        <v>0</v>
      </c>
      <c r="P704" t="n">
        <v>0</v>
      </c>
      <c r="Q704" t="n">
        <v>0</v>
      </c>
      <c r="R704" s="2" t="inlineStr"/>
    </row>
    <row r="705" ht="15" customHeight="1">
      <c r="A705" t="inlineStr">
        <is>
          <t>A 49474-2023</t>
        </is>
      </c>
      <c r="B705" s="1" t="n">
        <v>45211.541875</v>
      </c>
      <c r="C705" s="1" t="n">
        <v>46109</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61861-2024</t>
        </is>
      </c>
      <c r="B706" s="1" t="n">
        <v>45650.37370370371</v>
      </c>
      <c r="C706" s="1" t="n">
        <v>46109</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45846-2023</t>
        </is>
      </c>
      <c r="B707" s="1" t="n">
        <v>45195.58452546296</v>
      </c>
      <c r="C707" s="1" t="n">
        <v>46109</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8167-2024</t>
        </is>
      </c>
      <c r="B708" s="1" t="n">
        <v>45351.6062962963</v>
      </c>
      <c r="C708" s="1" t="n">
        <v>46109</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49382-2023</t>
        </is>
      </c>
      <c r="B709" s="1" t="n">
        <v>45208</v>
      </c>
      <c r="C709" s="1" t="n">
        <v>46109</v>
      </c>
      <c r="D709" t="inlineStr">
        <is>
          <t>KALMAR LÄN</t>
        </is>
      </c>
      <c r="E709" t="inlineStr">
        <is>
          <t>VIMMERBY</t>
        </is>
      </c>
      <c r="G709" t="n">
        <v>2.2</v>
      </c>
      <c r="H709" t="n">
        <v>0</v>
      </c>
      <c r="I709" t="n">
        <v>0</v>
      </c>
      <c r="J709" t="n">
        <v>0</v>
      </c>
      <c r="K709" t="n">
        <v>0</v>
      </c>
      <c r="L709" t="n">
        <v>0</v>
      </c>
      <c r="M709" t="n">
        <v>0</v>
      </c>
      <c r="N709" t="n">
        <v>0</v>
      </c>
      <c r="O709" t="n">
        <v>0</v>
      </c>
      <c r="P709" t="n">
        <v>0</v>
      </c>
      <c r="Q709" t="n">
        <v>0</v>
      </c>
      <c r="R709" s="2" t="inlineStr"/>
    </row>
    <row r="710" ht="15" customHeight="1">
      <c r="A710" t="inlineStr">
        <is>
          <t>A 12121-2025</t>
        </is>
      </c>
      <c r="B710" s="1" t="n">
        <v>45729.36868055556</v>
      </c>
      <c r="C710" s="1" t="n">
        <v>46109</v>
      </c>
      <c r="D710" t="inlineStr">
        <is>
          <t>KALMAR LÄN</t>
        </is>
      </c>
      <c r="E710" t="inlineStr">
        <is>
          <t>VIMMERBY</t>
        </is>
      </c>
      <c r="G710" t="n">
        <v>4.3</v>
      </c>
      <c r="H710" t="n">
        <v>0</v>
      </c>
      <c r="I710" t="n">
        <v>0</v>
      </c>
      <c r="J710" t="n">
        <v>0</v>
      </c>
      <c r="K710" t="n">
        <v>0</v>
      </c>
      <c r="L710" t="n">
        <v>0</v>
      </c>
      <c r="M710" t="n">
        <v>0</v>
      </c>
      <c r="N710" t="n">
        <v>0</v>
      </c>
      <c r="O710" t="n">
        <v>0</v>
      </c>
      <c r="P710" t="n">
        <v>0</v>
      </c>
      <c r="Q710" t="n">
        <v>0</v>
      </c>
      <c r="R710" s="2" t="inlineStr"/>
    </row>
    <row r="711" ht="15" customHeight="1">
      <c r="A711" t="inlineStr">
        <is>
          <t>A 35846-2023</t>
        </is>
      </c>
      <c r="B711" s="1" t="n">
        <v>45148</v>
      </c>
      <c r="C711" s="1" t="n">
        <v>46109</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35913-2023</t>
        </is>
      </c>
      <c r="B712" s="1" t="n">
        <v>45148</v>
      </c>
      <c r="C712" s="1" t="n">
        <v>46109</v>
      </c>
      <c r="D712" t="inlineStr">
        <is>
          <t>KALMAR LÄN</t>
        </is>
      </c>
      <c r="E712" t="inlineStr">
        <is>
          <t>VIMMERBY</t>
        </is>
      </c>
      <c r="G712" t="n">
        <v>6.9</v>
      </c>
      <c r="H712" t="n">
        <v>0</v>
      </c>
      <c r="I712" t="n">
        <v>0</v>
      </c>
      <c r="J712" t="n">
        <v>0</v>
      </c>
      <c r="K712" t="n">
        <v>0</v>
      </c>
      <c r="L712" t="n">
        <v>0</v>
      </c>
      <c r="M712" t="n">
        <v>0</v>
      </c>
      <c r="N712" t="n">
        <v>0</v>
      </c>
      <c r="O712" t="n">
        <v>0</v>
      </c>
      <c r="P712" t="n">
        <v>0</v>
      </c>
      <c r="Q712" t="n">
        <v>0</v>
      </c>
      <c r="R712" s="2" t="inlineStr"/>
    </row>
    <row r="713" ht="15" customHeight="1">
      <c r="A713" t="inlineStr">
        <is>
          <t>A 38757-2023</t>
        </is>
      </c>
      <c r="B713" s="1" t="n">
        <v>45163.41376157408</v>
      </c>
      <c r="C713" s="1" t="n">
        <v>46109</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20136-2024</t>
        </is>
      </c>
      <c r="B714" s="1" t="n">
        <v>45434.56291666667</v>
      </c>
      <c r="C714" s="1" t="n">
        <v>46109</v>
      </c>
      <c r="D714" t="inlineStr">
        <is>
          <t>KALMAR LÄN</t>
        </is>
      </c>
      <c r="E714" t="inlineStr">
        <is>
          <t>VIMMERBY</t>
        </is>
      </c>
      <c r="F714" t="inlineStr">
        <is>
          <t>Sveaskog</t>
        </is>
      </c>
      <c r="G714" t="n">
        <v>8.4</v>
      </c>
      <c r="H714" t="n">
        <v>0</v>
      </c>
      <c r="I714" t="n">
        <v>0</v>
      </c>
      <c r="J714" t="n">
        <v>0</v>
      </c>
      <c r="K714" t="n">
        <v>0</v>
      </c>
      <c r="L714" t="n">
        <v>0</v>
      </c>
      <c r="M714" t="n">
        <v>0</v>
      </c>
      <c r="N714" t="n">
        <v>0</v>
      </c>
      <c r="O714" t="n">
        <v>0</v>
      </c>
      <c r="P714" t="n">
        <v>0</v>
      </c>
      <c r="Q714" t="n">
        <v>0</v>
      </c>
      <c r="R714" s="2" t="inlineStr"/>
    </row>
    <row r="715" ht="15" customHeight="1">
      <c r="A715" t="inlineStr">
        <is>
          <t>A 24283-2023</t>
        </is>
      </c>
      <c r="B715" s="1" t="n">
        <v>45079.87827546296</v>
      </c>
      <c r="C715" s="1" t="n">
        <v>46109</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59598-2023</t>
        </is>
      </c>
      <c r="B716" s="1" t="n">
        <v>45254.62489583333</v>
      </c>
      <c r="C716" s="1" t="n">
        <v>46109</v>
      </c>
      <c r="D716" t="inlineStr">
        <is>
          <t>KALMAR LÄN</t>
        </is>
      </c>
      <c r="E716" t="inlineStr">
        <is>
          <t>VIMMERBY</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30920-2023</t>
        </is>
      </c>
      <c r="B717" s="1" t="n">
        <v>45113.43921296296</v>
      </c>
      <c r="C717" s="1" t="n">
        <v>46109</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40929-2022</t>
        </is>
      </c>
      <c r="B718" s="1" t="n">
        <v>44825.4336574074</v>
      </c>
      <c r="C718" s="1" t="n">
        <v>46109</v>
      </c>
      <c r="D718" t="inlineStr">
        <is>
          <t>KALMAR LÄN</t>
        </is>
      </c>
      <c r="E718" t="inlineStr">
        <is>
          <t>VIMMERBY</t>
        </is>
      </c>
      <c r="G718" t="n">
        <v>2.5</v>
      </c>
      <c r="H718" t="n">
        <v>0</v>
      </c>
      <c r="I718" t="n">
        <v>0</v>
      </c>
      <c r="J718" t="n">
        <v>0</v>
      </c>
      <c r="K718" t="n">
        <v>0</v>
      </c>
      <c r="L718" t="n">
        <v>0</v>
      </c>
      <c r="M718" t="n">
        <v>0</v>
      </c>
      <c r="N718" t="n">
        <v>0</v>
      </c>
      <c r="O718" t="n">
        <v>0</v>
      </c>
      <c r="P718" t="n">
        <v>0</v>
      </c>
      <c r="Q718" t="n">
        <v>0</v>
      </c>
      <c r="R718" s="2" t="inlineStr"/>
    </row>
    <row r="719" ht="15" customHeight="1">
      <c r="A719" t="inlineStr">
        <is>
          <t>A 33380-2023</t>
        </is>
      </c>
      <c r="B719" s="1" t="n">
        <v>45128</v>
      </c>
      <c r="C719" s="1" t="n">
        <v>46109</v>
      </c>
      <c r="D719" t="inlineStr">
        <is>
          <t>KALMAR LÄN</t>
        </is>
      </c>
      <c r="E719" t="inlineStr">
        <is>
          <t>VIMMERBY</t>
        </is>
      </c>
      <c r="G719" t="n">
        <v>5.2</v>
      </c>
      <c r="H719" t="n">
        <v>0</v>
      </c>
      <c r="I719" t="n">
        <v>0</v>
      </c>
      <c r="J719" t="n">
        <v>0</v>
      </c>
      <c r="K719" t="n">
        <v>0</v>
      </c>
      <c r="L719" t="n">
        <v>0</v>
      </c>
      <c r="M719" t="n">
        <v>0</v>
      </c>
      <c r="N719" t="n">
        <v>0</v>
      </c>
      <c r="O719" t="n">
        <v>0</v>
      </c>
      <c r="P719" t="n">
        <v>0</v>
      </c>
      <c r="Q719" t="n">
        <v>0</v>
      </c>
      <c r="R719" s="2" t="inlineStr"/>
    </row>
    <row r="720" ht="15" customHeight="1">
      <c r="A720" t="inlineStr">
        <is>
          <t>A 46144-2023</t>
        </is>
      </c>
      <c r="B720" s="1" t="n">
        <v>45196.57247685185</v>
      </c>
      <c r="C720" s="1" t="n">
        <v>46109</v>
      </c>
      <c r="D720" t="inlineStr">
        <is>
          <t>KALMAR LÄN</t>
        </is>
      </c>
      <c r="E720" t="inlineStr">
        <is>
          <t>VIMMERBY</t>
        </is>
      </c>
      <c r="G720" t="n">
        <v>6.5</v>
      </c>
      <c r="H720" t="n">
        <v>0</v>
      </c>
      <c r="I720" t="n">
        <v>0</v>
      </c>
      <c r="J720" t="n">
        <v>0</v>
      </c>
      <c r="K720" t="n">
        <v>0</v>
      </c>
      <c r="L720" t="n">
        <v>0</v>
      </c>
      <c r="M720" t="n">
        <v>0</v>
      </c>
      <c r="N720" t="n">
        <v>0</v>
      </c>
      <c r="O720" t="n">
        <v>0</v>
      </c>
      <c r="P720" t="n">
        <v>0</v>
      </c>
      <c r="Q720" t="n">
        <v>0</v>
      </c>
      <c r="R720" s="2" t="inlineStr"/>
    </row>
    <row r="721" ht="15" customHeight="1">
      <c r="A721" t="inlineStr">
        <is>
          <t>A 54787-2023</t>
        </is>
      </c>
      <c r="B721" s="1" t="n">
        <v>45236</v>
      </c>
      <c r="C721" s="1" t="n">
        <v>46109</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15715-2022</t>
        </is>
      </c>
      <c r="B722" s="1" t="n">
        <v>44663</v>
      </c>
      <c r="C722" s="1" t="n">
        <v>46109</v>
      </c>
      <c r="D722" t="inlineStr">
        <is>
          <t>KALMAR LÄN</t>
        </is>
      </c>
      <c r="E722" t="inlineStr">
        <is>
          <t>VIMMERBY</t>
        </is>
      </c>
      <c r="G722" t="n">
        <v>2.3</v>
      </c>
      <c r="H722" t="n">
        <v>0</v>
      </c>
      <c r="I722" t="n">
        <v>0</v>
      </c>
      <c r="J722" t="n">
        <v>0</v>
      </c>
      <c r="K722" t="n">
        <v>0</v>
      </c>
      <c r="L722" t="n">
        <v>0</v>
      </c>
      <c r="M722" t="n">
        <v>0</v>
      </c>
      <c r="N722" t="n">
        <v>0</v>
      </c>
      <c r="O722" t="n">
        <v>0</v>
      </c>
      <c r="P722" t="n">
        <v>0</v>
      </c>
      <c r="Q722" t="n">
        <v>0</v>
      </c>
      <c r="R722" s="2" t="inlineStr"/>
    </row>
    <row r="723" ht="15" customHeight="1">
      <c r="A723" t="inlineStr">
        <is>
          <t>A 43774-2023</t>
        </is>
      </c>
      <c r="B723" s="1" t="n">
        <v>45187</v>
      </c>
      <c r="C723" s="1" t="n">
        <v>46109</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43705-2023</t>
        </is>
      </c>
      <c r="B724" s="1" t="n">
        <v>45187.42854166667</v>
      </c>
      <c r="C724" s="1" t="n">
        <v>46109</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7932-2025</t>
        </is>
      </c>
      <c r="B725" s="1" t="n">
        <v>45707.3793287037</v>
      </c>
      <c r="C725" s="1" t="n">
        <v>46109</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13532-2025</t>
        </is>
      </c>
      <c r="B726" s="1" t="n">
        <v>45736.50743055555</v>
      </c>
      <c r="C726" s="1" t="n">
        <v>46109</v>
      </c>
      <c r="D726" t="inlineStr">
        <is>
          <t>KALMAR LÄN</t>
        </is>
      </c>
      <c r="E726" t="inlineStr">
        <is>
          <t>VIMMERBY</t>
        </is>
      </c>
      <c r="G726" t="n">
        <v>3.6</v>
      </c>
      <c r="H726" t="n">
        <v>0</v>
      </c>
      <c r="I726" t="n">
        <v>0</v>
      </c>
      <c r="J726" t="n">
        <v>0</v>
      </c>
      <c r="K726" t="n">
        <v>0</v>
      </c>
      <c r="L726" t="n">
        <v>0</v>
      </c>
      <c r="M726" t="n">
        <v>0</v>
      </c>
      <c r="N726" t="n">
        <v>0</v>
      </c>
      <c r="O726" t="n">
        <v>0</v>
      </c>
      <c r="P726" t="n">
        <v>0</v>
      </c>
      <c r="Q726" t="n">
        <v>0</v>
      </c>
      <c r="R726" s="2" t="inlineStr"/>
    </row>
    <row r="727" ht="15" customHeight="1">
      <c r="A727" t="inlineStr">
        <is>
          <t>A 1978-2024</t>
        </is>
      </c>
      <c r="B727" s="1" t="n">
        <v>45308.59001157407</v>
      </c>
      <c r="C727" s="1" t="n">
        <v>46109</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6399-2025</t>
        </is>
      </c>
      <c r="B728" s="1" t="n">
        <v>45699.44291666667</v>
      </c>
      <c r="C728" s="1" t="n">
        <v>46109</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41311-2023</t>
        </is>
      </c>
      <c r="B729" s="1" t="n">
        <v>45174</v>
      </c>
      <c r="C729" s="1" t="n">
        <v>46109</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10785-2025</t>
        </is>
      </c>
      <c r="B730" s="1" t="n">
        <v>45722.48634259259</v>
      </c>
      <c r="C730" s="1" t="n">
        <v>46109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18020-2025</t>
        </is>
      </c>
      <c r="B731" s="1" t="n">
        <v>45761.4437962963</v>
      </c>
      <c r="C731" s="1" t="n">
        <v>46109</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585-2024</t>
        </is>
      </c>
      <c r="B732" s="1" t="n">
        <v>45299.62576388889</v>
      </c>
      <c r="C732" s="1" t="n">
        <v>46109</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6802-2025</t>
        </is>
      </c>
      <c r="B733" s="1" t="n">
        <v>45700.68289351852</v>
      </c>
      <c r="C733" s="1" t="n">
        <v>46109</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56020-2024</t>
        </is>
      </c>
      <c r="B734" s="1" t="n">
        <v>45623.9525462963</v>
      </c>
      <c r="C734" s="1" t="n">
        <v>46109</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33842-2022</t>
        </is>
      </c>
      <c r="B735" s="1" t="n">
        <v>44790.49523148148</v>
      </c>
      <c r="C735" s="1" t="n">
        <v>46109</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60675-2023</t>
        </is>
      </c>
      <c r="B736" s="1" t="n">
        <v>45260.4716550926</v>
      </c>
      <c r="C736" s="1" t="n">
        <v>46109</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40095-2022</t>
        </is>
      </c>
      <c r="B737" s="1" t="n">
        <v>44820</v>
      </c>
      <c r="C737" s="1" t="n">
        <v>46109</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19537-2022</t>
        </is>
      </c>
      <c r="B738" s="1" t="n">
        <v>44693.62822916666</v>
      </c>
      <c r="C738" s="1" t="n">
        <v>46109</v>
      </c>
      <c r="D738" t="inlineStr">
        <is>
          <t>KALMAR LÄN</t>
        </is>
      </c>
      <c r="E738" t="inlineStr">
        <is>
          <t>VIMMERBY</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57311-2023</t>
        </is>
      </c>
      <c r="B739" s="1" t="n">
        <v>45245.63574074074</v>
      </c>
      <c r="C739" s="1" t="n">
        <v>46109</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64428-2023</t>
        </is>
      </c>
      <c r="B740" s="1" t="n">
        <v>45280.66769675926</v>
      </c>
      <c r="C740" s="1" t="n">
        <v>46109</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4527-2023</t>
        </is>
      </c>
      <c r="B741" s="1" t="n">
        <v>44956</v>
      </c>
      <c r="C741" s="1" t="n">
        <v>46109</v>
      </c>
      <c r="D741" t="inlineStr">
        <is>
          <t>KALMAR LÄN</t>
        </is>
      </c>
      <c r="E741" t="inlineStr">
        <is>
          <t>VIMMERBY</t>
        </is>
      </c>
      <c r="F741" t="inlineStr">
        <is>
          <t>Kommuner</t>
        </is>
      </c>
      <c r="G741" t="n">
        <v>8.5</v>
      </c>
      <c r="H741" t="n">
        <v>0</v>
      </c>
      <c r="I741" t="n">
        <v>0</v>
      </c>
      <c r="J741" t="n">
        <v>0</v>
      </c>
      <c r="K741" t="n">
        <v>0</v>
      </c>
      <c r="L741" t="n">
        <v>0</v>
      </c>
      <c r="M741" t="n">
        <v>0</v>
      </c>
      <c r="N741" t="n">
        <v>0</v>
      </c>
      <c r="O741" t="n">
        <v>0</v>
      </c>
      <c r="P741" t="n">
        <v>0</v>
      </c>
      <c r="Q741" t="n">
        <v>0</v>
      </c>
      <c r="R741" s="2" t="inlineStr"/>
    </row>
    <row r="742" ht="15" customHeight="1">
      <c r="A742" t="inlineStr">
        <is>
          <t>A 3268-2024</t>
        </is>
      </c>
      <c r="B742" s="1" t="n">
        <v>45317</v>
      </c>
      <c r="C742" s="1" t="n">
        <v>46109</v>
      </c>
      <c r="D742" t="inlineStr">
        <is>
          <t>KALMAR LÄN</t>
        </is>
      </c>
      <c r="E742" t="inlineStr">
        <is>
          <t>VIMMERBY</t>
        </is>
      </c>
      <c r="F742" t="inlineStr">
        <is>
          <t>Övriga Aktiebolag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51408-2023</t>
        </is>
      </c>
      <c r="B743" s="1" t="n">
        <v>45219.69356481481</v>
      </c>
      <c r="C743" s="1" t="n">
        <v>46109</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12480-2024</t>
        </is>
      </c>
      <c r="B744" s="1" t="n">
        <v>45379</v>
      </c>
      <c r="C744" s="1" t="n">
        <v>46109</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52588-2023</t>
        </is>
      </c>
      <c r="B745" s="1" t="n">
        <v>45225.60192129629</v>
      </c>
      <c r="C745" s="1" t="n">
        <v>46109</v>
      </c>
      <c r="D745" t="inlineStr">
        <is>
          <t>KALMAR LÄN</t>
        </is>
      </c>
      <c r="E745" t="inlineStr">
        <is>
          <t>VIMMERBY</t>
        </is>
      </c>
      <c r="G745" t="n">
        <v>2.9</v>
      </c>
      <c r="H745" t="n">
        <v>0</v>
      </c>
      <c r="I745" t="n">
        <v>0</v>
      </c>
      <c r="J745" t="n">
        <v>0</v>
      </c>
      <c r="K745" t="n">
        <v>0</v>
      </c>
      <c r="L745" t="n">
        <v>0</v>
      </c>
      <c r="M745" t="n">
        <v>0</v>
      </c>
      <c r="N745" t="n">
        <v>0</v>
      </c>
      <c r="O745" t="n">
        <v>0</v>
      </c>
      <c r="P745" t="n">
        <v>0</v>
      </c>
      <c r="Q745" t="n">
        <v>0</v>
      </c>
      <c r="R745" s="2" t="inlineStr"/>
    </row>
    <row r="746" ht="15" customHeight="1">
      <c r="A746" t="inlineStr">
        <is>
          <t>A 55236-2023</t>
        </is>
      </c>
      <c r="B746" s="1" t="n">
        <v>45237.63225694445</v>
      </c>
      <c r="C746" s="1" t="n">
        <v>46109</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55245-2023</t>
        </is>
      </c>
      <c r="B747" s="1" t="n">
        <v>45237.64408564815</v>
      </c>
      <c r="C747" s="1" t="n">
        <v>46109</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19111-2025</t>
        </is>
      </c>
      <c r="B748" s="1" t="n">
        <v>45768.65611111111</v>
      </c>
      <c r="C748" s="1" t="n">
        <v>46109</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25370-2022</t>
        </is>
      </c>
      <c r="B749" s="1" t="n">
        <v>44732.3659837963</v>
      </c>
      <c r="C749" s="1" t="n">
        <v>46109</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33838-2022</t>
        </is>
      </c>
      <c r="B750" s="1" t="n">
        <v>44790.49040509259</v>
      </c>
      <c r="C750" s="1" t="n">
        <v>46109</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4058-2024</t>
        </is>
      </c>
      <c r="B751" s="1" t="n">
        <v>45323.53744212963</v>
      </c>
      <c r="C751" s="1" t="n">
        <v>46109</v>
      </c>
      <c r="D751" t="inlineStr">
        <is>
          <t>KALMAR LÄN</t>
        </is>
      </c>
      <c r="E751" t="inlineStr">
        <is>
          <t>VIMMERBY</t>
        </is>
      </c>
      <c r="G751" t="n">
        <v>6.5</v>
      </c>
      <c r="H751" t="n">
        <v>0</v>
      </c>
      <c r="I751" t="n">
        <v>0</v>
      </c>
      <c r="J751" t="n">
        <v>0</v>
      </c>
      <c r="K751" t="n">
        <v>0</v>
      </c>
      <c r="L751" t="n">
        <v>0</v>
      </c>
      <c r="M751" t="n">
        <v>0</v>
      </c>
      <c r="N751" t="n">
        <v>0</v>
      </c>
      <c r="O751" t="n">
        <v>0</v>
      </c>
      <c r="P751" t="n">
        <v>0</v>
      </c>
      <c r="Q751" t="n">
        <v>0</v>
      </c>
      <c r="R751" s="2" t="inlineStr"/>
    </row>
    <row r="752" ht="15" customHeight="1">
      <c r="A752" t="inlineStr">
        <is>
          <t>A 36008-2024</t>
        </is>
      </c>
      <c r="B752" s="1" t="n">
        <v>45533.55362268518</v>
      </c>
      <c r="C752" s="1" t="n">
        <v>46109</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18669-2025</t>
        </is>
      </c>
      <c r="B753" s="1" t="n">
        <v>45763.59436342592</v>
      </c>
      <c r="C753" s="1" t="n">
        <v>46109</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8540-2024</t>
        </is>
      </c>
      <c r="B754" s="1" t="n">
        <v>45355.54138888889</v>
      </c>
      <c r="C754" s="1" t="n">
        <v>46109</v>
      </c>
      <c r="D754" t="inlineStr">
        <is>
          <t>KALMAR LÄN</t>
        </is>
      </c>
      <c r="E754" t="inlineStr">
        <is>
          <t>VIMMERBY</t>
        </is>
      </c>
      <c r="G754" t="n">
        <v>1.9</v>
      </c>
      <c r="H754" t="n">
        <v>0</v>
      </c>
      <c r="I754" t="n">
        <v>0</v>
      </c>
      <c r="J754" t="n">
        <v>0</v>
      </c>
      <c r="K754" t="n">
        <v>0</v>
      </c>
      <c r="L754" t="n">
        <v>0</v>
      </c>
      <c r="M754" t="n">
        <v>0</v>
      </c>
      <c r="N754" t="n">
        <v>0</v>
      </c>
      <c r="O754" t="n">
        <v>0</v>
      </c>
      <c r="P754" t="n">
        <v>0</v>
      </c>
      <c r="Q754" t="n">
        <v>0</v>
      </c>
      <c r="R754" s="2" t="inlineStr"/>
    </row>
    <row r="755" ht="15" customHeight="1">
      <c r="A755" t="inlineStr">
        <is>
          <t>A 9623-2024</t>
        </is>
      </c>
      <c r="B755" s="1" t="n">
        <v>45361.87975694444</v>
      </c>
      <c r="C755" s="1" t="n">
        <v>46109</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5146-2024</t>
        </is>
      </c>
      <c r="B756" s="1" t="n">
        <v>45330</v>
      </c>
      <c r="C756" s="1" t="n">
        <v>46109</v>
      </c>
      <c r="D756" t="inlineStr">
        <is>
          <t>KALMAR LÄN</t>
        </is>
      </c>
      <c r="E756" t="inlineStr">
        <is>
          <t>VIMMERBY</t>
        </is>
      </c>
      <c r="G756" t="n">
        <v>5.3</v>
      </c>
      <c r="H756" t="n">
        <v>0</v>
      </c>
      <c r="I756" t="n">
        <v>0</v>
      </c>
      <c r="J756" t="n">
        <v>0</v>
      </c>
      <c r="K756" t="n">
        <v>0</v>
      </c>
      <c r="L756" t="n">
        <v>0</v>
      </c>
      <c r="M756" t="n">
        <v>0</v>
      </c>
      <c r="N756" t="n">
        <v>0</v>
      </c>
      <c r="O756" t="n">
        <v>0</v>
      </c>
      <c r="P756" t="n">
        <v>0</v>
      </c>
      <c r="Q756" t="n">
        <v>0</v>
      </c>
      <c r="R756" s="2" t="inlineStr"/>
    </row>
    <row r="757" ht="15" customHeight="1">
      <c r="A757" t="inlineStr">
        <is>
          <t>A 5148-2024</t>
        </is>
      </c>
      <c r="B757" s="1" t="n">
        <v>45330</v>
      </c>
      <c r="C757" s="1" t="n">
        <v>46109</v>
      </c>
      <c r="D757" t="inlineStr">
        <is>
          <t>KALMAR LÄN</t>
        </is>
      </c>
      <c r="E757" t="inlineStr">
        <is>
          <t>VIMMERBY</t>
        </is>
      </c>
      <c r="G757" t="n">
        <v>5.6</v>
      </c>
      <c r="H757" t="n">
        <v>0</v>
      </c>
      <c r="I757" t="n">
        <v>0</v>
      </c>
      <c r="J757" t="n">
        <v>0</v>
      </c>
      <c r="K757" t="n">
        <v>0</v>
      </c>
      <c r="L757" t="n">
        <v>0</v>
      </c>
      <c r="M757" t="n">
        <v>0</v>
      </c>
      <c r="N757" t="n">
        <v>0</v>
      </c>
      <c r="O757" t="n">
        <v>0</v>
      </c>
      <c r="P757" t="n">
        <v>0</v>
      </c>
      <c r="Q757" t="n">
        <v>0</v>
      </c>
      <c r="R757" s="2" t="inlineStr"/>
    </row>
    <row r="758" ht="15" customHeight="1">
      <c r="A758" t="inlineStr">
        <is>
          <t>A 44179-2022</t>
        </is>
      </c>
      <c r="B758" s="1" t="n">
        <v>44839.4528125</v>
      </c>
      <c r="C758" s="1" t="n">
        <v>46109</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50648-2023</t>
        </is>
      </c>
      <c r="B759" s="1" t="n">
        <v>45217.47834490741</v>
      </c>
      <c r="C759" s="1" t="n">
        <v>46109</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2121-2022</t>
        </is>
      </c>
      <c r="B760" s="1" t="n">
        <v>44578.32717592592</v>
      </c>
      <c r="C760" s="1" t="n">
        <v>46109</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57799-2022</t>
        </is>
      </c>
      <c r="B761" s="1" t="n">
        <v>44897</v>
      </c>
      <c r="C761" s="1" t="n">
        <v>46109</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15394-2025</t>
        </is>
      </c>
      <c r="B762" s="1" t="n">
        <v>45747.43196759259</v>
      </c>
      <c r="C762" s="1" t="n">
        <v>46109</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26318-2023</t>
        </is>
      </c>
      <c r="B763" s="1" t="n">
        <v>45091.67936342592</v>
      </c>
      <c r="C763" s="1" t="n">
        <v>46109</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60437-2023</t>
        </is>
      </c>
      <c r="B764" s="1" t="n">
        <v>45259.51916666667</v>
      </c>
      <c r="C764" s="1" t="n">
        <v>46109</v>
      </c>
      <c r="D764" t="inlineStr">
        <is>
          <t>KALMAR LÄN</t>
        </is>
      </c>
      <c r="E764" t="inlineStr">
        <is>
          <t>VIMMERBY</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60438-2023</t>
        </is>
      </c>
      <c r="B765" s="1" t="n">
        <v>45259.52020833334</v>
      </c>
      <c r="C765" s="1" t="n">
        <v>46109</v>
      </c>
      <c r="D765" t="inlineStr">
        <is>
          <t>KALMAR LÄN</t>
        </is>
      </c>
      <c r="E765" t="inlineStr">
        <is>
          <t>VIMMERBY</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46109</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7456-2024</t>
        </is>
      </c>
      <c r="B767" s="1" t="n">
        <v>45345.83557870371</v>
      </c>
      <c r="C767" s="1" t="n">
        <v>46109</v>
      </c>
      <c r="D767" t="inlineStr">
        <is>
          <t>KALMAR LÄN</t>
        </is>
      </c>
      <c r="E767" t="inlineStr">
        <is>
          <t>VIMMERBY</t>
        </is>
      </c>
      <c r="G767" t="n">
        <v>4.1</v>
      </c>
      <c r="H767" t="n">
        <v>0</v>
      </c>
      <c r="I767" t="n">
        <v>0</v>
      </c>
      <c r="J767" t="n">
        <v>0</v>
      </c>
      <c r="K767" t="n">
        <v>0</v>
      </c>
      <c r="L767" t="n">
        <v>0</v>
      </c>
      <c r="M767" t="n">
        <v>0</v>
      </c>
      <c r="N767" t="n">
        <v>0</v>
      </c>
      <c r="O767" t="n">
        <v>0</v>
      </c>
      <c r="P767" t="n">
        <v>0</v>
      </c>
      <c r="Q767" t="n">
        <v>0</v>
      </c>
      <c r="R767" s="2" t="inlineStr"/>
    </row>
    <row r="768" ht="15" customHeight="1">
      <c r="A768" t="inlineStr">
        <is>
          <t>A 6082-2022</t>
        </is>
      </c>
      <c r="B768" s="1" t="n">
        <v>44599</v>
      </c>
      <c r="C768" s="1" t="n">
        <v>46109</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46979-2023</t>
        </is>
      </c>
      <c r="B769" s="1" t="n">
        <v>45201</v>
      </c>
      <c r="C769" s="1" t="n">
        <v>46109</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2596-2025</t>
        </is>
      </c>
      <c r="B770" s="1" t="n">
        <v>45674.71810185185</v>
      </c>
      <c r="C770" s="1" t="n">
        <v>46109</v>
      </c>
      <c r="D770" t="inlineStr">
        <is>
          <t>KALMAR LÄN</t>
        </is>
      </c>
      <c r="E770" t="inlineStr">
        <is>
          <t>VIMMERBY</t>
        </is>
      </c>
      <c r="G770" t="n">
        <v>9</v>
      </c>
      <c r="H770" t="n">
        <v>0</v>
      </c>
      <c r="I770" t="n">
        <v>0</v>
      </c>
      <c r="J770" t="n">
        <v>0</v>
      </c>
      <c r="K770" t="n">
        <v>0</v>
      </c>
      <c r="L770" t="n">
        <v>0</v>
      </c>
      <c r="M770" t="n">
        <v>0</v>
      </c>
      <c r="N770" t="n">
        <v>0</v>
      </c>
      <c r="O770" t="n">
        <v>0</v>
      </c>
      <c r="P770" t="n">
        <v>0</v>
      </c>
      <c r="Q770" t="n">
        <v>0</v>
      </c>
      <c r="R770" s="2" t="inlineStr"/>
    </row>
    <row r="771" ht="15" customHeight="1">
      <c r="A771" t="inlineStr">
        <is>
          <t>A 47855-2024</t>
        </is>
      </c>
      <c r="B771" s="1" t="n">
        <v>45588.66457175926</v>
      </c>
      <c r="C771" s="1" t="n">
        <v>46109</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63583-2023</t>
        </is>
      </c>
      <c r="B772" s="1" t="n">
        <v>45275.41833333333</v>
      </c>
      <c r="C772" s="1" t="n">
        <v>46109</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60228-2021</t>
        </is>
      </c>
      <c r="B773" s="1" t="n">
        <v>44495</v>
      </c>
      <c r="C773" s="1" t="n">
        <v>46109</v>
      </c>
      <c r="D773" t="inlineStr">
        <is>
          <t>KALMAR LÄN</t>
        </is>
      </c>
      <c r="E773" t="inlineStr">
        <is>
          <t>VIMMERBY</t>
        </is>
      </c>
      <c r="G773" t="n">
        <v>4.1</v>
      </c>
      <c r="H773" t="n">
        <v>0</v>
      </c>
      <c r="I773" t="n">
        <v>0</v>
      </c>
      <c r="J773" t="n">
        <v>0</v>
      </c>
      <c r="K773" t="n">
        <v>0</v>
      </c>
      <c r="L773" t="n">
        <v>0</v>
      </c>
      <c r="M773" t="n">
        <v>0</v>
      </c>
      <c r="N773" t="n">
        <v>0</v>
      </c>
      <c r="O773" t="n">
        <v>0</v>
      </c>
      <c r="P773" t="n">
        <v>0</v>
      </c>
      <c r="Q773" t="n">
        <v>0</v>
      </c>
      <c r="R773" s="2" t="inlineStr"/>
    </row>
    <row r="774" ht="15" customHeight="1">
      <c r="A774" t="inlineStr">
        <is>
          <t>A 46522-2022</t>
        </is>
      </c>
      <c r="B774" s="1" t="n">
        <v>44848.59133101852</v>
      </c>
      <c r="C774" s="1" t="n">
        <v>46109</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21109-2024</t>
        </is>
      </c>
      <c r="B775" s="1" t="n">
        <v>45440.28329861111</v>
      </c>
      <c r="C775" s="1" t="n">
        <v>46109</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33815-2022</t>
        </is>
      </c>
      <c r="B776" s="1" t="n">
        <v>44790.45876157407</v>
      </c>
      <c r="C776" s="1" t="n">
        <v>46109</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49461-2022</t>
        </is>
      </c>
      <c r="B777" s="1" t="n">
        <v>44861</v>
      </c>
      <c r="C777" s="1" t="n">
        <v>46109</v>
      </c>
      <c r="D777" t="inlineStr">
        <is>
          <t>KALMAR LÄN</t>
        </is>
      </c>
      <c r="E777" t="inlineStr">
        <is>
          <t>VIMMERBY</t>
        </is>
      </c>
      <c r="G777" t="n">
        <v>3.2</v>
      </c>
      <c r="H777" t="n">
        <v>0</v>
      </c>
      <c r="I777" t="n">
        <v>0</v>
      </c>
      <c r="J777" t="n">
        <v>0</v>
      </c>
      <c r="K777" t="n">
        <v>0</v>
      </c>
      <c r="L777" t="n">
        <v>0</v>
      </c>
      <c r="M777" t="n">
        <v>0</v>
      </c>
      <c r="N777" t="n">
        <v>0</v>
      </c>
      <c r="O777" t="n">
        <v>0</v>
      </c>
      <c r="P777" t="n">
        <v>0</v>
      </c>
      <c r="Q777" t="n">
        <v>0</v>
      </c>
      <c r="R777" s="2" t="inlineStr"/>
    </row>
    <row r="778" ht="15" customHeight="1">
      <c r="A778" t="inlineStr">
        <is>
          <t>A 53542-2022</t>
        </is>
      </c>
      <c r="B778" s="1" t="n">
        <v>44879.62173611111</v>
      </c>
      <c r="C778" s="1" t="n">
        <v>46109</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35713-2023</t>
        </is>
      </c>
      <c r="B779" s="1" t="n">
        <v>45147</v>
      </c>
      <c r="C779" s="1" t="n">
        <v>46109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10424-2023</t>
        </is>
      </c>
      <c r="B780" s="1" t="n">
        <v>44987.54104166666</v>
      </c>
      <c r="C780" s="1" t="n">
        <v>46109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33340-2023</t>
        </is>
      </c>
      <c r="B781" s="1" t="n">
        <v>45128.37305555555</v>
      </c>
      <c r="C781" s="1" t="n">
        <v>46109</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29017-2024</t>
        </is>
      </c>
      <c r="B782" s="1" t="n">
        <v>45481.56722222222</v>
      </c>
      <c r="C782" s="1" t="n">
        <v>46109</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58046-2022</t>
        </is>
      </c>
      <c r="B783" s="1" t="n">
        <v>44900.57393518519</v>
      </c>
      <c r="C783" s="1" t="n">
        <v>46109</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14548-2024</t>
        </is>
      </c>
      <c r="B784" s="1" t="n">
        <v>45394.66887731481</v>
      </c>
      <c r="C784" s="1" t="n">
        <v>46109</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48120-2022</t>
        </is>
      </c>
      <c r="B785" s="1" t="n">
        <v>44857.65989583333</v>
      </c>
      <c r="C785" s="1" t="n">
        <v>46109</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3423-2022</t>
        </is>
      </c>
      <c r="B786" s="1" t="n">
        <v>44585.50431712963</v>
      </c>
      <c r="C786" s="1" t="n">
        <v>46109</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11074-2023</t>
        </is>
      </c>
      <c r="B787" s="1" t="n">
        <v>44992.34151620371</v>
      </c>
      <c r="C787" s="1" t="n">
        <v>46109</v>
      </c>
      <c r="D787" t="inlineStr">
        <is>
          <t>KALMAR LÄN</t>
        </is>
      </c>
      <c r="E787" t="inlineStr">
        <is>
          <t>VIMMERBY</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71631-2021</t>
        </is>
      </c>
      <c r="B788" s="1" t="n">
        <v>44542.90072916666</v>
      </c>
      <c r="C788" s="1" t="n">
        <v>46109</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49039-2021</t>
        </is>
      </c>
      <c r="B789" s="1" t="n">
        <v>44453.56578703703</v>
      </c>
      <c r="C789" s="1" t="n">
        <v>46109</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42918-2021</t>
        </is>
      </c>
      <c r="B790" s="1" t="n">
        <v>44431</v>
      </c>
      <c r="C790" s="1" t="n">
        <v>46109</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529-2022</t>
        </is>
      </c>
      <c r="B791" s="1" t="n">
        <v>44566</v>
      </c>
      <c r="C791" s="1" t="n">
        <v>46109</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14855-2025</t>
        </is>
      </c>
      <c r="B792" s="1" t="n">
        <v>45743.41148148148</v>
      </c>
      <c r="C792" s="1" t="n">
        <v>46109</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60951-2023</t>
        </is>
      </c>
      <c r="B793" s="1" t="n">
        <v>45261.44914351852</v>
      </c>
      <c r="C793" s="1" t="n">
        <v>46109</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19162-2023</t>
        </is>
      </c>
      <c r="B794" s="1" t="n">
        <v>45048.59699074074</v>
      </c>
      <c r="C794" s="1" t="n">
        <v>46109</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31209-2024</t>
        </is>
      </c>
      <c r="B795" s="1" t="n">
        <v>45503.5658912037</v>
      </c>
      <c r="C795" s="1" t="n">
        <v>46109</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5864-2022</t>
        </is>
      </c>
      <c r="B796" s="1" t="n">
        <v>44596</v>
      </c>
      <c r="C796" s="1" t="n">
        <v>46109</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3938-2023</t>
        </is>
      </c>
      <c r="B797" s="1" t="n">
        <v>44952.35775462963</v>
      </c>
      <c r="C797" s="1" t="n">
        <v>46109</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26937-2023</t>
        </is>
      </c>
      <c r="B798" s="1" t="n">
        <v>45093.62777777778</v>
      </c>
      <c r="C798" s="1" t="n">
        <v>46109</v>
      </c>
      <c r="D798" t="inlineStr">
        <is>
          <t>KALMAR LÄN</t>
        </is>
      </c>
      <c r="E798" t="inlineStr">
        <is>
          <t>VIMMERBY</t>
        </is>
      </c>
      <c r="F798" t="inlineStr">
        <is>
          <t>Sveaskog</t>
        </is>
      </c>
      <c r="G798" t="n">
        <v>14.5</v>
      </c>
      <c r="H798" t="n">
        <v>0</v>
      </c>
      <c r="I798" t="n">
        <v>0</v>
      </c>
      <c r="J798" t="n">
        <v>0</v>
      </c>
      <c r="K798" t="n">
        <v>0</v>
      </c>
      <c r="L798" t="n">
        <v>0</v>
      </c>
      <c r="M798" t="n">
        <v>0</v>
      </c>
      <c r="N798" t="n">
        <v>0</v>
      </c>
      <c r="O798" t="n">
        <v>0</v>
      </c>
      <c r="P798" t="n">
        <v>0</v>
      </c>
      <c r="Q798" t="n">
        <v>0</v>
      </c>
      <c r="R798" s="2" t="inlineStr"/>
    </row>
    <row r="799" ht="15" customHeight="1">
      <c r="A799" t="inlineStr">
        <is>
          <t>A 50085-2023</t>
        </is>
      </c>
      <c r="B799" s="1" t="n">
        <v>45215.5959375</v>
      </c>
      <c r="C799" s="1" t="n">
        <v>46109</v>
      </c>
      <c r="D799" t="inlineStr">
        <is>
          <t>KALMAR LÄN</t>
        </is>
      </c>
      <c r="E799" t="inlineStr">
        <is>
          <t>VIMMERBY</t>
        </is>
      </c>
      <c r="G799" t="n">
        <v>1.1</v>
      </c>
      <c r="H799" t="n">
        <v>0</v>
      </c>
      <c r="I799" t="n">
        <v>0</v>
      </c>
      <c r="J799" t="n">
        <v>0</v>
      </c>
      <c r="K799" t="n">
        <v>0</v>
      </c>
      <c r="L799" t="n">
        <v>0</v>
      </c>
      <c r="M799" t="n">
        <v>0</v>
      </c>
      <c r="N799" t="n">
        <v>0</v>
      </c>
      <c r="O799" t="n">
        <v>0</v>
      </c>
      <c r="P799" t="n">
        <v>0</v>
      </c>
      <c r="Q799" t="n">
        <v>0</v>
      </c>
      <c r="R799" s="2" t="inlineStr"/>
    </row>
    <row r="800" ht="15" customHeight="1">
      <c r="A800" t="inlineStr">
        <is>
          <t>A 11219-2023</t>
        </is>
      </c>
      <c r="B800" s="1" t="n">
        <v>44992.62498842592</v>
      </c>
      <c r="C800" s="1" t="n">
        <v>46109</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6850-2023</t>
        </is>
      </c>
      <c r="B801" s="1" t="n">
        <v>44967.44255787037</v>
      </c>
      <c r="C801" s="1" t="n">
        <v>46109</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6358-2022</t>
        </is>
      </c>
      <c r="B802" s="1" t="n">
        <v>44600</v>
      </c>
      <c r="C802" s="1" t="n">
        <v>46109</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43853-2023</t>
        </is>
      </c>
      <c r="B803" s="1" t="n">
        <v>45187.60813657408</v>
      </c>
      <c r="C803" s="1" t="n">
        <v>46109</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48673-2021</t>
        </is>
      </c>
      <c r="B804" s="1" t="n">
        <v>44452</v>
      </c>
      <c r="C804" s="1" t="n">
        <v>46109</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14137-2023</t>
        </is>
      </c>
      <c r="B805" s="1" t="n">
        <v>45009.4671875</v>
      </c>
      <c r="C805" s="1" t="n">
        <v>46109</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7630-2025</t>
        </is>
      </c>
      <c r="B806" s="1" t="n">
        <v>45705.74418981482</v>
      </c>
      <c r="C806" s="1" t="n">
        <v>46109</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38780-2021</t>
        </is>
      </c>
      <c r="B807" s="1" t="n">
        <v>44410</v>
      </c>
      <c r="C807" s="1" t="n">
        <v>46109</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30503-2023</t>
        </is>
      </c>
      <c r="B808" s="1" t="n">
        <v>45111</v>
      </c>
      <c r="C808" s="1" t="n">
        <v>46109</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60110-2022</t>
        </is>
      </c>
      <c r="B809" s="1" t="n">
        <v>44909</v>
      </c>
      <c r="C809" s="1" t="n">
        <v>46109</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59300-2024</t>
        </is>
      </c>
      <c r="B810" s="1" t="n">
        <v>45637.66542824074</v>
      </c>
      <c r="C810" s="1" t="n">
        <v>46109</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19445-2021</t>
        </is>
      </c>
      <c r="B811" s="1" t="n">
        <v>44310</v>
      </c>
      <c r="C811" s="1" t="n">
        <v>46109</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46109</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46109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46109</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46109</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46109</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46109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46109</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46109</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46109</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46109</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46109</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46109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46109</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46109</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46109</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46109</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46109</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46109</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46109</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46109</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46109</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46109</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46109</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46109</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46109</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46109</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46109</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46109</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46109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46109</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46109</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46109</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46109</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46109</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46109</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46109</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46109</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46109</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46109</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18411-2021</t>
        </is>
      </c>
      <c r="B851" s="1" t="n">
        <v>44302</v>
      </c>
      <c r="C851" s="1" t="n">
        <v>46109</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52279-2023</t>
        </is>
      </c>
      <c r="B852" s="1" t="n">
        <v>45224</v>
      </c>
      <c r="C852" s="1" t="n">
        <v>46109</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52324-2023</t>
        </is>
      </c>
      <c r="B853" s="1" t="n">
        <v>45224.64659722222</v>
      </c>
      <c r="C853" s="1" t="n">
        <v>46109</v>
      </c>
      <c r="D853" t="inlineStr">
        <is>
          <t>KALMAR LÄN</t>
        </is>
      </c>
      <c r="E853" t="inlineStr">
        <is>
          <t>VIMMERBY</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32639-2023</t>
        </is>
      </c>
      <c r="B854" s="1" t="n">
        <v>45121.5965162037</v>
      </c>
      <c r="C854" s="1" t="n">
        <v>46109</v>
      </c>
      <c r="D854" t="inlineStr">
        <is>
          <t>KALMAR LÄN</t>
        </is>
      </c>
      <c r="E854" t="inlineStr">
        <is>
          <t>VIMMERBY</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32642-2023</t>
        </is>
      </c>
      <c r="B855" s="1" t="n">
        <v>45121.59954861111</v>
      </c>
      <c r="C855" s="1" t="n">
        <v>46109</v>
      </c>
      <c r="D855" t="inlineStr">
        <is>
          <t>KALMAR LÄN</t>
        </is>
      </c>
      <c r="E855" t="inlineStr">
        <is>
          <t>VIMMERBY</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32651-2023</t>
        </is>
      </c>
      <c r="B856" s="1" t="n">
        <v>45121.6096875</v>
      </c>
      <c r="C856" s="1" t="n">
        <v>46109</v>
      </c>
      <c r="D856" t="inlineStr">
        <is>
          <t>KALMAR LÄN</t>
        </is>
      </c>
      <c r="E856" t="inlineStr">
        <is>
          <t>VIMMERBY</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40730-2024</t>
        </is>
      </c>
      <c r="B857" s="1" t="n">
        <v>45558.44914351852</v>
      </c>
      <c r="C857" s="1" t="n">
        <v>46109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9643-2023</t>
        </is>
      </c>
      <c r="B858" s="1" t="n">
        <v>44984</v>
      </c>
      <c r="C858" s="1" t="n">
        <v>46109</v>
      </c>
      <c r="D858" t="inlineStr">
        <is>
          <t>KALMAR LÄN</t>
        </is>
      </c>
      <c r="E858" t="inlineStr">
        <is>
          <t>VIMMERBY</t>
        </is>
      </c>
      <c r="G858" t="n">
        <v>2</v>
      </c>
      <c r="H858" t="n">
        <v>0</v>
      </c>
      <c r="I858" t="n">
        <v>0</v>
      </c>
      <c r="J858" t="n">
        <v>0</v>
      </c>
      <c r="K858" t="n">
        <v>0</v>
      </c>
      <c r="L858" t="n">
        <v>0</v>
      </c>
      <c r="M858" t="n">
        <v>0</v>
      </c>
      <c r="N858" t="n">
        <v>0</v>
      </c>
      <c r="O858" t="n">
        <v>0</v>
      </c>
      <c r="P858" t="n">
        <v>0</v>
      </c>
      <c r="Q858" t="n">
        <v>0</v>
      </c>
      <c r="R858" s="2" t="inlineStr"/>
    </row>
    <row r="859" ht="15" customHeight="1">
      <c r="A859" t="inlineStr">
        <is>
          <t>A 56213-2024</t>
        </is>
      </c>
      <c r="B859" s="1" t="n">
        <v>45624.60141203704</v>
      </c>
      <c r="C859" s="1" t="n">
        <v>46109</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20126-2024</t>
        </is>
      </c>
      <c r="B860" s="1" t="n">
        <v>45434.55471064815</v>
      </c>
      <c r="C860" s="1" t="n">
        <v>46109</v>
      </c>
      <c r="D860" t="inlineStr">
        <is>
          <t>KALMAR LÄN</t>
        </is>
      </c>
      <c r="E860" t="inlineStr">
        <is>
          <t>VIMMERBY</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19865-2021</t>
        </is>
      </c>
      <c r="B861" s="1" t="n">
        <v>44312</v>
      </c>
      <c r="C861" s="1" t="n">
        <v>46109</v>
      </c>
      <c r="D861" t="inlineStr">
        <is>
          <t>KALMAR LÄN</t>
        </is>
      </c>
      <c r="E861" t="inlineStr">
        <is>
          <t>VIMMERBY</t>
        </is>
      </c>
      <c r="G861" t="n">
        <v>8.6</v>
      </c>
      <c r="H861" t="n">
        <v>0</v>
      </c>
      <c r="I861" t="n">
        <v>0</v>
      </c>
      <c r="J861" t="n">
        <v>0</v>
      </c>
      <c r="K861" t="n">
        <v>0</v>
      </c>
      <c r="L861" t="n">
        <v>0</v>
      </c>
      <c r="M861" t="n">
        <v>0</v>
      </c>
      <c r="N861" t="n">
        <v>0</v>
      </c>
      <c r="O861" t="n">
        <v>0</v>
      </c>
      <c r="P861" t="n">
        <v>0</v>
      </c>
      <c r="Q861" t="n">
        <v>0</v>
      </c>
      <c r="R861" s="2" t="inlineStr"/>
    </row>
    <row r="862" ht="15" customHeight="1">
      <c r="A862" t="inlineStr">
        <is>
          <t>A 9694-2023</t>
        </is>
      </c>
      <c r="B862" s="1" t="n">
        <v>44984.45895833334</v>
      </c>
      <c r="C862" s="1" t="n">
        <v>46109</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9710-2023</t>
        </is>
      </c>
      <c r="B863" s="1" t="n">
        <v>44984</v>
      </c>
      <c r="C863" s="1" t="n">
        <v>46109</v>
      </c>
      <c r="D863" t="inlineStr">
        <is>
          <t>KALMAR LÄN</t>
        </is>
      </c>
      <c r="E863" t="inlineStr">
        <is>
          <t>VIMMERBY</t>
        </is>
      </c>
      <c r="G863" t="n">
        <v>3.7</v>
      </c>
      <c r="H863" t="n">
        <v>0</v>
      </c>
      <c r="I863" t="n">
        <v>0</v>
      </c>
      <c r="J863" t="n">
        <v>0</v>
      </c>
      <c r="K863" t="n">
        <v>0</v>
      </c>
      <c r="L863" t="n">
        <v>0</v>
      </c>
      <c r="M863" t="n">
        <v>0</v>
      </c>
      <c r="N863" t="n">
        <v>0</v>
      </c>
      <c r="O863" t="n">
        <v>0</v>
      </c>
      <c r="P863" t="n">
        <v>0</v>
      </c>
      <c r="Q863" t="n">
        <v>0</v>
      </c>
      <c r="R863" s="2" t="inlineStr"/>
    </row>
    <row r="864" ht="15" customHeight="1">
      <c r="A864" t="inlineStr">
        <is>
          <t>A 6216-2025</t>
        </is>
      </c>
      <c r="B864" s="1" t="n">
        <v>45698.52806712963</v>
      </c>
      <c r="C864" s="1" t="n">
        <v>46109</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7944-2024</t>
        </is>
      </c>
      <c r="B865" s="1" t="n">
        <v>45350.53306712963</v>
      </c>
      <c r="C865" s="1" t="n">
        <v>46109</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598-2025</t>
        </is>
      </c>
      <c r="B866" s="1" t="n">
        <v>45660</v>
      </c>
      <c r="C866" s="1" t="n">
        <v>46109</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10807-2024</t>
        </is>
      </c>
      <c r="B867" s="1" t="n">
        <v>45369.62780092593</v>
      </c>
      <c r="C867" s="1" t="n">
        <v>46109</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40260-2024</t>
        </is>
      </c>
      <c r="B868" s="1" t="n">
        <v>45554.63225694445</v>
      </c>
      <c r="C868" s="1" t="n">
        <v>46109</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10787-2025</t>
        </is>
      </c>
      <c r="B869" s="1" t="n">
        <v>45722.48915509259</v>
      </c>
      <c r="C869" s="1" t="n">
        <v>46109</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58577-2024</t>
        </is>
      </c>
      <c r="B870" s="1" t="n">
        <v>45635.4874537037</v>
      </c>
      <c r="C870" s="1" t="n">
        <v>46109</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38198-2024</t>
        </is>
      </c>
      <c r="B871" s="1" t="n">
        <v>45545.49508101852</v>
      </c>
      <c r="C871" s="1" t="n">
        <v>46109</v>
      </c>
      <c r="D871" t="inlineStr">
        <is>
          <t>KALMAR LÄN</t>
        </is>
      </c>
      <c r="E871" t="inlineStr">
        <is>
          <t>VIMMERBY</t>
        </is>
      </c>
      <c r="G871" t="n">
        <v>7.9</v>
      </c>
      <c r="H871" t="n">
        <v>0</v>
      </c>
      <c r="I871" t="n">
        <v>0</v>
      </c>
      <c r="J871" t="n">
        <v>0</v>
      </c>
      <c r="K871" t="n">
        <v>0</v>
      </c>
      <c r="L871" t="n">
        <v>0</v>
      </c>
      <c r="M871" t="n">
        <v>0</v>
      </c>
      <c r="N871" t="n">
        <v>0</v>
      </c>
      <c r="O871" t="n">
        <v>0</v>
      </c>
      <c r="P871" t="n">
        <v>0</v>
      </c>
      <c r="Q871" t="n">
        <v>0</v>
      </c>
      <c r="R871" s="2" t="inlineStr"/>
    </row>
    <row r="872" ht="15" customHeight="1">
      <c r="A872" t="inlineStr">
        <is>
          <t>A 43617-2024</t>
        </is>
      </c>
      <c r="B872" s="1" t="n">
        <v>45569.47494212963</v>
      </c>
      <c r="C872" s="1" t="n">
        <v>46109</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45070.3665625</v>
      </c>
      <c r="C873" s="1" t="n">
        <v>46109</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22266-2023</t>
        </is>
      </c>
      <c r="B874" s="1" t="n">
        <v>45070</v>
      </c>
      <c r="C874" s="1" t="n">
        <v>46109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50091-2023</t>
        </is>
      </c>
      <c r="B875" s="1" t="n">
        <v>45215.60199074074</v>
      </c>
      <c r="C875" s="1" t="n">
        <v>46109</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10303-2025</t>
        </is>
      </c>
      <c r="B876" s="1" t="n">
        <v>45720.44217592593</v>
      </c>
      <c r="C876" s="1" t="n">
        <v>46109</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11027-2023</t>
        </is>
      </c>
      <c r="B877" s="1" t="n">
        <v>44991.89657407408</v>
      </c>
      <c r="C877" s="1" t="n">
        <v>46109</v>
      </c>
      <c r="D877" t="inlineStr">
        <is>
          <t>KALMAR LÄN</t>
        </is>
      </c>
      <c r="E877" t="inlineStr">
        <is>
          <t>VIMMERBY</t>
        </is>
      </c>
      <c r="G877" t="n">
        <v>0.8</v>
      </c>
      <c r="H877" t="n">
        <v>0</v>
      </c>
      <c r="I877" t="n">
        <v>0</v>
      </c>
      <c r="J877" t="n">
        <v>0</v>
      </c>
      <c r="K877" t="n">
        <v>0</v>
      </c>
      <c r="L877" t="n">
        <v>0</v>
      </c>
      <c r="M877" t="n">
        <v>0</v>
      </c>
      <c r="N877" t="n">
        <v>0</v>
      </c>
      <c r="O877" t="n">
        <v>0</v>
      </c>
      <c r="P877" t="n">
        <v>0</v>
      </c>
      <c r="Q877" t="n">
        <v>0</v>
      </c>
      <c r="R877" s="2" t="inlineStr"/>
    </row>
    <row r="878" ht="15" customHeight="1">
      <c r="A878" t="inlineStr">
        <is>
          <t>A 11661-2023</t>
        </is>
      </c>
      <c r="B878" s="1" t="n">
        <v>44994.46908564815</v>
      </c>
      <c r="C878" s="1" t="n">
        <v>46109</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36155-2023</t>
        </is>
      </c>
      <c r="B879" s="1" t="n">
        <v>45149.60917824074</v>
      </c>
      <c r="C879" s="1" t="n">
        <v>46109</v>
      </c>
      <c r="D879" t="inlineStr">
        <is>
          <t>KALMAR LÄN</t>
        </is>
      </c>
      <c r="E879" t="inlineStr">
        <is>
          <t>VIMMERBY</t>
        </is>
      </c>
      <c r="G879" t="n">
        <v>5</v>
      </c>
      <c r="H879" t="n">
        <v>0</v>
      </c>
      <c r="I879" t="n">
        <v>0</v>
      </c>
      <c r="J879" t="n">
        <v>0</v>
      </c>
      <c r="K879" t="n">
        <v>0</v>
      </c>
      <c r="L879" t="n">
        <v>0</v>
      </c>
      <c r="M879" t="n">
        <v>0</v>
      </c>
      <c r="N879" t="n">
        <v>0</v>
      </c>
      <c r="O879" t="n">
        <v>0</v>
      </c>
      <c r="P879" t="n">
        <v>0</v>
      </c>
      <c r="Q879" t="n">
        <v>0</v>
      </c>
      <c r="R879" s="2" t="inlineStr"/>
    </row>
    <row r="880" ht="15" customHeight="1">
      <c r="A880" t="inlineStr">
        <is>
          <t>A 40147-2023</t>
        </is>
      </c>
      <c r="B880" s="1" t="n">
        <v>45169</v>
      </c>
      <c r="C880" s="1" t="n">
        <v>46109</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63950-2023</t>
        </is>
      </c>
      <c r="B881" s="1" t="n">
        <v>45278</v>
      </c>
      <c r="C881" s="1" t="n">
        <v>46109</v>
      </c>
      <c r="D881" t="inlineStr">
        <is>
          <t>KALMAR LÄN</t>
        </is>
      </c>
      <c r="E881" t="inlineStr">
        <is>
          <t>VIMMERBY</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24096-2024</t>
        </is>
      </c>
      <c r="B882" s="1" t="n">
        <v>45456.59289351852</v>
      </c>
      <c r="C882" s="1" t="n">
        <v>46109</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13015-2023</t>
        </is>
      </c>
      <c r="B883" s="1" t="n">
        <v>45002</v>
      </c>
      <c r="C883" s="1" t="n">
        <v>46109</v>
      </c>
      <c r="D883" t="inlineStr">
        <is>
          <t>KALMAR LÄN</t>
        </is>
      </c>
      <c r="E883" t="inlineStr">
        <is>
          <t>VIMMERBY</t>
        </is>
      </c>
      <c r="G883" t="n">
        <v>3.2</v>
      </c>
      <c r="H883" t="n">
        <v>0</v>
      </c>
      <c r="I883" t="n">
        <v>0</v>
      </c>
      <c r="J883" t="n">
        <v>0</v>
      </c>
      <c r="K883" t="n">
        <v>0</v>
      </c>
      <c r="L883" t="n">
        <v>0</v>
      </c>
      <c r="M883" t="n">
        <v>0</v>
      </c>
      <c r="N883" t="n">
        <v>0</v>
      </c>
      <c r="O883" t="n">
        <v>0</v>
      </c>
      <c r="P883" t="n">
        <v>0</v>
      </c>
      <c r="Q883" t="n">
        <v>0</v>
      </c>
      <c r="R883" s="2" t="inlineStr"/>
    </row>
    <row r="884" ht="15" customHeight="1">
      <c r="A884" t="inlineStr">
        <is>
          <t>A 41199-2023</t>
        </is>
      </c>
      <c r="B884" s="1" t="n">
        <v>45174.40454861111</v>
      </c>
      <c r="C884" s="1" t="n">
        <v>46109</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46109</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46109</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6321-2023</t>
        </is>
      </c>
      <c r="B887" s="1" t="n">
        <v>44965.4815162037</v>
      </c>
      <c r="C887" s="1" t="n">
        <v>46109</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52755-2022</t>
        </is>
      </c>
      <c r="B888" s="1" t="n">
        <v>44875.27736111111</v>
      </c>
      <c r="C888" s="1" t="n">
        <v>46109</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40823-2023</t>
        </is>
      </c>
      <c r="B889" s="1" t="n">
        <v>45171.77335648148</v>
      </c>
      <c r="C889" s="1" t="n">
        <v>46109</v>
      </c>
      <c r="D889" t="inlineStr">
        <is>
          <t>KALMAR LÄN</t>
        </is>
      </c>
      <c r="E889" t="inlineStr">
        <is>
          <t>VIMMERBY</t>
        </is>
      </c>
      <c r="G889" t="n">
        <v>2.7</v>
      </c>
      <c r="H889" t="n">
        <v>0</v>
      </c>
      <c r="I889" t="n">
        <v>0</v>
      </c>
      <c r="J889" t="n">
        <v>0</v>
      </c>
      <c r="K889" t="n">
        <v>0</v>
      </c>
      <c r="L889" t="n">
        <v>0</v>
      </c>
      <c r="M889" t="n">
        <v>0</v>
      </c>
      <c r="N889" t="n">
        <v>0</v>
      </c>
      <c r="O889" t="n">
        <v>0</v>
      </c>
      <c r="P889" t="n">
        <v>0</v>
      </c>
      <c r="Q889" t="n">
        <v>0</v>
      </c>
      <c r="R889" s="2" t="inlineStr"/>
    </row>
    <row r="890" ht="15" customHeight="1">
      <c r="A890" t="inlineStr">
        <is>
          <t>A 27761-2024</t>
        </is>
      </c>
      <c r="B890" s="1" t="n">
        <v>45475.49018518518</v>
      </c>
      <c r="C890" s="1" t="n">
        <v>46109</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46109</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64203-2021</t>
        </is>
      </c>
      <c r="B892" s="1" t="n">
        <v>44510.60921296296</v>
      </c>
      <c r="C892" s="1" t="n">
        <v>46109</v>
      </c>
      <c r="D892" t="inlineStr">
        <is>
          <t>KALMAR LÄN</t>
        </is>
      </c>
      <c r="E892" t="inlineStr">
        <is>
          <t>VIMMERBY</t>
        </is>
      </c>
      <c r="F892" t="inlineStr">
        <is>
          <t>Övriga Aktiebolag</t>
        </is>
      </c>
      <c r="G892" t="n">
        <v>5.4</v>
      </c>
      <c r="H892" t="n">
        <v>0</v>
      </c>
      <c r="I892" t="n">
        <v>0</v>
      </c>
      <c r="J892" t="n">
        <v>0</v>
      </c>
      <c r="K892" t="n">
        <v>0</v>
      </c>
      <c r="L892" t="n">
        <v>0</v>
      </c>
      <c r="M892" t="n">
        <v>0</v>
      </c>
      <c r="N892" t="n">
        <v>0</v>
      </c>
      <c r="O892" t="n">
        <v>0</v>
      </c>
      <c r="P892" t="n">
        <v>0</v>
      </c>
      <c r="Q892" t="n">
        <v>0</v>
      </c>
      <c r="R892" s="2" t="inlineStr"/>
    </row>
    <row r="893" ht="15" customHeight="1">
      <c r="A893" t="inlineStr">
        <is>
          <t>A 1016-2024</t>
        </is>
      </c>
      <c r="B893" s="1" t="n">
        <v>45301</v>
      </c>
      <c r="C893" s="1" t="n">
        <v>46109</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1024-2024</t>
        </is>
      </c>
      <c r="B894" s="1" t="n">
        <v>45301.68237268519</v>
      </c>
      <c r="C894" s="1" t="n">
        <v>46109</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27758-2024</t>
        </is>
      </c>
      <c r="B895" s="1" t="n">
        <v>45475.48303240741</v>
      </c>
      <c r="C895" s="1" t="n">
        <v>46109</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32865-2023</t>
        </is>
      </c>
      <c r="B896" s="1" t="n">
        <v>45124</v>
      </c>
      <c r="C896" s="1" t="n">
        <v>46109</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22194-2024</t>
        </is>
      </c>
      <c r="B897" s="1" t="n">
        <v>45446.36482638889</v>
      </c>
      <c r="C897" s="1" t="n">
        <v>46109</v>
      </c>
      <c r="D897" t="inlineStr">
        <is>
          <t>KALMAR LÄN</t>
        </is>
      </c>
      <c r="E897" t="inlineStr">
        <is>
          <t>VIMMERBY</t>
        </is>
      </c>
      <c r="F897" t="inlineStr">
        <is>
          <t>Sveaskog</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17926-2025</t>
        </is>
      </c>
      <c r="B898" s="1" t="n">
        <v>45759.38987268518</v>
      </c>
      <c r="C898" s="1" t="n">
        <v>46109</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35127-2024</t>
        </is>
      </c>
      <c r="B899" s="1" t="n">
        <v>45530.33202546297</v>
      </c>
      <c r="C899" s="1" t="n">
        <v>46109</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33383-2023</t>
        </is>
      </c>
      <c r="B900" s="1" t="n">
        <v>45128.58414351852</v>
      </c>
      <c r="C900" s="1" t="n">
        <v>46109</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4297-2022</t>
        </is>
      </c>
      <c r="B901" s="1" t="n">
        <v>44588</v>
      </c>
      <c r="C901" s="1" t="n">
        <v>46109</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55716-2023</t>
        </is>
      </c>
      <c r="B902" s="1" t="n">
        <v>45232</v>
      </c>
      <c r="C902" s="1" t="n">
        <v>46109</v>
      </c>
      <c r="D902" t="inlineStr">
        <is>
          <t>KALMAR LÄN</t>
        </is>
      </c>
      <c r="E902" t="inlineStr">
        <is>
          <t>VIMMERBY</t>
        </is>
      </c>
      <c r="G902" t="n">
        <v>2.3</v>
      </c>
      <c r="H902" t="n">
        <v>0</v>
      </c>
      <c r="I902" t="n">
        <v>0</v>
      </c>
      <c r="J902" t="n">
        <v>0</v>
      </c>
      <c r="K902" t="n">
        <v>0</v>
      </c>
      <c r="L902" t="n">
        <v>0</v>
      </c>
      <c r="M902" t="n">
        <v>0</v>
      </c>
      <c r="N902" t="n">
        <v>0</v>
      </c>
      <c r="O902" t="n">
        <v>0</v>
      </c>
      <c r="P902" t="n">
        <v>0</v>
      </c>
      <c r="Q902" t="n">
        <v>0</v>
      </c>
      <c r="R902" s="2" t="inlineStr"/>
    </row>
    <row r="903" ht="15" customHeight="1">
      <c r="A903" t="inlineStr">
        <is>
          <t>A 34386-2024</t>
        </is>
      </c>
      <c r="B903" s="1" t="n">
        <v>45525.41762731481</v>
      </c>
      <c r="C903" s="1" t="n">
        <v>46109</v>
      </c>
      <c r="D903" t="inlineStr">
        <is>
          <t>KALMAR LÄN</t>
        </is>
      </c>
      <c r="E903" t="inlineStr">
        <is>
          <t>VIMMERBY</t>
        </is>
      </c>
      <c r="G903" t="n">
        <v>0.3</v>
      </c>
      <c r="H903" t="n">
        <v>0</v>
      </c>
      <c r="I903" t="n">
        <v>0</v>
      </c>
      <c r="J903" t="n">
        <v>0</v>
      </c>
      <c r="K903" t="n">
        <v>0</v>
      </c>
      <c r="L903" t="n">
        <v>0</v>
      </c>
      <c r="M903" t="n">
        <v>0</v>
      </c>
      <c r="N903" t="n">
        <v>0</v>
      </c>
      <c r="O903" t="n">
        <v>0</v>
      </c>
      <c r="P903" t="n">
        <v>0</v>
      </c>
      <c r="Q903" t="n">
        <v>0</v>
      </c>
      <c r="R903" s="2" t="inlineStr"/>
    </row>
    <row r="904" ht="15" customHeight="1">
      <c r="A904" t="inlineStr">
        <is>
          <t>A 42429-2024</t>
        </is>
      </c>
      <c r="B904" s="1" t="n">
        <v>45565.40657407408</v>
      </c>
      <c r="C904" s="1" t="n">
        <v>46109</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11946-2025</t>
        </is>
      </c>
      <c r="B905" s="1" t="n">
        <v>45728.54832175926</v>
      </c>
      <c r="C905" s="1" t="n">
        <v>46109</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59943-2023</t>
        </is>
      </c>
      <c r="B906" s="1" t="n">
        <v>45257.67958333333</v>
      </c>
      <c r="C906" s="1" t="n">
        <v>46109</v>
      </c>
      <c r="D906" t="inlineStr">
        <is>
          <t>KALMAR LÄN</t>
        </is>
      </c>
      <c r="E906" t="inlineStr">
        <is>
          <t>VIMMERBY</t>
        </is>
      </c>
      <c r="G906" t="n">
        <v>6.4</v>
      </c>
      <c r="H906" t="n">
        <v>0</v>
      </c>
      <c r="I906" t="n">
        <v>0</v>
      </c>
      <c r="J906" t="n">
        <v>0</v>
      </c>
      <c r="K906" t="n">
        <v>0</v>
      </c>
      <c r="L906" t="n">
        <v>0</v>
      </c>
      <c r="M906" t="n">
        <v>0</v>
      </c>
      <c r="N906" t="n">
        <v>0</v>
      </c>
      <c r="O906" t="n">
        <v>0</v>
      </c>
      <c r="P906" t="n">
        <v>0</v>
      </c>
      <c r="Q906" t="n">
        <v>0</v>
      </c>
      <c r="R906" s="2" t="inlineStr"/>
    </row>
    <row r="907" ht="15" customHeight="1">
      <c r="A907" t="inlineStr">
        <is>
          <t>A 15493-2023</t>
        </is>
      </c>
      <c r="B907" s="1" t="n">
        <v>45018</v>
      </c>
      <c r="C907" s="1" t="n">
        <v>46109</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51881-2024</t>
        </is>
      </c>
      <c r="B908" s="1" t="n">
        <v>45607.56773148148</v>
      </c>
      <c r="C908" s="1" t="n">
        <v>46109</v>
      </c>
      <c r="D908" t="inlineStr">
        <is>
          <t>KALMAR LÄN</t>
        </is>
      </c>
      <c r="E908" t="inlineStr">
        <is>
          <t>VIMMERBY</t>
        </is>
      </c>
      <c r="G908" t="n">
        <v>3.4</v>
      </c>
      <c r="H908" t="n">
        <v>0</v>
      </c>
      <c r="I908" t="n">
        <v>0</v>
      </c>
      <c r="J908" t="n">
        <v>0</v>
      </c>
      <c r="K908" t="n">
        <v>0</v>
      </c>
      <c r="L908" t="n">
        <v>0</v>
      </c>
      <c r="M908" t="n">
        <v>0</v>
      </c>
      <c r="N908" t="n">
        <v>0</v>
      </c>
      <c r="O908" t="n">
        <v>0</v>
      </c>
      <c r="P908" t="n">
        <v>0</v>
      </c>
      <c r="Q908" t="n">
        <v>0</v>
      </c>
      <c r="R908" s="2" t="inlineStr"/>
    </row>
    <row r="909" ht="15" customHeight="1">
      <c r="A909" t="inlineStr">
        <is>
          <t>A 1021-2024</t>
        </is>
      </c>
      <c r="B909" s="1" t="n">
        <v>45301.67736111111</v>
      </c>
      <c r="C909" s="1" t="n">
        <v>46109</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32569-2024</t>
        </is>
      </c>
      <c r="B910" s="1" t="n">
        <v>45513.55840277778</v>
      </c>
      <c r="C910" s="1" t="n">
        <v>46109</v>
      </c>
      <c r="D910" t="inlineStr">
        <is>
          <t>KALMAR LÄN</t>
        </is>
      </c>
      <c r="E910" t="inlineStr">
        <is>
          <t>VIMMERBY</t>
        </is>
      </c>
      <c r="G910" t="n">
        <v>3.7</v>
      </c>
      <c r="H910" t="n">
        <v>0</v>
      </c>
      <c r="I910" t="n">
        <v>0</v>
      </c>
      <c r="J910" t="n">
        <v>0</v>
      </c>
      <c r="K910" t="n">
        <v>0</v>
      </c>
      <c r="L910" t="n">
        <v>0</v>
      </c>
      <c r="M910" t="n">
        <v>0</v>
      </c>
      <c r="N910" t="n">
        <v>0</v>
      </c>
      <c r="O910" t="n">
        <v>0</v>
      </c>
      <c r="P910" t="n">
        <v>0</v>
      </c>
      <c r="Q910" t="n">
        <v>0</v>
      </c>
      <c r="R910" s="2" t="inlineStr"/>
    </row>
    <row r="911" ht="15" customHeight="1">
      <c r="A911" t="inlineStr">
        <is>
          <t>A 32575-2024</t>
        </is>
      </c>
      <c r="B911" s="1" t="n">
        <v>45513.56527777778</v>
      </c>
      <c r="C911" s="1" t="n">
        <v>46109</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30063-2023</t>
        </is>
      </c>
      <c r="B912" s="1" t="n">
        <v>45110.4184375</v>
      </c>
      <c r="C912" s="1" t="n">
        <v>46109</v>
      </c>
      <c r="D912" t="inlineStr">
        <is>
          <t>KALMAR LÄN</t>
        </is>
      </c>
      <c r="E912" t="inlineStr">
        <is>
          <t>VIMMERBY</t>
        </is>
      </c>
      <c r="G912" t="n">
        <v>1.2</v>
      </c>
      <c r="H912" t="n">
        <v>0</v>
      </c>
      <c r="I912" t="n">
        <v>0</v>
      </c>
      <c r="J912" t="n">
        <v>0</v>
      </c>
      <c r="K912" t="n">
        <v>0</v>
      </c>
      <c r="L912" t="n">
        <v>0</v>
      </c>
      <c r="M912" t="n">
        <v>0</v>
      </c>
      <c r="N912" t="n">
        <v>0</v>
      </c>
      <c r="O912" t="n">
        <v>0</v>
      </c>
      <c r="P912" t="n">
        <v>0</v>
      </c>
      <c r="Q912" t="n">
        <v>0</v>
      </c>
      <c r="R912" s="2" t="inlineStr"/>
    </row>
    <row r="913" ht="15" customHeight="1">
      <c r="A913" t="inlineStr">
        <is>
          <t>A 17482-2024</t>
        </is>
      </c>
      <c r="B913" s="1" t="n">
        <v>45415.47848379629</v>
      </c>
      <c r="C913" s="1" t="n">
        <v>46109</v>
      </c>
      <c r="D913" t="inlineStr">
        <is>
          <t>KALMAR LÄN</t>
        </is>
      </c>
      <c r="E913" t="inlineStr">
        <is>
          <t>VIMMERBY</t>
        </is>
      </c>
      <c r="G913" t="n">
        <v>1.7</v>
      </c>
      <c r="H913" t="n">
        <v>0</v>
      </c>
      <c r="I913" t="n">
        <v>0</v>
      </c>
      <c r="J913" t="n">
        <v>0</v>
      </c>
      <c r="K913" t="n">
        <v>0</v>
      </c>
      <c r="L913" t="n">
        <v>0</v>
      </c>
      <c r="M913" t="n">
        <v>0</v>
      </c>
      <c r="N913" t="n">
        <v>0</v>
      </c>
      <c r="O913" t="n">
        <v>0</v>
      </c>
      <c r="P913" t="n">
        <v>0</v>
      </c>
      <c r="Q913" t="n">
        <v>0</v>
      </c>
      <c r="R913" s="2" t="inlineStr"/>
    </row>
    <row r="914" ht="15" customHeight="1">
      <c r="A914" t="inlineStr">
        <is>
          <t>A 13817-2024</t>
        </is>
      </c>
      <c r="B914" s="1" t="n">
        <v>45391.41976851852</v>
      </c>
      <c r="C914" s="1" t="n">
        <v>46109</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30406-2023</t>
        </is>
      </c>
      <c r="B915" s="1" t="n">
        <v>45111.48787037037</v>
      </c>
      <c r="C915" s="1" t="n">
        <v>46109</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29020-2024</t>
        </is>
      </c>
      <c r="B916" s="1" t="n">
        <v>45481.58048611111</v>
      </c>
      <c r="C916" s="1" t="n">
        <v>46109</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row r="917" ht="15" customHeight="1">
      <c r="A917" t="inlineStr">
        <is>
          <t>A 25582-2024</t>
        </is>
      </c>
      <c r="B917" s="1" t="n">
        <v>45463</v>
      </c>
      <c r="C917" s="1" t="n">
        <v>46109</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c r="A918" t="inlineStr">
        <is>
          <t>A 57578-2024</t>
        </is>
      </c>
      <c r="B918" s="1" t="n">
        <v>45630.47564814815</v>
      </c>
      <c r="C918" s="1" t="n">
        <v>46109</v>
      </c>
      <c r="D918" t="inlineStr">
        <is>
          <t>KALMAR LÄN</t>
        </is>
      </c>
      <c r="E918" t="inlineStr">
        <is>
          <t>VIMMERBY</t>
        </is>
      </c>
      <c r="G918" t="n">
        <v>2.6</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2026-03-28T11:44:36Z</dcterms:created>
  <dcterms:modified xmlns:dcterms="http://purl.org/dc/terms/" xmlns:xsi="http://www.w3.org/2001/XMLSchema-instance" xsi:type="dcterms:W3CDTF">2026-03-28T11:44:36Z</dcterms:modified>
</cp:coreProperties>
</file>