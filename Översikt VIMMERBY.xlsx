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46049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46049</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46049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46049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46049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46049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46049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46049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46049</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46049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3075-2025</t>
        </is>
      </c>
      <c r="B17" s="1" t="n">
        <v>45678</v>
      </c>
      <c r="C17" s="1" t="n">
        <v>46049</v>
      </c>
      <c r="D17" t="inlineStr">
        <is>
          <t>KALMAR LÄN</t>
        </is>
      </c>
      <c r="E17" t="inlineStr">
        <is>
          <t>VIMMERBY</t>
        </is>
      </c>
      <c r="G17" t="n">
        <v>4.5</v>
      </c>
      <c r="H17" t="n">
        <v>4</v>
      </c>
      <c r="I17" t="n">
        <v>0</v>
      </c>
      <c r="J17" t="n">
        <v>2</v>
      </c>
      <c r="K17" t="n">
        <v>1</v>
      </c>
      <c r="L17" t="n">
        <v>0</v>
      </c>
      <c r="M17" t="n">
        <v>0</v>
      </c>
      <c r="N17" t="n">
        <v>0</v>
      </c>
      <c r="O17" t="n">
        <v>3</v>
      </c>
      <c r="P17" t="n">
        <v>1</v>
      </c>
      <c r="Q17" t="n">
        <v>4</v>
      </c>
      <c r="R17" s="2" t="inlineStr">
        <is>
          <t>Knärot
Spillkråka
Talltita
Kungsfågel</t>
        </is>
      </c>
      <c r="S17">
        <f>HYPERLINK("https://klasma.github.io/Logging_0884/artfynd/A 3075-2025 artfynd.xlsx", "A 3075-2025")</f>
        <v/>
      </c>
      <c r="T17">
        <f>HYPERLINK("https://klasma.github.io/Logging_0884/kartor/A 3075-2025 karta.png", "A 3075-2025")</f>
        <v/>
      </c>
      <c r="U17">
        <f>HYPERLINK("https://klasma.github.io/Logging_0884/knärot/A 3075-2025 karta knärot.png", "A 3075-2025")</f>
        <v/>
      </c>
      <c r="V17">
        <f>HYPERLINK("https://klasma.github.io/Logging_0884/klagomål/A 3075-2025 FSC-klagomål.docx", "A 3075-2025")</f>
        <v/>
      </c>
      <c r="W17">
        <f>HYPERLINK("https://klasma.github.io/Logging_0884/klagomålsmail/A 3075-2025 FSC-klagomål mail.docx", "A 3075-2025")</f>
        <v/>
      </c>
      <c r="X17">
        <f>HYPERLINK("https://klasma.github.io/Logging_0884/tillsyn/A 3075-2025 tillsynsbegäran.docx", "A 3075-2025")</f>
        <v/>
      </c>
      <c r="Y17">
        <f>HYPERLINK("https://klasma.github.io/Logging_0884/tillsynsmail/A 3075-2025 tillsynsbegäran mail.docx", "A 3075-2025")</f>
        <v/>
      </c>
      <c r="Z17">
        <f>HYPERLINK("https://klasma.github.io/Logging_0884/fåglar/A 3075-2025 prioriterade fågelarter.docx", "A 3075-2025")</f>
        <v/>
      </c>
    </row>
    <row r="18" ht="15" customHeight="1">
      <c r="A18" t="inlineStr">
        <is>
          <t>A 8411-2021</t>
        </is>
      </c>
      <c r="B18" s="1" t="n">
        <v>44245</v>
      </c>
      <c r="C18" s="1" t="n">
        <v>46049</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46049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46049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46049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46049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46049</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2518-2023</t>
        </is>
      </c>
      <c r="B27" s="1" t="n">
        <v>44943</v>
      </c>
      <c r="C27" s="1" t="n">
        <v>46049</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46049</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42802-2025</t>
        </is>
      </c>
      <c r="B29" s="1" t="n">
        <v>45908</v>
      </c>
      <c r="C29" s="1" t="n">
        <v>46049</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22825-2023</t>
        </is>
      </c>
      <c r="B30" s="1" t="n">
        <v>45072</v>
      </c>
      <c r="C30" s="1" t="n">
        <v>46049</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46049</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46049</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46049</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46049</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46049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46049</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1201-2025</t>
        </is>
      </c>
      <c r="B37" s="1" t="n">
        <v>45667</v>
      </c>
      <c r="C37" s="1" t="n">
        <v>46049</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6841-2021</t>
        </is>
      </c>
      <c r="B38" s="1" t="n">
        <v>44236</v>
      </c>
      <c r="C38" s="1" t="n">
        <v>46049</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46049</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46049</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46049</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46049</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46049</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46049</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23602-2023</t>
        </is>
      </c>
      <c r="B45" s="1" t="n">
        <v>45077</v>
      </c>
      <c r="C45" s="1" t="n">
        <v>46049</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55384-2025</t>
        </is>
      </c>
      <c r="B46" s="1" t="n">
        <v>45971.43178240741</v>
      </c>
      <c r="C46" s="1" t="n">
        <v>46049</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46049</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15122-2024</t>
        </is>
      </c>
      <c r="B48" s="1" t="n">
        <v>45399.71412037037</v>
      </c>
      <c r="C48" s="1" t="n">
        <v>46049</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46049</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46049</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46049</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46049</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46049</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46049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46049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46049</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46049</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46049</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46049</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46049</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46049</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46049</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32607-2021</t>
        </is>
      </c>
      <c r="B65" s="1" t="n">
        <v>44375.39033564815</v>
      </c>
      <c r="C65" s="1" t="n">
        <v>46049</v>
      </c>
      <c r="D65" t="inlineStr">
        <is>
          <t>KALMAR LÄN</t>
        </is>
      </c>
      <c r="E65" t="inlineStr">
        <is>
          <t>VIMMERBY</t>
        </is>
      </c>
      <c r="G65" t="n">
        <v>0.4</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46049</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46049</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46049</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46049</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46049</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46049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46049</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46049</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46049</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46049</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46049</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46049</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46049</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46049</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46049</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46049</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46049</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46049</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46049</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46049</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46049</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46049</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46049</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46049</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46049</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46049</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46049</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46049</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46049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46049</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46049</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46049</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46049</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46049</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46049</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46049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46049</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46049</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46049</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46049</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46049</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46049</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46049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46049</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46049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46049</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46049</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46049</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46049</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32386-2021</t>
        </is>
      </c>
      <c r="B115" s="1" t="n">
        <v>44371.62743055556</v>
      </c>
      <c r="C115" s="1" t="n">
        <v>46049</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35633-2021</t>
        </is>
      </c>
      <c r="B116" s="1" t="n">
        <v>44386.40783564815</v>
      </c>
      <c r="C116" s="1" t="n">
        <v>46049</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56343-2021</t>
        </is>
      </c>
      <c r="B117" s="1" t="n">
        <v>44480</v>
      </c>
      <c r="C117" s="1" t="n">
        <v>46049</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8415-2021</t>
        </is>
      </c>
      <c r="B118" s="1" t="n">
        <v>44245</v>
      </c>
      <c r="C118" s="1" t="n">
        <v>46049</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46049</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51972-2021</t>
        </is>
      </c>
      <c r="B120" s="1" t="n">
        <v>44463.29439814815</v>
      </c>
      <c r="C120" s="1" t="n">
        <v>46049</v>
      </c>
      <c r="D120" t="inlineStr">
        <is>
          <t>KALMAR LÄN</t>
        </is>
      </c>
      <c r="E120" t="inlineStr">
        <is>
          <t>VIMMERBY</t>
        </is>
      </c>
      <c r="G120" t="n">
        <v>4.5</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46049</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33690-2022</t>
        </is>
      </c>
      <c r="B122" s="1" t="n">
        <v>44789</v>
      </c>
      <c r="C122" s="1" t="n">
        <v>46049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35198-2021</t>
        </is>
      </c>
      <c r="B123" s="1" t="n">
        <v>44377</v>
      </c>
      <c r="C123" s="1" t="n">
        <v>46049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34036-2021</t>
        </is>
      </c>
      <c r="B124" s="1" t="n">
        <v>44379</v>
      </c>
      <c r="C124" s="1" t="n">
        <v>46049</v>
      </c>
      <c r="D124" t="inlineStr">
        <is>
          <t>KALMAR LÄN</t>
        </is>
      </c>
      <c r="E124" t="inlineStr">
        <is>
          <t>VIMMERBY</t>
        </is>
      </c>
      <c r="F124" t="inlineStr">
        <is>
          <t>Sveaskog</t>
        </is>
      </c>
      <c r="G124" t="n">
        <v>7</v>
      </c>
      <c r="H124" t="n">
        <v>0</v>
      </c>
      <c r="I124" t="n">
        <v>0</v>
      </c>
      <c r="J124" t="n">
        <v>0</v>
      </c>
      <c r="K124" t="n">
        <v>0</v>
      </c>
      <c r="L124" t="n">
        <v>0</v>
      </c>
      <c r="M124" t="n">
        <v>0</v>
      </c>
      <c r="N124" t="n">
        <v>0</v>
      </c>
      <c r="O124" t="n">
        <v>0</v>
      </c>
      <c r="P124" t="n">
        <v>0</v>
      </c>
      <c r="Q124" t="n">
        <v>0</v>
      </c>
      <c r="R124" s="2" t="inlineStr"/>
    </row>
    <row r="125" ht="15" customHeight="1">
      <c r="A125" t="inlineStr">
        <is>
          <t>A 63244-2021</t>
        </is>
      </c>
      <c r="B125" s="1" t="n">
        <v>44508</v>
      </c>
      <c r="C125" s="1" t="n">
        <v>46049</v>
      </c>
      <c r="D125" t="inlineStr">
        <is>
          <t>KALMAR LÄN</t>
        </is>
      </c>
      <c r="E125" t="inlineStr">
        <is>
          <t>VIMMERBY</t>
        </is>
      </c>
      <c r="F125" t="inlineStr">
        <is>
          <t>Övriga statliga verk och myndigheter</t>
        </is>
      </c>
      <c r="G125" t="n">
        <v>0.6</v>
      </c>
      <c r="H125" t="n">
        <v>0</v>
      </c>
      <c r="I125" t="n">
        <v>0</v>
      </c>
      <c r="J125" t="n">
        <v>0</v>
      </c>
      <c r="K125" t="n">
        <v>0</v>
      </c>
      <c r="L125" t="n">
        <v>0</v>
      </c>
      <c r="M125" t="n">
        <v>0</v>
      </c>
      <c r="N125" t="n">
        <v>0</v>
      </c>
      <c r="O125" t="n">
        <v>0</v>
      </c>
      <c r="P125" t="n">
        <v>0</v>
      </c>
      <c r="Q125" t="n">
        <v>0</v>
      </c>
      <c r="R125" s="2" t="inlineStr"/>
    </row>
    <row r="126" ht="15" customHeight="1">
      <c r="A126" t="inlineStr">
        <is>
          <t>A 56385-2021</t>
        </is>
      </c>
      <c r="B126" s="1" t="n">
        <v>44480</v>
      </c>
      <c r="C126" s="1" t="n">
        <v>46049</v>
      </c>
      <c r="D126" t="inlineStr">
        <is>
          <t>KALMAR LÄN</t>
        </is>
      </c>
      <c r="E126" t="inlineStr">
        <is>
          <t>VIMMERBY</t>
        </is>
      </c>
      <c r="G126" t="n">
        <v>1.9</v>
      </c>
      <c r="H126" t="n">
        <v>0</v>
      </c>
      <c r="I126" t="n">
        <v>0</v>
      </c>
      <c r="J126" t="n">
        <v>0</v>
      </c>
      <c r="K126" t="n">
        <v>0</v>
      </c>
      <c r="L126" t="n">
        <v>0</v>
      </c>
      <c r="M126" t="n">
        <v>0</v>
      </c>
      <c r="N126" t="n">
        <v>0</v>
      </c>
      <c r="O126" t="n">
        <v>0</v>
      </c>
      <c r="P126" t="n">
        <v>0</v>
      </c>
      <c r="Q126" t="n">
        <v>0</v>
      </c>
      <c r="R126" s="2" t="inlineStr"/>
    </row>
    <row r="127" ht="15" customHeight="1">
      <c r="A127" t="inlineStr">
        <is>
          <t>A 11814-2022</t>
        </is>
      </c>
      <c r="B127" s="1" t="n">
        <v>44634.69703703704</v>
      </c>
      <c r="C127" s="1" t="n">
        <v>46049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31053-2022</t>
        </is>
      </c>
      <c r="B128" s="1" t="n">
        <v>44769.45422453704</v>
      </c>
      <c r="C128" s="1" t="n">
        <v>46049</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46049</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8454-2022</t>
        </is>
      </c>
      <c r="B130" s="1" t="n">
        <v>44612.86762731482</v>
      </c>
      <c r="C130" s="1" t="n">
        <v>46049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65887-2021</t>
        </is>
      </c>
      <c r="B131" s="1" t="n">
        <v>44517</v>
      </c>
      <c r="C131" s="1" t="n">
        <v>46049</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46049</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12661-2021</t>
        </is>
      </c>
      <c r="B133" s="1" t="n">
        <v>44270</v>
      </c>
      <c r="C133" s="1" t="n">
        <v>46049</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24999-2021</t>
        </is>
      </c>
      <c r="B134" s="1" t="n">
        <v>44341</v>
      </c>
      <c r="C134" s="1" t="n">
        <v>46049</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47208-2021</t>
        </is>
      </c>
      <c r="B135" s="1" t="n">
        <v>44447.34237268518</v>
      </c>
      <c r="C135" s="1" t="n">
        <v>46049</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46049</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16705-2021</t>
        </is>
      </c>
      <c r="B137" s="1" t="n">
        <v>44294</v>
      </c>
      <c r="C137" s="1" t="n">
        <v>46049</v>
      </c>
      <c r="D137" t="inlineStr">
        <is>
          <t>KALMAR LÄN</t>
        </is>
      </c>
      <c r="E137" t="inlineStr">
        <is>
          <t>VIMMERBY</t>
        </is>
      </c>
      <c r="G137" t="n">
        <v>2.6</v>
      </c>
      <c r="H137" t="n">
        <v>0</v>
      </c>
      <c r="I137" t="n">
        <v>0</v>
      </c>
      <c r="J137" t="n">
        <v>0</v>
      </c>
      <c r="K137" t="n">
        <v>0</v>
      </c>
      <c r="L137" t="n">
        <v>0</v>
      </c>
      <c r="M137" t="n">
        <v>0</v>
      </c>
      <c r="N137" t="n">
        <v>0</v>
      </c>
      <c r="O137" t="n">
        <v>0</v>
      </c>
      <c r="P137" t="n">
        <v>0</v>
      </c>
      <c r="Q137" t="n">
        <v>0</v>
      </c>
      <c r="R137" s="2" t="inlineStr"/>
    </row>
    <row r="138" ht="15" customHeight="1">
      <c r="A138" t="inlineStr">
        <is>
          <t>A 56389-2021</t>
        </is>
      </c>
      <c r="B138" s="1" t="n">
        <v>44480</v>
      </c>
      <c r="C138" s="1" t="n">
        <v>46049</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67952-2021</t>
        </is>
      </c>
      <c r="B139" s="1" t="n">
        <v>44525.63913194444</v>
      </c>
      <c r="C139" s="1" t="n">
        <v>46049</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15533-2022</t>
        </is>
      </c>
      <c r="B140" s="1" t="n">
        <v>44662</v>
      </c>
      <c r="C140" s="1" t="n">
        <v>46049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14521-2021</t>
        </is>
      </c>
      <c r="B141" s="1" t="n">
        <v>44279.64934027778</v>
      </c>
      <c r="C141" s="1" t="n">
        <v>46049</v>
      </c>
      <c r="D141" t="inlineStr">
        <is>
          <t>KALMAR LÄN</t>
        </is>
      </c>
      <c r="E141" t="inlineStr">
        <is>
          <t>VIMMERBY</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34040-2021</t>
        </is>
      </c>
      <c r="B142" s="1" t="n">
        <v>44379</v>
      </c>
      <c r="C142" s="1" t="n">
        <v>46049</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15200-2021</t>
        </is>
      </c>
      <c r="B143" s="1" t="n">
        <v>44284.44574074074</v>
      </c>
      <c r="C143" s="1" t="n">
        <v>46049</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165-2022</t>
        </is>
      </c>
      <c r="B144" s="1" t="n">
        <v>44564</v>
      </c>
      <c r="C144" s="1" t="n">
        <v>46049</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12107-2022</t>
        </is>
      </c>
      <c r="B145" s="1" t="n">
        <v>44636</v>
      </c>
      <c r="C145" s="1" t="n">
        <v>46049</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39225-2022</t>
        </is>
      </c>
      <c r="B146" s="1" t="n">
        <v>44817.57988425926</v>
      </c>
      <c r="C146" s="1" t="n">
        <v>46049</v>
      </c>
      <c r="D146" t="inlineStr">
        <is>
          <t>KALMAR LÄN</t>
        </is>
      </c>
      <c r="E146" t="inlineStr">
        <is>
          <t>VIMMERBY</t>
        </is>
      </c>
      <c r="G146" t="n">
        <v>2.2</v>
      </c>
      <c r="H146" t="n">
        <v>0</v>
      </c>
      <c r="I146" t="n">
        <v>0</v>
      </c>
      <c r="J146" t="n">
        <v>0</v>
      </c>
      <c r="K146" t="n">
        <v>0</v>
      </c>
      <c r="L146" t="n">
        <v>0</v>
      </c>
      <c r="M146" t="n">
        <v>0</v>
      </c>
      <c r="N146" t="n">
        <v>0</v>
      </c>
      <c r="O146" t="n">
        <v>0</v>
      </c>
      <c r="P146" t="n">
        <v>0</v>
      </c>
      <c r="Q146" t="n">
        <v>0</v>
      </c>
      <c r="R146" s="2" t="inlineStr"/>
    </row>
    <row r="147" ht="15" customHeight="1">
      <c r="A147" t="inlineStr">
        <is>
          <t>A 16602-2021</t>
        </is>
      </c>
      <c r="B147" s="1" t="n">
        <v>44294</v>
      </c>
      <c r="C147" s="1" t="n">
        <v>46049</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16607-2021</t>
        </is>
      </c>
      <c r="B148" s="1" t="n">
        <v>44294</v>
      </c>
      <c r="C148" s="1" t="n">
        <v>46049</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17029-2022</t>
        </is>
      </c>
      <c r="B149" s="1" t="n">
        <v>44676.85248842592</v>
      </c>
      <c r="C149" s="1" t="n">
        <v>46049</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46049</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46049</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46049</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55674-2021</t>
        </is>
      </c>
      <c r="B153" s="1" t="n">
        <v>44476</v>
      </c>
      <c r="C153" s="1" t="n">
        <v>46049</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40077-2021</t>
        </is>
      </c>
      <c r="B154" s="1" t="n">
        <v>44418</v>
      </c>
      <c r="C154" s="1" t="n">
        <v>46049</v>
      </c>
      <c r="D154" t="inlineStr">
        <is>
          <t>KALMAR LÄN</t>
        </is>
      </c>
      <c r="E154" t="inlineStr">
        <is>
          <t>VIMMERBY</t>
        </is>
      </c>
      <c r="G154" t="n">
        <v>2.9</v>
      </c>
      <c r="H154" t="n">
        <v>0</v>
      </c>
      <c r="I154" t="n">
        <v>0</v>
      </c>
      <c r="J154" t="n">
        <v>0</v>
      </c>
      <c r="K154" t="n">
        <v>0</v>
      </c>
      <c r="L154" t="n">
        <v>0</v>
      </c>
      <c r="M154" t="n">
        <v>0</v>
      </c>
      <c r="N154" t="n">
        <v>0</v>
      </c>
      <c r="O154" t="n">
        <v>0</v>
      </c>
      <c r="P154" t="n">
        <v>0</v>
      </c>
      <c r="Q154" t="n">
        <v>0</v>
      </c>
      <c r="R154" s="2" t="inlineStr"/>
    </row>
    <row r="155" ht="15" customHeight="1">
      <c r="A155" t="inlineStr">
        <is>
          <t>A 47769-2022</t>
        </is>
      </c>
      <c r="B155" s="1" t="n">
        <v>44854</v>
      </c>
      <c r="C155" s="1" t="n">
        <v>46049</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46049</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46049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46049</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46049</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46049</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46049</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12241-2021</t>
        </is>
      </c>
      <c r="B162" s="1" t="n">
        <v>44266.7240625</v>
      </c>
      <c r="C162" s="1" t="n">
        <v>46049</v>
      </c>
      <c r="D162" t="inlineStr">
        <is>
          <t>KALMAR LÄN</t>
        </is>
      </c>
      <c r="E162" t="inlineStr">
        <is>
          <t>VIMMERBY</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12662-2021</t>
        </is>
      </c>
      <c r="B163" s="1" t="n">
        <v>44270.49743055556</v>
      </c>
      <c r="C163" s="1" t="n">
        <v>46049</v>
      </c>
      <c r="D163" t="inlineStr">
        <is>
          <t>KALMAR LÄN</t>
        </is>
      </c>
      <c r="E163" t="inlineStr">
        <is>
          <t>VIMMERBY</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23825-2022</t>
        </is>
      </c>
      <c r="B164" s="1" t="n">
        <v>44722.48768518519</v>
      </c>
      <c r="C164" s="1" t="n">
        <v>46049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18276-2021</t>
        </is>
      </c>
      <c r="B165" s="1" t="n">
        <v>44305.40046296296</v>
      </c>
      <c r="C165" s="1" t="n">
        <v>46049</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46049</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46049</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46049</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46049</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36117-2021</t>
        </is>
      </c>
      <c r="B170" s="1" t="n">
        <v>44386</v>
      </c>
      <c r="C170" s="1" t="n">
        <v>46049</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42521-2021</t>
        </is>
      </c>
      <c r="B171" s="1" t="n">
        <v>44427</v>
      </c>
      <c r="C171" s="1" t="n">
        <v>46049</v>
      </c>
      <c r="D171" t="inlineStr">
        <is>
          <t>KALMAR LÄN</t>
        </is>
      </c>
      <c r="E171" t="inlineStr">
        <is>
          <t>VIMMERBY</t>
        </is>
      </c>
      <c r="G171" t="n">
        <v>5.4</v>
      </c>
      <c r="H171" t="n">
        <v>0</v>
      </c>
      <c r="I171" t="n">
        <v>0</v>
      </c>
      <c r="J171" t="n">
        <v>0</v>
      </c>
      <c r="K171" t="n">
        <v>0</v>
      </c>
      <c r="L171" t="n">
        <v>0</v>
      </c>
      <c r="M171" t="n">
        <v>0</v>
      </c>
      <c r="N171" t="n">
        <v>0</v>
      </c>
      <c r="O171" t="n">
        <v>0</v>
      </c>
      <c r="P171" t="n">
        <v>0</v>
      </c>
      <c r="Q171" t="n">
        <v>0</v>
      </c>
      <c r="R171" s="2" t="inlineStr"/>
    </row>
    <row r="172" ht="15" customHeight="1">
      <c r="A172" t="inlineStr">
        <is>
          <t>A 32603-2021</t>
        </is>
      </c>
      <c r="B172" s="1" t="n">
        <v>44375.38789351852</v>
      </c>
      <c r="C172" s="1" t="n">
        <v>46049</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46049</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13180-2022</t>
        </is>
      </c>
      <c r="B174" s="1" t="n">
        <v>44644</v>
      </c>
      <c r="C174" s="1" t="n">
        <v>46049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42850-2022</t>
        </is>
      </c>
      <c r="B175" s="1" t="n">
        <v>44832.67608796297</v>
      </c>
      <c r="C175" s="1" t="n">
        <v>46049</v>
      </c>
      <c r="D175" t="inlineStr">
        <is>
          <t>KALMAR LÄN</t>
        </is>
      </c>
      <c r="E175" t="inlineStr">
        <is>
          <t>VIMMERBY</t>
        </is>
      </c>
      <c r="G175" t="n">
        <v>5.9</v>
      </c>
      <c r="H175" t="n">
        <v>0</v>
      </c>
      <c r="I175" t="n">
        <v>0</v>
      </c>
      <c r="J175" t="n">
        <v>0</v>
      </c>
      <c r="K175" t="n">
        <v>0</v>
      </c>
      <c r="L175" t="n">
        <v>0</v>
      </c>
      <c r="M175" t="n">
        <v>0</v>
      </c>
      <c r="N175" t="n">
        <v>0</v>
      </c>
      <c r="O175" t="n">
        <v>0</v>
      </c>
      <c r="P175" t="n">
        <v>0</v>
      </c>
      <c r="Q175" t="n">
        <v>0</v>
      </c>
      <c r="R175" s="2" t="inlineStr"/>
    </row>
    <row r="176" ht="15" customHeight="1">
      <c r="A176" t="inlineStr">
        <is>
          <t>A 10086-2022</t>
        </is>
      </c>
      <c r="B176" s="1" t="n">
        <v>44621</v>
      </c>
      <c r="C176" s="1" t="n">
        <v>46049</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53145-2022</t>
        </is>
      </c>
      <c r="B177" s="1" t="n">
        <v>44876.48346064815</v>
      </c>
      <c r="C177" s="1" t="n">
        <v>46049</v>
      </c>
      <c r="D177" t="inlineStr">
        <is>
          <t>KALMAR LÄN</t>
        </is>
      </c>
      <c r="E177" t="inlineStr">
        <is>
          <t>VIMMERBY</t>
        </is>
      </c>
      <c r="G177" t="n">
        <v>0.4</v>
      </c>
      <c r="H177" t="n">
        <v>0</v>
      </c>
      <c r="I177" t="n">
        <v>0</v>
      </c>
      <c r="J177" t="n">
        <v>0</v>
      </c>
      <c r="K177" t="n">
        <v>0</v>
      </c>
      <c r="L177" t="n">
        <v>0</v>
      </c>
      <c r="M177" t="n">
        <v>0</v>
      </c>
      <c r="N177" t="n">
        <v>0</v>
      </c>
      <c r="O177" t="n">
        <v>0</v>
      </c>
      <c r="P177" t="n">
        <v>0</v>
      </c>
      <c r="Q177" t="n">
        <v>0</v>
      </c>
      <c r="R177" s="2" t="inlineStr"/>
    </row>
    <row r="178" ht="15" customHeight="1">
      <c r="A178" t="inlineStr">
        <is>
          <t>A 25738-2022</t>
        </is>
      </c>
      <c r="B178" s="1" t="n">
        <v>44733.43092592592</v>
      </c>
      <c r="C178" s="1" t="n">
        <v>46049</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46049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46049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46049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46049</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46049</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46049</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46049</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46049</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54065-2021</t>
        </is>
      </c>
      <c r="B187" s="1" t="n">
        <v>44470.44232638889</v>
      </c>
      <c r="C187" s="1" t="n">
        <v>46049</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31824-2022</t>
        </is>
      </c>
      <c r="B188" s="1" t="n">
        <v>44776</v>
      </c>
      <c r="C188" s="1" t="n">
        <v>46049</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11733-2022</t>
        </is>
      </c>
      <c r="B189" s="1" t="n">
        <v>44634</v>
      </c>
      <c r="C189" s="1" t="n">
        <v>46049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46049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7804-2022</t>
        </is>
      </c>
      <c r="B191" s="1" t="n">
        <v>44608.50458333334</v>
      </c>
      <c r="C191" s="1" t="n">
        <v>46049</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16288-2021</t>
        </is>
      </c>
      <c r="B192" s="1" t="n">
        <v>44292</v>
      </c>
      <c r="C192" s="1" t="n">
        <v>46049</v>
      </c>
      <c r="D192" t="inlineStr">
        <is>
          <t>KALMAR LÄN</t>
        </is>
      </c>
      <c r="E192" t="inlineStr">
        <is>
          <t>VIMMERBY</t>
        </is>
      </c>
      <c r="F192" t="inlineStr">
        <is>
          <t>Övriga Aktiebolag</t>
        </is>
      </c>
      <c r="G192" t="n">
        <v>27.6</v>
      </c>
      <c r="H192" t="n">
        <v>0</v>
      </c>
      <c r="I192" t="n">
        <v>0</v>
      </c>
      <c r="J192" t="n">
        <v>0</v>
      </c>
      <c r="K192" t="n">
        <v>0</v>
      </c>
      <c r="L192" t="n">
        <v>0</v>
      </c>
      <c r="M192" t="n">
        <v>0</v>
      </c>
      <c r="N192" t="n">
        <v>0</v>
      </c>
      <c r="O192" t="n">
        <v>0</v>
      </c>
      <c r="P192" t="n">
        <v>0</v>
      </c>
      <c r="Q192" t="n">
        <v>0</v>
      </c>
      <c r="R192" s="2" t="inlineStr"/>
    </row>
    <row r="193" ht="15" customHeight="1">
      <c r="A193" t="inlineStr">
        <is>
          <t>A 29441-2024</t>
        </is>
      </c>
      <c r="B193" s="1" t="n">
        <v>45483.82834490741</v>
      </c>
      <c r="C193" s="1" t="n">
        <v>46049</v>
      </c>
      <c r="D193" t="inlineStr">
        <is>
          <t>KALMAR LÄN</t>
        </is>
      </c>
      <c r="E193" t="inlineStr">
        <is>
          <t>VIMMERBY</t>
        </is>
      </c>
      <c r="G193" t="n">
        <v>1.3</v>
      </c>
      <c r="H193" t="n">
        <v>0</v>
      </c>
      <c r="I193" t="n">
        <v>0</v>
      </c>
      <c r="J193" t="n">
        <v>0</v>
      </c>
      <c r="K193" t="n">
        <v>0</v>
      </c>
      <c r="L193" t="n">
        <v>0</v>
      </c>
      <c r="M193" t="n">
        <v>0</v>
      </c>
      <c r="N193" t="n">
        <v>0</v>
      </c>
      <c r="O193" t="n">
        <v>0</v>
      </c>
      <c r="P193" t="n">
        <v>0</v>
      </c>
      <c r="Q193" t="n">
        <v>0</v>
      </c>
      <c r="R193" s="2" t="inlineStr"/>
    </row>
    <row r="194" ht="15" customHeight="1">
      <c r="A194" t="inlineStr">
        <is>
          <t>A 25728-2023</t>
        </is>
      </c>
      <c r="B194" s="1" t="n">
        <v>45090.38012731481</v>
      </c>
      <c r="C194" s="1" t="n">
        <v>46049</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33359-2021</t>
        </is>
      </c>
      <c r="B195" s="1" t="n">
        <v>44377.49684027778</v>
      </c>
      <c r="C195" s="1" t="n">
        <v>46049</v>
      </c>
      <c r="D195" t="inlineStr">
        <is>
          <t>KALMAR LÄN</t>
        </is>
      </c>
      <c r="E195" t="inlineStr">
        <is>
          <t>VIMMERBY</t>
        </is>
      </c>
      <c r="F195" t="inlineStr">
        <is>
          <t>Kommuner</t>
        </is>
      </c>
      <c r="G195" t="n">
        <v>8</v>
      </c>
      <c r="H195" t="n">
        <v>0</v>
      </c>
      <c r="I195" t="n">
        <v>0</v>
      </c>
      <c r="J195" t="n">
        <v>0</v>
      </c>
      <c r="K195" t="n">
        <v>0</v>
      </c>
      <c r="L195" t="n">
        <v>0</v>
      </c>
      <c r="M195" t="n">
        <v>0</v>
      </c>
      <c r="N195" t="n">
        <v>0</v>
      </c>
      <c r="O195" t="n">
        <v>0</v>
      </c>
      <c r="P195" t="n">
        <v>0</v>
      </c>
      <c r="Q195" t="n">
        <v>0</v>
      </c>
      <c r="R195" s="2" t="inlineStr"/>
    </row>
    <row r="196" ht="15" customHeight="1">
      <c r="A196" t="inlineStr">
        <is>
          <t>A 52435-2021</t>
        </is>
      </c>
      <c r="B196" s="1" t="n">
        <v>44466.34962962963</v>
      </c>
      <c r="C196" s="1" t="n">
        <v>46049</v>
      </c>
      <c r="D196" t="inlineStr">
        <is>
          <t>KALMAR LÄN</t>
        </is>
      </c>
      <c r="E196" t="inlineStr">
        <is>
          <t>VIMMERBY</t>
        </is>
      </c>
      <c r="G196" t="n">
        <v>2.8</v>
      </c>
      <c r="H196" t="n">
        <v>0</v>
      </c>
      <c r="I196" t="n">
        <v>0</v>
      </c>
      <c r="J196" t="n">
        <v>0</v>
      </c>
      <c r="K196" t="n">
        <v>0</v>
      </c>
      <c r="L196" t="n">
        <v>0</v>
      </c>
      <c r="M196" t="n">
        <v>0</v>
      </c>
      <c r="N196" t="n">
        <v>0</v>
      </c>
      <c r="O196" t="n">
        <v>0</v>
      </c>
      <c r="P196" t="n">
        <v>0</v>
      </c>
      <c r="Q196" t="n">
        <v>0</v>
      </c>
      <c r="R196" s="2" t="inlineStr"/>
    </row>
    <row r="197" ht="15" customHeight="1">
      <c r="A197" t="inlineStr">
        <is>
          <t>A 43038-2022</t>
        </is>
      </c>
      <c r="B197" s="1" t="n">
        <v>44833.60123842592</v>
      </c>
      <c r="C197" s="1" t="n">
        <v>46049</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29093-2023</t>
        </is>
      </c>
      <c r="B198" s="1" t="n">
        <v>45105</v>
      </c>
      <c r="C198" s="1" t="n">
        <v>46049</v>
      </c>
      <c r="D198" t="inlineStr">
        <is>
          <t>KALMAR LÄN</t>
        </is>
      </c>
      <c r="E198" t="inlineStr">
        <is>
          <t>VIMMERBY</t>
        </is>
      </c>
      <c r="G198" t="n">
        <v>2.9</v>
      </c>
      <c r="H198" t="n">
        <v>0</v>
      </c>
      <c r="I198" t="n">
        <v>0</v>
      </c>
      <c r="J198" t="n">
        <v>0</v>
      </c>
      <c r="K198" t="n">
        <v>0</v>
      </c>
      <c r="L198" t="n">
        <v>0</v>
      </c>
      <c r="M198" t="n">
        <v>0</v>
      </c>
      <c r="N198" t="n">
        <v>0</v>
      </c>
      <c r="O198" t="n">
        <v>0</v>
      </c>
      <c r="P198" t="n">
        <v>0</v>
      </c>
      <c r="Q198" t="n">
        <v>0</v>
      </c>
      <c r="R198" s="2" t="inlineStr"/>
    </row>
    <row r="199" ht="15" customHeight="1">
      <c r="A199" t="inlineStr">
        <is>
          <t>A 14220-2021</t>
        </is>
      </c>
      <c r="B199" s="1" t="n">
        <v>44278.54855324074</v>
      </c>
      <c r="C199" s="1" t="n">
        <v>46049</v>
      </c>
      <c r="D199" t="inlineStr">
        <is>
          <t>KALMAR LÄN</t>
        </is>
      </c>
      <c r="E199" t="inlineStr">
        <is>
          <t>VIMMERBY</t>
        </is>
      </c>
      <c r="G199" t="n">
        <v>0.3</v>
      </c>
      <c r="H199" t="n">
        <v>0</v>
      </c>
      <c r="I199" t="n">
        <v>0</v>
      </c>
      <c r="J199" t="n">
        <v>0</v>
      </c>
      <c r="K199" t="n">
        <v>0</v>
      </c>
      <c r="L199" t="n">
        <v>0</v>
      </c>
      <c r="M199" t="n">
        <v>0</v>
      </c>
      <c r="N199" t="n">
        <v>0</v>
      </c>
      <c r="O199" t="n">
        <v>0</v>
      </c>
      <c r="P199" t="n">
        <v>0</v>
      </c>
      <c r="Q199" t="n">
        <v>0</v>
      </c>
      <c r="R199" s="2" t="inlineStr"/>
    </row>
    <row r="200" ht="15" customHeight="1">
      <c r="A200" t="inlineStr">
        <is>
          <t>A 50087-2023</t>
        </is>
      </c>
      <c r="B200" s="1" t="n">
        <v>45215.59743055556</v>
      </c>
      <c r="C200" s="1" t="n">
        <v>46049</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33681-2022</t>
        </is>
      </c>
      <c r="B201" s="1" t="n">
        <v>44789</v>
      </c>
      <c r="C201" s="1" t="n">
        <v>46049</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16825-2024</t>
        </is>
      </c>
      <c r="B202" s="1" t="n">
        <v>45411.47335648148</v>
      </c>
      <c r="C202" s="1" t="n">
        <v>46049</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12033-2024</t>
        </is>
      </c>
      <c r="B203" s="1" t="n">
        <v>45377.40043981482</v>
      </c>
      <c r="C203" s="1" t="n">
        <v>46049</v>
      </c>
      <c r="D203" t="inlineStr">
        <is>
          <t>KALMAR LÄN</t>
        </is>
      </c>
      <c r="E203" t="inlineStr">
        <is>
          <t>VIMMERBY</t>
        </is>
      </c>
      <c r="G203" t="n">
        <v>1.6</v>
      </c>
      <c r="H203" t="n">
        <v>0</v>
      </c>
      <c r="I203" t="n">
        <v>0</v>
      </c>
      <c r="J203" t="n">
        <v>0</v>
      </c>
      <c r="K203" t="n">
        <v>0</v>
      </c>
      <c r="L203" t="n">
        <v>0</v>
      </c>
      <c r="M203" t="n">
        <v>0</v>
      </c>
      <c r="N203" t="n">
        <v>0</v>
      </c>
      <c r="O203" t="n">
        <v>0</v>
      </c>
      <c r="P203" t="n">
        <v>0</v>
      </c>
      <c r="Q203" t="n">
        <v>0</v>
      </c>
      <c r="R203" s="2" t="inlineStr"/>
    </row>
    <row r="204" ht="15" customHeight="1">
      <c r="A204" t="inlineStr">
        <is>
          <t>A 6214-2025</t>
        </is>
      </c>
      <c r="B204" s="1" t="n">
        <v>45698.51711805556</v>
      </c>
      <c r="C204" s="1" t="n">
        <v>46049</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18501-2024</t>
        </is>
      </c>
      <c r="B205" s="1" t="n">
        <v>45425.57538194444</v>
      </c>
      <c r="C205" s="1" t="n">
        <v>46049</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28395-2023</t>
        </is>
      </c>
      <c r="B206" s="1" t="n">
        <v>45100.4062962963</v>
      </c>
      <c r="C206" s="1" t="n">
        <v>46049</v>
      </c>
      <c r="D206" t="inlineStr">
        <is>
          <t>KALMAR LÄN</t>
        </is>
      </c>
      <c r="E206" t="inlineStr">
        <is>
          <t>VIMMERBY</t>
        </is>
      </c>
      <c r="G206" t="n">
        <v>1.4</v>
      </c>
      <c r="H206" t="n">
        <v>0</v>
      </c>
      <c r="I206" t="n">
        <v>0</v>
      </c>
      <c r="J206" t="n">
        <v>0</v>
      </c>
      <c r="K206" t="n">
        <v>0</v>
      </c>
      <c r="L206" t="n">
        <v>0</v>
      </c>
      <c r="M206" t="n">
        <v>0</v>
      </c>
      <c r="N206" t="n">
        <v>0</v>
      </c>
      <c r="O206" t="n">
        <v>0</v>
      </c>
      <c r="P206" t="n">
        <v>0</v>
      </c>
      <c r="Q206" t="n">
        <v>0</v>
      </c>
      <c r="R206" s="2" t="inlineStr"/>
    </row>
    <row r="207" ht="15" customHeight="1">
      <c r="A207" t="inlineStr">
        <is>
          <t>A 49408-2023</t>
        </is>
      </c>
      <c r="B207" s="1" t="n">
        <v>45211.43555555555</v>
      </c>
      <c r="C207" s="1" t="n">
        <v>46049</v>
      </c>
      <c r="D207" t="inlineStr">
        <is>
          <t>KALMAR LÄN</t>
        </is>
      </c>
      <c r="E207" t="inlineStr">
        <is>
          <t>VIMMERBY</t>
        </is>
      </c>
      <c r="G207" t="n">
        <v>13.1</v>
      </c>
      <c r="H207" t="n">
        <v>0</v>
      </c>
      <c r="I207" t="n">
        <v>0</v>
      </c>
      <c r="J207" t="n">
        <v>0</v>
      </c>
      <c r="K207" t="n">
        <v>0</v>
      </c>
      <c r="L207" t="n">
        <v>0</v>
      </c>
      <c r="M207" t="n">
        <v>0</v>
      </c>
      <c r="N207" t="n">
        <v>0</v>
      </c>
      <c r="O207" t="n">
        <v>0</v>
      </c>
      <c r="P207" t="n">
        <v>0</v>
      </c>
      <c r="Q207" t="n">
        <v>0</v>
      </c>
      <c r="R207" s="2" t="inlineStr"/>
    </row>
    <row r="208" ht="15" customHeight="1">
      <c r="A208" t="inlineStr">
        <is>
          <t>A 27443-2023</t>
        </is>
      </c>
      <c r="B208" s="1" t="n">
        <v>45097.40524305555</v>
      </c>
      <c r="C208" s="1" t="n">
        <v>46049</v>
      </c>
      <c r="D208" t="inlineStr">
        <is>
          <t>KALMAR LÄN</t>
        </is>
      </c>
      <c r="E208" t="inlineStr">
        <is>
          <t>VIMMERBY</t>
        </is>
      </c>
      <c r="F208" t="inlineStr">
        <is>
          <t>Övriga Aktiebolag</t>
        </is>
      </c>
      <c r="G208" t="n">
        <v>2.3</v>
      </c>
      <c r="H208" t="n">
        <v>0</v>
      </c>
      <c r="I208" t="n">
        <v>0</v>
      </c>
      <c r="J208" t="n">
        <v>0</v>
      </c>
      <c r="K208" t="n">
        <v>0</v>
      </c>
      <c r="L208" t="n">
        <v>0</v>
      </c>
      <c r="M208" t="n">
        <v>0</v>
      </c>
      <c r="N208" t="n">
        <v>0</v>
      </c>
      <c r="O208" t="n">
        <v>0</v>
      </c>
      <c r="P208" t="n">
        <v>0</v>
      </c>
      <c r="Q208" t="n">
        <v>0</v>
      </c>
      <c r="R208" s="2" t="inlineStr"/>
    </row>
    <row r="209" ht="15" customHeight="1">
      <c r="A209" t="inlineStr">
        <is>
          <t>A 57256-2023</t>
        </is>
      </c>
      <c r="B209" s="1" t="n">
        <v>45245.5735300926</v>
      </c>
      <c r="C209" s="1" t="n">
        <v>46049</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25799-2023</t>
        </is>
      </c>
      <c r="B210" s="1" t="n">
        <v>45090</v>
      </c>
      <c r="C210" s="1" t="n">
        <v>46049</v>
      </c>
      <c r="D210" t="inlineStr">
        <is>
          <t>KALMAR LÄN</t>
        </is>
      </c>
      <c r="E210" t="inlineStr">
        <is>
          <t>VIMMERBY</t>
        </is>
      </c>
      <c r="G210" t="n">
        <v>7.7</v>
      </c>
      <c r="H210" t="n">
        <v>0</v>
      </c>
      <c r="I210" t="n">
        <v>0</v>
      </c>
      <c r="J210" t="n">
        <v>0</v>
      </c>
      <c r="K210" t="n">
        <v>0</v>
      </c>
      <c r="L210" t="n">
        <v>0</v>
      </c>
      <c r="M210" t="n">
        <v>0</v>
      </c>
      <c r="N210" t="n">
        <v>0</v>
      </c>
      <c r="O210" t="n">
        <v>0</v>
      </c>
      <c r="P210" t="n">
        <v>0</v>
      </c>
      <c r="Q210" t="n">
        <v>0</v>
      </c>
      <c r="R210" s="2" t="inlineStr"/>
    </row>
    <row r="211" ht="15" customHeight="1">
      <c r="A211" t="inlineStr">
        <is>
          <t>A 57189-2022</t>
        </is>
      </c>
      <c r="B211" s="1" t="n">
        <v>44895.62296296296</v>
      </c>
      <c r="C211" s="1" t="n">
        <v>46049</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23088-2024</t>
        </is>
      </c>
      <c r="B212" s="1" t="n">
        <v>45450.51092592593</v>
      </c>
      <c r="C212" s="1" t="n">
        <v>46049</v>
      </c>
      <c r="D212" t="inlineStr">
        <is>
          <t>KALMAR LÄN</t>
        </is>
      </c>
      <c r="E212" t="inlineStr">
        <is>
          <t>VIMMERBY</t>
        </is>
      </c>
      <c r="G212" t="n">
        <v>1.9</v>
      </c>
      <c r="H212" t="n">
        <v>0</v>
      </c>
      <c r="I212" t="n">
        <v>0</v>
      </c>
      <c r="J212" t="n">
        <v>0</v>
      </c>
      <c r="K212" t="n">
        <v>0</v>
      </c>
      <c r="L212" t="n">
        <v>0</v>
      </c>
      <c r="M212" t="n">
        <v>0</v>
      </c>
      <c r="N212" t="n">
        <v>0</v>
      </c>
      <c r="O212" t="n">
        <v>0</v>
      </c>
      <c r="P212" t="n">
        <v>0</v>
      </c>
      <c r="Q212" t="n">
        <v>0</v>
      </c>
      <c r="R212" s="2" t="inlineStr"/>
    </row>
    <row r="213" ht="15" customHeight="1">
      <c r="A213" t="inlineStr">
        <is>
          <t>A 16015-2025</t>
        </is>
      </c>
      <c r="B213" s="1" t="n">
        <v>45749.60487268519</v>
      </c>
      <c r="C213" s="1" t="n">
        <v>46049</v>
      </c>
      <c r="D213" t="inlineStr">
        <is>
          <t>KALMAR LÄN</t>
        </is>
      </c>
      <c r="E213" t="inlineStr">
        <is>
          <t>VIMMERBY</t>
        </is>
      </c>
      <c r="F213" t="inlineStr">
        <is>
          <t>Kyrkan</t>
        </is>
      </c>
      <c r="G213" t="n">
        <v>2.7</v>
      </c>
      <c r="H213" t="n">
        <v>0</v>
      </c>
      <c r="I213" t="n">
        <v>0</v>
      </c>
      <c r="J213" t="n">
        <v>0</v>
      </c>
      <c r="K213" t="n">
        <v>0</v>
      </c>
      <c r="L213" t="n">
        <v>0</v>
      </c>
      <c r="M213" t="n">
        <v>0</v>
      </c>
      <c r="N213" t="n">
        <v>0</v>
      </c>
      <c r="O213" t="n">
        <v>0</v>
      </c>
      <c r="P213" t="n">
        <v>0</v>
      </c>
      <c r="Q213" t="n">
        <v>0</v>
      </c>
      <c r="R213" s="2" t="inlineStr"/>
    </row>
    <row r="214" ht="15" customHeight="1">
      <c r="A214" t="inlineStr">
        <is>
          <t>A 1987-2024</t>
        </is>
      </c>
      <c r="B214" s="1" t="n">
        <v>45308.61152777778</v>
      </c>
      <c r="C214" s="1" t="n">
        <v>46049</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527-2024</t>
        </is>
      </c>
      <c r="B215" s="1" t="n">
        <v>45299.47513888889</v>
      </c>
      <c r="C215" s="1" t="n">
        <v>46049</v>
      </c>
      <c r="D215" t="inlineStr">
        <is>
          <t>KALMAR LÄN</t>
        </is>
      </c>
      <c r="E215" t="inlineStr">
        <is>
          <t>VIMMERBY</t>
        </is>
      </c>
      <c r="G215" t="n">
        <v>2.2</v>
      </c>
      <c r="H215" t="n">
        <v>0</v>
      </c>
      <c r="I215" t="n">
        <v>0</v>
      </c>
      <c r="J215" t="n">
        <v>0</v>
      </c>
      <c r="K215" t="n">
        <v>0</v>
      </c>
      <c r="L215" t="n">
        <v>0</v>
      </c>
      <c r="M215" t="n">
        <v>0</v>
      </c>
      <c r="N215" t="n">
        <v>0</v>
      </c>
      <c r="O215" t="n">
        <v>0</v>
      </c>
      <c r="P215" t="n">
        <v>0</v>
      </c>
      <c r="Q215" t="n">
        <v>0</v>
      </c>
      <c r="R215" s="2" t="inlineStr"/>
    </row>
    <row r="216" ht="15" customHeight="1">
      <c r="A216" t="inlineStr">
        <is>
          <t>A 47063-2022</t>
        </is>
      </c>
      <c r="B216" s="1" t="n">
        <v>44852</v>
      </c>
      <c r="C216" s="1" t="n">
        <v>46049</v>
      </c>
      <c r="D216" t="inlineStr">
        <is>
          <t>KALMAR LÄN</t>
        </is>
      </c>
      <c r="E216" t="inlineStr">
        <is>
          <t>VIMMERBY</t>
        </is>
      </c>
      <c r="G216" t="n">
        <v>2.5</v>
      </c>
      <c r="H216" t="n">
        <v>0</v>
      </c>
      <c r="I216" t="n">
        <v>0</v>
      </c>
      <c r="J216" t="n">
        <v>0</v>
      </c>
      <c r="K216" t="n">
        <v>0</v>
      </c>
      <c r="L216" t="n">
        <v>0</v>
      </c>
      <c r="M216" t="n">
        <v>0</v>
      </c>
      <c r="N216" t="n">
        <v>0</v>
      </c>
      <c r="O216" t="n">
        <v>0</v>
      </c>
      <c r="P216" t="n">
        <v>0</v>
      </c>
      <c r="Q216" t="n">
        <v>0</v>
      </c>
      <c r="R216" s="2" t="inlineStr"/>
    </row>
    <row r="217" ht="15" customHeight="1">
      <c r="A217" t="inlineStr">
        <is>
          <t>A 37192-2024</t>
        </is>
      </c>
      <c r="B217" s="1" t="n">
        <v>45539.66027777778</v>
      </c>
      <c r="C217" s="1" t="n">
        <v>46049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12819-2024</t>
        </is>
      </c>
      <c r="B218" s="1" t="n">
        <v>45384.66917824074</v>
      </c>
      <c r="C218" s="1" t="n">
        <v>46049</v>
      </c>
      <c r="D218" t="inlineStr">
        <is>
          <t>KALMAR LÄN</t>
        </is>
      </c>
      <c r="E218" t="inlineStr">
        <is>
          <t>VIMMERBY</t>
        </is>
      </c>
      <c r="G218" t="n">
        <v>5.1</v>
      </c>
      <c r="H218" t="n">
        <v>0</v>
      </c>
      <c r="I218" t="n">
        <v>0</v>
      </c>
      <c r="J218" t="n">
        <v>0</v>
      </c>
      <c r="K218" t="n">
        <v>0</v>
      </c>
      <c r="L218" t="n">
        <v>0</v>
      </c>
      <c r="M218" t="n">
        <v>0</v>
      </c>
      <c r="N218" t="n">
        <v>0</v>
      </c>
      <c r="O218" t="n">
        <v>0</v>
      </c>
      <c r="P218" t="n">
        <v>0</v>
      </c>
      <c r="Q218" t="n">
        <v>0</v>
      </c>
      <c r="R218" s="2" t="inlineStr"/>
    </row>
    <row r="219" ht="15" customHeight="1">
      <c r="A219" t="inlineStr">
        <is>
          <t>A 31382-2023</t>
        </is>
      </c>
      <c r="B219" s="1" t="n">
        <v>45114.55136574074</v>
      </c>
      <c r="C219" s="1" t="n">
        <v>46049</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11073-2023</t>
        </is>
      </c>
      <c r="B220" s="1" t="n">
        <v>44992</v>
      </c>
      <c r="C220" s="1" t="n">
        <v>46049</v>
      </c>
      <c r="D220" t="inlineStr">
        <is>
          <t>KALMAR LÄN</t>
        </is>
      </c>
      <c r="E220" t="inlineStr">
        <is>
          <t>VIMMERBY</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36802-2021</t>
        </is>
      </c>
      <c r="B221" s="1" t="n">
        <v>44392</v>
      </c>
      <c r="C221" s="1" t="n">
        <v>46049</v>
      </c>
      <c r="D221" t="inlineStr">
        <is>
          <t>KALMAR LÄN</t>
        </is>
      </c>
      <c r="E221" t="inlineStr">
        <is>
          <t>VIMMERBY</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61820-2023</t>
        </is>
      </c>
      <c r="B222" s="1" t="n">
        <v>45266.32614583334</v>
      </c>
      <c r="C222" s="1" t="n">
        <v>46049</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3269-2024</t>
        </is>
      </c>
      <c r="B223" s="1" t="n">
        <v>45317.40372685185</v>
      </c>
      <c r="C223" s="1" t="n">
        <v>46049</v>
      </c>
      <c r="D223" t="inlineStr">
        <is>
          <t>KALMAR LÄN</t>
        </is>
      </c>
      <c r="E223" t="inlineStr">
        <is>
          <t>VIMMERBY</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59955-2023</t>
        </is>
      </c>
      <c r="B224" s="1" t="n">
        <v>45257.70313657408</v>
      </c>
      <c r="C224" s="1" t="n">
        <v>46049</v>
      </c>
      <c r="D224" t="inlineStr">
        <is>
          <t>KALMAR LÄN</t>
        </is>
      </c>
      <c r="E224" t="inlineStr">
        <is>
          <t>VIMMERBY</t>
        </is>
      </c>
      <c r="G224" t="n">
        <v>13.8</v>
      </c>
      <c r="H224" t="n">
        <v>0</v>
      </c>
      <c r="I224" t="n">
        <v>0</v>
      </c>
      <c r="J224" t="n">
        <v>0</v>
      </c>
      <c r="K224" t="n">
        <v>0</v>
      </c>
      <c r="L224" t="n">
        <v>0</v>
      </c>
      <c r="M224" t="n">
        <v>0</v>
      </c>
      <c r="N224" t="n">
        <v>0</v>
      </c>
      <c r="O224" t="n">
        <v>0</v>
      </c>
      <c r="P224" t="n">
        <v>0</v>
      </c>
      <c r="Q224" t="n">
        <v>0</v>
      </c>
      <c r="R224" s="2" t="inlineStr"/>
    </row>
    <row r="225" ht="15" customHeight="1">
      <c r="A225" t="inlineStr">
        <is>
          <t>A 2157-2024</t>
        </is>
      </c>
      <c r="B225" s="1" t="n">
        <v>45309.59487268519</v>
      </c>
      <c r="C225" s="1" t="n">
        <v>46049</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9418-2024</t>
        </is>
      </c>
      <c r="B226" s="1" t="n">
        <v>45359.45038194444</v>
      </c>
      <c r="C226" s="1" t="n">
        <v>46049</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9416-2024</t>
        </is>
      </c>
      <c r="B227" s="1" t="n">
        <v>45359.44837962963</v>
      </c>
      <c r="C227" s="1" t="n">
        <v>46049</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58318-2021</t>
        </is>
      </c>
      <c r="B228" s="1" t="n">
        <v>44488.35878472222</v>
      </c>
      <c r="C228" s="1" t="n">
        <v>46049</v>
      </c>
      <c r="D228" t="inlineStr">
        <is>
          <t>KALMAR LÄN</t>
        </is>
      </c>
      <c r="E228" t="inlineStr">
        <is>
          <t>VIMMERBY</t>
        </is>
      </c>
      <c r="G228" t="n">
        <v>4</v>
      </c>
      <c r="H228" t="n">
        <v>0</v>
      </c>
      <c r="I228" t="n">
        <v>0</v>
      </c>
      <c r="J228" t="n">
        <v>0</v>
      </c>
      <c r="K228" t="n">
        <v>0</v>
      </c>
      <c r="L228" t="n">
        <v>0</v>
      </c>
      <c r="M228" t="n">
        <v>0</v>
      </c>
      <c r="N228" t="n">
        <v>0</v>
      </c>
      <c r="O228" t="n">
        <v>0</v>
      </c>
      <c r="P228" t="n">
        <v>0</v>
      </c>
      <c r="Q228" t="n">
        <v>0</v>
      </c>
      <c r="R228" s="2" t="inlineStr"/>
    </row>
    <row r="229" ht="15" customHeight="1">
      <c r="A229" t="inlineStr">
        <is>
          <t>A 22197-2024</t>
        </is>
      </c>
      <c r="B229" s="1" t="n">
        <v>45446.36774305555</v>
      </c>
      <c r="C229" s="1" t="n">
        <v>46049</v>
      </c>
      <c r="D229" t="inlineStr">
        <is>
          <t>KALMAR LÄN</t>
        </is>
      </c>
      <c r="E229" t="inlineStr">
        <is>
          <t>VIMMERBY</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53083-2021</t>
        </is>
      </c>
      <c r="B230" s="1" t="n">
        <v>44467.83386574074</v>
      </c>
      <c r="C230" s="1" t="n">
        <v>46049</v>
      </c>
      <c r="D230" t="inlineStr">
        <is>
          <t>KALMAR LÄN</t>
        </is>
      </c>
      <c r="E230" t="inlineStr">
        <is>
          <t>VIMMERBY</t>
        </is>
      </c>
      <c r="G230" t="n">
        <v>6.8</v>
      </c>
      <c r="H230" t="n">
        <v>0</v>
      </c>
      <c r="I230" t="n">
        <v>0</v>
      </c>
      <c r="J230" t="n">
        <v>0</v>
      </c>
      <c r="K230" t="n">
        <v>0</v>
      </c>
      <c r="L230" t="n">
        <v>0</v>
      </c>
      <c r="M230" t="n">
        <v>0</v>
      </c>
      <c r="N230" t="n">
        <v>0</v>
      </c>
      <c r="O230" t="n">
        <v>0</v>
      </c>
      <c r="P230" t="n">
        <v>0</v>
      </c>
      <c r="Q230" t="n">
        <v>0</v>
      </c>
      <c r="R230" s="2" t="inlineStr"/>
    </row>
    <row r="231" ht="15" customHeight="1">
      <c r="A231" t="inlineStr">
        <is>
          <t>A 29173-2024</t>
        </is>
      </c>
      <c r="B231" s="1" t="n">
        <v>45482.52887731481</v>
      </c>
      <c r="C231" s="1" t="n">
        <v>46049</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11111-2024</t>
        </is>
      </c>
      <c r="B232" s="1" t="n">
        <v>45371.36359953704</v>
      </c>
      <c r="C232" s="1" t="n">
        <v>46049</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11141-2024</t>
        </is>
      </c>
      <c r="B233" s="1" t="n">
        <v>45371.45865740741</v>
      </c>
      <c r="C233" s="1" t="n">
        <v>46049</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49313-2022</t>
        </is>
      </c>
      <c r="B234" s="1" t="n">
        <v>44861.52505787037</v>
      </c>
      <c r="C234" s="1" t="n">
        <v>46049</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35998-2024</t>
        </is>
      </c>
      <c r="B235" s="1" t="n">
        <v>45533.54429398148</v>
      </c>
      <c r="C235" s="1" t="n">
        <v>46049</v>
      </c>
      <c r="D235" t="inlineStr">
        <is>
          <t>KALMAR LÄN</t>
        </is>
      </c>
      <c r="E235" t="inlineStr">
        <is>
          <t>VIMMERBY</t>
        </is>
      </c>
      <c r="G235" t="n">
        <v>8.6</v>
      </c>
      <c r="H235" t="n">
        <v>0</v>
      </c>
      <c r="I235" t="n">
        <v>0</v>
      </c>
      <c r="J235" t="n">
        <v>0</v>
      </c>
      <c r="K235" t="n">
        <v>0</v>
      </c>
      <c r="L235" t="n">
        <v>0</v>
      </c>
      <c r="M235" t="n">
        <v>0</v>
      </c>
      <c r="N235" t="n">
        <v>0</v>
      </c>
      <c r="O235" t="n">
        <v>0</v>
      </c>
      <c r="P235" t="n">
        <v>0</v>
      </c>
      <c r="Q235" t="n">
        <v>0</v>
      </c>
      <c r="R235" s="2" t="inlineStr"/>
    </row>
    <row r="236" ht="15" customHeight="1">
      <c r="A236" t="inlineStr">
        <is>
          <t>A 36040-2024</t>
        </is>
      </c>
      <c r="B236" s="1" t="n">
        <v>45533.60232638889</v>
      </c>
      <c r="C236" s="1" t="n">
        <v>46049</v>
      </c>
      <c r="D236" t="inlineStr">
        <is>
          <t>KALMAR LÄN</t>
        </is>
      </c>
      <c r="E236" t="inlineStr">
        <is>
          <t>VIMMERBY</t>
        </is>
      </c>
      <c r="F236" t="inlineStr">
        <is>
          <t>Kommuner</t>
        </is>
      </c>
      <c r="G236" t="n">
        <v>3.6</v>
      </c>
      <c r="H236" t="n">
        <v>0</v>
      </c>
      <c r="I236" t="n">
        <v>0</v>
      </c>
      <c r="J236" t="n">
        <v>0</v>
      </c>
      <c r="K236" t="n">
        <v>0</v>
      </c>
      <c r="L236" t="n">
        <v>0</v>
      </c>
      <c r="M236" t="n">
        <v>0</v>
      </c>
      <c r="N236" t="n">
        <v>0</v>
      </c>
      <c r="O236" t="n">
        <v>0</v>
      </c>
      <c r="P236" t="n">
        <v>0</v>
      </c>
      <c r="Q236" t="n">
        <v>0</v>
      </c>
      <c r="R236" s="2" t="inlineStr"/>
    </row>
    <row r="237" ht="15" customHeight="1">
      <c r="A237" t="inlineStr">
        <is>
          <t>A 36043-2024</t>
        </is>
      </c>
      <c r="B237" s="1" t="n">
        <v>45533.60770833334</v>
      </c>
      <c r="C237" s="1" t="n">
        <v>46049</v>
      </c>
      <c r="D237" t="inlineStr">
        <is>
          <t>KALMAR LÄN</t>
        </is>
      </c>
      <c r="E237" t="inlineStr">
        <is>
          <t>VIMMERBY</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35710-2023</t>
        </is>
      </c>
      <c r="B238" s="1" t="n">
        <v>45147.67096064815</v>
      </c>
      <c r="C238" s="1" t="n">
        <v>46049</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35711-2023</t>
        </is>
      </c>
      <c r="B239" s="1" t="n">
        <v>45147.67172453704</v>
      </c>
      <c r="C239" s="1" t="n">
        <v>46049</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34588-2024</t>
        </is>
      </c>
      <c r="B240" s="1" t="n">
        <v>45526.3865625</v>
      </c>
      <c r="C240" s="1" t="n">
        <v>46049</v>
      </c>
      <c r="D240" t="inlineStr">
        <is>
          <t>KALMAR LÄN</t>
        </is>
      </c>
      <c r="E240" t="inlineStr">
        <is>
          <t>VIMMERBY</t>
        </is>
      </c>
      <c r="F240" t="inlineStr">
        <is>
          <t>Övriga Aktiebolag</t>
        </is>
      </c>
      <c r="G240" t="n">
        <v>3.3</v>
      </c>
      <c r="H240" t="n">
        <v>0</v>
      </c>
      <c r="I240" t="n">
        <v>0</v>
      </c>
      <c r="J240" t="n">
        <v>0</v>
      </c>
      <c r="K240" t="n">
        <v>0</v>
      </c>
      <c r="L240" t="n">
        <v>0</v>
      </c>
      <c r="M240" t="n">
        <v>0</v>
      </c>
      <c r="N240" t="n">
        <v>0</v>
      </c>
      <c r="O240" t="n">
        <v>0</v>
      </c>
      <c r="P240" t="n">
        <v>0</v>
      </c>
      <c r="Q240" t="n">
        <v>0</v>
      </c>
      <c r="R240" s="2" t="inlineStr"/>
    </row>
    <row r="241" ht="15" customHeight="1">
      <c r="A241" t="inlineStr">
        <is>
          <t>A 56659-2023</t>
        </is>
      </c>
      <c r="B241" s="1" t="n">
        <v>45243.84869212963</v>
      </c>
      <c r="C241" s="1" t="n">
        <v>46049</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3331-2023</t>
        </is>
      </c>
      <c r="B242" s="1" t="n">
        <v>44949</v>
      </c>
      <c r="C242" s="1" t="n">
        <v>46049</v>
      </c>
      <c r="D242" t="inlineStr">
        <is>
          <t>KALMAR LÄN</t>
        </is>
      </c>
      <c r="E242" t="inlineStr">
        <is>
          <t>VIMMERBY</t>
        </is>
      </c>
      <c r="G242" t="n">
        <v>6.2</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46049</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1687-2023</t>
        </is>
      </c>
      <c r="B244" s="1" t="n">
        <v>44938</v>
      </c>
      <c r="C244" s="1" t="n">
        <v>46049</v>
      </c>
      <c r="D244" t="inlineStr">
        <is>
          <t>KALMAR LÄN</t>
        </is>
      </c>
      <c r="E244" t="inlineStr">
        <is>
          <t>VIMMERBY</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29440-2024</t>
        </is>
      </c>
      <c r="B245" s="1" t="n">
        <v>45483.82479166667</v>
      </c>
      <c r="C245" s="1" t="n">
        <v>46049</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30921-2024</t>
        </is>
      </c>
      <c r="B246" s="1" t="n">
        <v>45498</v>
      </c>
      <c r="C246" s="1" t="n">
        <v>46049</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40828-2023</t>
        </is>
      </c>
      <c r="B247" s="1" t="n">
        <v>45171.96248842592</v>
      </c>
      <c r="C247" s="1" t="n">
        <v>46049</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53482-2022</t>
        </is>
      </c>
      <c r="B248" s="1" t="n">
        <v>44879</v>
      </c>
      <c r="C248" s="1" t="n">
        <v>46049</v>
      </c>
      <c r="D248" t="inlineStr">
        <is>
          <t>KALMAR LÄN</t>
        </is>
      </c>
      <c r="E248" t="inlineStr">
        <is>
          <t>VIMMERBY</t>
        </is>
      </c>
      <c r="G248" t="n">
        <v>10.1</v>
      </c>
      <c r="H248" t="n">
        <v>0</v>
      </c>
      <c r="I248" t="n">
        <v>0</v>
      </c>
      <c r="J248" t="n">
        <v>0</v>
      </c>
      <c r="K248" t="n">
        <v>0</v>
      </c>
      <c r="L248" t="n">
        <v>0</v>
      </c>
      <c r="M248" t="n">
        <v>0</v>
      </c>
      <c r="N248" t="n">
        <v>0</v>
      </c>
      <c r="O248" t="n">
        <v>0</v>
      </c>
      <c r="P248" t="n">
        <v>0</v>
      </c>
      <c r="Q248" t="n">
        <v>0</v>
      </c>
      <c r="R248" s="2" t="inlineStr"/>
    </row>
    <row r="249" ht="15" customHeight="1">
      <c r="A249" t="inlineStr">
        <is>
          <t>A 64143-2021</t>
        </is>
      </c>
      <c r="B249" s="1" t="n">
        <v>44510.52157407408</v>
      </c>
      <c r="C249" s="1" t="n">
        <v>46049</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9720-2023</t>
        </is>
      </c>
      <c r="B250" s="1" t="n">
        <v>44984</v>
      </c>
      <c r="C250" s="1" t="n">
        <v>46049</v>
      </c>
      <c r="D250" t="inlineStr">
        <is>
          <t>KALMAR LÄN</t>
        </is>
      </c>
      <c r="E250" t="inlineStr">
        <is>
          <t>VIMMERBY</t>
        </is>
      </c>
      <c r="G250" t="n">
        <v>4.4</v>
      </c>
      <c r="H250" t="n">
        <v>0</v>
      </c>
      <c r="I250" t="n">
        <v>0</v>
      </c>
      <c r="J250" t="n">
        <v>0</v>
      </c>
      <c r="K250" t="n">
        <v>0</v>
      </c>
      <c r="L250" t="n">
        <v>0</v>
      </c>
      <c r="M250" t="n">
        <v>0</v>
      </c>
      <c r="N250" t="n">
        <v>0</v>
      </c>
      <c r="O250" t="n">
        <v>0</v>
      </c>
      <c r="P250" t="n">
        <v>0</v>
      </c>
      <c r="Q250" t="n">
        <v>0</v>
      </c>
      <c r="R250" s="2" t="inlineStr"/>
    </row>
    <row r="251" ht="15" customHeight="1">
      <c r="A251" t="inlineStr">
        <is>
          <t>A 5938-2022</t>
        </is>
      </c>
      <c r="B251" s="1" t="n">
        <v>44598</v>
      </c>
      <c r="C251" s="1" t="n">
        <v>46049</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29180-2024</t>
        </is>
      </c>
      <c r="B252" s="1" t="n">
        <v>45482.54108796296</v>
      </c>
      <c r="C252" s="1" t="n">
        <v>46049</v>
      </c>
      <c r="D252" t="inlineStr">
        <is>
          <t>KALMAR LÄN</t>
        </is>
      </c>
      <c r="E252" t="inlineStr">
        <is>
          <t>VIMMERBY</t>
        </is>
      </c>
      <c r="G252" t="n">
        <v>3.8</v>
      </c>
      <c r="H252" t="n">
        <v>0</v>
      </c>
      <c r="I252" t="n">
        <v>0</v>
      </c>
      <c r="J252" t="n">
        <v>0</v>
      </c>
      <c r="K252" t="n">
        <v>0</v>
      </c>
      <c r="L252" t="n">
        <v>0</v>
      </c>
      <c r="M252" t="n">
        <v>0</v>
      </c>
      <c r="N252" t="n">
        <v>0</v>
      </c>
      <c r="O252" t="n">
        <v>0</v>
      </c>
      <c r="P252" t="n">
        <v>0</v>
      </c>
      <c r="Q252" t="n">
        <v>0</v>
      </c>
      <c r="R252" s="2" t="inlineStr"/>
    </row>
    <row r="253" ht="15" customHeight="1">
      <c r="A253" t="inlineStr">
        <is>
          <t>A 25830-2025</t>
        </is>
      </c>
      <c r="B253" s="1" t="n">
        <v>45804.44519675926</v>
      </c>
      <c r="C253" s="1" t="n">
        <v>46049</v>
      </c>
      <c r="D253" t="inlineStr">
        <is>
          <t>KALMAR LÄN</t>
        </is>
      </c>
      <c r="E253" t="inlineStr">
        <is>
          <t>VIMMERBY</t>
        </is>
      </c>
      <c r="G253" t="n">
        <v>4.9</v>
      </c>
      <c r="H253" t="n">
        <v>0</v>
      </c>
      <c r="I253" t="n">
        <v>0</v>
      </c>
      <c r="J253" t="n">
        <v>0</v>
      </c>
      <c r="K253" t="n">
        <v>0</v>
      </c>
      <c r="L253" t="n">
        <v>0</v>
      </c>
      <c r="M253" t="n">
        <v>0</v>
      </c>
      <c r="N253" t="n">
        <v>0</v>
      </c>
      <c r="O253" t="n">
        <v>0</v>
      </c>
      <c r="P253" t="n">
        <v>0</v>
      </c>
      <c r="Q253" t="n">
        <v>0</v>
      </c>
      <c r="R253" s="2" t="inlineStr"/>
    </row>
    <row r="254" ht="15" customHeight="1">
      <c r="A254" t="inlineStr">
        <is>
          <t>A 29783-2024</t>
        </is>
      </c>
      <c r="B254" s="1" t="n">
        <v>45485.45778935185</v>
      </c>
      <c r="C254" s="1" t="n">
        <v>46049</v>
      </c>
      <c r="D254" t="inlineStr">
        <is>
          <t>KALMAR LÄN</t>
        </is>
      </c>
      <c r="E254" t="inlineStr">
        <is>
          <t>VIMMERBY</t>
        </is>
      </c>
      <c r="G254" t="n">
        <v>3.1</v>
      </c>
      <c r="H254" t="n">
        <v>0</v>
      </c>
      <c r="I254" t="n">
        <v>0</v>
      </c>
      <c r="J254" t="n">
        <v>0</v>
      </c>
      <c r="K254" t="n">
        <v>0</v>
      </c>
      <c r="L254" t="n">
        <v>0</v>
      </c>
      <c r="M254" t="n">
        <v>0</v>
      </c>
      <c r="N254" t="n">
        <v>0</v>
      </c>
      <c r="O254" t="n">
        <v>0</v>
      </c>
      <c r="P254" t="n">
        <v>0</v>
      </c>
      <c r="Q254" t="n">
        <v>0</v>
      </c>
      <c r="R254" s="2" t="inlineStr"/>
    </row>
    <row r="255" ht="15" customHeight="1">
      <c r="A255" t="inlineStr">
        <is>
          <t>A 26124-2025</t>
        </is>
      </c>
      <c r="B255" s="1" t="n">
        <v>45805.39247685186</v>
      </c>
      <c r="C255" s="1" t="n">
        <v>46049</v>
      </c>
      <c r="D255" t="inlineStr">
        <is>
          <t>KALMAR LÄN</t>
        </is>
      </c>
      <c r="E255" t="inlineStr">
        <is>
          <t>VIMMERBY</t>
        </is>
      </c>
      <c r="G255" t="n">
        <v>6.6</v>
      </c>
      <c r="H255" t="n">
        <v>0</v>
      </c>
      <c r="I255" t="n">
        <v>0</v>
      </c>
      <c r="J255" t="n">
        <v>0</v>
      </c>
      <c r="K255" t="n">
        <v>0</v>
      </c>
      <c r="L255" t="n">
        <v>0</v>
      </c>
      <c r="M255" t="n">
        <v>0</v>
      </c>
      <c r="N255" t="n">
        <v>0</v>
      </c>
      <c r="O255" t="n">
        <v>0</v>
      </c>
      <c r="P255" t="n">
        <v>0</v>
      </c>
      <c r="Q255" t="n">
        <v>0</v>
      </c>
      <c r="R255" s="2" t="inlineStr"/>
    </row>
    <row r="256" ht="15" customHeight="1">
      <c r="A256" t="inlineStr">
        <is>
          <t>A 54838-2024</t>
        </is>
      </c>
      <c r="B256" s="1" t="n">
        <v>45618.56787037037</v>
      </c>
      <c r="C256" s="1" t="n">
        <v>46049</v>
      </c>
      <c r="D256" t="inlineStr">
        <is>
          <t>KALMAR LÄN</t>
        </is>
      </c>
      <c r="E256" t="inlineStr">
        <is>
          <t>VIMMERBY</t>
        </is>
      </c>
      <c r="G256" t="n">
        <v>3.3</v>
      </c>
      <c r="H256" t="n">
        <v>0</v>
      </c>
      <c r="I256" t="n">
        <v>0</v>
      </c>
      <c r="J256" t="n">
        <v>0</v>
      </c>
      <c r="K256" t="n">
        <v>0</v>
      </c>
      <c r="L256" t="n">
        <v>0</v>
      </c>
      <c r="M256" t="n">
        <v>0</v>
      </c>
      <c r="N256" t="n">
        <v>0</v>
      </c>
      <c r="O256" t="n">
        <v>0</v>
      </c>
      <c r="P256" t="n">
        <v>0</v>
      </c>
      <c r="Q256" t="n">
        <v>0</v>
      </c>
      <c r="R256" s="2" t="inlineStr"/>
    </row>
    <row r="257" ht="15" customHeight="1">
      <c r="A257" t="inlineStr">
        <is>
          <t>A 25987-2024</t>
        </is>
      </c>
      <c r="B257" s="1" t="n">
        <v>45467.74417824074</v>
      </c>
      <c r="C257" s="1" t="n">
        <v>46049</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26254-2025</t>
        </is>
      </c>
      <c r="B258" s="1" t="n">
        <v>45805</v>
      </c>
      <c r="C258" s="1" t="n">
        <v>46049</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25109-2023</t>
        </is>
      </c>
      <c r="B259" s="1" t="n">
        <v>45086</v>
      </c>
      <c r="C259" s="1" t="n">
        <v>46049</v>
      </c>
      <c r="D259" t="inlineStr">
        <is>
          <t>KALMAR LÄN</t>
        </is>
      </c>
      <c r="E259" t="inlineStr">
        <is>
          <t>VIMMERBY</t>
        </is>
      </c>
      <c r="G259" t="n">
        <v>1.5</v>
      </c>
      <c r="H259" t="n">
        <v>0</v>
      </c>
      <c r="I259" t="n">
        <v>0</v>
      </c>
      <c r="J259" t="n">
        <v>0</v>
      </c>
      <c r="K259" t="n">
        <v>0</v>
      </c>
      <c r="L259" t="n">
        <v>0</v>
      </c>
      <c r="M259" t="n">
        <v>0</v>
      </c>
      <c r="N259" t="n">
        <v>0</v>
      </c>
      <c r="O259" t="n">
        <v>0</v>
      </c>
      <c r="P259" t="n">
        <v>0</v>
      </c>
      <c r="Q259" t="n">
        <v>0</v>
      </c>
      <c r="R259" s="2" t="inlineStr"/>
    </row>
    <row r="260" ht="15" customHeight="1">
      <c r="A260" t="inlineStr">
        <is>
          <t>A 62023-2022</t>
        </is>
      </c>
      <c r="B260" s="1" t="n">
        <v>44918.50106481482</v>
      </c>
      <c r="C260" s="1" t="n">
        <v>46049</v>
      </c>
      <c r="D260" t="inlineStr">
        <is>
          <t>KALMAR LÄN</t>
        </is>
      </c>
      <c r="E260" t="inlineStr">
        <is>
          <t>VIMMERBY</t>
        </is>
      </c>
      <c r="G260" t="n">
        <v>0.3</v>
      </c>
      <c r="H260" t="n">
        <v>0</v>
      </c>
      <c r="I260" t="n">
        <v>0</v>
      </c>
      <c r="J260" t="n">
        <v>0</v>
      </c>
      <c r="K260" t="n">
        <v>0</v>
      </c>
      <c r="L260" t="n">
        <v>0</v>
      </c>
      <c r="M260" t="n">
        <v>0</v>
      </c>
      <c r="N260" t="n">
        <v>0</v>
      </c>
      <c r="O260" t="n">
        <v>0</v>
      </c>
      <c r="P260" t="n">
        <v>0</v>
      </c>
      <c r="Q260" t="n">
        <v>0</v>
      </c>
      <c r="R260" s="2" t="inlineStr"/>
    </row>
    <row r="261" ht="15" customHeight="1">
      <c r="A261" t="inlineStr">
        <is>
          <t>A 26207-2025</t>
        </is>
      </c>
      <c r="B261" s="1" t="n">
        <v>45805.52983796296</v>
      </c>
      <c r="C261" s="1" t="n">
        <v>46049</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38604-2025</t>
        </is>
      </c>
      <c r="B262" s="1" t="n">
        <v>45884.50613425926</v>
      </c>
      <c r="C262" s="1" t="n">
        <v>46049</v>
      </c>
      <c r="D262" t="inlineStr">
        <is>
          <t>KALMAR LÄN</t>
        </is>
      </c>
      <c r="E262" t="inlineStr">
        <is>
          <t>VIMMERBY</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58104-2024</t>
        </is>
      </c>
      <c r="B263" s="1" t="n">
        <v>45632.37459490741</v>
      </c>
      <c r="C263" s="1" t="n">
        <v>46049</v>
      </c>
      <c r="D263" t="inlineStr">
        <is>
          <t>KALMAR LÄN</t>
        </is>
      </c>
      <c r="E263" t="inlineStr">
        <is>
          <t>VIMMERBY</t>
        </is>
      </c>
      <c r="G263" t="n">
        <v>5</v>
      </c>
      <c r="H263" t="n">
        <v>0</v>
      </c>
      <c r="I263" t="n">
        <v>0</v>
      </c>
      <c r="J263" t="n">
        <v>0</v>
      </c>
      <c r="K263" t="n">
        <v>0</v>
      </c>
      <c r="L263" t="n">
        <v>0</v>
      </c>
      <c r="M263" t="n">
        <v>0</v>
      </c>
      <c r="N263" t="n">
        <v>0</v>
      </c>
      <c r="O263" t="n">
        <v>0</v>
      </c>
      <c r="P263" t="n">
        <v>0</v>
      </c>
      <c r="Q263" t="n">
        <v>0</v>
      </c>
      <c r="R263" s="2" t="inlineStr"/>
    </row>
    <row r="264" ht="15" customHeight="1">
      <c r="A264" t="inlineStr">
        <is>
          <t>A 12215-2024</t>
        </is>
      </c>
      <c r="B264" s="1" t="n">
        <v>45378.32185185186</v>
      </c>
      <c r="C264" s="1" t="n">
        <v>46049</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30920-2024</t>
        </is>
      </c>
      <c r="B265" s="1" t="n">
        <v>45498.673125</v>
      </c>
      <c r="C265" s="1" t="n">
        <v>46049</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56536-2022</t>
        </is>
      </c>
      <c r="B266" s="1" t="n">
        <v>44893</v>
      </c>
      <c r="C266" s="1" t="n">
        <v>46049</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63541-2023</t>
        </is>
      </c>
      <c r="B267" s="1" t="n">
        <v>45275.32266203704</v>
      </c>
      <c r="C267" s="1" t="n">
        <v>46049</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37323-2024</t>
        </is>
      </c>
      <c r="B268" s="1" t="n">
        <v>45540.50098379629</v>
      </c>
      <c r="C268" s="1" t="n">
        <v>46049</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11429-2022</t>
        </is>
      </c>
      <c r="B269" s="1" t="n">
        <v>44630</v>
      </c>
      <c r="C269" s="1" t="n">
        <v>46049</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56582-2022</t>
        </is>
      </c>
      <c r="B270" s="1" t="n">
        <v>44893</v>
      </c>
      <c r="C270" s="1" t="n">
        <v>46049</v>
      </c>
      <c r="D270" t="inlineStr">
        <is>
          <t>KALMAR LÄN</t>
        </is>
      </c>
      <c r="E270" t="inlineStr">
        <is>
          <t>VIMMERBY</t>
        </is>
      </c>
      <c r="G270" t="n">
        <v>2.2</v>
      </c>
      <c r="H270" t="n">
        <v>0</v>
      </c>
      <c r="I270" t="n">
        <v>0</v>
      </c>
      <c r="J270" t="n">
        <v>0</v>
      </c>
      <c r="K270" t="n">
        <v>0</v>
      </c>
      <c r="L270" t="n">
        <v>0</v>
      </c>
      <c r="M270" t="n">
        <v>0</v>
      </c>
      <c r="N270" t="n">
        <v>0</v>
      </c>
      <c r="O270" t="n">
        <v>0</v>
      </c>
      <c r="P270" t="n">
        <v>0</v>
      </c>
      <c r="Q270" t="n">
        <v>0</v>
      </c>
      <c r="R270" s="2" t="inlineStr"/>
    </row>
    <row r="271" ht="15" customHeight="1">
      <c r="A271" t="inlineStr">
        <is>
          <t>A 6408-2025</t>
        </is>
      </c>
      <c r="B271" s="1" t="n">
        <v>45699.45671296296</v>
      </c>
      <c r="C271" s="1" t="n">
        <v>46049</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11609-2023</t>
        </is>
      </c>
      <c r="B272" s="1" t="n">
        <v>44994.40635416667</v>
      </c>
      <c r="C272" s="1" t="n">
        <v>46049</v>
      </c>
      <c r="D272" t="inlineStr">
        <is>
          <t>KALMAR LÄN</t>
        </is>
      </c>
      <c r="E272" t="inlineStr">
        <is>
          <t>VIMMERBY</t>
        </is>
      </c>
      <c r="G272" t="n">
        <v>4.9</v>
      </c>
      <c r="H272" t="n">
        <v>0</v>
      </c>
      <c r="I272" t="n">
        <v>0</v>
      </c>
      <c r="J272" t="n">
        <v>0</v>
      </c>
      <c r="K272" t="n">
        <v>0</v>
      </c>
      <c r="L272" t="n">
        <v>0</v>
      </c>
      <c r="M272" t="n">
        <v>0</v>
      </c>
      <c r="N272" t="n">
        <v>0</v>
      </c>
      <c r="O272" t="n">
        <v>0</v>
      </c>
      <c r="P272" t="n">
        <v>0</v>
      </c>
      <c r="Q272" t="n">
        <v>0</v>
      </c>
      <c r="R272" s="2" t="inlineStr"/>
    </row>
    <row r="273" ht="15" customHeight="1">
      <c r="A273" t="inlineStr">
        <is>
          <t>A 44464-2024</t>
        </is>
      </c>
      <c r="B273" s="1" t="n">
        <v>45574.35809027778</v>
      </c>
      <c r="C273" s="1" t="n">
        <v>46049</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41066-2024</t>
        </is>
      </c>
      <c r="B274" s="1" t="n">
        <v>45559.38876157408</v>
      </c>
      <c r="C274" s="1" t="n">
        <v>46049</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3816-2022</t>
        </is>
      </c>
      <c r="B275" s="1" t="n">
        <v>44587</v>
      </c>
      <c r="C275" s="1" t="n">
        <v>46049</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29726-2025</t>
        </is>
      </c>
      <c r="B276" s="1" t="n">
        <v>45825.57805555555</v>
      </c>
      <c r="C276" s="1" t="n">
        <v>46049</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1081-2023</t>
        </is>
      </c>
      <c r="B277" s="1" t="n">
        <v>44935</v>
      </c>
      <c r="C277" s="1" t="n">
        <v>46049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7047-2022</t>
        </is>
      </c>
      <c r="B278" s="1" t="n">
        <v>44603</v>
      </c>
      <c r="C278" s="1" t="n">
        <v>46049</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12499-2023</t>
        </is>
      </c>
      <c r="B279" s="1" t="n">
        <v>44999.86172453704</v>
      </c>
      <c r="C279" s="1" t="n">
        <v>46049</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12500-2023</t>
        </is>
      </c>
      <c r="B280" s="1" t="n">
        <v>44999.8625</v>
      </c>
      <c r="C280" s="1" t="n">
        <v>46049</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6066-2023</t>
        </is>
      </c>
      <c r="B281" s="1" t="n">
        <v>44964.50894675926</v>
      </c>
      <c r="C281" s="1" t="n">
        <v>46049</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28290-2025</t>
        </is>
      </c>
      <c r="B282" s="1" t="n">
        <v>45818.59261574074</v>
      </c>
      <c r="C282" s="1" t="n">
        <v>46049</v>
      </c>
      <c r="D282" t="inlineStr">
        <is>
          <t>KALMAR LÄN</t>
        </is>
      </c>
      <c r="E282" t="inlineStr">
        <is>
          <t>VIMMERBY</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28280-2025</t>
        </is>
      </c>
      <c r="B283" s="1" t="n">
        <v>45818.5862037037</v>
      </c>
      <c r="C283" s="1" t="n">
        <v>46049</v>
      </c>
      <c r="D283" t="inlineStr">
        <is>
          <t>KALMAR LÄN</t>
        </is>
      </c>
      <c r="E283" t="inlineStr">
        <is>
          <t>VIMMERBY</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28286-2025</t>
        </is>
      </c>
      <c r="B284" s="1" t="n">
        <v>45818.58993055556</v>
      </c>
      <c r="C284" s="1" t="n">
        <v>46049</v>
      </c>
      <c r="D284" t="inlineStr">
        <is>
          <t>KALMAR LÄN</t>
        </is>
      </c>
      <c r="E284" t="inlineStr">
        <is>
          <t>VIMMERBY</t>
        </is>
      </c>
      <c r="F284" t="inlineStr">
        <is>
          <t>Sveaskog</t>
        </is>
      </c>
      <c r="G284" t="n">
        <v>8</v>
      </c>
      <c r="H284" t="n">
        <v>0</v>
      </c>
      <c r="I284" t="n">
        <v>0</v>
      </c>
      <c r="J284" t="n">
        <v>0</v>
      </c>
      <c r="K284" t="n">
        <v>0</v>
      </c>
      <c r="L284" t="n">
        <v>0</v>
      </c>
      <c r="M284" t="n">
        <v>0</v>
      </c>
      <c r="N284" t="n">
        <v>0</v>
      </c>
      <c r="O284" t="n">
        <v>0</v>
      </c>
      <c r="P284" t="n">
        <v>0</v>
      </c>
      <c r="Q284" t="n">
        <v>0</v>
      </c>
      <c r="R284" s="2" t="inlineStr"/>
    </row>
    <row r="285" ht="15" customHeight="1">
      <c r="A285" t="inlineStr">
        <is>
          <t>A 33103-2024</t>
        </is>
      </c>
      <c r="B285" s="1" t="n">
        <v>45517.8162037037</v>
      </c>
      <c r="C285" s="1" t="n">
        <v>46049</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33161-2024</t>
        </is>
      </c>
      <c r="B286" s="1" t="n">
        <v>45518.40657407408</v>
      </c>
      <c r="C286" s="1" t="n">
        <v>46049</v>
      </c>
      <c r="D286" t="inlineStr">
        <is>
          <t>KALMAR LÄN</t>
        </is>
      </c>
      <c r="E286" t="inlineStr">
        <is>
          <t>VIMMERBY</t>
        </is>
      </c>
      <c r="G286" t="n">
        <v>4.7</v>
      </c>
      <c r="H286" t="n">
        <v>0</v>
      </c>
      <c r="I286" t="n">
        <v>0</v>
      </c>
      <c r="J286" t="n">
        <v>0</v>
      </c>
      <c r="K286" t="n">
        <v>0</v>
      </c>
      <c r="L286" t="n">
        <v>0</v>
      </c>
      <c r="M286" t="n">
        <v>0</v>
      </c>
      <c r="N286" t="n">
        <v>0</v>
      </c>
      <c r="O286" t="n">
        <v>0</v>
      </c>
      <c r="P286" t="n">
        <v>0</v>
      </c>
      <c r="Q286" t="n">
        <v>0</v>
      </c>
      <c r="R286" s="2" t="inlineStr"/>
    </row>
    <row r="287" ht="15" customHeight="1">
      <c r="A287" t="inlineStr">
        <is>
          <t>A 12510-2022</t>
        </is>
      </c>
      <c r="B287" s="1" t="n">
        <v>44638.55256944444</v>
      </c>
      <c r="C287" s="1" t="n">
        <v>46049</v>
      </c>
      <c r="D287" t="inlineStr">
        <is>
          <t>KALMAR LÄN</t>
        </is>
      </c>
      <c r="E287" t="inlineStr">
        <is>
          <t>VIMMERBY</t>
        </is>
      </c>
      <c r="G287" t="n">
        <v>2.4</v>
      </c>
      <c r="H287" t="n">
        <v>0</v>
      </c>
      <c r="I287" t="n">
        <v>0</v>
      </c>
      <c r="J287" t="n">
        <v>0</v>
      </c>
      <c r="K287" t="n">
        <v>0</v>
      </c>
      <c r="L287" t="n">
        <v>0</v>
      </c>
      <c r="M287" t="n">
        <v>0</v>
      </c>
      <c r="N287" t="n">
        <v>0</v>
      </c>
      <c r="O287" t="n">
        <v>0</v>
      </c>
      <c r="P287" t="n">
        <v>0</v>
      </c>
      <c r="Q287" t="n">
        <v>0</v>
      </c>
      <c r="R287" s="2" t="inlineStr"/>
    </row>
    <row r="288" ht="15" customHeight="1">
      <c r="A288" t="inlineStr">
        <is>
          <t>A 38964-2025</t>
        </is>
      </c>
      <c r="B288" s="1" t="n">
        <v>45887.68759259259</v>
      </c>
      <c r="C288" s="1" t="n">
        <v>46049</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28282-2025</t>
        </is>
      </c>
      <c r="B289" s="1" t="n">
        <v>45818.58769675926</v>
      </c>
      <c r="C289" s="1" t="n">
        <v>46049</v>
      </c>
      <c r="D289" t="inlineStr">
        <is>
          <t>KALMAR LÄN</t>
        </is>
      </c>
      <c r="E289" t="inlineStr">
        <is>
          <t>VIMMERBY</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28294-2025</t>
        </is>
      </c>
      <c r="B290" s="1" t="n">
        <v>45818.595625</v>
      </c>
      <c r="C290" s="1" t="n">
        <v>46049</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1146-2025</t>
        </is>
      </c>
      <c r="B291" s="1" t="n">
        <v>45666</v>
      </c>
      <c r="C291" s="1" t="n">
        <v>46049</v>
      </c>
      <c r="D291" t="inlineStr">
        <is>
          <t>KALMAR LÄN</t>
        </is>
      </c>
      <c r="E291" t="inlineStr">
        <is>
          <t>VIMMERBY</t>
        </is>
      </c>
      <c r="G291" t="n">
        <v>4</v>
      </c>
      <c r="H291" t="n">
        <v>0</v>
      </c>
      <c r="I291" t="n">
        <v>0</v>
      </c>
      <c r="J291" t="n">
        <v>0</v>
      </c>
      <c r="K291" t="n">
        <v>0</v>
      </c>
      <c r="L291" t="n">
        <v>0</v>
      </c>
      <c r="M291" t="n">
        <v>0</v>
      </c>
      <c r="N291" t="n">
        <v>0</v>
      </c>
      <c r="O291" t="n">
        <v>0</v>
      </c>
      <c r="P291" t="n">
        <v>0</v>
      </c>
      <c r="Q291" t="n">
        <v>0</v>
      </c>
      <c r="R291" s="2" t="inlineStr"/>
    </row>
    <row r="292" ht="15" customHeight="1">
      <c r="A292" t="inlineStr">
        <is>
          <t>A 12890-2023</t>
        </is>
      </c>
      <c r="B292" s="1" t="n">
        <v>45001.59209490741</v>
      </c>
      <c r="C292" s="1" t="n">
        <v>46049</v>
      </c>
      <c r="D292" t="inlineStr">
        <is>
          <t>KALMAR LÄN</t>
        </is>
      </c>
      <c r="E292" t="inlineStr">
        <is>
          <t>VIMMERBY</t>
        </is>
      </c>
      <c r="G292" t="n">
        <v>2.8</v>
      </c>
      <c r="H292" t="n">
        <v>0</v>
      </c>
      <c r="I292" t="n">
        <v>0</v>
      </c>
      <c r="J292" t="n">
        <v>0</v>
      </c>
      <c r="K292" t="n">
        <v>0</v>
      </c>
      <c r="L292" t="n">
        <v>0</v>
      </c>
      <c r="M292" t="n">
        <v>0</v>
      </c>
      <c r="N292" t="n">
        <v>0</v>
      </c>
      <c r="O292" t="n">
        <v>0</v>
      </c>
      <c r="P292" t="n">
        <v>0</v>
      </c>
      <c r="Q292" t="n">
        <v>0</v>
      </c>
      <c r="R292" s="2" t="inlineStr"/>
    </row>
    <row r="293" ht="15" customHeight="1">
      <c r="A293" t="inlineStr">
        <is>
          <t>A 3902-2022</t>
        </is>
      </c>
      <c r="B293" s="1" t="n">
        <v>44587.48847222222</v>
      </c>
      <c r="C293" s="1" t="n">
        <v>46049</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39801-2025</t>
        </is>
      </c>
      <c r="B294" s="1" t="n">
        <v>45891.50216435185</v>
      </c>
      <c r="C294" s="1" t="n">
        <v>46049</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89-2023</t>
        </is>
      </c>
      <c r="B295" s="1" t="n">
        <v>44918</v>
      </c>
      <c r="C295" s="1" t="n">
        <v>46049</v>
      </c>
      <c r="D295" t="inlineStr">
        <is>
          <t>KALMAR LÄN</t>
        </is>
      </c>
      <c r="E295" t="inlineStr">
        <is>
          <t>VIMMERBY</t>
        </is>
      </c>
      <c r="G295" t="n">
        <v>16.1</v>
      </c>
      <c r="H295" t="n">
        <v>0</v>
      </c>
      <c r="I295" t="n">
        <v>0</v>
      </c>
      <c r="J295" t="n">
        <v>0</v>
      </c>
      <c r="K295" t="n">
        <v>0</v>
      </c>
      <c r="L295" t="n">
        <v>0</v>
      </c>
      <c r="M295" t="n">
        <v>0</v>
      </c>
      <c r="N295" t="n">
        <v>0</v>
      </c>
      <c r="O295" t="n">
        <v>0</v>
      </c>
      <c r="P295" t="n">
        <v>0</v>
      </c>
      <c r="Q295" t="n">
        <v>0</v>
      </c>
      <c r="R295" s="2" t="inlineStr"/>
    </row>
    <row r="296" ht="15" customHeight="1">
      <c r="A296" t="inlineStr">
        <is>
          <t>A 39807-2025</t>
        </is>
      </c>
      <c r="B296" s="1" t="n">
        <v>45891.50986111111</v>
      </c>
      <c r="C296" s="1" t="n">
        <v>46049</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5382-2023</t>
        </is>
      </c>
      <c r="B297" s="1" t="n">
        <v>44959.66407407408</v>
      </c>
      <c r="C297" s="1" t="n">
        <v>46049</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6668-2023</t>
        </is>
      </c>
      <c r="B298" s="1" t="n">
        <v>44966</v>
      </c>
      <c r="C298" s="1" t="n">
        <v>46049</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172-2022</t>
        </is>
      </c>
      <c r="B299" s="1" t="n">
        <v>44564.62598379629</v>
      </c>
      <c r="C299" s="1" t="n">
        <v>46049</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28713-2025</t>
        </is>
      </c>
      <c r="B300" s="1" t="n">
        <v>45820.33930555556</v>
      </c>
      <c r="C300" s="1" t="n">
        <v>46049</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30634-2024</t>
        </is>
      </c>
      <c r="B301" s="1" t="n">
        <v>45495</v>
      </c>
      <c r="C301" s="1" t="n">
        <v>46049</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6355-2022</t>
        </is>
      </c>
      <c r="B302" s="1" t="n">
        <v>44600</v>
      </c>
      <c r="C302" s="1" t="n">
        <v>46049</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16020-2023</t>
        </is>
      </c>
      <c r="B303" s="1" t="n">
        <v>45026.82216435186</v>
      </c>
      <c r="C303" s="1" t="n">
        <v>46049</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39736-2025</t>
        </is>
      </c>
      <c r="B304" s="1" t="n">
        <v>45891</v>
      </c>
      <c r="C304" s="1" t="n">
        <v>46049</v>
      </c>
      <c r="D304" t="inlineStr">
        <is>
          <t>KALMAR LÄN</t>
        </is>
      </c>
      <c r="E304" t="inlineStr">
        <is>
          <t>VIMMERBY</t>
        </is>
      </c>
      <c r="G304" t="n">
        <v>12.8</v>
      </c>
      <c r="H304" t="n">
        <v>0</v>
      </c>
      <c r="I304" t="n">
        <v>0</v>
      </c>
      <c r="J304" t="n">
        <v>0</v>
      </c>
      <c r="K304" t="n">
        <v>0</v>
      </c>
      <c r="L304" t="n">
        <v>0</v>
      </c>
      <c r="M304" t="n">
        <v>0</v>
      </c>
      <c r="N304" t="n">
        <v>0</v>
      </c>
      <c r="O304" t="n">
        <v>0</v>
      </c>
      <c r="P304" t="n">
        <v>0</v>
      </c>
      <c r="Q304" t="n">
        <v>0</v>
      </c>
      <c r="R304" s="2" t="inlineStr"/>
    </row>
    <row r="305" ht="15" customHeight="1">
      <c r="A305" t="inlineStr">
        <is>
          <t>A 28712-2025</t>
        </is>
      </c>
      <c r="B305" s="1" t="n">
        <v>45820.33708333333</v>
      </c>
      <c r="C305" s="1" t="n">
        <v>46049</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28714-2025</t>
        </is>
      </c>
      <c r="B306" s="1" t="n">
        <v>45820.34128472222</v>
      </c>
      <c r="C306" s="1" t="n">
        <v>46049</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28620-2025</t>
        </is>
      </c>
      <c r="B307" s="1" t="n">
        <v>45819.61060185185</v>
      </c>
      <c r="C307" s="1" t="n">
        <v>46049</v>
      </c>
      <c r="D307" t="inlineStr">
        <is>
          <t>KALMAR LÄN</t>
        </is>
      </c>
      <c r="E307" t="inlineStr">
        <is>
          <t>VIMMERBY</t>
        </is>
      </c>
      <c r="G307" t="n">
        <v>5.6</v>
      </c>
      <c r="H307" t="n">
        <v>0</v>
      </c>
      <c r="I307" t="n">
        <v>0</v>
      </c>
      <c r="J307" t="n">
        <v>0</v>
      </c>
      <c r="K307" t="n">
        <v>0</v>
      </c>
      <c r="L307" t="n">
        <v>0</v>
      </c>
      <c r="M307" t="n">
        <v>0</v>
      </c>
      <c r="N307" t="n">
        <v>0</v>
      </c>
      <c r="O307" t="n">
        <v>0</v>
      </c>
      <c r="P307" t="n">
        <v>0</v>
      </c>
      <c r="Q307" t="n">
        <v>0</v>
      </c>
      <c r="R307" s="2" t="inlineStr"/>
    </row>
    <row r="308" ht="15" customHeight="1">
      <c r="A308" t="inlineStr">
        <is>
          <t>A 39803-2025</t>
        </is>
      </c>
      <c r="B308" s="1" t="n">
        <v>45891.50525462963</v>
      </c>
      <c r="C308" s="1" t="n">
        <v>46049</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60292-2022</t>
        </is>
      </c>
      <c r="B309" s="1" t="n">
        <v>44910.54231481482</v>
      </c>
      <c r="C309" s="1" t="n">
        <v>46049</v>
      </c>
      <c r="D309" t="inlineStr">
        <is>
          <t>KALMAR LÄN</t>
        </is>
      </c>
      <c r="E309" t="inlineStr">
        <is>
          <t>VIMMERBY</t>
        </is>
      </c>
      <c r="G309" t="n">
        <v>4.4</v>
      </c>
      <c r="H309" t="n">
        <v>0</v>
      </c>
      <c r="I309" t="n">
        <v>0</v>
      </c>
      <c r="J309" t="n">
        <v>0</v>
      </c>
      <c r="K309" t="n">
        <v>0</v>
      </c>
      <c r="L309" t="n">
        <v>0</v>
      </c>
      <c r="M309" t="n">
        <v>0</v>
      </c>
      <c r="N309" t="n">
        <v>0</v>
      </c>
      <c r="O309" t="n">
        <v>0</v>
      </c>
      <c r="P309" t="n">
        <v>0</v>
      </c>
      <c r="Q309" t="n">
        <v>0</v>
      </c>
      <c r="R309" s="2" t="inlineStr"/>
    </row>
    <row r="310" ht="15" customHeight="1">
      <c r="A310" t="inlineStr">
        <is>
          <t>A 39889-2025</t>
        </is>
      </c>
      <c r="B310" s="1" t="n">
        <v>45891</v>
      </c>
      <c r="C310" s="1" t="n">
        <v>46049</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43034-2024</t>
        </is>
      </c>
      <c r="B311" s="1" t="n">
        <v>45567.42011574074</v>
      </c>
      <c r="C311" s="1" t="n">
        <v>46049</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40256-2024</t>
        </is>
      </c>
      <c r="B312" s="1" t="n">
        <v>45554.62944444444</v>
      </c>
      <c r="C312" s="1" t="n">
        <v>46049</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29727-2025</t>
        </is>
      </c>
      <c r="B313" s="1" t="n">
        <v>45825.5796875</v>
      </c>
      <c r="C313" s="1" t="n">
        <v>46049</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29737-2025</t>
        </is>
      </c>
      <c r="B314" s="1" t="n">
        <v>45825.58672453704</v>
      </c>
      <c r="C314" s="1" t="n">
        <v>46049</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43093-2024</t>
        </is>
      </c>
      <c r="B315" s="1" t="n">
        <v>45567</v>
      </c>
      <c r="C315" s="1" t="n">
        <v>46049</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40970-2025</t>
        </is>
      </c>
      <c r="B316" s="1" t="n">
        <v>45897.88706018519</v>
      </c>
      <c r="C316" s="1" t="n">
        <v>46049</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40973-2025</t>
        </is>
      </c>
      <c r="B317" s="1" t="n">
        <v>45897.89737268518</v>
      </c>
      <c r="C317" s="1" t="n">
        <v>46049</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41224-2025</t>
        </is>
      </c>
      <c r="B318" s="1" t="n">
        <v>45898.58861111111</v>
      </c>
      <c r="C318" s="1" t="n">
        <v>46049</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35198-2023</t>
        </is>
      </c>
      <c r="B319" s="1" t="n">
        <v>45145</v>
      </c>
      <c r="C319" s="1" t="n">
        <v>46049</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58374-2024</t>
        </is>
      </c>
      <c r="B320" s="1" t="n">
        <v>45632.72635416667</v>
      </c>
      <c r="C320" s="1" t="n">
        <v>46049</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40925-2025</t>
        </is>
      </c>
      <c r="B321" s="1" t="n">
        <v>45897.64208333333</v>
      </c>
      <c r="C321" s="1" t="n">
        <v>46049</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40921-2025</t>
        </is>
      </c>
      <c r="B322" s="1" t="n">
        <v>45897.63520833333</v>
      </c>
      <c r="C322" s="1" t="n">
        <v>46049</v>
      </c>
      <c r="D322" t="inlineStr">
        <is>
          <t>KALMAR LÄN</t>
        </is>
      </c>
      <c r="E322" t="inlineStr">
        <is>
          <t>VIMMERBY</t>
        </is>
      </c>
      <c r="G322" t="n">
        <v>4.2</v>
      </c>
      <c r="H322" t="n">
        <v>0</v>
      </c>
      <c r="I322" t="n">
        <v>0</v>
      </c>
      <c r="J322" t="n">
        <v>0</v>
      </c>
      <c r="K322" t="n">
        <v>0</v>
      </c>
      <c r="L322" t="n">
        <v>0</v>
      </c>
      <c r="M322" t="n">
        <v>0</v>
      </c>
      <c r="N322" t="n">
        <v>0</v>
      </c>
      <c r="O322" t="n">
        <v>0</v>
      </c>
      <c r="P322" t="n">
        <v>0</v>
      </c>
      <c r="Q322" t="n">
        <v>0</v>
      </c>
      <c r="R322" s="2" t="inlineStr"/>
    </row>
    <row r="323" ht="15" customHeight="1">
      <c r="A323" t="inlineStr">
        <is>
          <t>A 40971-2025</t>
        </is>
      </c>
      <c r="B323" s="1" t="n">
        <v>45897.88836805556</v>
      </c>
      <c r="C323" s="1" t="n">
        <v>46049</v>
      </c>
      <c r="D323" t="inlineStr">
        <is>
          <t>KALMAR LÄN</t>
        </is>
      </c>
      <c r="E323" t="inlineStr">
        <is>
          <t>VIMMERBY</t>
        </is>
      </c>
      <c r="G323" t="n">
        <v>1.5</v>
      </c>
      <c r="H323" t="n">
        <v>0</v>
      </c>
      <c r="I323" t="n">
        <v>0</v>
      </c>
      <c r="J323" t="n">
        <v>0</v>
      </c>
      <c r="K323" t="n">
        <v>0</v>
      </c>
      <c r="L323" t="n">
        <v>0</v>
      </c>
      <c r="M323" t="n">
        <v>0</v>
      </c>
      <c r="N323" t="n">
        <v>0</v>
      </c>
      <c r="O323" t="n">
        <v>0</v>
      </c>
      <c r="P323" t="n">
        <v>0</v>
      </c>
      <c r="Q323" t="n">
        <v>0</v>
      </c>
      <c r="R323" s="2" t="inlineStr"/>
    </row>
    <row r="324" ht="15" customHeight="1">
      <c r="A324" t="inlineStr">
        <is>
          <t>A 30293-2025</t>
        </is>
      </c>
      <c r="B324" s="1" t="n">
        <v>45827</v>
      </c>
      <c r="C324" s="1" t="n">
        <v>46049</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55300-2021</t>
        </is>
      </c>
      <c r="B325" s="1" t="n">
        <v>44475</v>
      </c>
      <c r="C325" s="1" t="n">
        <v>46049</v>
      </c>
      <c r="D325" t="inlineStr">
        <is>
          <t>KALMAR LÄN</t>
        </is>
      </c>
      <c r="E325" t="inlineStr">
        <is>
          <t>VIMMERBY</t>
        </is>
      </c>
      <c r="G325" t="n">
        <v>3.4</v>
      </c>
      <c r="H325" t="n">
        <v>0</v>
      </c>
      <c r="I325" t="n">
        <v>0</v>
      </c>
      <c r="J325" t="n">
        <v>0</v>
      </c>
      <c r="K325" t="n">
        <v>0</v>
      </c>
      <c r="L325" t="n">
        <v>0</v>
      </c>
      <c r="M325" t="n">
        <v>0</v>
      </c>
      <c r="N325" t="n">
        <v>0</v>
      </c>
      <c r="O325" t="n">
        <v>0</v>
      </c>
      <c r="P325" t="n">
        <v>0</v>
      </c>
      <c r="Q325" t="n">
        <v>0</v>
      </c>
      <c r="R325" s="2" t="inlineStr"/>
    </row>
    <row r="326" ht="15" customHeight="1">
      <c r="A326" t="inlineStr">
        <is>
          <t>A 41591-2025</t>
        </is>
      </c>
      <c r="B326" s="1" t="n">
        <v>45901.6327662037</v>
      </c>
      <c r="C326" s="1" t="n">
        <v>46049</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47263-2023</t>
        </is>
      </c>
      <c r="B327" s="1" t="n">
        <v>45202.4209837963</v>
      </c>
      <c r="C327" s="1" t="n">
        <v>46049</v>
      </c>
      <c r="D327" t="inlineStr">
        <is>
          <t>KALMAR LÄN</t>
        </is>
      </c>
      <c r="E327" t="inlineStr">
        <is>
          <t>VIMMERBY</t>
        </is>
      </c>
      <c r="G327" t="n">
        <v>1.8</v>
      </c>
      <c r="H327" t="n">
        <v>0</v>
      </c>
      <c r="I327" t="n">
        <v>0</v>
      </c>
      <c r="J327" t="n">
        <v>0</v>
      </c>
      <c r="K327" t="n">
        <v>0</v>
      </c>
      <c r="L327" t="n">
        <v>0</v>
      </c>
      <c r="M327" t="n">
        <v>0</v>
      </c>
      <c r="N327" t="n">
        <v>0</v>
      </c>
      <c r="O327" t="n">
        <v>0</v>
      </c>
      <c r="P327" t="n">
        <v>0</v>
      </c>
      <c r="Q327" t="n">
        <v>0</v>
      </c>
      <c r="R327" s="2" t="inlineStr"/>
    </row>
    <row r="328" ht="15" customHeight="1">
      <c r="A328" t="inlineStr">
        <is>
          <t>A 41589-2025</t>
        </is>
      </c>
      <c r="B328" s="1" t="n">
        <v>45901.63219907408</v>
      </c>
      <c r="C328" s="1" t="n">
        <v>46049</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30290-2025</t>
        </is>
      </c>
      <c r="B329" s="1" t="n">
        <v>45827</v>
      </c>
      <c r="C329" s="1" t="n">
        <v>46049</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30850-2025</t>
        </is>
      </c>
      <c r="B330" s="1" t="n">
        <v>45831</v>
      </c>
      <c r="C330" s="1" t="n">
        <v>46049</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2536-2023</t>
        </is>
      </c>
      <c r="B331" s="1" t="n">
        <v>44943.62954861111</v>
      </c>
      <c r="C331" s="1" t="n">
        <v>46049</v>
      </c>
      <c r="D331" t="inlineStr">
        <is>
          <t>KALMAR LÄN</t>
        </is>
      </c>
      <c r="E331" t="inlineStr">
        <is>
          <t>VIMMERBY</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2801-2023</t>
        </is>
      </c>
      <c r="B332" s="1" t="n">
        <v>44944.73487268519</v>
      </c>
      <c r="C332" s="1" t="n">
        <v>46049</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46049</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41735-2025</t>
        </is>
      </c>
      <c r="B334" s="1" t="n">
        <v>45902.47164351852</v>
      </c>
      <c r="C334" s="1" t="n">
        <v>46049</v>
      </c>
      <c r="D334" t="inlineStr">
        <is>
          <t>KALMAR LÄN</t>
        </is>
      </c>
      <c r="E334" t="inlineStr">
        <is>
          <t>VIMMERBY</t>
        </is>
      </c>
      <c r="G334" t="n">
        <v>3</v>
      </c>
      <c r="H334" t="n">
        <v>0</v>
      </c>
      <c r="I334" t="n">
        <v>0</v>
      </c>
      <c r="J334" t="n">
        <v>0</v>
      </c>
      <c r="K334" t="n">
        <v>0</v>
      </c>
      <c r="L334" t="n">
        <v>0</v>
      </c>
      <c r="M334" t="n">
        <v>0</v>
      </c>
      <c r="N334" t="n">
        <v>0</v>
      </c>
      <c r="O334" t="n">
        <v>0</v>
      </c>
      <c r="P334" t="n">
        <v>0</v>
      </c>
      <c r="Q334" t="n">
        <v>0</v>
      </c>
      <c r="R334" s="2" t="inlineStr"/>
    </row>
    <row r="335" ht="15" customHeight="1">
      <c r="A335" t="inlineStr">
        <is>
          <t>A 17968-2025</t>
        </is>
      </c>
      <c r="B335" s="1" t="n">
        <v>45761.35990740741</v>
      </c>
      <c r="C335" s="1" t="n">
        <v>46049</v>
      </c>
      <c r="D335" t="inlineStr">
        <is>
          <t>KALMAR LÄN</t>
        </is>
      </c>
      <c r="E335" t="inlineStr">
        <is>
          <t>VIMMERBY</t>
        </is>
      </c>
      <c r="G335" t="n">
        <v>3.3</v>
      </c>
      <c r="H335" t="n">
        <v>0</v>
      </c>
      <c r="I335" t="n">
        <v>0</v>
      </c>
      <c r="J335" t="n">
        <v>0</v>
      </c>
      <c r="K335" t="n">
        <v>0</v>
      </c>
      <c r="L335" t="n">
        <v>0</v>
      </c>
      <c r="M335" t="n">
        <v>0</v>
      </c>
      <c r="N335" t="n">
        <v>0</v>
      </c>
      <c r="O335" t="n">
        <v>0</v>
      </c>
      <c r="P335" t="n">
        <v>0</v>
      </c>
      <c r="Q335" t="n">
        <v>0</v>
      </c>
      <c r="R335" s="2" t="inlineStr"/>
    </row>
    <row r="336" ht="15" customHeight="1">
      <c r="A336" t="inlineStr">
        <is>
          <t>A 30882-2025</t>
        </is>
      </c>
      <c r="B336" s="1" t="n">
        <v>45832.34540509259</v>
      </c>
      <c r="C336" s="1" t="n">
        <v>46049</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30971-2025</t>
        </is>
      </c>
      <c r="B337" s="1" t="n">
        <v>45832.46146990741</v>
      </c>
      <c r="C337" s="1" t="n">
        <v>46049</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31552-2025</t>
        </is>
      </c>
      <c r="B338" s="1" t="n">
        <v>45833.64563657407</v>
      </c>
      <c r="C338" s="1" t="n">
        <v>46049</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31555-2025</t>
        </is>
      </c>
      <c r="B339" s="1" t="n">
        <v>45833.64814814815</v>
      </c>
      <c r="C339" s="1" t="n">
        <v>46049</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14451-2024</t>
        </is>
      </c>
      <c r="B340" s="1" t="n">
        <v>45394.50028935185</v>
      </c>
      <c r="C340" s="1" t="n">
        <v>46049</v>
      </c>
      <c r="D340" t="inlineStr">
        <is>
          <t>KALMAR LÄN</t>
        </is>
      </c>
      <c r="E340" t="inlineStr">
        <is>
          <t>VIMMERBY</t>
        </is>
      </c>
      <c r="G340" t="n">
        <v>1.9</v>
      </c>
      <c r="H340" t="n">
        <v>0</v>
      </c>
      <c r="I340" t="n">
        <v>0</v>
      </c>
      <c r="J340" t="n">
        <v>0</v>
      </c>
      <c r="K340" t="n">
        <v>0</v>
      </c>
      <c r="L340" t="n">
        <v>0</v>
      </c>
      <c r="M340" t="n">
        <v>0</v>
      </c>
      <c r="N340" t="n">
        <v>0</v>
      </c>
      <c r="O340" t="n">
        <v>0</v>
      </c>
      <c r="P340" t="n">
        <v>0</v>
      </c>
      <c r="Q340" t="n">
        <v>0</v>
      </c>
      <c r="R340" s="2" t="inlineStr"/>
    </row>
    <row r="341" ht="15" customHeight="1">
      <c r="A341" t="inlineStr">
        <is>
          <t>A 46238-2024</t>
        </is>
      </c>
      <c r="B341" s="1" t="n">
        <v>45581.58418981481</v>
      </c>
      <c r="C341" s="1" t="n">
        <v>46049</v>
      </c>
      <c r="D341" t="inlineStr">
        <is>
          <t>KALMAR LÄN</t>
        </is>
      </c>
      <c r="E341" t="inlineStr">
        <is>
          <t>VIMMERBY</t>
        </is>
      </c>
      <c r="G341" t="n">
        <v>2.1</v>
      </c>
      <c r="H341" t="n">
        <v>0</v>
      </c>
      <c r="I341" t="n">
        <v>0</v>
      </c>
      <c r="J341" t="n">
        <v>0</v>
      </c>
      <c r="K341" t="n">
        <v>0</v>
      </c>
      <c r="L341" t="n">
        <v>0</v>
      </c>
      <c r="M341" t="n">
        <v>0</v>
      </c>
      <c r="N341" t="n">
        <v>0</v>
      </c>
      <c r="O341" t="n">
        <v>0</v>
      </c>
      <c r="P341" t="n">
        <v>0</v>
      </c>
      <c r="Q341" t="n">
        <v>0</v>
      </c>
      <c r="R341" s="2" t="inlineStr"/>
    </row>
    <row r="342" ht="15" customHeight="1">
      <c r="A342" t="inlineStr">
        <is>
          <t>A 31870-2025</t>
        </is>
      </c>
      <c r="B342" s="1" t="n">
        <v>45834.64667824074</v>
      </c>
      <c r="C342" s="1" t="n">
        <v>46049</v>
      </c>
      <c r="D342" t="inlineStr">
        <is>
          <t>KALMAR LÄN</t>
        </is>
      </c>
      <c r="E342" t="inlineStr">
        <is>
          <t>VIMMERBY</t>
        </is>
      </c>
      <c r="F342" t="inlineStr">
        <is>
          <t>Sveaskog</t>
        </is>
      </c>
      <c r="G342" t="n">
        <v>3.5</v>
      </c>
      <c r="H342" t="n">
        <v>0</v>
      </c>
      <c r="I342" t="n">
        <v>0</v>
      </c>
      <c r="J342" t="n">
        <v>0</v>
      </c>
      <c r="K342" t="n">
        <v>0</v>
      </c>
      <c r="L342" t="n">
        <v>0</v>
      </c>
      <c r="M342" t="n">
        <v>0</v>
      </c>
      <c r="N342" t="n">
        <v>0</v>
      </c>
      <c r="O342" t="n">
        <v>0</v>
      </c>
      <c r="P342" t="n">
        <v>0</v>
      </c>
      <c r="Q342" t="n">
        <v>0</v>
      </c>
      <c r="R342" s="2" t="inlineStr"/>
    </row>
    <row r="343" ht="15" customHeight="1">
      <c r="A343" t="inlineStr">
        <is>
          <t>A 50993-2022</t>
        </is>
      </c>
      <c r="B343" s="1" t="n">
        <v>44867</v>
      </c>
      <c r="C343" s="1" t="n">
        <v>46049</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46225-2024</t>
        </is>
      </c>
      <c r="B344" s="1" t="n">
        <v>45581.57333333333</v>
      </c>
      <c r="C344" s="1" t="n">
        <v>46049</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36055-2024</t>
        </is>
      </c>
      <c r="B345" s="1" t="n">
        <v>45533.63056712963</v>
      </c>
      <c r="C345" s="1" t="n">
        <v>46049</v>
      </c>
      <c r="D345" t="inlineStr">
        <is>
          <t>KALMAR LÄN</t>
        </is>
      </c>
      <c r="E345" t="inlineStr">
        <is>
          <t>VIMMERBY</t>
        </is>
      </c>
      <c r="F345" t="inlineStr">
        <is>
          <t>Kommuner</t>
        </is>
      </c>
      <c r="G345" t="n">
        <v>1.9</v>
      </c>
      <c r="H345" t="n">
        <v>0</v>
      </c>
      <c r="I345" t="n">
        <v>0</v>
      </c>
      <c r="J345" t="n">
        <v>0</v>
      </c>
      <c r="K345" t="n">
        <v>0</v>
      </c>
      <c r="L345" t="n">
        <v>0</v>
      </c>
      <c r="M345" t="n">
        <v>0</v>
      </c>
      <c r="N345" t="n">
        <v>0</v>
      </c>
      <c r="O345" t="n">
        <v>0</v>
      </c>
      <c r="P345" t="n">
        <v>0</v>
      </c>
      <c r="Q345" t="n">
        <v>0</v>
      </c>
      <c r="R345" s="2" t="inlineStr"/>
    </row>
    <row r="346" ht="15" customHeight="1">
      <c r="A346" t="inlineStr">
        <is>
          <t>A 8559-2025</t>
        </is>
      </c>
      <c r="B346" s="1" t="n">
        <v>45709.62280092593</v>
      </c>
      <c r="C346" s="1" t="n">
        <v>46049</v>
      </c>
      <c r="D346" t="inlineStr">
        <is>
          <t>KALMAR LÄN</t>
        </is>
      </c>
      <c r="E346" t="inlineStr">
        <is>
          <t>VIMMERBY</t>
        </is>
      </c>
      <c r="G346" t="n">
        <v>8.9</v>
      </c>
      <c r="H346" t="n">
        <v>0</v>
      </c>
      <c r="I346" t="n">
        <v>0</v>
      </c>
      <c r="J346" t="n">
        <v>0</v>
      </c>
      <c r="K346" t="n">
        <v>0</v>
      </c>
      <c r="L346" t="n">
        <v>0</v>
      </c>
      <c r="M346" t="n">
        <v>0</v>
      </c>
      <c r="N346" t="n">
        <v>0</v>
      </c>
      <c r="O346" t="n">
        <v>0</v>
      </c>
      <c r="P346" t="n">
        <v>0</v>
      </c>
      <c r="Q346" t="n">
        <v>0</v>
      </c>
      <c r="R346" s="2" t="inlineStr"/>
    </row>
    <row r="347" ht="15" customHeight="1">
      <c r="A347" t="inlineStr">
        <is>
          <t>A 31872-2025</t>
        </is>
      </c>
      <c r="B347" s="1" t="n">
        <v>45834.65040509259</v>
      </c>
      <c r="C347" s="1" t="n">
        <v>46049</v>
      </c>
      <c r="D347" t="inlineStr">
        <is>
          <t>KALMAR LÄN</t>
        </is>
      </c>
      <c r="E347" t="inlineStr">
        <is>
          <t>VIMMERBY</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31876-2025</t>
        </is>
      </c>
      <c r="B348" s="1" t="n">
        <v>45834.65197916667</v>
      </c>
      <c r="C348" s="1" t="n">
        <v>46049</v>
      </c>
      <c r="D348" t="inlineStr">
        <is>
          <t>KALMAR LÄN</t>
        </is>
      </c>
      <c r="E348" t="inlineStr">
        <is>
          <t>VIMMERBY</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42828-2025</t>
        </is>
      </c>
      <c r="B349" s="1" t="n">
        <v>45908.57716435185</v>
      </c>
      <c r="C349" s="1" t="n">
        <v>46049</v>
      </c>
      <c r="D349" t="inlineStr">
        <is>
          <t>KALMAR LÄN</t>
        </is>
      </c>
      <c r="E349" t="inlineStr">
        <is>
          <t>VIMMERBY</t>
        </is>
      </c>
      <c r="G349" t="n">
        <v>5.2</v>
      </c>
      <c r="H349" t="n">
        <v>0</v>
      </c>
      <c r="I349" t="n">
        <v>0</v>
      </c>
      <c r="J349" t="n">
        <v>0</v>
      </c>
      <c r="K349" t="n">
        <v>0</v>
      </c>
      <c r="L349" t="n">
        <v>0</v>
      </c>
      <c r="M349" t="n">
        <v>0</v>
      </c>
      <c r="N349" t="n">
        <v>0</v>
      </c>
      <c r="O349" t="n">
        <v>0</v>
      </c>
      <c r="P349" t="n">
        <v>0</v>
      </c>
      <c r="Q349" t="n">
        <v>0</v>
      </c>
      <c r="R349" s="2" t="inlineStr"/>
    </row>
    <row r="350" ht="15" customHeight="1">
      <c r="A350" t="inlineStr">
        <is>
          <t>A 31551-2025</t>
        </is>
      </c>
      <c r="B350" s="1" t="n">
        <v>45833.64237268519</v>
      </c>
      <c r="C350" s="1" t="n">
        <v>46049</v>
      </c>
      <c r="D350" t="inlineStr">
        <is>
          <t>KALMAR LÄN</t>
        </is>
      </c>
      <c r="E350" t="inlineStr">
        <is>
          <t>VIMMERBY</t>
        </is>
      </c>
      <c r="G350" t="n">
        <v>1.9</v>
      </c>
      <c r="H350" t="n">
        <v>0</v>
      </c>
      <c r="I350" t="n">
        <v>0</v>
      </c>
      <c r="J350" t="n">
        <v>0</v>
      </c>
      <c r="K350" t="n">
        <v>0</v>
      </c>
      <c r="L350" t="n">
        <v>0</v>
      </c>
      <c r="M350" t="n">
        <v>0</v>
      </c>
      <c r="N350" t="n">
        <v>0</v>
      </c>
      <c r="O350" t="n">
        <v>0</v>
      </c>
      <c r="P350" t="n">
        <v>0</v>
      </c>
      <c r="Q350" t="n">
        <v>0</v>
      </c>
      <c r="R350" s="2" t="inlineStr"/>
    </row>
    <row r="351" ht="15" customHeight="1">
      <c r="A351" t="inlineStr">
        <is>
          <t>A 47859-2024</t>
        </is>
      </c>
      <c r="B351" s="1" t="n">
        <v>45588.67070601852</v>
      </c>
      <c r="C351" s="1" t="n">
        <v>46049</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31987-2025</t>
        </is>
      </c>
      <c r="B352" s="1" t="n">
        <v>45835.36229166666</v>
      </c>
      <c r="C352" s="1" t="n">
        <v>46049</v>
      </c>
      <c r="D352" t="inlineStr">
        <is>
          <t>KALMAR LÄN</t>
        </is>
      </c>
      <c r="E352" t="inlineStr">
        <is>
          <t>VIMMERBY</t>
        </is>
      </c>
      <c r="F352" t="inlineStr">
        <is>
          <t>Kyrkan</t>
        </is>
      </c>
      <c r="G352" t="n">
        <v>1.2</v>
      </c>
      <c r="H352" t="n">
        <v>0</v>
      </c>
      <c r="I352" t="n">
        <v>0</v>
      </c>
      <c r="J352" t="n">
        <v>0</v>
      </c>
      <c r="K352" t="n">
        <v>0</v>
      </c>
      <c r="L352" t="n">
        <v>0</v>
      </c>
      <c r="M352" t="n">
        <v>0</v>
      </c>
      <c r="N352" t="n">
        <v>0</v>
      </c>
      <c r="O352" t="n">
        <v>0</v>
      </c>
      <c r="P352" t="n">
        <v>0</v>
      </c>
      <c r="Q352" t="n">
        <v>0</v>
      </c>
      <c r="R352" s="2" t="inlineStr"/>
    </row>
    <row r="353" ht="15" customHeight="1">
      <c r="A353" t="inlineStr">
        <is>
          <t>A 32120-2025</t>
        </is>
      </c>
      <c r="B353" s="1" t="n">
        <v>45835.4924537037</v>
      </c>
      <c r="C353" s="1" t="n">
        <v>46049</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42794-2025</t>
        </is>
      </c>
      <c r="B354" s="1" t="n">
        <v>45908</v>
      </c>
      <c r="C354" s="1" t="n">
        <v>46049</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32835-2022</t>
        </is>
      </c>
      <c r="B355" s="1" t="n">
        <v>44784.42528935185</v>
      </c>
      <c r="C355" s="1" t="n">
        <v>46049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46049</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46049</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41896-2023</t>
        </is>
      </c>
      <c r="B358" s="1" t="n">
        <v>45176.72427083334</v>
      </c>
      <c r="C358" s="1" t="n">
        <v>46049</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32380-2025</t>
        </is>
      </c>
      <c r="B359" s="1" t="n">
        <v>45837.77701388889</v>
      </c>
      <c r="C359" s="1" t="n">
        <v>46049</v>
      </c>
      <c r="D359" t="inlineStr">
        <is>
          <t>KALMAR LÄN</t>
        </is>
      </c>
      <c r="E359" t="inlineStr">
        <is>
          <t>VIMMERBY</t>
        </is>
      </c>
      <c r="G359" t="n">
        <v>3.1</v>
      </c>
      <c r="H359" t="n">
        <v>0</v>
      </c>
      <c r="I359" t="n">
        <v>0</v>
      </c>
      <c r="J359" t="n">
        <v>0</v>
      </c>
      <c r="K359" t="n">
        <v>0</v>
      </c>
      <c r="L359" t="n">
        <v>0</v>
      </c>
      <c r="M359" t="n">
        <v>0</v>
      </c>
      <c r="N359" t="n">
        <v>0</v>
      </c>
      <c r="O359" t="n">
        <v>0</v>
      </c>
      <c r="P359" t="n">
        <v>0</v>
      </c>
      <c r="Q359" t="n">
        <v>0</v>
      </c>
      <c r="R359" s="2" t="inlineStr"/>
    </row>
    <row r="360" ht="15" customHeight="1">
      <c r="A360" t="inlineStr">
        <is>
          <t>A 32109-2025</t>
        </is>
      </c>
      <c r="B360" s="1" t="n">
        <v>45835.48267361111</v>
      </c>
      <c r="C360" s="1" t="n">
        <v>46049</v>
      </c>
      <c r="D360" t="inlineStr">
        <is>
          <t>KALMAR LÄN</t>
        </is>
      </c>
      <c r="E360" t="inlineStr">
        <is>
          <t>VIMMERBY</t>
        </is>
      </c>
      <c r="G360" t="n">
        <v>2.5</v>
      </c>
      <c r="H360" t="n">
        <v>0</v>
      </c>
      <c r="I360" t="n">
        <v>0</v>
      </c>
      <c r="J360" t="n">
        <v>0</v>
      </c>
      <c r="K360" t="n">
        <v>0</v>
      </c>
      <c r="L360" t="n">
        <v>0</v>
      </c>
      <c r="M360" t="n">
        <v>0</v>
      </c>
      <c r="N360" t="n">
        <v>0</v>
      </c>
      <c r="O360" t="n">
        <v>0</v>
      </c>
      <c r="P360" t="n">
        <v>0</v>
      </c>
      <c r="Q360" t="n">
        <v>0</v>
      </c>
      <c r="R360" s="2" t="inlineStr"/>
    </row>
    <row r="361" ht="15" customHeight="1">
      <c r="A361" t="inlineStr">
        <is>
          <t>A 32113-2025</t>
        </is>
      </c>
      <c r="B361" s="1" t="n">
        <v>45835.48445601852</v>
      </c>
      <c r="C361" s="1" t="n">
        <v>46049</v>
      </c>
      <c r="D361" t="inlineStr">
        <is>
          <t>KALMAR LÄN</t>
        </is>
      </c>
      <c r="E361" t="inlineStr">
        <is>
          <t>VIMMERBY</t>
        </is>
      </c>
      <c r="G361" t="n">
        <v>3.5</v>
      </c>
      <c r="H361" t="n">
        <v>0</v>
      </c>
      <c r="I361" t="n">
        <v>0</v>
      </c>
      <c r="J361" t="n">
        <v>0</v>
      </c>
      <c r="K361" t="n">
        <v>0</v>
      </c>
      <c r="L361" t="n">
        <v>0</v>
      </c>
      <c r="M361" t="n">
        <v>0</v>
      </c>
      <c r="N361" t="n">
        <v>0</v>
      </c>
      <c r="O361" t="n">
        <v>0</v>
      </c>
      <c r="P361" t="n">
        <v>0</v>
      </c>
      <c r="Q361" t="n">
        <v>0</v>
      </c>
      <c r="R361" s="2" t="inlineStr"/>
    </row>
    <row r="362" ht="15" customHeight="1">
      <c r="A362" t="inlineStr">
        <is>
          <t>A 32077-2025</t>
        </is>
      </c>
      <c r="B362" s="1" t="n">
        <v>45835.45099537037</v>
      </c>
      <c r="C362" s="1" t="n">
        <v>46049</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43606-2024</t>
        </is>
      </c>
      <c r="B363" s="1" t="n">
        <v>45569.45017361111</v>
      </c>
      <c r="C363" s="1" t="n">
        <v>46049</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34060-2025</t>
        </is>
      </c>
      <c r="B364" s="1" t="n">
        <v>45845.42015046296</v>
      </c>
      <c r="C364" s="1" t="n">
        <v>46049</v>
      </c>
      <c r="D364" t="inlineStr">
        <is>
          <t>KALMAR LÄN</t>
        </is>
      </c>
      <c r="E364" t="inlineStr">
        <is>
          <t>VIMMERBY</t>
        </is>
      </c>
      <c r="G364" t="n">
        <v>5.7</v>
      </c>
      <c r="H364" t="n">
        <v>0</v>
      </c>
      <c r="I364" t="n">
        <v>0</v>
      </c>
      <c r="J364" t="n">
        <v>0</v>
      </c>
      <c r="K364" t="n">
        <v>0</v>
      </c>
      <c r="L364" t="n">
        <v>0</v>
      </c>
      <c r="M364" t="n">
        <v>0</v>
      </c>
      <c r="N364" t="n">
        <v>0</v>
      </c>
      <c r="O364" t="n">
        <v>0</v>
      </c>
      <c r="P364" t="n">
        <v>0</v>
      </c>
      <c r="Q364" t="n">
        <v>0</v>
      </c>
      <c r="R364" s="2" t="inlineStr"/>
    </row>
    <row r="365" ht="15" customHeight="1">
      <c r="A365" t="inlineStr">
        <is>
          <t>A 32064-2025</t>
        </is>
      </c>
      <c r="B365" s="1" t="n">
        <v>45835.44709490741</v>
      </c>
      <c r="C365" s="1" t="n">
        <v>46049</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32065-2025</t>
        </is>
      </c>
      <c r="B366" s="1" t="n">
        <v>45835.44732638889</v>
      </c>
      <c r="C366" s="1" t="n">
        <v>46049</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12325-2023</t>
        </is>
      </c>
      <c r="B367" s="1" t="n">
        <v>44999.35858796296</v>
      </c>
      <c r="C367" s="1" t="n">
        <v>46049</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8945-2025</t>
        </is>
      </c>
      <c r="B368" s="1" t="n">
        <v>45713.45311342592</v>
      </c>
      <c r="C368" s="1" t="n">
        <v>46049</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40665-2023</t>
        </is>
      </c>
      <c r="B369" s="1" t="n">
        <v>45170</v>
      </c>
      <c r="C369" s="1" t="n">
        <v>46049</v>
      </c>
      <c r="D369" t="inlineStr">
        <is>
          <t>KALMAR LÄN</t>
        </is>
      </c>
      <c r="E369" t="inlineStr">
        <is>
          <t>VIMMERBY</t>
        </is>
      </c>
      <c r="G369" t="n">
        <v>2.6</v>
      </c>
      <c r="H369" t="n">
        <v>0</v>
      </c>
      <c r="I369" t="n">
        <v>0</v>
      </c>
      <c r="J369" t="n">
        <v>0</v>
      </c>
      <c r="K369" t="n">
        <v>0</v>
      </c>
      <c r="L369" t="n">
        <v>0</v>
      </c>
      <c r="M369" t="n">
        <v>0</v>
      </c>
      <c r="N369" t="n">
        <v>0</v>
      </c>
      <c r="O369" t="n">
        <v>0</v>
      </c>
      <c r="P369" t="n">
        <v>0</v>
      </c>
      <c r="Q369" t="n">
        <v>0</v>
      </c>
      <c r="R369" s="2" t="inlineStr"/>
    </row>
    <row r="370" ht="15" customHeight="1">
      <c r="A370" t="inlineStr">
        <is>
          <t>A 13307-2025</t>
        </is>
      </c>
      <c r="B370" s="1" t="n">
        <v>45735.58024305556</v>
      </c>
      <c r="C370" s="1" t="n">
        <v>46049</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28034-2022</t>
        </is>
      </c>
      <c r="B371" s="1" t="n">
        <v>44746.38834490741</v>
      </c>
      <c r="C371" s="1" t="n">
        <v>46049</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33186-2025</t>
        </is>
      </c>
      <c r="B372" s="1" t="n">
        <v>45840.59474537037</v>
      </c>
      <c r="C372" s="1" t="n">
        <v>46049</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43617-2025</t>
        </is>
      </c>
      <c r="B373" s="1" t="n">
        <v>45911.67798611111</v>
      </c>
      <c r="C373" s="1" t="n">
        <v>46049</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30977-2025</t>
        </is>
      </c>
      <c r="B374" s="1" t="n">
        <v>45832.46649305556</v>
      </c>
      <c r="C374" s="1" t="n">
        <v>46049</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43465-2025</t>
        </is>
      </c>
      <c r="B375" s="1" t="n">
        <v>45911.47138888889</v>
      </c>
      <c r="C375" s="1" t="n">
        <v>46049</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55605-2024</t>
        </is>
      </c>
      <c r="B376" s="1" t="n">
        <v>45622</v>
      </c>
      <c r="C376" s="1" t="n">
        <v>46049</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33695-2025</t>
        </is>
      </c>
      <c r="B377" s="1" t="n">
        <v>45841.70569444444</v>
      </c>
      <c r="C377" s="1" t="n">
        <v>46049</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33698-2025</t>
        </is>
      </c>
      <c r="B378" s="1" t="n">
        <v>45841.70868055556</v>
      </c>
      <c r="C378" s="1" t="n">
        <v>46049</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42165-2024</t>
        </is>
      </c>
      <c r="B379" s="1" t="n">
        <v>45562.46342592593</v>
      </c>
      <c r="C379" s="1" t="n">
        <v>46049</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20129-2024</t>
        </is>
      </c>
      <c r="B380" s="1" t="n">
        <v>45434.55831018519</v>
      </c>
      <c r="C380" s="1" t="n">
        <v>46049</v>
      </c>
      <c r="D380" t="inlineStr">
        <is>
          <t>KALMAR LÄN</t>
        </is>
      </c>
      <c r="E380" t="inlineStr">
        <is>
          <t>VIMMERBY</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20137-2024</t>
        </is>
      </c>
      <c r="B381" s="1" t="n">
        <v>45434.56398148148</v>
      </c>
      <c r="C381" s="1" t="n">
        <v>46049</v>
      </c>
      <c r="D381" t="inlineStr">
        <is>
          <t>KALMAR LÄN</t>
        </is>
      </c>
      <c r="E381" t="inlineStr">
        <is>
          <t>VIMMERBY</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23095-2023</t>
        </is>
      </c>
      <c r="B382" s="1" t="n">
        <v>45075.43059027778</v>
      </c>
      <c r="C382" s="1" t="n">
        <v>46049</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44329-2025</t>
        </is>
      </c>
      <c r="B383" s="1" t="n">
        <v>45916.41019675926</v>
      </c>
      <c r="C383" s="1" t="n">
        <v>46049</v>
      </c>
      <c r="D383" t="inlineStr">
        <is>
          <t>KALMAR LÄN</t>
        </is>
      </c>
      <c r="E383" t="inlineStr">
        <is>
          <t>VIMMERBY</t>
        </is>
      </c>
      <c r="G383" t="n">
        <v>4.3</v>
      </c>
      <c r="H383" t="n">
        <v>0</v>
      </c>
      <c r="I383" t="n">
        <v>0</v>
      </c>
      <c r="J383" t="n">
        <v>0</v>
      </c>
      <c r="K383" t="n">
        <v>0</v>
      </c>
      <c r="L383" t="n">
        <v>0</v>
      </c>
      <c r="M383" t="n">
        <v>0</v>
      </c>
      <c r="N383" t="n">
        <v>0</v>
      </c>
      <c r="O383" t="n">
        <v>0</v>
      </c>
      <c r="P383" t="n">
        <v>0</v>
      </c>
      <c r="Q383" t="n">
        <v>0</v>
      </c>
      <c r="R383" s="2" t="inlineStr"/>
    </row>
    <row r="384" ht="15" customHeight="1">
      <c r="A384" t="inlineStr">
        <is>
          <t>A 32919-2022</t>
        </is>
      </c>
      <c r="B384" s="1" t="n">
        <v>44784.62724537037</v>
      </c>
      <c r="C384" s="1" t="n">
        <v>46049</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33696-2025</t>
        </is>
      </c>
      <c r="B385" s="1" t="n">
        <v>45841.7072337963</v>
      </c>
      <c r="C385" s="1" t="n">
        <v>46049</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44517-2025</t>
        </is>
      </c>
      <c r="B386" s="1" t="n">
        <v>45916.7103587963</v>
      </c>
      <c r="C386" s="1" t="n">
        <v>46049</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28702-2025</t>
        </is>
      </c>
      <c r="B387" s="1" t="n">
        <v>45820.03976851852</v>
      </c>
      <c r="C387" s="1" t="n">
        <v>46049</v>
      </c>
      <c r="D387" t="inlineStr">
        <is>
          <t>KALMAR LÄN</t>
        </is>
      </c>
      <c r="E387" t="inlineStr">
        <is>
          <t>VIMMERBY</t>
        </is>
      </c>
      <c r="G387" t="n">
        <v>2.1</v>
      </c>
      <c r="H387" t="n">
        <v>0</v>
      </c>
      <c r="I387" t="n">
        <v>0</v>
      </c>
      <c r="J387" t="n">
        <v>0</v>
      </c>
      <c r="K387" t="n">
        <v>0</v>
      </c>
      <c r="L387" t="n">
        <v>0</v>
      </c>
      <c r="M387" t="n">
        <v>0</v>
      </c>
      <c r="N387" t="n">
        <v>0</v>
      </c>
      <c r="O387" t="n">
        <v>0</v>
      </c>
      <c r="P387" t="n">
        <v>0</v>
      </c>
      <c r="Q387" t="n">
        <v>0</v>
      </c>
      <c r="R387" s="2" t="inlineStr"/>
    </row>
    <row r="388" ht="15" customHeight="1">
      <c r="A388" t="inlineStr">
        <is>
          <t>A 7068-2024</t>
        </is>
      </c>
      <c r="B388" s="1" t="n">
        <v>45343.68038194445</v>
      </c>
      <c r="C388" s="1" t="n">
        <v>46049</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12596-2021</t>
        </is>
      </c>
      <c r="B389" s="1" t="n">
        <v>44270.39765046296</v>
      </c>
      <c r="C389" s="1" t="n">
        <v>46049</v>
      </c>
      <c r="D389" t="inlineStr">
        <is>
          <t>KALMAR LÄN</t>
        </is>
      </c>
      <c r="E389" t="inlineStr">
        <is>
          <t>VIMMERBY</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44091-2025</t>
        </is>
      </c>
      <c r="B390" s="1" t="n">
        <v>45915.55950231481</v>
      </c>
      <c r="C390" s="1" t="n">
        <v>46049</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44095-2025</t>
        </is>
      </c>
      <c r="B391" s="1" t="n">
        <v>45915.56430555556</v>
      </c>
      <c r="C391" s="1" t="n">
        <v>46049</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32655-2023</t>
        </is>
      </c>
      <c r="B392" s="1" t="n">
        <v>45121.61318287037</v>
      </c>
      <c r="C392" s="1" t="n">
        <v>46049</v>
      </c>
      <c r="D392" t="inlineStr">
        <is>
          <t>KALMAR LÄN</t>
        </is>
      </c>
      <c r="E392" t="inlineStr">
        <is>
          <t>VIMMERBY</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34071-2025</t>
        </is>
      </c>
      <c r="B393" s="1" t="n">
        <v>45845.43803240741</v>
      </c>
      <c r="C393" s="1" t="n">
        <v>46049</v>
      </c>
      <c r="D393" t="inlineStr">
        <is>
          <t>KALMAR LÄN</t>
        </is>
      </c>
      <c r="E393" t="inlineStr">
        <is>
          <t>VIMMERBY</t>
        </is>
      </c>
      <c r="G393" t="n">
        <v>6.8</v>
      </c>
      <c r="H393" t="n">
        <v>0</v>
      </c>
      <c r="I393" t="n">
        <v>0</v>
      </c>
      <c r="J393" t="n">
        <v>0</v>
      </c>
      <c r="K393" t="n">
        <v>0</v>
      </c>
      <c r="L393" t="n">
        <v>0</v>
      </c>
      <c r="M393" t="n">
        <v>0</v>
      </c>
      <c r="N393" t="n">
        <v>0</v>
      </c>
      <c r="O393" t="n">
        <v>0</v>
      </c>
      <c r="P393" t="n">
        <v>0</v>
      </c>
      <c r="Q393" t="n">
        <v>0</v>
      </c>
      <c r="R393" s="2" t="inlineStr"/>
    </row>
    <row r="394" ht="15" customHeight="1">
      <c r="A394" t="inlineStr">
        <is>
          <t>A 34106-2025</t>
        </is>
      </c>
      <c r="B394" s="1" t="n">
        <v>45845.49414351852</v>
      </c>
      <c r="C394" s="1" t="n">
        <v>46049</v>
      </c>
      <c r="D394" t="inlineStr">
        <is>
          <t>KALMAR LÄN</t>
        </is>
      </c>
      <c r="E394" t="inlineStr">
        <is>
          <t>VIMMERBY</t>
        </is>
      </c>
      <c r="G394" t="n">
        <v>6</v>
      </c>
      <c r="H394" t="n">
        <v>0</v>
      </c>
      <c r="I394" t="n">
        <v>0</v>
      </c>
      <c r="J394" t="n">
        <v>0</v>
      </c>
      <c r="K394" t="n">
        <v>0</v>
      </c>
      <c r="L394" t="n">
        <v>0</v>
      </c>
      <c r="M394" t="n">
        <v>0</v>
      </c>
      <c r="N394" t="n">
        <v>0</v>
      </c>
      <c r="O394" t="n">
        <v>0</v>
      </c>
      <c r="P394" t="n">
        <v>0</v>
      </c>
      <c r="Q394" t="n">
        <v>0</v>
      </c>
      <c r="R394" s="2" t="inlineStr"/>
    </row>
    <row r="395" ht="15" customHeight="1">
      <c r="A395" t="inlineStr">
        <is>
          <t>A 54409-2024</t>
        </is>
      </c>
      <c r="B395" s="1" t="n">
        <v>45617.47570601852</v>
      </c>
      <c r="C395" s="1" t="n">
        <v>46049</v>
      </c>
      <c r="D395" t="inlineStr">
        <is>
          <t>KALMAR LÄN</t>
        </is>
      </c>
      <c r="E395" t="inlineStr">
        <is>
          <t>VIMMERBY</t>
        </is>
      </c>
      <c r="G395" t="n">
        <v>4.3</v>
      </c>
      <c r="H395" t="n">
        <v>0</v>
      </c>
      <c r="I395" t="n">
        <v>0</v>
      </c>
      <c r="J395" t="n">
        <v>0</v>
      </c>
      <c r="K395" t="n">
        <v>0</v>
      </c>
      <c r="L395" t="n">
        <v>0</v>
      </c>
      <c r="M395" t="n">
        <v>0</v>
      </c>
      <c r="N395" t="n">
        <v>0</v>
      </c>
      <c r="O395" t="n">
        <v>0</v>
      </c>
      <c r="P395" t="n">
        <v>0</v>
      </c>
      <c r="Q395" t="n">
        <v>0</v>
      </c>
      <c r="R395" s="2" t="inlineStr"/>
    </row>
    <row r="396" ht="15" customHeight="1">
      <c r="A396" t="inlineStr">
        <is>
          <t>A 26956-2025</t>
        </is>
      </c>
      <c r="B396" s="1" t="n">
        <v>45811.45460648148</v>
      </c>
      <c r="C396" s="1" t="n">
        <v>46049</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44742-2025</t>
        </is>
      </c>
      <c r="B397" s="1" t="n">
        <v>45917.67054398148</v>
      </c>
      <c r="C397" s="1" t="n">
        <v>46049</v>
      </c>
      <c r="D397" t="inlineStr">
        <is>
          <t>KALMAR LÄN</t>
        </is>
      </c>
      <c r="E397" t="inlineStr">
        <is>
          <t>VIMMERBY</t>
        </is>
      </c>
      <c r="G397" t="n">
        <v>4.7</v>
      </c>
      <c r="H397" t="n">
        <v>0</v>
      </c>
      <c r="I397" t="n">
        <v>0</v>
      </c>
      <c r="J397" t="n">
        <v>0</v>
      </c>
      <c r="K397" t="n">
        <v>0</v>
      </c>
      <c r="L397" t="n">
        <v>0</v>
      </c>
      <c r="M397" t="n">
        <v>0</v>
      </c>
      <c r="N397" t="n">
        <v>0</v>
      </c>
      <c r="O397" t="n">
        <v>0</v>
      </c>
      <c r="P397" t="n">
        <v>0</v>
      </c>
      <c r="Q397" t="n">
        <v>0</v>
      </c>
      <c r="R397" s="2" t="inlineStr"/>
    </row>
    <row r="398" ht="15" customHeight="1">
      <c r="A398" t="inlineStr">
        <is>
          <t>A 41896-2025</t>
        </is>
      </c>
      <c r="B398" s="1" t="n">
        <v>45903.38800925926</v>
      </c>
      <c r="C398" s="1" t="n">
        <v>46049</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34628-2025</t>
        </is>
      </c>
      <c r="B399" s="1" t="n">
        <v>45847.91280092593</v>
      </c>
      <c r="C399" s="1" t="n">
        <v>46049</v>
      </c>
      <c r="D399" t="inlineStr">
        <is>
          <t>KALMAR LÄN</t>
        </is>
      </c>
      <c r="E399" t="inlineStr">
        <is>
          <t>VIMMERBY</t>
        </is>
      </c>
      <c r="G399" t="n">
        <v>4.2</v>
      </c>
      <c r="H399" t="n">
        <v>0</v>
      </c>
      <c r="I399" t="n">
        <v>0</v>
      </c>
      <c r="J399" t="n">
        <v>0</v>
      </c>
      <c r="K399" t="n">
        <v>0</v>
      </c>
      <c r="L399" t="n">
        <v>0</v>
      </c>
      <c r="M399" t="n">
        <v>0</v>
      </c>
      <c r="N399" t="n">
        <v>0</v>
      </c>
      <c r="O399" t="n">
        <v>0</v>
      </c>
      <c r="P399" t="n">
        <v>0</v>
      </c>
      <c r="Q399" t="n">
        <v>0</v>
      </c>
      <c r="R399" s="2" t="inlineStr"/>
    </row>
    <row r="400" ht="15" customHeight="1">
      <c r="A400" t="inlineStr">
        <is>
          <t>A 9475-2023</t>
        </is>
      </c>
      <c r="B400" s="1" t="n">
        <v>44981.58834490741</v>
      </c>
      <c r="C400" s="1" t="n">
        <v>46049</v>
      </c>
      <c r="D400" t="inlineStr">
        <is>
          <t>KALMAR LÄN</t>
        </is>
      </c>
      <c r="E400" t="inlineStr">
        <is>
          <t>VIMMERBY</t>
        </is>
      </c>
      <c r="G400" t="n">
        <v>2</v>
      </c>
      <c r="H400" t="n">
        <v>0</v>
      </c>
      <c r="I400" t="n">
        <v>0</v>
      </c>
      <c r="J400" t="n">
        <v>0</v>
      </c>
      <c r="K400" t="n">
        <v>0</v>
      </c>
      <c r="L400" t="n">
        <v>0</v>
      </c>
      <c r="M400" t="n">
        <v>0</v>
      </c>
      <c r="N400" t="n">
        <v>0</v>
      </c>
      <c r="O400" t="n">
        <v>0</v>
      </c>
      <c r="P400" t="n">
        <v>0</v>
      </c>
      <c r="Q400" t="n">
        <v>0</v>
      </c>
      <c r="R400" s="2" t="inlineStr"/>
    </row>
    <row r="401" ht="15" customHeight="1">
      <c r="A401" t="inlineStr">
        <is>
          <t>A 45319-2025</t>
        </is>
      </c>
      <c r="B401" s="1" t="n">
        <v>45921.95611111111</v>
      </c>
      <c r="C401" s="1" t="n">
        <v>46049</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45320-2025</t>
        </is>
      </c>
      <c r="B402" s="1" t="n">
        <v>45921.96395833333</v>
      </c>
      <c r="C402" s="1" t="n">
        <v>46049</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45114-2025</t>
        </is>
      </c>
      <c r="B403" s="1" t="n">
        <v>45919.42387731482</v>
      </c>
      <c r="C403" s="1" t="n">
        <v>46049</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43092-2024</t>
        </is>
      </c>
      <c r="B404" s="1" t="n">
        <v>45567</v>
      </c>
      <c r="C404" s="1" t="n">
        <v>46049</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35270-2025</t>
        </is>
      </c>
      <c r="B405" s="1" t="n">
        <v>45853.87112268519</v>
      </c>
      <c r="C405" s="1" t="n">
        <v>46049</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11619-2023</t>
        </is>
      </c>
      <c r="B406" s="1" t="n">
        <v>44994.42113425926</v>
      </c>
      <c r="C406" s="1" t="n">
        <v>46049</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5074-2023</t>
        </is>
      </c>
      <c r="B407" s="1" t="n">
        <v>44958.61047453704</v>
      </c>
      <c r="C407" s="1" t="n">
        <v>46049</v>
      </c>
      <c r="D407" t="inlineStr">
        <is>
          <t>KALMAR LÄN</t>
        </is>
      </c>
      <c r="E407" t="inlineStr">
        <is>
          <t>VIMMERBY</t>
        </is>
      </c>
      <c r="G407" t="n">
        <v>1.6</v>
      </c>
      <c r="H407" t="n">
        <v>0</v>
      </c>
      <c r="I407" t="n">
        <v>0</v>
      </c>
      <c r="J407" t="n">
        <v>0</v>
      </c>
      <c r="K407" t="n">
        <v>0</v>
      </c>
      <c r="L407" t="n">
        <v>0</v>
      </c>
      <c r="M407" t="n">
        <v>0</v>
      </c>
      <c r="N407" t="n">
        <v>0</v>
      </c>
      <c r="O407" t="n">
        <v>0</v>
      </c>
      <c r="P407" t="n">
        <v>0</v>
      </c>
      <c r="Q407" t="n">
        <v>0</v>
      </c>
      <c r="R407" s="2" t="inlineStr"/>
    </row>
    <row r="408" ht="15" customHeight="1">
      <c r="A408" t="inlineStr">
        <is>
          <t>A 35271-2025</t>
        </is>
      </c>
      <c r="B408" s="1" t="n">
        <v>45853.87599537037</v>
      </c>
      <c r="C408" s="1" t="n">
        <v>46049</v>
      </c>
      <c r="D408" t="inlineStr">
        <is>
          <t>KALMAR LÄN</t>
        </is>
      </c>
      <c r="E408" t="inlineStr">
        <is>
          <t>VIMMERBY</t>
        </is>
      </c>
      <c r="G408" t="n">
        <v>0.4</v>
      </c>
      <c r="H408" t="n">
        <v>0</v>
      </c>
      <c r="I408" t="n">
        <v>0</v>
      </c>
      <c r="J408" t="n">
        <v>0</v>
      </c>
      <c r="K408" t="n">
        <v>0</v>
      </c>
      <c r="L408" t="n">
        <v>0</v>
      </c>
      <c r="M408" t="n">
        <v>0</v>
      </c>
      <c r="N408" t="n">
        <v>0</v>
      </c>
      <c r="O408" t="n">
        <v>0</v>
      </c>
      <c r="P408" t="n">
        <v>0</v>
      </c>
      <c r="Q408" t="n">
        <v>0</v>
      </c>
      <c r="R408" s="2" t="inlineStr"/>
    </row>
    <row r="409" ht="15" customHeight="1">
      <c r="A409" t="inlineStr">
        <is>
          <t>A 35272-2025</t>
        </is>
      </c>
      <c r="B409" s="1" t="n">
        <v>45853.88070601852</v>
      </c>
      <c r="C409" s="1" t="n">
        <v>46049</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6368-2023</t>
        </is>
      </c>
      <c r="B410" s="1" t="n">
        <v>44965</v>
      </c>
      <c r="C410" s="1" t="n">
        <v>46049</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16953-2025</t>
        </is>
      </c>
      <c r="B411" s="1" t="n">
        <v>45755.44333333334</v>
      </c>
      <c r="C411" s="1" t="n">
        <v>46049</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46118-2025</t>
        </is>
      </c>
      <c r="B412" s="1" t="n">
        <v>45924.57697916667</v>
      </c>
      <c r="C412" s="1" t="n">
        <v>46049</v>
      </c>
      <c r="D412" t="inlineStr">
        <is>
          <t>KALMAR LÄN</t>
        </is>
      </c>
      <c r="E412" t="inlineStr">
        <is>
          <t>VIMMERBY</t>
        </is>
      </c>
      <c r="G412" t="n">
        <v>2.9</v>
      </c>
      <c r="H412" t="n">
        <v>0</v>
      </c>
      <c r="I412" t="n">
        <v>0</v>
      </c>
      <c r="J412" t="n">
        <v>0</v>
      </c>
      <c r="K412" t="n">
        <v>0</v>
      </c>
      <c r="L412" t="n">
        <v>0</v>
      </c>
      <c r="M412" t="n">
        <v>0</v>
      </c>
      <c r="N412" t="n">
        <v>0</v>
      </c>
      <c r="O412" t="n">
        <v>0</v>
      </c>
      <c r="P412" t="n">
        <v>0</v>
      </c>
      <c r="Q412" t="n">
        <v>0</v>
      </c>
      <c r="R412" s="2" t="inlineStr"/>
    </row>
    <row r="413" ht="15" customHeight="1">
      <c r="A413" t="inlineStr">
        <is>
          <t>A 5701-2024</t>
        </is>
      </c>
      <c r="B413" s="1" t="n">
        <v>45334.78826388889</v>
      </c>
      <c r="C413" s="1" t="n">
        <v>46049</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35597-2025</t>
        </is>
      </c>
      <c r="B414" s="1" t="n">
        <v>45858.66019675926</v>
      </c>
      <c r="C414" s="1" t="n">
        <v>46049</v>
      </c>
      <c r="D414" t="inlineStr">
        <is>
          <t>KALMAR LÄN</t>
        </is>
      </c>
      <c r="E414" t="inlineStr">
        <is>
          <t>VIMMERBY</t>
        </is>
      </c>
      <c r="G414" t="n">
        <v>6.4</v>
      </c>
      <c r="H414" t="n">
        <v>0</v>
      </c>
      <c r="I414" t="n">
        <v>0</v>
      </c>
      <c r="J414" t="n">
        <v>0</v>
      </c>
      <c r="K414" t="n">
        <v>0</v>
      </c>
      <c r="L414" t="n">
        <v>0</v>
      </c>
      <c r="M414" t="n">
        <v>0</v>
      </c>
      <c r="N414" t="n">
        <v>0</v>
      </c>
      <c r="O414" t="n">
        <v>0</v>
      </c>
      <c r="P414" t="n">
        <v>0</v>
      </c>
      <c r="Q414" t="n">
        <v>0</v>
      </c>
      <c r="R414" s="2" t="inlineStr"/>
    </row>
    <row r="415" ht="15" customHeight="1">
      <c r="A415" t="inlineStr">
        <is>
          <t>A 7797-2023</t>
        </is>
      </c>
      <c r="B415" s="1" t="n">
        <v>44973.43075231482</v>
      </c>
      <c r="C415" s="1" t="n">
        <v>46049</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35596-2025</t>
        </is>
      </c>
      <c r="B416" s="1" t="n">
        <v>45858.60641203704</v>
      </c>
      <c r="C416" s="1" t="n">
        <v>46049</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24655-2021</t>
        </is>
      </c>
      <c r="B417" s="1" t="n">
        <v>44340</v>
      </c>
      <c r="C417" s="1" t="n">
        <v>46049</v>
      </c>
      <c r="D417" t="inlineStr">
        <is>
          <t>KALMAR LÄN</t>
        </is>
      </c>
      <c r="E417" t="inlineStr">
        <is>
          <t>VIMMERBY</t>
        </is>
      </c>
      <c r="G417" t="n">
        <v>14.9</v>
      </c>
      <c r="H417" t="n">
        <v>0</v>
      </c>
      <c r="I417" t="n">
        <v>0</v>
      </c>
      <c r="J417" t="n">
        <v>0</v>
      </c>
      <c r="K417" t="n">
        <v>0</v>
      </c>
      <c r="L417" t="n">
        <v>0</v>
      </c>
      <c r="M417" t="n">
        <v>0</v>
      </c>
      <c r="N417" t="n">
        <v>0</v>
      </c>
      <c r="O417" t="n">
        <v>0</v>
      </c>
      <c r="P417" t="n">
        <v>0</v>
      </c>
      <c r="Q417" t="n">
        <v>0</v>
      </c>
      <c r="R417" s="2" t="inlineStr"/>
    </row>
    <row r="418" ht="15" customHeight="1">
      <c r="A418" t="inlineStr">
        <is>
          <t>A 45854-2025</t>
        </is>
      </c>
      <c r="B418" s="1" t="n">
        <v>45923</v>
      </c>
      <c r="C418" s="1" t="n">
        <v>46049</v>
      </c>
      <c r="D418" t="inlineStr">
        <is>
          <t>KALMAR LÄN</t>
        </is>
      </c>
      <c r="E418" t="inlineStr">
        <is>
          <t>VIMMERBY</t>
        </is>
      </c>
      <c r="G418" t="n">
        <v>2.2</v>
      </c>
      <c r="H418" t="n">
        <v>0</v>
      </c>
      <c r="I418" t="n">
        <v>0</v>
      </c>
      <c r="J418" t="n">
        <v>0</v>
      </c>
      <c r="K418" t="n">
        <v>0</v>
      </c>
      <c r="L418" t="n">
        <v>0</v>
      </c>
      <c r="M418" t="n">
        <v>0</v>
      </c>
      <c r="N418" t="n">
        <v>0</v>
      </c>
      <c r="O418" t="n">
        <v>0</v>
      </c>
      <c r="P418" t="n">
        <v>0</v>
      </c>
      <c r="Q418" t="n">
        <v>0</v>
      </c>
      <c r="R418" s="2" t="inlineStr"/>
    </row>
    <row r="419" ht="15" customHeight="1">
      <c r="A419" t="inlineStr">
        <is>
          <t>A 45855-2025</t>
        </is>
      </c>
      <c r="B419" s="1" t="n">
        <v>45923</v>
      </c>
      <c r="C419" s="1" t="n">
        <v>46049</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46361-2025</t>
        </is>
      </c>
      <c r="B420" s="1" t="n">
        <v>45925.49670138889</v>
      </c>
      <c r="C420" s="1" t="n">
        <v>46049</v>
      </c>
      <c r="D420" t="inlineStr">
        <is>
          <t>KALMAR LÄN</t>
        </is>
      </c>
      <c r="E420" t="inlineStr">
        <is>
          <t>VIMMERBY</t>
        </is>
      </c>
      <c r="G420" t="n">
        <v>4.2</v>
      </c>
      <c r="H420" t="n">
        <v>0</v>
      </c>
      <c r="I420" t="n">
        <v>0</v>
      </c>
      <c r="J420" t="n">
        <v>0</v>
      </c>
      <c r="K420" t="n">
        <v>0</v>
      </c>
      <c r="L420" t="n">
        <v>0</v>
      </c>
      <c r="M420" t="n">
        <v>0</v>
      </c>
      <c r="N420" t="n">
        <v>0</v>
      </c>
      <c r="O420" t="n">
        <v>0</v>
      </c>
      <c r="P420" t="n">
        <v>0</v>
      </c>
      <c r="Q420" t="n">
        <v>0</v>
      </c>
      <c r="R420" s="2" t="inlineStr"/>
    </row>
    <row r="421" ht="15" customHeight="1">
      <c r="A421" t="inlineStr">
        <is>
          <t>A 46365-2025</t>
        </is>
      </c>
      <c r="B421" s="1" t="n">
        <v>45925.50075231482</v>
      </c>
      <c r="C421" s="1" t="n">
        <v>46049</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8410-2023</t>
        </is>
      </c>
      <c r="B422" s="1" t="n">
        <v>44977</v>
      </c>
      <c r="C422" s="1" t="n">
        <v>46049</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19502-2025</t>
        </is>
      </c>
      <c r="B423" s="1" t="n">
        <v>45769</v>
      </c>
      <c r="C423" s="1" t="n">
        <v>46049</v>
      </c>
      <c r="D423" t="inlineStr">
        <is>
          <t>KALMAR LÄN</t>
        </is>
      </c>
      <c r="E423" t="inlineStr">
        <is>
          <t>VIMMERBY</t>
        </is>
      </c>
      <c r="G423" t="n">
        <v>1.9</v>
      </c>
      <c r="H423" t="n">
        <v>0</v>
      </c>
      <c r="I423" t="n">
        <v>0</v>
      </c>
      <c r="J423" t="n">
        <v>0</v>
      </c>
      <c r="K423" t="n">
        <v>0</v>
      </c>
      <c r="L423" t="n">
        <v>0</v>
      </c>
      <c r="M423" t="n">
        <v>0</v>
      </c>
      <c r="N423" t="n">
        <v>0</v>
      </c>
      <c r="O423" t="n">
        <v>0</v>
      </c>
      <c r="P423" t="n">
        <v>0</v>
      </c>
      <c r="Q423" t="n">
        <v>0</v>
      </c>
      <c r="R423" s="2" t="inlineStr"/>
    </row>
    <row r="424" ht="15" customHeight="1">
      <c r="A424" t="inlineStr">
        <is>
          <t>A 45856-2025</t>
        </is>
      </c>
      <c r="B424" s="1" t="n">
        <v>45923</v>
      </c>
      <c r="C424" s="1" t="n">
        <v>46049</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6028-2023</t>
        </is>
      </c>
      <c r="B425" s="1" t="n">
        <v>44964.44356481481</v>
      </c>
      <c r="C425" s="1" t="n">
        <v>46049</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52823-2024</t>
        </is>
      </c>
      <c r="B426" s="1" t="n">
        <v>45610.59094907407</v>
      </c>
      <c r="C426" s="1" t="n">
        <v>46049</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46887-2025</t>
        </is>
      </c>
      <c r="B427" s="1" t="n">
        <v>45929.3672337963</v>
      </c>
      <c r="C427" s="1" t="n">
        <v>46049</v>
      </c>
      <c r="D427" t="inlineStr">
        <is>
          <t>KALMAR LÄN</t>
        </is>
      </c>
      <c r="E427" t="inlineStr">
        <is>
          <t>VIMMERBY</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36273-2025</t>
        </is>
      </c>
      <c r="B428" s="1" t="n">
        <v>45867.63094907408</v>
      </c>
      <c r="C428" s="1" t="n">
        <v>46049</v>
      </c>
      <c r="D428" t="inlineStr">
        <is>
          <t>KALMAR LÄN</t>
        </is>
      </c>
      <c r="E428" t="inlineStr">
        <is>
          <t>VIMMERBY</t>
        </is>
      </c>
      <c r="G428" t="n">
        <v>1.7</v>
      </c>
      <c r="H428" t="n">
        <v>0</v>
      </c>
      <c r="I428" t="n">
        <v>0</v>
      </c>
      <c r="J428" t="n">
        <v>0</v>
      </c>
      <c r="K428" t="n">
        <v>0</v>
      </c>
      <c r="L428" t="n">
        <v>0</v>
      </c>
      <c r="M428" t="n">
        <v>0</v>
      </c>
      <c r="N428" t="n">
        <v>0</v>
      </c>
      <c r="O428" t="n">
        <v>0</v>
      </c>
      <c r="P428" t="n">
        <v>0</v>
      </c>
      <c r="Q428" t="n">
        <v>0</v>
      </c>
      <c r="R428" s="2" t="inlineStr"/>
    </row>
    <row r="429" ht="15" customHeight="1">
      <c r="A429" t="inlineStr">
        <is>
          <t>A 36299-2025</t>
        </is>
      </c>
      <c r="B429" s="1" t="n">
        <v>45867.69346064814</v>
      </c>
      <c r="C429" s="1" t="n">
        <v>46049</v>
      </c>
      <c r="D429" t="inlineStr">
        <is>
          <t>KALMAR LÄN</t>
        </is>
      </c>
      <c r="E429" t="inlineStr">
        <is>
          <t>VIMMERBY</t>
        </is>
      </c>
      <c r="G429" t="n">
        <v>7.6</v>
      </c>
      <c r="H429" t="n">
        <v>0</v>
      </c>
      <c r="I429" t="n">
        <v>0</v>
      </c>
      <c r="J429" t="n">
        <v>0</v>
      </c>
      <c r="K429" t="n">
        <v>0</v>
      </c>
      <c r="L429" t="n">
        <v>0</v>
      </c>
      <c r="M429" t="n">
        <v>0</v>
      </c>
      <c r="N429" t="n">
        <v>0</v>
      </c>
      <c r="O429" t="n">
        <v>0</v>
      </c>
      <c r="P429" t="n">
        <v>0</v>
      </c>
      <c r="Q429" t="n">
        <v>0</v>
      </c>
      <c r="R429" s="2" t="inlineStr"/>
    </row>
    <row r="430" ht="15" customHeight="1">
      <c r="A430" t="inlineStr">
        <is>
          <t>A 47227-2025</t>
        </is>
      </c>
      <c r="B430" s="1" t="n">
        <v>45930.39769675926</v>
      </c>
      <c r="C430" s="1" t="n">
        <v>46049</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56853-2022</t>
        </is>
      </c>
      <c r="B431" s="1" t="n">
        <v>44894.49538194444</v>
      </c>
      <c r="C431" s="1" t="n">
        <v>46049</v>
      </c>
      <c r="D431" t="inlineStr">
        <is>
          <t>KALMAR LÄN</t>
        </is>
      </c>
      <c r="E431" t="inlineStr">
        <is>
          <t>VIMMERBY</t>
        </is>
      </c>
      <c r="G431" t="n">
        <v>4.3</v>
      </c>
      <c r="H431" t="n">
        <v>0</v>
      </c>
      <c r="I431" t="n">
        <v>0</v>
      </c>
      <c r="J431" t="n">
        <v>0</v>
      </c>
      <c r="K431" t="n">
        <v>0</v>
      </c>
      <c r="L431" t="n">
        <v>0</v>
      </c>
      <c r="M431" t="n">
        <v>0</v>
      </c>
      <c r="N431" t="n">
        <v>0</v>
      </c>
      <c r="O431" t="n">
        <v>0</v>
      </c>
      <c r="P431" t="n">
        <v>0</v>
      </c>
      <c r="Q431" t="n">
        <v>0</v>
      </c>
      <c r="R431" s="2" t="inlineStr"/>
    </row>
    <row r="432" ht="15" customHeight="1">
      <c r="A432" t="inlineStr">
        <is>
          <t>A 11152-2023</t>
        </is>
      </c>
      <c r="B432" s="1" t="n">
        <v>44992</v>
      </c>
      <c r="C432" s="1" t="n">
        <v>46049</v>
      </c>
      <c r="D432" t="inlineStr">
        <is>
          <t>KALMAR LÄN</t>
        </is>
      </c>
      <c r="E432" t="inlineStr">
        <is>
          <t>VIMMERBY</t>
        </is>
      </c>
      <c r="G432" t="n">
        <v>10.6</v>
      </c>
      <c r="H432" t="n">
        <v>0</v>
      </c>
      <c r="I432" t="n">
        <v>0</v>
      </c>
      <c r="J432" t="n">
        <v>0</v>
      </c>
      <c r="K432" t="n">
        <v>0</v>
      </c>
      <c r="L432" t="n">
        <v>0</v>
      </c>
      <c r="M432" t="n">
        <v>0</v>
      </c>
      <c r="N432" t="n">
        <v>0</v>
      </c>
      <c r="O432" t="n">
        <v>0</v>
      </c>
      <c r="P432" t="n">
        <v>0</v>
      </c>
      <c r="Q432" t="n">
        <v>0</v>
      </c>
      <c r="R432" s="2" t="inlineStr"/>
    </row>
    <row r="433" ht="15" customHeight="1">
      <c r="A433" t="inlineStr">
        <is>
          <t>A 36221-2025</t>
        </is>
      </c>
      <c r="B433" s="1" t="n">
        <v>45867.50792824074</v>
      </c>
      <c r="C433" s="1" t="n">
        <v>46049</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36226-2025</t>
        </is>
      </c>
      <c r="B434" s="1" t="n">
        <v>45867.51630787037</v>
      </c>
      <c r="C434" s="1" t="n">
        <v>46049</v>
      </c>
      <c r="D434" t="inlineStr">
        <is>
          <t>KALMAR LÄN</t>
        </is>
      </c>
      <c r="E434" t="inlineStr">
        <is>
          <t>VIMMERBY</t>
        </is>
      </c>
      <c r="G434" t="n">
        <v>3.1</v>
      </c>
      <c r="H434" t="n">
        <v>0</v>
      </c>
      <c r="I434" t="n">
        <v>0</v>
      </c>
      <c r="J434" t="n">
        <v>0</v>
      </c>
      <c r="K434" t="n">
        <v>0</v>
      </c>
      <c r="L434" t="n">
        <v>0</v>
      </c>
      <c r="M434" t="n">
        <v>0</v>
      </c>
      <c r="N434" t="n">
        <v>0</v>
      </c>
      <c r="O434" t="n">
        <v>0</v>
      </c>
      <c r="P434" t="n">
        <v>0</v>
      </c>
      <c r="Q434" t="n">
        <v>0</v>
      </c>
      <c r="R434" s="2" t="inlineStr"/>
    </row>
    <row r="435" ht="15" customHeight="1">
      <c r="A435" t="inlineStr">
        <is>
          <t>A 15550-2023</t>
        </is>
      </c>
      <c r="B435" s="1" t="n">
        <v>45020</v>
      </c>
      <c r="C435" s="1" t="n">
        <v>46049</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36297-2025</t>
        </is>
      </c>
      <c r="B436" s="1" t="n">
        <v>45867.68625</v>
      </c>
      <c r="C436" s="1" t="n">
        <v>46049</v>
      </c>
      <c r="D436" t="inlineStr">
        <is>
          <t>KALMAR LÄN</t>
        </is>
      </c>
      <c r="E436" t="inlineStr">
        <is>
          <t>VIMMERBY</t>
        </is>
      </c>
      <c r="G436" t="n">
        <v>4.9</v>
      </c>
      <c r="H436" t="n">
        <v>0</v>
      </c>
      <c r="I436" t="n">
        <v>0</v>
      </c>
      <c r="J436" t="n">
        <v>0</v>
      </c>
      <c r="K436" t="n">
        <v>0</v>
      </c>
      <c r="L436" t="n">
        <v>0</v>
      </c>
      <c r="M436" t="n">
        <v>0</v>
      </c>
      <c r="N436" t="n">
        <v>0</v>
      </c>
      <c r="O436" t="n">
        <v>0</v>
      </c>
      <c r="P436" t="n">
        <v>0</v>
      </c>
      <c r="Q436" t="n">
        <v>0</v>
      </c>
      <c r="R436" s="2" t="inlineStr"/>
    </row>
    <row r="437" ht="15" customHeight="1">
      <c r="A437" t="inlineStr">
        <is>
          <t>A 36246-2025</t>
        </is>
      </c>
      <c r="B437" s="1" t="n">
        <v>45867.56320601852</v>
      </c>
      <c r="C437" s="1" t="n">
        <v>46049</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36282-2025</t>
        </is>
      </c>
      <c r="B438" s="1" t="n">
        <v>45867.64663194444</v>
      </c>
      <c r="C438" s="1" t="n">
        <v>46049</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36538-2025</t>
        </is>
      </c>
      <c r="B439" s="1" t="n">
        <v>45869.62276620371</v>
      </c>
      <c r="C439" s="1" t="n">
        <v>46049</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36598-2025</t>
        </is>
      </c>
      <c r="B440" s="1" t="n">
        <v>45870.51708333333</v>
      </c>
      <c r="C440" s="1" t="n">
        <v>46049</v>
      </c>
      <c r="D440" t="inlineStr">
        <is>
          <t>KALMAR LÄN</t>
        </is>
      </c>
      <c r="E440" t="inlineStr">
        <is>
          <t>VIMMERBY</t>
        </is>
      </c>
      <c r="G440" t="n">
        <v>3.7</v>
      </c>
      <c r="H440" t="n">
        <v>0</v>
      </c>
      <c r="I440" t="n">
        <v>0</v>
      </c>
      <c r="J440" t="n">
        <v>0</v>
      </c>
      <c r="K440" t="n">
        <v>0</v>
      </c>
      <c r="L440" t="n">
        <v>0</v>
      </c>
      <c r="M440" t="n">
        <v>0</v>
      </c>
      <c r="N440" t="n">
        <v>0</v>
      </c>
      <c r="O440" t="n">
        <v>0</v>
      </c>
      <c r="P440" t="n">
        <v>0</v>
      </c>
      <c r="Q440" t="n">
        <v>0</v>
      </c>
      <c r="R440" s="2" t="inlineStr"/>
    </row>
    <row r="441" ht="15" customHeight="1">
      <c r="A441" t="inlineStr">
        <is>
          <t>A 36602-2025</t>
        </is>
      </c>
      <c r="B441" s="1" t="n">
        <v>45870.52111111111</v>
      </c>
      <c r="C441" s="1" t="n">
        <v>46049</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36600-2025</t>
        </is>
      </c>
      <c r="B442" s="1" t="n">
        <v>45870.51958333333</v>
      </c>
      <c r="C442" s="1" t="n">
        <v>46049</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36601-2025</t>
        </is>
      </c>
      <c r="B443" s="1" t="n">
        <v>45870.52005787037</v>
      </c>
      <c r="C443" s="1" t="n">
        <v>46049</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36603-2025</t>
        </is>
      </c>
      <c r="B444" s="1" t="n">
        <v>45870.52142361111</v>
      </c>
      <c r="C444" s="1" t="n">
        <v>46049</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31355-2023</t>
        </is>
      </c>
      <c r="B445" s="1" t="n">
        <v>45114.49505787037</v>
      </c>
      <c r="C445" s="1" t="n">
        <v>46049</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18330-2023</t>
        </is>
      </c>
      <c r="B446" s="1" t="n">
        <v>45041</v>
      </c>
      <c r="C446" s="1" t="n">
        <v>46049</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58100-2024</t>
        </is>
      </c>
      <c r="B447" s="1" t="n">
        <v>45632.36706018518</v>
      </c>
      <c r="C447" s="1" t="n">
        <v>46049</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27993-2022</t>
        </is>
      </c>
      <c r="B448" s="1" t="n">
        <v>44745.84396990741</v>
      </c>
      <c r="C448" s="1" t="n">
        <v>46049</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47965-2025</t>
        </is>
      </c>
      <c r="B449" s="1" t="n">
        <v>45932.59597222223</v>
      </c>
      <c r="C449" s="1" t="n">
        <v>46049</v>
      </c>
      <c r="D449" t="inlineStr">
        <is>
          <t>KALMAR LÄN</t>
        </is>
      </c>
      <c r="E449" t="inlineStr">
        <is>
          <t>VIMMERBY</t>
        </is>
      </c>
      <c r="G449" t="n">
        <v>2.2</v>
      </c>
      <c r="H449" t="n">
        <v>0</v>
      </c>
      <c r="I449" t="n">
        <v>0</v>
      </c>
      <c r="J449" t="n">
        <v>0</v>
      </c>
      <c r="K449" t="n">
        <v>0</v>
      </c>
      <c r="L449" t="n">
        <v>0</v>
      </c>
      <c r="M449" t="n">
        <v>0</v>
      </c>
      <c r="N449" t="n">
        <v>0</v>
      </c>
      <c r="O449" t="n">
        <v>0</v>
      </c>
      <c r="P449" t="n">
        <v>0</v>
      </c>
      <c r="Q449" t="n">
        <v>0</v>
      </c>
      <c r="R449" s="2" t="inlineStr"/>
    </row>
    <row r="450" ht="15" customHeight="1">
      <c r="A450" t="inlineStr">
        <is>
          <t>A 38969-2023</t>
        </is>
      </c>
      <c r="B450" s="1" t="n">
        <v>45163.63621527778</v>
      </c>
      <c r="C450" s="1" t="n">
        <v>46049</v>
      </c>
      <c r="D450" t="inlineStr">
        <is>
          <t>KALMAR LÄN</t>
        </is>
      </c>
      <c r="E450" t="inlineStr">
        <is>
          <t>VIMMERBY</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53752-2024</t>
        </is>
      </c>
      <c r="B451" s="1" t="n">
        <v>45615.48927083334</v>
      </c>
      <c r="C451" s="1" t="n">
        <v>46049</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47955-2025</t>
        </is>
      </c>
      <c r="B452" s="1" t="n">
        <v>45932.58896990741</v>
      </c>
      <c r="C452" s="1" t="n">
        <v>46049</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36934-2025</t>
        </is>
      </c>
      <c r="B453" s="1" t="n">
        <v>45874.57109953704</v>
      </c>
      <c r="C453" s="1" t="n">
        <v>46049</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48299-2025</t>
        </is>
      </c>
      <c r="B454" s="1" t="n">
        <v>45933.60982638889</v>
      </c>
      <c r="C454" s="1" t="n">
        <v>46049</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37088-2025</t>
        </is>
      </c>
      <c r="B455" s="1" t="n">
        <v>45875.45716435185</v>
      </c>
      <c r="C455" s="1" t="n">
        <v>46049</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37102-2025</t>
        </is>
      </c>
      <c r="B456" s="1" t="n">
        <v>45875.47454861111</v>
      </c>
      <c r="C456" s="1" t="n">
        <v>46049</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58728-2024</t>
        </is>
      </c>
      <c r="B457" s="1" t="n">
        <v>45635.66695601852</v>
      </c>
      <c r="C457" s="1" t="n">
        <v>46049</v>
      </c>
      <c r="D457" t="inlineStr">
        <is>
          <t>KALMAR LÄN</t>
        </is>
      </c>
      <c r="E457" t="inlineStr">
        <is>
          <t>VIMMERBY</t>
        </is>
      </c>
      <c r="G457" t="n">
        <v>0.4</v>
      </c>
      <c r="H457" t="n">
        <v>0</v>
      </c>
      <c r="I457" t="n">
        <v>0</v>
      </c>
      <c r="J457" t="n">
        <v>0</v>
      </c>
      <c r="K457" t="n">
        <v>0</v>
      </c>
      <c r="L457" t="n">
        <v>0</v>
      </c>
      <c r="M457" t="n">
        <v>0</v>
      </c>
      <c r="N457" t="n">
        <v>0</v>
      </c>
      <c r="O457" t="n">
        <v>0</v>
      </c>
      <c r="P457" t="n">
        <v>0</v>
      </c>
      <c r="Q457" t="n">
        <v>0</v>
      </c>
      <c r="R457" s="2" t="inlineStr"/>
    </row>
    <row r="458" ht="15" customHeight="1">
      <c r="A458" t="inlineStr">
        <is>
          <t>A 43242-2024</t>
        </is>
      </c>
      <c r="B458" s="1" t="n">
        <v>45568.30189814815</v>
      </c>
      <c r="C458" s="1" t="n">
        <v>46049</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16983-2023</t>
        </is>
      </c>
      <c r="B459" s="1" t="n">
        <v>45033.76043981482</v>
      </c>
      <c r="C459" s="1" t="n">
        <v>46049</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48723-2025</t>
        </is>
      </c>
      <c r="B460" s="1" t="n">
        <v>45936.65121527778</v>
      </c>
      <c r="C460" s="1" t="n">
        <v>46049</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37079-2025</t>
        </is>
      </c>
      <c r="B461" s="1" t="n">
        <v>45875.42716435185</v>
      </c>
      <c r="C461" s="1" t="n">
        <v>46049</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6405-2025</t>
        </is>
      </c>
      <c r="B462" s="1" t="n">
        <v>45699.45392361111</v>
      </c>
      <c r="C462" s="1" t="n">
        <v>46049</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36843-2023</t>
        </is>
      </c>
      <c r="B463" s="1" t="n">
        <v>45154.49831018518</v>
      </c>
      <c r="C463" s="1" t="n">
        <v>46049</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48600-2025</t>
        </is>
      </c>
      <c r="B464" s="1" t="n">
        <v>45935</v>
      </c>
      <c r="C464" s="1" t="n">
        <v>46049</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37668-2025</t>
        </is>
      </c>
      <c r="B465" s="1" t="n">
        <v>45880.51550925926</v>
      </c>
      <c r="C465" s="1" t="n">
        <v>46049</v>
      </c>
      <c r="D465" t="inlineStr">
        <is>
          <t>KALMAR LÄN</t>
        </is>
      </c>
      <c r="E465" t="inlineStr">
        <is>
          <t>VIMMERBY</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37578-2025</t>
        </is>
      </c>
      <c r="B466" s="1" t="n">
        <v>45880.38380787037</v>
      </c>
      <c r="C466" s="1" t="n">
        <v>46049</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57486-2024</t>
        </is>
      </c>
      <c r="B467" s="1" t="n">
        <v>45630.35827546296</v>
      </c>
      <c r="C467" s="1" t="n">
        <v>46049</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48408-2025</t>
        </is>
      </c>
      <c r="B468" s="1" t="n">
        <v>45934.40527777778</v>
      </c>
      <c r="C468" s="1" t="n">
        <v>46049</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48409-2025</t>
        </is>
      </c>
      <c r="B469" s="1" t="n">
        <v>45934.41387731482</v>
      </c>
      <c r="C469" s="1" t="n">
        <v>46049</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48712-2025</t>
        </is>
      </c>
      <c r="B470" s="1" t="n">
        <v>45936.63373842592</v>
      </c>
      <c r="C470" s="1" t="n">
        <v>46049</v>
      </c>
      <c r="D470" t="inlineStr">
        <is>
          <t>KALMAR LÄN</t>
        </is>
      </c>
      <c r="E470" t="inlineStr">
        <is>
          <t>VIMMERBY</t>
        </is>
      </c>
      <c r="G470" t="n">
        <v>3</v>
      </c>
      <c r="H470" t="n">
        <v>0</v>
      </c>
      <c r="I470" t="n">
        <v>0</v>
      </c>
      <c r="J470" t="n">
        <v>0</v>
      </c>
      <c r="K470" t="n">
        <v>0</v>
      </c>
      <c r="L470" t="n">
        <v>0</v>
      </c>
      <c r="M470" t="n">
        <v>0</v>
      </c>
      <c r="N470" t="n">
        <v>0</v>
      </c>
      <c r="O470" t="n">
        <v>0</v>
      </c>
      <c r="P470" t="n">
        <v>0</v>
      </c>
      <c r="Q470" t="n">
        <v>0</v>
      </c>
      <c r="R470" s="2" t="inlineStr"/>
    </row>
    <row r="471" ht="15" customHeight="1">
      <c r="A471" t="inlineStr">
        <is>
          <t>A 44423-2023</t>
        </is>
      </c>
      <c r="B471" s="1" t="n">
        <v>45189</v>
      </c>
      <c r="C471" s="1" t="n">
        <v>46049</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20-2025</t>
        </is>
      </c>
      <c r="B472" s="1" t="n">
        <v>45658.80232638889</v>
      </c>
      <c r="C472" s="1" t="n">
        <v>46049</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23-2025</t>
        </is>
      </c>
      <c r="B473" s="1" t="n">
        <v>45658.80827546296</v>
      </c>
      <c r="C473" s="1" t="n">
        <v>46049</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21496-2023</t>
        </is>
      </c>
      <c r="B474" s="1" t="n">
        <v>45063.49936342592</v>
      </c>
      <c r="C474" s="1" t="n">
        <v>46049</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31056-2022</t>
        </is>
      </c>
      <c r="B475" s="1" t="n">
        <v>44769.45805555556</v>
      </c>
      <c r="C475" s="1" t="n">
        <v>46049</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37866-2025</t>
        </is>
      </c>
      <c r="B476" s="1" t="n">
        <v>45881</v>
      </c>
      <c r="C476" s="1" t="n">
        <v>46049</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72701-2021</t>
        </is>
      </c>
      <c r="B477" s="1" t="n">
        <v>44546</v>
      </c>
      <c r="C477" s="1" t="n">
        <v>46049</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37939-2025</t>
        </is>
      </c>
      <c r="B478" s="1" t="n">
        <v>45881.59877314815</v>
      </c>
      <c r="C478" s="1" t="n">
        <v>46049</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52294-2023</t>
        </is>
      </c>
      <c r="B479" s="1" t="n">
        <v>45224.60075231481</v>
      </c>
      <c r="C479" s="1" t="n">
        <v>46049</v>
      </c>
      <c r="D479" t="inlineStr">
        <is>
          <t>KALMAR LÄN</t>
        </is>
      </c>
      <c r="E479" t="inlineStr">
        <is>
          <t>VIMMERBY</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61355-2024</t>
        </is>
      </c>
      <c r="B480" s="1" t="n">
        <v>45646.38200231481</v>
      </c>
      <c r="C480" s="1" t="n">
        <v>46049</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46049</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10759-2023</t>
        </is>
      </c>
      <c r="B482" s="1" t="n">
        <v>44988</v>
      </c>
      <c r="C482" s="1" t="n">
        <v>46049</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18899-2025</t>
        </is>
      </c>
      <c r="B483" s="1" t="n">
        <v>45764.44931712963</v>
      </c>
      <c r="C483" s="1" t="n">
        <v>46049</v>
      </c>
      <c r="D483" t="inlineStr">
        <is>
          <t>KALMAR LÄN</t>
        </is>
      </c>
      <c r="E483" t="inlineStr">
        <is>
          <t>VIMMERBY</t>
        </is>
      </c>
      <c r="F483" t="inlineStr">
        <is>
          <t>Kommuner</t>
        </is>
      </c>
      <c r="G483" t="n">
        <v>4</v>
      </c>
      <c r="H483" t="n">
        <v>0</v>
      </c>
      <c r="I483" t="n">
        <v>0</v>
      </c>
      <c r="J483" t="n">
        <v>0</v>
      </c>
      <c r="K483" t="n">
        <v>0</v>
      </c>
      <c r="L483" t="n">
        <v>0</v>
      </c>
      <c r="M483" t="n">
        <v>0</v>
      </c>
      <c r="N483" t="n">
        <v>0</v>
      </c>
      <c r="O483" t="n">
        <v>0</v>
      </c>
      <c r="P483" t="n">
        <v>0</v>
      </c>
      <c r="Q483" t="n">
        <v>0</v>
      </c>
      <c r="R483" s="2" t="inlineStr"/>
    </row>
    <row r="484" ht="15" customHeight="1">
      <c r="A484" t="inlineStr">
        <is>
          <t>A 12586-2021</t>
        </is>
      </c>
      <c r="B484" s="1" t="n">
        <v>44270.38002314815</v>
      </c>
      <c r="C484" s="1" t="n">
        <v>46049</v>
      </c>
      <c r="D484" t="inlineStr">
        <is>
          <t>KALMAR LÄN</t>
        </is>
      </c>
      <c r="E484" t="inlineStr">
        <is>
          <t>VIMMERBY</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49871-2025</t>
        </is>
      </c>
      <c r="B485" s="1" t="n">
        <v>45940.54104166666</v>
      </c>
      <c r="C485" s="1" t="n">
        <v>46049</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32614-2023</t>
        </is>
      </c>
      <c r="B486" s="1" t="n">
        <v>45121</v>
      </c>
      <c r="C486" s="1" t="n">
        <v>46049</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61939-2021</t>
        </is>
      </c>
      <c r="B487" s="1" t="n">
        <v>44502</v>
      </c>
      <c r="C487" s="1" t="n">
        <v>46049</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50324-2025</t>
        </is>
      </c>
      <c r="B488" s="1" t="n">
        <v>45944.45962962963</v>
      </c>
      <c r="C488" s="1" t="n">
        <v>46049</v>
      </c>
      <c r="D488" t="inlineStr">
        <is>
          <t>KALMAR LÄN</t>
        </is>
      </c>
      <c r="E488" t="inlineStr">
        <is>
          <t>VIMMERBY</t>
        </is>
      </c>
      <c r="G488" t="n">
        <v>2.1</v>
      </c>
      <c r="H488" t="n">
        <v>0</v>
      </c>
      <c r="I488" t="n">
        <v>0</v>
      </c>
      <c r="J488" t="n">
        <v>0</v>
      </c>
      <c r="K488" t="n">
        <v>0</v>
      </c>
      <c r="L488" t="n">
        <v>0</v>
      </c>
      <c r="M488" t="n">
        <v>0</v>
      </c>
      <c r="N488" t="n">
        <v>0</v>
      </c>
      <c r="O488" t="n">
        <v>0</v>
      </c>
      <c r="P488" t="n">
        <v>0</v>
      </c>
      <c r="Q488" t="n">
        <v>0</v>
      </c>
      <c r="R488" s="2" t="inlineStr"/>
    </row>
    <row r="489" ht="15" customHeight="1">
      <c r="A489" t="inlineStr">
        <is>
          <t>A 6218-2025</t>
        </is>
      </c>
      <c r="B489" s="1" t="n">
        <v>45698.53336805556</v>
      </c>
      <c r="C489" s="1" t="n">
        <v>46049</v>
      </c>
      <c r="D489" t="inlineStr">
        <is>
          <t>KALMAR LÄN</t>
        </is>
      </c>
      <c r="E489" t="inlineStr">
        <is>
          <t>VIMMERBY</t>
        </is>
      </c>
      <c r="G489" t="n">
        <v>1.1</v>
      </c>
      <c r="H489" t="n">
        <v>0</v>
      </c>
      <c r="I489" t="n">
        <v>0</v>
      </c>
      <c r="J489" t="n">
        <v>0</v>
      </c>
      <c r="K489" t="n">
        <v>0</v>
      </c>
      <c r="L489" t="n">
        <v>0</v>
      </c>
      <c r="M489" t="n">
        <v>0</v>
      </c>
      <c r="N489" t="n">
        <v>0</v>
      </c>
      <c r="O489" t="n">
        <v>0</v>
      </c>
      <c r="P489" t="n">
        <v>0</v>
      </c>
      <c r="Q489" t="n">
        <v>0</v>
      </c>
      <c r="R489" s="2" t="inlineStr"/>
    </row>
    <row r="490" ht="15" customHeight="1">
      <c r="A490" t="inlineStr">
        <is>
          <t>A 40076-2021</t>
        </is>
      </c>
      <c r="B490" s="1" t="n">
        <v>44418</v>
      </c>
      <c r="C490" s="1" t="n">
        <v>46049</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50544-2025</t>
        </is>
      </c>
      <c r="B491" s="1" t="n">
        <v>45945.50736111111</v>
      </c>
      <c r="C491" s="1" t="n">
        <v>46049</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51062-2025</t>
        </is>
      </c>
      <c r="B492" s="1" t="n">
        <v>45947.44685185186</v>
      </c>
      <c r="C492" s="1" t="n">
        <v>46049</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12588-2025</t>
        </is>
      </c>
      <c r="B493" s="1" t="n">
        <v>45732.76936342593</v>
      </c>
      <c r="C493" s="1" t="n">
        <v>46049</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25979-2023</t>
        </is>
      </c>
      <c r="B494" s="1" t="n">
        <v>45090.89653935185</v>
      </c>
      <c r="C494" s="1" t="n">
        <v>46049</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25980-2023</t>
        </is>
      </c>
      <c r="B495" s="1" t="n">
        <v>45090.89880787037</v>
      </c>
      <c r="C495" s="1" t="n">
        <v>46049</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46921-2023</t>
        </is>
      </c>
      <c r="B496" s="1" t="n">
        <v>45201.39996527778</v>
      </c>
      <c r="C496" s="1" t="n">
        <v>46049</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10837-2023</t>
        </is>
      </c>
      <c r="B497" s="1" t="n">
        <v>44991.30547453704</v>
      </c>
      <c r="C497" s="1" t="n">
        <v>46049</v>
      </c>
      <c r="D497" t="inlineStr">
        <is>
          <t>KALMAR LÄN</t>
        </is>
      </c>
      <c r="E497" t="inlineStr">
        <is>
          <t>VIMMERBY</t>
        </is>
      </c>
      <c r="G497" t="n">
        <v>7.3</v>
      </c>
      <c r="H497" t="n">
        <v>0</v>
      </c>
      <c r="I497" t="n">
        <v>0</v>
      </c>
      <c r="J497" t="n">
        <v>0</v>
      </c>
      <c r="K497" t="n">
        <v>0</v>
      </c>
      <c r="L497" t="n">
        <v>0</v>
      </c>
      <c r="M497" t="n">
        <v>0</v>
      </c>
      <c r="N497" t="n">
        <v>0</v>
      </c>
      <c r="O497" t="n">
        <v>0</v>
      </c>
      <c r="P497" t="n">
        <v>0</v>
      </c>
      <c r="Q497" t="n">
        <v>0</v>
      </c>
      <c r="R497" s="2" t="inlineStr"/>
    </row>
    <row r="498" ht="15" customHeight="1">
      <c r="A498" t="inlineStr">
        <is>
          <t>A 10838-2023</t>
        </is>
      </c>
      <c r="B498" s="1" t="n">
        <v>44991</v>
      </c>
      <c r="C498" s="1" t="n">
        <v>46049</v>
      </c>
      <c r="D498" t="inlineStr">
        <is>
          <t>KALMAR LÄN</t>
        </is>
      </c>
      <c r="E498" t="inlineStr">
        <is>
          <t>VIMMERBY</t>
        </is>
      </c>
      <c r="G498" t="n">
        <v>5.1</v>
      </c>
      <c r="H498" t="n">
        <v>0</v>
      </c>
      <c r="I498" t="n">
        <v>0</v>
      </c>
      <c r="J498" t="n">
        <v>0</v>
      </c>
      <c r="K498" t="n">
        <v>0</v>
      </c>
      <c r="L498" t="n">
        <v>0</v>
      </c>
      <c r="M498" t="n">
        <v>0</v>
      </c>
      <c r="N498" t="n">
        <v>0</v>
      </c>
      <c r="O498" t="n">
        <v>0</v>
      </c>
      <c r="P498" t="n">
        <v>0</v>
      </c>
      <c r="Q498" t="n">
        <v>0</v>
      </c>
      <c r="R498" s="2" t="inlineStr"/>
    </row>
    <row r="499" ht="15" customHeight="1">
      <c r="A499" t="inlineStr">
        <is>
          <t>A 51993-2025</t>
        </is>
      </c>
      <c r="B499" s="1" t="n">
        <v>45952.58194444444</v>
      </c>
      <c r="C499" s="1" t="n">
        <v>46049</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30912-2023</t>
        </is>
      </c>
      <c r="B500" s="1" t="n">
        <v>45113.41633101852</v>
      </c>
      <c r="C500" s="1" t="n">
        <v>46049</v>
      </c>
      <c r="D500" t="inlineStr">
        <is>
          <t>KALMAR LÄN</t>
        </is>
      </c>
      <c r="E500" t="inlineStr">
        <is>
          <t>VIMMERBY</t>
        </is>
      </c>
      <c r="G500" t="n">
        <v>5</v>
      </c>
      <c r="H500" t="n">
        <v>0</v>
      </c>
      <c r="I500" t="n">
        <v>0</v>
      </c>
      <c r="J500" t="n">
        <v>0</v>
      </c>
      <c r="K500" t="n">
        <v>0</v>
      </c>
      <c r="L500" t="n">
        <v>0</v>
      </c>
      <c r="M500" t="n">
        <v>0</v>
      </c>
      <c r="N500" t="n">
        <v>0</v>
      </c>
      <c r="O500" t="n">
        <v>0</v>
      </c>
      <c r="P500" t="n">
        <v>0</v>
      </c>
      <c r="Q500" t="n">
        <v>0</v>
      </c>
      <c r="R500" s="2" t="inlineStr"/>
    </row>
    <row r="501" ht="15" customHeight="1">
      <c r="A501" t="inlineStr">
        <is>
          <t>A 55436-2023</t>
        </is>
      </c>
      <c r="B501" s="1" t="n">
        <v>45238.4328587963</v>
      </c>
      <c r="C501" s="1" t="n">
        <v>46049</v>
      </c>
      <c r="D501" t="inlineStr">
        <is>
          <t>KALMAR LÄN</t>
        </is>
      </c>
      <c r="E501" t="inlineStr">
        <is>
          <t>VIMMERBY</t>
        </is>
      </c>
      <c r="G501" t="n">
        <v>5.6</v>
      </c>
      <c r="H501" t="n">
        <v>0</v>
      </c>
      <c r="I501" t="n">
        <v>0</v>
      </c>
      <c r="J501" t="n">
        <v>0</v>
      </c>
      <c r="K501" t="n">
        <v>0</v>
      </c>
      <c r="L501" t="n">
        <v>0</v>
      </c>
      <c r="M501" t="n">
        <v>0</v>
      </c>
      <c r="N501" t="n">
        <v>0</v>
      </c>
      <c r="O501" t="n">
        <v>0</v>
      </c>
      <c r="P501" t="n">
        <v>0</v>
      </c>
      <c r="Q501" t="n">
        <v>0</v>
      </c>
      <c r="R501" s="2" t="inlineStr"/>
    </row>
    <row r="502" ht="15" customHeight="1">
      <c r="A502" t="inlineStr">
        <is>
          <t>A 21507-2023</t>
        </is>
      </c>
      <c r="B502" s="1" t="n">
        <v>45063.508125</v>
      </c>
      <c r="C502" s="1" t="n">
        <v>46049</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51187-2023</t>
        </is>
      </c>
      <c r="B503" s="1" t="n">
        <v>45219.40528935185</v>
      </c>
      <c r="C503" s="1" t="n">
        <v>46049</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51990-2025</t>
        </is>
      </c>
      <c r="B504" s="1" t="n">
        <v>45952.58061342593</v>
      </c>
      <c r="C504" s="1" t="n">
        <v>46049</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52473-2025</t>
        </is>
      </c>
      <c r="B505" s="1" t="n">
        <v>45954.45947916667</v>
      </c>
      <c r="C505" s="1" t="n">
        <v>46049</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52480-2025</t>
        </is>
      </c>
      <c r="B506" s="1" t="n">
        <v>45954.47172453703</v>
      </c>
      <c r="C506" s="1" t="n">
        <v>46049</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13290-2025</t>
        </is>
      </c>
      <c r="B507" s="1" t="n">
        <v>45735.56751157407</v>
      </c>
      <c r="C507" s="1" t="n">
        <v>46049</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45560-2021</t>
        </is>
      </c>
      <c r="B508" s="1" t="n">
        <v>44440</v>
      </c>
      <c r="C508" s="1" t="n">
        <v>46049</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52466-2025</t>
        </is>
      </c>
      <c r="B509" s="1" t="n">
        <v>45954.44707175926</v>
      </c>
      <c r="C509" s="1" t="n">
        <v>46049</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52516-2025</t>
        </is>
      </c>
      <c r="B510" s="1" t="n">
        <v>45954.51412037037</v>
      </c>
      <c r="C510" s="1" t="n">
        <v>46049</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16622-2025</t>
        </is>
      </c>
      <c r="B511" s="1" t="n">
        <v>45754.33641203704</v>
      </c>
      <c r="C511" s="1" t="n">
        <v>46049</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52465-2025</t>
        </is>
      </c>
      <c r="B512" s="1" t="n">
        <v>45954.44543981482</v>
      </c>
      <c r="C512" s="1" t="n">
        <v>46049</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31340-2023</t>
        </is>
      </c>
      <c r="B513" s="1" t="n">
        <v>45114.47895833333</v>
      </c>
      <c r="C513" s="1" t="n">
        <v>46049</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29168-2024</t>
        </is>
      </c>
      <c r="B514" s="1" t="n">
        <v>45482.49870370371</v>
      </c>
      <c r="C514" s="1" t="n">
        <v>46049</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29186-2024</t>
        </is>
      </c>
      <c r="B515" s="1" t="n">
        <v>45482.54844907407</v>
      </c>
      <c r="C515" s="1" t="n">
        <v>46049</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35895-2024</t>
        </is>
      </c>
      <c r="B516" s="1" t="n">
        <v>45533.38870370371</v>
      </c>
      <c r="C516" s="1" t="n">
        <v>46049</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12590-2025</t>
        </is>
      </c>
      <c r="B517" s="1" t="n">
        <v>45732.79925925926</v>
      </c>
      <c r="C517" s="1" t="n">
        <v>46049</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30318-2023</t>
        </is>
      </c>
      <c r="B518" s="1" t="n">
        <v>45111.30824074074</v>
      </c>
      <c r="C518" s="1" t="n">
        <v>46049</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52475-2025</t>
        </is>
      </c>
      <c r="B519" s="1" t="n">
        <v>45954.468125</v>
      </c>
      <c r="C519" s="1" t="n">
        <v>46049</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43186-2021</t>
        </is>
      </c>
      <c r="B520" s="1" t="n">
        <v>44431.84840277778</v>
      </c>
      <c r="C520" s="1" t="n">
        <v>46049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60215-2022</t>
        </is>
      </c>
      <c r="B521" s="1" t="n">
        <v>44910.41346064815</v>
      </c>
      <c r="C521" s="1" t="n">
        <v>46049</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60230-2022</t>
        </is>
      </c>
      <c r="B522" s="1" t="n">
        <v>44910</v>
      </c>
      <c r="C522" s="1" t="n">
        <v>46049</v>
      </c>
      <c r="D522" t="inlineStr">
        <is>
          <t>KALMAR LÄN</t>
        </is>
      </c>
      <c r="E522" t="inlineStr">
        <is>
          <t>VIMMERBY</t>
        </is>
      </c>
      <c r="G522" t="n">
        <v>11.3</v>
      </c>
      <c r="H522" t="n">
        <v>0</v>
      </c>
      <c r="I522" t="n">
        <v>0</v>
      </c>
      <c r="J522" t="n">
        <v>0</v>
      </c>
      <c r="K522" t="n">
        <v>0</v>
      </c>
      <c r="L522" t="n">
        <v>0</v>
      </c>
      <c r="M522" t="n">
        <v>0</v>
      </c>
      <c r="N522" t="n">
        <v>0</v>
      </c>
      <c r="O522" t="n">
        <v>0</v>
      </c>
      <c r="P522" t="n">
        <v>0</v>
      </c>
      <c r="Q522" t="n">
        <v>0</v>
      </c>
      <c r="R522" s="2" t="inlineStr"/>
    </row>
    <row r="523" ht="15" customHeight="1">
      <c r="A523" t="inlineStr">
        <is>
          <t>A 53220-2025</t>
        </is>
      </c>
      <c r="B523" s="1" t="n">
        <v>45958.60146990741</v>
      </c>
      <c r="C523" s="1" t="n">
        <v>46049</v>
      </c>
      <c r="D523" t="inlineStr">
        <is>
          <t>KALMAR LÄN</t>
        </is>
      </c>
      <c r="E523" t="inlineStr">
        <is>
          <t>VIMMERBY</t>
        </is>
      </c>
      <c r="G523" t="n">
        <v>2.2</v>
      </c>
      <c r="H523" t="n">
        <v>0</v>
      </c>
      <c r="I523" t="n">
        <v>0</v>
      </c>
      <c r="J523" t="n">
        <v>0</v>
      </c>
      <c r="K523" t="n">
        <v>0</v>
      </c>
      <c r="L523" t="n">
        <v>0</v>
      </c>
      <c r="M523" t="n">
        <v>0</v>
      </c>
      <c r="N523" t="n">
        <v>0</v>
      </c>
      <c r="O523" t="n">
        <v>0</v>
      </c>
      <c r="P523" t="n">
        <v>0</v>
      </c>
      <c r="Q523" t="n">
        <v>0</v>
      </c>
      <c r="R523" s="2" t="inlineStr"/>
    </row>
    <row r="524" ht="15" customHeight="1">
      <c r="A524" t="inlineStr">
        <is>
          <t>A 5925-2022</t>
        </is>
      </c>
      <c r="B524" s="1" t="n">
        <v>44598.7384837963</v>
      </c>
      <c r="C524" s="1" t="n">
        <v>46049</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845-2023</t>
        </is>
      </c>
      <c r="B525" s="1" t="n">
        <v>44931</v>
      </c>
      <c r="C525" s="1" t="n">
        <v>46049</v>
      </c>
      <c r="D525" t="inlineStr">
        <is>
          <t>KALMAR LÄN</t>
        </is>
      </c>
      <c r="E525" t="inlineStr">
        <is>
          <t>VIMMERBY</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52451-2025</t>
        </is>
      </c>
      <c r="B526" s="1" t="n">
        <v>45954.42326388889</v>
      </c>
      <c r="C526" s="1" t="n">
        <v>46049</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53393-2025</t>
        </is>
      </c>
      <c r="B527" s="1" t="n">
        <v>45959.55284722222</v>
      </c>
      <c r="C527" s="1" t="n">
        <v>46049</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53398-2025</t>
        </is>
      </c>
      <c r="B528" s="1" t="n">
        <v>45959.56247685185</v>
      </c>
      <c r="C528" s="1" t="n">
        <v>46049</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16119-2023</t>
        </is>
      </c>
      <c r="B529" s="1" t="n">
        <v>45027.59450231482</v>
      </c>
      <c r="C529" s="1" t="n">
        <v>46049</v>
      </c>
      <c r="D529" t="inlineStr">
        <is>
          <t>KALMAR LÄN</t>
        </is>
      </c>
      <c r="E529" t="inlineStr">
        <is>
          <t>VIMMERBY</t>
        </is>
      </c>
      <c r="F529" t="inlineStr">
        <is>
          <t>Kommuner</t>
        </is>
      </c>
      <c r="G529" t="n">
        <v>4.4</v>
      </c>
      <c r="H529" t="n">
        <v>0</v>
      </c>
      <c r="I529" t="n">
        <v>0</v>
      </c>
      <c r="J529" t="n">
        <v>0</v>
      </c>
      <c r="K529" t="n">
        <v>0</v>
      </c>
      <c r="L529" t="n">
        <v>0</v>
      </c>
      <c r="M529" t="n">
        <v>0</v>
      </c>
      <c r="N529" t="n">
        <v>0</v>
      </c>
      <c r="O529" t="n">
        <v>0</v>
      </c>
      <c r="P529" t="n">
        <v>0</v>
      </c>
      <c r="Q529" t="n">
        <v>0</v>
      </c>
      <c r="R529" s="2" t="inlineStr"/>
    </row>
    <row r="530" ht="15" customHeight="1">
      <c r="A530" t="inlineStr">
        <is>
          <t>A 53397-2025</t>
        </is>
      </c>
      <c r="B530" s="1" t="n">
        <v>45959.55918981481</v>
      </c>
      <c r="C530" s="1" t="n">
        <v>46049</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53416-2025</t>
        </is>
      </c>
      <c r="B531" s="1" t="n">
        <v>45959.58387731481</v>
      </c>
      <c r="C531" s="1" t="n">
        <v>46049</v>
      </c>
      <c r="D531" t="inlineStr">
        <is>
          <t>KALMAR LÄN</t>
        </is>
      </c>
      <c r="E531" t="inlineStr">
        <is>
          <t>VIMMERBY</t>
        </is>
      </c>
      <c r="G531" t="n">
        <v>4.4</v>
      </c>
      <c r="H531" t="n">
        <v>0</v>
      </c>
      <c r="I531" t="n">
        <v>0</v>
      </c>
      <c r="J531" t="n">
        <v>0</v>
      </c>
      <c r="K531" t="n">
        <v>0</v>
      </c>
      <c r="L531" t="n">
        <v>0</v>
      </c>
      <c r="M531" t="n">
        <v>0</v>
      </c>
      <c r="N531" t="n">
        <v>0</v>
      </c>
      <c r="O531" t="n">
        <v>0</v>
      </c>
      <c r="P531" t="n">
        <v>0</v>
      </c>
      <c r="Q531" t="n">
        <v>0</v>
      </c>
      <c r="R531" s="2" t="inlineStr"/>
    </row>
    <row r="532" ht="15" customHeight="1">
      <c r="A532" t="inlineStr">
        <is>
          <t>A 30588-2023</t>
        </is>
      </c>
      <c r="B532" s="1" t="n">
        <v>45112.33599537037</v>
      </c>
      <c r="C532" s="1" t="n">
        <v>46049</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53413-2025</t>
        </is>
      </c>
      <c r="B533" s="1" t="n">
        <v>45959.5787037037</v>
      </c>
      <c r="C533" s="1" t="n">
        <v>46049</v>
      </c>
      <c r="D533" t="inlineStr">
        <is>
          <t>KALMAR LÄN</t>
        </is>
      </c>
      <c r="E533" t="inlineStr">
        <is>
          <t>VIMMERBY</t>
        </is>
      </c>
      <c r="G533" t="n">
        <v>4.3</v>
      </c>
      <c r="H533" t="n">
        <v>0</v>
      </c>
      <c r="I533" t="n">
        <v>0</v>
      </c>
      <c r="J533" t="n">
        <v>0</v>
      </c>
      <c r="K533" t="n">
        <v>0</v>
      </c>
      <c r="L533" t="n">
        <v>0</v>
      </c>
      <c r="M533" t="n">
        <v>0</v>
      </c>
      <c r="N533" t="n">
        <v>0</v>
      </c>
      <c r="O533" t="n">
        <v>0</v>
      </c>
      <c r="P533" t="n">
        <v>0</v>
      </c>
      <c r="Q533" t="n">
        <v>0</v>
      </c>
      <c r="R533" s="2" t="inlineStr"/>
    </row>
    <row r="534" ht="15" customHeight="1">
      <c r="A534" t="inlineStr">
        <is>
          <t>A 45528-2021</t>
        </is>
      </c>
      <c r="B534" s="1" t="n">
        <v>44440.60415509259</v>
      </c>
      <c r="C534" s="1" t="n">
        <v>46049</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53396-2025</t>
        </is>
      </c>
      <c r="B535" s="1" t="n">
        <v>45959.55577546296</v>
      </c>
      <c r="C535" s="1" t="n">
        <v>46049</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53788-2025</t>
        </is>
      </c>
      <c r="B536" s="1" t="n">
        <v>45960</v>
      </c>
      <c r="C536" s="1" t="n">
        <v>46049</v>
      </c>
      <c r="D536" t="inlineStr">
        <is>
          <t>KALMAR LÄN</t>
        </is>
      </c>
      <c r="E536" t="inlineStr">
        <is>
          <t>VIMMERBY</t>
        </is>
      </c>
      <c r="F536" t="inlineStr">
        <is>
          <t>Övriga statliga verk och myndigheter</t>
        </is>
      </c>
      <c r="G536" t="n">
        <v>6.3</v>
      </c>
      <c r="H536" t="n">
        <v>0</v>
      </c>
      <c r="I536" t="n">
        <v>0</v>
      </c>
      <c r="J536" t="n">
        <v>0</v>
      </c>
      <c r="K536" t="n">
        <v>0</v>
      </c>
      <c r="L536" t="n">
        <v>0</v>
      </c>
      <c r="M536" t="n">
        <v>0</v>
      </c>
      <c r="N536" t="n">
        <v>0</v>
      </c>
      <c r="O536" t="n">
        <v>0</v>
      </c>
      <c r="P536" t="n">
        <v>0</v>
      </c>
      <c r="Q536" t="n">
        <v>0</v>
      </c>
      <c r="R536" s="2" t="inlineStr"/>
    </row>
    <row r="537" ht="15" customHeight="1">
      <c r="A537" t="inlineStr">
        <is>
          <t>A 53927-2025</t>
        </is>
      </c>
      <c r="B537" s="1" t="n">
        <v>45961.46740740741</v>
      </c>
      <c r="C537" s="1" t="n">
        <v>46049</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53933-2025</t>
        </is>
      </c>
      <c r="B538" s="1" t="n">
        <v>45961.47650462963</v>
      </c>
      <c r="C538" s="1" t="n">
        <v>46049</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16516-2023</t>
        </is>
      </c>
      <c r="B539" s="1" t="n">
        <v>45029</v>
      </c>
      <c r="C539" s="1" t="n">
        <v>46049</v>
      </c>
      <c r="D539" t="inlineStr">
        <is>
          <t>KALMAR LÄN</t>
        </is>
      </c>
      <c r="E539" t="inlineStr">
        <is>
          <t>VIMMERBY</t>
        </is>
      </c>
      <c r="G539" t="n">
        <v>4.3</v>
      </c>
      <c r="H539" t="n">
        <v>0</v>
      </c>
      <c r="I539" t="n">
        <v>0</v>
      </c>
      <c r="J539" t="n">
        <v>0</v>
      </c>
      <c r="K539" t="n">
        <v>0</v>
      </c>
      <c r="L539" t="n">
        <v>0</v>
      </c>
      <c r="M539" t="n">
        <v>0</v>
      </c>
      <c r="N539" t="n">
        <v>0</v>
      </c>
      <c r="O539" t="n">
        <v>0</v>
      </c>
      <c r="P539" t="n">
        <v>0</v>
      </c>
      <c r="Q539" t="n">
        <v>0</v>
      </c>
      <c r="R539" s="2" t="inlineStr"/>
    </row>
    <row r="540" ht="15" customHeight="1">
      <c r="A540" t="inlineStr">
        <is>
          <t>A 54236-2025</t>
        </is>
      </c>
      <c r="B540" s="1" t="n">
        <v>45964.62671296296</v>
      </c>
      <c r="C540" s="1" t="n">
        <v>46049</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53923-2025</t>
        </is>
      </c>
      <c r="B541" s="1" t="n">
        <v>45961.4569212963</v>
      </c>
      <c r="C541" s="1" t="n">
        <v>46049</v>
      </c>
      <c r="D541" t="inlineStr">
        <is>
          <t>KALMAR LÄN</t>
        </is>
      </c>
      <c r="E541" t="inlineStr">
        <is>
          <t>VIMMERBY</t>
        </is>
      </c>
      <c r="G541" t="n">
        <v>2.4</v>
      </c>
      <c r="H541" t="n">
        <v>0</v>
      </c>
      <c r="I541" t="n">
        <v>0</v>
      </c>
      <c r="J541" t="n">
        <v>0</v>
      </c>
      <c r="K541" t="n">
        <v>0</v>
      </c>
      <c r="L541" t="n">
        <v>0</v>
      </c>
      <c r="M541" t="n">
        <v>0</v>
      </c>
      <c r="N541" t="n">
        <v>0</v>
      </c>
      <c r="O541" t="n">
        <v>0</v>
      </c>
      <c r="P541" t="n">
        <v>0</v>
      </c>
      <c r="Q541" t="n">
        <v>0</v>
      </c>
      <c r="R541" s="2" t="inlineStr"/>
    </row>
    <row r="542" ht="15" customHeight="1">
      <c r="A542" t="inlineStr">
        <is>
          <t>A 53920-2025</t>
        </is>
      </c>
      <c r="B542" s="1" t="n">
        <v>45961.44951388889</v>
      </c>
      <c r="C542" s="1" t="n">
        <v>46049</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54234-2025</t>
        </is>
      </c>
      <c r="B543" s="1" t="n">
        <v>45964.62486111111</v>
      </c>
      <c r="C543" s="1" t="n">
        <v>46049</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53789-2025</t>
        </is>
      </c>
      <c r="B544" s="1" t="n">
        <v>45960</v>
      </c>
      <c r="C544" s="1" t="n">
        <v>46049</v>
      </c>
      <c r="D544" t="inlineStr">
        <is>
          <t>KALMAR LÄN</t>
        </is>
      </c>
      <c r="E544" t="inlineStr">
        <is>
          <t>VIMMERBY</t>
        </is>
      </c>
      <c r="F544" t="inlineStr">
        <is>
          <t>Övriga statliga verk och myndigheter</t>
        </is>
      </c>
      <c r="G544" t="n">
        <v>1.6</v>
      </c>
      <c r="H544" t="n">
        <v>0</v>
      </c>
      <c r="I544" t="n">
        <v>0</v>
      </c>
      <c r="J544" t="n">
        <v>0</v>
      </c>
      <c r="K544" t="n">
        <v>0</v>
      </c>
      <c r="L544" t="n">
        <v>0</v>
      </c>
      <c r="M544" t="n">
        <v>0</v>
      </c>
      <c r="N544" t="n">
        <v>0</v>
      </c>
      <c r="O544" t="n">
        <v>0</v>
      </c>
      <c r="P544" t="n">
        <v>0</v>
      </c>
      <c r="Q544" t="n">
        <v>0</v>
      </c>
      <c r="R544" s="2" t="inlineStr"/>
    </row>
    <row r="545" ht="15" customHeight="1">
      <c r="A545" t="inlineStr">
        <is>
          <t>A 53903-2025</t>
        </is>
      </c>
      <c r="B545" s="1" t="n">
        <v>45961.43738425926</v>
      </c>
      <c r="C545" s="1" t="n">
        <v>46049</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54737-2025</t>
        </is>
      </c>
      <c r="B546" s="1" t="n">
        <v>45966.56826388889</v>
      </c>
      <c r="C546" s="1" t="n">
        <v>46049</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2510-2023</t>
        </is>
      </c>
      <c r="B547" s="1" t="n">
        <v>44943.57309027778</v>
      </c>
      <c r="C547" s="1" t="n">
        <v>46049</v>
      </c>
      <c r="D547" t="inlineStr">
        <is>
          <t>KALMAR LÄN</t>
        </is>
      </c>
      <c r="E547" t="inlineStr">
        <is>
          <t>VIMMERBY</t>
        </is>
      </c>
      <c r="G547" t="n">
        <v>8.6</v>
      </c>
      <c r="H547" t="n">
        <v>0</v>
      </c>
      <c r="I547" t="n">
        <v>0</v>
      </c>
      <c r="J547" t="n">
        <v>0</v>
      </c>
      <c r="K547" t="n">
        <v>0</v>
      </c>
      <c r="L547" t="n">
        <v>0</v>
      </c>
      <c r="M547" t="n">
        <v>0</v>
      </c>
      <c r="N547" t="n">
        <v>0</v>
      </c>
      <c r="O547" t="n">
        <v>0</v>
      </c>
      <c r="P547" t="n">
        <v>0</v>
      </c>
      <c r="Q547" t="n">
        <v>0</v>
      </c>
      <c r="R547" s="2" t="inlineStr"/>
    </row>
    <row r="548" ht="15" customHeight="1">
      <c r="A548" t="inlineStr">
        <is>
          <t>A 48373-2021</t>
        </is>
      </c>
      <c r="B548" s="1" t="n">
        <v>44451</v>
      </c>
      <c r="C548" s="1" t="n">
        <v>46049</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54813-2025</t>
        </is>
      </c>
      <c r="B549" s="1" t="n">
        <v>45966.64881944445</v>
      </c>
      <c r="C549" s="1" t="n">
        <v>46049</v>
      </c>
      <c r="D549" t="inlineStr">
        <is>
          <t>KALMAR LÄN</t>
        </is>
      </c>
      <c r="E549" t="inlineStr">
        <is>
          <t>VIMMERBY</t>
        </is>
      </c>
      <c r="G549" t="n">
        <v>1.7</v>
      </c>
      <c r="H549" t="n">
        <v>0</v>
      </c>
      <c r="I549" t="n">
        <v>0</v>
      </c>
      <c r="J549" t="n">
        <v>0</v>
      </c>
      <c r="K549" t="n">
        <v>0</v>
      </c>
      <c r="L549" t="n">
        <v>0</v>
      </c>
      <c r="M549" t="n">
        <v>0</v>
      </c>
      <c r="N549" t="n">
        <v>0</v>
      </c>
      <c r="O549" t="n">
        <v>0</v>
      </c>
      <c r="P549" t="n">
        <v>0</v>
      </c>
      <c r="Q549" t="n">
        <v>0</v>
      </c>
      <c r="R549" s="2" t="inlineStr"/>
    </row>
    <row r="550" ht="15" customHeight="1">
      <c r="A550" t="inlineStr">
        <is>
          <t>A 7485-2024</t>
        </is>
      </c>
      <c r="B550" s="1" t="n">
        <v>45346.67184027778</v>
      </c>
      <c r="C550" s="1" t="n">
        <v>46049</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6574-2023</t>
        </is>
      </c>
      <c r="B551" s="1" t="n">
        <v>44966</v>
      </c>
      <c r="C551" s="1" t="n">
        <v>46049</v>
      </c>
      <c r="D551" t="inlineStr">
        <is>
          <t>KALMAR LÄN</t>
        </is>
      </c>
      <c r="E551" t="inlineStr">
        <is>
          <t>VIMMERBY</t>
        </is>
      </c>
      <c r="G551" t="n">
        <v>2.5</v>
      </c>
      <c r="H551" t="n">
        <v>0</v>
      </c>
      <c r="I551" t="n">
        <v>0</v>
      </c>
      <c r="J551" t="n">
        <v>0</v>
      </c>
      <c r="K551" t="n">
        <v>0</v>
      </c>
      <c r="L551" t="n">
        <v>0</v>
      </c>
      <c r="M551" t="n">
        <v>0</v>
      </c>
      <c r="N551" t="n">
        <v>0</v>
      </c>
      <c r="O551" t="n">
        <v>0</v>
      </c>
      <c r="P551" t="n">
        <v>0</v>
      </c>
      <c r="Q551" t="n">
        <v>0</v>
      </c>
      <c r="R551" s="2" t="inlineStr"/>
    </row>
    <row r="552" ht="15" customHeight="1">
      <c r="A552" t="inlineStr">
        <is>
          <t>A 20054-2023</t>
        </is>
      </c>
      <c r="B552" s="1" t="n">
        <v>45054.6750462963</v>
      </c>
      <c r="C552" s="1" t="n">
        <v>46049</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58750-2022</t>
        </is>
      </c>
      <c r="B553" s="1" t="n">
        <v>44903.33363425926</v>
      </c>
      <c r="C553" s="1" t="n">
        <v>46049</v>
      </c>
      <c r="D553" t="inlineStr">
        <is>
          <t>KALMAR LÄN</t>
        </is>
      </c>
      <c r="E553" t="inlineStr">
        <is>
          <t>VIMMERBY</t>
        </is>
      </c>
      <c r="G553" t="n">
        <v>3.3</v>
      </c>
      <c r="H553" t="n">
        <v>0</v>
      </c>
      <c r="I553" t="n">
        <v>0</v>
      </c>
      <c r="J553" t="n">
        <v>0</v>
      </c>
      <c r="K553" t="n">
        <v>0</v>
      </c>
      <c r="L553" t="n">
        <v>0</v>
      </c>
      <c r="M553" t="n">
        <v>0</v>
      </c>
      <c r="N553" t="n">
        <v>0</v>
      </c>
      <c r="O553" t="n">
        <v>0</v>
      </c>
      <c r="P553" t="n">
        <v>0</v>
      </c>
      <c r="Q553" t="n">
        <v>0</v>
      </c>
      <c r="R553" s="2" t="inlineStr"/>
    </row>
    <row r="554" ht="15" customHeight="1">
      <c r="A554" t="inlineStr">
        <is>
          <t>A 2260-2022</t>
        </is>
      </c>
      <c r="B554" s="1" t="n">
        <v>44578.62943287037</v>
      </c>
      <c r="C554" s="1" t="n">
        <v>46049</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50860-2022</t>
        </is>
      </c>
      <c r="B555" s="1" t="n">
        <v>44867</v>
      </c>
      <c r="C555" s="1" t="n">
        <v>46049</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53483-2022</t>
        </is>
      </c>
      <c r="B556" s="1" t="n">
        <v>44879.55940972222</v>
      </c>
      <c r="C556" s="1" t="n">
        <v>46049</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58962-2022</t>
        </is>
      </c>
      <c r="B557" s="1" t="n">
        <v>44903</v>
      </c>
      <c r="C557" s="1" t="n">
        <v>46049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58967-2022</t>
        </is>
      </c>
      <c r="B558" s="1" t="n">
        <v>44896</v>
      </c>
      <c r="C558" s="1" t="n">
        <v>46049</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57682-2022</t>
        </is>
      </c>
      <c r="B559" s="1" t="n">
        <v>44890</v>
      </c>
      <c r="C559" s="1" t="n">
        <v>46049</v>
      </c>
      <c r="D559" t="inlineStr">
        <is>
          <t>KALMAR LÄN</t>
        </is>
      </c>
      <c r="E559" t="inlineStr">
        <is>
          <t>VIMMERBY</t>
        </is>
      </c>
      <c r="G559" t="n">
        <v>1.5</v>
      </c>
      <c r="H559" t="n">
        <v>0</v>
      </c>
      <c r="I559" t="n">
        <v>0</v>
      </c>
      <c r="J559" t="n">
        <v>0</v>
      </c>
      <c r="K559" t="n">
        <v>0</v>
      </c>
      <c r="L559" t="n">
        <v>0</v>
      </c>
      <c r="M559" t="n">
        <v>0</v>
      </c>
      <c r="N559" t="n">
        <v>0</v>
      </c>
      <c r="O559" t="n">
        <v>0</v>
      </c>
      <c r="P559" t="n">
        <v>0</v>
      </c>
      <c r="Q559" t="n">
        <v>0</v>
      </c>
      <c r="R559" s="2" t="inlineStr"/>
    </row>
    <row r="560" ht="15" customHeight="1">
      <c r="A560" t="inlineStr">
        <is>
          <t>A 55385-2025</t>
        </is>
      </c>
      <c r="B560" s="1" t="n">
        <v>45971.43350694444</v>
      </c>
      <c r="C560" s="1" t="n">
        <v>46049</v>
      </c>
      <c r="D560" t="inlineStr">
        <is>
          <t>KALMAR LÄN</t>
        </is>
      </c>
      <c r="E560" t="inlineStr">
        <is>
          <t>VIMMERBY</t>
        </is>
      </c>
      <c r="G560" t="n">
        <v>5</v>
      </c>
      <c r="H560" t="n">
        <v>0</v>
      </c>
      <c r="I560" t="n">
        <v>0</v>
      </c>
      <c r="J560" t="n">
        <v>0</v>
      </c>
      <c r="K560" t="n">
        <v>0</v>
      </c>
      <c r="L560" t="n">
        <v>0</v>
      </c>
      <c r="M560" t="n">
        <v>0</v>
      </c>
      <c r="N560" t="n">
        <v>0</v>
      </c>
      <c r="O560" t="n">
        <v>0</v>
      </c>
      <c r="P560" t="n">
        <v>0</v>
      </c>
      <c r="Q560" t="n">
        <v>0</v>
      </c>
      <c r="R560" s="2" t="inlineStr"/>
    </row>
    <row r="561" ht="15" customHeight="1">
      <c r="A561" t="inlineStr">
        <is>
          <t>A 4076-2022</t>
        </is>
      </c>
      <c r="B561" s="1" t="n">
        <v>44588.37998842593</v>
      </c>
      <c r="C561" s="1" t="n">
        <v>46049</v>
      </c>
      <c r="D561" t="inlineStr">
        <is>
          <t>KALMAR LÄN</t>
        </is>
      </c>
      <c r="E561" t="inlineStr">
        <is>
          <t>VIMMERBY</t>
        </is>
      </c>
      <c r="G561" t="n">
        <v>3</v>
      </c>
      <c r="H561" t="n">
        <v>0</v>
      </c>
      <c r="I561" t="n">
        <v>0</v>
      </c>
      <c r="J561" t="n">
        <v>0</v>
      </c>
      <c r="K561" t="n">
        <v>0</v>
      </c>
      <c r="L561" t="n">
        <v>0</v>
      </c>
      <c r="M561" t="n">
        <v>0</v>
      </c>
      <c r="N561" t="n">
        <v>0</v>
      </c>
      <c r="O561" t="n">
        <v>0</v>
      </c>
      <c r="P561" t="n">
        <v>0</v>
      </c>
      <c r="Q561" t="n">
        <v>0</v>
      </c>
      <c r="R561" s="2" t="inlineStr"/>
    </row>
    <row r="562" ht="15" customHeight="1">
      <c r="A562" t="inlineStr">
        <is>
          <t>A 4122-2022</t>
        </is>
      </c>
      <c r="B562" s="1" t="n">
        <v>44588</v>
      </c>
      <c r="C562" s="1" t="n">
        <v>46049</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9624-2024</t>
        </is>
      </c>
      <c r="B563" s="1" t="n">
        <v>45361.90282407407</v>
      </c>
      <c r="C563" s="1" t="n">
        <v>46049</v>
      </c>
      <c r="D563" t="inlineStr">
        <is>
          <t>KALMAR LÄN</t>
        </is>
      </c>
      <c r="E563" t="inlineStr">
        <is>
          <t>VIMMERBY</t>
        </is>
      </c>
      <c r="G563" t="n">
        <v>3.8</v>
      </c>
      <c r="H563" t="n">
        <v>0</v>
      </c>
      <c r="I563" t="n">
        <v>0</v>
      </c>
      <c r="J563" t="n">
        <v>0</v>
      </c>
      <c r="K563" t="n">
        <v>0</v>
      </c>
      <c r="L563" t="n">
        <v>0</v>
      </c>
      <c r="M563" t="n">
        <v>0</v>
      </c>
      <c r="N563" t="n">
        <v>0</v>
      </c>
      <c r="O563" t="n">
        <v>0</v>
      </c>
      <c r="P563" t="n">
        <v>0</v>
      </c>
      <c r="Q563" t="n">
        <v>0</v>
      </c>
      <c r="R563" s="2" t="inlineStr"/>
    </row>
    <row r="564" ht="15" customHeight="1">
      <c r="A564" t="inlineStr">
        <is>
          <t>A 52327-2023</t>
        </is>
      </c>
      <c r="B564" s="1" t="n">
        <v>45224.6515162037</v>
      </c>
      <c r="C564" s="1" t="n">
        <v>46049</v>
      </c>
      <c r="D564" t="inlineStr">
        <is>
          <t>KALMAR LÄN</t>
        </is>
      </c>
      <c r="E564" t="inlineStr">
        <is>
          <t>VIMMERBY</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55602-2025</t>
        </is>
      </c>
      <c r="B565" s="1" t="n">
        <v>45971</v>
      </c>
      <c r="C565" s="1" t="n">
        <v>46049</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63711-2025</t>
        </is>
      </c>
      <c r="B566" s="1" t="n">
        <v>46014.62724537037</v>
      </c>
      <c r="C566" s="1" t="n">
        <v>46049</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29616-2022</t>
        </is>
      </c>
      <c r="B567" s="1" t="n">
        <v>44754</v>
      </c>
      <c r="C567" s="1" t="n">
        <v>46049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29348-2023</t>
        </is>
      </c>
      <c r="B568" s="1" t="n">
        <v>45106.25025462963</v>
      </c>
      <c r="C568" s="1" t="n">
        <v>46049</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28403-2023</t>
        </is>
      </c>
      <c r="B569" s="1" t="n">
        <v>45100.85270833333</v>
      </c>
      <c r="C569" s="1" t="n">
        <v>46049</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55603-2025</t>
        </is>
      </c>
      <c r="B570" s="1" t="n">
        <v>45971</v>
      </c>
      <c r="C570" s="1" t="n">
        <v>46049</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55605-2025</t>
        </is>
      </c>
      <c r="B571" s="1" t="n">
        <v>45971</v>
      </c>
      <c r="C571" s="1" t="n">
        <v>46049</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17511-2024</t>
        </is>
      </c>
      <c r="B572" s="1" t="n">
        <v>45415.57682870371</v>
      </c>
      <c r="C572" s="1" t="n">
        <v>46049</v>
      </c>
      <c r="D572" t="inlineStr">
        <is>
          <t>KALMAR LÄN</t>
        </is>
      </c>
      <c r="E572" t="inlineStr">
        <is>
          <t>VIMMERBY</t>
        </is>
      </c>
      <c r="G572" t="n">
        <v>5.3</v>
      </c>
      <c r="H572" t="n">
        <v>0</v>
      </c>
      <c r="I572" t="n">
        <v>0</v>
      </c>
      <c r="J572" t="n">
        <v>0</v>
      </c>
      <c r="K572" t="n">
        <v>0</v>
      </c>
      <c r="L572" t="n">
        <v>0</v>
      </c>
      <c r="M572" t="n">
        <v>0</v>
      </c>
      <c r="N572" t="n">
        <v>0</v>
      </c>
      <c r="O572" t="n">
        <v>0</v>
      </c>
      <c r="P572" t="n">
        <v>0</v>
      </c>
      <c r="Q572" t="n">
        <v>0</v>
      </c>
      <c r="R572" s="2" t="inlineStr"/>
    </row>
    <row r="573" ht="15" customHeight="1">
      <c r="A573" t="inlineStr">
        <is>
          <t>A 66022-2021</t>
        </is>
      </c>
      <c r="B573" s="1" t="n">
        <v>44517</v>
      </c>
      <c r="C573" s="1" t="n">
        <v>46049</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29973-2023</t>
        </is>
      </c>
      <c r="B574" s="1" t="n">
        <v>45108.703125</v>
      </c>
      <c r="C574" s="1" t="n">
        <v>46049</v>
      </c>
      <c r="D574" t="inlineStr">
        <is>
          <t>KALMAR LÄN</t>
        </is>
      </c>
      <c r="E574" t="inlineStr">
        <is>
          <t>VIMMERBY</t>
        </is>
      </c>
      <c r="G574" t="n">
        <v>4</v>
      </c>
      <c r="H574" t="n">
        <v>0</v>
      </c>
      <c r="I574" t="n">
        <v>0</v>
      </c>
      <c r="J574" t="n">
        <v>0</v>
      </c>
      <c r="K574" t="n">
        <v>0</v>
      </c>
      <c r="L574" t="n">
        <v>0</v>
      </c>
      <c r="M574" t="n">
        <v>0</v>
      </c>
      <c r="N574" t="n">
        <v>0</v>
      </c>
      <c r="O574" t="n">
        <v>0</v>
      </c>
      <c r="P574" t="n">
        <v>0</v>
      </c>
      <c r="Q574" t="n">
        <v>0</v>
      </c>
      <c r="R574" s="2" t="inlineStr"/>
    </row>
    <row r="575" ht="15" customHeight="1">
      <c r="A575" t="inlineStr">
        <is>
          <t>A 30070-2023</t>
        </is>
      </c>
      <c r="B575" s="1" t="n">
        <v>45110.4275</v>
      </c>
      <c r="C575" s="1" t="n">
        <v>46049</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46078-2023</t>
        </is>
      </c>
      <c r="B576" s="1" t="n">
        <v>45196</v>
      </c>
      <c r="C576" s="1" t="n">
        <v>46049</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7643-2022</t>
        </is>
      </c>
      <c r="B577" s="1" t="n">
        <v>44607</v>
      </c>
      <c r="C577" s="1" t="n">
        <v>46049</v>
      </c>
      <c r="D577" t="inlineStr">
        <is>
          <t>KALMAR LÄN</t>
        </is>
      </c>
      <c r="E577" t="inlineStr">
        <is>
          <t>VIMMERBY</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3494-2023</t>
        </is>
      </c>
      <c r="B578" s="1" t="n">
        <v>44949</v>
      </c>
      <c r="C578" s="1" t="n">
        <v>46049</v>
      </c>
      <c r="D578" t="inlineStr">
        <is>
          <t>KALMAR LÄN</t>
        </is>
      </c>
      <c r="E578" t="inlineStr">
        <is>
          <t>VIMMERBY</t>
        </is>
      </c>
      <c r="F578" t="inlineStr">
        <is>
          <t>Kyrkan</t>
        </is>
      </c>
      <c r="G578" t="n">
        <v>0.8</v>
      </c>
      <c r="H578" t="n">
        <v>0</v>
      </c>
      <c r="I578" t="n">
        <v>0</v>
      </c>
      <c r="J578" t="n">
        <v>0</v>
      </c>
      <c r="K578" t="n">
        <v>0</v>
      </c>
      <c r="L578" t="n">
        <v>0</v>
      </c>
      <c r="M578" t="n">
        <v>0</v>
      </c>
      <c r="N578" t="n">
        <v>0</v>
      </c>
      <c r="O578" t="n">
        <v>0</v>
      </c>
      <c r="P578" t="n">
        <v>0</v>
      </c>
      <c r="Q578" t="n">
        <v>0</v>
      </c>
      <c r="R578" s="2" t="inlineStr"/>
    </row>
    <row r="579" ht="15" customHeight="1">
      <c r="A579" t="inlineStr">
        <is>
          <t>A 32633-2023</t>
        </is>
      </c>
      <c r="B579" s="1" t="n">
        <v>45121.58699074074</v>
      </c>
      <c r="C579" s="1" t="n">
        <v>46049</v>
      </c>
      <c r="D579" t="inlineStr">
        <is>
          <t>KALMAR LÄN</t>
        </is>
      </c>
      <c r="E579" t="inlineStr">
        <is>
          <t>VIMMERBY</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43601-2024</t>
        </is>
      </c>
      <c r="B580" s="1" t="n">
        <v>45569.44684027778</v>
      </c>
      <c r="C580" s="1" t="n">
        <v>46049</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63839-2025</t>
        </is>
      </c>
      <c r="B581" s="1" t="n">
        <v>46020.41998842593</v>
      </c>
      <c r="C581" s="1" t="n">
        <v>46049</v>
      </c>
      <c r="D581" t="inlineStr">
        <is>
          <t>KALMAR LÄN</t>
        </is>
      </c>
      <c r="E581" t="inlineStr">
        <is>
          <t>VIMMERBY</t>
        </is>
      </c>
      <c r="G581" t="n">
        <v>2.9</v>
      </c>
      <c r="H581" t="n">
        <v>0</v>
      </c>
      <c r="I581" t="n">
        <v>0</v>
      </c>
      <c r="J581" t="n">
        <v>0</v>
      </c>
      <c r="K581" t="n">
        <v>0</v>
      </c>
      <c r="L581" t="n">
        <v>0</v>
      </c>
      <c r="M581" t="n">
        <v>0</v>
      </c>
      <c r="N581" t="n">
        <v>0</v>
      </c>
      <c r="O581" t="n">
        <v>0</v>
      </c>
      <c r="P581" t="n">
        <v>0</v>
      </c>
      <c r="Q581" t="n">
        <v>0</v>
      </c>
      <c r="R581" s="2" t="inlineStr"/>
    </row>
    <row r="582" ht="15" customHeight="1">
      <c r="A582" t="inlineStr">
        <is>
          <t>A 13813-2024</t>
        </is>
      </c>
      <c r="B582" s="1" t="n">
        <v>45391.41310185185</v>
      </c>
      <c r="C582" s="1" t="n">
        <v>46049</v>
      </c>
      <c r="D582" t="inlineStr">
        <is>
          <t>KALMAR LÄN</t>
        </is>
      </c>
      <c r="E582" t="inlineStr">
        <is>
          <t>VIMMERBY</t>
        </is>
      </c>
      <c r="G582" t="n">
        <v>0.4</v>
      </c>
      <c r="H582" t="n">
        <v>0</v>
      </c>
      <c r="I582" t="n">
        <v>0</v>
      </c>
      <c r="J582" t="n">
        <v>0</v>
      </c>
      <c r="K582" t="n">
        <v>0</v>
      </c>
      <c r="L582" t="n">
        <v>0</v>
      </c>
      <c r="M582" t="n">
        <v>0</v>
      </c>
      <c r="N582" t="n">
        <v>0</v>
      </c>
      <c r="O582" t="n">
        <v>0</v>
      </c>
      <c r="P582" t="n">
        <v>0</v>
      </c>
      <c r="Q582" t="n">
        <v>0</v>
      </c>
      <c r="R582" s="2" t="inlineStr"/>
    </row>
    <row r="583" ht="15" customHeight="1">
      <c r="A583" t="inlineStr">
        <is>
          <t>A 63845-2025</t>
        </is>
      </c>
      <c r="B583" s="1" t="n">
        <v>46020.43715277778</v>
      </c>
      <c r="C583" s="1" t="n">
        <v>46049</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63848-2025</t>
        </is>
      </c>
      <c r="B584" s="1" t="n">
        <v>46020.44902777778</v>
      </c>
      <c r="C584" s="1" t="n">
        <v>46049</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25234-2023</t>
        </is>
      </c>
      <c r="B585" s="1" t="n">
        <v>45086.63194444445</v>
      </c>
      <c r="C585" s="1" t="n">
        <v>46049</v>
      </c>
      <c r="D585" t="inlineStr">
        <is>
          <t>KALMAR LÄN</t>
        </is>
      </c>
      <c r="E585" t="inlineStr">
        <is>
          <t>VIMMERBY</t>
        </is>
      </c>
      <c r="G585" t="n">
        <v>2.1</v>
      </c>
      <c r="H585" t="n">
        <v>0</v>
      </c>
      <c r="I585" t="n">
        <v>0</v>
      </c>
      <c r="J585" t="n">
        <v>0</v>
      </c>
      <c r="K585" t="n">
        <v>0</v>
      </c>
      <c r="L585" t="n">
        <v>0</v>
      </c>
      <c r="M585" t="n">
        <v>0</v>
      </c>
      <c r="N585" t="n">
        <v>0</v>
      </c>
      <c r="O585" t="n">
        <v>0</v>
      </c>
      <c r="P585" t="n">
        <v>0</v>
      </c>
      <c r="Q585" t="n">
        <v>0</v>
      </c>
      <c r="R585" s="2" t="inlineStr"/>
    </row>
    <row r="586" ht="15" customHeight="1">
      <c r="A586" t="inlineStr">
        <is>
          <t>A 25236-2023</t>
        </is>
      </c>
      <c r="B586" s="1" t="n">
        <v>45086.63334490741</v>
      </c>
      <c r="C586" s="1" t="n">
        <v>46049</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25244-2023</t>
        </is>
      </c>
      <c r="B587" s="1" t="n">
        <v>45086</v>
      </c>
      <c r="C587" s="1" t="n">
        <v>46049</v>
      </c>
      <c r="D587" t="inlineStr">
        <is>
          <t>KALMAR LÄN</t>
        </is>
      </c>
      <c r="E587" t="inlineStr">
        <is>
          <t>VIMMERBY</t>
        </is>
      </c>
      <c r="G587" t="n">
        <v>4.7</v>
      </c>
      <c r="H587" t="n">
        <v>0</v>
      </c>
      <c r="I587" t="n">
        <v>0</v>
      </c>
      <c r="J587" t="n">
        <v>0</v>
      </c>
      <c r="K587" t="n">
        <v>0</v>
      </c>
      <c r="L587" t="n">
        <v>0</v>
      </c>
      <c r="M587" t="n">
        <v>0</v>
      </c>
      <c r="N587" t="n">
        <v>0</v>
      </c>
      <c r="O587" t="n">
        <v>0</v>
      </c>
      <c r="P587" t="n">
        <v>0</v>
      </c>
      <c r="Q587" t="n">
        <v>0</v>
      </c>
      <c r="R587" s="2" t="inlineStr"/>
    </row>
    <row r="588" ht="15" customHeight="1">
      <c r="A588" t="inlineStr">
        <is>
          <t>A 63762-2025</t>
        </is>
      </c>
      <c r="B588" s="1" t="n">
        <v>46018.67197916667</v>
      </c>
      <c r="C588" s="1" t="n">
        <v>46049</v>
      </c>
      <c r="D588" t="inlineStr">
        <is>
          <t>KALMAR LÄN</t>
        </is>
      </c>
      <c r="E588" t="inlineStr">
        <is>
          <t>VIMMERBY</t>
        </is>
      </c>
      <c r="G588" t="n">
        <v>2.5</v>
      </c>
      <c r="H588" t="n">
        <v>0</v>
      </c>
      <c r="I588" t="n">
        <v>0</v>
      </c>
      <c r="J588" t="n">
        <v>0</v>
      </c>
      <c r="K588" t="n">
        <v>0</v>
      </c>
      <c r="L588" t="n">
        <v>0</v>
      </c>
      <c r="M588" t="n">
        <v>0</v>
      </c>
      <c r="N588" t="n">
        <v>0</v>
      </c>
      <c r="O588" t="n">
        <v>0</v>
      </c>
      <c r="P588" t="n">
        <v>0</v>
      </c>
      <c r="Q588" t="n">
        <v>0</v>
      </c>
      <c r="R588" s="2" t="inlineStr"/>
    </row>
    <row r="589" ht="15" customHeight="1">
      <c r="A589" t="inlineStr">
        <is>
          <t>A 63758-2025</t>
        </is>
      </c>
      <c r="B589" s="1" t="n">
        <v>46018.46483796297</v>
      </c>
      <c r="C589" s="1" t="n">
        <v>46049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23341-2022</t>
        </is>
      </c>
      <c r="B590" s="1" t="n">
        <v>44720.53898148148</v>
      </c>
      <c r="C590" s="1" t="n">
        <v>46049</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8086-2021</t>
        </is>
      </c>
      <c r="B591" s="1" t="n">
        <v>44243</v>
      </c>
      <c r="C591" s="1" t="n">
        <v>46049</v>
      </c>
      <c r="D591" t="inlineStr">
        <is>
          <t>KALMAR LÄN</t>
        </is>
      </c>
      <c r="E591" t="inlineStr">
        <is>
          <t>VIMMERBY</t>
        </is>
      </c>
      <c r="G591" t="n">
        <v>4.1</v>
      </c>
      <c r="H591" t="n">
        <v>0</v>
      </c>
      <c r="I591" t="n">
        <v>0</v>
      </c>
      <c r="J591" t="n">
        <v>0</v>
      </c>
      <c r="K591" t="n">
        <v>0</v>
      </c>
      <c r="L591" t="n">
        <v>0</v>
      </c>
      <c r="M591" t="n">
        <v>0</v>
      </c>
      <c r="N591" t="n">
        <v>0</v>
      </c>
      <c r="O591" t="n">
        <v>0</v>
      </c>
      <c r="P591" t="n">
        <v>0</v>
      </c>
      <c r="Q591" t="n">
        <v>0</v>
      </c>
      <c r="R591" s="2" t="inlineStr"/>
    </row>
    <row r="592" ht="15" customHeight="1">
      <c r="A592" t="inlineStr">
        <is>
          <t>A 71793-2021</t>
        </is>
      </c>
      <c r="B592" s="1" t="n">
        <v>44539</v>
      </c>
      <c r="C592" s="1" t="n">
        <v>46049</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73938-2021</t>
        </is>
      </c>
      <c r="B593" s="1" t="n">
        <v>44553</v>
      </c>
      <c r="C593" s="1" t="n">
        <v>46049</v>
      </c>
      <c r="D593" t="inlineStr">
        <is>
          <t>KALMAR LÄN</t>
        </is>
      </c>
      <c r="E593" t="inlineStr">
        <is>
          <t>VIMMERBY</t>
        </is>
      </c>
      <c r="G593" t="n">
        <v>3.2</v>
      </c>
      <c r="H593" t="n">
        <v>0</v>
      </c>
      <c r="I593" t="n">
        <v>0</v>
      </c>
      <c r="J593" t="n">
        <v>0</v>
      </c>
      <c r="K593" t="n">
        <v>0</v>
      </c>
      <c r="L593" t="n">
        <v>0</v>
      </c>
      <c r="M593" t="n">
        <v>0</v>
      </c>
      <c r="N593" t="n">
        <v>0</v>
      </c>
      <c r="O593" t="n">
        <v>0</v>
      </c>
      <c r="P593" t="n">
        <v>0</v>
      </c>
      <c r="Q593" t="n">
        <v>0</v>
      </c>
      <c r="R593" s="2" t="inlineStr"/>
    </row>
    <row r="594" ht="15" customHeight="1">
      <c r="A594" t="inlineStr">
        <is>
          <t>A 6069-2023</t>
        </is>
      </c>
      <c r="B594" s="1" t="n">
        <v>44964.5115162037</v>
      </c>
      <c r="C594" s="1" t="n">
        <v>46049</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50995-2022</t>
        </is>
      </c>
      <c r="B595" s="1" t="n">
        <v>44867</v>
      </c>
      <c r="C595" s="1" t="n">
        <v>46049</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27122-2023</t>
        </is>
      </c>
      <c r="B596" s="1" t="n">
        <v>45096.45247685185</v>
      </c>
      <c r="C596" s="1" t="n">
        <v>46049</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30402-2023</t>
        </is>
      </c>
      <c r="B597" s="1" t="n">
        <v>45111.48395833333</v>
      </c>
      <c r="C597" s="1" t="n">
        <v>46049</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57728-2025</t>
        </is>
      </c>
      <c r="B598" s="1" t="n">
        <v>45981</v>
      </c>
      <c r="C598" s="1" t="n">
        <v>46049</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47842-2024</t>
        </is>
      </c>
      <c r="B599" s="1" t="n">
        <v>45588.65545138889</v>
      </c>
      <c r="C599" s="1" t="n">
        <v>46049</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6857-2023</t>
        </is>
      </c>
      <c r="B600" s="1" t="n">
        <v>44967.45122685185</v>
      </c>
      <c r="C600" s="1" t="n">
        <v>46049</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58442-2025</t>
        </is>
      </c>
      <c r="B601" s="1" t="n">
        <v>45985.61635416667</v>
      </c>
      <c r="C601" s="1" t="n">
        <v>46049</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58498-2025</t>
        </is>
      </c>
      <c r="B602" s="1" t="n">
        <v>45985.68671296296</v>
      </c>
      <c r="C602" s="1" t="n">
        <v>46049</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58501-2025</t>
        </is>
      </c>
      <c r="B603" s="1" t="n">
        <v>45985.69153935185</v>
      </c>
      <c r="C603" s="1" t="n">
        <v>46049</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58514-2025</t>
        </is>
      </c>
      <c r="B604" s="1" t="n">
        <v>45985.70513888889</v>
      </c>
      <c r="C604" s="1" t="n">
        <v>46049</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46224-2024</t>
        </is>
      </c>
      <c r="B605" s="1" t="n">
        <v>45581.57016203704</v>
      </c>
      <c r="C605" s="1" t="n">
        <v>46049</v>
      </c>
      <c r="D605" t="inlineStr">
        <is>
          <t>KALMAR LÄN</t>
        </is>
      </c>
      <c r="E605" t="inlineStr">
        <is>
          <t>VIMMERBY</t>
        </is>
      </c>
      <c r="G605" t="n">
        <v>3.1</v>
      </c>
      <c r="H605" t="n">
        <v>0</v>
      </c>
      <c r="I605" t="n">
        <v>0</v>
      </c>
      <c r="J605" t="n">
        <v>0</v>
      </c>
      <c r="K605" t="n">
        <v>0</v>
      </c>
      <c r="L605" t="n">
        <v>0</v>
      </c>
      <c r="M605" t="n">
        <v>0</v>
      </c>
      <c r="N605" t="n">
        <v>0</v>
      </c>
      <c r="O605" t="n">
        <v>0</v>
      </c>
      <c r="P605" t="n">
        <v>0</v>
      </c>
      <c r="Q605" t="n">
        <v>0</v>
      </c>
      <c r="R605" s="2" t="inlineStr"/>
    </row>
    <row r="606" ht="15" customHeight="1">
      <c r="A606" t="inlineStr">
        <is>
          <t>A 409-2026</t>
        </is>
      </c>
      <c r="B606" s="1" t="n">
        <v>46028.69432870371</v>
      </c>
      <c r="C606" s="1" t="n">
        <v>46049</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29013-2024</t>
        </is>
      </c>
      <c r="B607" s="1" t="n">
        <v>45481.55984953704</v>
      </c>
      <c r="C607" s="1" t="n">
        <v>46049</v>
      </c>
      <c r="D607" t="inlineStr">
        <is>
          <t>KALMAR LÄN</t>
        </is>
      </c>
      <c r="E607" t="inlineStr">
        <is>
          <t>VIMMERBY</t>
        </is>
      </c>
      <c r="G607" t="n">
        <v>3.4</v>
      </c>
      <c r="H607" t="n">
        <v>0</v>
      </c>
      <c r="I607" t="n">
        <v>0</v>
      </c>
      <c r="J607" t="n">
        <v>0</v>
      </c>
      <c r="K607" t="n">
        <v>0</v>
      </c>
      <c r="L607" t="n">
        <v>0</v>
      </c>
      <c r="M607" t="n">
        <v>0</v>
      </c>
      <c r="N607" t="n">
        <v>0</v>
      </c>
      <c r="O607" t="n">
        <v>0</v>
      </c>
      <c r="P607" t="n">
        <v>0</v>
      </c>
      <c r="Q607" t="n">
        <v>0</v>
      </c>
      <c r="R607" s="2" t="inlineStr"/>
    </row>
    <row r="608" ht="15" customHeight="1">
      <c r="A608" t="inlineStr">
        <is>
          <t>A 37028-2024</t>
        </is>
      </c>
      <c r="B608" s="1" t="n">
        <v>45539.38744212963</v>
      </c>
      <c r="C608" s="1" t="n">
        <v>46049</v>
      </c>
      <c r="D608" t="inlineStr">
        <is>
          <t>KALMAR LÄN</t>
        </is>
      </c>
      <c r="E608" t="inlineStr">
        <is>
          <t>VIMMERBY</t>
        </is>
      </c>
      <c r="G608" t="n">
        <v>5.2</v>
      </c>
      <c r="H608" t="n">
        <v>0</v>
      </c>
      <c r="I608" t="n">
        <v>0</v>
      </c>
      <c r="J608" t="n">
        <v>0</v>
      </c>
      <c r="K608" t="n">
        <v>0</v>
      </c>
      <c r="L608" t="n">
        <v>0</v>
      </c>
      <c r="M608" t="n">
        <v>0</v>
      </c>
      <c r="N608" t="n">
        <v>0</v>
      </c>
      <c r="O608" t="n">
        <v>0</v>
      </c>
      <c r="P608" t="n">
        <v>0</v>
      </c>
      <c r="Q608" t="n">
        <v>0</v>
      </c>
      <c r="R608" s="2" t="inlineStr"/>
    </row>
    <row r="609" ht="15" customHeight="1">
      <c r="A609" t="inlineStr">
        <is>
          <t>A 58503-2025</t>
        </is>
      </c>
      <c r="B609" s="1" t="n">
        <v>45985.69509259259</v>
      </c>
      <c r="C609" s="1" t="n">
        <v>46049</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46049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58500-2025</t>
        </is>
      </c>
      <c r="B611" s="1" t="n">
        <v>45985.69008101852</v>
      </c>
      <c r="C611" s="1" t="n">
        <v>46049</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406-2026</t>
        </is>
      </c>
      <c r="B612" s="1" t="n">
        <v>46028.68663194445</v>
      </c>
      <c r="C612" s="1" t="n">
        <v>46049</v>
      </c>
      <c r="D612" t="inlineStr">
        <is>
          <t>KALMAR LÄN</t>
        </is>
      </c>
      <c r="E612" t="inlineStr">
        <is>
          <t>VIMMERBY</t>
        </is>
      </c>
      <c r="G612" t="n">
        <v>1.8</v>
      </c>
      <c r="H612" t="n">
        <v>0</v>
      </c>
      <c r="I612" t="n">
        <v>0</v>
      </c>
      <c r="J612" t="n">
        <v>0</v>
      </c>
      <c r="K612" t="n">
        <v>0</v>
      </c>
      <c r="L612" t="n">
        <v>0</v>
      </c>
      <c r="M612" t="n">
        <v>0</v>
      </c>
      <c r="N612" t="n">
        <v>0</v>
      </c>
      <c r="O612" t="n">
        <v>0</v>
      </c>
      <c r="P612" t="n">
        <v>0</v>
      </c>
      <c r="Q612" t="n">
        <v>0</v>
      </c>
      <c r="R612" s="2" t="inlineStr"/>
    </row>
    <row r="613" ht="15" customHeight="1">
      <c r="A613" t="inlineStr">
        <is>
          <t>A 37187-2024</t>
        </is>
      </c>
      <c r="B613" s="1" t="n">
        <v>45539.65212962963</v>
      </c>
      <c r="C613" s="1" t="n">
        <v>46049</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58435-2025</t>
        </is>
      </c>
      <c r="B614" s="1" t="n">
        <v>45985.61501157407</v>
      </c>
      <c r="C614" s="1" t="n">
        <v>46049</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12630-2023</t>
        </is>
      </c>
      <c r="B615" s="1" t="n">
        <v>45000.47998842593</v>
      </c>
      <c r="C615" s="1" t="n">
        <v>46049</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59037-2025</t>
        </is>
      </c>
      <c r="B616" s="1" t="n">
        <v>45988.36508101852</v>
      </c>
      <c r="C616" s="1" t="n">
        <v>46049</v>
      </c>
      <c r="D616" t="inlineStr">
        <is>
          <t>KALMAR LÄN</t>
        </is>
      </c>
      <c r="E616" t="inlineStr">
        <is>
          <t>VIMMERBY</t>
        </is>
      </c>
      <c r="F616" t="inlineStr">
        <is>
          <t>Sveaskog</t>
        </is>
      </c>
      <c r="G616" t="n">
        <v>4</v>
      </c>
      <c r="H616" t="n">
        <v>0</v>
      </c>
      <c r="I616" t="n">
        <v>0</v>
      </c>
      <c r="J616" t="n">
        <v>0</v>
      </c>
      <c r="K616" t="n">
        <v>0</v>
      </c>
      <c r="L616" t="n">
        <v>0</v>
      </c>
      <c r="M616" t="n">
        <v>0</v>
      </c>
      <c r="N616" t="n">
        <v>0</v>
      </c>
      <c r="O616" t="n">
        <v>0</v>
      </c>
      <c r="P616" t="n">
        <v>0</v>
      </c>
      <c r="Q616" t="n">
        <v>0</v>
      </c>
      <c r="R616" s="2" t="inlineStr"/>
    </row>
    <row r="617" ht="15" customHeight="1">
      <c r="A617" t="inlineStr">
        <is>
          <t>A 39584-2024</t>
        </is>
      </c>
      <c r="B617" s="1" t="n">
        <v>45552.36759259259</v>
      </c>
      <c r="C617" s="1" t="n">
        <v>46049</v>
      </c>
      <c r="D617" t="inlineStr">
        <is>
          <t>KALMAR LÄN</t>
        </is>
      </c>
      <c r="E617" t="inlineStr">
        <is>
          <t>VIMMERBY</t>
        </is>
      </c>
      <c r="G617" t="n">
        <v>1.9</v>
      </c>
      <c r="H617" t="n">
        <v>0</v>
      </c>
      <c r="I617" t="n">
        <v>0</v>
      </c>
      <c r="J617" t="n">
        <v>0</v>
      </c>
      <c r="K617" t="n">
        <v>0</v>
      </c>
      <c r="L617" t="n">
        <v>0</v>
      </c>
      <c r="M617" t="n">
        <v>0</v>
      </c>
      <c r="N617" t="n">
        <v>0</v>
      </c>
      <c r="O617" t="n">
        <v>0</v>
      </c>
      <c r="P617" t="n">
        <v>0</v>
      </c>
      <c r="Q617" t="n">
        <v>0</v>
      </c>
      <c r="R617" s="2" t="inlineStr"/>
    </row>
    <row r="618" ht="15" customHeight="1">
      <c r="A618" t="inlineStr">
        <is>
          <t>A 59034-2025</t>
        </is>
      </c>
      <c r="B618" s="1" t="n">
        <v>45988.36243055556</v>
      </c>
      <c r="C618" s="1" t="n">
        <v>46049</v>
      </c>
      <c r="D618" t="inlineStr">
        <is>
          <t>KALMAR LÄN</t>
        </is>
      </c>
      <c r="E618" t="inlineStr">
        <is>
          <t>VIMMERBY</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59068-2025</t>
        </is>
      </c>
      <c r="B619" s="1" t="n">
        <v>45988.41725694444</v>
      </c>
      <c r="C619" s="1" t="n">
        <v>46049</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27705-2023</t>
        </is>
      </c>
      <c r="B620" s="1" t="n">
        <v>45098.30535879629</v>
      </c>
      <c r="C620" s="1" t="n">
        <v>46049</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58858-2025</t>
        </is>
      </c>
      <c r="B621" s="1" t="n">
        <v>45987.4243287037</v>
      </c>
      <c r="C621" s="1" t="n">
        <v>46049</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59039-2025</t>
        </is>
      </c>
      <c r="B622" s="1" t="n">
        <v>45988.36790509259</v>
      </c>
      <c r="C622" s="1" t="n">
        <v>46049</v>
      </c>
      <c r="D622" t="inlineStr">
        <is>
          <t>KALMAR LÄN</t>
        </is>
      </c>
      <c r="E622" t="inlineStr">
        <is>
          <t>VIMMERBY</t>
        </is>
      </c>
      <c r="F622" t="inlineStr">
        <is>
          <t>Sveaskog</t>
        </is>
      </c>
      <c r="G622" t="n">
        <v>3.2</v>
      </c>
      <c r="H622" t="n">
        <v>0</v>
      </c>
      <c r="I622" t="n">
        <v>0</v>
      </c>
      <c r="J622" t="n">
        <v>0</v>
      </c>
      <c r="K622" t="n">
        <v>0</v>
      </c>
      <c r="L622" t="n">
        <v>0</v>
      </c>
      <c r="M622" t="n">
        <v>0</v>
      </c>
      <c r="N622" t="n">
        <v>0</v>
      </c>
      <c r="O622" t="n">
        <v>0</v>
      </c>
      <c r="P622" t="n">
        <v>0</v>
      </c>
      <c r="Q622" t="n">
        <v>0</v>
      </c>
      <c r="R622" s="2" t="inlineStr"/>
    </row>
    <row r="623" ht="15" customHeight="1">
      <c r="A623" t="inlineStr">
        <is>
          <t>A 61937-2025</t>
        </is>
      </c>
      <c r="B623" s="1" t="n">
        <v>46003</v>
      </c>
      <c r="C623" s="1" t="n">
        <v>46049</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31013-2023</t>
        </is>
      </c>
      <c r="B624" s="1" t="n">
        <v>45113.56574074074</v>
      </c>
      <c r="C624" s="1" t="n">
        <v>46049</v>
      </c>
      <c r="D624" t="inlineStr">
        <is>
          <t>KALMAR LÄN</t>
        </is>
      </c>
      <c r="E624" t="inlineStr">
        <is>
          <t>VIMMERBY</t>
        </is>
      </c>
      <c r="G624" t="n">
        <v>1</v>
      </c>
      <c r="H624" t="n">
        <v>0</v>
      </c>
      <c r="I624" t="n">
        <v>0</v>
      </c>
      <c r="J624" t="n">
        <v>0</v>
      </c>
      <c r="K624" t="n">
        <v>0</v>
      </c>
      <c r="L624" t="n">
        <v>0</v>
      </c>
      <c r="M624" t="n">
        <v>0</v>
      </c>
      <c r="N624" t="n">
        <v>0</v>
      </c>
      <c r="O624" t="n">
        <v>0</v>
      </c>
      <c r="P624" t="n">
        <v>0</v>
      </c>
      <c r="Q624" t="n">
        <v>0</v>
      </c>
      <c r="R624" s="2" t="inlineStr"/>
    </row>
    <row r="625" ht="15" customHeight="1">
      <c r="A625" t="inlineStr">
        <is>
          <t>A 15388-2025</t>
        </is>
      </c>
      <c r="B625" s="1" t="n">
        <v>45747.42633101852</v>
      </c>
      <c r="C625" s="1" t="n">
        <v>46049</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15391-2025</t>
        </is>
      </c>
      <c r="B626" s="1" t="n">
        <v>45747.42958333333</v>
      </c>
      <c r="C626" s="1" t="n">
        <v>46049</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11303-2025</t>
        </is>
      </c>
      <c r="B627" s="1" t="n">
        <v>45726.44471064815</v>
      </c>
      <c r="C627" s="1" t="n">
        <v>46049</v>
      </c>
      <c r="D627" t="inlineStr">
        <is>
          <t>KALMAR LÄN</t>
        </is>
      </c>
      <c r="E627" t="inlineStr">
        <is>
          <t>VIMMERBY</t>
        </is>
      </c>
      <c r="G627" t="n">
        <v>2.1</v>
      </c>
      <c r="H627" t="n">
        <v>0</v>
      </c>
      <c r="I627" t="n">
        <v>0</v>
      </c>
      <c r="J627" t="n">
        <v>0</v>
      </c>
      <c r="K627" t="n">
        <v>0</v>
      </c>
      <c r="L627" t="n">
        <v>0</v>
      </c>
      <c r="M627" t="n">
        <v>0</v>
      </c>
      <c r="N627" t="n">
        <v>0</v>
      </c>
      <c r="O627" t="n">
        <v>0</v>
      </c>
      <c r="P627" t="n">
        <v>0</v>
      </c>
      <c r="Q627" t="n">
        <v>0</v>
      </c>
      <c r="R627" s="2" t="inlineStr"/>
    </row>
    <row r="628" ht="15" customHeight="1">
      <c r="A628" t="inlineStr">
        <is>
          <t>A 58841-2025</t>
        </is>
      </c>
      <c r="B628" s="1" t="n">
        <v>45987.36275462963</v>
      </c>
      <c r="C628" s="1" t="n">
        <v>46049</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842-2026</t>
        </is>
      </c>
      <c r="B629" s="1" t="n">
        <v>46030.380625</v>
      </c>
      <c r="C629" s="1" t="n">
        <v>46049</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33352-2022</t>
        </is>
      </c>
      <c r="B630" s="1" t="n">
        <v>44788</v>
      </c>
      <c r="C630" s="1" t="n">
        <v>46049</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46234-2024</t>
        </is>
      </c>
      <c r="B631" s="1" t="n">
        <v>45581.57958333333</v>
      </c>
      <c r="C631" s="1" t="n">
        <v>46049</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39053-2024</t>
        </is>
      </c>
      <c r="B632" s="1" t="n">
        <v>45548</v>
      </c>
      <c r="C632" s="1" t="n">
        <v>46049</v>
      </c>
      <c r="D632" t="inlineStr">
        <is>
          <t>KALMAR LÄN</t>
        </is>
      </c>
      <c r="E632" t="inlineStr">
        <is>
          <t>VIMMERBY</t>
        </is>
      </c>
      <c r="G632" t="n">
        <v>5</v>
      </c>
      <c r="H632" t="n">
        <v>0</v>
      </c>
      <c r="I632" t="n">
        <v>0</v>
      </c>
      <c r="J632" t="n">
        <v>0</v>
      </c>
      <c r="K632" t="n">
        <v>0</v>
      </c>
      <c r="L632" t="n">
        <v>0</v>
      </c>
      <c r="M632" t="n">
        <v>0</v>
      </c>
      <c r="N632" t="n">
        <v>0</v>
      </c>
      <c r="O632" t="n">
        <v>0</v>
      </c>
      <c r="P632" t="n">
        <v>0</v>
      </c>
      <c r="Q632" t="n">
        <v>0</v>
      </c>
      <c r="R632" s="2" t="inlineStr"/>
    </row>
    <row r="633" ht="15" customHeight="1">
      <c r="A633" t="inlineStr">
        <is>
          <t>A 579-2026</t>
        </is>
      </c>
      <c r="B633" s="1" t="n">
        <v>46029.47912037037</v>
      </c>
      <c r="C633" s="1" t="n">
        <v>46049</v>
      </c>
      <c r="D633" t="inlineStr">
        <is>
          <t>KALMAR LÄN</t>
        </is>
      </c>
      <c r="E633" t="inlineStr">
        <is>
          <t>VIMMERBY</t>
        </is>
      </c>
      <c r="G633" t="n">
        <v>3</v>
      </c>
      <c r="H633" t="n">
        <v>0</v>
      </c>
      <c r="I633" t="n">
        <v>0</v>
      </c>
      <c r="J633" t="n">
        <v>0</v>
      </c>
      <c r="K633" t="n">
        <v>0</v>
      </c>
      <c r="L633" t="n">
        <v>0</v>
      </c>
      <c r="M633" t="n">
        <v>0</v>
      </c>
      <c r="N633" t="n">
        <v>0</v>
      </c>
      <c r="O633" t="n">
        <v>0</v>
      </c>
      <c r="P633" t="n">
        <v>0</v>
      </c>
      <c r="Q633" t="n">
        <v>0</v>
      </c>
      <c r="R633" s="2" t="inlineStr"/>
    </row>
    <row r="634" ht="15" customHeight="1">
      <c r="A634" t="inlineStr">
        <is>
          <t>A 15449-2023</t>
        </is>
      </c>
      <c r="B634" s="1" t="n">
        <v>45020</v>
      </c>
      <c r="C634" s="1" t="n">
        <v>46049</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43594-2024</t>
        </is>
      </c>
      <c r="B635" s="1" t="n">
        <v>45569.44295138889</v>
      </c>
      <c r="C635" s="1" t="n">
        <v>46049</v>
      </c>
      <c r="D635" t="inlineStr">
        <is>
          <t>KALMAR LÄN</t>
        </is>
      </c>
      <c r="E635" t="inlineStr">
        <is>
          <t>VIMMERBY</t>
        </is>
      </c>
      <c r="G635" t="n">
        <v>3.9</v>
      </c>
      <c r="H635" t="n">
        <v>0</v>
      </c>
      <c r="I635" t="n">
        <v>0</v>
      </c>
      <c r="J635" t="n">
        <v>0</v>
      </c>
      <c r="K635" t="n">
        <v>0</v>
      </c>
      <c r="L635" t="n">
        <v>0</v>
      </c>
      <c r="M635" t="n">
        <v>0</v>
      </c>
      <c r="N635" t="n">
        <v>0</v>
      </c>
      <c r="O635" t="n">
        <v>0</v>
      </c>
      <c r="P635" t="n">
        <v>0</v>
      </c>
      <c r="Q635" t="n">
        <v>0</v>
      </c>
      <c r="R635" s="2" t="inlineStr"/>
    </row>
    <row r="636" ht="15" customHeight="1">
      <c r="A636" t="inlineStr">
        <is>
          <t>A 17486-2024</t>
        </is>
      </c>
      <c r="B636" s="1" t="n">
        <v>45415.48979166667</v>
      </c>
      <c r="C636" s="1" t="n">
        <v>46049</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14248-2023</t>
        </is>
      </c>
      <c r="B637" s="1" t="n">
        <v>45009</v>
      </c>
      <c r="C637" s="1" t="n">
        <v>46049</v>
      </c>
      <c r="D637" t="inlineStr">
        <is>
          <t>KALMAR LÄN</t>
        </is>
      </c>
      <c r="E637" t="inlineStr">
        <is>
          <t>VIMMERBY</t>
        </is>
      </c>
      <c r="G637" t="n">
        <v>2.6</v>
      </c>
      <c r="H637" t="n">
        <v>0</v>
      </c>
      <c r="I637" t="n">
        <v>0</v>
      </c>
      <c r="J637" t="n">
        <v>0</v>
      </c>
      <c r="K637" t="n">
        <v>0</v>
      </c>
      <c r="L637" t="n">
        <v>0</v>
      </c>
      <c r="M637" t="n">
        <v>0</v>
      </c>
      <c r="N637" t="n">
        <v>0</v>
      </c>
      <c r="O637" t="n">
        <v>0</v>
      </c>
      <c r="P637" t="n">
        <v>0</v>
      </c>
      <c r="Q637" t="n">
        <v>0</v>
      </c>
      <c r="R637" s="2" t="inlineStr"/>
    </row>
    <row r="638" ht="15" customHeight="1">
      <c r="A638" t="inlineStr">
        <is>
          <t>A 1748-2026</t>
        </is>
      </c>
      <c r="B638" s="1" t="n">
        <v>46034.65589120371</v>
      </c>
      <c r="C638" s="1" t="n">
        <v>46049</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1069-2026</t>
        </is>
      </c>
      <c r="B639" s="1" t="n">
        <v>46030</v>
      </c>
      <c r="C639" s="1" t="n">
        <v>46049</v>
      </c>
      <c r="D639" t="inlineStr">
        <is>
          <t>KALMAR LÄN</t>
        </is>
      </c>
      <c r="E639" t="inlineStr">
        <is>
          <t>VIMMERBY</t>
        </is>
      </c>
      <c r="G639" t="n">
        <v>3.3</v>
      </c>
      <c r="H639" t="n">
        <v>0</v>
      </c>
      <c r="I639" t="n">
        <v>0</v>
      </c>
      <c r="J639" t="n">
        <v>0</v>
      </c>
      <c r="K639" t="n">
        <v>0</v>
      </c>
      <c r="L639" t="n">
        <v>0</v>
      </c>
      <c r="M639" t="n">
        <v>0</v>
      </c>
      <c r="N639" t="n">
        <v>0</v>
      </c>
      <c r="O639" t="n">
        <v>0</v>
      </c>
      <c r="P639" t="n">
        <v>0</v>
      </c>
      <c r="Q639" t="n">
        <v>0</v>
      </c>
      <c r="R639" s="2" t="inlineStr"/>
    </row>
    <row r="640" ht="15" customHeight="1">
      <c r="A640" t="inlineStr">
        <is>
          <t>A 1734-2026</t>
        </is>
      </c>
      <c r="B640" s="1" t="n">
        <v>46034</v>
      </c>
      <c r="C640" s="1" t="n">
        <v>46049</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30400-2023</t>
        </is>
      </c>
      <c r="B641" s="1" t="n">
        <v>45111.48225694444</v>
      </c>
      <c r="C641" s="1" t="n">
        <v>46049</v>
      </c>
      <c r="D641" t="inlineStr">
        <is>
          <t>KALMAR LÄN</t>
        </is>
      </c>
      <c r="E641" t="inlineStr">
        <is>
          <t>VIMMERBY</t>
        </is>
      </c>
      <c r="G641" t="n">
        <v>2.7</v>
      </c>
      <c r="H641" t="n">
        <v>0</v>
      </c>
      <c r="I641" t="n">
        <v>0</v>
      </c>
      <c r="J641" t="n">
        <v>0</v>
      </c>
      <c r="K641" t="n">
        <v>0</v>
      </c>
      <c r="L641" t="n">
        <v>0</v>
      </c>
      <c r="M641" t="n">
        <v>0</v>
      </c>
      <c r="N641" t="n">
        <v>0</v>
      </c>
      <c r="O641" t="n">
        <v>0</v>
      </c>
      <c r="P641" t="n">
        <v>0</v>
      </c>
      <c r="Q641" t="n">
        <v>0</v>
      </c>
      <c r="R641" s="2" t="inlineStr"/>
    </row>
    <row r="642" ht="15" customHeight="1">
      <c r="A642" t="inlineStr">
        <is>
          <t>A 30404-2023</t>
        </is>
      </c>
      <c r="B642" s="1" t="n">
        <v>45111.48636574074</v>
      </c>
      <c r="C642" s="1" t="n">
        <v>46049</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55123-2024</t>
        </is>
      </c>
      <c r="B643" s="1" t="n">
        <v>45621.46103009259</v>
      </c>
      <c r="C643" s="1" t="n">
        <v>46049</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31405-2023</t>
        </is>
      </c>
      <c r="B644" s="1" t="n">
        <v>45114.58148148148</v>
      </c>
      <c r="C644" s="1" t="n">
        <v>46049</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24707-2024</t>
        </is>
      </c>
      <c r="B645" s="1" t="n">
        <v>45460.62172453704</v>
      </c>
      <c r="C645" s="1" t="n">
        <v>46049</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36049-2024</t>
        </is>
      </c>
      <c r="B646" s="1" t="n">
        <v>45533.61996527778</v>
      </c>
      <c r="C646" s="1" t="n">
        <v>46049</v>
      </c>
      <c r="D646" t="inlineStr">
        <is>
          <t>KALMAR LÄN</t>
        </is>
      </c>
      <c r="E646" t="inlineStr">
        <is>
          <t>VIMMERBY</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59579-2025</t>
        </is>
      </c>
      <c r="B647" s="1" t="n">
        <v>45992.30569444445</v>
      </c>
      <c r="C647" s="1" t="n">
        <v>46049</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60180-2025</t>
        </is>
      </c>
      <c r="B648" s="1" t="n">
        <v>45994.46428240741</v>
      </c>
      <c r="C648" s="1" t="n">
        <v>46049</v>
      </c>
      <c r="D648" t="inlineStr">
        <is>
          <t>KALMAR LÄN</t>
        </is>
      </c>
      <c r="E648" t="inlineStr">
        <is>
          <t>VIMMERBY</t>
        </is>
      </c>
      <c r="G648" t="n">
        <v>6.8</v>
      </c>
      <c r="H648" t="n">
        <v>0</v>
      </c>
      <c r="I648" t="n">
        <v>0</v>
      </c>
      <c r="J648" t="n">
        <v>0</v>
      </c>
      <c r="K648" t="n">
        <v>0</v>
      </c>
      <c r="L648" t="n">
        <v>0</v>
      </c>
      <c r="M648" t="n">
        <v>0</v>
      </c>
      <c r="N648" t="n">
        <v>0</v>
      </c>
      <c r="O648" t="n">
        <v>0</v>
      </c>
      <c r="P648" t="n">
        <v>0</v>
      </c>
      <c r="Q648" t="n">
        <v>0</v>
      </c>
      <c r="R648" s="2" t="inlineStr"/>
    </row>
    <row r="649" ht="15" customHeight="1">
      <c r="A649" t="inlineStr">
        <is>
          <t>A 58159-2024</t>
        </is>
      </c>
      <c r="B649" s="1" t="n">
        <v>45632.44886574074</v>
      </c>
      <c r="C649" s="1" t="n">
        <v>46049</v>
      </c>
      <c r="D649" t="inlineStr">
        <is>
          <t>KALMAR LÄN</t>
        </is>
      </c>
      <c r="E649" t="inlineStr">
        <is>
          <t>VIMMERBY</t>
        </is>
      </c>
      <c r="G649" t="n">
        <v>7.5</v>
      </c>
      <c r="H649" t="n">
        <v>0</v>
      </c>
      <c r="I649" t="n">
        <v>0</v>
      </c>
      <c r="J649" t="n">
        <v>0</v>
      </c>
      <c r="K649" t="n">
        <v>0</v>
      </c>
      <c r="L649" t="n">
        <v>0</v>
      </c>
      <c r="M649" t="n">
        <v>0</v>
      </c>
      <c r="N649" t="n">
        <v>0</v>
      </c>
      <c r="O649" t="n">
        <v>0</v>
      </c>
      <c r="P649" t="n">
        <v>0</v>
      </c>
      <c r="Q649" t="n">
        <v>0</v>
      </c>
      <c r="R649" s="2" t="inlineStr"/>
    </row>
    <row r="650" ht="15" customHeight="1">
      <c r="A650" t="inlineStr">
        <is>
          <t>A 14359-2025</t>
        </is>
      </c>
      <c r="B650" s="1" t="n">
        <v>45741.37270833334</v>
      </c>
      <c r="C650" s="1" t="n">
        <v>46049</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1862-2026</t>
        </is>
      </c>
      <c r="B651" s="1" t="n">
        <v>46035.44689814815</v>
      </c>
      <c r="C651" s="1" t="n">
        <v>46049</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1743-2026</t>
        </is>
      </c>
      <c r="B652" s="1" t="n">
        <v>46034</v>
      </c>
      <c r="C652" s="1" t="n">
        <v>46049</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39578-2024</t>
        </is>
      </c>
      <c r="B653" s="1" t="n">
        <v>45552.36484953704</v>
      </c>
      <c r="C653" s="1" t="n">
        <v>46049</v>
      </c>
      <c r="D653" t="inlineStr">
        <is>
          <t>KALMAR LÄN</t>
        </is>
      </c>
      <c r="E653" t="inlineStr">
        <is>
          <t>VIMMERBY</t>
        </is>
      </c>
      <c r="G653" t="n">
        <v>1.5</v>
      </c>
      <c r="H653" t="n">
        <v>0</v>
      </c>
      <c r="I653" t="n">
        <v>0</v>
      </c>
      <c r="J653" t="n">
        <v>0</v>
      </c>
      <c r="K653" t="n">
        <v>0</v>
      </c>
      <c r="L653" t="n">
        <v>0</v>
      </c>
      <c r="M653" t="n">
        <v>0</v>
      </c>
      <c r="N653" t="n">
        <v>0</v>
      </c>
      <c r="O653" t="n">
        <v>0</v>
      </c>
      <c r="P653" t="n">
        <v>0</v>
      </c>
      <c r="Q653" t="n">
        <v>0</v>
      </c>
      <c r="R653" s="2" t="inlineStr"/>
    </row>
    <row r="654" ht="15" customHeight="1">
      <c r="A654" t="inlineStr">
        <is>
          <t>A 60297-2025</t>
        </is>
      </c>
      <c r="B654" s="1" t="n">
        <v>45994</v>
      </c>
      <c r="C654" s="1" t="n">
        <v>46049</v>
      </c>
      <c r="D654" t="inlineStr">
        <is>
          <t>KALMAR LÄN</t>
        </is>
      </c>
      <c r="E654" t="inlineStr">
        <is>
          <t>VIMMERBY</t>
        </is>
      </c>
      <c r="G654" t="n">
        <v>4.2</v>
      </c>
      <c r="H654" t="n">
        <v>0</v>
      </c>
      <c r="I654" t="n">
        <v>0</v>
      </c>
      <c r="J654" t="n">
        <v>0</v>
      </c>
      <c r="K654" t="n">
        <v>0</v>
      </c>
      <c r="L654" t="n">
        <v>0</v>
      </c>
      <c r="M654" t="n">
        <v>0</v>
      </c>
      <c r="N654" t="n">
        <v>0</v>
      </c>
      <c r="O654" t="n">
        <v>0</v>
      </c>
      <c r="P654" t="n">
        <v>0</v>
      </c>
      <c r="Q654" t="n">
        <v>0</v>
      </c>
      <c r="R654" s="2" t="inlineStr"/>
    </row>
    <row r="655" ht="15" customHeight="1">
      <c r="A655" t="inlineStr">
        <is>
          <t>A 62779-2023</t>
        </is>
      </c>
      <c r="B655" s="1" t="n">
        <v>45271.66576388889</v>
      </c>
      <c r="C655" s="1" t="n">
        <v>46049</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46399-2024</t>
        </is>
      </c>
      <c r="B656" s="1" t="n">
        <v>45582.41200231481</v>
      </c>
      <c r="C656" s="1" t="n">
        <v>46049</v>
      </c>
      <c r="D656" t="inlineStr">
        <is>
          <t>KALMAR LÄN</t>
        </is>
      </c>
      <c r="E656" t="inlineStr">
        <is>
          <t>VIMMERBY</t>
        </is>
      </c>
      <c r="G656" t="n">
        <v>4.6</v>
      </c>
      <c r="H656" t="n">
        <v>0</v>
      </c>
      <c r="I656" t="n">
        <v>0</v>
      </c>
      <c r="J656" t="n">
        <v>0</v>
      </c>
      <c r="K656" t="n">
        <v>0</v>
      </c>
      <c r="L656" t="n">
        <v>0</v>
      </c>
      <c r="M656" t="n">
        <v>0</v>
      </c>
      <c r="N656" t="n">
        <v>0</v>
      </c>
      <c r="O656" t="n">
        <v>0</v>
      </c>
      <c r="P656" t="n">
        <v>0</v>
      </c>
      <c r="Q656" t="n">
        <v>0</v>
      </c>
      <c r="R656" s="2" t="inlineStr"/>
    </row>
    <row r="657" ht="15" customHeight="1">
      <c r="A657" t="inlineStr">
        <is>
          <t>A 3425-2022</t>
        </is>
      </c>
      <c r="B657" s="1" t="n">
        <v>44585.51060185185</v>
      </c>
      <c r="C657" s="1" t="n">
        <v>46049</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43962-2024</t>
        </is>
      </c>
      <c r="B658" s="1" t="n">
        <v>45572.48293981481</v>
      </c>
      <c r="C658" s="1" t="n">
        <v>46049</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12810-2023</t>
        </is>
      </c>
      <c r="B659" s="1" t="n">
        <v>45001.43854166667</v>
      </c>
      <c r="C659" s="1" t="n">
        <v>46049</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43068-2023</t>
        </is>
      </c>
      <c r="B660" s="1" t="n">
        <v>45182.78834490741</v>
      </c>
      <c r="C660" s="1" t="n">
        <v>46049</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12075-2024</t>
        </is>
      </c>
      <c r="B661" s="1" t="n">
        <v>45377</v>
      </c>
      <c r="C661" s="1" t="n">
        <v>46049</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2523-2026</t>
        </is>
      </c>
      <c r="B662" s="1" t="n">
        <v>46037.42825231481</v>
      </c>
      <c r="C662" s="1" t="n">
        <v>46049</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2514-2026</t>
        </is>
      </c>
      <c r="B663" s="1" t="n">
        <v>46037.42219907408</v>
      </c>
      <c r="C663" s="1" t="n">
        <v>46049</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2518-2026</t>
        </is>
      </c>
      <c r="B664" s="1" t="n">
        <v>46037.42511574074</v>
      </c>
      <c r="C664" s="1" t="n">
        <v>46049</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1799-2025</t>
        </is>
      </c>
      <c r="B665" s="1" t="n">
        <v>45671.46746527778</v>
      </c>
      <c r="C665" s="1" t="n">
        <v>46049</v>
      </c>
      <c r="D665" t="inlineStr">
        <is>
          <t>KALMAR LÄN</t>
        </is>
      </c>
      <c r="E665" t="inlineStr">
        <is>
          <t>VIMMERBY</t>
        </is>
      </c>
      <c r="G665" t="n">
        <v>3.3</v>
      </c>
      <c r="H665" t="n">
        <v>0</v>
      </c>
      <c r="I665" t="n">
        <v>0</v>
      </c>
      <c r="J665" t="n">
        <v>0</v>
      </c>
      <c r="K665" t="n">
        <v>0</v>
      </c>
      <c r="L665" t="n">
        <v>0</v>
      </c>
      <c r="M665" t="n">
        <v>0</v>
      </c>
      <c r="N665" t="n">
        <v>0</v>
      </c>
      <c r="O665" t="n">
        <v>0</v>
      </c>
      <c r="P665" t="n">
        <v>0</v>
      </c>
      <c r="Q665" t="n">
        <v>0</v>
      </c>
      <c r="R665" s="2" t="inlineStr"/>
    </row>
    <row r="666" ht="15" customHeight="1">
      <c r="A666" t="inlineStr">
        <is>
          <t>A 2462-2022</t>
        </is>
      </c>
      <c r="B666" s="1" t="n">
        <v>44579.62225694444</v>
      </c>
      <c r="C666" s="1" t="n">
        <v>46049</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13015-2022</t>
        </is>
      </c>
      <c r="B667" s="1" t="n">
        <v>44643</v>
      </c>
      <c r="C667" s="1" t="n">
        <v>46049</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4624-2024</t>
        </is>
      </c>
      <c r="B668" s="1" t="n">
        <v>45328.38755787037</v>
      </c>
      <c r="C668" s="1" t="n">
        <v>46049</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9129-2025</t>
        </is>
      </c>
      <c r="B669" s="1" t="n">
        <v>45713.92412037037</v>
      </c>
      <c r="C669" s="1" t="n">
        <v>46049</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22643-2023</t>
        </is>
      </c>
      <c r="B670" s="1" t="n">
        <v>45071</v>
      </c>
      <c r="C670" s="1" t="n">
        <v>46049</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3965-2026</t>
        </is>
      </c>
      <c r="B671" s="1" t="n">
        <v>46044.34563657407</v>
      </c>
      <c r="C671" s="1" t="n">
        <v>46049</v>
      </c>
      <c r="D671" t="inlineStr">
        <is>
          <t>KALMAR LÄN</t>
        </is>
      </c>
      <c r="E671" t="inlineStr">
        <is>
          <t>VIMMERBY</t>
        </is>
      </c>
      <c r="G671" t="n">
        <v>2.6</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46049</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40079-2023</t>
        </is>
      </c>
      <c r="B673" s="1" t="n">
        <v>45168.89298611111</v>
      </c>
      <c r="C673" s="1" t="n">
        <v>46049</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61790-2025</t>
        </is>
      </c>
      <c r="B674" s="1" t="n">
        <v>46002.68768518518</v>
      </c>
      <c r="C674" s="1" t="n">
        <v>46049</v>
      </c>
      <c r="D674" t="inlineStr">
        <is>
          <t>KALMAR LÄN</t>
        </is>
      </c>
      <c r="E674" t="inlineStr">
        <is>
          <t>VIMMERBY</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19833-2023</t>
        </is>
      </c>
      <c r="B675" s="1" t="n">
        <v>45052</v>
      </c>
      <c r="C675" s="1" t="n">
        <v>46049</v>
      </c>
      <c r="D675" t="inlineStr">
        <is>
          <t>KALMAR LÄN</t>
        </is>
      </c>
      <c r="E675" t="inlineStr">
        <is>
          <t>VIMMERBY</t>
        </is>
      </c>
      <c r="G675" t="n">
        <v>6.7</v>
      </c>
      <c r="H675" t="n">
        <v>0</v>
      </c>
      <c r="I675" t="n">
        <v>0</v>
      </c>
      <c r="J675" t="n">
        <v>0</v>
      </c>
      <c r="K675" t="n">
        <v>0</v>
      </c>
      <c r="L675" t="n">
        <v>0</v>
      </c>
      <c r="M675" t="n">
        <v>0</v>
      </c>
      <c r="N675" t="n">
        <v>0</v>
      </c>
      <c r="O675" t="n">
        <v>0</v>
      </c>
      <c r="P675" t="n">
        <v>0</v>
      </c>
      <c r="Q675" t="n">
        <v>0</v>
      </c>
      <c r="R675" s="2" t="inlineStr"/>
    </row>
    <row r="676" ht="15" customHeight="1">
      <c r="A676" t="inlineStr">
        <is>
          <t>A 3868-2026</t>
        </is>
      </c>
      <c r="B676" s="1" t="n">
        <v>46043.6360300926</v>
      </c>
      <c r="C676" s="1" t="n">
        <v>46049</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3869-2026</t>
        </is>
      </c>
      <c r="B677" s="1" t="n">
        <v>46043.63940972222</v>
      </c>
      <c r="C677" s="1" t="n">
        <v>46049</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61726-2025</t>
        </is>
      </c>
      <c r="B678" s="1" t="n">
        <v>46002.58822916666</v>
      </c>
      <c r="C678" s="1" t="n">
        <v>46049</v>
      </c>
      <c r="D678" t="inlineStr">
        <is>
          <t>KALMAR LÄN</t>
        </is>
      </c>
      <c r="E678" t="inlineStr">
        <is>
          <t>VIMMERBY</t>
        </is>
      </c>
      <c r="F678" t="inlineStr">
        <is>
          <t>Sveaskog</t>
        </is>
      </c>
      <c r="G678" t="n">
        <v>0.2</v>
      </c>
      <c r="H678" t="n">
        <v>0</v>
      </c>
      <c r="I678" t="n">
        <v>0</v>
      </c>
      <c r="J678" t="n">
        <v>0</v>
      </c>
      <c r="K678" t="n">
        <v>0</v>
      </c>
      <c r="L678" t="n">
        <v>0</v>
      </c>
      <c r="M678" t="n">
        <v>0</v>
      </c>
      <c r="N678" t="n">
        <v>0</v>
      </c>
      <c r="O678" t="n">
        <v>0</v>
      </c>
      <c r="P678" t="n">
        <v>0</v>
      </c>
      <c r="Q678" t="n">
        <v>0</v>
      </c>
      <c r="R678" s="2" t="inlineStr"/>
    </row>
    <row r="679" ht="15" customHeight="1">
      <c r="A679" t="inlineStr">
        <is>
          <t>A 61725-2025</t>
        </is>
      </c>
      <c r="B679" s="1" t="n">
        <v>46002.58680555555</v>
      </c>
      <c r="C679" s="1" t="n">
        <v>46049</v>
      </c>
      <c r="D679" t="inlineStr">
        <is>
          <t>KALMAR LÄN</t>
        </is>
      </c>
      <c r="E679" t="inlineStr">
        <is>
          <t>VIMMERBY</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17084-2025</t>
        </is>
      </c>
      <c r="B680" s="1" t="n">
        <v>45755.64450231481</v>
      </c>
      <c r="C680" s="1" t="n">
        <v>46049</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56022-2024</t>
        </is>
      </c>
      <c r="B681" s="1" t="n">
        <v>45623.95947916667</v>
      </c>
      <c r="C681" s="1" t="n">
        <v>46049</v>
      </c>
      <c r="D681" t="inlineStr">
        <is>
          <t>KALMAR LÄN</t>
        </is>
      </c>
      <c r="E681" t="inlineStr">
        <is>
          <t>VIMMERBY</t>
        </is>
      </c>
      <c r="G681" t="n">
        <v>0.3</v>
      </c>
      <c r="H681" t="n">
        <v>0</v>
      </c>
      <c r="I681" t="n">
        <v>0</v>
      </c>
      <c r="J681" t="n">
        <v>0</v>
      </c>
      <c r="K681" t="n">
        <v>0</v>
      </c>
      <c r="L681" t="n">
        <v>0</v>
      </c>
      <c r="M681" t="n">
        <v>0</v>
      </c>
      <c r="N681" t="n">
        <v>0</v>
      </c>
      <c r="O681" t="n">
        <v>0</v>
      </c>
      <c r="P681" t="n">
        <v>0</v>
      </c>
      <c r="Q681" t="n">
        <v>0</v>
      </c>
      <c r="R681" s="2" t="inlineStr"/>
    </row>
    <row r="682" ht="15" customHeight="1">
      <c r="A682" t="inlineStr">
        <is>
          <t>A 11928-2022</t>
        </is>
      </c>
      <c r="B682" s="1" t="n">
        <v>44635</v>
      </c>
      <c r="C682" s="1" t="n">
        <v>46049</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5527-2022</t>
        </is>
      </c>
      <c r="B683" s="1" t="n">
        <v>44595.583125</v>
      </c>
      <c r="C683" s="1" t="n">
        <v>46049</v>
      </c>
      <c r="D683" t="inlineStr">
        <is>
          <t>KALMAR LÄN</t>
        </is>
      </c>
      <c r="E683" t="inlineStr">
        <is>
          <t>VIMMERBY</t>
        </is>
      </c>
      <c r="G683" t="n">
        <v>3.6</v>
      </c>
      <c r="H683" t="n">
        <v>0</v>
      </c>
      <c r="I683" t="n">
        <v>0</v>
      </c>
      <c r="J683" t="n">
        <v>0</v>
      </c>
      <c r="K683" t="n">
        <v>0</v>
      </c>
      <c r="L683" t="n">
        <v>0</v>
      </c>
      <c r="M683" t="n">
        <v>0</v>
      </c>
      <c r="N683" t="n">
        <v>0</v>
      </c>
      <c r="O683" t="n">
        <v>0</v>
      </c>
      <c r="P683" t="n">
        <v>0</v>
      </c>
      <c r="Q683" t="n">
        <v>0</v>
      </c>
      <c r="R683" s="2" t="inlineStr"/>
    </row>
    <row r="684" ht="15" customHeight="1">
      <c r="A684" t="inlineStr">
        <is>
          <t>A 3292-2026</t>
        </is>
      </c>
      <c r="B684" s="1" t="n">
        <v>46041</v>
      </c>
      <c r="C684" s="1" t="n">
        <v>46049</v>
      </c>
      <c r="D684" t="inlineStr">
        <is>
          <t>KALMAR LÄN</t>
        </is>
      </c>
      <c r="E684" t="inlineStr">
        <is>
          <t>VIMMERBY</t>
        </is>
      </c>
      <c r="G684" t="n">
        <v>3.9</v>
      </c>
      <c r="H684" t="n">
        <v>0</v>
      </c>
      <c r="I684" t="n">
        <v>0</v>
      </c>
      <c r="J684" t="n">
        <v>0</v>
      </c>
      <c r="K684" t="n">
        <v>0</v>
      </c>
      <c r="L684" t="n">
        <v>0</v>
      </c>
      <c r="M684" t="n">
        <v>0</v>
      </c>
      <c r="N684" t="n">
        <v>0</v>
      </c>
      <c r="O684" t="n">
        <v>0</v>
      </c>
      <c r="P684" t="n">
        <v>0</v>
      </c>
      <c r="Q684" t="n">
        <v>0</v>
      </c>
      <c r="R684" s="2" t="inlineStr"/>
    </row>
    <row r="685" ht="15" customHeight="1">
      <c r="A685" t="inlineStr">
        <is>
          <t>A 49461-2023</t>
        </is>
      </c>
      <c r="B685" s="1" t="n">
        <v>45211.52642361111</v>
      </c>
      <c r="C685" s="1" t="n">
        <v>46049</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49474-2023</t>
        </is>
      </c>
      <c r="B686" s="1" t="n">
        <v>45211.541875</v>
      </c>
      <c r="C686" s="1" t="n">
        <v>46049</v>
      </c>
      <c r="D686" t="inlineStr">
        <is>
          <t>KALMAR LÄN</t>
        </is>
      </c>
      <c r="E686" t="inlineStr">
        <is>
          <t>VIMMERBY</t>
        </is>
      </c>
      <c r="G686" t="n">
        <v>3.6</v>
      </c>
      <c r="H686" t="n">
        <v>0</v>
      </c>
      <c r="I686" t="n">
        <v>0</v>
      </c>
      <c r="J686" t="n">
        <v>0</v>
      </c>
      <c r="K686" t="n">
        <v>0</v>
      </c>
      <c r="L686" t="n">
        <v>0</v>
      </c>
      <c r="M686" t="n">
        <v>0</v>
      </c>
      <c r="N686" t="n">
        <v>0</v>
      </c>
      <c r="O686" t="n">
        <v>0</v>
      </c>
      <c r="P686" t="n">
        <v>0</v>
      </c>
      <c r="Q686" t="n">
        <v>0</v>
      </c>
      <c r="R686" s="2" t="inlineStr"/>
    </row>
    <row r="687" ht="15" customHeight="1">
      <c r="A687" t="inlineStr">
        <is>
          <t>A 61861-2024</t>
        </is>
      </c>
      <c r="B687" s="1" t="n">
        <v>45650.37370370371</v>
      </c>
      <c r="C687" s="1" t="n">
        <v>46049</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45846-2023</t>
        </is>
      </c>
      <c r="B688" s="1" t="n">
        <v>45195.58452546296</v>
      </c>
      <c r="C688" s="1" t="n">
        <v>46049</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8167-2024</t>
        </is>
      </c>
      <c r="B689" s="1" t="n">
        <v>45351.6062962963</v>
      </c>
      <c r="C689" s="1" t="n">
        <v>46049</v>
      </c>
      <c r="D689" t="inlineStr">
        <is>
          <t>KALMAR LÄN</t>
        </is>
      </c>
      <c r="E689" t="inlineStr">
        <is>
          <t>VIMMERBY</t>
        </is>
      </c>
      <c r="G689" t="n">
        <v>3.8</v>
      </c>
      <c r="H689" t="n">
        <v>0</v>
      </c>
      <c r="I689" t="n">
        <v>0</v>
      </c>
      <c r="J689" t="n">
        <v>0</v>
      </c>
      <c r="K689" t="n">
        <v>0</v>
      </c>
      <c r="L689" t="n">
        <v>0</v>
      </c>
      <c r="M689" t="n">
        <v>0</v>
      </c>
      <c r="N689" t="n">
        <v>0</v>
      </c>
      <c r="O689" t="n">
        <v>0</v>
      </c>
      <c r="P689" t="n">
        <v>0</v>
      </c>
      <c r="Q689" t="n">
        <v>0</v>
      </c>
      <c r="R689" s="2" t="inlineStr"/>
    </row>
    <row r="690" ht="15" customHeight="1">
      <c r="A690" t="inlineStr">
        <is>
          <t>A 49382-2023</t>
        </is>
      </c>
      <c r="B690" s="1" t="n">
        <v>45208</v>
      </c>
      <c r="C690" s="1" t="n">
        <v>46049</v>
      </c>
      <c r="D690" t="inlineStr">
        <is>
          <t>KALMAR LÄN</t>
        </is>
      </c>
      <c r="E690" t="inlineStr">
        <is>
          <t>VIMMERBY</t>
        </is>
      </c>
      <c r="G690" t="n">
        <v>2.2</v>
      </c>
      <c r="H690" t="n">
        <v>0</v>
      </c>
      <c r="I690" t="n">
        <v>0</v>
      </c>
      <c r="J690" t="n">
        <v>0</v>
      </c>
      <c r="K690" t="n">
        <v>0</v>
      </c>
      <c r="L690" t="n">
        <v>0</v>
      </c>
      <c r="M690" t="n">
        <v>0</v>
      </c>
      <c r="N690" t="n">
        <v>0</v>
      </c>
      <c r="O690" t="n">
        <v>0</v>
      </c>
      <c r="P690" t="n">
        <v>0</v>
      </c>
      <c r="Q690" t="n">
        <v>0</v>
      </c>
      <c r="R690" s="2" t="inlineStr"/>
    </row>
    <row r="691" ht="15" customHeight="1">
      <c r="A691" t="inlineStr">
        <is>
          <t>A 12121-2025</t>
        </is>
      </c>
      <c r="B691" s="1" t="n">
        <v>45729.36868055556</v>
      </c>
      <c r="C691" s="1" t="n">
        <v>46049</v>
      </c>
      <c r="D691" t="inlineStr">
        <is>
          <t>KALMAR LÄN</t>
        </is>
      </c>
      <c r="E691" t="inlineStr">
        <is>
          <t>VIMMERBY</t>
        </is>
      </c>
      <c r="G691" t="n">
        <v>4.3</v>
      </c>
      <c r="H691" t="n">
        <v>0</v>
      </c>
      <c r="I691" t="n">
        <v>0</v>
      </c>
      <c r="J691" t="n">
        <v>0</v>
      </c>
      <c r="K691" t="n">
        <v>0</v>
      </c>
      <c r="L691" t="n">
        <v>0</v>
      </c>
      <c r="M691" t="n">
        <v>0</v>
      </c>
      <c r="N691" t="n">
        <v>0</v>
      </c>
      <c r="O691" t="n">
        <v>0</v>
      </c>
      <c r="P691" t="n">
        <v>0</v>
      </c>
      <c r="Q691" t="n">
        <v>0</v>
      </c>
      <c r="R691" s="2" t="inlineStr"/>
    </row>
    <row r="692" ht="15" customHeight="1">
      <c r="A692" t="inlineStr">
        <is>
          <t>A 35846-2023</t>
        </is>
      </c>
      <c r="B692" s="1" t="n">
        <v>45148</v>
      </c>
      <c r="C692" s="1" t="n">
        <v>46049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35913-2023</t>
        </is>
      </c>
      <c r="B693" s="1" t="n">
        <v>45148</v>
      </c>
      <c r="C693" s="1" t="n">
        <v>46049</v>
      </c>
      <c r="D693" t="inlineStr">
        <is>
          <t>KALMAR LÄN</t>
        </is>
      </c>
      <c r="E693" t="inlineStr">
        <is>
          <t>VIMMERBY</t>
        </is>
      </c>
      <c r="G693" t="n">
        <v>6.9</v>
      </c>
      <c r="H693" t="n">
        <v>0</v>
      </c>
      <c r="I693" t="n">
        <v>0</v>
      </c>
      <c r="J693" t="n">
        <v>0</v>
      </c>
      <c r="K693" t="n">
        <v>0</v>
      </c>
      <c r="L693" t="n">
        <v>0</v>
      </c>
      <c r="M693" t="n">
        <v>0</v>
      </c>
      <c r="N693" t="n">
        <v>0</v>
      </c>
      <c r="O693" t="n">
        <v>0</v>
      </c>
      <c r="P693" t="n">
        <v>0</v>
      </c>
      <c r="Q693" t="n">
        <v>0</v>
      </c>
      <c r="R693" s="2" t="inlineStr"/>
    </row>
    <row r="694" ht="15" customHeight="1">
      <c r="A694" t="inlineStr">
        <is>
          <t>A 38757-2023</t>
        </is>
      </c>
      <c r="B694" s="1" t="n">
        <v>45163.41376157408</v>
      </c>
      <c r="C694" s="1" t="n">
        <v>46049</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20136-2024</t>
        </is>
      </c>
      <c r="B695" s="1" t="n">
        <v>45434.56291666667</v>
      </c>
      <c r="C695" s="1" t="n">
        <v>46049</v>
      </c>
      <c r="D695" t="inlineStr">
        <is>
          <t>KALMAR LÄN</t>
        </is>
      </c>
      <c r="E695" t="inlineStr">
        <is>
          <t>VIMMERBY</t>
        </is>
      </c>
      <c r="F695" t="inlineStr">
        <is>
          <t>Sveaskog</t>
        </is>
      </c>
      <c r="G695" t="n">
        <v>8.4</v>
      </c>
      <c r="H695" t="n">
        <v>0</v>
      </c>
      <c r="I695" t="n">
        <v>0</v>
      </c>
      <c r="J695" t="n">
        <v>0</v>
      </c>
      <c r="K695" t="n">
        <v>0</v>
      </c>
      <c r="L695" t="n">
        <v>0</v>
      </c>
      <c r="M695" t="n">
        <v>0</v>
      </c>
      <c r="N695" t="n">
        <v>0</v>
      </c>
      <c r="O695" t="n">
        <v>0</v>
      </c>
      <c r="P695" t="n">
        <v>0</v>
      </c>
      <c r="Q695" t="n">
        <v>0</v>
      </c>
      <c r="R695" s="2" t="inlineStr"/>
    </row>
    <row r="696" ht="15" customHeight="1">
      <c r="A696" t="inlineStr">
        <is>
          <t>A 3266-2026</t>
        </is>
      </c>
      <c r="B696" s="1" t="n">
        <v>46041</v>
      </c>
      <c r="C696" s="1" t="n">
        <v>46049</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24283-2023</t>
        </is>
      </c>
      <c r="B697" s="1" t="n">
        <v>45079.87827546296</v>
      </c>
      <c r="C697" s="1" t="n">
        <v>46049</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59598-2023</t>
        </is>
      </c>
      <c r="B698" s="1" t="n">
        <v>45254.62489583333</v>
      </c>
      <c r="C698" s="1" t="n">
        <v>46049</v>
      </c>
      <c r="D698" t="inlineStr">
        <is>
          <t>KALMAR LÄN</t>
        </is>
      </c>
      <c r="E698" t="inlineStr">
        <is>
          <t>VIMMERBY</t>
        </is>
      </c>
      <c r="F698" t="inlineStr">
        <is>
          <t>Övriga Aktiebolag</t>
        </is>
      </c>
      <c r="G698" t="n">
        <v>4</v>
      </c>
      <c r="H698" t="n">
        <v>0</v>
      </c>
      <c r="I698" t="n">
        <v>0</v>
      </c>
      <c r="J698" t="n">
        <v>0</v>
      </c>
      <c r="K698" t="n">
        <v>0</v>
      </c>
      <c r="L698" t="n">
        <v>0</v>
      </c>
      <c r="M698" t="n">
        <v>0</v>
      </c>
      <c r="N698" t="n">
        <v>0</v>
      </c>
      <c r="O698" t="n">
        <v>0</v>
      </c>
      <c r="P698" t="n">
        <v>0</v>
      </c>
      <c r="Q698" t="n">
        <v>0</v>
      </c>
      <c r="R698" s="2" t="inlineStr"/>
    </row>
    <row r="699" ht="15" customHeight="1">
      <c r="A699" t="inlineStr">
        <is>
          <t>A 30920-2023</t>
        </is>
      </c>
      <c r="B699" s="1" t="n">
        <v>45113.43921296296</v>
      </c>
      <c r="C699" s="1" t="n">
        <v>46049</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40929-2022</t>
        </is>
      </c>
      <c r="B700" s="1" t="n">
        <v>44825.4336574074</v>
      </c>
      <c r="C700" s="1" t="n">
        <v>46049</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33380-2023</t>
        </is>
      </c>
      <c r="B701" s="1" t="n">
        <v>45128</v>
      </c>
      <c r="C701" s="1" t="n">
        <v>46049</v>
      </c>
      <c r="D701" t="inlineStr">
        <is>
          <t>KALMAR LÄN</t>
        </is>
      </c>
      <c r="E701" t="inlineStr">
        <is>
          <t>VIMMERBY</t>
        </is>
      </c>
      <c r="G701" t="n">
        <v>5.2</v>
      </c>
      <c r="H701" t="n">
        <v>0</v>
      </c>
      <c r="I701" t="n">
        <v>0</v>
      </c>
      <c r="J701" t="n">
        <v>0</v>
      </c>
      <c r="K701" t="n">
        <v>0</v>
      </c>
      <c r="L701" t="n">
        <v>0</v>
      </c>
      <c r="M701" t="n">
        <v>0</v>
      </c>
      <c r="N701" t="n">
        <v>0</v>
      </c>
      <c r="O701" t="n">
        <v>0</v>
      </c>
      <c r="P701" t="n">
        <v>0</v>
      </c>
      <c r="Q701" t="n">
        <v>0</v>
      </c>
      <c r="R701" s="2" t="inlineStr"/>
    </row>
    <row r="702" ht="15" customHeight="1">
      <c r="A702" t="inlineStr">
        <is>
          <t>A 46144-2023</t>
        </is>
      </c>
      <c r="B702" s="1" t="n">
        <v>45196.57247685185</v>
      </c>
      <c r="C702" s="1" t="n">
        <v>46049</v>
      </c>
      <c r="D702" t="inlineStr">
        <is>
          <t>KALMAR LÄN</t>
        </is>
      </c>
      <c r="E702" t="inlineStr">
        <is>
          <t>VIMMERBY</t>
        </is>
      </c>
      <c r="G702" t="n">
        <v>6.5</v>
      </c>
      <c r="H702" t="n">
        <v>0</v>
      </c>
      <c r="I702" t="n">
        <v>0</v>
      </c>
      <c r="J702" t="n">
        <v>0</v>
      </c>
      <c r="K702" t="n">
        <v>0</v>
      </c>
      <c r="L702" t="n">
        <v>0</v>
      </c>
      <c r="M702" t="n">
        <v>0</v>
      </c>
      <c r="N702" t="n">
        <v>0</v>
      </c>
      <c r="O702" t="n">
        <v>0</v>
      </c>
      <c r="P702" t="n">
        <v>0</v>
      </c>
      <c r="Q702" t="n">
        <v>0</v>
      </c>
      <c r="R702" s="2" t="inlineStr"/>
    </row>
    <row r="703" ht="15" customHeight="1">
      <c r="A703" t="inlineStr">
        <is>
          <t>A 54787-2023</t>
        </is>
      </c>
      <c r="B703" s="1" t="n">
        <v>45236</v>
      </c>
      <c r="C703" s="1" t="n">
        <v>46049</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15715-2022</t>
        </is>
      </c>
      <c r="B704" s="1" t="n">
        <v>44663</v>
      </c>
      <c r="C704" s="1" t="n">
        <v>46049</v>
      </c>
      <c r="D704" t="inlineStr">
        <is>
          <t>KALMAR LÄN</t>
        </is>
      </c>
      <c r="E704" t="inlineStr">
        <is>
          <t>VIMMERBY</t>
        </is>
      </c>
      <c r="G704" t="n">
        <v>2.3</v>
      </c>
      <c r="H704" t="n">
        <v>0</v>
      </c>
      <c r="I704" t="n">
        <v>0</v>
      </c>
      <c r="J704" t="n">
        <v>0</v>
      </c>
      <c r="K704" t="n">
        <v>0</v>
      </c>
      <c r="L704" t="n">
        <v>0</v>
      </c>
      <c r="M704" t="n">
        <v>0</v>
      </c>
      <c r="N704" t="n">
        <v>0</v>
      </c>
      <c r="O704" t="n">
        <v>0</v>
      </c>
      <c r="P704" t="n">
        <v>0</v>
      </c>
      <c r="Q704" t="n">
        <v>0</v>
      </c>
      <c r="R704" s="2" t="inlineStr"/>
    </row>
    <row r="705" ht="15" customHeight="1">
      <c r="A705" t="inlineStr">
        <is>
          <t>A 43774-2023</t>
        </is>
      </c>
      <c r="B705" s="1" t="n">
        <v>45187</v>
      </c>
      <c r="C705" s="1" t="n">
        <v>46049</v>
      </c>
      <c r="D705" t="inlineStr">
        <is>
          <t>KALMAR LÄN</t>
        </is>
      </c>
      <c r="E705" t="inlineStr">
        <is>
          <t>VIMMERBY</t>
        </is>
      </c>
      <c r="G705" t="n">
        <v>3.4</v>
      </c>
      <c r="H705" t="n">
        <v>0</v>
      </c>
      <c r="I705" t="n">
        <v>0</v>
      </c>
      <c r="J705" t="n">
        <v>0</v>
      </c>
      <c r="K705" t="n">
        <v>0</v>
      </c>
      <c r="L705" t="n">
        <v>0</v>
      </c>
      <c r="M705" t="n">
        <v>0</v>
      </c>
      <c r="N705" t="n">
        <v>0</v>
      </c>
      <c r="O705" t="n">
        <v>0</v>
      </c>
      <c r="P705" t="n">
        <v>0</v>
      </c>
      <c r="Q705" t="n">
        <v>0</v>
      </c>
      <c r="R705" s="2" t="inlineStr"/>
    </row>
    <row r="706" ht="15" customHeight="1">
      <c r="A706" t="inlineStr">
        <is>
          <t>A 43705-2023</t>
        </is>
      </c>
      <c r="B706" s="1" t="n">
        <v>45187.42854166667</v>
      </c>
      <c r="C706" s="1" t="n">
        <v>46049</v>
      </c>
      <c r="D706" t="inlineStr">
        <is>
          <t>KALMAR LÄN</t>
        </is>
      </c>
      <c r="E706" t="inlineStr">
        <is>
          <t>VIMMERBY</t>
        </is>
      </c>
      <c r="G706" t="n">
        <v>1.2</v>
      </c>
      <c r="H706" t="n">
        <v>0</v>
      </c>
      <c r="I706" t="n">
        <v>0</v>
      </c>
      <c r="J706" t="n">
        <v>0</v>
      </c>
      <c r="K706" t="n">
        <v>0</v>
      </c>
      <c r="L706" t="n">
        <v>0</v>
      </c>
      <c r="M706" t="n">
        <v>0</v>
      </c>
      <c r="N706" t="n">
        <v>0</v>
      </c>
      <c r="O706" t="n">
        <v>0</v>
      </c>
      <c r="P706" t="n">
        <v>0</v>
      </c>
      <c r="Q706" t="n">
        <v>0</v>
      </c>
      <c r="R706" s="2" t="inlineStr"/>
    </row>
    <row r="707" ht="15" customHeight="1">
      <c r="A707" t="inlineStr">
        <is>
          <t>A 7932-2025</t>
        </is>
      </c>
      <c r="B707" s="1" t="n">
        <v>45707.3793287037</v>
      </c>
      <c r="C707" s="1" t="n">
        <v>46049</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13532-2025</t>
        </is>
      </c>
      <c r="B708" s="1" t="n">
        <v>45736.50743055555</v>
      </c>
      <c r="C708" s="1" t="n">
        <v>46049</v>
      </c>
      <c r="D708" t="inlineStr">
        <is>
          <t>KALMAR LÄN</t>
        </is>
      </c>
      <c r="E708" t="inlineStr">
        <is>
          <t>VIMMERBY</t>
        </is>
      </c>
      <c r="G708" t="n">
        <v>3.6</v>
      </c>
      <c r="H708" t="n">
        <v>0</v>
      </c>
      <c r="I708" t="n">
        <v>0</v>
      </c>
      <c r="J708" t="n">
        <v>0</v>
      </c>
      <c r="K708" t="n">
        <v>0</v>
      </c>
      <c r="L708" t="n">
        <v>0</v>
      </c>
      <c r="M708" t="n">
        <v>0</v>
      </c>
      <c r="N708" t="n">
        <v>0</v>
      </c>
      <c r="O708" t="n">
        <v>0</v>
      </c>
      <c r="P708" t="n">
        <v>0</v>
      </c>
      <c r="Q708" t="n">
        <v>0</v>
      </c>
      <c r="R708" s="2" t="inlineStr"/>
    </row>
    <row r="709" ht="15" customHeight="1">
      <c r="A709" t="inlineStr">
        <is>
          <t>A 1978-2024</t>
        </is>
      </c>
      <c r="B709" s="1" t="n">
        <v>45308.59001157407</v>
      </c>
      <c r="C709" s="1" t="n">
        <v>46049</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6399-2025</t>
        </is>
      </c>
      <c r="B710" s="1" t="n">
        <v>45699.44291666667</v>
      </c>
      <c r="C710" s="1" t="n">
        <v>46049</v>
      </c>
      <c r="D710" t="inlineStr">
        <is>
          <t>KALMAR LÄN</t>
        </is>
      </c>
      <c r="E710" t="inlineStr">
        <is>
          <t>VIMMERBY</t>
        </is>
      </c>
      <c r="G710" t="n">
        <v>3.1</v>
      </c>
      <c r="H710" t="n">
        <v>0</v>
      </c>
      <c r="I710" t="n">
        <v>0</v>
      </c>
      <c r="J710" t="n">
        <v>0</v>
      </c>
      <c r="K710" t="n">
        <v>0</v>
      </c>
      <c r="L710" t="n">
        <v>0</v>
      </c>
      <c r="M710" t="n">
        <v>0</v>
      </c>
      <c r="N710" t="n">
        <v>0</v>
      </c>
      <c r="O710" t="n">
        <v>0</v>
      </c>
      <c r="P710" t="n">
        <v>0</v>
      </c>
      <c r="Q710" t="n">
        <v>0</v>
      </c>
      <c r="R710" s="2" t="inlineStr"/>
    </row>
    <row r="711" ht="15" customHeight="1">
      <c r="A711" t="inlineStr">
        <is>
          <t>A 41311-2023</t>
        </is>
      </c>
      <c r="B711" s="1" t="n">
        <v>45174</v>
      </c>
      <c r="C711" s="1" t="n">
        <v>46049</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10785-2025</t>
        </is>
      </c>
      <c r="B712" s="1" t="n">
        <v>45722.48634259259</v>
      </c>
      <c r="C712" s="1" t="n">
        <v>46049</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18020-2025</t>
        </is>
      </c>
      <c r="B713" s="1" t="n">
        <v>45761.4437962963</v>
      </c>
      <c r="C713" s="1" t="n">
        <v>46049</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585-2024</t>
        </is>
      </c>
      <c r="B714" s="1" t="n">
        <v>45299.62576388889</v>
      </c>
      <c r="C714" s="1" t="n">
        <v>46049</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6802-2025</t>
        </is>
      </c>
      <c r="B715" s="1" t="n">
        <v>45700.68289351852</v>
      </c>
      <c r="C715" s="1" t="n">
        <v>46049</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56020-2024</t>
        </is>
      </c>
      <c r="B716" s="1" t="n">
        <v>45623.9525462963</v>
      </c>
      <c r="C716" s="1" t="n">
        <v>46049</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33842-2022</t>
        </is>
      </c>
      <c r="B717" s="1" t="n">
        <v>44790.49523148148</v>
      </c>
      <c r="C717" s="1" t="n">
        <v>46049</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60675-2023</t>
        </is>
      </c>
      <c r="B718" s="1" t="n">
        <v>45260.4716550926</v>
      </c>
      <c r="C718" s="1" t="n">
        <v>46049</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40095-2022</t>
        </is>
      </c>
      <c r="B719" s="1" t="n">
        <v>44820</v>
      </c>
      <c r="C719" s="1" t="n">
        <v>46049</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19537-2022</t>
        </is>
      </c>
      <c r="B720" s="1" t="n">
        <v>44693.62822916666</v>
      </c>
      <c r="C720" s="1" t="n">
        <v>46049</v>
      </c>
      <c r="D720" t="inlineStr">
        <is>
          <t>KALMAR LÄN</t>
        </is>
      </c>
      <c r="E720" t="inlineStr">
        <is>
          <t>VIMMERBY</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57311-2023</t>
        </is>
      </c>
      <c r="B721" s="1" t="n">
        <v>45245.63574074074</v>
      </c>
      <c r="C721" s="1" t="n">
        <v>46049</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64428-2023</t>
        </is>
      </c>
      <c r="B722" s="1" t="n">
        <v>45280.66769675926</v>
      </c>
      <c r="C722" s="1" t="n">
        <v>46049</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4527-2023</t>
        </is>
      </c>
      <c r="B723" s="1" t="n">
        <v>44956</v>
      </c>
      <c r="C723" s="1" t="n">
        <v>46049</v>
      </c>
      <c r="D723" t="inlineStr">
        <is>
          <t>KALMAR LÄN</t>
        </is>
      </c>
      <c r="E723" t="inlineStr">
        <is>
          <t>VIMMERBY</t>
        </is>
      </c>
      <c r="F723" t="inlineStr">
        <is>
          <t>Kommuner</t>
        </is>
      </c>
      <c r="G723" t="n">
        <v>8.5</v>
      </c>
      <c r="H723" t="n">
        <v>0</v>
      </c>
      <c r="I723" t="n">
        <v>0</v>
      </c>
      <c r="J723" t="n">
        <v>0</v>
      </c>
      <c r="K723" t="n">
        <v>0</v>
      </c>
      <c r="L723" t="n">
        <v>0</v>
      </c>
      <c r="M723" t="n">
        <v>0</v>
      </c>
      <c r="N723" t="n">
        <v>0</v>
      </c>
      <c r="O723" t="n">
        <v>0</v>
      </c>
      <c r="P723" t="n">
        <v>0</v>
      </c>
      <c r="Q723" t="n">
        <v>0</v>
      </c>
      <c r="R723" s="2" t="inlineStr"/>
    </row>
    <row r="724" ht="15" customHeight="1">
      <c r="A724" t="inlineStr">
        <is>
          <t>A 3268-2024</t>
        </is>
      </c>
      <c r="B724" s="1" t="n">
        <v>45317</v>
      </c>
      <c r="C724" s="1" t="n">
        <v>46049</v>
      </c>
      <c r="D724" t="inlineStr">
        <is>
          <t>KALMAR LÄN</t>
        </is>
      </c>
      <c r="E724" t="inlineStr">
        <is>
          <t>VIMMERBY</t>
        </is>
      </c>
      <c r="F724" t="inlineStr">
        <is>
          <t>Övriga Aktiebolag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51408-2023</t>
        </is>
      </c>
      <c r="B725" s="1" t="n">
        <v>45219.69356481481</v>
      </c>
      <c r="C725" s="1" t="n">
        <v>46049</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12480-2024</t>
        </is>
      </c>
      <c r="B726" s="1" t="n">
        <v>45379</v>
      </c>
      <c r="C726" s="1" t="n">
        <v>46049</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52588-2023</t>
        </is>
      </c>
      <c r="B727" s="1" t="n">
        <v>45225.60192129629</v>
      </c>
      <c r="C727" s="1" t="n">
        <v>46049</v>
      </c>
      <c r="D727" t="inlineStr">
        <is>
          <t>KALMAR LÄN</t>
        </is>
      </c>
      <c r="E727" t="inlineStr">
        <is>
          <t>VIMMERBY</t>
        </is>
      </c>
      <c r="G727" t="n">
        <v>2.9</v>
      </c>
      <c r="H727" t="n">
        <v>0</v>
      </c>
      <c r="I727" t="n">
        <v>0</v>
      </c>
      <c r="J727" t="n">
        <v>0</v>
      </c>
      <c r="K727" t="n">
        <v>0</v>
      </c>
      <c r="L727" t="n">
        <v>0</v>
      </c>
      <c r="M727" t="n">
        <v>0</v>
      </c>
      <c r="N727" t="n">
        <v>0</v>
      </c>
      <c r="O727" t="n">
        <v>0</v>
      </c>
      <c r="P727" t="n">
        <v>0</v>
      </c>
      <c r="Q727" t="n">
        <v>0</v>
      </c>
      <c r="R727" s="2" t="inlineStr"/>
    </row>
    <row r="728" ht="15" customHeight="1">
      <c r="A728" t="inlineStr">
        <is>
          <t>A 55236-2023</t>
        </is>
      </c>
      <c r="B728" s="1" t="n">
        <v>45237.63225694445</v>
      </c>
      <c r="C728" s="1" t="n">
        <v>46049</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55245-2023</t>
        </is>
      </c>
      <c r="B729" s="1" t="n">
        <v>45237.64408564815</v>
      </c>
      <c r="C729" s="1" t="n">
        <v>46049</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19111-2025</t>
        </is>
      </c>
      <c r="B730" s="1" t="n">
        <v>45768.65611111111</v>
      </c>
      <c r="C730" s="1" t="n">
        <v>46049</v>
      </c>
      <c r="D730" t="inlineStr">
        <is>
          <t>KALMAR LÄN</t>
        </is>
      </c>
      <c r="E730" t="inlineStr">
        <is>
          <t>VIMMERBY</t>
        </is>
      </c>
      <c r="G730" t="n">
        <v>6.2</v>
      </c>
      <c r="H730" t="n">
        <v>0</v>
      </c>
      <c r="I730" t="n">
        <v>0</v>
      </c>
      <c r="J730" t="n">
        <v>0</v>
      </c>
      <c r="K730" t="n">
        <v>0</v>
      </c>
      <c r="L730" t="n">
        <v>0</v>
      </c>
      <c r="M730" t="n">
        <v>0</v>
      </c>
      <c r="N730" t="n">
        <v>0</v>
      </c>
      <c r="O730" t="n">
        <v>0</v>
      </c>
      <c r="P730" t="n">
        <v>0</v>
      </c>
      <c r="Q730" t="n">
        <v>0</v>
      </c>
      <c r="R730" s="2" t="inlineStr"/>
    </row>
    <row r="731" ht="15" customHeight="1">
      <c r="A731" t="inlineStr">
        <is>
          <t>A 25370-2022</t>
        </is>
      </c>
      <c r="B731" s="1" t="n">
        <v>44732.3659837963</v>
      </c>
      <c r="C731" s="1" t="n">
        <v>46049</v>
      </c>
      <c r="D731" t="inlineStr">
        <is>
          <t>KALMAR LÄN</t>
        </is>
      </c>
      <c r="E731" t="inlineStr">
        <is>
          <t>VIMMERBY</t>
        </is>
      </c>
      <c r="G731" t="n">
        <v>1.2</v>
      </c>
      <c r="H731" t="n">
        <v>0</v>
      </c>
      <c r="I731" t="n">
        <v>0</v>
      </c>
      <c r="J731" t="n">
        <v>0</v>
      </c>
      <c r="K731" t="n">
        <v>0</v>
      </c>
      <c r="L731" t="n">
        <v>0</v>
      </c>
      <c r="M731" t="n">
        <v>0</v>
      </c>
      <c r="N731" t="n">
        <v>0</v>
      </c>
      <c r="O731" t="n">
        <v>0</v>
      </c>
      <c r="P731" t="n">
        <v>0</v>
      </c>
      <c r="Q731" t="n">
        <v>0</v>
      </c>
      <c r="R731" s="2" t="inlineStr"/>
    </row>
    <row r="732" ht="15" customHeight="1">
      <c r="A732" t="inlineStr">
        <is>
          <t>A 33838-2022</t>
        </is>
      </c>
      <c r="B732" s="1" t="n">
        <v>44790.49040509259</v>
      </c>
      <c r="C732" s="1" t="n">
        <v>46049</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4058-2024</t>
        </is>
      </c>
      <c r="B733" s="1" t="n">
        <v>45323.53744212963</v>
      </c>
      <c r="C733" s="1" t="n">
        <v>46049</v>
      </c>
      <c r="D733" t="inlineStr">
        <is>
          <t>KALMAR LÄN</t>
        </is>
      </c>
      <c r="E733" t="inlineStr">
        <is>
          <t>VIMMERBY</t>
        </is>
      </c>
      <c r="G733" t="n">
        <v>6.5</v>
      </c>
      <c r="H733" t="n">
        <v>0</v>
      </c>
      <c r="I733" t="n">
        <v>0</v>
      </c>
      <c r="J733" t="n">
        <v>0</v>
      </c>
      <c r="K733" t="n">
        <v>0</v>
      </c>
      <c r="L733" t="n">
        <v>0</v>
      </c>
      <c r="M733" t="n">
        <v>0</v>
      </c>
      <c r="N733" t="n">
        <v>0</v>
      </c>
      <c r="O733" t="n">
        <v>0</v>
      </c>
      <c r="P733" t="n">
        <v>0</v>
      </c>
      <c r="Q733" t="n">
        <v>0</v>
      </c>
      <c r="R733" s="2" t="inlineStr"/>
    </row>
    <row r="734" ht="15" customHeight="1">
      <c r="A734" t="inlineStr">
        <is>
          <t>A 36008-2024</t>
        </is>
      </c>
      <c r="B734" s="1" t="n">
        <v>45533.55362268518</v>
      </c>
      <c r="C734" s="1" t="n">
        <v>46049</v>
      </c>
      <c r="D734" t="inlineStr">
        <is>
          <t>KALMAR LÄN</t>
        </is>
      </c>
      <c r="E734" t="inlineStr">
        <is>
          <t>VIMMERBY</t>
        </is>
      </c>
      <c r="G734" t="n">
        <v>3.7</v>
      </c>
      <c r="H734" t="n">
        <v>0</v>
      </c>
      <c r="I734" t="n">
        <v>0</v>
      </c>
      <c r="J734" t="n">
        <v>0</v>
      </c>
      <c r="K734" t="n">
        <v>0</v>
      </c>
      <c r="L734" t="n">
        <v>0</v>
      </c>
      <c r="M734" t="n">
        <v>0</v>
      </c>
      <c r="N734" t="n">
        <v>0</v>
      </c>
      <c r="O734" t="n">
        <v>0</v>
      </c>
      <c r="P734" t="n">
        <v>0</v>
      </c>
      <c r="Q734" t="n">
        <v>0</v>
      </c>
      <c r="R734" s="2" t="inlineStr"/>
    </row>
    <row r="735" ht="15" customHeight="1">
      <c r="A735" t="inlineStr">
        <is>
          <t>A 18669-2025</t>
        </is>
      </c>
      <c r="B735" s="1" t="n">
        <v>45763.59436342592</v>
      </c>
      <c r="C735" s="1" t="n">
        <v>46049</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8540-2024</t>
        </is>
      </c>
      <c r="B736" s="1" t="n">
        <v>45355.54138888889</v>
      </c>
      <c r="C736" s="1" t="n">
        <v>46049</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9623-2024</t>
        </is>
      </c>
      <c r="B737" s="1" t="n">
        <v>45361.87975694444</v>
      </c>
      <c r="C737" s="1" t="n">
        <v>46049</v>
      </c>
      <c r="D737" t="inlineStr">
        <is>
          <t>KALMAR LÄN</t>
        </is>
      </c>
      <c r="E737" t="inlineStr">
        <is>
          <t>VIMMERBY</t>
        </is>
      </c>
      <c r="G737" t="n">
        <v>1.6</v>
      </c>
      <c r="H737" t="n">
        <v>0</v>
      </c>
      <c r="I737" t="n">
        <v>0</v>
      </c>
      <c r="J737" t="n">
        <v>0</v>
      </c>
      <c r="K737" t="n">
        <v>0</v>
      </c>
      <c r="L737" t="n">
        <v>0</v>
      </c>
      <c r="M737" t="n">
        <v>0</v>
      </c>
      <c r="N737" t="n">
        <v>0</v>
      </c>
      <c r="O737" t="n">
        <v>0</v>
      </c>
      <c r="P737" t="n">
        <v>0</v>
      </c>
      <c r="Q737" t="n">
        <v>0</v>
      </c>
      <c r="R737" s="2" t="inlineStr"/>
    </row>
    <row r="738" ht="15" customHeight="1">
      <c r="A738" t="inlineStr">
        <is>
          <t>A 5146-2024</t>
        </is>
      </c>
      <c r="B738" s="1" t="n">
        <v>45330</v>
      </c>
      <c r="C738" s="1" t="n">
        <v>46049</v>
      </c>
      <c r="D738" t="inlineStr">
        <is>
          <t>KALMAR LÄN</t>
        </is>
      </c>
      <c r="E738" t="inlineStr">
        <is>
          <t>VIMMERBY</t>
        </is>
      </c>
      <c r="G738" t="n">
        <v>5.3</v>
      </c>
      <c r="H738" t="n">
        <v>0</v>
      </c>
      <c r="I738" t="n">
        <v>0</v>
      </c>
      <c r="J738" t="n">
        <v>0</v>
      </c>
      <c r="K738" t="n">
        <v>0</v>
      </c>
      <c r="L738" t="n">
        <v>0</v>
      </c>
      <c r="M738" t="n">
        <v>0</v>
      </c>
      <c r="N738" t="n">
        <v>0</v>
      </c>
      <c r="O738" t="n">
        <v>0</v>
      </c>
      <c r="P738" t="n">
        <v>0</v>
      </c>
      <c r="Q738" t="n">
        <v>0</v>
      </c>
      <c r="R738" s="2" t="inlineStr"/>
    </row>
    <row r="739" ht="15" customHeight="1">
      <c r="A739" t="inlineStr">
        <is>
          <t>A 5148-2024</t>
        </is>
      </c>
      <c r="B739" s="1" t="n">
        <v>45330</v>
      </c>
      <c r="C739" s="1" t="n">
        <v>46049</v>
      </c>
      <c r="D739" t="inlineStr">
        <is>
          <t>KALMAR LÄN</t>
        </is>
      </c>
      <c r="E739" t="inlineStr">
        <is>
          <t>VIMMERBY</t>
        </is>
      </c>
      <c r="G739" t="n">
        <v>5.6</v>
      </c>
      <c r="H739" t="n">
        <v>0</v>
      </c>
      <c r="I739" t="n">
        <v>0</v>
      </c>
      <c r="J739" t="n">
        <v>0</v>
      </c>
      <c r="K739" t="n">
        <v>0</v>
      </c>
      <c r="L739" t="n">
        <v>0</v>
      </c>
      <c r="M739" t="n">
        <v>0</v>
      </c>
      <c r="N739" t="n">
        <v>0</v>
      </c>
      <c r="O739" t="n">
        <v>0</v>
      </c>
      <c r="P739" t="n">
        <v>0</v>
      </c>
      <c r="Q739" t="n">
        <v>0</v>
      </c>
      <c r="R739" s="2" t="inlineStr"/>
    </row>
    <row r="740" ht="15" customHeight="1">
      <c r="A740" t="inlineStr">
        <is>
          <t>A 44179-2022</t>
        </is>
      </c>
      <c r="B740" s="1" t="n">
        <v>44839.4528125</v>
      </c>
      <c r="C740" s="1" t="n">
        <v>46049</v>
      </c>
      <c r="D740" t="inlineStr">
        <is>
          <t>KALMAR LÄN</t>
        </is>
      </c>
      <c r="E740" t="inlineStr">
        <is>
          <t>VIMMERBY</t>
        </is>
      </c>
      <c r="G740" t="n">
        <v>2.8</v>
      </c>
      <c r="H740" t="n">
        <v>0</v>
      </c>
      <c r="I740" t="n">
        <v>0</v>
      </c>
      <c r="J740" t="n">
        <v>0</v>
      </c>
      <c r="K740" t="n">
        <v>0</v>
      </c>
      <c r="L740" t="n">
        <v>0</v>
      </c>
      <c r="M740" t="n">
        <v>0</v>
      </c>
      <c r="N740" t="n">
        <v>0</v>
      </c>
      <c r="O740" t="n">
        <v>0</v>
      </c>
      <c r="P740" t="n">
        <v>0</v>
      </c>
      <c r="Q740" t="n">
        <v>0</v>
      </c>
      <c r="R740" s="2" t="inlineStr"/>
    </row>
    <row r="741" ht="15" customHeight="1">
      <c r="A741" t="inlineStr">
        <is>
          <t>A 50648-2023</t>
        </is>
      </c>
      <c r="B741" s="1" t="n">
        <v>45217.47834490741</v>
      </c>
      <c r="C741" s="1" t="n">
        <v>46049</v>
      </c>
      <c r="D741" t="inlineStr">
        <is>
          <t>KALMAR LÄN</t>
        </is>
      </c>
      <c r="E741" t="inlineStr">
        <is>
          <t>VIMMERBY</t>
        </is>
      </c>
      <c r="G741" t="n">
        <v>1.6</v>
      </c>
      <c r="H741" t="n">
        <v>0</v>
      </c>
      <c r="I741" t="n">
        <v>0</v>
      </c>
      <c r="J741" t="n">
        <v>0</v>
      </c>
      <c r="K741" t="n">
        <v>0</v>
      </c>
      <c r="L741" t="n">
        <v>0</v>
      </c>
      <c r="M741" t="n">
        <v>0</v>
      </c>
      <c r="N741" t="n">
        <v>0</v>
      </c>
      <c r="O741" t="n">
        <v>0</v>
      </c>
      <c r="P741" t="n">
        <v>0</v>
      </c>
      <c r="Q741" t="n">
        <v>0</v>
      </c>
      <c r="R741" s="2" t="inlineStr"/>
    </row>
    <row r="742" ht="15" customHeight="1">
      <c r="A742" t="inlineStr">
        <is>
          <t>A 2121-2022</t>
        </is>
      </c>
      <c r="B742" s="1" t="n">
        <v>44578.32717592592</v>
      </c>
      <c r="C742" s="1" t="n">
        <v>46049</v>
      </c>
      <c r="D742" t="inlineStr">
        <is>
          <t>KALMAR LÄN</t>
        </is>
      </c>
      <c r="E742" t="inlineStr">
        <is>
          <t>VIMMERBY</t>
        </is>
      </c>
      <c r="G742" t="n">
        <v>2</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46049</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15394-2025</t>
        </is>
      </c>
      <c r="B744" s="1" t="n">
        <v>45747.43196759259</v>
      </c>
      <c r="C744" s="1" t="n">
        <v>46049</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26318-2023</t>
        </is>
      </c>
      <c r="B745" s="1" t="n">
        <v>45091.67936342592</v>
      </c>
      <c r="C745" s="1" t="n">
        <v>46049</v>
      </c>
      <c r="D745" t="inlineStr">
        <is>
          <t>KALMAR LÄN</t>
        </is>
      </c>
      <c r="E745" t="inlineStr">
        <is>
          <t>VIMMERBY</t>
        </is>
      </c>
      <c r="G745" t="n">
        <v>3.8</v>
      </c>
      <c r="H745" t="n">
        <v>0</v>
      </c>
      <c r="I745" t="n">
        <v>0</v>
      </c>
      <c r="J745" t="n">
        <v>0</v>
      </c>
      <c r="K745" t="n">
        <v>0</v>
      </c>
      <c r="L745" t="n">
        <v>0</v>
      </c>
      <c r="M745" t="n">
        <v>0</v>
      </c>
      <c r="N745" t="n">
        <v>0</v>
      </c>
      <c r="O745" t="n">
        <v>0</v>
      </c>
      <c r="P745" t="n">
        <v>0</v>
      </c>
      <c r="Q745" t="n">
        <v>0</v>
      </c>
      <c r="R745" s="2" t="inlineStr"/>
    </row>
    <row r="746" ht="15" customHeight="1">
      <c r="A746" t="inlineStr">
        <is>
          <t>A 60437-2023</t>
        </is>
      </c>
      <c r="B746" s="1" t="n">
        <v>45259.51916666667</v>
      </c>
      <c r="C746" s="1" t="n">
        <v>46049</v>
      </c>
      <c r="D746" t="inlineStr">
        <is>
          <t>KALMAR LÄN</t>
        </is>
      </c>
      <c r="E746" t="inlineStr">
        <is>
          <t>VIMMERBY</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60438-2023</t>
        </is>
      </c>
      <c r="B747" s="1" t="n">
        <v>45259.52020833334</v>
      </c>
      <c r="C747" s="1" t="n">
        <v>46049</v>
      </c>
      <c r="D747" t="inlineStr">
        <is>
          <t>KALMAR LÄN</t>
        </is>
      </c>
      <c r="E747" t="inlineStr">
        <is>
          <t>VIMMERBY</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7758-2024</t>
        </is>
      </c>
      <c r="B748" s="1" t="n">
        <v>45349.54434027777</v>
      </c>
      <c r="C748" s="1" t="n">
        <v>46049</v>
      </c>
      <c r="D748" t="inlineStr">
        <is>
          <t>KALMAR LÄN</t>
        </is>
      </c>
      <c r="E748" t="inlineStr">
        <is>
          <t>VIMMERBY</t>
        </is>
      </c>
      <c r="G748" t="n">
        <v>3.5</v>
      </c>
      <c r="H748" t="n">
        <v>0</v>
      </c>
      <c r="I748" t="n">
        <v>0</v>
      </c>
      <c r="J748" t="n">
        <v>0</v>
      </c>
      <c r="K748" t="n">
        <v>0</v>
      </c>
      <c r="L748" t="n">
        <v>0</v>
      </c>
      <c r="M748" t="n">
        <v>0</v>
      </c>
      <c r="N748" t="n">
        <v>0</v>
      </c>
      <c r="O748" t="n">
        <v>0</v>
      </c>
      <c r="P748" t="n">
        <v>0</v>
      </c>
      <c r="Q748" t="n">
        <v>0</v>
      </c>
      <c r="R748" s="2" t="inlineStr"/>
    </row>
    <row r="749" ht="15" customHeight="1">
      <c r="A749" t="inlineStr">
        <is>
          <t>A 7456-2024</t>
        </is>
      </c>
      <c r="B749" s="1" t="n">
        <v>45345.83557870371</v>
      </c>
      <c r="C749" s="1" t="n">
        <v>46049</v>
      </c>
      <c r="D749" t="inlineStr">
        <is>
          <t>KALMAR LÄN</t>
        </is>
      </c>
      <c r="E749" t="inlineStr">
        <is>
          <t>VIMMERBY</t>
        </is>
      </c>
      <c r="G749" t="n">
        <v>4.1</v>
      </c>
      <c r="H749" t="n">
        <v>0</v>
      </c>
      <c r="I749" t="n">
        <v>0</v>
      </c>
      <c r="J749" t="n">
        <v>0</v>
      </c>
      <c r="K749" t="n">
        <v>0</v>
      </c>
      <c r="L749" t="n">
        <v>0</v>
      </c>
      <c r="M749" t="n">
        <v>0</v>
      </c>
      <c r="N749" t="n">
        <v>0</v>
      </c>
      <c r="O749" t="n">
        <v>0</v>
      </c>
      <c r="P749" t="n">
        <v>0</v>
      </c>
      <c r="Q749" t="n">
        <v>0</v>
      </c>
      <c r="R749" s="2" t="inlineStr"/>
    </row>
    <row r="750" ht="15" customHeight="1">
      <c r="A750" t="inlineStr">
        <is>
          <t>A 6082-2022</t>
        </is>
      </c>
      <c r="B750" s="1" t="n">
        <v>44599</v>
      </c>
      <c r="C750" s="1" t="n">
        <v>46049</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46979-2023</t>
        </is>
      </c>
      <c r="B751" s="1" t="n">
        <v>45201</v>
      </c>
      <c r="C751" s="1" t="n">
        <v>46049</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2596-2025</t>
        </is>
      </c>
      <c r="B752" s="1" t="n">
        <v>45674.71810185185</v>
      </c>
      <c r="C752" s="1" t="n">
        <v>46049</v>
      </c>
      <c r="D752" t="inlineStr">
        <is>
          <t>KALMAR LÄN</t>
        </is>
      </c>
      <c r="E752" t="inlineStr">
        <is>
          <t>VIMMERBY</t>
        </is>
      </c>
      <c r="G752" t="n">
        <v>9</v>
      </c>
      <c r="H752" t="n">
        <v>0</v>
      </c>
      <c r="I752" t="n">
        <v>0</v>
      </c>
      <c r="J752" t="n">
        <v>0</v>
      </c>
      <c r="K752" t="n">
        <v>0</v>
      </c>
      <c r="L752" t="n">
        <v>0</v>
      </c>
      <c r="M752" t="n">
        <v>0</v>
      </c>
      <c r="N752" t="n">
        <v>0</v>
      </c>
      <c r="O752" t="n">
        <v>0</v>
      </c>
      <c r="P752" t="n">
        <v>0</v>
      </c>
      <c r="Q752" t="n">
        <v>0</v>
      </c>
      <c r="R752" s="2" t="inlineStr"/>
    </row>
    <row r="753" ht="15" customHeight="1">
      <c r="A753" t="inlineStr">
        <is>
          <t>A 47855-2024</t>
        </is>
      </c>
      <c r="B753" s="1" t="n">
        <v>45588.66457175926</v>
      </c>
      <c r="C753" s="1" t="n">
        <v>46049</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63583-2023</t>
        </is>
      </c>
      <c r="B754" s="1" t="n">
        <v>45275.41833333333</v>
      </c>
      <c r="C754" s="1" t="n">
        <v>46049</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60228-2021</t>
        </is>
      </c>
      <c r="B755" s="1" t="n">
        <v>44495</v>
      </c>
      <c r="C755" s="1" t="n">
        <v>46049</v>
      </c>
      <c r="D755" t="inlineStr">
        <is>
          <t>KALMAR LÄN</t>
        </is>
      </c>
      <c r="E755" t="inlineStr">
        <is>
          <t>VIMMERBY</t>
        </is>
      </c>
      <c r="G755" t="n">
        <v>4.1</v>
      </c>
      <c r="H755" t="n">
        <v>0</v>
      </c>
      <c r="I755" t="n">
        <v>0</v>
      </c>
      <c r="J755" t="n">
        <v>0</v>
      </c>
      <c r="K755" t="n">
        <v>0</v>
      </c>
      <c r="L755" t="n">
        <v>0</v>
      </c>
      <c r="M755" t="n">
        <v>0</v>
      </c>
      <c r="N755" t="n">
        <v>0</v>
      </c>
      <c r="O755" t="n">
        <v>0</v>
      </c>
      <c r="P755" t="n">
        <v>0</v>
      </c>
      <c r="Q755" t="n">
        <v>0</v>
      </c>
      <c r="R755" s="2" t="inlineStr"/>
    </row>
    <row r="756" ht="15" customHeight="1">
      <c r="A756" t="inlineStr">
        <is>
          <t>A 46522-2022</t>
        </is>
      </c>
      <c r="B756" s="1" t="n">
        <v>44848.59133101852</v>
      </c>
      <c r="C756" s="1" t="n">
        <v>46049</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21109-2024</t>
        </is>
      </c>
      <c r="B757" s="1" t="n">
        <v>45440.28329861111</v>
      </c>
      <c r="C757" s="1" t="n">
        <v>46049</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33815-2022</t>
        </is>
      </c>
      <c r="B758" s="1" t="n">
        <v>44790.45876157407</v>
      </c>
      <c r="C758" s="1" t="n">
        <v>46049</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49461-2022</t>
        </is>
      </c>
      <c r="B759" s="1" t="n">
        <v>44861</v>
      </c>
      <c r="C759" s="1" t="n">
        <v>46049</v>
      </c>
      <c r="D759" t="inlineStr">
        <is>
          <t>KALMAR LÄN</t>
        </is>
      </c>
      <c r="E759" t="inlineStr">
        <is>
          <t>VIMMERBY</t>
        </is>
      </c>
      <c r="G759" t="n">
        <v>3.2</v>
      </c>
      <c r="H759" t="n">
        <v>0</v>
      </c>
      <c r="I759" t="n">
        <v>0</v>
      </c>
      <c r="J759" t="n">
        <v>0</v>
      </c>
      <c r="K759" t="n">
        <v>0</v>
      </c>
      <c r="L759" t="n">
        <v>0</v>
      </c>
      <c r="M759" t="n">
        <v>0</v>
      </c>
      <c r="N759" t="n">
        <v>0</v>
      </c>
      <c r="O759" t="n">
        <v>0</v>
      </c>
      <c r="P759" t="n">
        <v>0</v>
      </c>
      <c r="Q759" t="n">
        <v>0</v>
      </c>
      <c r="R759" s="2" t="inlineStr"/>
    </row>
    <row r="760" ht="15" customHeight="1">
      <c r="A760" t="inlineStr">
        <is>
          <t>A 53542-2022</t>
        </is>
      </c>
      <c r="B760" s="1" t="n">
        <v>44879.62173611111</v>
      </c>
      <c r="C760" s="1" t="n">
        <v>46049</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35713-2023</t>
        </is>
      </c>
      <c r="B761" s="1" t="n">
        <v>45147</v>
      </c>
      <c r="C761" s="1" t="n">
        <v>46049</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10424-2023</t>
        </is>
      </c>
      <c r="B762" s="1" t="n">
        <v>44987.54104166666</v>
      </c>
      <c r="C762" s="1" t="n">
        <v>46049</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row r="763" ht="15" customHeight="1">
      <c r="A763" t="inlineStr">
        <is>
          <t>A 33340-2023</t>
        </is>
      </c>
      <c r="B763" s="1" t="n">
        <v>45128.37305555555</v>
      </c>
      <c r="C763" s="1" t="n">
        <v>46049</v>
      </c>
      <c r="D763" t="inlineStr">
        <is>
          <t>KALMAR LÄN</t>
        </is>
      </c>
      <c r="E763" t="inlineStr">
        <is>
          <t>VIMMERBY</t>
        </is>
      </c>
      <c r="G763" t="n">
        <v>1.5</v>
      </c>
      <c r="H763" t="n">
        <v>0</v>
      </c>
      <c r="I763" t="n">
        <v>0</v>
      </c>
      <c r="J763" t="n">
        <v>0</v>
      </c>
      <c r="K763" t="n">
        <v>0</v>
      </c>
      <c r="L763" t="n">
        <v>0</v>
      </c>
      <c r="M763" t="n">
        <v>0</v>
      </c>
      <c r="N763" t="n">
        <v>0</v>
      </c>
      <c r="O763" t="n">
        <v>0</v>
      </c>
      <c r="P763" t="n">
        <v>0</v>
      </c>
      <c r="Q763" t="n">
        <v>0</v>
      </c>
      <c r="R763" s="2" t="inlineStr"/>
    </row>
    <row r="764" ht="15" customHeight="1">
      <c r="A764" t="inlineStr">
        <is>
          <t>A 29017-2024</t>
        </is>
      </c>
      <c r="B764" s="1" t="n">
        <v>45481.56722222222</v>
      </c>
      <c r="C764" s="1" t="n">
        <v>46049</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58046-2022</t>
        </is>
      </c>
      <c r="B765" s="1" t="n">
        <v>44900.57393518519</v>
      </c>
      <c r="C765" s="1" t="n">
        <v>46049</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14548-2024</t>
        </is>
      </c>
      <c r="B766" s="1" t="n">
        <v>45394.66887731481</v>
      </c>
      <c r="C766" s="1" t="n">
        <v>46049</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48120-2022</t>
        </is>
      </c>
      <c r="B767" s="1" t="n">
        <v>44857.65989583333</v>
      </c>
      <c r="C767" s="1" t="n">
        <v>46049</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3423-2022</t>
        </is>
      </c>
      <c r="B768" s="1" t="n">
        <v>44585.50431712963</v>
      </c>
      <c r="C768" s="1" t="n">
        <v>46049</v>
      </c>
      <c r="D768" t="inlineStr">
        <is>
          <t>KALMAR LÄN</t>
        </is>
      </c>
      <c r="E768" t="inlineStr">
        <is>
          <t>VIMMERBY</t>
        </is>
      </c>
      <c r="G768" t="n">
        <v>1.7</v>
      </c>
      <c r="H768" t="n">
        <v>0</v>
      </c>
      <c r="I768" t="n">
        <v>0</v>
      </c>
      <c r="J768" t="n">
        <v>0</v>
      </c>
      <c r="K768" t="n">
        <v>0</v>
      </c>
      <c r="L768" t="n">
        <v>0</v>
      </c>
      <c r="M768" t="n">
        <v>0</v>
      </c>
      <c r="N768" t="n">
        <v>0</v>
      </c>
      <c r="O768" t="n">
        <v>0</v>
      </c>
      <c r="P768" t="n">
        <v>0</v>
      </c>
      <c r="Q768" t="n">
        <v>0</v>
      </c>
      <c r="R768" s="2" t="inlineStr"/>
    </row>
    <row r="769" ht="15" customHeight="1">
      <c r="A769" t="inlineStr">
        <is>
          <t>A 11074-2023</t>
        </is>
      </c>
      <c r="B769" s="1" t="n">
        <v>44992.34151620371</v>
      </c>
      <c r="C769" s="1" t="n">
        <v>46049</v>
      </c>
      <c r="D769" t="inlineStr">
        <is>
          <t>KALMAR LÄN</t>
        </is>
      </c>
      <c r="E769" t="inlineStr">
        <is>
          <t>VIMMERBY</t>
        </is>
      </c>
      <c r="F769" t="inlineStr">
        <is>
          <t>Sveaskog</t>
        </is>
      </c>
      <c r="G769" t="n">
        <v>3.1</v>
      </c>
      <c r="H769" t="n">
        <v>0</v>
      </c>
      <c r="I769" t="n">
        <v>0</v>
      </c>
      <c r="J769" t="n">
        <v>0</v>
      </c>
      <c r="K769" t="n">
        <v>0</v>
      </c>
      <c r="L769" t="n">
        <v>0</v>
      </c>
      <c r="M769" t="n">
        <v>0</v>
      </c>
      <c r="N769" t="n">
        <v>0</v>
      </c>
      <c r="O769" t="n">
        <v>0</v>
      </c>
      <c r="P769" t="n">
        <v>0</v>
      </c>
      <c r="Q769" t="n">
        <v>0</v>
      </c>
      <c r="R769" s="2" t="inlineStr"/>
    </row>
    <row r="770" ht="15" customHeight="1">
      <c r="A770" t="inlineStr">
        <is>
          <t>A 71631-2021</t>
        </is>
      </c>
      <c r="B770" s="1" t="n">
        <v>44542.90072916666</v>
      </c>
      <c r="C770" s="1" t="n">
        <v>46049</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49039-2021</t>
        </is>
      </c>
      <c r="B771" s="1" t="n">
        <v>44453.56578703703</v>
      </c>
      <c r="C771" s="1" t="n">
        <v>46049</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42918-2021</t>
        </is>
      </c>
      <c r="B772" s="1" t="n">
        <v>44431</v>
      </c>
      <c r="C772" s="1" t="n">
        <v>46049</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529-2022</t>
        </is>
      </c>
      <c r="B773" s="1" t="n">
        <v>44566</v>
      </c>
      <c r="C773" s="1" t="n">
        <v>46049</v>
      </c>
      <c r="D773" t="inlineStr">
        <is>
          <t>KALMAR LÄN</t>
        </is>
      </c>
      <c r="E773" t="inlineStr">
        <is>
          <t>VIMMERBY</t>
        </is>
      </c>
      <c r="G773" t="n">
        <v>1.5</v>
      </c>
      <c r="H773" t="n">
        <v>0</v>
      </c>
      <c r="I773" t="n">
        <v>0</v>
      </c>
      <c r="J773" t="n">
        <v>0</v>
      </c>
      <c r="K773" t="n">
        <v>0</v>
      </c>
      <c r="L773" t="n">
        <v>0</v>
      </c>
      <c r="M773" t="n">
        <v>0</v>
      </c>
      <c r="N773" t="n">
        <v>0</v>
      </c>
      <c r="O773" t="n">
        <v>0</v>
      </c>
      <c r="P773" t="n">
        <v>0</v>
      </c>
      <c r="Q773" t="n">
        <v>0</v>
      </c>
      <c r="R773" s="2" t="inlineStr"/>
    </row>
    <row r="774" ht="15" customHeight="1">
      <c r="A774" t="inlineStr">
        <is>
          <t>A 14855-2025</t>
        </is>
      </c>
      <c r="B774" s="1" t="n">
        <v>45743.41148148148</v>
      </c>
      <c r="C774" s="1" t="n">
        <v>46049</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60951-2023</t>
        </is>
      </c>
      <c r="B775" s="1" t="n">
        <v>45261.44914351852</v>
      </c>
      <c r="C775" s="1" t="n">
        <v>46049</v>
      </c>
      <c r="D775" t="inlineStr">
        <is>
          <t>KALMAR LÄN</t>
        </is>
      </c>
      <c r="E775" t="inlineStr">
        <is>
          <t>VIMMERBY</t>
        </is>
      </c>
      <c r="G775" t="n">
        <v>4.3</v>
      </c>
      <c r="H775" t="n">
        <v>0</v>
      </c>
      <c r="I775" t="n">
        <v>0</v>
      </c>
      <c r="J775" t="n">
        <v>0</v>
      </c>
      <c r="K775" t="n">
        <v>0</v>
      </c>
      <c r="L775" t="n">
        <v>0</v>
      </c>
      <c r="M775" t="n">
        <v>0</v>
      </c>
      <c r="N775" t="n">
        <v>0</v>
      </c>
      <c r="O775" t="n">
        <v>0</v>
      </c>
      <c r="P775" t="n">
        <v>0</v>
      </c>
      <c r="Q775" t="n">
        <v>0</v>
      </c>
      <c r="R775" s="2" t="inlineStr"/>
    </row>
    <row r="776" ht="15" customHeight="1">
      <c r="A776" t="inlineStr">
        <is>
          <t>A 19162-2023</t>
        </is>
      </c>
      <c r="B776" s="1" t="n">
        <v>45048.59699074074</v>
      </c>
      <c r="C776" s="1" t="n">
        <v>46049</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31209-2024</t>
        </is>
      </c>
      <c r="B777" s="1" t="n">
        <v>45503.5658912037</v>
      </c>
      <c r="C777" s="1" t="n">
        <v>46049</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5864-2022</t>
        </is>
      </c>
      <c r="B778" s="1" t="n">
        <v>44596</v>
      </c>
      <c r="C778" s="1" t="n">
        <v>46049</v>
      </c>
      <c r="D778" t="inlineStr">
        <is>
          <t>KALMAR LÄN</t>
        </is>
      </c>
      <c r="E778" t="inlineStr">
        <is>
          <t>VIMMERBY</t>
        </is>
      </c>
      <c r="G778" t="n">
        <v>0.7</v>
      </c>
      <c r="H778" t="n">
        <v>0</v>
      </c>
      <c r="I778" t="n">
        <v>0</v>
      </c>
      <c r="J778" t="n">
        <v>0</v>
      </c>
      <c r="K778" t="n">
        <v>0</v>
      </c>
      <c r="L778" t="n">
        <v>0</v>
      </c>
      <c r="M778" t="n">
        <v>0</v>
      </c>
      <c r="N778" t="n">
        <v>0</v>
      </c>
      <c r="O778" t="n">
        <v>0</v>
      </c>
      <c r="P778" t="n">
        <v>0</v>
      </c>
      <c r="Q778" t="n">
        <v>0</v>
      </c>
      <c r="R778" s="2" t="inlineStr"/>
    </row>
    <row r="779" ht="15" customHeight="1">
      <c r="A779" t="inlineStr">
        <is>
          <t>A 3938-2023</t>
        </is>
      </c>
      <c r="B779" s="1" t="n">
        <v>44952.35775462963</v>
      </c>
      <c r="C779" s="1" t="n">
        <v>46049</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26937-2023</t>
        </is>
      </c>
      <c r="B780" s="1" t="n">
        <v>45093.62777777778</v>
      </c>
      <c r="C780" s="1" t="n">
        <v>46049</v>
      </c>
      <c r="D780" t="inlineStr">
        <is>
          <t>KALMAR LÄN</t>
        </is>
      </c>
      <c r="E780" t="inlineStr">
        <is>
          <t>VIMMERBY</t>
        </is>
      </c>
      <c r="F780" t="inlineStr">
        <is>
          <t>Sveaskog</t>
        </is>
      </c>
      <c r="G780" t="n">
        <v>14.5</v>
      </c>
      <c r="H780" t="n">
        <v>0</v>
      </c>
      <c r="I780" t="n">
        <v>0</v>
      </c>
      <c r="J780" t="n">
        <v>0</v>
      </c>
      <c r="K780" t="n">
        <v>0</v>
      </c>
      <c r="L780" t="n">
        <v>0</v>
      </c>
      <c r="M780" t="n">
        <v>0</v>
      </c>
      <c r="N780" t="n">
        <v>0</v>
      </c>
      <c r="O780" t="n">
        <v>0</v>
      </c>
      <c r="P780" t="n">
        <v>0</v>
      </c>
      <c r="Q780" t="n">
        <v>0</v>
      </c>
      <c r="R780" s="2" t="inlineStr"/>
    </row>
    <row r="781" ht="15" customHeight="1">
      <c r="A781" t="inlineStr">
        <is>
          <t>A 50085-2023</t>
        </is>
      </c>
      <c r="B781" s="1" t="n">
        <v>45215.5959375</v>
      </c>
      <c r="C781" s="1" t="n">
        <v>46049</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11219-2023</t>
        </is>
      </c>
      <c r="B782" s="1" t="n">
        <v>44992.62498842592</v>
      </c>
      <c r="C782" s="1" t="n">
        <v>46049</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44967.44255787037</v>
      </c>
      <c r="C783" s="1" t="n">
        <v>46049</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6358-2022</t>
        </is>
      </c>
      <c r="B784" s="1" t="n">
        <v>44600</v>
      </c>
      <c r="C784" s="1" t="n">
        <v>46049</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43853-2023</t>
        </is>
      </c>
      <c r="B785" s="1" t="n">
        <v>45187.60813657408</v>
      </c>
      <c r="C785" s="1" t="n">
        <v>46049</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7075-2021</t>
        </is>
      </c>
      <c r="B786" s="1" t="n">
        <v>44237</v>
      </c>
      <c r="C786" s="1" t="n">
        <v>46049</v>
      </c>
      <c r="D786" t="inlineStr">
        <is>
          <t>KALMAR LÄN</t>
        </is>
      </c>
      <c r="E786" t="inlineStr">
        <is>
          <t>VIMMERBY</t>
        </is>
      </c>
      <c r="G786" t="n">
        <v>3.6</v>
      </c>
      <c r="H786" t="n">
        <v>0</v>
      </c>
      <c r="I786" t="n">
        <v>0</v>
      </c>
      <c r="J786" t="n">
        <v>0</v>
      </c>
      <c r="K786" t="n">
        <v>0</v>
      </c>
      <c r="L786" t="n">
        <v>0</v>
      </c>
      <c r="M786" t="n">
        <v>0</v>
      </c>
      <c r="N786" t="n">
        <v>0</v>
      </c>
      <c r="O786" t="n">
        <v>0</v>
      </c>
      <c r="P786" t="n">
        <v>0</v>
      </c>
      <c r="Q786" t="n">
        <v>0</v>
      </c>
      <c r="R786" s="2" t="inlineStr"/>
    </row>
    <row r="787" ht="15" customHeight="1">
      <c r="A787" t="inlineStr">
        <is>
          <t>A 48673-2021</t>
        </is>
      </c>
      <c r="B787" s="1" t="n">
        <v>44452</v>
      </c>
      <c r="C787" s="1" t="n">
        <v>46049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14137-2023</t>
        </is>
      </c>
      <c r="B788" s="1" t="n">
        <v>45009.4671875</v>
      </c>
      <c r="C788" s="1" t="n">
        <v>46049</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7630-2025</t>
        </is>
      </c>
      <c r="B789" s="1" t="n">
        <v>45705.74418981482</v>
      </c>
      <c r="C789" s="1" t="n">
        <v>46049</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38780-2021</t>
        </is>
      </c>
      <c r="B790" s="1" t="n">
        <v>44410</v>
      </c>
      <c r="C790" s="1" t="n">
        <v>46049</v>
      </c>
      <c r="D790" t="inlineStr">
        <is>
          <t>KALMAR LÄN</t>
        </is>
      </c>
      <c r="E790" t="inlineStr">
        <is>
          <t>VIMMERBY</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30503-2023</t>
        </is>
      </c>
      <c r="B791" s="1" t="n">
        <v>45111</v>
      </c>
      <c r="C791" s="1" t="n">
        <v>46049</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60110-2022</t>
        </is>
      </c>
      <c r="B792" s="1" t="n">
        <v>44909</v>
      </c>
      <c r="C792" s="1" t="n">
        <v>46049</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59300-2024</t>
        </is>
      </c>
      <c r="B793" s="1" t="n">
        <v>45637.66542824074</v>
      </c>
      <c r="C793" s="1" t="n">
        <v>46049</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19445-2021</t>
        </is>
      </c>
      <c r="B794" s="1" t="n">
        <v>44310</v>
      </c>
      <c r="C794" s="1" t="n">
        <v>46049</v>
      </c>
      <c r="D794" t="inlineStr">
        <is>
          <t>KALMAR LÄN</t>
        </is>
      </c>
      <c r="E794" t="inlineStr">
        <is>
          <t>VIMMERBY</t>
        </is>
      </c>
      <c r="G794" t="n">
        <v>6.8</v>
      </c>
      <c r="H794" t="n">
        <v>0</v>
      </c>
      <c r="I794" t="n">
        <v>0</v>
      </c>
      <c r="J794" t="n">
        <v>0</v>
      </c>
      <c r="K794" t="n">
        <v>0</v>
      </c>
      <c r="L794" t="n">
        <v>0</v>
      </c>
      <c r="M794" t="n">
        <v>0</v>
      </c>
      <c r="N794" t="n">
        <v>0</v>
      </c>
      <c r="O794" t="n">
        <v>0</v>
      </c>
      <c r="P794" t="n">
        <v>0</v>
      </c>
      <c r="Q794" t="n">
        <v>0</v>
      </c>
      <c r="R794" s="2" t="inlineStr"/>
    </row>
    <row r="795" ht="15" customHeight="1">
      <c r="A795" t="inlineStr">
        <is>
          <t>A 18329-2023</t>
        </is>
      </c>
      <c r="B795" s="1" t="n">
        <v>45041.63380787037</v>
      </c>
      <c r="C795" s="1" t="n">
        <v>46049</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5720-2023</t>
        </is>
      </c>
      <c r="B796" s="1" t="n">
        <v>44961</v>
      </c>
      <c r="C796" s="1" t="n">
        <v>46049</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61538-2022</t>
        </is>
      </c>
      <c r="B797" s="1" t="n">
        <v>44916.55414351852</v>
      </c>
      <c r="C797" s="1" t="n">
        <v>46049</v>
      </c>
      <c r="D797" t="inlineStr">
        <is>
          <t>KALMAR LÄN</t>
        </is>
      </c>
      <c r="E797" t="inlineStr">
        <is>
          <t>VIMMERBY</t>
        </is>
      </c>
      <c r="G797" t="n">
        <v>1.5</v>
      </c>
      <c r="H797" t="n">
        <v>0</v>
      </c>
      <c r="I797" t="n">
        <v>0</v>
      </c>
      <c r="J797" t="n">
        <v>0</v>
      </c>
      <c r="K797" t="n">
        <v>0</v>
      </c>
      <c r="L797" t="n">
        <v>0</v>
      </c>
      <c r="M797" t="n">
        <v>0</v>
      </c>
      <c r="N797" t="n">
        <v>0</v>
      </c>
      <c r="O797" t="n">
        <v>0</v>
      </c>
      <c r="P797" t="n">
        <v>0</v>
      </c>
      <c r="Q797" t="n">
        <v>0</v>
      </c>
      <c r="R797" s="2" t="inlineStr"/>
    </row>
    <row r="798" ht="15" customHeight="1">
      <c r="A798" t="inlineStr">
        <is>
          <t>A 694-2024</t>
        </is>
      </c>
      <c r="B798" s="1" t="n">
        <v>45300.3794212963</v>
      </c>
      <c r="C798" s="1" t="n">
        <v>46049</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57114-2023</t>
        </is>
      </c>
      <c r="B799" s="1" t="n">
        <v>45245.36174768519</v>
      </c>
      <c r="C799" s="1" t="n">
        <v>46049</v>
      </c>
      <c r="D799" t="inlineStr">
        <is>
          <t>KALMAR LÄN</t>
        </is>
      </c>
      <c r="E799" t="inlineStr">
        <is>
          <t>VIMMERBY</t>
        </is>
      </c>
      <c r="G799" t="n">
        <v>1.5</v>
      </c>
      <c r="H799" t="n">
        <v>0</v>
      </c>
      <c r="I799" t="n">
        <v>0</v>
      </c>
      <c r="J799" t="n">
        <v>0</v>
      </c>
      <c r="K799" t="n">
        <v>0</v>
      </c>
      <c r="L799" t="n">
        <v>0</v>
      </c>
      <c r="M799" t="n">
        <v>0</v>
      </c>
      <c r="N799" t="n">
        <v>0</v>
      </c>
      <c r="O799" t="n">
        <v>0</v>
      </c>
      <c r="P799" t="n">
        <v>0</v>
      </c>
      <c r="Q799" t="n">
        <v>0</v>
      </c>
      <c r="R799" s="2" t="inlineStr"/>
    </row>
    <row r="800" ht="15" customHeight="1">
      <c r="A800" t="inlineStr">
        <is>
          <t>A 12327-2023</t>
        </is>
      </c>
      <c r="B800" s="1" t="n">
        <v>44999.36081018519</v>
      </c>
      <c r="C800" s="1" t="n">
        <v>46049</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30633-2024</t>
        </is>
      </c>
      <c r="B801" s="1" t="n">
        <v>45495</v>
      </c>
      <c r="C801" s="1" t="n">
        <v>46049</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33424-2023</t>
        </is>
      </c>
      <c r="B802" s="1" t="n">
        <v>45128.9325</v>
      </c>
      <c r="C802" s="1" t="n">
        <v>46049</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33425-2023</t>
        </is>
      </c>
      <c r="B803" s="1" t="n">
        <v>45128.93540509259</v>
      </c>
      <c r="C803" s="1" t="n">
        <v>46049</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46049</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8650-2022</t>
        </is>
      </c>
      <c r="B805" s="1" t="n">
        <v>44613</v>
      </c>
      <c r="C805" s="1" t="n">
        <v>46049</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46049</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16676-2023</t>
        </is>
      </c>
      <c r="B807" s="1" t="n">
        <v>45028</v>
      </c>
      <c r="C807" s="1" t="n">
        <v>46049</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23263-2024</t>
        </is>
      </c>
      <c r="B808" s="1" t="n">
        <v>45453.36854166666</v>
      </c>
      <c r="C808" s="1" t="n">
        <v>46049</v>
      </c>
      <c r="D808" t="inlineStr">
        <is>
          <t>KALMAR LÄN</t>
        </is>
      </c>
      <c r="E808" t="inlineStr">
        <is>
          <t>VIMMERBY</t>
        </is>
      </c>
      <c r="G808" t="n">
        <v>0.7</v>
      </c>
      <c r="H808" t="n">
        <v>0</v>
      </c>
      <c r="I808" t="n">
        <v>0</v>
      </c>
      <c r="J808" t="n">
        <v>0</v>
      </c>
      <c r="K808" t="n">
        <v>0</v>
      </c>
      <c r="L808" t="n">
        <v>0</v>
      </c>
      <c r="M808" t="n">
        <v>0</v>
      </c>
      <c r="N808" t="n">
        <v>0</v>
      </c>
      <c r="O808" t="n">
        <v>0</v>
      </c>
      <c r="P808" t="n">
        <v>0</v>
      </c>
      <c r="Q808" t="n">
        <v>0</v>
      </c>
      <c r="R808" s="2" t="inlineStr"/>
    </row>
    <row r="809" ht="15" customHeight="1">
      <c r="A809" t="inlineStr">
        <is>
          <t>A 49488-2023</t>
        </is>
      </c>
      <c r="B809" s="1" t="n">
        <v>45211.55472222222</v>
      </c>
      <c r="C809" s="1" t="n">
        <v>46049</v>
      </c>
      <c r="D809" t="inlineStr">
        <is>
          <t>KALMAR LÄN</t>
        </is>
      </c>
      <c r="E809" t="inlineStr">
        <is>
          <t>VIMMERBY</t>
        </is>
      </c>
      <c r="F809" t="inlineStr">
        <is>
          <t>Sveaskog</t>
        </is>
      </c>
      <c r="G809" t="n">
        <v>6.2</v>
      </c>
      <c r="H809" t="n">
        <v>0</v>
      </c>
      <c r="I809" t="n">
        <v>0</v>
      </c>
      <c r="J809" t="n">
        <v>0</v>
      </c>
      <c r="K809" t="n">
        <v>0</v>
      </c>
      <c r="L809" t="n">
        <v>0</v>
      </c>
      <c r="M809" t="n">
        <v>0</v>
      </c>
      <c r="N809" t="n">
        <v>0</v>
      </c>
      <c r="O809" t="n">
        <v>0</v>
      </c>
      <c r="P809" t="n">
        <v>0</v>
      </c>
      <c r="Q809" t="n">
        <v>0</v>
      </c>
      <c r="R809" s="2" t="inlineStr"/>
    </row>
    <row r="810" ht="15" customHeight="1">
      <c r="A810" t="inlineStr">
        <is>
          <t>A 59768-2024</t>
        </is>
      </c>
      <c r="B810" s="1" t="n">
        <v>45639.56185185185</v>
      </c>
      <c r="C810" s="1" t="n">
        <v>46049</v>
      </c>
      <c r="D810" t="inlineStr">
        <is>
          <t>KALMAR LÄN</t>
        </is>
      </c>
      <c r="E810" t="inlineStr">
        <is>
          <t>VIMMERBY</t>
        </is>
      </c>
      <c r="G810" t="n">
        <v>5.9</v>
      </c>
      <c r="H810" t="n">
        <v>0</v>
      </c>
      <c r="I810" t="n">
        <v>0</v>
      </c>
      <c r="J810" t="n">
        <v>0</v>
      </c>
      <c r="K810" t="n">
        <v>0</v>
      </c>
      <c r="L810" t="n">
        <v>0</v>
      </c>
      <c r="M810" t="n">
        <v>0</v>
      </c>
      <c r="N810" t="n">
        <v>0</v>
      </c>
      <c r="O810" t="n">
        <v>0</v>
      </c>
      <c r="P810" t="n">
        <v>0</v>
      </c>
      <c r="Q810" t="n">
        <v>0</v>
      </c>
      <c r="R810" s="2" t="inlineStr"/>
    </row>
    <row r="811" ht="15" customHeight="1">
      <c r="A811" t="inlineStr">
        <is>
          <t>A 72067-2021</t>
        </is>
      </c>
      <c r="B811" s="1" t="n">
        <v>44540</v>
      </c>
      <c r="C811" s="1" t="n">
        <v>46049</v>
      </c>
      <c r="D811" t="inlineStr">
        <is>
          <t>KALMAR LÄN</t>
        </is>
      </c>
      <c r="E811" t="inlineStr">
        <is>
          <t>VIMMERBY</t>
        </is>
      </c>
      <c r="G811" t="n">
        <v>1.6</v>
      </c>
      <c r="H811" t="n">
        <v>0</v>
      </c>
      <c r="I811" t="n">
        <v>0</v>
      </c>
      <c r="J811" t="n">
        <v>0</v>
      </c>
      <c r="K811" t="n">
        <v>0</v>
      </c>
      <c r="L811" t="n">
        <v>0</v>
      </c>
      <c r="M811" t="n">
        <v>0</v>
      </c>
      <c r="N811" t="n">
        <v>0</v>
      </c>
      <c r="O811" t="n">
        <v>0</v>
      </c>
      <c r="P811" t="n">
        <v>0</v>
      </c>
      <c r="Q811" t="n">
        <v>0</v>
      </c>
      <c r="R811" s="2" t="inlineStr"/>
    </row>
    <row r="812" ht="15" customHeight="1">
      <c r="A812" t="inlineStr">
        <is>
          <t>A 41158-2023</t>
        </is>
      </c>
      <c r="B812" s="1" t="n">
        <v>45174.31395833333</v>
      </c>
      <c r="C812" s="1" t="n">
        <v>46049</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22198-2024</t>
        </is>
      </c>
      <c r="B813" s="1" t="n">
        <v>45446.36865740741</v>
      </c>
      <c r="C813" s="1" t="n">
        <v>46049</v>
      </c>
      <c r="D813" t="inlineStr">
        <is>
          <t>KALMAR LÄN</t>
        </is>
      </c>
      <c r="E813" t="inlineStr">
        <is>
          <t>VIMMERBY</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9511-2023</t>
        </is>
      </c>
      <c r="B814" s="1" t="n">
        <v>44981.64725694444</v>
      </c>
      <c r="C814" s="1" t="n">
        <v>46049</v>
      </c>
      <c r="D814" t="inlineStr">
        <is>
          <t>KALMAR LÄN</t>
        </is>
      </c>
      <c r="E814" t="inlineStr">
        <is>
          <t>VIMMERBY</t>
        </is>
      </c>
      <c r="G814" t="n">
        <v>3.5</v>
      </c>
      <c r="H814" t="n">
        <v>0</v>
      </c>
      <c r="I814" t="n">
        <v>0</v>
      </c>
      <c r="J814" t="n">
        <v>0</v>
      </c>
      <c r="K814" t="n">
        <v>0</v>
      </c>
      <c r="L814" t="n">
        <v>0</v>
      </c>
      <c r="M814" t="n">
        <v>0</v>
      </c>
      <c r="N814" t="n">
        <v>0</v>
      </c>
      <c r="O814" t="n">
        <v>0</v>
      </c>
      <c r="P814" t="n">
        <v>0</v>
      </c>
      <c r="Q814" t="n">
        <v>0</v>
      </c>
      <c r="R814" s="2" t="inlineStr"/>
    </row>
    <row r="815" ht="15" customHeight="1">
      <c r="A815" t="inlineStr">
        <is>
          <t>A 34205-2023</t>
        </is>
      </c>
      <c r="B815" s="1" t="n">
        <v>45138</v>
      </c>
      <c r="C815" s="1" t="n">
        <v>46049</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57091-2022</t>
        </is>
      </c>
      <c r="B816" s="1" t="n">
        <v>44895.46524305556</v>
      </c>
      <c r="C816" s="1" t="n">
        <v>46049</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2604-2025</t>
        </is>
      </c>
      <c r="B817" s="1" t="n">
        <v>45674.74094907408</v>
      </c>
      <c r="C817" s="1" t="n">
        <v>46049</v>
      </c>
      <c r="D817" t="inlineStr">
        <is>
          <t>KALMAR LÄN</t>
        </is>
      </c>
      <c r="E817" t="inlineStr">
        <is>
          <t>VIMMERBY</t>
        </is>
      </c>
      <c r="G817" t="n">
        <v>7.6</v>
      </c>
      <c r="H817" t="n">
        <v>0</v>
      </c>
      <c r="I817" t="n">
        <v>0</v>
      </c>
      <c r="J817" t="n">
        <v>0</v>
      </c>
      <c r="K817" t="n">
        <v>0</v>
      </c>
      <c r="L817" t="n">
        <v>0</v>
      </c>
      <c r="M817" t="n">
        <v>0</v>
      </c>
      <c r="N817" t="n">
        <v>0</v>
      </c>
      <c r="O817" t="n">
        <v>0</v>
      </c>
      <c r="P817" t="n">
        <v>0</v>
      </c>
      <c r="Q817" t="n">
        <v>0</v>
      </c>
      <c r="R817" s="2" t="inlineStr"/>
    </row>
    <row r="818" ht="15" customHeight="1">
      <c r="A818" t="inlineStr">
        <is>
          <t>A 6807-2025</t>
        </is>
      </c>
      <c r="B818" s="1" t="n">
        <v>45700.68672453704</v>
      </c>
      <c r="C818" s="1" t="n">
        <v>46049</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38851-2023</t>
        </is>
      </c>
      <c r="B819" s="1" t="n">
        <v>45163</v>
      </c>
      <c r="C819" s="1" t="n">
        <v>46049</v>
      </c>
      <c r="D819" t="inlineStr">
        <is>
          <t>KALMAR LÄN</t>
        </is>
      </c>
      <c r="E819" t="inlineStr">
        <is>
          <t>VIMMERBY</t>
        </is>
      </c>
      <c r="G819" t="n">
        <v>4.3</v>
      </c>
      <c r="H819" t="n">
        <v>0</v>
      </c>
      <c r="I819" t="n">
        <v>0</v>
      </c>
      <c r="J819" t="n">
        <v>0</v>
      </c>
      <c r="K819" t="n">
        <v>0</v>
      </c>
      <c r="L819" t="n">
        <v>0</v>
      </c>
      <c r="M819" t="n">
        <v>0</v>
      </c>
      <c r="N819" t="n">
        <v>0</v>
      </c>
      <c r="O819" t="n">
        <v>0</v>
      </c>
      <c r="P819" t="n">
        <v>0</v>
      </c>
      <c r="Q819" t="n">
        <v>0</v>
      </c>
      <c r="R819" s="2" t="inlineStr"/>
    </row>
    <row r="820" ht="15" customHeight="1">
      <c r="A820" t="inlineStr">
        <is>
          <t>A 23252-2024</t>
        </is>
      </c>
      <c r="B820" s="1" t="n">
        <v>45453.36067129629</v>
      </c>
      <c r="C820" s="1" t="n">
        <v>46049</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5792-2023</t>
        </is>
      </c>
      <c r="B821" s="1" t="n">
        <v>44963.44769675926</v>
      </c>
      <c r="C821" s="1" t="n">
        <v>46049</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2797-2023</t>
        </is>
      </c>
      <c r="B822" s="1" t="n">
        <v>44944.71386574074</v>
      </c>
      <c r="C822" s="1" t="n">
        <v>46049</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2799-2023</t>
        </is>
      </c>
      <c r="B823" s="1" t="n">
        <v>44944.72100694444</v>
      </c>
      <c r="C823" s="1" t="n">
        <v>46049</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6220-2025</t>
        </is>
      </c>
      <c r="B824" s="1" t="n">
        <v>45698.53725694444</v>
      </c>
      <c r="C824" s="1" t="n">
        <v>46049</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58278-2023</t>
        </is>
      </c>
      <c r="B825" s="1" t="n">
        <v>45250.5278587963</v>
      </c>
      <c r="C825" s="1" t="n">
        <v>46049</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36259-2022</t>
        </is>
      </c>
      <c r="B826" s="1" t="n">
        <v>44803.59118055556</v>
      </c>
      <c r="C826" s="1" t="n">
        <v>46049</v>
      </c>
      <c r="D826" t="inlineStr">
        <is>
          <t>KALMAR LÄN</t>
        </is>
      </c>
      <c r="E826" t="inlineStr">
        <is>
          <t>VIMMERBY</t>
        </is>
      </c>
      <c r="G826" t="n">
        <v>3.9</v>
      </c>
      <c r="H826" t="n">
        <v>0</v>
      </c>
      <c r="I826" t="n">
        <v>0</v>
      </c>
      <c r="J826" t="n">
        <v>0</v>
      </c>
      <c r="K826" t="n">
        <v>0</v>
      </c>
      <c r="L826" t="n">
        <v>0</v>
      </c>
      <c r="M826" t="n">
        <v>0</v>
      </c>
      <c r="N826" t="n">
        <v>0</v>
      </c>
      <c r="O826" t="n">
        <v>0</v>
      </c>
      <c r="P826" t="n">
        <v>0</v>
      </c>
      <c r="Q826" t="n">
        <v>0</v>
      </c>
      <c r="R826" s="2" t="inlineStr"/>
    </row>
    <row r="827" ht="15" customHeight="1">
      <c r="A827" t="inlineStr">
        <is>
          <t>A 36526-2023</t>
        </is>
      </c>
      <c r="B827" s="1" t="n">
        <v>45153.32778935185</v>
      </c>
      <c r="C827" s="1" t="n">
        <v>46049</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17988-2025</t>
        </is>
      </c>
      <c r="B828" s="1" t="n">
        <v>45761.39600694444</v>
      </c>
      <c r="C828" s="1" t="n">
        <v>46049</v>
      </c>
      <c r="D828" t="inlineStr">
        <is>
          <t>KALMAR LÄN</t>
        </is>
      </c>
      <c r="E828" t="inlineStr">
        <is>
          <t>VIMMERBY</t>
        </is>
      </c>
      <c r="G828" t="n">
        <v>2.8</v>
      </c>
      <c r="H828" t="n">
        <v>0</v>
      </c>
      <c r="I828" t="n">
        <v>0</v>
      </c>
      <c r="J828" t="n">
        <v>0</v>
      </c>
      <c r="K828" t="n">
        <v>0</v>
      </c>
      <c r="L828" t="n">
        <v>0</v>
      </c>
      <c r="M828" t="n">
        <v>0</v>
      </c>
      <c r="N828" t="n">
        <v>0</v>
      </c>
      <c r="O828" t="n">
        <v>0</v>
      </c>
      <c r="P828" t="n">
        <v>0</v>
      </c>
      <c r="Q828" t="n">
        <v>0</v>
      </c>
      <c r="R828" s="2" t="inlineStr"/>
    </row>
    <row r="829" ht="15" customHeight="1">
      <c r="A829" t="inlineStr">
        <is>
          <t>A 29350-2023</t>
        </is>
      </c>
      <c r="B829" s="1" t="n">
        <v>45106</v>
      </c>
      <c r="C829" s="1" t="n">
        <v>46049</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29351-2023</t>
        </is>
      </c>
      <c r="B830" s="1" t="n">
        <v>45106.2610300926</v>
      </c>
      <c r="C830" s="1" t="n">
        <v>46049</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6474-2025</t>
        </is>
      </c>
      <c r="B831" s="1" t="n">
        <v>45699.60055555555</v>
      </c>
      <c r="C831" s="1" t="n">
        <v>46049</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17-2025</t>
        </is>
      </c>
      <c r="B832" s="1" t="n">
        <v>45658.78774305555</v>
      </c>
      <c r="C832" s="1" t="n">
        <v>46049</v>
      </c>
      <c r="D832" t="inlineStr">
        <is>
          <t>KALMAR LÄN</t>
        </is>
      </c>
      <c r="E832" t="inlineStr">
        <is>
          <t>VIMMERBY</t>
        </is>
      </c>
      <c r="G832" t="n">
        <v>4.4</v>
      </c>
      <c r="H832" t="n">
        <v>0</v>
      </c>
      <c r="I832" t="n">
        <v>0</v>
      </c>
      <c r="J832" t="n">
        <v>0</v>
      </c>
      <c r="K832" t="n">
        <v>0</v>
      </c>
      <c r="L832" t="n">
        <v>0</v>
      </c>
      <c r="M832" t="n">
        <v>0</v>
      </c>
      <c r="N832" t="n">
        <v>0</v>
      </c>
      <c r="O832" t="n">
        <v>0</v>
      </c>
      <c r="P832" t="n">
        <v>0</v>
      </c>
      <c r="Q832" t="n">
        <v>0</v>
      </c>
      <c r="R832" s="2" t="inlineStr"/>
    </row>
    <row r="833" ht="15" customHeight="1">
      <c r="A833" t="inlineStr">
        <is>
          <t>A 57555-2024</t>
        </is>
      </c>
      <c r="B833" s="1" t="n">
        <v>45630.45069444444</v>
      </c>
      <c r="C833" s="1" t="n">
        <v>46049</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18411-2021</t>
        </is>
      </c>
      <c r="B834" s="1" t="n">
        <v>44302</v>
      </c>
      <c r="C834" s="1" t="n">
        <v>46049</v>
      </c>
      <c r="D834" t="inlineStr">
        <is>
          <t>KALMAR LÄN</t>
        </is>
      </c>
      <c r="E834" t="inlineStr">
        <is>
          <t>VIMMERBY</t>
        </is>
      </c>
      <c r="G834" t="n">
        <v>0.7</v>
      </c>
      <c r="H834" t="n">
        <v>0</v>
      </c>
      <c r="I834" t="n">
        <v>0</v>
      </c>
      <c r="J834" t="n">
        <v>0</v>
      </c>
      <c r="K834" t="n">
        <v>0</v>
      </c>
      <c r="L834" t="n">
        <v>0</v>
      </c>
      <c r="M834" t="n">
        <v>0</v>
      </c>
      <c r="N834" t="n">
        <v>0</v>
      </c>
      <c r="O834" t="n">
        <v>0</v>
      </c>
      <c r="P834" t="n">
        <v>0</v>
      </c>
      <c r="Q834" t="n">
        <v>0</v>
      </c>
      <c r="R834" s="2" t="inlineStr"/>
    </row>
    <row r="835" ht="15" customHeight="1">
      <c r="A835" t="inlineStr">
        <is>
          <t>A 52279-2023</t>
        </is>
      </c>
      <c r="B835" s="1" t="n">
        <v>45224</v>
      </c>
      <c r="C835" s="1" t="n">
        <v>46049</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52324-2023</t>
        </is>
      </c>
      <c r="B836" s="1" t="n">
        <v>45224.64659722222</v>
      </c>
      <c r="C836" s="1" t="n">
        <v>46049</v>
      </c>
      <c r="D836" t="inlineStr">
        <is>
          <t>KALMAR LÄN</t>
        </is>
      </c>
      <c r="E836" t="inlineStr">
        <is>
          <t>VIMMERBY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32639-2023</t>
        </is>
      </c>
      <c r="B837" s="1" t="n">
        <v>45121.5965162037</v>
      </c>
      <c r="C837" s="1" t="n">
        <v>46049</v>
      </c>
      <c r="D837" t="inlineStr">
        <is>
          <t>KALMAR LÄN</t>
        </is>
      </c>
      <c r="E837" t="inlineStr">
        <is>
          <t>VIMMERBY</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32642-2023</t>
        </is>
      </c>
      <c r="B838" s="1" t="n">
        <v>45121.59954861111</v>
      </c>
      <c r="C838" s="1" t="n">
        <v>46049</v>
      </c>
      <c r="D838" t="inlineStr">
        <is>
          <t>KALMAR LÄN</t>
        </is>
      </c>
      <c r="E838" t="inlineStr">
        <is>
          <t>VIMMERBY</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32651-2023</t>
        </is>
      </c>
      <c r="B839" s="1" t="n">
        <v>45121.6096875</v>
      </c>
      <c r="C839" s="1" t="n">
        <v>46049</v>
      </c>
      <c r="D839" t="inlineStr">
        <is>
          <t>KALMAR LÄN</t>
        </is>
      </c>
      <c r="E839" t="inlineStr">
        <is>
          <t>VIMMERBY</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40730-2024</t>
        </is>
      </c>
      <c r="B840" s="1" t="n">
        <v>45558.44914351852</v>
      </c>
      <c r="C840" s="1" t="n">
        <v>46049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9643-2023</t>
        </is>
      </c>
      <c r="B841" s="1" t="n">
        <v>44984</v>
      </c>
      <c r="C841" s="1" t="n">
        <v>46049</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56213-2024</t>
        </is>
      </c>
      <c r="B842" s="1" t="n">
        <v>45624.60141203704</v>
      </c>
      <c r="C842" s="1" t="n">
        <v>46049</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20126-2024</t>
        </is>
      </c>
      <c r="B843" s="1" t="n">
        <v>45434.55471064815</v>
      </c>
      <c r="C843" s="1" t="n">
        <v>46049</v>
      </c>
      <c r="D843" t="inlineStr">
        <is>
          <t>KALMAR LÄN</t>
        </is>
      </c>
      <c r="E843" t="inlineStr">
        <is>
          <t>VIMMERBY</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19865-2021</t>
        </is>
      </c>
      <c r="B844" s="1" t="n">
        <v>44312</v>
      </c>
      <c r="C844" s="1" t="n">
        <v>46049</v>
      </c>
      <c r="D844" t="inlineStr">
        <is>
          <t>KALMAR LÄN</t>
        </is>
      </c>
      <c r="E844" t="inlineStr">
        <is>
          <t>VIMMERBY</t>
        </is>
      </c>
      <c r="G844" t="n">
        <v>8.6</v>
      </c>
      <c r="H844" t="n">
        <v>0</v>
      </c>
      <c r="I844" t="n">
        <v>0</v>
      </c>
      <c r="J844" t="n">
        <v>0</v>
      </c>
      <c r="K844" t="n">
        <v>0</v>
      </c>
      <c r="L844" t="n">
        <v>0</v>
      </c>
      <c r="M844" t="n">
        <v>0</v>
      </c>
      <c r="N844" t="n">
        <v>0</v>
      </c>
      <c r="O844" t="n">
        <v>0</v>
      </c>
      <c r="P844" t="n">
        <v>0</v>
      </c>
      <c r="Q844" t="n">
        <v>0</v>
      </c>
      <c r="R844" s="2" t="inlineStr"/>
    </row>
    <row r="845" ht="15" customHeight="1">
      <c r="A845" t="inlineStr">
        <is>
          <t>A 9694-2023</t>
        </is>
      </c>
      <c r="B845" s="1" t="n">
        <v>44984.45895833334</v>
      </c>
      <c r="C845" s="1" t="n">
        <v>46049</v>
      </c>
      <c r="D845" t="inlineStr">
        <is>
          <t>KALMAR LÄN</t>
        </is>
      </c>
      <c r="E845" t="inlineStr">
        <is>
          <t>VIMMERBY</t>
        </is>
      </c>
      <c r="G845" t="n">
        <v>2.1</v>
      </c>
      <c r="H845" t="n">
        <v>0</v>
      </c>
      <c r="I845" t="n">
        <v>0</v>
      </c>
      <c r="J845" t="n">
        <v>0</v>
      </c>
      <c r="K845" t="n">
        <v>0</v>
      </c>
      <c r="L845" t="n">
        <v>0</v>
      </c>
      <c r="M845" t="n">
        <v>0</v>
      </c>
      <c r="N845" t="n">
        <v>0</v>
      </c>
      <c r="O845" t="n">
        <v>0</v>
      </c>
      <c r="P845" t="n">
        <v>0</v>
      </c>
      <c r="Q845" t="n">
        <v>0</v>
      </c>
      <c r="R845" s="2" t="inlineStr"/>
    </row>
    <row r="846" ht="15" customHeight="1">
      <c r="A846" t="inlineStr">
        <is>
          <t>A 9710-2023</t>
        </is>
      </c>
      <c r="B846" s="1" t="n">
        <v>44984</v>
      </c>
      <c r="C846" s="1" t="n">
        <v>46049</v>
      </c>
      <c r="D846" t="inlineStr">
        <is>
          <t>KALMAR LÄN</t>
        </is>
      </c>
      <c r="E846" t="inlineStr">
        <is>
          <t>VIMMERBY</t>
        </is>
      </c>
      <c r="G846" t="n">
        <v>3.7</v>
      </c>
      <c r="H846" t="n">
        <v>0</v>
      </c>
      <c r="I846" t="n">
        <v>0</v>
      </c>
      <c r="J846" t="n">
        <v>0</v>
      </c>
      <c r="K846" t="n">
        <v>0</v>
      </c>
      <c r="L846" t="n">
        <v>0</v>
      </c>
      <c r="M846" t="n">
        <v>0</v>
      </c>
      <c r="N846" t="n">
        <v>0</v>
      </c>
      <c r="O846" t="n">
        <v>0</v>
      </c>
      <c r="P846" t="n">
        <v>0</v>
      </c>
      <c r="Q846" t="n">
        <v>0</v>
      </c>
      <c r="R846" s="2" t="inlineStr"/>
    </row>
    <row r="847" ht="15" customHeight="1">
      <c r="A847" t="inlineStr">
        <is>
          <t>A 6216-2025</t>
        </is>
      </c>
      <c r="B847" s="1" t="n">
        <v>45698.52806712963</v>
      </c>
      <c r="C847" s="1" t="n">
        <v>46049</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7944-2024</t>
        </is>
      </c>
      <c r="B848" s="1" t="n">
        <v>45350.53306712963</v>
      </c>
      <c r="C848" s="1" t="n">
        <v>46049</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598-2025</t>
        </is>
      </c>
      <c r="B849" s="1" t="n">
        <v>45660</v>
      </c>
      <c r="C849" s="1" t="n">
        <v>46049</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10674-2021</t>
        </is>
      </c>
      <c r="B850" s="1" t="n">
        <v>44258</v>
      </c>
      <c r="C850" s="1" t="n">
        <v>46049</v>
      </c>
      <c r="D850" t="inlineStr">
        <is>
          <t>KALMAR LÄN</t>
        </is>
      </c>
      <c r="E850" t="inlineStr">
        <is>
          <t>VIMMERBY</t>
        </is>
      </c>
      <c r="G850" t="n">
        <v>8.4</v>
      </c>
      <c r="H850" t="n">
        <v>0</v>
      </c>
      <c r="I850" t="n">
        <v>0</v>
      </c>
      <c r="J850" t="n">
        <v>0</v>
      </c>
      <c r="K850" t="n">
        <v>0</v>
      </c>
      <c r="L850" t="n">
        <v>0</v>
      </c>
      <c r="M850" t="n">
        <v>0</v>
      </c>
      <c r="N850" t="n">
        <v>0</v>
      </c>
      <c r="O850" t="n">
        <v>0</v>
      </c>
      <c r="P850" t="n">
        <v>0</v>
      </c>
      <c r="Q850" t="n">
        <v>0</v>
      </c>
      <c r="R850" s="2" t="inlineStr"/>
    </row>
    <row r="851" ht="15" customHeight="1">
      <c r="A851" t="inlineStr">
        <is>
          <t>A 10807-2024</t>
        </is>
      </c>
      <c r="B851" s="1" t="n">
        <v>45369.62780092593</v>
      </c>
      <c r="C851" s="1" t="n">
        <v>46049</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40260-2024</t>
        </is>
      </c>
      <c r="B852" s="1" t="n">
        <v>45554.63225694445</v>
      </c>
      <c r="C852" s="1" t="n">
        <v>46049</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10787-2025</t>
        </is>
      </c>
      <c r="B853" s="1" t="n">
        <v>45722.48915509259</v>
      </c>
      <c r="C853" s="1" t="n">
        <v>46049</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58577-2024</t>
        </is>
      </c>
      <c r="B854" s="1" t="n">
        <v>45635.4874537037</v>
      </c>
      <c r="C854" s="1" t="n">
        <v>46049</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38198-2024</t>
        </is>
      </c>
      <c r="B855" s="1" t="n">
        <v>45545.49508101852</v>
      </c>
      <c r="C855" s="1" t="n">
        <v>46049</v>
      </c>
      <c r="D855" t="inlineStr">
        <is>
          <t>KALMAR LÄN</t>
        </is>
      </c>
      <c r="E855" t="inlineStr">
        <is>
          <t>VIMMERBY</t>
        </is>
      </c>
      <c r="G855" t="n">
        <v>7.9</v>
      </c>
      <c r="H855" t="n">
        <v>0</v>
      </c>
      <c r="I855" t="n">
        <v>0</v>
      </c>
      <c r="J855" t="n">
        <v>0</v>
      </c>
      <c r="K855" t="n">
        <v>0</v>
      </c>
      <c r="L855" t="n">
        <v>0</v>
      </c>
      <c r="M855" t="n">
        <v>0</v>
      </c>
      <c r="N855" t="n">
        <v>0</v>
      </c>
      <c r="O855" t="n">
        <v>0</v>
      </c>
      <c r="P855" t="n">
        <v>0</v>
      </c>
      <c r="Q855" t="n">
        <v>0</v>
      </c>
      <c r="R855" s="2" t="inlineStr"/>
    </row>
    <row r="856" ht="15" customHeight="1">
      <c r="A856" t="inlineStr">
        <is>
          <t>A 43617-2024</t>
        </is>
      </c>
      <c r="B856" s="1" t="n">
        <v>45569.47494212963</v>
      </c>
      <c r="C856" s="1" t="n">
        <v>46049</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22264-2023</t>
        </is>
      </c>
      <c r="B857" s="1" t="n">
        <v>45070.3665625</v>
      </c>
      <c r="C857" s="1" t="n">
        <v>46049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22266-2023</t>
        </is>
      </c>
      <c r="B858" s="1" t="n">
        <v>45070</v>
      </c>
      <c r="C858" s="1" t="n">
        <v>46049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50091-2023</t>
        </is>
      </c>
      <c r="B859" s="1" t="n">
        <v>45215.60199074074</v>
      </c>
      <c r="C859" s="1" t="n">
        <v>46049</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10303-2025</t>
        </is>
      </c>
      <c r="B860" s="1" t="n">
        <v>45720.44217592593</v>
      </c>
      <c r="C860" s="1" t="n">
        <v>46049</v>
      </c>
      <c r="D860" t="inlineStr">
        <is>
          <t>KALMAR LÄN</t>
        </is>
      </c>
      <c r="E860" t="inlineStr">
        <is>
          <t>VIMMERBY</t>
        </is>
      </c>
      <c r="G860" t="n">
        <v>0.9</v>
      </c>
      <c r="H860" t="n">
        <v>0</v>
      </c>
      <c r="I860" t="n">
        <v>0</v>
      </c>
      <c r="J860" t="n">
        <v>0</v>
      </c>
      <c r="K860" t="n">
        <v>0</v>
      </c>
      <c r="L860" t="n">
        <v>0</v>
      </c>
      <c r="M860" t="n">
        <v>0</v>
      </c>
      <c r="N860" t="n">
        <v>0</v>
      </c>
      <c r="O860" t="n">
        <v>0</v>
      </c>
      <c r="P860" t="n">
        <v>0</v>
      </c>
      <c r="Q860" t="n">
        <v>0</v>
      </c>
      <c r="R860" s="2" t="inlineStr"/>
    </row>
    <row r="861" ht="15" customHeight="1">
      <c r="A861" t="inlineStr">
        <is>
          <t>A 11027-2023</t>
        </is>
      </c>
      <c r="B861" s="1" t="n">
        <v>44991.89657407408</v>
      </c>
      <c r="C861" s="1" t="n">
        <v>46049</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11661-2023</t>
        </is>
      </c>
      <c r="B862" s="1" t="n">
        <v>44994.46908564815</v>
      </c>
      <c r="C862" s="1" t="n">
        <v>46049</v>
      </c>
      <c r="D862" t="inlineStr">
        <is>
          <t>KALMAR LÄN</t>
        </is>
      </c>
      <c r="E862" t="inlineStr">
        <is>
          <t>VIMMERBY</t>
        </is>
      </c>
      <c r="G862" t="n">
        <v>2.7</v>
      </c>
      <c r="H862" t="n">
        <v>0</v>
      </c>
      <c r="I862" t="n">
        <v>0</v>
      </c>
      <c r="J862" t="n">
        <v>0</v>
      </c>
      <c r="K862" t="n">
        <v>0</v>
      </c>
      <c r="L862" t="n">
        <v>0</v>
      </c>
      <c r="M862" t="n">
        <v>0</v>
      </c>
      <c r="N862" t="n">
        <v>0</v>
      </c>
      <c r="O862" t="n">
        <v>0</v>
      </c>
      <c r="P862" t="n">
        <v>0</v>
      </c>
      <c r="Q862" t="n">
        <v>0</v>
      </c>
      <c r="R862" s="2" t="inlineStr"/>
    </row>
    <row r="863" ht="15" customHeight="1">
      <c r="A863" t="inlineStr">
        <is>
          <t>A 36155-2023</t>
        </is>
      </c>
      <c r="B863" s="1" t="n">
        <v>45149.60917824074</v>
      </c>
      <c r="C863" s="1" t="n">
        <v>46049</v>
      </c>
      <c r="D863" t="inlineStr">
        <is>
          <t>KALMAR LÄN</t>
        </is>
      </c>
      <c r="E863" t="inlineStr">
        <is>
          <t>VIMMERBY</t>
        </is>
      </c>
      <c r="G863" t="n">
        <v>5</v>
      </c>
      <c r="H863" t="n">
        <v>0</v>
      </c>
      <c r="I863" t="n">
        <v>0</v>
      </c>
      <c r="J863" t="n">
        <v>0</v>
      </c>
      <c r="K863" t="n">
        <v>0</v>
      </c>
      <c r="L863" t="n">
        <v>0</v>
      </c>
      <c r="M863" t="n">
        <v>0</v>
      </c>
      <c r="N863" t="n">
        <v>0</v>
      </c>
      <c r="O863" t="n">
        <v>0</v>
      </c>
      <c r="P863" t="n">
        <v>0</v>
      </c>
      <c r="Q863" t="n">
        <v>0</v>
      </c>
      <c r="R863" s="2" t="inlineStr"/>
    </row>
    <row r="864" ht="15" customHeight="1">
      <c r="A864" t="inlineStr">
        <is>
          <t>A 40147-2023</t>
        </is>
      </c>
      <c r="B864" s="1" t="n">
        <v>45169</v>
      </c>
      <c r="C864" s="1" t="n">
        <v>46049</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63950-2023</t>
        </is>
      </c>
      <c r="B865" s="1" t="n">
        <v>45278</v>
      </c>
      <c r="C865" s="1" t="n">
        <v>46049</v>
      </c>
      <c r="D865" t="inlineStr">
        <is>
          <t>KALMAR LÄN</t>
        </is>
      </c>
      <c r="E865" t="inlineStr">
        <is>
          <t>VIMMERBY</t>
        </is>
      </c>
      <c r="F865" t="inlineStr">
        <is>
          <t>Kyrkan</t>
        </is>
      </c>
      <c r="G865" t="n">
        <v>2.7</v>
      </c>
      <c r="H865" t="n">
        <v>0</v>
      </c>
      <c r="I865" t="n">
        <v>0</v>
      </c>
      <c r="J865" t="n">
        <v>0</v>
      </c>
      <c r="K865" t="n">
        <v>0</v>
      </c>
      <c r="L865" t="n">
        <v>0</v>
      </c>
      <c r="M865" t="n">
        <v>0</v>
      </c>
      <c r="N865" t="n">
        <v>0</v>
      </c>
      <c r="O865" t="n">
        <v>0</v>
      </c>
      <c r="P865" t="n">
        <v>0</v>
      </c>
      <c r="Q865" t="n">
        <v>0</v>
      </c>
      <c r="R865" s="2" t="inlineStr"/>
    </row>
    <row r="866" ht="15" customHeight="1">
      <c r="A866" t="inlineStr">
        <is>
          <t>A 24096-2024</t>
        </is>
      </c>
      <c r="B866" s="1" t="n">
        <v>45456.59289351852</v>
      </c>
      <c r="C866" s="1" t="n">
        <v>46049</v>
      </c>
      <c r="D866" t="inlineStr">
        <is>
          <t>KALMAR LÄN</t>
        </is>
      </c>
      <c r="E866" t="inlineStr">
        <is>
          <t>VIMMERBY</t>
        </is>
      </c>
      <c r="G866" t="n">
        <v>2.3</v>
      </c>
      <c r="H866" t="n">
        <v>0</v>
      </c>
      <c r="I866" t="n">
        <v>0</v>
      </c>
      <c r="J866" t="n">
        <v>0</v>
      </c>
      <c r="K866" t="n">
        <v>0</v>
      </c>
      <c r="L866" t="n">
        <v>0</v>
      </c>
      <c r="M866" t="n">
        <v>0</v>
      </c>
      <c r="N866" t="n">
        <v>0</v>
      </c>
      <c r="O866" t="n">
        <v>0</v>
      </c>
      <c r="P866" t="n">
        <v>0</v>
      </c>
      <c r="Q866" t="n">
        <v>0</v>
      </c>
      <c r="R866" s="2" t="inlineStr"/>
    </row>
    <row r="867" ht="15" customHeight="1">
      <c r="A867" t="inlineStr">
        <is>
          <t>A 13015-2023</t>
        </is>
      </c>
      <c r="B867" s="1" t="n">
        <v>45002</v>
      </c>
      <c r="C867" s="1" t="n">
        <v>46049</v>
      </c>
      <c r="D867" t="inlineStr">
        <is>
          <t>KALMAR LÄN</t>
        </is>
      </c>
      <c r="E867" t="inlineStr">
        <is>
          <t>VIMMERBY</t>
        </is>
      </c>
      <c r="G867" t="n">
        <v>3.2</v>
      </c>
      <c r="H867" t="n">
        <v>0</v>
      </c>
      <c r="I867" t="n">
        <v>0</v>
      </c>
      <c r="J867" t="n">
        <v>0</v>
      </c>
      <c r="K867" t="n">
        <v>0</v>
      </c>
      <c r="L867" t="n">
        <v>0</v>
      </c>
      <c r="M867" t="n">
        <v>0</v>
      </c>
      <c r="N867" t="n">
        <v>0</v>
      </c>
      <c r="O867" t="n">
        <v>0</v>
      </c>
      <c r="P867" t="n">
        <v>0</v>
      </c>
      <c r="Q867" t="n">
        <v>0</v>
      </c>
      <c r="R867" s="2" t="inlineStr"/>
    </row>
    <row r="868" ht="15" customHeight="1">
      <c r="A868" t="inlineStr">
        <is>
          <t>A 41199-2023</t>
        </is>
      </c>
      <c r="B868" s="1" t="n">
        <v>45174.40454861111</v>
      </c>
      <c r="C868" s="1" t="n">
        <v>46049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36014-2024</t>
        </is>
      </c>
      <c r="B869" s="1" t="n">
        <v>45533.56108796296</v>
      </c>
      <c r="C869" s="1" t="n">
        <v>46049</v>
      </c>
      <c r="D869" t="inlineStr">
        <is>
          <t>KALMAR LÄN</t>
        </is>
      </c>
      <c r="E869" t="inlineStr">
        <is>
          <t>VIMMERBY</t>
        </is>
      </c>
      <c r="G869" t="n">
        <v>2.3</v>
      </c>
      <c r="H869" t="n">
        <v>0</v>
      </c>
      <c r="I869" t="n">
        <v>0</v>
      </c>
      <c r="J869" t="n">
        <v>0</v>
      </c>
      <c r="K869" t="n">
        <v>0</v>
      </c>
      <c r="L869" t="n">
        <v>0</v>
      </c>
      <c r="M869" t="n">
        <v>0</v>
      </c>
      <c r="N869" t="n">
        <v>0</v>
      </c>
      <c r="O869" t="n">
        <v>0</v>
      </c>
      <c r="P869" t="n">
        <v>0</v>
      </c>
      <c r="Q869" t="n">
        <v>0</v>
      </c>
      <c r="R869" s="2" t="inlineStr"/>
    </row>
    <row r="870" ht="15" customHeight="1">
      <c r="A870" t="inlineStr">
        <is>
          <t>A 36030-2024</t>
        </is>
      </c>
      <c r="B870" s="1" t="n">
        <v>45533.58302083334</v>
      </c>
      <c r="C870" s="1" t="n">
        <v>46049</v>
      </c>
      <c r="D870" t="inlineStr">
        <is>
          <t>KALMAR LÄN</t>
        </is>
      </c>
      <c r="E870" t="inlineStr">
        <is>
          <t>VIMMERBY</t>
        </is>
      </c>
      <c r="F870" t="inlineStr">
        <is>
          <t>Kommuner</t>
        </is>
      </c>
      <c r="G870" t="n">
        <v>4</v>
      </c>
      <c r="H870" t="n">
        <v>0</v>
      </c>
      <c r="I870" t="n">
        <v>0</v>
      </c>
      <c r="J870" t="n">
        <v>0</v>
      </c>
      <c r="K870" t="n">
        <v>0</v>
      </c>
      <c r="L870" t="n">
        <v>0</v>
      </c>
      <c r="M870" t="n">
        <v>0</v>
      </c>
      <c r="N870" t="n">
        <v>0</v>
      </c>
      <c r="O870" t="n">
        <v>0</v>
      </c>
      <c r="P870" t="n">
        <v>0</v>
      </c>
      <c r="Q870" t="n">
        <v>0</v>
      </c>
      <c r="R870" s="2" t="inlineStr"/>
    </row>
    <row r="871" ht="15" customHeight="1">
      <c r="A871" t="inlineStr">
        <is>
          <t>A 6321-2023</t>
        </is>
      </c>
      <c r="B871" s="1" t="n">
        <v>44965.4815162037</v>
      </c>
      <c r="C871" s="1" t="n">
        <v>46049</v>
      </c>
      <c r="D871" t="inlineStr">
        <is>
          <t>KALMAR LÄN</t>
        </is>
      </c>
      <c r="E871" t="inlineStr">
        <is>
          <t>VIMMERBY</t>
        </is>
      </c>
      <c r="G871" t="n">
        <v>1.8</v>
      </c>
      <c r="H871" t="n">
        <v>0</v>
      </c>
      <c r="I871" t="n">
        <v>0</v>
      </c>
      <c r="J871" t="n">
        <v>0</v>
      </c>
      <c r="K871" t="n">
        <v>0</v>
      </c>
      <c r="L871" t="n">
        <v>0</v>
      </c>
      <c r="M871" t="n">
        <v>0</v>
      </c>
      <c r="N871" t="n">
        <v>0</v>
      </c>
      <c r="O871" t="n">
        <v>0</v>
      </c>
      <c r="P871" t="n">
        <v>0</v>
      </c>
      <c r="Q871" t="n">
        <v>0</v>
      </c>
      <c r="R871" s="2" t="inlineStr"/>
    </row>
    <row r="872" ht="15" customHeight="1">
      <c r="A872" t="inlineStr">
        <is>
          <t>A 52755-2022</t>
        </is>
      </c>
      <c r="B872" s="1" t="n">
        <v>44875.27736111111</v>
      </c>
      <c r="C872" s="1" t="n">
        <v>46049</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40823-2023</t>
        </is>
      </c>
      <c r="B873" s="1" t="n">
        <v>45171.77335648148</v>
      </c>
      <c r="C873" s="1" t="n">
        <v>46049</v>
      </c>
      <c r="D873" t="inlineStr">
        <is>
          <t>KALMAR LÄN</t>
        </is>
      </c>
      <c r="E873" t="inlineStr">
        <is>
          <t>VIMMERBY</t>
        </is>
      </c>
      <c r="G873" t="n">
        <v>2.7</v>
      </c>
      <c r="H873" t="n">
        <v>0</v>
      </c>
      <c r="I873" t="n">
        <v>0</v>
      </c>
      <c r="J873" t="n">
        <v>0</v>
      </c>
      <c r="K873" t="n">
        <v>0</v>
      </c>
      <c r="L873" t="n">
        <v>0</v>
      </c>
      <c r="M873" t="n">
        <v>0</v>
      </c>
      <c r="N873" t="n">
        <v>0</v>
      </c>
      <c r="O873" t="n">
        <v>0</v>
      </c>
      <c r="P873" t="n">
        <v>0</v>
      </c>
      <c r="Q873" t="n">
        <v>0</v>
      </c>
      <c r="R873" s="2" t="inlineStr"/>
    </row>
    <row r="874" ht="15" customHeight="1">
      <c r="A874" t="inlineStr">
        <is>
          <t>A 27761-2024</t>
        </is>
      </c>
      <c r="B874" s="1" t="n">
        <v>45475.49018518518</v>
      </c>
      <c r="C874" s="1" t="n">
        <v>46049</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46049</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64203-2021</t>
        </is>
      </c>
      <c r="B876" s="1" t="n">
        <v>44510.60921296296</v>
      </c>
      <c r="C876" s="1" t="n">
        <v>46049</v>
      </c>
      <c r="D876" t="inlineStr">
        <is>
          <t>KALMAR LÄN</t>
        </is>
      </c>
      <c r="E876" t="inlineStr">
        <is>
          <t>VIMMERBY</t>
        </is>
      </c>
      <c r="F876" t="inlineStr">
        <is>
          <t>Övriga Aktiebolag</t>
        </is>
      </c>
      <c r="G876" t="n">
        <v>5.4</v>
      </c>
      <c r="H876" t="n">
        <v>0</v>
      </c>
      <c r="I876" t="n">
        <v>0</v>
      </c>
      <c r="J876" t="n">
        <v>0</v>
      </c>
      <c r="K876" t="n">
        <v>0</v>
      </c>
      <c r="L876" t="n">
        <v>0</v>
      </c>
      <c r="M876" t="n">
        <v>0</v>
      </c>
      <c r="N876" t="n">
        <v>0</v>
      </c>
      <c r="O876" t="n">
        <v>0</v>
      </c>
      <c r="P876" t="n">
        <v>0</v>
      </c>
      <c r="Q876" t="n">
        <v>0</v>
      </c>
      <c r="R876" s="2" t="inlineStr"/>
    </row>
    <row r="877" ht="15" customHeight="1">
      <c r="A877" t="inlineStr">
        <is>
          <t>A 1016-2024</t>
        </is>
      </c>
      <c r="B877" s="1" t="n">
        <v>45301</v>
      </c>
      <c r="C877" s="1" t="n">
        <v>46049</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1024-2024</t>
        </is>
      </c>
      <c r="B878" s="1" t="n">
        <v>45301.68237268519</v>
      </c>
      <c r="C878" s="1" t="n">
        <v>46049</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27758-2024</t>
        </is>
      </c>
      <c r="B879" s="1" t="n">
        <v>45475.48303240741</v>
      </c>
      <c r="C879" s="1" t="n">
        <v>46049</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32865-2023</t>
        </is>
      </c>
      <c r="B880" s="1" t="n">
        <v>45124</v>
      </c>
      <c r="C880" s="1" t="n">
        <v>46049</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22194-2024</t>
        </is>
      </c>
      <c r="B881" s="1" t="n">
        <v>45446.36482638889</v>
      </c>
      <c r="C881" s="1" t="n">
        <v>46049</v>
      </c>
      <c r="D881" t="inlineStr">
        <is>
          <t>KALMAR LÄN</t>
        </is>
      </c>
      <c r="E881" t="inlineStr">
        <is>
          <t>VIMMERBY</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17926-2025</t>
        </is>
      </c>
      <c r="B882" s="1" t="n">
        <v>45759.38987268518</v>
      </c>
      <c r="C882" s="1" t="n">
        <v>46049</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35127-2024</t>
        </is>
      </c>
      <c r="B883" s="1" t="n">
        <v>45530.33202546297</v>
      </c>
      <c r="C883" s="1" t="n">
        <v>46049</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33383-2023</t>
        </is>
      </c>
      <c r="B884" s="1" t="n">
        <v>45128.58414351852</v>
      </c>
      <c r="C884" s="1" t="n">
        <v>46049</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4297-2022</t>
        </is>
      </c>
      <c r="B885" s="1" t="n">
        <v>44588</v>
      </c>
      <c r="C885" s="1" t="n">
        <v>46049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55716-2023</t>
        </is>
      </c>
      <c r="B886" s="1" t="n">
        <v>45232</v>
      </c>
      <c r="C886" s="1" t="n">
        <v>46049</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34386-2024</t>
        </is>
      </c>
      <c r="B887" s="1" t="n">
        <v>45525.41762731481</v>
      </c>
      <c r="C887" s="1" t="n">
        <v>46049</v>
      </c>
      <c r="D887" t="inlineStr">
        <is>
          <t>KALMAR LÄN</t>
        </is>
      </c>
      <c r="E887" t="inlineStr">
        <is>
          <t>VIMMERBY</t>
        </is>
      </c>
      <c r="G887" t="n">
        <v>0.3</v>
      </c>
      <c r="H887" t="n">
        <v>0</v>
      </c>
      <c r="I887" t="n">
        <v>0</v>
      </c>
      <c r="J887" t="n">
        <v>0</v>
      </c>
      <c r="K887" t="n">
        <v>0</v>
      </c>
      <c r="L887" t="n">
        <v>0</v>
      </c>
      <c r="M887" t="n">
        <v>0</v>
      </c>
      <c r="N887" t="n">
        <v>0</v>
      </c>
      <c r="O887" t="n">
        <v>0</v>
      </c>
      <c r="P887" t="n">
        <v>0</v>
      </c>
      <c r="Q887" t="n">
        <v>0</v>
      </c>
      <c r="R887" s="2" t="inlineStr"/>
    </row>
    <row r="888" ht="15" customHeight="1">
      <c r="A888" t="inlineStr">
        <is>
          <t>A 42429-2024</t>
        </is>
      </c>
      <c r="B888" s="1" t="n">
        <v>45565.40657407408</v>
      </c>
      <c r="C888" s="1" t="n">
        <v>46049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11946-2025</t>
        </is>
      </c>
      <c r="B889" s="1" t="n">
        <v>45728.54832175926</v>
      </c>
      <c r="C889" s="1" t="n">
        <v>46049</v>
      </c>
      <c r="D889" t="inlineStr">
        <is>
          <t>KALMAR LÄN</t>
        </is>
      </c>
      <c r="E889" t="inlineStr">
        <is>
          <t>VIMMERBY</t>
        </is>
      </c>
      <c r="G889" t="n">
        <v>0.4</v>
      </c>
      <c r="H889" t="n">
        <v>0</v>
      </c>
      <c r="I889" t="n">
        <v>0</v>
      </c>
      <c r="J889" t="n">
        <v>0</v>
      </c>
      <c r="K889" t="n">
        <v>0</v>
      </c>
      <c r="L889" t="n">
        <v>0</v>
      </c>
      <c r="M889" t="n">
        <v>0</v>
      </c>
      <c r="N889" t="n">
        <v>0</v>
      </c>
      <c r="O889" t="n">
        <v>0</v>
      </c>
      <c r="P889" t="n">
        <v>0</v>
      </c>
      <c r="Q889" t="n">
        <v>0</v>
      </c>
      <c r="R889" s="2" t="inlineStr"/>
    </row>
    <row r="890" ht="15" customHeight="1">
      <c r="A890" t="inlineStr">
        <is>
          <t>A 59943-2023</t>
        </is>
      </c>
      <c r="B890" s="1" t="n">
        <v>45257.67958333333</v>
      </c>
      <c r="C890" s="1" t="n">
        <v>46049</v>
      </c>
      <c r="D890" t="inlineStr">
        <is>
          <t>KALMAR LÄN</t>
        </is>
      </c>
      <c r="E890" t="inlineStr">
        <is>
          <t>VIMMERBY</t>
        </is>
      </c>
      <c r="G890" t="n">
        <v>6.4</v>
      </c>
      <c r="H890" t="n">
        <v>0</v>
      </c>
      <c r="I890" t="n">
        <v>0</v>
      </c>
      <c r="J890" t="n">
        <v>0</v>
      </c>
      <c r="K890" t="n">
        <v>0</v>
      </c>
      <c r="L890" t="n">
        <v>0</v>
      </c>
      <c r="M890" t="n">
        <v>0</v>
      </c>
      <c r="N890" t="n">
        <v>0</v>
      </c>
      <c r="O890" t="n">
        <v>0</v>
      </c>
      <c r="P890" t="n">
        <v>0</v>
      </c>
      <c r="Q890" t="n">
        <v>0</v>
      </c>
      <c r="R890" s="2" t="inlineStr"/>
    </row>
    <row r="891" ht="15" customHeight="1">
      <c r="A891" t="inlineStr">
        <is>
          <t>A 15493-2023</t>
        </is>
      </c>
      <c r="B891" s="1" t="n">
        <v>45018</v>
      </c>
      <c r="C891" s="1" t="n">
        <v>46049</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51881-2024</t>
        </is>
      </c>
      <c r="B892" s="1" t="n">
        <v>45607.56773148148</v>
      </c>
      <c r="C892" s="1" t="n">
        <v>46049</v>
      </c>
      <c r="D892" t="inlineStr">
        <is>
          <t>KALMAR LÄN</t>
        </is>
      </c>
      <c r="E892" t="inlineStr">
        <is>
          <t>VIMMERBY</t>
        </is>
      </c>
      <c r="G892" t="n">
        <v>3.4</v>
      </c>
      <c r="H892" t="n">
        <v>0</v>
      </c>
      <c r="I892" t="n">
        <v>0</v>
      </c>
      <c r="J892" t="n">
        <v>0</v>
      </c>
      <c r="K892" t="n">
        <v>0</v>
      </c>
      <c r="L892" t="n">
        <v>0</v>
      </c>
      <c r="M892" t="n">
        <v>0</v>
      </c>
      <c r="N892" t="n">
        <v>0</v>
      </c>
      <c r="O892" t="n">
        <v>0</v>
      </c>
      <c r="P892" t="n">
        <v>0</v>
      </c>
      <c r="Q892" t="n">
        <v>0</v>
      </c>
      <c r="R892" s="2" t="inlineStr"/>
    </row>
    <row r="893" ht="15" customHeight="1">
      <c r="A893" t="inlineStr">
        <is>
          <t>A 1021-2024</t>
        </is>
      </c>
      <c r="B893" s="1" t="n">
        <v>45301.67736111111</v>
      </c>
      <c r="C893" s="1" t="n">
        <v>46049</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32569-2024</t>
        </is>
      </c>
      <c r="B894" s="1" t="n">
        <v>45513.55840277778</v>
      </c>
      <c r="C894" s="1" t="n">
        <v>46049</v>
      </c>
      <c r="D894" t="inlineStr">
        <is>
          <t>KALMAR LÄN</t>
        </is>
      </c>
      <c r="E894" t="inlineStr">
        <is>
          <t>VIMMERBY</t>
        </is>
      </c>
      <c r="G894" t="n">
        <v>3.7</v>
      </c>
      <c r="H894" t="n">
        <v>0</v>
      </c>
      <c r="I894" t="n">
        <v>0</v>
      </c>
      <c r="J894" t="n">
        <v>0</v>
      </c>
      <c r="K894" t="n">
        <v>0</v>
      </c>
      <c r="L894" t="n">
        <v>0</v>
      </c>
      <c r="M894" t="n">
        <v>0</v>
      </c>
      <c r="N894" t="n">
        <v>0</v>
      </c>
      <c r="O894" t="n">
        <v>0</v>
      </c>
      <c r="P894" t="n">
        <v>0</v>
      </c>
      <c r="Q894" t="n">
        <v>0</v>
      </c>
      <c r="R894" s="2" t="inlineStr"/>
    </row>
    <row r="895" ht="15" customHeight="1">
      <c r="A895" t="inlineStr">
        <is>
          <t>A 32575-2024</t>
        </is>
      </c>
      <c r="B895" s="1" t="n">
        <v>45513.56527777778</v>
      </c>
      <c r="C895" s="1" t="n">
        <v>46049</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30063-2023</t>
        </is>
      </c>
      <c r="B896" s="1" t="n">
        <v>45110.4184375</v>
      </c>
      <c r="C896" s="1" t="n">
        <v>46049</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17482-2024</t>
        </is>
      </c>
      <c r="B897" s="1" t="n">
        <v>45415.47848379629</v>
      </c>
      <c r="C897" s="1" t="n">
        <v>46049</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13817-2024</t>
        </is>
      </c>
      <c r="B898" s="1" t="n">
        <v>45391.41976851852</v>
      </c>
      <c r="C898" s="1" t="n">
        <v>46049</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30406-2023</t>
        </is>
      </c>
      <c r="B899" s="1" t="n">
        <v>45111.48787037037</v>
      </c>
      <c r="C899" s="1" t="n">
        <v>46049</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29020-2024</t>
        </is>
      </c>
      <c r="B900" s="1" t="n">
        <v>45481.58048611111</v>
      </c>
      <c r="C900" s="1" t="n">
        <v>46049</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25582-2024</t>
        </is>
      </c>
      <c r="B901" s="1" t="n">
        <v>45463</v>
      </c>
      <c r="C901" s="1" t="n">
        <v>46049</v>
      </c>
      <c r="D901" t="inlineStr">
        <is>
          <t>KALMAR LÄN</t>
        </is>
      </c>
      <c r="E901" t="inlineStr">
        <is>
          <t>VIMMERBY</t>
        </is>
      </c>
      <c r="G901" t="n">
        <v>1.4</v>
      </c>
      <c r="H901" t="n">
        <v>0</v>
      </c>
      <c r="I901" t="n">
        <v>0</v>
      </c>
      <c r="J901" t="n">
        <v>0</v>
      </c>
      <c r="K901" t="n">
        <v>0</v>
      </c>
      <c r="L901" t="n">
        <v>0</v>
      </c>
      <c r="M901" t="n">
        <v>0</v>
      </c>
      <c r="N901" t="n">
        <v>0</v>
      </c>
      <c r="O901" t="n">
        <v>0</v>
      </c>
      <c r="P901" t="n">
        <v>0</v>
      </c>
      <c r="Q901" t="n">
        <v>0</v>
      </c>
      <c r="R901" s="2" t="inlineStr"/>
    </row>
    <row r="902" ht="15" customHeight="1">
      <c r="A902" t="inlineStr">
        <is>
          <t>A 57578-2024</t>
        </is>
      </c>
      <c r="B902" s="1" t="n">
        <v>45630.47564814815</v>
      </c>
      <c r="C902" s="1" t="n">
        <v>46049</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22399-2025</t>
        </is>
      </c>
      <c r="B903" s="1" t="n">
        <v>45786.52996527778</v>
      </c>
      <c r="C903" s="1" t="n">
        <v>46049</v>
      </c>
      <c r="D903" t="inlineStr">
        <is>
          <t>KALMAR LÄN</t>
        </is>
      </c>
      <c r="E903" t="inlineStr">
        <is>
          <t>VIMMERBY</t>
        </is>
      </c>
      <c r="G903" t="n">
        <v>2.1</v>
      </c>
      <c r="H903" t="n">
        <v>0</v>
      </c>
      <c r="I903" t="n">
        <v>0</v>
      </c>
      <c r="J903" t="n">
        <v>0</v>
      </c>
      <c r="K903" t="n">
        <v>0</v>
      </c>
      <c r="L903" t="n">
        <v>0</v>
      </c>
      <c r="M903" t="n">
        <v>0</v>
      </c>
      <c r="N903" t="n">
        <v>0</v>
      </c>
      <c r="O903" t="n">
        <v>0</v>
      </c>
      <c r="P903" t="n">
        <v>0</v>
      </c>
      <c r="Q903" t="n">
        <v>0</v>
      </c>
      <c r="R903" s="2" t="inlineStr"/>
    </row>
    <row r="904" ht="15" customHeight="1">
      <c r="A904" t="inlineStr">
        <is>
          <t>A 22397-2025</t>
        </is>
      </c>
      <c r="B904" s="1" t="n">
        <v>45786.52878472222</v>
      </c>
      <c r="C904" s="1" t="n">
        <v>46049</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11442-2025</t>
        </is>
      </c>
      <c r="B905" s="1" t="n">
        <v>45726.62721064815</v>
      </c>
      <c r="C905" s="1" t="n">
        <v>46049</v>
      </c>
      <c r="D905" t="inlineStr">
        <is>
          <t>KALMAR LÄN</t>
        </is>
      </c>
      <c r="E905" t="inlineStr">
        <is>
          <t>VIMMERBY</t>
        </is>
      </c>
      <c r="G905" t="n">
        <v>2.6</v>
      </c>
      <c r="H905" t="n">
        <v>0</v>
      </c>
      <c r="I905" t="n">
        <v>0</v>
      </c>
      <c r="J905" t="n">
        <v>0</v>
      </c>
      <c r="K905" t="n">
        <v>0</v>
      </c>
      <c r="L905" t="n">
        <v>0</v>
      </c>
      <c r="M905" t="n">
        <v>0</v>
      </c>
      <c r="N905" t="n">
        <v>0</v>
      </c>
      <c r="O905" t="n">
        <v>0</v>
      </c>
      <c r="P905" t="n">
        <v>0</v>
      </c>
      <c r="Q905" t="n">
        <v>0</v>
      </c>
      <c r="R905" s="2" t="inlineStr"/>
    </row>
    <row r="906" ht="15" customHeight="1">
      <c r="A906" t="inlineStr">
        <is>
          <t>A 6307-2025</t>
        </is>
      </c>
      <c r="B906" s="1" t="n">
        <v>45698.69016203703</v>
      </c>
      <c r="C906" s="1" t="n">
        <v>46049</v>
      </c>
      <c r="D906" t="inlineStr">
        <is>
          <t>KALMAR LÄN</t>
        </is>
      </c>
      <c r="E906" t="inlineStr">
        <is>
          <t>VIMMERBY</t>
        </is>
      </c>
      <c r="G906" t="n">
        <v>3</v>
      </c>
      <c r="H906" t="n">
        <v>0</v>
      </c>
      <c r="I906" t="n">
        <v>0</v>
      </c>
      <c r="J906" t="n">
        <v>0</v>
      </c>
      <c r="K906" t="n">
        <v>0</v>
      </c>
      <c r="L906" t="n">
        <v>0</v>
      </c>
      <c r="M906" t="n">
        <v>0</v>
      </c>
      <c r="N906" t="n">
        <v>0</v>
      </c>
      <c r="O906" t="n">
        <v>0</v>
      </c>
      <c r="P906" t="n">
        <v>0</v>
      </c>
      <c r="Q906" t="n">
        <v>0</v>
      </c>
      <c r="R906" s="2" t="inlineStr"/>
    </row>
    <row r="907" ht="15" customHeight="1">
      <c r="A907" t="inlineStr">
        <is>
          <t>A 23394-2025</t>
        </is>
      </c>
      <c r="B907" s="1" t="n">
        <v>45791.89865740741</v>
      </c>
      <c r="C907" s="1" t="n">
        <v>46049</v>
      </c>
      <c r="D907" t="inlineStr">
        <is>
          <t>KALMAR LÄN</t>
        </is>
      </c>
      <c r="E907" t="inlineStr">
        <is>
          <t>VIMMERBY</t>
        </is>
      </c>
      <c r="G907" t="n">
        <v>3.1</v>
      </c>
      <c r="H907" t="n">
        <v>0</v>
      </c>
      <c r="I907" t="n">
        <v>0</v>
      </c>
      <c r="J907" t="n">
        <v>0</v>
      </c>
      <c r="K907" t="n">
        <v>0</v>
      </c>
      <c r="L907" t="n">
        <v>0</v>
      </c>
      <c r="M907" t="n">
        <v>0</v>
      </c>
      <c r="N907" t="n">
        <v>0</v>
      </c>
      <c r="O907" t="n">
        <v>0</v>
      </c>
      <c r="P907" t="n">
        <v>0</v>
      </c>
      <c r="Q907" t="n">
        <v>0</v>
      </c>
      <c r="R907" s="2" t="inlineStr"/>
    </row>
    <row r="908" ht="15" customHeight="1">
      <c r="A908" t="inlineStr">
        <is>
          <t>A 23984-2025</t>
        </is>
      </c>
      <c r="B908" s="1" t="n">
        <v>45796</v>
      </c>
      <c r="C908" s="1" t="n">
        <v>46049</v>
      </c>
      <c r="D908" t="inlineStr">
        <is>
          <t>KALMAR LÄN</t>
        </is>
      </c>
      <c r="E908" t="inlineStr">
        <is>
          <t>VIMMERBY</t>
        </is>
      </c>
      <c r="G908" t="n">
        <v>1.4</v>
      </c>
      <c r="H908" t="n">
        <v>0</v>
      </c>
      <c r="I908" t="n">
        <v>0</v>
      </c>
      <c r="J908" t="n">
        <v>0</v>
      </c>
      <c r="K908" t="n">
        <v>0</v>
      </c>
      <c r="L908" t="n">
        <v>0</v>
      </c>
      <c r="M908" t="n">
        <v>0</v>
      </c>
      <c r="N908" t="n">
        <v>0</v>
      </c>
      <c r="O908" t="n">
        <v>0</v>
      </c>
      <c r="P908" t="n">
        <v>0</v>
      </c>
      <c r="Q908" t="n">
        <v>0</v>
      </c>
      <c r="R908" s="2" t="inlineStr"/>
    </row>
    <row r="909" ht="15" customHeight="1">
      <c r="A909" t="inlineStr">
        <is>
          <t>A 51278-2024</t>
        </is>
      </c>
      <c r="B909" s="1" t="n">
        <v>45603.74959490741</v>
      </c>
      <c r="C909" s="1" t="n">
        <v>46049</v>
      </c>
      <c r="D909" t="inlineStr">
        <is>
          <t>KALMAR LÄN</t>
        </is>
      </c>
      <c r="E909" t="inlineStr">
        <is>
          <t>VIMMERBY</t>
        </is>
      </c>
      <c r="G909" t="n">
        <v>3.4</v>
      </c>
      <c r="H909" t="n">
        <v>0</v>
      </c>
      <c r="I909" t="n">
        <v>0</v>
      </c>
      <c r="J909" t="n">
        <v>0</v>
      </c>
      <c r="K909" t="n">
        <v>0</v>
      </c>
      <c r="L909" t="n">
        <v>0</v>
      </c>
      <c r="M909" t="n">
        <v>0</v>
      </c>
      <c r="N909" t="n">
        <v>0</v>
      </c>
      <c r="O909" t="n">
        <v>0</v>
      </c>
      <c r="P909" t="n">
        <v>0</v>
      </c>
      <c r="Q909" t="n">
        <v>0</v>
      </c>
      <c r="R909" s="2" t="inlineStr"/>
    </row>
    <row r="910" ht="15" customHeight="1">
      <c r="A910" t="inlineStr">
        <is>
          <t>A 35082-2024</t>
        </is>
      </c>
      <c r="B910" s="1" t="n">
        <v>45527.68784722222</v>
      </c>
      <c r="C910" s="1" t="n">
        <v>46049</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44582-2024</t>
        </is>
      </c>
      <c r="B911" s="1" t="n">
        <v>45574.49298611111</v>
      </c>
      <c r="C911" s="1" t="n">
        <v>46049</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9456-2025</t>
        </is>
      </c>
      <c r="B912" s="1" t="n">
        <v>45715.44159722222</v>
      </c>
      <c r="C912" s="1" t="n">
        <v>46049</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11111-2023</t>
        </is>
      </c>
      <c r="B913" s="1" t="n">
        <v>44992.4255787037</v>
      </c>
      <c r="C913" s="1" t="n">
        <v>46049</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58724-2024</t>
        </is>
      </c>
      <c r="B914" s="1" t="n">
        <v>45635.66409722222</v>
      </c>
      <c r="C914" s="1" t="n">
        <v>46049</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15494-2024</t>
        </is>
      </c>
      <c r="B915" s="1" t="n">
        <v>45401.53033564815</v>
      </c>
      <c r="C915" s="1" t="n">
        <v>46049</v>
      </c>
      <c r="D915" t="inlineStr">
        <is>
          <t>KALMAR LÄN</t>
        </is>
      </c>
      <c r="E915" t="inlineStr">
        <is>
          <t>VIMMERBY</t>
        </is>
      </c>
      <c r="G915" t="n">
        <v>3.2</v>
      </c>
      <c r="H915" t="n">
        <v>0</v>
      </c>
      <c r="I915" t="n">
        <v>0</v>
      </c>
      <c r="J915" t="n">
        <v>0</v>
      </c>
      <c r="K915" t="n">
        <v>0</v>
      </c>
      <c r="L915" t="n">
        <v>0</v>
      </c>
      <c r="M915" t="n">
        <v>0</v>
      </c>
      <c r="N915" t="n">
        <v>0</v>
      </c>
      <c r="O915" t="n">
        <v>0</v>
      </c>
      <c r="P915" t="n">
        <v>0</v>
      </c>
      <c r="Q915" t="n">
        <v>0</v>
      </c>
      <c r="R915" s="2" t="inlineStr"/>
    </row>
    <row r="916" ht="15" customHeight="1">
      <c r="A916" t="inlineStr">
        <is>
          <t>A 26039-2025</t>
        </is>
      </c>
      <c r="B916" s="1" t="n">
        <v>45804.6953587963</v>
      </c>
      <c r="C916" s="1" t="n">
        <v>46049</v>
      </c>
      <c r="D916" t="inlineStr">
        <is>
          <t>KALMAR LÄN</t>
        </is>
      </c>
      <c r="E916" t="inlineStr">
        <is>
          <t>VIMMERBY</t>
        </is>
      </c>
      <c r="F916" t="inlineStr">
        <is>
          <t>Sveaskog</t>
        </is>
      </c>
      <c r="G916" t="n">
        <v>5.2</v>
      </c>
      <c r="H916" t="n">
        <v>0</v>
      </c>
      <c r="I916" t="n">
        <v>0</v>
      </c>
      <c r="J916" t="n">
        <v>0</v>
      </c>
      <c r="K916" t="n">
        <v>0</v>
      </c>
      <c r="L916" t="n">
        <v>0</v>
      </c>
      <c r="M916" t="n">
        <v>0</v>
      </c>
      <c r="N916" t="n">
        <v>0</v>
      </c>
      <c r="O916" t="n">
        <v>0</v>
      </c>
      <c r="P916" t="n">
        <v>0</v>
      </c>
      <c r="Q916" t="n">
        <v>0</v>
      </c>
      <c r="R916" s="2" t="inlineStr"/>
    </row>
    <row r="917" ht="15" customHeight="1">
      <c r="A917" t="inlineStr">
        <is>
          <t>A 26046-2025</t>
        </is>
      </c>
      <c r="B917" s="1" t="n">
        <v>45804.708125</v>
      </c>
      <c r="C917" s="1" t="n">
        <v>46049</v>
      </c>
      <c r="D917" t="inlineStr">
        <is>
          <t>KALMAR LÄN</t>
        </is>
      </c>
      <c r="E917" t="inlineStr">
        <is>
          <t>VIMMERBY</t>
        </is>
      </c>
      <c r="F917" t="inlineStr">
        <is>
          <t>Sveaskog</t>
        </is>
      </c>
      <c r="G917" t="n">
        <v>5.1</v>
      </c>
      <c r="H917" t="n">
        <v>0</v>
      </c>
      <c r="I917" t="n">
        <v>0</v>
      </c>
      <c r="J917" t="n">
        <v>0</v>
      </c>
      <c r="K917" t="n">
        <v>0</v>
      </c>
      <c r="L917" t="n">
        <v>0</v>
      </c>
      <c r="M917" t="n">
        <v>0</v>
      </c>
      <c r="N917" t="n">
        <v>0</v>
      </c>
      <c r="O917" t="n">
        <v>0</v>
      </c>
      <c r="P917" t="n">
        <v>0</v>
      </c>
      <c r="Q917" t="n">
        <v>0</v>
      </c>
      <c r="R917" s="2" t="inlineStr"/>
    </row>
    <row r="918">
      <c r="A918" t="inlineStr">
        <is>
          <t>A 25792-2025</t>
        </is>
      </c>
      <c r="B918" s="1" t="n">
        <v>45804.39141203704</v>
      </c>
      <c r="C918" s="1" t="n">
        <v>46049</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2026-01-27T10:57:32Z</dcterms:created>
  <dcterms:modified xmlns:dcterms="http://purl.org/dc/terms/" xmlns:xsi="http://www.w3.org/2001/XMLSchema-instance" xsi:type="dcterms:W3CDTF">2026-01-27T10:57:33Z</dcterms:modified>
</cp:coreProperties>
</file>