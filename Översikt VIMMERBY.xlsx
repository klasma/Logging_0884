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45988</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45988</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45988</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45988</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3075-2025</t>
        </is>
      </c>
      <c r="B12" s="1" t="n">
        <v>45678</v>
      </c>
      <c r="C12" s="1" t="n">
        <v>45988</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45988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32645-2023</t>
        </is>
      </c>
      <c r="B14" s="1" t="n">
        <v>45121.60543981481</v>
      </c>
      <c r="C14" s="1" t="n">
        <v>45988</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8411-2021</t>
        </is>
      </c>
      <c r="B15" s="1" t="n">
        <v>44245</v>
      </c>
      <c r="C15" s="1" t="n">
        <v>45988</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45988</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45988</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45988</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45988</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45988</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2518-2023</t>
        </is>
      </c>
      <c r="B24" s="1" t="n">
        <v>44943</v>
      </c>
      <c r="C24" s="1" t="n">
        <v>45988</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45988</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45988</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45988</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45988</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45988</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17935-2025</t>
        </is>
      </c>
      <c r="B30" s="1" t="n">
        <v>45760.34877314815</v>
      </c>
      <c r="C30" s="1" t="n">
        <v>45988</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45988</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32396-2021</t>
        </is>
      </c>
      <c r="B32" s="1" t="n">
        <v>44371</v>
      </c>
      <c r="C32" s="1" t="n">
        <v>45988</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45988</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6841-2021</t>
        </is>
      </c>
      <c r="B34" s="1" t="n">
        <v>44236</v>
      </c>
      <c r="C34" s="1" t="n">
        <v>45988</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28852-2023</t>
        </is>
      </c>
      <c r="B35" s="1" t="n">
        <v>45104</v>
      </c>
      <c r="C35" s="1" t="n">
        <v>45988</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61860-2024</t>
        </is>
      </c>
      <c r="B36" s="1" t="n">
        <v>45649</v>
      </c>
      <c r="C36" s="1" t="n">
        <v>45988</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1201-2025</t>
        </is>
      </c>
      <c r="B37" s="1" t="n">
        <v>45667</v>
      </c>
      <c r="C37" s="1" t="n">
        <v>45988</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52301-2023</t>
        </is>
      </c>
      <c r="B38" s="1" t="n">
        <v>45224</v>
      </c>
      <c r="C38" s="1" t="n">
        <v>45988</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29183-2025</t>
        </is>
      </c>
      <c r="B39" s="1" t="n">
        <v>45821</v>
      </c>
      <c r="C39" s="1" t="n">
        <v>45988</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45988</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45988</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53400-2025</t>
        </is>
      </c>
      <c r="B42" s="1" t="n">
        <v>45959.56684027778</v>
      </c>
      <c r="C42" s="1" t="n">
        <v>45988</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45988</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23602-2023</t>
        </is>
      </c>
      <c r="B44" s="1" t="n">
        <v>45077</v>
      </c>
      <c r="C44" s="1" t="n">
        <v>45988</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57062-2025</t>
        </is>
      </c>
      <c r="B45" s="1" t="n">
        <v>45979.37598379629</v>
      </c>
      <c r="C45" s="1" t="n">
        <v>45988</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32985-2023</t>
        </is>
      </c>
      <c r="B46" s="1" t="n">
        <v>45125</v>
      </c>
      <c r="C46" s="1" t="n">
        <v>45988</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15122-2024</t>
        </is>
      </c>
      <c r="B47" s="1" t="n">
        <v>45399.71412037037</v>
      </c>
      <c r="C47" s="1" t="n">
        <v>45988</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37930-2021</t>
        </is>
      </c>
      <c r="B48" s="1" t="n">
        <v>44403</v>
      </c>
      <c r="C48" s="1" t="n">
        <v>45988</v>
      </c>
      <c r="D48" t="inlineStr">
        <is>
          <t>KALMAR LÄN</t>
        </is>
      </c>
      <c r="E48" t="inlineStr">
        <is>
          <t>VIMMERBY</t>
        </is>
      </c>
      <c r="G48" t="n">
        <v>4.4</v>
      </c>
      <c r="H48" t="n">
        <v>0</v>
      </c>
      <c r="I48" t="n">
        <v>0</v>
      </c>
      <c r="J48" t="n">
        <v>1</v>
      </c>
      <c r="K48" t="n">
        <v>0</v>
      </c>
      <c r="L48" t="n">
        <v>0</v>
      </c>
      <c r="M48" t="n">
        <v>0</v>
      </c>
      <c r="N48" t="n">
        <v>0</v>
      </c>
      <c r="O48" t="n">
        <v>1</v>
      </c>
      <c r="P48" t="n">
        <v>0</v>
      </c>
      <c r="Q48" t="n">
        <v>1</v>
      </c>
      <c r="R48" s="2" t="inlineStr">
        <is>
          <t>Spindelört</t>
        </is>
      </c>
      <c r="S48">
        <f>HYPERLINK("https://klasma.github.io/Logging_0884/artfynd/A 37930-2021 artfynd.xlsx", "A 37930-2021")</f>
        <v/>
      </c>
      <c r="T48">
        <f>HYPERLINK("https://klasma.github.io/Logging_0884/kartor/A 37930-2021 karta.png", "A 37930-2021")</f>
        <v/>
      </c>
      <c r="V48">
        <f>HYPERLINK("https://klasma.github.io/Logging_0884/klagomål/A 37930-2021 FSC-klagomål.docx", "A 37930-2021")</f>
        <v/>
      </c>
      <c r="W48">
        <f>HYPERLINK("https://klasma.github.io/Logging_0884/klagomålsmail/A 37930-2021 FSC-klagomål mail.docx", "A 37930-2021")</f>
        <v/>
      </c>
      <c r="X48">
        <f>HYPERLINK("https://klasma.github.io/Logging_0884/tillsyn/A 37930-2021 tillsynsbegäran.docx", "A 37930-2021")</f>
        <v/>
      </c>
      <c r="Y48">
        <f>HYPERLINK("https://klasma.github.io/Logging_0884/tillsynsmail/A 37930-2021 tillsynsbegäran mail.docx", "A 37930-2021")</f>
        <v/>
      </c>
    </row>
    <row r="49" ht="15" customHeight="1">
      <c r="A49" t="inlineStr">
        <is>
          <t>A 33436-2021</t>
        </is>
      </c>
      <c r="B49" s="1" t="n">
        <v>44377.61104166666</v>
      </c>
      <c r="C49" s="1" t="n">
        <v>45988</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44515-2024</t>
        </is>
      </c>
      <c r="B50" s="1" t="n">
        <v>45574.42767361111</v>
      </c>
      <c r="C50" s="1" t="n">
        <v>45988</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15903-2021</t>
        </is>
      </c>
      <c r="B51" s="1" t="n">
        <v>44287.33261574074</v>
      </c>
      <c r="C51" s="1" t="n">
        <v>45988</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45988</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15092-2021</t>
        </is>
      </c>
      <c r="B53" s="1" t="n">
        <v>44281.79269675926</v>
      </c>
      <c r="C53" s="1" t="n">
        <v>45988</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45988</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45988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45988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45988</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45988</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45988</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45988</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45988</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45988</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45988</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45988</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45988</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45988</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45988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45988</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45988</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45988</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45988</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45988</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45988</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45988</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45988</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45988</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45988</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45988</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45988</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45988</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45988</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45988</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45988</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45988</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45988</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45988</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45988</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45988</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45988</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45988</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45988</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45988</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45988</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45988</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45988</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45988</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45988</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45988</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45988</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45988</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45988</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45988</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45988</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45988</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45988</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45988</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45988</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45988</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45988</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45988</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45988</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45988</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45988</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45988</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45988</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45988</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45988</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45988</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45988</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45988</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45988</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45988</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45988</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45988</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45988</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45988</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45988</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45988</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45988</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45988</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45988</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45988</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45988</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45988</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45988</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45988</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45988</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45988</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45988</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45988</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45988</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45988</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45988</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45988</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45988</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45988</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45988</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55674-2021</t>
        </is>
      </c>
      <c r="B157" s="1" t="n">
        <v>44476</v>
      </c>
      <c r="C157" s="1" t="n">
        <v>45988</v>
      </c>
      <c r="D157" t="inlineStr">
        <is>
          <t>KALMAR LÄN</t>
        </is>
      </c>
      <c r="E157" t="inlineStr">
        <is>
          <t>VIMMERBY</t>
        </is>
      </c>
      <c r="G157" t="n">
        <v>2.1</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45988</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45988</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45988</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45988</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45988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45988</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45988</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45988</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45988</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45988</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45988</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45988</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45988</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45988</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45988</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45988</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45988</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45988</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32603-2021</t>
        </is>
      </c>
      <c r="B177" s="1" t="n">
        <v>44375.38789351852</v>
      </c>
      <c r="C177" s="1" t="n">
        <v>45988</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45988</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45988</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45988</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45988</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45988</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45988</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45988</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45988</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45988</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45988</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45988</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13457-2021</t>
        </is>
      </c>
      <c r="B190" s="1" t="n">
        <v>44273</v>
      </c>
      <c r="C190" s="1" t="n">
        <v>45988</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45988</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45988</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52433-2021</t>
        </is>
      </c>
      <c r="B193" s="1" t="n">
        <v>44466.34726851852</v>
      </c>
      <c r="C193" s="1" t="n">
        <v>45988</v>
      </c>
      <c r="D193" t="inlineStr">
        <is>
          <t>KALMAR LÄN</t>
        </is>
      </c>
      <c r="E193" t="inlineStr">
        <is>
          <t>VIMMERBY</t>
        </is>
      </c>
      <c r="G193" t="n">
        <v>3.5</v>
      </c>
      <c r="H193" t="n">
        <v>0</v>
      </c>
      <c r="I193" t="n">
        <v>0</v>
      </c>
      <c r="J193" t="n">
        <v>0</v>
      </c>
      <c r="K193" t="n">
        <v>0</v>
      </c>
      <c r="L193" t="n">
        <v>0</v>
      </c>
      <c r="M193" t="n">
        <v>0</v>
      </c>
      <c r="N193" t="n">
        <v>0</v>
      </c>
      <c r="O193" t="n">
        <v>0</v>
      </c>
      <c r="P193" t="n">
        <v>0</v>
      </c>
      <c r="Q193" t="n">
        <v>0</v>
      </c>
      <c r="R193" s="2" t="inlineStr"/>
    </row>
    <row r="194" ht="15" customHeight="1">
      <c r="A194" t="inlineStr">
        <is>
          <t>A 50621-2022</t>
        </is>
      </c>
      <c r="B194" s="1" t="n">
        <v>44866.81100694444</v>
      </c>
      <c r="C194" s="1" t="n">
        <v>45988</v>
      </c>
      <c r="D194" t="inlineStr">
        <is>
          <t>KALMAR LÄN</t>
        </is>
      </c>
      <c r="E194" t="inlineStr">
        <is>
          <t>VIMMERBY</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45988</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45988</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45988</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11733-2022</t>
        </is>
      </c>
      <c r="B198" s="1" t="n">
        <v>44634</v>
      </c>
      <c r="C198" s="1" t="n">
        <v>45988</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45988</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4076-2022</t>
        </is>
      </c>
      <c r="B200" s="1" t="n">
        <v>44588.37998842593</v>
      </c>
      <c r="C200" s="1" t="n">
        <v>45988</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4122-2022</t>
        </is>
      </c>
      <c r="B201" s="1" t="n">
        <v>44588</v>
      </c>
      <c r="C201" s="1" t="n">
        <v>45988</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65961-2020</t>
        </is>
      </c>
      <c r="B202" s="1" t="n">
        <v>44175.39748842592</v>
      </c>
      <c r="C202" s="1" t="n">
        <v>45988</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58374-2024</t>
        </is>
      </c>
      <c r="B203" s="1" t="n">
        <v>45632.72635416667</v>
      </c>
      <c r="C203" s="1" t="n">
        <v>45988</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16983-2023</t>
        </is>
      </c>
      <c r="B204" s="1" t="n">
        <v>45033.76043981482</v>
      </c>
      <c r="C204" s="1" t="n">
        <v>45988</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30402-2023</t>
        </is>
      </c>
      <c r="B205" s="1" t="n">
        <v>45111.48395833333</v>
      </c>
      <c r="C205" s="1" t="n">
        <v>45988</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46144-2023</t>
        </is>
      </c>
      <c r="B206" s="1" t="n">
        <v>45196.57247685185</v>
      </c>
      <c r="C206" s="1" t="n">
        <v>45988</v>
      </c>
      <c r="D206" t="inlineStr">
        <is>
          <t>KALMAR LÄN</t>
        </is>
      </c>
      <c r="E206" t="inlineStr">
        <is>
          <t>VIMMERBY</t>
        </is>
      </c>
      <c r="G206" t="n">
        <v>6.5</v>
      </c>
      <c r="H206" t="n">
        <v>0</v>
      </c>
      <c r="I206" t="n">
        <v>0</v>
      </c>
      <c r="J206" t="n">
        <v>0</v>
      </c>
      <c r="K206" t="n">
        <v>0</v>
      </c>
      <c r="L206" t="n">
        <v>0</v>
      </c>
      <c r="M206" t="n">
        <v>0</v>
      </c>
      <c r="N206" t="n">
        <v>0</v>
      </c>
      <c r="O206" t="n">
        <v>0</v>
      </c>
      <c r="P206" t="n">
        <v>0</v>
      </c>
      <c r="Q206" t="n">
        <v>0</v>
      </c>
      <c r="R206" s="2" t="inlineStr"/>
    </row>
    <row r="207" ht="15" customHeight="1">
      <c r="A207" t="inlineStr">
        <is>
          <t>A 11609-2023</t>
        </is>
      </c>
      <c r="B207" s="1" t="n">
        <v>44994.40635416667</v>
      </c>
      <c r="C207" s="1" t="n">
        <v>45988</v>
      </c>
      <c r="D207" t="inlineStr">
        <is>
          <t>KALMAR LÄN</t>
        </is>
      </c>
      <c r="E207" t="inlineStr">
        <is>
          <t>VIMMERBY</t>
        </is>
      </c>
      <c r="G207" t="n">
        <v>4.9</v>
      </c>
      <c r="H207" t="n">
        <v>0</v>
      </c>
      <c r="I207" t="n">
        <v>0</v>
      </c>
      <c r="J207" t="n">
        <v>0</v>
      </c>
      <c r="K207" t="n">
        <v>0</v>
      </c>
      <c r="L207" t="n">
        <v>0</v>
      </c>
      <c r="M207" t="n">
        <v>0</v>
      </c>
      <c r="N207" t="n">
        <v>0</v>
      </c>
      <c r="O207" t="n">
        <v>0</v>
      </c>
      <c r="P207" t="n">
        <v>0</v>
      </c>
      <c r="Q207" t="n">
        <v>0</v>
      </c>
      <c r="R207" s="2" t="inlineStr"/>
    </row>
    <row r="208" ht="15" customHeight="1">
      <c r="A208" t="inlineStr">
        <is>
          <t>A 7643-2022</t>
        </is>
      </c>
      <c r="B208" s="1" t="n">
        <v>44607</v>
      </c>
      <c r="C208" s="1" t="n">
        <v>45988</v>
      </c>
      <c r="D208" t="inlineStr">
        <is>
          <t>KALMAR LÄN</t>
        </is>
      </c>
      <c r="E208" t="inlineStr">
        <is>
          <t>VIMMERBY</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58962-2022</t>
        </is>
      </c>
      <c r="B209" s="1" t="n">
        <v>44903</v>
      </c>
      <c r="C209" s="1" t="n">
        <v>45988</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56213-2024</t>
        </is>
      </c>
      <c r="B210" s="1" t="n">
        <v>45624.60141203704</v>
      </c>
      <c r="C210" s="1" t="n">
        <v>45988</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54409-2024</t>
        </is>
      </c>
      <c r="B211" s="1" t="n">
        <v>45617.47570601852</v>
      </c>
      <c r="C211" s="1" t="n">
        <v>45988</v>
      </c>
      <c r="D211" t="inlineStr">
        <is>
          <t>KALMAR LÄN</t>
        </is>
      </c>
      <c r="E211" t="inlineStr">
        <is>
          <t>VIMMERBY</t>
        </is>
      </c>
      <c r="G211" t="n">
        <v>4.3</v>
      </c>
      <c r="H211" t="n">
        <v>0</v>
      </c>
      <c r="I211" t="n">
        <v>0</v>
      </c>
      <c r="J211" t="n">
        <v>0</v>
      </c>
      <c r="K211" t="n">
        <v>0</v>
      </c>
      <c r="L211" t="n">
        <v>0</v>
      </c>
      <c r="M211" t="n">
        <v>0</v>
      </c>
      <c r="N211" t="n">
        <v>0</v>
      </c>
      <c r="O211" t="n">
        <v>0</v>
      </c>
      <c r="P211" t="n">
        <v>0</v>
      </c>
      <c r="Q211" t="n">
        <v>0</v>
      </c>
      <c r="R211" s="2" t="inlineStr"/>
    </row>
    <row r="212" ht="15" customHeight="1">
      <c r="A212" t="inlineStr">
        <is>
          <t>A 16825-2024</t>
        </is>
      </c>
      <c r="B212" s="1" t="n">
        <v>45411.47335648148</v>
      </c>
      <c r="C212" s="1" t="n">
        <v>45988</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11027-2023</t>
        </is>
      </c>
      <c r="B213" s="1" t="n">
        <v>44991.89657407408</v>
      </c>
      <c r="C213" s="1" t="n">
        <v>45988</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45988</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10838-2023</t>
        </is>
      </c>
      <c r="B215" s="1" t="n">
        <v>44991</v>
      </c>
      <c r="C215" s="1" t="n">
        <v>45988</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31382-2023</t>
        </is>
      </c>
      <c r="B216" s="1" t="n">
        <v>45114.55136574074</v>
      </c>
      <c r="C216" s="1" t="n">
        <v>45988</v>
      </c>
      <c r="D216" t="inlineStr">
        <is>
          <t>KALMAR LÄN</t>
        </is>
      </c>
      <c r="E216" t="inlineStr">
        <is>
          <t>VIMMERBY</t>
        </is>
      </c>
      <c r="G216" t="n">
        <v>3.7</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45988</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45988</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20054-2023</t>
        </is>
      </c>
      <c r="B219" s="1" t="n">
        <v>45054.6750462963</v>
      </c>
      <c r="C219" s="1" t="n">
        <v>45988</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13290-2025</t>
        </is>
      </c>
      <c r="B220" s="1" t="n">
        <v>45735.56751157407</v>
      </c>
      <c r="C220" s="1" t="n">
        <v>45988</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45988</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19162-2023</t>
        </is>
      </c>
      <c r="B222" s="1" t="n">
        <v>45048.59699074074</v>
      </c>
      <c r="C222" s="1" t="n">
        <v>45988</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60292-2022</t>
        </is>
      </c>
      <c r="B223" s="1" t="n">
        <v>44910.54231481482</v>
      </c>
      <c r="C223" s="1" t="n">
        <v>45988</v>
      </c>
      <c r="D223" t="inlineStr">
        <is>
          <t>KALMAR LÄN</t>
        </is>
      </c>
      <c r="E223" t="inlineStr">
        <is>
          <t>VIMMERBY</t>
        </is>
      </c>
      <c r="G223" t="n">
        <v>4.4</v>
      </c>
      <c r="H223" t="n">
        <v>0</v>
      </c>
      <c r="I223" t="n">
        <v>0</v>
      </c>
      <c r="J223" t="n">
        <v>0</v>
      </c>
      <c r="K223" t="n">
        <v>0</v>
      </c>
      <c r="L223" t="n">
        <v>0</v>
      </c>
      <c r="M223" t="n">
        <v>0</v>
      </c>
      <c r="N223" t="n">
        <v>0</v>
      </c>
      <c r="O223" t="n">
        <v>0</v>
      </c>
      <c r="P223" t="n">
        <v>0</v>
      </c>
      <c r="Q223" t="n">
        <v>0</v>
      </c>
      <c r="R223" s="2" t="inlineStr"/>
    </row>
    <row r="224" ht="15" customHeight="1">
      <c r="A224" t="inlineStr">
        <is>
          <t>A 11946-2025</t>
        </is>
      </c>
      <c r="B224" s="1" t="n">
        <v>45728.54832175926</v>
      </c>
      <c r="C224" s="1" t="n">
        <v>45988</v>
      </c>
      <c r="D224" t="inlineStr">
        <is>
          <t>KALMAR LÄN</t>
        </is>
      </c>
      <c r="E224" t="inlineStr">
        <is>
          <t>VIMMERBY</t>
        </is>
      </c>
      <c r="G224" t="n">
        <v>0.4</v>
      </c>
      <c r="H224" t="n">
        <v>0</v>
      </c>
      <c r="I224" t="n">
        <v>0</v>
      </c>
      <c r="J224" t="n">
        <v>0</v>
      </c>
      <c r="K224" t="n">
        <v>0</v>
      </c>
      <c r="L224" t="n">
        <v>0</v>
      </c>
      <c r="M224" t="n">
        <v>0</v>
      </c>
      <c r="N224" t="n">
        <v>0</v>
      </c>
      <c r="O224" t="n">
        <v>0</v>
      </c>
      <c r="P224" t="n">
        <v>0</v>
      </c>
      <c r="Q224" t="n">
        <v>0</v>
      </c>
      <c r="R224" s="2" t="inlineStr"/>
    </row>
    <row r="225" ht="15" customHeight="1">
      <c r="A225" t="inlineStr">
        <is>
          <t>A 19537-2022</t>
        </is>
      </c>
      <c r="B225" s="1" t="n">
        <v>44693.62822916666</v>
      </c>
      <c r="C225" s="1" t="n">
        <v>45988</v>
      </c>
      <c r="D225" t="inlineStr">
        <is>
          <t>KALMAR LÄN</t>
        </is>
      </c>
      <c r="E225" t="inlineStr">
        <is>
          <t>VIMMERBY</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9475-2023</t>
        </is>
      </c>
      <c r="B226" s="1" t="n">
        <v>44981.58834490741</v>
      </c>
      <c r="C226" s="1" t="n">
        <v>45988</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7485-2024</t>
        </is>
      </c>
      <c r="B227" s="1" t="n">
        <v>45346.67184027778</v>
      </c>
      <c r="C227" s="1" t="n">
        <v>45988</v>
      </c>
      <c r="D227" t="inlineStr">
        <is>
          <t>KALMAR LÄN</t>
        </is>
      </c>
      <c r="E227" t="inlineStr">
        <is>
          <t>VIMMERBY</t>
        </is>
      </c>
      <c r="G227" t="n">
        <v>1.9</v>
      </c>
      <c r="H227" t="n">
        <v>0</v>
      </c>
      <c r="I227" t="n">
        <v>0</v>
      </c>
      <c r="J227" t="n">
        <v>0</v>
      </c>
      <c r="K227" t="n">
        <v>0</v>
      </c>
      <c r="L227" t="n">
        <v>0</v>
      </c>
      <c r="M227" t="n">
        <v>0</v>
      </c>
      <c r="N227" t="n">
        <v>0</v>
      </c>
      <c r="O227" t="n">
        <v>0</v>
      </c>
      <c r="P227" t="n">
        <v>0</v>
      </c>
      <c r="Q227" t="n">
        <v>0</v>
      </c>
      <c r="R227" s="2" t="inlineStr"/>
    </row>
    <row r="228" ht="15" customHeight="1">
      <c r="A228" t="inlineStr">
        <is>
          <t>A 12590-2025</t>
        </is>
      </c>
      <c r="B228" s="1" t="n">
        <v>45732.79925925926</v>
      </c>
      <c r="C228" s="1" t="n">
        <v>45988</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35710-2023</t>
        </is>
      </c>
      <c r="B229" s="1" t="n">
        <v>45147.67096064815</v>
      </c>
      <c r="C229" s="1" t="n">
        <v>45988</v>
      </c>
      <c r="D229" t="inlineStr">
        <is>
          <t>KALMAR LÄN</t>
        </is>
      </c>
      <c r="E229" t="inlineStr">
        <is>
          <t>VIMMERBY</t>
        </is>
      </c>
      <c r="G229" t="n">
        <v>3.1</v>
      </c>
      <c r="H229" t="n">
        <v>0</v>
      </c>
      <c r="I229" t="n">
        <v>0</v>
      </c>
      <c r="J229" t="n">
        <v>0</v>
      </c>
      <c r="K229" t="n">
        <v>0</v>
      </c>
      <c r="L229" t="n">
        <v>0</v>
      </c>
      <c r="M229" t="n">
        <v>0</v>
      </c>
      <c r="N229" t="n">
        <v>0</v>
      </c>
      <c r="O229" t="n">
        <v>0</v>
      </c>
      <c r="P229" t="n">
        <v>0</v>
      </c>
      <c r="Q229" t="n">
        <v>0</v>
      </c>
      <c r="R229" s="2" t="inlineStr"/>
    </row>
    <row r="230" ht="15" customHeight="1">
      <c r="A230" t="inlineStr">
        <is>
          <t>A 52823-2024</t>
        </is>
      </c>
      <c r="B230" s="1" t="n">
        <v>45610.59094907407</v>
      </c>
      <c r="C230" s="1" t="n">
        <v>45988</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45988</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585-2024</t>
        </is>
      </c>
      <c r="B232" s="1" t="n">
        <v>45299.62576388889</v>
      </c>
      <c r="C232" s="1" t="n">
        <v>45988</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56020-2024</t>
        </is>
      </c>
      <c r="B233" s="1" t="n">
        <v>45623.9525462963</v>
      </c>
      <c r="C233" s="1" t="n">
        <v>45988</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11147-2023</t>
        </is>
      </c>
      <c r="B234" s="1" t="n">
        <v>44992</v>
      </c>
      <c r="C234" s="1" t="n">
        <v>45988</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19833-2023</t>
        </is>
      </c>
      <c r="B235" s="1" t="n">
        <v>45052</v>
      </c>
      <c r="C235" s="1" t="n">
        <v>45988</v>
      </c>
      <c r="D235" t="inlineStr">
        <is>
          <t>KALMAR LÄN</t>
        </is>
      </c>
      <c r="E235" t="inlineStr">
        <is>
          <t>VIMMERBY</t>
        </is>
      </c>
      <c r="G235" t="n">
        <v>6.7</v>
      </c>
      <c r="H235" t="n">
        <v>0</v>
      </c>
      <c r="I235" t="n">
        <v>0</v>
      </c>
      <c r="J235" t="n">
        <v>0</v>
      </c>
      <c r="K235" t="n">
        <v>0</v>
      </c>
      <c r="L235" t="n">
        <v>0</v>
      </c>
      <c r="M235" t="n">
        <v>0</v>
      </c>
      <c r="N235" t="n">
        <v>0</v>
      </c>
      <c r="O235" t="n">
        <v>0</v>
      </c>
      <c r="P235" t="n">
        <v>0</v>
      </c>
      <c r="Q235" t="n">
        <v>0</v>
      </c>
      <c r="R235" s="2" t="inlineStr"/>
    </row>
    <row r="236" ht="15" customHeight="1">
      <c r="A236" t="inlineStr">
        <is>
          <t>A 23252-2024</t>
        </is>
      </c>
      <c r="B236" s="1" t="n">
        <v>45453.36067129629</v>
      </c>
      <c r="C236" s="1" t="n">
        <v>45988</v>
      </c>
      <c r="D236" t="inlineStr">
        <is>
          <t>KALMAR LÄN</t>
        </is>
      </c>
      <c r="E236" t="inlineStr">
        <is>
          <t>VIMMERBY</t>
        </is>
      </c>
      <c r="G236" t="n">
        <v>0.7</v>
      </c>
      <c r="H236" t="n">
        <v>0</v>
      </c>
      <c r="I236" t="n">
        <v>0</v>
      </c>
      <c r="J236" t="n">
        <v>0</v>
      </c>
      <c r="K236" t="n">
        <v>0</v>
      </c>
      <c r="L236" t="n">
        <v>0</v>
      </c>
      <c r="M236" t="n">
        <v>0</v>
      </c>
      <c r="N236" t="n">
        <v>0</v>
      </c>
      <c r="O236" t="n">
        <v>0</v>
      </c>
      <c r="P236" t="n">
        <v>0</v>
      </c>
      <c r="Q236" t="n">
        <v>0</v>
      </c>
      <c r="R236" s="2" t="inlineStr"/>
    </row>
    <row r="237" ht="15" customHeight="1">
      <c r="A237" t="inlineStr">
        <is>
          <t>A 22399-2025</t>
        </is>
      </c>
      <c r="B237" s="1" t="n">
        <v>45786.52996527778</v>
      </c>
      <c r="C237" s="1" t="n">
        <v>45988</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22397-2025</t>
        </is>
      </c>
      <c r="B238" s="1" t="n">
        <v>45786.52878472222</v>
      </c>
      <c r="C238" s="1" t="n">
        <v>45988</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15550-2023</t>
        </is>
      </c>
      <c r="B239" s="1" t="n">
        <v>45020</v>
      </c>
      <c r="C239" s="1" t="n">
        <v>45988</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25582-2024</t>
        </is>
      </c>
      <c r="B240" s="1" t="n">
        <v>45463</v>
      </c>
      <c r="C240" s="1" t="n">
        <v>45988</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11219-2023</t>
        </is>
      </c>
      <c r="B241" s="1" t="n">
        <v>44992.62498842592</v>
      </c>
      <c r="C241" s="1" t="n">
        <v>45988</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18411-2021</t>
        </is>
      </c>
      <c r="B242" s="1" t="n">
        <v>44302</v>
      </c>
      <c r="C242" s="1" t="n">
        <v>45988</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47855-2024</t>
        </is>
      </c>
      <c r="B243" s="1" t="n">
        <v>45588.66457175926</v>
      </c>
      <c r="C243" s="1" t="n">
        <v>45988</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172-2022</t>
        </is>
      </c>
      <c r="B244" s="1" t="n">
        <v>44564.62598379629</v>
      </c>
      <c r="C244" s="1" t="n">
        <v>45988</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39584-2024</t>
        </is>
      </c>
      <c r="B245" s="1" t="n">
        <v>45552.36759259259</v>
      </c>
      <c r="C245" s="1" t="n">
        <v>45988</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57578-2024</t>
        </is>
      </c>
      <c r="B246" s="1" t="n">
        <v>45630.47564814815</v>
      </c>
      <c r="C246" s="1" t="n">
        <v>45988</v>
      </c>
      <c r="D246" t="inlineStr">
        <is>
          <t>KALMAR LÄN</t>
        </is>
      </c>
      <c r="E246" t="inlineStr">
        <is>
          <t>VIMMERBY</t>
        </is>
      </c>
      <c r="G246" t="n">
        <v>2.6</v>
      </c>
      <c r="H246" t="n">
        <v>0</v>
      </c>
      <c r="I246" t="n">
        <v>0</v>
      </c>
      <c r="J246" t="n">
        <v>0</v>
      </c>
      <c r="K246" t="n">
        <v>0</v>
      </c>
      <c r="L246" t="n">
        <v>0</v>
      </c>
      <c r="M246" t="n">
        <v>0</v>
      </c>
      <c r="N246" t="n">
        <v>0</v>
      </c>
      <c r="O246" t="n">
        <v>0</v>
      </c>
      <c r="P246" t="n">
        <v>0</v>
      </c>
      <c r="Q246" t="n">
        <v>0</v>
      </c>
      <c r="R246" s="2" t="inlineStr"/>
    </row>
    <row r="247" ht="15" customHeight="1">
      <c r="A247" t="inlineStr">
        <is>
          <t>A 51881-2024</t>
        </is>
      </c>
      <c r="B247" s="1" t="n">
        <v>45607.56773148148</v>
      </c>
      <c r="C247" s="1" t="n">
        <v>45988</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2596-2025</t>
        </is>
      </c>
      <c r="B248" s="1" t="n">
        <v>45674.71810185185</v>
      </c>
      <c r="C248" s="1" t="n">
        <v>45988</v>
      </c>
      <c r="D248" t="inlineStr">
        <is>
          <t>KALMAR LÄN</t>
        </is>
      </c>
      <c r="E248" t="inlineStr">
        <is>
          <t>VIMMERBY</t>
        </is>
      </c>
      <c r="G248" t="n">
        <v>9</v>
      </c>
      <c r="H248" t="n">
        <v>0</v>
      </c>
      <c r="I248" t="n">
        <v>0</v>
      </c>
      <c r="J248" t="n">
        <v>0</v>
      </c>
      <c r="K248" t="n">
        <v>0</v>
      </c>
      <c r="L248" t="n">
        <v>0</v>
      </c>
      <c r="M248" t="n">
        <v>0</v>
      </c>
      <c r="N248" t="n">
        <v>0</v>
      </c>
      <c r="O248" t="n">
        <v>0</v>
      </c>
      <c r="P248" t="n">
        <v>0</v>
      </c>
      <c r="Q248" t="n">
        <v>0</v>
      </c>
      <c r="R248" s="2" t="inlineStr"/>
    </row>
    <row r="249" ht="15" customHeight="1">
      <c r="A249" t="inlineStr">
        <is>
          <t>A 16734-2023</t>
        </is>
      </c>
      <c r="B249" s="1" t="n">
        <v>45030.71012731481</v>
      </c>
      <c r="C249" s="1" t="n">
        <v>45988</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6307-2025</t>
        </is>
      </c>
      <c r="B250" s="1" t="n">
        <v>45698.69016203703</v>
      </c>
      <c r="C250" s="1" t="n">
        <v>45988</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11442-2025</t>
        </is>
      </c>
      <c r="B251" s="1" t="n">
        <v>45726.62721064815</v>
      </c>
      <c r="C251" s="1" t="n">
        <v>45988</v>
      </c>
      <c r="D251" t="inlineStr">
        <is>
          <t>KALMAR LÄN</t>
        </is>
      </c>
      <c r="E251" t="inlineStr">
        <is>
          <t>VIMMERBY</t>
        </is>
      </c>
      <c r="G251" t="n">
        <v>2.6</v>
      </c>
      <c r="H251" t="n">
        <v>0</v>
      </c>
      <c r="I251" t="n">
        <v>0</v>
      </c>
      <c r="J251" t="n">
        <v>0</v>
      </c>
      <c r="K251" t="n">
        <v>0</v>
      </c>
      <c r="L251" t="n">
        <v>0</v>
      </c>
      <c r="M251" t="n">
        <v>0</v>
      </c>
      <c r="N251" t="n">
        <v>0</v>
      </c>
      <c r="O251" t="n">
        <v>0</v>
      </c>
      <c r="P251" t="n">
        <v>0</v>
      </c>
      <c r="Q251" t="n">
        <v>0</v>
      </c>
      <c r="R251" s="2" t="inlineStr"/>
    </row>
    <row r="252" ht="15" customHeight="1">
      <c r="A252" t="inlineStr">
        <is>
          <t>A 38604-2025</t>
        </is>
      </c>
      <c r="B252" s="1" t="n">
        <v>45884.50613425926</v>
      </c>
      <c r="C252" s="1" t="n">
        <v>45988</v>
      </c>
      <c r="D252" t="inlineStr">
        <is>
          <t>KALMAR LÄN</t>
        </is>
      </c>
      <c r="E252" t="inlineStr">
        <is>
          <t>VIMMERBY</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20129-2024</t>
        </is>
      </c>
      <c r="B253" s="1" t="n">
        <v>45434.55831018519</v>
      </c>
      <c r="C253" s="1" t="n">
        <v>45988</v>
      </c>
      <c r="D253" t="inlineStr">
        <is>
          <t>KALMAR LÄN</t>
        </is>
      </c>
      <c r="E253" t="inlineStr">
        <is>
          <t>VIMMERBY</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20137-2024</t>
        </is>
      </c>
      <c r="B254" s="1" t="n">
        <v>45434.56398148148</v>
      </c>
      <c r="C254" s="1" t="n">
        <v>45988</v>
      </c>
      <c r="D254" t="inlineStr">
        <is>
          <t>KALMAR LÄN</t>
        </is>
      </c>
      <c r="E254" t="inlineStr">
        <is>
          <t>VIMMERBY</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7456-2024</t>
        </is>
      </c>
      <c r="B255" s="1" t="n">
        <v>45345.83557870371</v>
      </c>
      <c r="C255" s="1" t="n">
        <v>45988</v>
      </c>
      <c r="D255" t="inlineStr">
        <is>
          <t>KALMAR LÄN</t>
        </is>
      </c>
      <c r="E255" t="inlineStr">
        <is>
          <t>VIMMERBY</t>
        </is>
      </c>
      <c r="G255" t="n">
        <v>4.1</v>
      </c>
      <c r="H255" t="n">
        <v>0</v>
      </c>
      <c r="I255" t="n">
        <v>0</v>
      </c>
      <c r="J255" t="n">
        <v>0</v>
      </c>
      <c r="K255" t="n">
        <v>0</v>
      </c>
      <c r="L255" t="n">
        <v>0</v>
      </c>
      <c r="M255" t="n">
        <v>0</v>
      </c>
      <c r="N255" t="n">
        <v>0</v>
      </c>
      <c r="O255" t="n">
        <v>0</v>
      </c>
      <c r="P255" t="n">
        <v>0</v>
      </c>
      <c r="Q255" t="n">
        <v>0</v>
      </c>
      <c r="R255" s="2" t="inlineStr"/>
    </row>
    <row r="256" ht="15" customHeight="1">
      <c r="A256" t="inlineStr">
        <is>
          <t>A 52324-2023</t>
        </is>
      </c>
      <c r="B256" s="1" t="n">
        <v>45224.64659722222</v>
      </c>
      <c r="C256" s="1" t="n">
        <v>45988</v>
      </c>
      <c r="D256" t="inlineStr">
        <is>
          <t>KALMAR LÄN</t>
        </is>
      </c>
      <c r="E256" t="inlineStr">
        <is>
          <t>VIMMERBY</t>
        </is>
      </c>
      <c r="F256" t="inlineStr">
        <is>
          <t>Sveaskog</t>
        </is>
      </c>
      <c r="G256" t="n">
        <v>2.9</v>
      </c>
      <c r="H256" t="n">
        <v>0</v>
      </c>
      <c r="I256" t="n">
        <v>0</v>
      </c>
      <c r="J256" t="n">
        <v>0</v>
      </c>
      <c r="K256" t="n">
        <v>0</v>
      </c>
      <c r="L256" t="n">
        <v>0</v>
      </c>
      <c r="M256" t="n">
        <v>0</v>
      </c>
      <c r="N256" t="n">
        <v>0</v>
      </c>
      <c r="O256" t="n">
        <v>0</v>
      </c>
      <c r="P256" t="n">
        <v>0</v>
      </c>
      <c r="Q256" t="n">
        <v>0</v>
      </c>
      <c r="R256" s="2" t="inlineStr"/>
    </row>
    <row r="257" ht="15" customHeight="1">
      <c r="A257" t="inlineStr">
        <is>
          <t>A 17988-2025</t>
        </is>
      </c>
      <c r="B257" s="1" t="n">
        <v>45761.39600694444</v>
      </c>
      <c r="C257" s="1" t="n">
        <v>45988</v>
      </c>
      <c r="D257" t="inlineStr">
        <is>
          <t>KALMAR LÄN</t>
        </is>
      </c>
      <c r="E257" t="inlineStr">
        <is>
          <t>VIMMERBY</t>
        </is>
      </c>
      <c r="G257" t="n">
        <v>2.8</v>
      </c>
      <c r="H257" t="n">
        <v>0</v>
      </c>
      <c r="I257" t="n">
        <v>0</v>
      </c>
      <c r="J257" t="n">
        <v>0</v>
      </c>
      <c r="K257" t="n">
        <v>0</v>
      </c>
      <c r="L257" t="n">
        <v>0</v>
      </c>
      <c r="M257" t="n">
        <v>0</v>
      </c>
      <c r="N257" t="n">
        <v>0</v>
      </c>
      <c r="O257" t="n">
        <v>0</v>
      </c>
      <c r="P257" t="n">
        <v>0</v>
      </c>
      <c r="Q257" t="n">
        <v>0</v>
      </c>
      <c r="R257" s="2" t="inlineStr"/>
    </row>
    <row r="258" ht="15" customHeight="1">
      <c r="A258" t="inlineStr">
        <is>
          <t>A 23341-2022</t>
        </is>
      </c>
      <c r="B258" s="1" t="n">
        <v>44720.53898148148</v>
      </c>
      <c r="C258" s="1" t="n">
        <v>45988</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37028-2024</t>
        </is>
      </c>
      <c r="B259" s="1" t="n">
        <v>45539.38744212963</v>
      </c>
      <c r="C259" s="1" t="n">
        <v>45988</v>
      </c>
      <c r="D259" t="inlineStr">
        <is>
          <t>KALMAR LÄN</t>
        </is>
      </c>
      <c r="E259" t="inlineStr">
        <is>
          <t>VIMMERBY</t>
        </is>
      </c>
      <c r="G259" t="n">
        <v>5.2</v>
      </c>
      <c r="H259" t="n">
        <v>0</v>
      </c>
      <c r="I259" t="n">
        <v>0</v>
      </c>
      <c r="J259" t="n">
        <v>0</v>
      </c>
      <c r="K259" t="n">
        <v>0</v>
      </c>
      <c r="L259" t="n">
        <v>0</v>
      </c>
      <c r="M259" t="n">
        <v>0</v>
      </c>
      <c r="N259" t="n">
        <v>0</v>
      </c>
      <c r="O259" t="n">
        <v>0</v>
      </c>
      <c r="P259" t="n">
        <v>0</v>
      </c>
      <c r="Q259" t="n">
        <v>0</v>
      </c>
      <c r="R259" s="2" t="inlineStr"/>
    </row>
    <row r="260" ht="15" customHeight="1">
      <c r="A260" t="inlineStr">
        <is>
          <t>A 29726-2025</t>
        </is>
      </c>
      <c r="B260" s="1" t="n">
        <v>45825.57805555555</v>
      </c>
      <c r="C260" s="1" t="n">
        <v>45988</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23394-2025</t>
        </is>
      </c>
      <c r="B261" s="1" t="n">
        <v>45791.89865740741</v>
      </c>
      <c r="C261" s="1" t="n">
        <v>45988</v>
      </c>
      <c r="D261" t="inlineStr">
        <is>
          <t>KALMAR LÄN</t>
        </is>
      </c>
      <c r="E261" t="inlineStr">
        <is>
          <t>VIMMERBY</t>
        </is>
      </c>
      <c r="G261" t="n">
        <v>3.1</v>
      </c>
      <c r="H261" t="n">
        <v>0</v>
      </c>
      <c r="I261" t="n">
        <v>0</v>
      </c>
      <c r="J261" t="n">
        <v>0</v>
      </c>
      <c r="K261" t="n">
        <v>0</v>
      </c>
      <c r="L261" t="n">
        <v>0</v>
      </c>
      <c r="M261" t="n">
        <v>0</v>
      </c>
      <c r="N261" t="n">
        <v>0</v>
      </c>
      <c r="O261" t="n">
        <v>0</v>
      </c>
      <c r="P261" t="n">
        <v>0</v>
      </c>
      <c r="Q261" t="n">
        <v>0</v>
      </c>
      <c r="R261" s="2" t="inlineStr"/>
    </row>
    <row r="262" ht="15" customHeight="1">
      <c r="A262" t="inlineStr">
        <is>
          <t>A 6668-2023</t>
        </is>
      </c>
      <c r="B262" s="1" t="n">
        <v>44966</v>
      </c>
      <c r="C262" s="1" t="n">
        <v>45988</v>
      </c>
      <c r="D262" t="inlineStr">
        <is>
          <t>KALMAR LÄN</t>
        </is>
      </c>
      <c r="E262" t="inlineStr">
        <is>
          <t>VIMMERBY</t>
        </is>
      </c>
      <c r="G262" t="n">
        <v>0.9</v>
      </c>
      <c r="H262" t="n">
        <v>0</v>
      </c>
      <c r="I262" t="n">
        <v>0</v>
      </c>
      <c r="J262" t="n">
        <v>0</v>
      </c>
      <c r="K262" t="n">
        <v>0</v>
      </c>
      <c r="L262" t="n">
        <v>0</v>
      </c>
      <c r="M262" t="n">
        <v>0</v>
      </c>
      <c r="N262" t="n">
        <v>0</v>
      </c>
      <c r="O262" t="n">
        <v>0</v>
      </c>
      <c r="P262" t="n">
        <v>0</v>
      </c>
      <c r="Q262" t="n">
        <v>0</v>
      </c>
      <c r="R262" s="2" t="inlineStr"/>
    </row>
    <row r="263" ht="15" customHeight="1">
      <c r="A263" t="inlineStr">
        <is>
          <t>A 29168-2024</t>
        </is>
      </c>
      <c r="B263" s="1" t="n">
        <v>45482.49870370371</v>
      </c>
      <c r="C263" s="1" t="n">
        <v>45988</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8086-2021</t>
        </is>
      </c>
      <c r="B264" s="1" t="n">
        <v>44243</v>
      </c>
      <c r="C264" s="1" t="n">
        <v>45988</v>
      </c>
      <c r="D264" t="inlineStr">
        <is>
          <t>KALMAR LÄN</t>
        </is>
      </c>
      <c r="E264" t="inlineStr">
        <is>
          <t>VIMMERBY</t>
        </is>
      </c>
      <c r="G264" t="n">
        <v>4.1</v>
      </c>
      <c r="H264" t="n">
        <v>0</v>
      </c>
      <c r="I264" t="n">
        <v>0</v>
      </c>
      <c r="J264" t="n">
        <v>0</v>
      </c>
      <c r="K264" t="n">
        <v>0</v>
      </c>
      <c r="L264" t="n">
        <v>0</v>
      </c>
      <c r="M264" t="n">
        <v>0</v>
      </c>
      <c r="N264" t="n">
        <v>0</v>
      </c>
      <c r="O264" t="n">
        <v>0</v>
      </c>
      <c r="P264" t="n">
        <v>0</v>
      </c>
      <c r="Q264" t="n">
        <v>0</v>
      </c>
      <c r="R264" s="2" t="inlineStr"/>
    </row>
    <row r="265" ht="15" customHeight="1">
      <c r="A265" t="inlineStr">
        <is>
          <t>A 55236-2023</t>
        </is>
      </c>
      <c r="B265" s="1" t="n">
        <v>45237.63225694445</v>
      </c>
      <c r="C265" s="1" t="n">
        <v>45988</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55245-2023</t>
        </is>
      </c>
      <c r="B266" s="1" t="n">
        <v>45237.64408564815</v>
      </c>
      <c r="C266" s="1" t="n">
        <v>45988</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36055-2024</t>
        </is>
      </c>
      <c r="B267" s="1" t="n">
        <v>45533.63056712963</v>
      </c>
      <c r="C267" s="1" t="n">
        <v>45988</v>
      </c>
      <c r="D267" t="inlineStr">
        <is>
          <t>KALMAR LÄN</t>
        </is>
      </c>
      <c r="E267" t="inlineStr">
        <is>
          <t>VIMMERBY</t>
        </is>
      </c>
      <c r="F267" t="inlineStr">
        <is>
          <t>Kommuner</t>
        </is>
      </c>
      <c r="G267" t="n">
        <v>1.9</v>
      </c>
      <c r="H267" t="n">
        <v>0</v>
      </c>
      <c r="I267" t="n">
        <v>0</v>
      </c>
      <c r="J267" t="n">
        <v>0</v>
      </c>
      <c r="K267" t="n">
        <v>0</v>
      </c>
      <c r="L267" t="n">
        <v>0</v>
      </c>
      <c r="M267" t="n">
        <v>0</v>
      </c>
      <c r="N267" t="n">
        <v>0</v>
      </c>
      <c r="O267" t="n">
        <v>0</v>
      </c>
      <c r="P267" t="n">
        <v>0</v>
      </c>
      <c r="Q267" t="n">
        <v>0</v>
      </c>
      <c r="R267" s="2" t="inlineStr"/>
    </row>
    <row r="268" ht="15" customHeight="1">
      <c r="A268" t="inlineStr">
        <is>
          <t>A 39801-2025</t>
        </is>
      </c>
      <c r="B268" s="1" t="n">
        <v>45891.50216435185</v>
      </c>
      <c r="C268" s="1" t="n">
        <v>45988</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39807-2025</t>
        </is>
      </c>
      <c r="B269" s="1" t="n">
        <v>45891.50986111111</v>
      </c>
      <c r="C269" s="1" t="n">
        <v>45988</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39736-2025</t>
        </is>
      </c>
      <c r="B270" s="1" t="n">
        <v>45891</v>
      </c>
      <c r="C270" s="1" t="n">
        <v>45988</v>
      </c>
      <c r="D270" t="inlineStr">
        <is>
          <t>KALMAR LÄN</t>
        </is>
      </c>
      <c r="E270" t="inlineStr">
        <is>
          <t>VIMMERBY</t>
        </is>
      </c>
      <c r="G270" t="n">
        <v>12.8</v>
      </c>
      <c r="H270" t="n">
        <v>0</v>
      </c>
      <c r="I270" t="n">
        <v>0</v>
      </c>
      <c r="J270" t="n">
        <v>0</v>
      </c>
      <c r="K270" t="n">
        <v>0</v>
      </c>
      <c r="L270" t="n">
        <v>0</v>
      </c>
      <c r="M270" t="n">
        <v>0</v>
      </c>
      <c r="N270" t="n">
        <v>0</v>
      </c>
      <c r="O270" t="n">
        <v>0</v>
      </c>
      <c r="P270" t="n">
        <v>0</v>
      </c>
      <c r="Q270" t="n">
        <v>0</v>
      </c>
      <c r="R270" s="2" t="inlineStr"/>
    </row>
    <row r="271" ht="15" customHeight="1">
      <c r="A271" t="inlineStr">
        <is>
          <t>A 23984-2025</t>
        </is>
      </c>
      <c r="B271" s="1" t="n">
        <v>45796</v>
      </c>
      <c r="C271" s="1" t="n">
        <v>45988</v>
      </c>
      <c r="D271" t="inlineStr">
        <is>
          <t>KALMAR LÄN</t>
        </is>
      </c>
      <c r="E271" t="inlineStr">
        <is>
          <t>VIMMERBY</t>
        </is>
      </c>
      <c r="G271" t="n">
        <v>1.4</v>
      </c>
      <c r="H271" t="n">
        <v>0</v>
      </c>
      <c r="I271" t="n">
        <v>0</v>
      </c>
      <c r="J271" t="n">
        <v>0</v>
      </c>
      <c r="K271" t="n">
        <v>0</v>
      </c>
      <c r="L271" t="n">
        <v>0</v>
      </c>
      <c r="M271" t="n">
        <v>0</v>
      </c>
      <c r="N271" t="n">
        <v>0</v>
      </c>
      <c r="O271" t="n">
        <v>0</v>
      </c>
      <c r="P271" t="n">
        <v>0</v>
      </c>
      <c r="Q271" t="n">
        <v>0</v>
      </c>
      <c r="R271" s="2" t="inlineStr"/>
    </row>
    <row r="272" ht="15" customHeight="1">
      <c r="A272" t="inlineStr">
        <is>
          <t>A 27443-2023</t>
        </is>
      </c>
      <c r="B272" s="1" t="n">
        <v>45097.40524305555</v>
      </c>
      <c r="C272" s="1" t="n">
        <v>45988</v>
      </c>
      <c r="D272" t="inlineStr">
        <is>
          <t>KALMAR LÄN</t>
        </is>
      </c>
      <c r="E272" t="inlineStr">
        <is>
          <t>VIMMERBY</t>
        </is>
      </c>
      <c r="F272" t="inlineStr">
        <is>
          <t>Övriga Aktiebolag</t>
        </is>
      </c>
      <c r="G272" t="n">
        <v>2.3</v>
      </c>
      <c r="H272" t="n">
        <v>0</v>
      </c>
      <c r="I272" t="n">
        <v>0</v>
      </c>
      <c r="J272" t="n">
        <v>0</v>
      </c>
      <c r="K272" t="n">
        <v>0</v>
      </c>
      <c r="L272" t="n">
        <v>0</v>
      </c>
      <c r="M272" t="n">
        <v>0</v>
      </c>
      <c r="N272" t="n">
        <v>0</v>
      </c>
      <c r="O272" t="n">
        <v>0</v>
      </c>
      <c r="P272" t="n">
        <v>0</v>
      </c>
      <c r="Q272" t="n">
        <v>0</v>
      </c>
      <c r="R272" s="2" t="inlineStr"/>
    </row>
    <row r="273" ht="15" customHeight="1">
      <c r="A273" t="inlineStr">
        <is>
          <t>A 845-2023</t>
        </is>
      </c>
      <c r="B273" s="1" t="n">
        <v>44931</v>
      </c>
      <c r="C273" s="1" t="n">
        <v>45988</v>
      </c>
      <c r="D273" t="inlineStr">
        <is>
          <t>KALMAR LÄN</t>
        </is>
      </c>
      <c r="E273" t="inlineStr">
        <is>
          <t>VIMMERBY</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39803-2025</t>
        </is>
      </c>
      <c r="B274" s="1" t="n">
        <v>45891.50525462963</v>
      </c>
      <c r="C274" s="1" t="n">
        <v>45988</v>
      </c>
      <c r="D274" t="inlineStr">
        <is>
          <t>KALMAR LÄN</t>
        </is>
      </c>
      <c r="E274" t="inlineStr">
        <is>
          <t>VIMMERBY</t>
        </is>
      </c>
      <c r="G274" t="n">
        <v>0.5</v>
      </c>
      <c r="H274" t="n">
        <v>0</v>
      </c>
      <c r="I274" t="n">
        <v>0</v>
      </c>
      <c r="J274" t="n">
        <v>0</v>
      </c>
      <c r="K274" t="n">
        <v>0</v>
      </c>
      <c r="L274" t="n">
        <v>0</v>
      </c>
      <c r="M274" t="n">
        <v>0</v>
      </c>
      <c r="N274" t="n">
        <v>0</v>
      </c>
      <c r="O274" t="n">
        <v>0</v>
      </c>
      <c r="P274" t="n">
        <v>0</v>
      </c>
      <c r="Q274" t="n">
        <v>0</v>
      </c>
      <c r="R274" s="2" t="inlineStr"/>
    </row>
    <row r="275" ht="15" customHeight="1">
      <c r="A275" t="inlineStr">
        <is>
          <t>A 39889-2025</t>
        </is>
      </c>
      <c r="B275" s="1" t="n">
        <v>45891</v>
      </c>
      <c r="C275" s="1" t="n">
        <v>45988</v>
      </c>
      <c r="D275" t="inlineStr">
        <is>
          <t>KALMAR LÄN</t>
        </is>
      </c>
      <c r="E275" t="inlineStr">
        <is>
          <t>VIMMERBY</t>
        </is>
      </c>
      <c r="G275" t="n">
        <v>4.5</v>
      </c>
      <c r="H275" t="n">
        <v>0</v>
      </c>
      <c r="I275" t="n">
        <v>0</v>
      </c>
      <c r="J275" t="n">
        <v>0</v>
      </c>
      <c r="K275" t="n">
        <v>0</v>
      </c>
      <c r="L275" t="n">
        <v>0</v>
      </c>
      <c r="M275" t="n">
        <v>0</v>
      </c>
      <c r="N275" t="n">
        <v>0</v>
      </c>
      <c r="O275" t="n">
        <v>0</v>
      </c>
      <c r="P275" t="n">
        <v>0</v>
      </c>
      <c r="Q275" t="n">
        <v>0</v>
      </c>
      <c r="R275" s="2" t="inlineStr"/>
    </row>
    <row r="276" ht="15" customHeight="1">
      <c r="A276" t="inlineStr">
        <is>
          <t>A 6321-2023</t>
        </is>
      </c>
      <c r="B276" s="1" t="n">
        <v>44965.4815162037</v>
      </c>
      <c r="C276" s="1" t="n">
        <v>45988</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4624-2024</t>
        </is>
      </c>
      <c r="B277" s="1" t="n">
        <v>45328.38755787037</v>
      </c>
      <c r="C277" s="1" t="n">
        <v>45988</v>
      </c>
      <c r="D277" t="inlineStr">
        <is>
          <t>KALMAR LÄN</t>
        </is>
      </c>
      <c r="E277" t="inlineStr">
        <is>
          <t>VIMMERBY</t>
        </is>
      </c>
      <c r="G277" t="n">
        <v>1.7</v>
      </c>
      <c r="H277" t="n">
        <v>0</v>
      </c>
      <c r="I277" t="n">
        <v>0</v>
      </c>
      <c r="J277" t="n">
        <v>0</v>
      </c>
      <c r="K277" t="n">
        <v>0</v>
      </c>
      <c r="L277" t="n">
        <v>0</v>
      </c>
      <c r="M277" t="n">
        <v>0</v>
      </c>
      <c r="N277" t="n">
        <v>0</v>
      </c>
      <c r="O277" t="n">
        <v>0</v>
      </c>
      <c r="P277" t="n">
        <v>0</v>
      </c>
      <c r="Q277" t="n">
        <v>0</v>
      </c>
      <c r="R277" s="2" t="inlineStr"/>
    </row>
    <row r="278" ht="15" customHeight="1">
      <c r="A278" t="inlineStr">
        <is>
          <t>A 35082-2024</t>
        </is>
      </c>
      <c r="B278" s="1" t="n">
        <v>45527.68784722222</v>
      </c>
      <c r="C278" s="1" t="n">
        <v>45988</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40730-2024</t>
        </is>
      </c>
      <c r="B279" s="1" t="n">
        <v>45558.44914351852</v>
      </c>
      <c r="C279" s="1" t="n">
        <v>45988</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51278-2024</t>
        </is>
      </c>
      <c r="B280" s="1" t="n">
        <v>45603.74959490741</v>
      </c>
      <c r="C280" s="1" t="n">
        <v>45988</v>
      </c>
      <c r="D280" t="inlineStr">
        <is>
          <t>KALMAR LÄN</t>
        </is>
      </c>
      <c r="E280" t="inlineStr">
        <is>
          <t>VIMMERBY</t>
        </is>
      </c>
      <c r="G280" t="n">
        <v>3.4</v>
      </c>
      <c r="H280" t="n">
        <v>0</v>
      </c>
      <c r="I280" t="n">
        <v>0</v>
      </c>
      <c r="J280" t="n">
        <v>0</v>
      </c>
      <c r="K280" t="n">
        <v>0</v>
      </c>
      <c r="L280" t="n">
        <v>0</v>
      </c>
      <c r="M280" t="n">
        <v>0</v>
      </c>
      <c r="N280" t="n">
        <v>0</v>
      </c>
      <c r="O280" t="n">
        <v>0</v>
      </c>
      <c r="P280" t="n">
        <v>0</v>
      </c>
      <c r="Q280" t="n">
        <v>0</v>
      </c>
      <c r="R280" s="2" t="inlineStr"/>
    </row>
    <row r="281" ht="15" customHeight="1">
      <c r="A281" t="inlineStr">
        <is>
          <t>A 2157-2024</t>
        </is>
      </c>
      <c r="B281" s="1" t="n">
        <v>45309.59487268519</v>
      </c>
      <c r="C281" s="1" t="n">
        <v>45988</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9456-2025</t>
        </is>
      </c>
      <c r="B282" s="1" t="n">
        <v>45715.44159722222</v>
      </c>
      <c r="C282" s="1" t="n">
        <v>45988</v>
      </c>
      <c r="D282" t="inlineStr">
        <is>
          <t>KALMAR LÄN</t>
        </is>
      </c>
      <c r="E282" t="inlineStr">
        <is>
          <t>VIMMERBY</t>
        </is>
      </c>
      <c r="G282" t="n">
        <v>1.5</v>
      </c>
      <c r="H282" t="n">
        <v>0</v>
      </c>
      <c r="I282" t="n">
        <v>0</v>
      </c>
      <c r="J282" t="n">
        <v>0</v>
      </c>
      <c r="K282" t="n">
        <v>0</v>
      </c>
      <c r="L282" t="n">
        <v>0</v>
      </c>
      <c r="M282" t="n">
        <v>0</v>
      </c>
      <c r="N282" t="n">
        <v>0</v>
      </c>
      <c r="O282" t="n">
        <v>0</v>
      </c>
      <c r="P282" t="n">
        <v>0</v>
      </c>
      <c r="Q282" t="n">
        <v>0</v>
      </c>
      <c r="R282" s="2" t="inlineStr"/>
    </row>
    <row r="283" ht="15" customHeight="1">
      <c r="A283" t="inlineStr">
        <is>
          <t>A 40925-2025</t>
        </is>
      </c>
      <c r="B283" s="1" t="n">
        <v>45897.64208333333</v>
      </c>
      <c r="C283" s="1" t="n">
        <v>45988</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11111-2023</t>
        </is>
      </c>
      <c r="B284" s="1" t="n">
        <v>44992.4255787037</v>
      </c>
      <c r="C284" s="1" t="n">
        <v>45988</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49461-2022</t>
        </is>
      </c>
      <c r="B285" s="1" t="n">
        <v>44861</v>
      </c>
      <c r="C285" s="1" t="n">
        <v>45988</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694-2024</t>
        </is>
      </c>
      <c r="B286" s="1" t="n">
        <v>45300.3794212963</v>
      </c>
      <c r="C286" s="1" t="n">
        <v>45988</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40921-2025</t>
        </is>
      </c>
      <c r="B287" s="1" t="n">
        <v>45897.63520833333</v>
      </c>
      <c r="C287" s="1" t="n">
        <v>45988</v>
      </c>
      <c r="D287" t="inlineStr">
        <is>
          <t>KALMAR LÄN</t>
        </is>
      </c>
      <c r="E287" t="inlineStr">
        <is>
          <t>VIMMERBY</t>
        </is>
      </c>
      <c r="G287" t="n">
        <v>4.2</v>
      </c>
      <c r="H287" t="n">
        <v>0</v>
      </c>
      <c r="I287" t="n">
        <v>0</v>
      </c>
      <c r="J287" t="n">
        <v>0</v>
      </c>
      <c r="K287" t="n">
        <v>0</v>
      </c>
      <c r="L287" t="n">
        <v>0</v>
      </c>
      <c r="M287" t="n">
        <v>0</v>
      </c>
      <c r="N287" t="n">
        <v>0</v>
      </c>
      <c r="O287" t="n">
        <v>0</v>
      </c>
      <c r="P287" t="n">
        <v>0</v>
      </c>
      <c r="Q287" t="n">
        <v>0</v>
      </c>
      <c r="R287" s="2" t="inlineStr"/>
    </row>
    <row r="288" ht="15" customHeight="1">
      <c r="A288" t="inlineStr">
        <is>
          <t>A 59598-2023</t>
        </is>
      </c>
      <c r="B288" s="1" t="n">
        <v>45254.62489583333</v>
      </c>
      <c r="C288" s="1" t="n">
        <v>45988</v>
      </c>
      <c r="D288" t="inlineStr">
        <is>
          <t>KALMAR LÄN</t>
        </is>
      </c>
      <c r="E288" t="inlineStr">
        <is>
          <t>VIMMERBY</t>
        </is>
      </c>
      <c r="F288" t="inlineStr">
        <is>
          <t>Övriga Aktiebolag</t>
        </is>
      </c>
      <c r="G288" t="n">
        <v>4</v>
      </c>
      <c r="H288" t="n">
        <v>0</v>
      </c>
      <c r="I288" t="n">
        <v>0</v>
      </c>
      <c r="J288" t="n">
        <v>0</v>
      </c>
      <c r="K288" t="n">
        <v>0</v>
      </c>
      <c r="L288" t="n">
        <v>0</v>
      </c>
      <c r="M288" t="n">
        <v>0</v>
      </c>
      <c r="N288" t="n">
        <v>0</v>
      </c>
      <c r="O288" t="n">
        <v>0</v>
      </c>
      <c r="P288" t="n">
        <v>0</v>
      </c>
      <c r="Q288" t="n">
        <v>0</v>
      </c>
      <c r="R288" s="2" t="inlineStr"/>
    </row>
    <row r="289" ht="15" customHeight="1">
      <c r="A289" t="inlineStr">
        <is>
          <t>A 7944-2024</t>
        </is>
      </c>
      <c r="B289" s="1" t="n">
        <v>45350.53306712963</v>
      </c>
      <c r="C289" s="1" t="n">
        <v>45988</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44582-2024</t>
        </is>
      </c>
      <c r="B290" s="1" t="n">
        <v>45574.49298611111</v>
      </c>
      <c r="C290" s="1" t="n">
        <v>45988</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21496-2023</t>
        </is>
      </c>
      <c r="B291" s="1" t="n">
        <v>45063.49936342592</v>
      </c>
      <c r="C291" s="1" t="n">
        <v>45988</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15494-2024</t>
        </is>
      </c>
      <c r="B292" s="1" t="n">
        <v>45401.53033564815</v>
      </c>
      <c r="C292" s="1" t="n">
        <v>45988</v>
      </c>
      <c r="D292" t="inlineStr">
        <is>
          <t>KALMAR LÄN</t>
        </is>
      </c>
      <c r="E292" t="inlineStr">
        <is>
          <t>VIMMERBY</t>
        </is>
      </c>
      <c r="G292" t="n">
        <v>3.2</v>
      </c>
      <c r="H292" t="n">
        <v>0</v>
      </c>
      <c r="I292" t="n">
        <v>0</v>
      </c>
      <c r="J292" t="n">
        <v>0</v>
      </c>
      <c r="K292" t="n">
        <v>0</v>
      </c>
      <c r="L292" t="n">
        <v>0</v>
      </c>
      <c r="M292" t="n">
        <v>0</v>
      </c>
      <c r="N292" t="n">
        <v>0</v>
      </c>
      <c r="O292" t="n">
        <v>0</v>
      </c>
      <c r="P292" t="n">
        <v>0</v>
      </c>
      <c r="Q292" t="n">
        <v>0</v>
      </c>
      <c r="R292" s="2" t="inlineStr"/>
    </row>
    <row r="293" ht="15" customHeight="1">
      <c r="A293" t="inlineStr">
        <is>
          <t>A 41224-2025</t>
        </is>
      </c>
      <c r="B293" s="1" t="n">
        <v>45898.58861111111</v>
      </c>
      <c r="C293" s="1" t="n">
        <v>45988</v>
      </c>
      <c r="D293" t="inlineStr">
        <is>
          <t>KALMAR LÄN</t>
        </is>
      </c>
      <c r="E293" t="inlineStr">
        <is>
          <t>VIMMERBY</t>
        </is>
      </c>
      <c r="G293" t="n">
        <v>4.4</v>
      </c>
      <c r="H293" t="n">
        <v>0</v>
      </c>
      <c r="I293" t="n">
        <v>0</v>
      </c>
      <c r="J293" t="n">
        <v>0</v>
      </c>
      <c r="K293" t="n">
        <v>0</v>
      </c>
      <c r="L293" t="n">
        <v>0</v>
      </c>
      <c r="M293" t="n">
        <v>0</v>
      </c>
      <c r="N293" t="n">
        <v>0</v>
      </c>
      <c r="O293" t="n">
        <v>0</v>
      </c>
      <c r="P293" t="n">
        <v>0</v>
      </c>
      <c r="Q293" t="n">
        <v>0</v>
      </c>
      <c r="R293" s="2" t="inlineStr"/>
    </row>
    <row r="294" ht="15" customHeight="1">
      <c r="A294" t="inlineStr">
        <is>
          <t>A 41591-2025</t>
        </is>
      </c>
      <c r="B294" s="1" t="n">
        <v>45901.6327662037</v>
      </c>
      <c r="C294" s="1" t="n">
        <v>45988</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40971-2025</t>
        </is>
      </c>
      <c r="B295" s="1" t="n">
        <v>45897.88836805556</v>
      </c>
      <c r="C295" s="1" t="n">
        <v>45988</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41589-2025</t>
        </is>
      </c>
      <c r="B296" s="1" t="n">
        <v>45901.63219907408</v>
      </c>
      <c r="C296" s="1" t="n">
        <v>45988</v>
      </c>
      <c r="D296" t="inlineStr">
        <is>
          <t>KALMAR LÄN</t>
        </is>
      </c>
      <c r="E296" t="inlineStr">
        <is>
          <t>VIMMERBY</t>
        </is>
      </c>
      <c r="G296" t="n">
        <v>1.7</v>
      </c>
      <c r="H296" t="n">
        <v>0</v>
      </c>
      <c r="I296" t="n">
        <v>0</v>
      </c>
      <c r="J296" t="n">
        <v>0</v>
      </c>
      <c r="K296" t="n">
        <v>0</v>
      </c>
      <c r="L296" t="n">
        <v>0</v>
      </c>
      <c r="M296" t="n">
        <v>0</v>
      </c>
      <c r="N296" t="n">
        <v>0</v>
      </c>
      <c r="O296" t="n">
        <v>0</v>
      </c>
      <c r="P296" t="n">
        <v>0</v>
      </c>
      <c r="Q296" t="n">
        <v>0</v>
      </c>
      <c r="R296" s="2" t="inlineStr"/>
    </row>
    <row r="297" ht="15" customHeight="1">
      <c r="A297" t="inlineStr">
        <is>
          <t>A 40970-2025</t>
        </is>
      </c>
      <c r="B297" s="1" t="n">
        <v>45897.88706018519</v>
      </c>
      <c r="C297" s="1" t="n">
        <v>45988</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40973-2025</t>
        </is>
      </c>
      <c r="B298" s="1" t="n">
        <v>45897.89737268518</v>
      </c>
      <c r="C298" s="1" t="n">
        <v>45988</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29783-2024</t>
        </is>
      </c>
      <c r="B299" s="1" t="n">
        <v>45485.45778935185</v>
      </c>
      <c r="C299" s="1" t="n">
        <v>45988</v>
      </c>
      <c r="D299" t="inlineStr">
        <is>
          <t>KALMAR LÄN</t>
        </is>
      </c>
      <c r="E299" t="inlineStr">
        <is>
          <t>VIMMERBY</t>
        </is>
      </c>
      <c r="G299" t="n">
        <v>3.1</v>
      </c>
      <c r="H299" t="n">
        <v>0</v>
      </c>
      <c r="I299" t="n">
        <v>0</v>
      </c>
      <c r="J299" t="n">
        <v>0</v>
      </c>
      <c r="K299" t="n">
        <v>0</v>
      </c>
      <c r="L299" t="n">
        <v>0</v>
      </c>
      <c r="M299" t="n">
        <v>0</v>
      </c>
      <c r="N299" t="n">
        <v>0</v>
      </c>
      <c r="O299" t="n">
        <v>0</v>
      </c>
      <c r="P299" t="n">
        <v>0</v>
      </c>
      <c r="Q299" t="n">
        <v>0</v>
      </c>
      <c r="R299" s="2" t="inlineStr"/>
    </row>
    <row r="300" ht="15" customHeight="1">
      <c r="A300" t="inlineStr">
        <is>
          <t>A 34090-2025</t>
        </is>
      </c>
      <c r="B300" s="1" t="n">
        <v>45845</v>
      </c>
      <c r="C300" s="1" t="n">
        <v>45988</v>
      </c>
      <c r="D300" t="inlineStr">
        <is>
          <t>KALMAR LÄN</t>
        </is>
      </c>
      <c r="E300" t="inlineStr">
        <is>
          <t>VIMMERBY</t>
        </is>
      </c>
      <c r="G300" t="n">
        <v>2.8</v>
      </c>
      <c r="H300" t="n">
        <v>0</v>
      </c>
      <c r="I300" t="n">
        <v>0</v>
      </c>
      <c r="J300" t="n">
        <v>0</v>
      </c>
      <c r="K300" t="n">
        <v>0</v>
      </c>
      <c r="L300" t="n">
        <v>0</v>
      </c>
      <c r="M300" t="n">
        <v>0</v>
      </c>
      <c r="N300" t="n">
        <v>0</v>
      </c>
      <c r="O300" t="n">
        <v>0</v>
      </c>
      <c r="P300" t="n">
        <v>0</v>
      </c>
      <c r="Q300" t="n">
        <v>0</v>
      </c>
      <c r="R300" s="2" t="inlineStr"/>
    </row>
    <row r="301" ht="15" customHeight="1">
      <c r="A301" t="inlineStr">
        <is>
          <t>A 58724-2024</t>
        </is>
      </c>
      <c r="B301" s="1" t="n">
        <v>45635.66409722222</v>
      </c>
      <c r="C301" s="1" t="n">
        <v>45988</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25792-2025</t>
        </is>
      </c>
      <c r="B302" s="1" t="n">
        <v>45804.39141203704</v>
      </c>
      <c r="C302" s="1" t="n">
        <v>45988</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26039-2025</t>
        </is>
      </c>
      <c r="B303" s="1" t="n">
        <v>45804.6953587963</v>
      </c>
      <c r="C303" s="1" t="n">
        <v>45988</v>
      </c>
      <c r="D303" t="inlineStr">
        <is>
          <t>KALMAR LÄN</t>
        </is>
      </c>
      <c r="E303" t="inlineStr">
        <is>
          <t>VIMMERBY</t>
        </is>
      </c>
      <c r="F303" t="inlineStr">
        <is>
          <t>Sveaskog</t>
        </is>
      </c>
      <c r="G303" t="n">
        <v>5.2</v>
      </c>
      <c r="H303" t="n">
        <v>0</v>
      </c>
      <c r="I303" t="n">
        <v>0</v>
      </c>
      <c r="J303" t="n">
        <v>0</v>
      </c>
      <c r="K303" t="n">
        <v>0</v>
      </c>
      <c r="L303" t="n">
        <v>0</v>
      </c>
      <c r="M303" t="n">
        <v>0</v>
      </c>
      <c r="N303" t="n">
        <v>0</v>
      </c>
      <c r="O303" t="n">
        <v>0</v>
      </c>
      <c r="P303" t="n">
        <v>0</v>
      </c>
      <c r="Q303" t="n">
        <v>0</v>
      </c>
      <c r="R303" s="2" t="inlineStr"/>
    </row>
    <row r="304" ht="15" customHeight="1">
      <c r="A304" t="inlineStr">
        <is>
          <t>A 35198-2023</t>
        </is>
      </c>
      <c r="B304" s="1" t="n">
        <v>45145</v>
      </c>
      <c r="C304" s="1" t="n">
        <v>45988</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26046-2025</t>
        </is>
      </c>
      <c r="B305" s="1" t="n">
        <v>45804.708125</v>
      </c>
      <c r="C305" s="1" t="n">
        <v>45988</v>
      </c>
      <c r="D305" t="inlineStr">
        <is>
          <t>KALMAR LÄN</t>
        </is>
      </c>
      <c r="E305" t="inlineStr">
        <is>
          <t>VIMMERBY</t>
        </is>
      </c>
      <c r="F305" t="inlineStr">
        <is>
          <t>Sveaskog</t>
        </is>
      </c>
      <c r="G305" t="n">
        <v>5.1</v>
      </c>
      <c r="H305" t="n">
        <v>0</v>
      </c>
      <c r="I305" t="n">
        <v>0</v>
      </c>
      <c r="J305" t="n">
        <v>0</v>
      </c>
      <c r="K305" t="n">
        <v>0</v>
      </c>
      <c r="L305" t="n">
        <v>0</v>
      </c>
      <c r="M305" t="n">
        <v>0</v>
      </c>
      <c r="N305" t="n">
        <v>0</v>
      </c>
      <c r="O305" t="n">
        <v>0</v>
      </c>
      <c r="P305" t="n">
        <v>0</v>
      </c>
      <c r="Q305" t="n">
        <v>0</v>
      </c>
      <c r="R305" s="2" t="inlineStr"/>
    </row>
    <row r="306" ht="15" customHeight="1">
      <c r="A306" t="inlineStr">
        <is>
          <t>A 43853-2023</t>
        </is>
      </c>
      <c r="B306" s="1" t="n">
        <v>45187.60813657408</v>
      </c>
      <c r="C306" s="1" t="n">
        <v>45988</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41735-2025</t>
        </is>
      </c>
      <c r="B307" s="1" t="n">
        <v>45902.47164351852</v>
      </c>
      <c r="C307" s="1" t="n">
        <v>45988</v>
      </c>
      <c r="D307" t="inlineStr">
        <is>
          <t>KALMAR LÄN</t>
        </is>
      </c>
      <c r="E307" t="inlineStr">
        <is>
          <t>VIMMERBY</t>
        </is>
      </c>
      <c r="G307" t="n">
        <v>3</v>
      </c>
      <c r="H307" t="n">
        <v>0</v>
      </c>
      <c r="I307" t="n">
        <v>0</v>
      </c>
      <c r="J307" t="n">
        <v>0</v>
      </c>
      <c r="K307" t="n">
        <v>0</v>
      </c>
      <c r="L307" t="n">
        <v>0</v>
      </c>
      <c r="M307" t="n">
        <v>0</v>
      </c>
      <c r="N307" t="n">
        <v>0</v>
      </c>
      <c r="O307" t="n">
        <v>0</v>
      </c>
      <c r="P307" t="n">
        <v>0</v>
      </c>
      <c r="Q307" t="n">
        <v>0</v>
      </c>
      <c r="R307" s="2" t="inlineStr"/>
    </row>
    <row r="308" ht="15" customHeight="1">
      <c r="A308" t="inlineStr">
        <is>
          <t>A 26124-2025</t>
        </is>
      </c>
      <c r="B308" s="1" t="n">
        <v>45805.39247685186</v>
      </c>
      <c r="C308" s="1" t="n">
        <v>45988</v>
      </c>
      <c r="D308" t="inlineStr">
        <is>
          <t>KALMAR LÄN</t>
        </is>
      </c>
      <c r="E308" t="inlineStr">
        <is>
          <t>VIMMERBY</t>
        </is>
      </c>
      <c r="G308" t="n">
        <v>6.6</v>
      </c>
      <c r="H308" t="n">
        <v>0</v>
      </c>
      <c r="I308" t="n">
        <v>0</v>
      </c>
      <c r="J308" t="n">
        <v>0</v>
      </c>
      <c r="K308" t="n">
        <v>0</v>
      </c>
      <c r="L308" t="n">
        <v>0</v>
      </c>
      <c r="M308" t="n">
        <v>0</v>
      </c>
      <c r="N308" t="n">
        <v>0</v>
      </c>
      <c r="O308" t="n">
        <v>0</v>
      </c>
      <c r="P308" t="n">
        <v>0</v>
      </c>
      <c r="Q308" t="n">
        <v>0</v>
      </c>
      <c r="R308" s="2" t="inlineStr"/>
    </row>
    <row r="309" ht="15" customHeight="1">
      <c r="A309" t="inlineStr">
        <is>
          <t>A 26207-2025</t>
        </is>
      </c>
      <c r="B309" s="1" t="n">
        <v>45805.52983796296</v>
      </c>
      <c r="C309" s="1" t="n">
        <v>45988</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25830-2025</t>
        </is>
      </c>
      <c r="B310" s="1" t="n">
        <v>45804.44519675926</v>
      </c>
      <c r="C310" s="1" t="n">
        <v>45988</v>
      </c>
      <c r="D310" t="inlineStr">
        <is>
          <t>KALMAR LÄN</t>
        </is>
      </c>
      <c r="E310" t="inlineStr">
        <is>
          <t>VIMMERBY</t>
        </is>
      </c>
      <c r="G310" t="n">
        <v>4.9</v>
      </c>
      <c r="H310" t="n">
        <v>0</v>
      </c>
      <c r="I310" t="n">
        <v>0</v>
      </c>
      <c r="J310" t="n">
        <v>0</v>
      </c>
      <c r="K310" t="n">
        <v>0</v>
      </c>
      <c r="L310" t="n">
        <v>0</v>
      </c>
      <c r="M310" t="n">
        <v>0</v>
      </c>
      <c r="N310" t="n">
        <v>0</v>
      </c>
      <c r="O310" t="n">
        <v>0</v>
      </c>
      <c r="P310" t="n">
        <v>0</v>
      </c>
      <c r="Q310" t="n">
        <v>0</v>
      </c>
      <c r="R310" s="2" t="inlineStr"/>
    </row>
    <row r="311" ht="15" customHeight="1">
      <c r="A311" t="inlineStr">
        <is>
          <t>A 26254-2025</t>
        </is>
      </c>
      <c r="B311" s="1" t="n">
        <v>45805</v>
      </c>
      <c r="C311" s="1" t="n">
        <v>45988</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9511-2023</t>
        </is>
      </c>
      <c r="B312" s="1" t="n">
        <v>44981.64725694444</v>
      </c>
      <c r="C312" s="1" t="n">
        <v>45988</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38757-2023</t>
        </is>
      </c>
      <c r="B313" s="1" t="n">
        <v>45163.41376157408</v>
      </c>
      <c r="C313" s="1" t="n">
        <v>45988</v>
      </c>
      <c r="D313" t="inlineStr">
        <is>
          <t>KALMAR LÄN</t>
        </is>
      </c>
      <c r="E313" t="inlineStr">
        <is>
          <t>VIMMERBY</t>
        </is>
      </c>
      <c r="G313" t="n">
        <v>2.5</v>
      </c>
      <c r="H313" t="n">
        <v>0</v>
      </c>
      <c r="I313" t="n">
        <v>0</v>
      </c>
      <c r="J313" t="n">
        <v>0</v>
      </c>
      <c r="K313" t="n">
        <v>0</v>
      </c>
      <c r="L313" t="n">
        <v>0</v>
      </c>
      <c r="M313" t="n">
        <v>0</v>
      </c>
      <c r="N313" t="n">
        <v>0</v>
      </c>
      <c r="O313" t="n">
        <v>0</v>
      </c>
      <c r="P313" t="n">
        <v>0</v>
      </c>
      <c r="Q313" t="n">
        <v>0</v>
      </c>
      <c r="R313" s="2" t="inlineStr"/>
    </row>
    <row r="314" ht="15" customHeight="1">
      <c r="A314" t="inlineStr">
        <is>
          <t>A 29973-2023</t>
        </is>
      </c>
      <c r="B314" s="1" t="n">
        <v>45108.703125</v>
      </c>
      <c r="C314" s="1" t="n">
        <v>45988</v>
      </c>
      <c r="D314" t="inlineStr">
        <is>
          <t>KALMAR LÄN</t>
        </is>
      </c>
      <c r="E314" t="inlineStr">
        <is>
          <t>VIMMERBY</t>
        </is>
      </c>
      <c r="G314" t="n">
        <v>4</v>
      </c>
      <c r="H314" t="n">
        <v>0</v>
      </c>
      <c r="I314" t="n">
        <v>0</v>
      </c>
      <c r="J314" t="n">
        <v>0</v>
      </c>
      <c r="K314" t="n">
        <v>0</v>
      </c>
      <c r="L314" t="n">
        <v>0</v>
      </c>
      <c r="M314" t="n">
        <v>0</v>
      </c>
      <c r="N314" t="n">
        <v>0</v>
      </c>
      <c r="O314" t="n">
        <v>0</v>
      </c>
      <c r="P314" t="n">
        <v>0</v>
      </c>
      <c r="Q314" t="n">
        <v>0</v>
      </c>
      <c r="R314" s="2" t="inlineStr"/>
    </row>
    <row r="315" ht="15" customHeight="1">
      <c r="A315" t="inlineStr">
        <is>
          <t>A 64143-2021</t>
        </is>
      </c>
      <c r="B315" s="1" t="n">
        <v>44510.52157407408</v>
      </c>
      <c r="C315" s="1" t="n">
        <v>45988</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51062-2025</t>
        </is>
      </c>
      <c r="B316" s="1" t="n">
        <v>45947.44685185186</v>
      </c>
      <c r="C316" s="1" t="n">
        <v>45988</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73938-2021</t>
        </is>
      </c>
      <c r="B317" s="1" t="n">
        <v>44553</v>
      </c>
      <c r="C317" s="1" t="n">
        <v>45988</v>
      </c>
      <c r="D317" t="inlineStr">
        <is>
          <t>KALMAR LÄN</t>
        </is>
      </c>
      <c r="E317" t="inlineStr">
        <is>
          <t>VIMMERBY</t>
        </is>
      </c>
      <c r="G317" t="n">
        <v>3.2</v>
      </c>
      <c r="H317" t="n">
        <v>0</v>
      </c>
      <c r="I317" t="n">
        <v>0</v>
      </c>
      <c r="J317" t="n">
        <v>0</v>
      </c>
      <c r="K317" t="n">
        <v>0</v>
      </c>
      <c r="L317" t="n">
        <v>0</v>
      </c>
      <c r="M317" t="n">
        <v>0</v>
      </c>
      <c r="N317" t="n">
        <v>0</v>
      </c>
      <c r="O317" t="n">
        <v>0</v>
      </c>
      <c r="P317" t="n">
        <v>0</v>
      </c>
      <c r="Q317" t="n">
        <v>0</v>
      </c>
      <c r="R317" s="2" t="inlineStr"/>
    </row>
    <row r="318" ht="15" customHeight="1">
      <c r="A318" t="inlineStr">
        <is>
          <t>A 40076-2021</t>
        </is>
      </c>
      <c r="B318" s="1" t="n">
        <v>44418</v>
      </c>
      <c r="C318" s="1" t="n">
        <v>45988</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50648-2023</t>
        </is>
      </c>
      <c r="B319" s="1" t="n">
        <v>45217.47834490741</v>
      </c>
      <c r="C319" s="1" t="n">
        <v>45988</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529-2022</t>
        </is>
      </c>
      <c r="B320" s="1" t="n">
        <v>44566</v>
      </c>
      <c r="C320" s="1" t="n">
        <v>45988</v>
      </c>
      <c r="D320" t="inlineStr">
        <is>
          <t>KALMAR LÄN</t>
        </is>
      </c>
      <c r="E320" t="inlineStr">
        <is>
          <t>VIMMERBY</t>
        </is>
      </c>
      <c r="G320" t="n">
        <v>1.5</v>
      </c>
      <c r="H320" t="n">
        <v>0</v>
      </c>
      <c r="I320" t="n">
        <v>0</v>
      </c>
      <c r="J320" t="n">
        <v>0</v>
      </c>
      <c r="K320" t="n">
        <v>0</v>
      </c>
      <c r="L320" t="n">
        <v>0</v>
      </c>
      <c r="M320" t="n">
        <v>0</v>
      </c>
      <c r="N320" t="n">
        <v>0</v>
      </c>
      <c r="O320" t="n">
        <v>0</v>
      </c>
      <c r="P320" t="n">
        <v>0</v>
      </c>
      <c r="Q320" t="n">
        <v>0</v>
      </c>
      <c r="R320" s="2" t="inlineStr"/>
    </row>
    <row r="321" ht="15" customHeight="1">
      <c r="A321" t="inlineStr">
        <is>
          <t>A 58318-2021</t>
        </is>
      </c>
      <c r="B321" s="1" t="n">
        <v>44488.35878472222</v>
      </c>
      <c r="C321" s="1" t="n">
        <v>45988</v>
      </c>
      <c r="D321" t="inlineStr">
        <is>
          <t>KALMAR LÄN</t>
        </is>
      </c>
      <c r="E321" t="inlineStr">
        <is>
          <t>VIMMERBY</t>
        </is>
      </c>
      <c r="G321" t="n">
        <v>4</v>
      </c>
      <c r="H321" t="n">
        <v>0</v>
      </c>
      <c r="I321" t="n">
        <v>0</v>
      </c>
      <c r="J321" t="n">
        <v>0</v>
      </c>
      <c r="K321" t="n">
        <v>0</v>
      </c>
      <c r="L321" t="n">
        <v>0</v>
      </c>
      <c r="M321" t="n">
        <v>0</v>
      </c>
      <c r="N321" t="n">
        <v>0</v>
      </c>
      <c r="O321" t="n">
        <v>0</v>
      </c>
      <c r="P321" t="n">
        <v>0</v>
      </c>
      <c r="Q321" t="n">
        <v>0</v>
      </c>
      <c r="R321" s="2" t="inlineStr"/>
    </row>
    <row r="322" ht="15" customHeight="1">
      <c r="A322" t="inlineStr">
        <is>
          <t>A 89-2023</t>
        </is>
      </c>
      <c r="B322" s="1" t="n">
        <v>44918</v>
      </c>
      <c r="C322" s="1" t="n">
        <v>45988</v>
      </c>
      <c r="D322" t="inlineStr">
        <is>
          <t>KALMAR LÄN</t>
        </is>
      </c>
      <c r="E322" t="inlineStr">
        <is>
          <t>VIMMERBY</t>
        </is>
      </c>
      <c r="G322" t="n">
        <v>16.1</v>
      </c>
      <c r="H322" t="n">
        <v>0</v>
      </c>
      <c r="I322" t="n">
        <v>0</v>
      </c>
      <c r="J322" t="n">
        <v>0</v>
      </c>
      <c r="K322" t="n">
        <v>0</v>
      </c>
      <c r="L322" t="n">
        <v>0</v>
      </c>
      <c r="M322" t="n">
        <v>0</v>
      </c>
      <c r="N322" t="n">
        <v>0</v>
      </c>
      <c r="O322" t="n">
        <v>0</v>
      </c>
      <c r="P322" t="n">
        <v>0</v>
      </c>
      <c r="Q322" t="n">
        <v>0</v>
      </c>
      <c r="R322" s="2" t="inlineStr"/>
    </row>
    <row r="323" ht="15" customHeight="1">
      <c r="A323" t="inlineStr">
        <is>
          <t>A 23088-2024</t>
        </is>
      </c>
      <c r="B323" s="1" t="n">
        <v>45450.51092592593</v>
      </c>
      <c r="C323" s="1" t="n">
        <v>45988</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38851-2023</t>
        </is>
      </c>
      <c r="B324" s="1" t="n">
        <v>45163</v>
      </c>
      <c r="C324" s="1" t="n">
        <v>45988</v>
      </c>
      <c r="D324" t="inlineStr">
        <is>
          <t>KALMAR LÄN</t>
        </is>
      </c>
      <c r="E324" t="inlineStr">
        <is>
          <t>VIMMERBY</t>
        </is>
      </c>
      <c r="G324" t="n">
        <v>4.3</v>
      </c>
      <c r="H324" t="n">
        <v>0</v>
      </c>
      <c r="I324" t="n">
        <v>0</v>
      </c>
      <c r="J324" t="n">
        <v>0</v>
      </c>
      <c r="K324" t="n">
        <v>0</v>
      </c>
      <c r="L324" t="n">
        <v>0</v>
      </c>
      <c r="M324" t="n">
        <v>0</v>
      </c>
      <c r="N324" t="n">
        <v>0</v>
      </c>
      <c r="O324" t="n">
        <v>0</v>
      </c>
      <c r="P324" t="n">
        <v>0</v>
      </c>
      <c r="Q324" t="n">
        <v>0</v>
      </c>
      <c r="R324" s="2" t="inlineStr"/>
    </row>
    <row r="325" ht="15" customHeight="1">
      <c r="A325" t="inlineStr">
        <is>
          <t>A 10759-2023</t>
        </is>
      </c>
      <c r="B325" s="1" t="n">
        <v>44988</v>
      </c>
      <c r="C325" s="1" t="n">
        <v>45988</v>
      </c>
      <c r="D325" t="inlineStr">
        <is>
          <t>KALMAR LÄN</t>
        </is>
      </c>
      <c r="E325" t="inlineStr">
        <is>
          <t>VIMMERBY</t>
        </is>
      </c>
      <c r="G325" t="n">
        <v>0.4</v>
      </c>
      <c r="H325" t="n">
        <v>0</v>
      </c>
      <c r="I325" t="n">
        <v>0</v>
      </c>
      <c r="J325" t="n">
        <v>0</v>
      </c>
      <c r="K325" t="n">
        <v>0</v>
      </c>
      <c r="L325" t="n">
        <v>0</v>
      </c>
      <c r="M325" t="n">
        <v>0</v>
      </c>
      <c r="N325" t="n">
        <v>0</v>
      </c>
      <c r="O325" t="n">
        <v>0</v>
      </c>
      <c r="P325" t="n">
        <v>0</v>
      </c>
      <c r="Q325" t="n">
        <v>0</v>
      </c>
      <c r="R325" s="2" t="inlineStr"/>
    </row>
    <row r="326" ht="15" customHeight="1">
      <c r="A326" t="inlineStr">
        <is>
          <t>A 63583-2023</t>
        </is>
      </c>
      <c r="B326" s="1" t="n">
        <v>45275.41833333333</v>
      </c>
      <c r="C326" s="1" t="n">
        <v>45988</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40079-2023</t>
        </is>
      </c>
      <c r="B327" s="1" t="n">
        <v>45168.89298611111</v>
      </c>
      <c r="C327" s="1" t="n">
        <v>45988</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43774-2023</t>
        </is>
      </c>
      <c r="B328" s="1" t="n">
        <v>45187</v>
      </c>
      <c r="C328" s="1" t="n">
        <v>45988</v>
      </c>
      <c r="D328" t="inlineStr">
        <is>
          <t>KALMAR LÄN</t>
        </is>
      </c>
      <c r="E328" t="inlineStr">
        <is>
          <t>VIMMERBY</t>
        </is>
      </c>
      <c r="G328" t="n">
        <v>3.4</v>
      </c>
      <c r="H328" t="n">
        <v>0</v>
      </c>
      <c r="I328" t="n">
        <v>0</v>
      </c>
      <c r="J328" t="n">
        <v>0</v>
      </c>
      <c r="K328" t="n">
        <v>0</v>
      </c>
      <c r="L328" t="n">
        <v>0</v>
      </c>
      <c r="M328" t="n">
        <v>0</v>
      </c>
      <c r="N328" t="n">
        <v>0</v>
      </c>
      <c r="O328" t="n">
        <v>0</v>
      </c>
      <c r="P328" t="n">
        <v>0</v>
      </c>
      <c r="Q328" t="n">
        <v>0</v>
      </c>
      <c r="R328" s="2" t="inlineStr"/>
    </row>
    <row r="329" ht="15" customHeight="1">
      <c r="A329" t="inlineStr">
        <is>
          <t>A 29616-2022</t>
        </is>
      </c>
      <c r="B329" s="1" t="n">
        <v>44754</v>
      </c>
      <c r="C329" s="1" t="n">
        <v>45988</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42828-2025</t>
        </is>
      </c>
      <c r="B330" s="1" t="n">
        <v>45908.57716435185</v>
      </c>
      <c r="C330" s="1" t="n">
        <v>45988</v>
      </c>
      <c r="D330" t="inlineStr">
        <is>
          <t>KALMAR LÄN</t>
        </is>
      </c>
      <c r="E330" t="inlineStr">
        <is>
          <t>VIMMERBY</t>
        </is>
      </c>
      <c r="G330" t="n">
        <v>5.2</v>
      </c>
      <c r="H330" t="n">
        <v>0</v>
      </c>
      <c r="I330" t="n">
        <v>0</v>
      </c>
      <c r="J330" t="n">
        <v>0</v>
      </c>
      <c r="K330" t="n">
        <v>0</v>
      </c>
      <c r="L330" t="n">
        <v>0</v>
      </c>
      <c r="M330" t="n">
        <v>0</v>
      </c>
      <c r="N330" t="n">
        <v>0</v>
      </c>
      <c r="O330" t="n">
        <v>0</v>
      </c>
      <c r="P330" t="n">
        <v>0</v>
      </c>
      <c r="Q330" t="n">
        <v>0</v>
      </c>
      <c r="R330" s="2" t="inlineStr"/>
    </row>
    <row r="331" ht="15" customHeight="1">
      <c r="A331" t="inlineStr">
        <is>
          <t>A 39578-2024</t>
        </is>
      </c>
      <c r="B331" s="1" t="n">
        <v>45552.36484953704</v>
      </c>
      <c r="C331" s="1" t="n">
        <v>45988</v>
      </c>
      <c r="D331" t="inlineStr">
        <is>
          <t>KALMAR LÄN</t>
        </is>
      </c>
      <c r="E331" t="inlineStr">
        <is>
          <t>VIMMERBY</t>
        </is>
      </c>
      <c r="G331" t="n">
        <v>1.5</v>
      </c>
      <c r="H331" t="n">
        <v>0</v>
      </c>
      <c r="I331" t="n">
        <v>0</v>
      </c>
      <c r="J331" t="n">
        <v>0</v>
      </c>
      <c r="K331" t="n">
        <v>0</v>
      </c>
      <c r="L331" t="n">
        <v>0</v>
      </c>
      <c r="M331" t="n">
        <v>0</v>
      </c>
      <c r="N331" t="n">
        <v>0</v>
      </c>
      <c r="O331" t="n">
        <v>0</v>
      </c>
      <c r="P331" t="n">
        <v>0</v>
      </c>
      <c r="Q331" t="n">
        <v>0</v>
      </c>
      <c r="R331" s="2" t="inlineStr"/>
    </row>
    <row r="332" ht="15" customHeight="1">
      <c r="A332" t="inlineStr">
        <is>
          <t>A 24707-2024</t>
        </is>
      </c>
      <c r="B332" s="1" t="n">
        <v>45460.62172453704</v>
      </c>
      <c r="C332" s="1" t="n">
        <v>45988</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42794-2025</t>
        </is>
      </c>
      <c r="B333" s="1" t="n">
        <v>45908</v>
      </c>
      <c r="C333" s="1" t="n">
        <v>45988</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42820-2025</t>
        </is>
      </c>
      <c r="B334" s="1" t="n">
        <v>45908</v>
      </c>
      <c r="C334" s="1" t="n">
        <v>45988</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31056-2022</t>
        </is>
      </c>
      <c r="B335" s="1" t="n">
        <v>44769.45805555556</v>
      </c>
      <c r="C335" s="1" t="n">
        <v>45988</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33383-2023</t>
        </is>
      </c>
      <c r="B336" s="1" t="n">
        <v>45128.58414351852</v>
      </c>
      <c r="C336" s="1" t="n">
        <v>45988</v>
      </c>
      <c r="D336" t="inlineStr">
        <is>
          <t>KALMAR LÄN</t>
        </is>
      </c>
      <c r="E336" t="inlineStr">
        <is>
          <t>VIMMERBY</t>
        </is>
      </c>
      <c r="G336" t="n">
        <v>2.3</v>
      </c>
      <c r="H336" t="n">
        <v>0</v>
      </c>
      <c r="I336" t="n">
        <v>0</v>
      </c>
      <c r="J336" t="n">
        <v>0</v>
      </c>
      <c r="K336" t="n">
        <v>0</v>
      </c>
      <c r="L336" t="n">
        <v>0</v>
      </c>
      <c r="M336" t="n">
        <v>0</v>
      </c>
      <c r="N336" t="n">
        <v>0</v>
      </c>
      <c r="O336" t="n">
        <v>0</v>
      </c>
      <c r="P336" t="n">
        <v>0</v>
      </c>
      <c r="Q336" t="n">
        <v>0</v>
      </c>
      <c r="R336" s="2" t="inlineStr"/>
    </row>
    <row r="337" ht="15" customHeight="1">
      <c r="A337" t="inlineStr">
        <is>
          <t>A 40828-2023</t>
        </is>
      </c>
      <c r="B337" s="1" t="n">
        <v>45171.96248842592</v>
      </c>
      <c r="C337" s="1" t="n">
        <v>45988</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61861-2024</t>
        </is>
      </c>
      <c r="B338" s="1" t="n">
        <v>45650.37370370371</v>
      </c>
      <c r="C338" s="1" t="n">
        <v>45988</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8650-2022</t>
        </is>
      </c>
      <c r="B339" s="1" t="n">
        <v>44613</v>
      </c>
      <c r="C339" s="1" t="n">
        <v>45988</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33340-2023</t>
        </is>
      </c>
      <c r="B340" s="1" t="n">
        <v>45128.37305555555</v>
      </c>
      <c r="C340" s="1" t="n">
        <v>45988</v>
      </c>
      <c r="D340" t="inlineStr">
        <is>
          <t>KALMAR LÄN</t>
        </is>
      </c>
      <c r="E340" t="inlineStr">
        <is>
          <t>VIMMERBY</t>
        </is>
      </c>
      <c r="G340" t="n">
        <v>1.5</v>
      </c>
      <c r="H340" t="n">
        <v>0</v>
      </c>
      <c r="I340" t="n">
        <v>0</v>
      </c>
      <c r="J340" t="n">
        <v>0</v>
      </c>
      <c r="K340" t="n">
        <v>0</v>
      </c>
      <c r="L340" t="n">
        <v>0</v>
      </c>
      <c r="M340" t="n">
        <v>0</v>
      </c>
      <c r="N340" t="n">
        <v>0</v>
      </c>
      <c r="O340" t="n">
        <v>0</v>
      </c>
      <c r="P340" t="n">
        <v>0</v>
      </c>
      <c r="Q340" t="n">
        <v>0</v>
      </c>
      <c r="R340" s="2" t="inlineStr"/>
    </row>
    <row r="341" ht="15" customHeight="1">
      <c r="A341" t="inlineStr">
        <is>
          <t>A 44423-2023</t>
        </is>
      </c>
      <c r="B341" s="1" t="n">
        <v>45189</v>
      </c>
      <c r="C341" s="1" t="n">
        <v>45988</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28286-2025</t>
        </is>
      </c>
      <c r="B342" s="1" t="n">
        <v>45818.58993055556</v>
      </c>
      <c r="C342" s="1" t="n">
        <v>45988</v>
      </c>
      <c r="D342" t="inlineStr">
        <is>
          <t>KALMAR LÄN</t>
        </is>
      </c>
      <c r="E342" t="inlineStr">
        <is>
          <t>VIMMERBY</t>
        </is>
      </c>
      <c r="F342" t="inlineStr">
        <is>
          <t>Sveaskog</t>
        </is>
      </c>
      <c r="G342" t="n">
        <v>8</v>
      </c>
      <c r="H342" t="n">
        <v>0</v>
      </c>
      <c r="I342" t="n">
        <v>0</v>
      </c>
      <c r="J342" t="n">
        <v>0</v>
      </c>
      <c r="K342" t="n">
        <v>0</v>
      </c>
      <c r="L342" t="n">
        <v>0</v>
      </c>
      <c r="M342" t="n">
        <v>0</v>
      </c>
      <c r="N342" t="n">
        <v>0</v>
      </c>
      <c r="O342" t="n">
        <v>0</v>
      </c>
      <c r="P342" t="n">
        <v>0</v>
      </c>
      <c r="Q342" t="n">
        <v>0</v>
      </c>
      <c r="R342" s="2" t="inlineStr"/>
    </row>
    <row r="343" ht="15" customHeight="1">
      <c r="A343" t="inlineStr">
        <is>
          <t>A 28282-2025</t>
        </is>
      </c>
      <c r="B343" s="1" t="n">
        <v>45818.58769675926</v>
      </c>
      <c r="C343" s="1" t="n">
        <v>45988</v>
      </c>
      <c r="D343" t="inlineStr">
        <is>
          <t>KALMAR LÄN</t>
        </is>
      </c>
      <c r="E343" t="inlineStr">
        <is>
          <t>VIMMERBY</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28294-2025</t>
        </is>
      </c>
      <c r="B344" s="1" t="n">
        <v>45818.595625</v>
      </c>
      <c r="C344" s="1" t="n">
        <v>45988</v>
      </c>
      <c r="D344" t="inlineStr">
        <is>
          <t>KALMAR LÄN</t>
        </is>
      </c>
      <c r="E344" t="inlineStr">
        <is>
          <t>VIMMERBY</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28290-2025</t>
        </is>
      </c>
      <c r="B345" s="1" t="n">
        <v>45818.59261574074</v>
      </c>
      <c r="C345" s="1" t="n">
        <v>45988</v>
      </c>
      <c r="D345" t="inlineStr">
        <is>
          <t>KALMAR LÄN</t>
        </is>
      </c>
      <c r="E345" t="inlineStr">
        <is>
          <t>VIMMERBY</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37323-2024</t>
        </is>
      </c>
      <c r="B346" s="1" t="n">
        <v>45540.50098379629</v>
      </c>
      <c r="C346" s="1" t="n">
        <v>45988</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28280-2025</t>
        </is>
      </c>
      <c r="B347" s="1" t="n">
        <v>45818.5862037037</v>
      </c>
      <c r="C347" s="1" t="n">
        <v>45988</v>
      </c>
      <c r="D347" t="inlineStr">
        <is>
          <t>KALMAR LÄN</t>
        </is>
      </c>
      <c r="E347" t="inlineStr">
        <is>
          <t>VIMMERBY</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34060-2025</t>
        </is>
      </c>
      <c r="B348" s="1" t="n">
        <v>45845.42015046296</v>
      </c>
      <c r="C348" s="1" t="n">
        <v>45988</v>
      </c>
      <c r="D348" t="inlineStr">
        <is>
          <t>KALMAR LÄN</t>
        </is>
      </c>
      <c r="E348" t="inlineStr">
        <is>
          <t>VIMMERBY</t>
        </is>
      </c>
      <c r="G348" t="n">
        <v>5.7</v>
      </c>
      <c r="H348" t="n">
        <v>0</v>
      </c>
      <c r="I348" t="n">
        <v>0</v>
      </c>
      <c r="J348" t="n">
        <v>0</v>
      </c>
      <c r="K348" t="n">
        <v>0</v>
      </c>
      <c r="L348" t="n">
        <v>0</v>
      </c>
      <c r="M348" t="n">
        <v>0</v>
      </c>
      <c r="N348" t="n">
        <v>0</v>
      </c>
      <c r="O348" t="n">
        <v>0</v>
      </c>
      <c r="P348" t="n">
        <v>0</v>
      </c>
      <c r="Q348" t="n">
        <v>0</v>
      </c>
      <c r="R348" s="2" t="inlineStr"/>
    </row>
    <row r="349" ht="15" customHeight="1">
      <c r="A349" t="inlineStr">
        <is>
          <t>A 28620-2025</t>
        </is>
      </c>
      <c r="B349" s="1" t="n">
        <v>45819.61060185185</v>
      </c>
      <c r="C349" s="1" t="n">
        <v>45988</v>
      </c>
      <c r="D349" t="inlineStr">
        <is>
          <t>KALMAR LÄN</t>
        </is>
      </c>
      <c r="E349" t="inlineStr">
        <is>
          <t>VIMMERBY</t>
        </is>
      </c>
      <c r="G349" t="n">
        <v>5.6</v>
      </c>
      <c r="H349" t="n">
        <v>0</v>
      </c>
      <c r="I349" t="n">
        <v>0</v>
      </c>
      <c r="J349" t="n">
        <v>0</v>
      </c>
      <c r="K349" t="n">
        <v>0</v>
      </c>
      <c r="L349" t="n">
        <v>0</v>
      </c>
      <c r="M349" t="n">
        <v>0</v>
      </c>
      <c r="N349" t="n">
        <v>0</v>
      </c>
      <c r="O349" t="n">
        <v>0</v>
      </c>
      <c r="P349" t="n">
        <v>0</v>
      </c>
      <c r="Q349" t="n">
        <v>0</v>
      </c>
      <c r="R349" s="2" t="inlineStr"/>
    </row>
    <row r="350" ht="15" customHeight="1">
      <c r="A350" t="inlineStr">
        <is>
          <t>A 43465-2025</t>
        </is>
      </c>
      <c r="B350" s="1" t="n">
        <v>45911.47138888889</v>
      </c>
      <c r="C350" s="1" t="n">
        <v>45988</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28712-2025</t>
        </is>
      </c>
      <c r="B351" s="1" t="n">
        <v>45820.33708333333</v>
      </c>
      <c r="C351" s="1" t="n">
        <v>45988</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28714-2025</t>
        </is>
      </c>
      <c r="B352" s="1" t="n">
        <v>45820.34128472222</v>
      </c>
      <c r="C352" s="1" t="n">
        <v>45988</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51990-2025</t>
        </is>
      </c>
      <c r="B353" s="1" t="n">
        <v>45952.58061342593</v>
      </c>
      <c r="C353" s="1" t="n">
        <v>45988</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18501-2024</t>
        </is>
      </c>
      <c r="B354" s="1" t="n">
        <v>45425.57538194444</v>
      </c>
      <c r="C354" s="1" t="n">
        <v>45988</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43617-2025</t>
        </is>
      </c>
      <c r="B355" s="1" t="n">
        <v>45911.67798611111</v>
      </c>
      <c r="C355" s="1" t="n">
        <v>45988</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28713-2025</t>
        </is>
      </c>
      <c r="B356" s="1" t="n">
        <v>45820.33930555556</v>
      </c>
      <c r="C356" s="1" t="n">
        <v>45988</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27758-2024</t>
        </is>
      </c>
      <c r="B357" s="1" t="n">
        <v>45475.48303240741</v>
      </c>
      <c r="C357" s="1" t="n">
        <v>45988</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13307-2025</t>
        </is>
      </c>
      <c r="B358" s="1" t="n">
        <v>45735.58024305556</v>
      </c>
      <c r="C358" s="1" t="n">
        <v>45988</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29737-2025</t>
        </is>
      </c>
      <c r="B359" s="1" t="n">
        <v>45825.58672453704</v>
      </c>
      <c r="C359" s="1" t="n">
        <v>45988</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55716-2023</t>
        </is>
      </c>
      <c r="B360" s="1" t="n">
        <v>45232</v>
      </c>
      <c r="C360" s="1" t="n">
        <v>45988</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29727-2025</t>
        </is>
      </c>
      <c r="B361" s="1" t="n">
        <v>45825.5796875</v>
      </c>
      <c r="C361" s="1" t="n">
        <v>45988</v>
      </c>
      <c r="D361" t="inlineStr">
        <is>
          <t>KALMAR LÄN</t>
        </is>
      </c>
      <c r="E361" t="inlineStr">
        <is>
          <t>VIMMERBY</t>
        </is>
      </c>
      <c r="G361" t="n">
        <v>1.3</v>
      </c>
      <c r="H361" t="n">
        <v>0</v>
      </c>
      <c r="I361" t="n">
        <v>0</v>
      </c>
      <c r="J361" t="n">
        <v>0</v>
      </c>
      <c r="K361" t="n">
        <v>0</v>
      </c>
      <c r="L361" t="n">
        <v>0</v>
      </c>
      <c r="M361" t="n">
        <v>0</v>
      </c>
      <c r="N361" t="n">
        <v>0</v>
      </c>
      <c r="O361" t="n">
        <v>0</v>
      </c>
      <c r="P361" t="n">
        <v>0</v>
      </c>
      <c r="Q361" t="n">
        <v>0</v>
      </c>
      <c r="R361" s="2" t="inlineStr"/>
    </row>
    <row r="362" ht="15" customHeight="1">
      <c r="A362" t="inlineStr">
        <is>
          <t>A 51993-2025</t>
        </is>
      </c>
      <c r="B362" s="1" t="n">
        <v>45952.58194444444</v>
      </c>
      <c r="C362" s="1" t="n">
        <v>45988</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18329-2023</t>
        </is>
      </c>
      <c r="B363" s="1" t="n">
        <v>45041.63380787037</v>
      </c>
      <c r="C363" s="1" t="n">
        <v>45988</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44095-2025</t>
        </is>
      </c>
      <c r="B364" s="1" t="n">
        <v>45915.56430555556</v>
      </c>
      <c r="C364" s="1" t="n">
        <v>45988</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52451-2025</t>
        </is>
      </c>
      <c r="B365" s="1" t="n">
        <v>45954.42326388889</v>
      </c>
      <c r="C365" s="1" t="n">
        <v>45988</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13015-2023</t>
        </is>
      </c>
      <c r="B366" s="1" t="n">
        <v>45002</v>
      </c>
      <c r="C366" s="1" t="n">
        <v>45988</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30293-2025</t>
        </is>
      </c>
      <c r="B367" s="1" t="n">
        <v>45827</v>
      </c>
      <c r="C367" s="1" t="n">
        <v>45988</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29186-2024</t>
        </is>
      </c>
      <c r="B368" s="1" t="n">
        <v>45482.54844907407</v>
      </c>
      <c r="C368" s="1" t="n">
        <v>45988</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30290-2025</t>
        </is>
      </c>
      <c r="B369" s="1" t="n">
        <v>45827</v>
      </c>
      <c r="C369" s="1" t="n">
        <v>45988</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50993-2022</t>
        </is>
      </c>
      <c r="B370" s="1" t="n">
        <v>44867</v>
      </c>
      <c r="C370" s="1" t="n">
        <v>45988</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52473-2025</t>
        </is>
      </c>
      <c r="B371" s="1" t="n">
        <v>45954.45947916667</v>
      </c>
      <c r="C371" s="1" t="n">
        <v>45988</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52480-2025</t>
        </is>
      </c>
      <c r="B372" s="1" t="n">
        <v>45954.47172453703</v>
      </c>
      <c r="C372" s="1" t="n">
        <v>45988</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44091-2025</t>
        </is>
      </c>
      <c r="B373" s="1" t="n">
        <v>45915.55950231481</v>
      </c>
      <c r="C373" s="1" t="n">
        <v>45988</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52466-2025</t>
        </is>
      </c>
      <c r="B374" s="1" t="n">
        <v>45954.44707175926</v>
      </c>
      <c r="C374" s="1" t="n">
        <v>45988</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54787-2023</t>
        </is>
      </c>
      <c r="B375" s="1" t="n">
        <v>45236</v>
      </c>
      <c r="C375" s="1" t="n">
        <v>45988</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30850-2025</t>
        </is>
      </c>
      <c r="B376" s="1" t="n">
        <v>45831</v>
      </c>
      <c r="C376" s="1" t="n">
        <v>45988</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52475-2025</t>
        </is>
      </c>
      <c r="B377" s="1" t="n">
        <v>45954.468125</v>
      </c>
      <c r="C377" s="1" t="n">
        <v>45988</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32614-2023</t>
        </is>
      </c>
      <c r="B378" s="1" t="n">
        <v>45121</v>
      </c>
      <c r="C378" s="1" t="n">
        <v>45988</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6850-2023</t>
        </is>
      </c>
      <c r="B379" s="1" t="n">
        <v>44967.44255787037</v>
      </c>
      <c r="C379" s="1" t="n">
        <v>45988</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58750-2022</t>
        </is>
      </c>
      <c r="B380" s="1" t="n">
        <v>44903.33363425926</v>
      </c>
      <c r="C380" s="1" t="n">
        <v>45988</v>
      </c>
      <c r="D380" t="inlineStr">
        <is>
          <t>KALMAR LÄN</t>
        </is>
      </c>
      <c r="E380" t="inlineStr">
        <is>
          <t>VIMMERBY</t>
        </is>
      </c>
      <c r="G380" t="n">
        <v>3.3</v>
      </c>
      <c r="H380" t="n">
        <v>0</v>
      </c>
      <c r="I380" t="n">
        <v>0</v>
      </c>
      <c r="J380" t="n">
        <v>0</v>
      </c>
      <c r="K380" t="n">
        <v>0</v>
      </c>
      <c r="L380" t="n">
        <v>0</v>
      </c>
      <c r="M380" t="n">
        <v>0</v>
      </c>
      <c r="N380" t="n">
        <v>0</v>
      </c>
      <c r="O380" t="n">
        <v>0</v>
      </c>
      <c r="P380" t="n">
        <v>0</v>
      </c>
      <c r="Q380" t="n">
        <v>0</v>
      </c>
      <c r="R380" s="2" t="inlineStr"/>
    </row>
    <row r="381" ht="15" customHeight="1">
      <c r="A381" t="inlineStr">
        <is>
          <t>A 41158-2023</t>
        </is>
      </c>
      <c r="B381" s="1" t="n">
        <v>45174.31395833333</v>
      </c>
      <c r="C381" s="1" t="n">
        <v>45988</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52465-2025</t>
        </is>
      </c>
      <c r="B382" s="1" t="n">
        <v>45954.44543981482</v>
      </c>
      <c r="C382" s="1" t="n">
        <v>45988</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52516-2025</t>
        </is>
      </c>
      <c r="B383" s="1" t="n">
        <v>45954.51412037037</v>
      </c>
      <c r="C383" s="1" t="n">
        <v>45988</v>
      </c>
      <c r="D383" t="inlineStr">
        <is>
          <t>KALMAR LÄN</t>
        </is>
      </c>
      <c r="E383" t="inlineStr">
        <is>
          <t>VIMMERBY</t>
        </is>
      </c>
      <c r="G383" t="n">
        <v>2.8</v>
      </c>
      <c r="H383" t="n">
        <v>0</v>
      </c>
      <c r="I383" t="n">
        <v>0</v>
      </c>
      <c r="J383" t="n">
        <v>0</v>
      </c>
      <c r="K383" t="n">
        <v>0</v>
      </c>
      <c r="L383" t="n">
        <v>0</v>
      </c>
      <c r="M383" t="n">
        <v>0</v>
      </c>
      <c r="N383" t="n">
        <v>0</v>
      </c>
      <c r="O383" t="n">
        <v>0</v>
      </c>
      <c r="P383" t="n">
        <v>0</v>
      </c>
      <c r="Q383" t="n">
        <v>0</v>
      </c>
      <c r="R383" s="2" t="inlineStr"/>
    </row>
    <row r="384" ht="15" customHeight="1">
      <c r="A384" t="inlineStr">
        <is>
          <t>A 2510-2023</t>
        </is>
      </c>
      <c r="B384" s="1" t="n">
        <v>44943.57309027778</v>
      </c>
      <c r="C384" s="1" t="n">
        <v>45988</v>
      </c>
      <c r="D384" t="inlineStr">
        <is>
          <t>KALMAR LÄN</t>
        </is>
      </c>
      <c r="E384" t="inlineStr">
        <is>
          <t>VIMMERBY</t>
        </is>
      </c>
      <c r="G384" t="n">
        <v>8.6</v>
      </c>
      <c r="H384" t="n">
        <v>0</v>
      </c>
      <c r="I384" t="n">
        <v>0</v>
      </c>
      <c r="J384" t="n">
        <v>0</v>
      </c>
      <c r="K384" t="n">
        <v>0</v>
      </c>
      <c r="L384" t="n">
        <v>0</v>
      </c>
      <c r="M384" t="n">
        <v>0</v>
      </c>
      <c r="N384" t="n">
        <v>0</v>
      </c>
      <c r="O384" t="n">
        <v>0</v>
      </c>
      <c r="P384" t="n">
        <v>0</v>
      </c>
      <c r="Q384" t="n">
        <v>0</v>
      </c>
      <c r="R384" s="2" t="inlineStr"/>
    </row>
    <row r="385" ht="15" customHeight="1">
      <c r="A385" t="inlineStr">
        <is>
          <t>A 31552-2025</t>
        </is>
      </c>
      <c r="B385" s="1" t="n">
        <v>45833.64563657407</v>
      </c>
      <c r="C385" s="1" t="n">
        <v>45988</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31555-2025</t>
        </is>
      </c>
      <c r="B386" s="1" t="n">
        <v>45833.64814814815</v>
      </c>
      <c r="C386" s="1" t="n">
        <v>45988</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30971-2025</t>
        </is>
      </c>
      <c r="B387" s="1" t="n">
        <v>45832.46146990741</v>
      </c>
      <c r="C387" s="1" t="n">
        <v>45988</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31551-2025</t>
        </is>
      </c>
      <c r="B388" s="1" t="n">
        <v>45833.64237268519</v>
      </c>
      <c r="C388" s="1" t="n">
        <v>45988</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30882-2025</t>
        </is>
      </c>
      <c r="B389" s="1" t="n">
        <v>45832.34540509259</v>
      </c>
      <c r="C389" s="1" t="n">
        <v>45988</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3269-2024</t>
        </is>
      </c>
      <c r="B390" s="1" t="n">
        <v>45317.40372685185</v>
      </c>
      <c r="C390" s="1" t="n">
        <v>45988</v>
      </c>
      <c r="D390" t="inlineStr">
        <is>
          <t>KALMAR LÄN</t>
        </is>
      </c>
      <c r="E390" t="inlineStr">
        <is>
          <t>VIMMERBY</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48120-2022</t>
        </is>
      </c>
      <c r="B391" s="1" t="n">
        <v>44857.65989583333</v>
      </c>
      <c r="C391" s="1" t="n">
        <v>45988</v>
      </c>
      <c r="D391" t="inlineStr">
        <is>
          <t>KALMAR LÄN</t>
        </is>
      </c>
      <c r="E391" t="inlineStr">
        <is>
          <t>VIMMERBY</t>
        </is>
      </c>
      <c r="G391" t="n">
        <v>1.7</v>
      </c>
      <c r="H391" t="n">
        <v>0</v>
      </c>
      <c r="I391" t="n">
        <v>0</v>
      </c>
      <c r="J391" t="n">
        <v>0</v>
      </c>
      <c r="K391" t="n">
        <v>0</v>
      </c>
      <c r="L391" t="n">
        <v>0</v>
      </c>
      <c r="M391" t="n">
        <v>0</v>
      </c>
      <c r="N391" t="n">
        <v>0</v>
      </c>
      <c r="O391" t="n">
        <v>0</v>
      </c>
      <c r="P391" t="n">
        <v>0</v>
      </c>
      <c r="Q391" t="n">
        <v>0</v>
      </c>
      <c r="R391" s="2" t="inlineStr"/>
    </row>
    <row r="392" ht="15" customHeight="1">
      <c r="A392" t="inlineStr">
        <is>
          <t>A 53393-2025</t>
        </is>
      </c>
      <c r="B392" s="1" t="n">
        <v>45959.55284722222</v>
      </c>
      <c r="C392" s="1" t="n">
        <v>45988</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53398-2025</t>
        </is>
      </c>
      <c r="B393" s="1" t="n">
        <v>45959.56247685185</v>
      </c>
      <c r="C393" s="1" t="n">
        <v>45988</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6368-2023</t>
        </is>
      </c>
      <c r="B394" s="1" t="n">
        <v>44965</v>
      </c>
      <c r="C394" s="1" t="n">
        <v>45988</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9416-2024</t>
        </is>
      </c>
      <c r="B395" s="1" t="n">
        <v>45359.44837962963</v>
      </c>
      <c r="C395" s="1" t="n">
        <v>45988</v>
      </c>
      <c r="D395" t="inlineStr">
        <is>
          <t>KALMAR LÄN</t>
        </is>
      </c>
      <c r="E395" t="inlineStr">
        <is>
          <t>VIMMERBY</t>
        </is>
      </c>
      <c r="G395" t="n">
        <v>3.2</v>
      </c>
      <c r="H395" t="n">
        <v>0</v>
      </c>
      <c r="I395" t="n">
        <v>0</v>
      </c>
      <c r="J395" t="n">
        <v>0</v>
      </c>
      <c r="K395" t="n">
        <v>0</v>
      </c>
      <c r="L395" t="n">
        <v>0</v>
      </c>
      <c r="M395" t="n">
        <v>0</v>
      </c>
      <c r="N395" t="n">
        <v>0</v>
      </c>
      <c r="O395" t="n">
        <v>0</v>
      </c>
      <c r="P395" t="n">
        <v>0</v>
      </c>
      <c r="Q395" t="n">
        <v>0</v>
      </c>
      <c r="R395" s="2" t="inlineStr"/>
    </row>
    <row r="396" ht="15" customHeight="1">
      <c r="A396" t="inlineStr">
        <is>
          <t>A 31872-2025</t>
        </is>
      </c>
      <c r="B396" s="1" t="n">
        <v>45834.65040509259</v>
      </c>
      <c r="C396" s="1" t="n">
        <v>45988</v>
      </c>
      <c r="D396" t="inlineStr">
        <is>
          <t>KALMAR LÄN</t>
        </is>
      </c>
      <c r="E396" t="inlineStr">
        <is>
          <t>VIMMERBY</t>
        </is>
      </c>
      <c r="F396" t="inlineStr">
        <is>
          <t>Sveaskog</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8559-2025</t>
        </is>
      </c>
      <c r="B397" s="1" t="n">
        <v>45709.62280092593</v>
      </c>
      <c r="C397" s="1" t="n">
        <v>45988</v>
      </c>
      <c r="D397" t="inlineStr">
        <is>
          <t>KALMAR LÄN</t>
        </is>
      </c>
      <c r="E397" t="inlineStr">
        <is>
          <t>VIMMERBY</t>
        </is>
      </c>
      <c r="G397" t="n">
        <v>8.9</v>
      </c>
      <c r="H397" t="n">
        <v>0</v>
      </c>
      <c r="I397" t="n">
        <v>0</v>
      </c>
      <c r="J397" t="n">
        <v>0</v>
      </c>
      <c r="K397" t="n">
        <v>0</v>
      </c>
      <c r="L397" t="n">
        <v>0</v>
      </c>
      <c r="M397" t="n">
        <v>0</v>
      </c>
      <c r="N397" t="n">
        <v>0</v>
      </c>
      <c r="O397" t="n">
        <v>0</v>
      </c>
      <c r="P397" t="n">
        <v>0</v>
      </c>
      <c r="Q397" t="n">
        <v>0</v>
      </c>
      <c r="R397" s="2" t="inlineStr"/>
    </row>
    <row r="398" ht="15" customHeight="1">
      <c r="A398" t="inlineStr">
        <is>
          <t>A 44517-2025</t>
        </is>
      </c>
      <c r="B398" s="1" t="n">
        <v>45916.7103587963</v>
      </c>
      <c r="C398" s="1" t="n">
        <v>45988</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32064-2025</t>
        </is>
      </c>
      <c r="B399" s="1" t="n">
        <v>45835.44709490741</v>
      </c>
      <c r="C399" s="1" t="n">
        <v>45988</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32109-2025</t>
        </is>
      </c>
      <c r="B400" s="1" t="n">
        <v>45835.48267361111</v>
      </c>
      <c r="C400" s="1" t="n">
        <v>45988</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32113-2025</t>
        </is>
      </c>
      <c r="B401" s="1" t="n">
        <v>45835.48445601852</v>
      </c>
      <c r="C401" s="1" t="n">
        <v>45988</v>
      </c>
      <c r="D401" t="inlineStr">
        <is>
          <t>KALMAR LÄN</t>
        </is>
      </c>
      <c r="E401" t="inlineStr">
        <is>
          <t>VIMMERBY</t>
        </is>
      </c>
      <c r="G401" t="n">
        <v>3.5</v>
      </c>
      <c r="H401" t="n">
        <v>0</v>
      </c>
      <c r="I401" t="n">
        <v>0</v>
      </c>
      <c r="J401" t="n">
        <v>0</v>
      </c>
      <c r="K401" t="n">
        <v>0</v>
      </c>
      <c r="L401" t="n">
        <v>0</v>
      </c>
      <c r="M401" t="n">
        <v>0</v>
      </c>
      <c r="N401" t="n">
        <v>0</v>
      </c>
      <c r="O401" t="n">
        <v>0</v>
      </c>
      <c r="P401" t="n">
        <v>0</v>
      </c>
      <c r="Q401" t="n">
        <v>0</v>
      </c>
      <c r="R401" s="2" t="inlineStr"/>
    </row>
    <row r="402" ht="15" customHeight="1">
      <c r="A402" t="inlineStr">
        <is>
          <t>A 32116-2025</t>
        </is>
      </c>
      <c r="B402" s="1" t="n">
        <v>45835.48862268519</v>
      </c>
      <c r="C402" s="1" t="n">
        <v>45988</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2797-2023</t>
        </is>
      </c>
      <c r="B403" s="1" t="n">
        <v>44944.71386574074</v>
      </c>
      <c r="C403" s="1" t="n">
        <v>45988</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2799-2023</t>
        </is>
      </c>
      <c r="B404" s="1" t="n">
        <v>44944.72100694444</v>
      </c>
      <c r="C404" s="1" t="n">
        <v>45988</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44742-2025</t>
        </is>
      </c>
      <c r="B405" s="1" t="n">
        <v>45917.67054398148</v>
      </c>
      <c r="C405" s="1" t="n">
        <v>45988</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31870-2025</t>
        </is>
      </c>
      <c r="B406" s="1" t="n">
        <v>45834.64667824074</v>
      </c>
      <c r="C406" s="1" t="n">
        <v>45988</v>
      </c>
      <c r="D406" t="inlineStr">
        <is>
          <t>KALMAR LÄN</t>
        </is>
      </c>
      <c r="E406" t="inlineStr">
        <is>
          <t>VIMMERBY</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25987-2024</t>
        </is>
      </c>
      <c r="B407" s="1" t="n">
        <v>45467.74417824074</v>
      </c>
      <c r="C407" s="1" t="n">
        <v>45988</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32065-2025</t>
        </is>
      </c>
      <c r="B408" s="1" t="n">
        <v>45835.44732638889</v>
      </c>
      <c r="C408" s="1" t="n">
        <v>45988</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44329-2025</t>
        </is>
      </c>
      <c r="B409" s="1" t="n">
        <v>45916.41019675926</v>
      </c>
      <c r="C409" s="1" t="n">
        <v>45988</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22194-2024</t>
        </is>
      </c>
      <c r="B410" s="1" t="n">
        <v>45446.36482638889</v>
      </c>
      <c r="C410" s="1" t="n">
        <v>45988</v>
      </c>
      <c r="D410" t="inlineStr">
        <is>
          <t>KALMAR LÄN</t>
        </is>
      </c>
      <c r="E410" t="inlineStr">
        <is>
          <t>VIMMERBY</t>
        </is>
      </c>
      <c r="F410" t="inlineStr">
        <is>
          <t>Sveaskog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41896-2025</t>
        </is>
      </c>
      <c r="B411" s="1" t="n">
        <v>45903.38800925926</v>
      </c>
      <c r="C411" s="1" t="n">
        <v>45988</v>
      </c>
      <c r="D411" t="inlineStr">
        <is>
          <t>KALMAR LÄN</t>
        </is>
      </c>
      <c r="E411" t="inlineStr">
        <is>
          <t>VIMMERBY</t>
        </is>
      </c>
      <c r="G411" t="n">
        <v>2.9</v>
      </c>
      <c r="H411" t="n">
        <v>0</v>
      </c>
      <c r="I411" t="n">
        <v>0</v>
      </c>
      <c r="J411" t="n">
        <v>0</v>
      </c>
      <c r="K411" t="n">
        <v>0</v>
      </c>
      <c r="L411" t="n">
        <v>0</v>
      </c>
      <c r="M411" t="n">
        <v>0</v>
      </c>
      <c r="N411" t="n">
        <v>0</v>
      </c>
      <c r="O411" t="n">
        <v>0</v>
      </c>
      <c r="P411" t="n">
        <v>0</v>
      </c>
      <c r="Q411" t="n">
        <v>0</v>
      </c>
      <c r="R411" s="2" t="inlineStr"/>
    </row>
    <row r="412" ht="15" customHeight="1">
      <c r="A412" t="inlineStr">
        <is>
          <t>A 31987-2025</t>
        </is>
      </c>
      <c r="B412" s="1" t="n">
        <v>45835.36229166666</v>
      </c>
      <c r="C412" s="1" t="n">
        <v>45988</v>
      </c>
      <c r="D412" t="inlineStr">
        <is>
          <t>KALMAR LÄN</t>
        </is>
      </c>
      <c r="E412" t="inlineStr">
        <is>
          <t>VIMMERBY</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32077-2025</t>
        </is>
      </c>
      <c r="B413" s="1" t="n">
        <v>45835.45099537037</v>
      </c>
      <c r="C413" s="1" t="n">
        <v>45988</v>
      </c>
      <c r="D413" t="inlineStr">
        <is>
          <t>KALMAR LÄN</t>
        </is>
      </c>
      <c r="E413" t="inlineStr">
        <is>
          <t>VIMMERBY</t>
        </is>
      </c>
      <c r="G413" t="n">
        <v>1.8</v>
      </c>
      <c r="H413" t="n">
        <v>0</v>
      </c>
      <c r="I413" t="n">
        <v>0</v>
      </c>
      <c r="J413" t="n">
        <v>0</v>
      </c>
      <c r="K413" t="n">
        <v>0</v>
      </c>
      <c r="L413" t="n">
        <v>0</v>
      </c>
      <c r="M413" t="n">
        <v>0</v>
      </c>
      <c r="N413" t="n">
        <v>0</v>
      </c>
      <c r="O413" t="n">
        <v>0</v>
      </c>
      <c r="P413" t="n">
        <v>0</v>
      </c>
      <c r="Q413" t="n">
        <v>0</v>
      </c>
      <c r="R413" s="2" t="inlineStr"/>
    </row>
    <row r="414" ht="15" customHeight="1">
      <c r="A414" t="inlineStr">
        <is>
          <t>A 32120-2025</t>
        </is>
      </c>
      <c r="B414" s="1" t="n">
        <v>45835.4924537037</v>
      </c>
      <c r="C414" s="1" t="n">
        <v>45988</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31876-2025</t>
        </is>
      </c>
      <c r="B415" s="1" t="n">
        <v>45834.65197916667</v>
      </c>
      <c r="C415" s="1" t="n">
        <v>45988</v>
      </c>
      <c r="D415" t="inlineStr">
        <is>
          <t>KALMAR LÄN</t>
        </is>
      </c>
      <c r="E415" t="inlineStr">
        <is>
          <t>VIMMERBY</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19865-2021</t>
        </is>
      </c>
      <c r="B416" s="1" t="n">
        <v>44312</v>
      </c>
      <c r="C416" s="1" t="n">
        <v>45988</v>
      </c>
      <c r="D416" t="inlineStr">
        <is>
          <t>KALMAR LÄN</t>
        </is>
      </c>
      <c r="E416" t="inlineStr">
        <is>
          <t>VIMMERBY</t>
        </is>
      </c>
      <c r="G416" t="n">
        <v>8.6</v>
      </c>
      <c r="H416" t="n">
        <v>0</v>
      </c>
      <c r="I416" t="n">
        <v>0</v>
      </c>
      <c r="J416" t="n">
        <v>0</v>
      </c>
      <c r="K416" t="n">
        <v>0</v>
      </c>
      <c r="L416" t="n">
        <v>0</v>
      </c>
      <c r="M416" t="n">
        <v>0</v>
      </c>
      <c r="N416" t="n">
        <v>0</v>
      </c>
      <c r="O416" t="n">
        <v>0</v>
      </c>
      <c r="P416" t="n">
        <v>0</v>
      </c>
      <c r="Q416" t="n">
        <v>0</v>
      </c>
      <c r="R416" s="2" t="inlineStr"/>
    </row>
    <row r="417" ht="15" customHeight="1">
      <c r="A417" t="inlineStr">
        <is>
          <t>A 53413-2025</t>
        </is>
      </c>
      <c r="B417" s="1" t="n">
        <v>45959.5787037037</v>
      </c>
      <c r="C417" s="1" t="n">
        <v>45988</v>
      </c>
      <c r="D417" t="inlineStr">
        <is>
          <t>KALMAR LÄN</t>
        </is>
      </c>
      <c r="E417" t="inlineStr">
        <is>
          <t>VIMMERBY</t>
        </is>
      </c>
      <c r="G417" t="n">
        <v>4.3</v>
      </c>
      <c r="H417" t="n">
        <v>0</v>
      </c>
      <c r="I417" t="n">
        <v>0</v>
      </c>
      <c r="J417" t="n">
        <v>0</v>
      </c>
      <c r="K417" t="n">
        <v>0</v>
      </c>
      <c r="L417" t="n">
        <v>0</v>
      </c>
      <c r="M417" t="n">
        <v>0</v>
      </c>
      <c r="N417" t="n">
        <v>0</v>
      </c>
      <c r="O417" t="n">
        <v>0</v>
      </c>
      <c r="P417" t="n">
        <v>0</v>
      </c>
      <c r="Q417" t="n">
        <v>0</v>
      </c>
      <c r="R417" s="2" t="inlineStr"/>
    </row>
    <row r="418" ht="15" customHeight="1">
      <c r="A418" t="inlineStr">
        <is>
          <t>A 12630-2023</t>
        </is>
      </c>
      <c r="B418" s="1" t="n">
        <v>45000.47998842593</v>
      </c>
      <c r="C418" s="1" t="n">
        <v>45988</v>
      </c>
      <c r="D418" t="inlineStr">
        <is>
          <t>KALMAR LÄN</t>
        </is>
      </c>
      <c r="E418" t="inlineStr">
        <is>
          <t>VIMMERBY</t>
        </is>
      </c>
      <c r="G418" t="n">
        <v>2.1</v>
      </c>
      <c r="H418" t="n">
        <v>0</v>
      </c>
      <c r="I418" t="n">
        <v>0</v>
      </c>
      <c r="J418" t="n">
        <v>0</v>
      </c>
      <c r="K418" t="n">
        <v>0</v>
      </c>
      <c r="L418" t="n">
        <v>0</v>
      </c>
      <c r="M418" t="n">
        <v>0</v>
      </c>
      <c r="N418" t="n">
        <v>0</v>
      </c>
      <c r="O418" t="n">
        <v>0</v>
      </c>
      <c r="P418" t="n">
        <v>0</v>
      </c>
      <c r="Q418" t="n">
        <v>0</v>
      </c>
      <c r="R418" s="2" t="inlineStr"/>
    </row>
    <row r="419" ht="15" customHeight="1">
      <c r="A419" t="inlineStr">
        <is>
          <t>A 53397-2025</t>
        </is>
      </c>
      <c r="B419" s="1" t="n">
        <v>45959.55918981481</v>
      </c>
      <c r="C419" s="1" t="n">
        <v>45988</v>
      </c>
      <c r="D419" t="inlineStr">
        <is>
          <t>KALMAR LÄN</t>
        </is>
      </c>
      <c r="E419" t="inlineStr">
        <is>
          <t>VIMMERBY</t>
        </is>
      </c>
      <c r="G419" t="n">
        <v>1.6</v>
      </c>
      <c r="H419" t="n">
        <v>0</v>
      </c>
      <c r="I419" t="n">
        <v>0</v>
      </c>
      <c r="J419" t="n">
        <v>0</v>
      </c>
      <c r="K419" t="n">
        <v>0</v>
      </c>
      <c r="L419" t="n">
        <v>0</v>
      </c>
      <c r="M419" t="n">
        <v>0</v>
      </c>
      <c r="N419" t="n">
        <v>0</v>
      </c>
      <c r="O419" t="n">
        <v>0</v>
      </c>
      <c r="P419" t="n">
        <v>0</v>
      </c>
      <c r="Q419" t="n">
        <v>0</v>
      </c>
      <c r="R419" s="2" t="inlineStr"/>
    </row>
    <row r="420" ht="15" customHeight="1">
      <c r="A420" t="inlineStr">
        <is>
          <t>A 53220-2025</t>
        </is>
      </c>
      <c r="B420" s="1" t="n">
        <v>45958.60146990741</v>
      </c>
      <c r="C420" s="1" t="n">
        <v>45988</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53396-2025</t>
        </is>
      </c>
      <c r="B421" s="1" t="n">
        <v>45959.55577546296</v>
      </c>
      <c r="C421" s="1" t="n">
        <v>45988</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53416-2025</t>
        </is>
      </c>
      <c r="B422" s="1" t="n">
        <v>45959.58387731481</v>
      </c>
      <c r="C422" s="1" t="n">
        <v>45988</v>
      </c>
      <c r="D422" t="inlineStr">
        <is>
          <t>KALMAR LÄN</t>
        </is>
      </c>
      <c r="E422" t="inlineStr">
        <is>
          <t>VIMMERBY</t>
        </is>
      </c>
      <c r="G422" t="n">
        <v>4.4</v>
      </c>
      <c r="H422" t="n">
        <v>0</v>
      </c>
      <c r="I422" t="n">
        <v>0</v>
      </c>
      <c r="J422" t="n">
        <v>0</v>
      </c>
      <c r="K422" t="n">
        <v>0</v>
      </c>
      <c r="L422" t="n">
        <v>0</v>
      </c>
      <c r="M422" t="n">
        <v>0</v>
      </c>
      <c r="N422" t="n">
        <v>0</v>
      </c>
      <c r="O422" t="n">
        <v>0</v>
      </c>
      <c r="P422" t="n">
        <v>0</v>
      </c>
      <c r="Q422" t="n">
        <v>0</v>
      </c>
      <c r="R422" s="2" t="inlineStr"/>
    </row>
    <row r="423" ht="15" customHeight="1">
      <c r="A423" t="inlineStr">
        <is>
          <t>A 21109-2024</t>
        </is>
      </c>
      <c r="B423" s="1" t="n">
        <v>45440.28329861111</v>
      </c>
      <c r="C423" s="1" t="n">
        <v>45988</v>
      </c>
      <c r="D423" t="inlineStr">
        <is>
          <t>KALMAR LÄN</t>
        </is>
      </c>
      <c r="E423" t="inlineStr">
        <is>
          <t>VIMMERBY</t>
        </is>
      </c>
      <c r="G423" t="n">
        <v>0.8</v>
      </c>
      <c r="H423" t="n">
        <v>0</v>
      </c>
      <c r="I423" t="n">
        <v>0</v>
      </c>
      <c r="J423" t="n">
        <v>0</v>
      </c>
      <c r="K423" t="n">
        <v>0</v>
      </c>
      <c r="L423" t="n">
        <v>0</v>
      </c>
      <c r="M423" t="n">
        <v>0</v>
      </c>
      <c r="N423" t="n">
        <v>0</v>
      </c>
      <c r="O423" t="n">
        <v>0</v>
      </c>
      <c r="P423" t="n">
        <v>0</v>
      </c>
      <c r="Q423" t="n">
        <v>0</v>
      </c>
      <c r="R423" s="2" t="inlineStr"/>
    </row>
    <row r="424" ht="15" customHeight="1">
      <c r="A424" t="inlineStr">
        <is>
          <t>A 30634-2024</t>
        </is>
      </c>
      <c r="B424" s="1" t="n">
        <v>45495</v>
      </c>
      <c r="C424" s="1" t="n">
        <v>45988</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40260-2024</t>
        </is>
      </c>
      <c r="B425" s="1" t="n">
        <v>45554.63225694445</v>
      </c>
      <c r="C425" s="1" t="n">
        <v>45988</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59943-2023</t>
        </is>
      </c>
      <c r="B426" s="1" t="n">
        <v>45257.67958333333</v>
      </c>
      <c r="C426" s="1" t="n">
        <v>45988</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53923-2025</t>
        </is>
      </c>
      <c r="B427" s="1" t="n">
        <v>45961.4569212963</v>
      </c>
      <c r="C427" s="1" t="n">
        <v>45988</v>
      </c>
      <c r="D427" t="inlineStr">
        <is>
          <t>KALMAR LÄN</t>
        </is>
      </c>
      <c r="E427" t="inlineStr">
        <is>
          <t>VIMMERBY</t>
        </is>
      </c>
      <c r="G427" t="n">
        <v>2.4</v>
      </c>
      <c r="H427" t="n">
        <v>0</v>
      </c>
      <c r="I427" t="n">
        <v>0</v>
      </c>
      <c r="J427" t="n">
        <v>0</v>
      </c>
      <c r="K427" t="n">
        <v>0</v>
      </c>
      <c r="L427" t="n">
        <v>0</v>
      </c>
      <c r="M427" t="n">
        <v>0</v>
      </c>
      <c r="N427" t="n">
        <v>0</v>
      </c>
      <c r="O427" t="n">
        <v>0</v>
      </c>
      <c r="P427" t="n">
        <v>0</v>
      </c>
      <c r="Q427" t="n">
        <v>0</v>
      </c>
      <c r="R427" s="2" t="inlineStr"/>
    </row>
    <row r="428" ht="15" customHeight="1">
      <c r="A428" t="inlineStr">
        <is>
          <t>A 5527-2022</t>
        </is>
      </c>
      <c r="B428" s="1" t="n">
        <v>44595.583125</v>
      </c>
      <c r="C428" s="1" t="n">
        <v>45988</v>
      </c>
      <c r="D428" t="inlineStr">
        <is>
          <t>KALMAR LÄN</t>
        </is>
      </c>
      <c r="E428" t="inlineStr">
        <is>
          <t>VIMMERBY</t>
        </is>
      </c>
      <c r="G428" t="n">
        <v>3.6</v>
      </c>
      <c r="H428" t="n">
        <v>0</v>
      </c>
      <c r="I428" t="n">
        <v>0</v>
      </c>
      <c r="J428" t="n">
        <v>0</v>
      </c>
      <c r="K428" t="n">
        <v>0</v>
      </c>
      <c r="L428" t="n">
        <v>0</v>
      </c>
      <c r="M428" t="n">
        <v>0</v>
      </c>
      <c r="N428" t="n">
        <v>0</v>
      </c>
      <c r="O428" t="n">
        <v>0</v>
      </c>
      <c r="P428" t="n">
        <v>0</v>
      </c>
      <c r="Q428" t="n">
        <v>0</v>
      </c>
      <c r="R428" s="2" t="inlineStr"/>
    </row>
    <row r="429" ht="15" customHeight="1">
      <c r="A429" t="inlineStr">
        <is>
          <t>A 53927-2025</t>
        </is>
      </c>
      <c r="B429" s="1" t="n">
        <v>45961.46740740741</v>
      </c>
      <c r="C429" s="1" t="n">
        <v>45988</v>
      </c>
      <c r="D429" t="inlineStr">
        <is>
          <t>KALMAR LÄN</t>
        </is>
      </c>
      <c r="E429" t="inlineStr">
        <is>
          <t>VIMMERBY</t>
        </is>
      </c>
      <c r="G429" t="n">
        <v>2.5</v>
      </c>
      <c r="H429" t="n">
        <v>0</v>
      </c>
      <c r="I429" t="n">
        <v>0</v>
      </c>
      <c r="J429" t="n">
        <v>0</v>
      </c>
      <c r="K429" t="n">
        <v>0</v>
      </c>
      <c r="L429" t="n">
        <v>0</v>
      </c>
      <c r="M429" t="n">
        <v>0</v>
      </c>
      <c r="N429" t="n">
        <v>0</v>
      </c>
      <c r="O429" t="n">
        <v>0</v>
      </c>
      <c r="P429" t="n">
        <v>0</v>
      </c>
      <c r="Q429" t="n">
        <v>0</v>
      </c>
      <c r="R429" s="2" t="inlineStr"/>
    </row>
    <row r="430" ht="15" customHeight="1">
      <c r="A430" t="inlineStr">
        <is>
          <t>A 53933-2025</t>
        </is>
      </c>
      <c r="B430" s="1" t="n">
        <v>45961.47650462963</v>
      </c>
      <c r="C430" s="1" t="n">
        <v>45988</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32380-2025</t>
        </is>
      </c>
      <c r="B431" s="1" t="n">
        <v>45837.77701388889</v>
      </c>
      <c r="C431" s="1" t="n">
        <v>45988</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12325-2023</t>
        </is>
      </c>
      <c r="B432" s="1" t="n">
        <v>44999.35858796296</v>
      </c>
      <c r="C432" s="1" t="n">
        <v>45988</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33186-2025</t>
        </is>
      </c>
      <c r="B433" s="1" t="n">
        <v>45840.59474537037</v>
      </c>
      <c r="C433" s="1" t="n">
        <v>45988</v>
      </c>
      <c r="D433" t="inlineStr">
        <is>
          <t>KALMAR LÄN</t>
        </is>
      </c>
      <c r="E433" t="inlineStr">
        <is>
          <t>VIMMERBY</t>
        </is>
      </c>
      <c r="G433" t="n">
        <v>2.6</v>
      </c>
      <c r="H433" t="n">
        <v>0</v>
      </c>
      <c r="I433" t="n">
        <v>0</v>
      </c>
      <c r="J433" t="n">
        <v>0</v>
      </c>
      <c r="K433" t="n">
        <v>0</v>
      </c>
      <c r="L433" t="n">
        <v>0</v>
      </c>
      <c r="M433" t="n">
        <v>0</v>
      </c>
      <c r="N433" t="n">
        <v>0</v>
      </c>
      <c r="O433" t="n">
        <v>0</v>
      </c>
      <c r="P433" t="n">
        <v>0</v>
      </c>
      <c r="Q433" t="n">
        <v>0</v>
      </c>
      <c r="R433" s="2" t="inlineStr"/>
    </row>
    <row r="434" ht="15" customHeight="1">
      <c r="A434" t="inlineStr">
        <is>
          <t>A 1016-2024</t>
        </is>
      </c>
      <c r="B434" s="1" t="n">
        <v>45301</v>
      </c>
      <c r="C434" s="1" t="n">
        <v>45988</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33695-2025</t>
        </is>
      </c>
      <c r="B435" s="1" t="n">
        <v>45841.70569444444</v>
      </c>
      <c r="C435" s="1" t="n">
        <v>45988</v>
      </c>
      <c r="D435" t="inlineStr">
        <is>
          <t>KALMAR LÄN</t>
        </is>
      </c>
      <c r="E435" t="inlineStr">
        <is>
          <t>VIMMERBY</t>
        </is>
      </c>
      <c r="G435" t="n">
        <v>2.7</v>
      </c>
      <c r="H435" t="n">
        <v>0</v>
      </c>
      <c r="I435" t="n">
        <v>0</v>
      </c>
      <c r="J435" t="n">
        <v>0</v>
      </c>
      <c r="K435" t="n">
        <v>0</v>
      </c>
      <c r="L435" t="n">
        <v>0</v>
      </c>
      <c r="M435" t="n">
        <v>0</v>
      </c>
      <c r="N435" t="n">
        <v>0</v>
      </c>
      <c r="O435" t="n">
        <v>0</v>
      </c>
      <c r="P435" t="n">
        <v>0</v>
      </c>
      <c r="Q435" t="n">
        <v>0</v>
      </c>
      <c r="R435" s="2" t="inlineStr"/>
    </row>
    <row r="436" ht="15" customHeight="1">
      <c r="A436" t="inlineStr">
        <is>
          <t>A 33698-2025</t>
        </is>
      </c>
      <c r="B436" s="1" t="n">
        <v>45841.70868055556</v>
      </c>
      <c r="C436" s="1" t="n">
        <v>45988</v>
      </c>
      <c r="D436" t="inlineStr">
        <is>
          <t>KALMAR LÄN</t>
        </is>
      </c>
      <c r="E436" t="inlineStr">
        <is>
          <t>VIMMERBY</t>
        </is>
      </c>
      <c r="G436" t="n">
        <v>3.7</v>
      </c>
      <c r="H436" t="n">
        <v>0</v>
      </c>
      <c r="I436" t="n">
        <v>0</v>
      </c>
      <c r="J436" t="n">
        <v>0</v>
      </c>
      <c r="K436" t="n">
        <v>0</v>
      </c>
      <c r="L436" t="n">
        <v>0</v>
      </c>
      <c r="M436" t="n">
        <v>0</v>
      </c>
      <c r="N436" t="n">
        <v>0</v>
      </c>
      <c r="O436" t="n">
        <v>0</v>
      </c>
      <c r="P436" t="n">
        <v>0</v>
      </c>
      <c r="Q436" t="n">
        <v>0</v>
      </c>
      <c r="R436" s="2" t="inlineStr"/>
    </row>
    <row r="437" ht="15" customHeight="1">
      <c r="A437" t="inlineStr">
        <is>
          <t>A 30977-2025</t>
        </is>
      </c>
      <c r="B437" s="1" t="n">
        <v>45832.46649305556</v>
      </c>
      <c r="C437" s="1" t="n">
        <v>45988</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33681-2022</t>
        </is>
      </c>
      <c r="B438" s="1" t="n">
        <v>44789</v>
      </c>
      <c r="C438" s="1" t="n">
        <v>45988</v>
      </c>
      <c r="D438" t="inlineStr">
        <is>
          <t>KALMAR LÄN</t>
        </is>
      </c>
      <c r="E438" t="inlineStr">
        <is>
          <t>VIMMERBY</t>
        </is>
      </c>
      <c r="G438" t="n">
        <v>3.2</v>
      </c>
      <c r="H438" t="n">
        <v>0</v>
      </c>
      <c r="I438" t="n">
        <v>0</v>
      </c>
      <c r="J438" t="n">
        <v>0</v>
      </c>
      <c r="K438" t="n">
        <v>0</v>
      </c>
      <c r="L438" t="n">
        <v>0</v>
      </c>
      <c r="M438" t="n">
        <v>0</v>
      </c>
      <c r="N438" t="n">
        <v>0</v>
      </c>
      <c r="O438" t="n">
        <v>0</v>
      </c>
      <c r="P438" t="n">
        <v>0</v>
      </c>
      <c r="Q438" t="n">
        <v>0</v>
      </c>
      <c r="R438" s="2" t="inlineStr"/>
    </row>
    <row r="439" ht="15" customHeight="1">
      <c r="A439" t="inlineStr">
        <is>
          <t>A 33696-2025</t>
        </is>
      </c>
      <c r="B439" s="1" t="n">
        <v>45841.7072337963</v>
      </c>
      <c r="C439" s="1" t="n">
        <v>45988</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45114-2025</t>
        </is>
      </c>
      <c r="B440" s="1" t="n">
        <v>45919.42387731482</v>
      </c>
      <c r="C440" s="1" t="n">
        <v>45988</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53903-2025</t>
        </is>
      </c>
      <c r="B441" s="1" t="n">
        <v>45961.43738425926</v>
      </c>
      <c r="C441" s="1" t="n">
        <v>45988</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53920-2025</t>
        </is>
      </c>
      <c r="B442" s="1" t="n">
        <v>45961.44951388889</v>
      </c>
      <c r="C442" s="1" t="n">
        <v>45988</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26956-2025</t>
        </is>
      </c>
      <c r="B443" s="1" t="n">
        <v>45811.45460648148</v>
      </c>
      <c r="C443" s="1" t="n">
        <v>45988</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5074-2023</t>
        </is>
      </c>
      <c r="B444" s="1" t="n">
        <v>44958.61047453704</v>
      </c>
      <c r="C444" s="1" t="n">
        <v>45988</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45319-2025</t>
        </is>
      </c>
      <c r="B445" s="1" t="n">
        <v>45921.95611111111</v>
      </c>
      <c r="C445" s="1" t="n">
        <v>45988</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34071-2025</t>
        </is>
      </c>
      <c r="B446" s="1" t="n">
        <v>45845.43803240741</v>
      </c>
      <c r="C446" s="1" t="n">
        <v>45988</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34106-2025</t>
        </is>
      </c>
      <c r="B447" s="1" t="n">
        <v>45845.49414351852</v>
      </c>
      <c r="C447" s="1" t="n">
        <v>45988</v>
      </c>
      <c r="D447" t="inlineStr">
        <is>
          <t>KALMAR LÄN</t>
        </is>
      </c>
      <c r="E447" t="inlineStr">
        <is>
          <t>VIMMERBY</t>
        </is>
      </c>
      <c r="G447" t="n">
        <v>6</v>
      </c>
      <c r="H447" t="n">
        <v>0</v>
      </c>
      <c r="I447" t="n">
        <v>0</v>
      </c>
      <c r="J447" t="n">
        <v>0</v>
      </c>
      <c r="K447" t="n">
        <v>0</v>
      </c>
      <c r="L447" t="n">
        <v>0</v>
      </c>
      <c r="M447" t="n">
        <v>0</v>
      </c>
      <c r="N447" t="n">
        <v>0</v>
      </c>
      <c r="O447" t="n">
        <v>0</v>
      </c>
      <c r="P447" t="n">
        <v>0</v>
      </c>
      <c r="Q447" t="n">
        <v>0</v>
      </c>
      <c r="R447" s="2" t="inlineStr"/>
    </row>
    <row r="448" ht="15" customHeight="1">
      <c r="A448" t="inlineStr">
        <is>
          <t>A 28702-2025</t>
        </is>
      </c>
      <c r="B448" s="1" t="n">
        <v>45820.03976851852</v>
      </c>
      <c r="C448" s="1" t="n">
        <v>45988</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51187-2023</t>
        </is>
      </c>
      <c r="B449" s="1" t="n">
        <v>45219.40528935185</v>
      </c>
      <c r="C449" s="1" t="n">
        <v>45988</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54236-2025</t>
        </is>
      </c>
      <c r="B450" s="1" t="n">
        <v>45964.62671296296</v>
      </c>
      <c r="C450" s="1" t="n">
        <v>45988</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15715-2022</t>
        </is>
      </c>
      <c r="B451" s="1" t="n">
        <v>44663</v>
      </c>
      <c r="C451" s="1" t="n">
        <v>45988</v>
      </c>
      <c r="D451" t="inlineStr">
        <is>
          <t>KALMAR LÄN</t>
        </is>
      </c>
      <c r="E451" t="inlineStr">
        <is>
          <t>VIMMERBY</t>
        </is>
      </c>
      <c r="G451" t="n">
        <v>2.3</v>
      </c>
      <c r="H451" t="n">
        <v>0</v>
      </c>
      <c r="I451" t="n">
        <v>0</v>
      </c>
      <c r="J451" t="n">
        <v>0</v>
      </c>
      <c r="K451" t="n">
        <v>0</v>
      </c>
      <c r="L451" t="n">
        <v>0</v>
      </c>
      <c r="M451" t="n">
        <v>0</v>
      </c>
      <c r="N451" t="n">
        <v>0</v>
      </c>
      <c r="O451" t="n">
        <v>0</v>
      </c>
      <c r="P451" t="n">
        <v>0</v>
      </c>
      <c r="Q451" t="n">
        <v>0</v>
      </c>
      <c r="R451" s="2" t="inlineStr"/>
    </row>
    <row r="452" ht="15" customHeight="1">
      <c r="A452" t="inlineStr">
        <is>
          <t>A 43093-2024</t>
        </is>
      </c>
      <c r="B452" s="1" t="n">
        <v>45567</v>
      </c>
      <c r="C452" s="1" t="n">
        <v>45988</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45320-2025</t>
        </is>
      </c>
      <c r="B453" s="1" t="n">
        <v>45921.96395833333</v>
      </c>
      <c r="C453" s="1" t="n">
        <v>45988</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56022-2024</t>
        </is>
      </c>
      <c r="B454" s="1" t="n">
        <v>45623.95947916667</v>
      </c>
      <c r="C454" s="1" t="n">
        <v>45988</v>
      </c>
      <c r="D454" t="inlineStr">
        <is>
          <t>KALMAR LÄN</t>
        </is>
      </c>
      <c r="E454" t="inlineStr">
        <is>
          <t>VIMMERBY</t>
        </is>
      </c>
      <c r="G454" t="n">
        <v>0.3</v>
      </c>
      <c r="H454" t="n">
        <v>0</v>
      </c>
      <c r="I454" t="n">
        <v>0</v>
      </c>
      <c r="J454" t="n">
        <v>0</v>
      </c>
      <c r="K454" t="n">
        <v>0</v>
      </c>
      <c r="L454" t="n">
        <v>0</v>
      </c>
      <c r="M454" t="n">
        <v>0</v>
      </c>
      <c r="N454" t="n">
        <v>0</v>
      </c>
      <c r="O454" t="n">
        <v>0</v>
      </c>
      <c r="P454" t="n">
        <v>0</v>
      </c>
      <c r="Q454" t="n">
        <v>0</v>
      </c>
      <c r="R454" s="2" t="inlineStr"/>
    </row>
    <row r="455" ht="15" customHeight="1">
      <c r="A455" t="inlineStr">
        <is>
          <t>A 18330-2023</t>
        </is>
      </c>
      <c r="B455" s="1" t="n">
        <v>45041</v>
      </c>
      <c r="C455" s="1" t="n">
        <v>45988</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54234-2025</t>
        </is>
      </c>
      <c r="B456" s="1" t="n">
        <v>45964.62486111111</v>
      </c>
      <c r="C456" s="1" t="n">
        <v>45988</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34628-2025</t>
        </is>
      </c>
      <c r="B457" s="1" t="n">
        <v>45847.91280092593</v>
      </c>
      <c r="C457" s="1" t="n">
        <v>45988</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20126-2024</t>
        </is>
      </c>
      <c r="B458" s="1" t="n">
        <v>45434.55471064815</v>
      </c>
      <c r="C458" s="1" t="n">
        <v>45988</v>
      </c>
      <c r="D458" t="inlineStr">
        <is>
          <t>KALMAR LÄN</t>
        </is>
      </c>
      <c r="E458" t="inlineStr">
        <is>
          <t>VIMMERBY</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20136-2024</t>
        </is>
      </c>
      <c r="B459" s="1" t="n">
        <v>45434.56291666667</v>
      </c>
      <c r="C459" s="1" t="n">
        <v>45988</v>
      </c>
      <c r="D459" t="inlineStr">
        <is>
          <t>KALMAR LÄN</t>
        </is>
      </c>
      <c r="E459" t="inlineStr">
        <is>
          <t>VIMMERBY</t>
        </is>
      </c>
      <c r="F459" t="inlineStr">
        <is>
          <t>Sveaskog</t>
        </is>
      </c>
      <c r="G459" t="n">
        <v>8.4</v>
      </c>
      <c r="H459" t="n">
        <v>0</v>
      </c>
      <c r="I459" t="n">
        <v>0</v>
      </c>
      <c r="J459" t="n">
        <v>0</v>
      </c>
      <c r="K459" t="n">
        <v>0</v>
      </c>
      <c r="L459" t="n">
        <v>0</v>
      </c>
      <c r="M459" t="n">
        <v>0</v>
      </c>
      <c r="N459" t="n">
        <v>0</v>
      </c>
      <c r="O459" t="n">
        <v>0</v>
      </c>
      <c r="P459" t="n">
        <v>0</v>
      </c>
      <c r="Q459" t="n">
        <v>0</v>
      </c>
      <c r="R459" s="2" t="inlineStr"/>
    </row>
    <row r="460" ht="15" customHeight="1">
      <c r="A460" t="inlineStr">
        <is>
          <t>A 53786-2025</t>
        </is>
      </c>
      <c r="B460" s="1" t="n">
        <v>45960</v>
      </c>
      <c r="C460" s="1" t="n">
        <v>45988</v>
      </c>
      <c r="D460" t="inlineStr">
        <is>
          <t>KALMAR LÄN</t>
        </is>
      </c>
      <c r="E460" t="inlineStr">
        <is>
          <t>VIMMERBY</t>
        </is>
      </c>
      <c r="F460" t="inlineStr">
        <is>
          <t>Övriga statliga verk och myndigheter</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46921-2023</t>
        </is>
      </c>
      <c r="B461" s="1" t="n">
        <v>45201.39996527778</v>
      </c>
      <c r="C461" s="1" t="n">
        <v>45988</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46118-2025</t>
        </is>
      </c>
      <c r="B462" s="1" t="n">
        <v>45924.57697916667</v>
      </c>
      <c r="C462" s="1" t="n">
        <v>45988</v>
      </c>
      <c r="D462" t="inlineStr">
        <is>
          <t>KALMAR LÄN</t>
        </is>
      </c>
      <c r="E462" t="inlineStr">
        <is>
          <t>VIMMERBY</t>
        </is>
      </c>
      <c r="G462" t="n">
        <v>2.9</v>
      </c>
      <c r="H462" t="n">
        <v>0</v>
      </c>
      <c r="I462" t="n">
        <v>0</v>
      </c>
      <c r="J462" t="n">
        <v>0</v>
      </c>
      <c r="K462" t="n">
        <v>0</v>
      </c>
      <c r="L462" t="n">
        <v>0</v>
      </c>
      <c r="M462" t="n">
        <v>0</v>
      </c>
      <c r="N462" t="n">
        <v>0</v>
      </c>
      <c r="O462" t="n">
        <v>0</v>
      </c>
      <c r="P462" t="n">
        <v>0</v>
      </c>
      <c r="Q462" t="n">
        <v>0</v>
      </c>
      <c r="R462" s="2" t="inlineStr"/>
    </row>
    <row r="463" ht="15" customHeight="1">
      <c r="A463" t="inlineStr">
        <is>
          <t>A 25236-2023</t>
        </is>
      </c>
      <c r="B463" s="1" t="n">
        <v>45086.63334490741</v>
      </c>
      <c r="C463" s="1" t="n">
        <v>45988</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46365-2025</t>
        </is>
      </c>
      <c r="B464" s="1" t="n">
        <v>45925.50075231482</v>
      </c>
      <c r="C464" s="1" t="n">
        <v>45988</v>
      </c>
      <c r="D464" t="inlineStr">
        <is>
          <t>KALMAR LÄN</t>
        </is>
      </c>
      <c r="E464" t="inlineStr">
        <is>
          <t>VIMMERBY</t>
        </is>
      </c>
      <c r="G464" t="n">
        <v>5.6</v>
      </c>
      <c r="H464" t="n">
        <v>0</v>
      </c>
      <c r="I464" t="n">
        <v>0</v>
      </c>
      <c r="J464" t="n">
        <v>0</v>
      </c>
      <c r="K464" t="n">
        <v>0</v>
      </c>
      <c r="L464" t="n">
        <v>0</v>
      </c>
      <c r="M464" t="n">
        <v>0</v>
      </c>
      <c r="N464" t="n">
        <v>0</v>
      </c>
      <c r="O464" t="n">
        <v>0</v>
      </c>
      <c r="P464" t="n">
        <v>0</v>
      </c>
      <c r="Q464" t="n">
        <v>0</v>
      </c>
      <c r="R464" s="2" t="inlineStr"/>
    </row>
    <row r="465" ht="15" customHeight="1">
      <c r="A465" t="inlineStr">
        <is>
          <t>A 54737-2025</t>
        </is>
      </c>
      <c r="B465" s="1" t="n">
        <v>45966.56826388889</v>
      </c>
      <c r="C465" s="1" t="n">
        <v>45988</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6082-2022</t>
        </is>
      </c>
      <c r="B466" s="1" t="n">
        <v>44599</v>
      </c>
      <c r="C466" s="1" t="n">
        <v>45988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46361-2025</t>
        </is>
      </c>
      <c r="B467" s="1" t="n">
        <v>45925.49670138889</v>
      </c>
      <c r="C467" s="1" t="n">
        <v>45988</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35270-2025</t>
        </is>
      </c>
      <c r="B468" s="1" t="n">
        <v>45853.87112268519</v>
      </c>
      <c r="C468" s="1" t="n">
        <v>45988</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35271-2025</t>
        </is>
      </c>
      <c r="B469" s="1" t="n">
        <v>45853.87599537037</v>
      </c>
      <c r="C469" s="1" t="n">
        <v>45988</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35272-2025</t>
        </is>
      </c>
      <c r="B470" s="1" t="n">
        <v>45853.88070601852</v>
      </c>
      <c r="C470" s="1" t="n">
        <v>45988</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2801-2023</t>
        </is>
      </c>
      <c r="B471" s="1" t="n">
        <v>44944.73487268519</v>
      </c>
      <c r="C471" s="1" t="n">
        <v>45988</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16953-2025</t>
        </is>
      </c>
      <c r="B472" s="1" t="n">
        <v>45755.44333333334</v>
      </c>
      <c r="C472" s="1" t="n">
        <v>45988</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5146-2024</t>
        </is>
      </c>
      <c r="B473" s="1" t="n">
        <v>45330</v>
      </c>
      <c r="C473" s="1" t="n">
        <v>45988</v>
      </c>
      <c r="D473" t="inlineStr">
        <is>
          <t>KALMAR LÄN</t>
        </is>
      </c>
      <c r="E473" t="inlineStr">
        <is>
          <t>VIMMERBY</t>
        </is>
      </c>
      <c r="G473" t="n">
        <v>5.3</v>
      </c>
      <c r="H473" t="n">
        <v>0</v>
      </c>
      <c r="I473" t="n">
        <v>0</v>
      </c>
      <c r="J473" t="n">
        <v>0</v>
      </c>
      <c r="K473" t="n">
        <v>0</v>
      </c>
      <c r="L473" t="n">
        <v>0</v>
      </c>
      <c r="M473" t="n">
        <v>0</v>
      </c>
      <c r="N473" t="n">
        <v>0</v>
      </c>
      <c r="O473" t="n">
        <v>0</v>
      </c>
      <c r="P473" t="n">
        <v>0</v>
      </c>
      <c r="Q473" t="n">
        <v>0</v>
      </c>
      <c r="R473" s="2" t="inlineStr"/>
    </row>
    <row r="474" ht="15" customHeight="1">
      <c r="A474" t="inlineStr">
        <is>
          <t>A 5148-2024</t>
        </is>
      </c>
      <c r="B474" s="1" t="n">
        <v>45330</v>
      </c>
      <c r="C474" s="1" t="n">
        <v>45988</v>
      </c>
      <c r="D474" t="inlineStr">
        <is>
          <t>KALMAR LÄN</t>
        </is>
      </c>
      <c r="E474" t="inlineStr">
        <is>
          <t>VIMMERBY</t>
        </is>
      </c>
      <c r="G474" t="n">
        <v>5.6</v>
      </c>
      <c r="H474" t="n">
        <v>0</v>
      </c>
      <c r="I474" t="n">
        <v>0</v>
      </c>
      <c r="J474" t="n">
        <v>0</v>
      </c>
      <c r="K474" t="n">
        <v>0</v>
      </c>
      <c r="L474" t="n">
        <v>0</v>
      </c>
      <c r="M474" t="n">
        <v>0</v>
      </c>
      <c r="N474" t="n">
        <v>0</v>
      </c>
      <c r="O474" t="n">
        <v>0</v>
      </c>
      <c r="P474" t="n">
        <v>0</v>
      </c>
      <c r="Q474" t="n">
        <v>0</v>
      </c>
      <c r="R474" s="2" t="inlineStr"/>
    </row>
    <row r="475" ht="15" customHeight="1">
      <c r="A475" t="inlineStr">
        <is>
          <t>A 35596-2025</t>
        </is>
      </c>
      <c r="B475" s="1" t="n">
        <v>45858.60641203704</v>
      </c>
      <c r="C475" s="1" t="n">
        <v>45988</v>
      </c>
      <c r="D475" t="inlineStr">
        <is>
          <t>KALMAR LÄN</t>
        </is>
      </c>
      <c r="E475" t="inlineStr">
        <is>
          <t>VIMMERBY</t>
        </is>
      </c>
      <c r="G475" t="n">
        <v>2.8</v>
      </c>
      <c r="H475" t="n">
        <v>0</v>
      </c>
      <c r="I475" t="n">
        <v>0</v>
      </c>
      <c r="J475" t="n">
        <v>0</v>
      </c>
      <c r="K475" t="n">
        <v>0</v>
      </c>
      <c r="L475" t="n">
        <v>0</v>
      </c>
      <c r="M475" t="n">
        <v>0</v>
      </c>
      <c r="N475" t="n">
        <v>0</v>
      </c>
      <c r="O475" t="n">
        <v>0</v>
      </c>
      <c r="P475" t="n">
        <v>0</v>
      </c>
      <c r="Q475" t="n">
        <v>0</v>
      </c>
      <c r="R475" s="2" t="inlineStr"/>
    </row>
    <row r="476" ht="15" customHeight="1">
      <c r="A476" t="inlineStr">
        <is>
          <t>A 35597-2025</t>
        </is>
      </c>
      <c r="B476" s="1" t="n">
        <v>45858.66019675926</v>
      </c>
      <c r="C476" s="1" t="n">
        <v>45988</v>
      </c>
      <c r="D476" t="inlineStr">
        <is>
          <t>KALMAR LÄN</t>
        </is>
      </c>
      <c r="E476" t="inlineStr">
        <is>
          <t>VIMMERBY</t>
        </is>
      </c>
      <c r="G476" t="n">
        <v>6.4</v>
      </c>
      <c r="H476" t="n">
        <v>0</v>
      </c>
      <c r="I476" t="n">
        <v>0</v>
      </c>
      <c r="J476" t="n">
        <v>0</v>
      </c>
      <c r="K476" t="n">
        <v>0</v>
      </c>
      <c r="L476" t="n">
        <v>0</v>
      </c>
      <c r="M476" t="n">
        <v>0</v>
      </c>
      <c r="N476" t="n">
        <v>0</v>
      </c>
      <c r="O476" t="n">
        <v>0</v>
      </c>
      <c r="P476" t="n">
        <v>0</v>
      </c>
      <c r="Q476" t="n">
        <v>0</v>
      </c>
      <c r="R476" s="2" t="inlineStr"/>
    </row>
    <row r="477" ht="15" customHeight="1">
      <c r="A477" t="inlineStr">
        <is>
          <t>A 58278-2023</t>
        </is>
      </c>
      <c r="B477" s="1" t="n">
        <v>45250.5278587963</v>
      </c>
      <c r="C477" s="1" t="n">
        <v>45988</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53788-2025</t>
        </is>
      </c>
      <c r="B478" s="1" t="n">
        <v>45960</v>
      </c>
      <c r="C478" s="1" t="n">
        <v>45988</v>
      </c>
      <c r="D478" t="inlineStr">
        <is>
          <t>KALMAR LÄN</t>
        </is>
      </c>
      <c r="E478" t="inlineStr">
        <is>
          <t>VIMMERBY</t>
        </is>
      </c>
      <c r="F478" t="inlineStr">
        <is>
          <t>Övriga statliga verk och myndigheter</t>
        </is>
      </c>
      <c r="G478" t="n">
        <v>6.3</v>
      </c>
      <c r="H478" t="n">
        <v>0</v>
      </c>
      <c r="I478" t="n">
        <v>0</v>
      </c>
      <c r="J478" t="n">
        <v>0</v>
      </c>
      <c r="K478" t="n">
        <v>0</v>
      </c>
      <c r="L478" t="n">
        <v>0</v>
      </c>
      <c r="M478" t="n">
        <v>0</v>
      </c>
      <c r="N478" t="n">
        <v>0</v>
      </c>
      <c r="O478" t="n">
        <v>0</v>
      </c>
      <c r="P478" t="n">
        <v>0</v>
      </c>
      <c r="Q478" t="n">
        <v>0</v>
      </c>
      <c r="R478" s="2" t="inlineStr"/>
    </row>
    <row r="479" ht="15" customHeight="1">
      <c r="A479" t="inlineStr">
        <is>
          <t>A 22266-2023</t>
        </is>
      </c>
      <c r="B479" s="1" t="n">
        <v>45070</v>
      </c>
      <c r="C479" s="1" t="n">
        <v>45988</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52588-2023</t>
        </is>
      </c>
      <c r="B480" s="1" t="n">
        <v>45225.60192129629</v>
      </c>
      <c r="C480" s="1" t="n">
        <v>45988</v>
      </c>
      <c r="D480" t="inlineStr">
        <is>
          <t>KALMAR LÄN</t>
        </is>
      </c>
      <c r="E480" t="inlineStr">
        <is>
          <t>VIMMERBY</t>
        </is>
      </c>
      <c r="G480" t="n">
        <v>2.9</v>
      </c>
      <c r="H480" t="n">
        <v>0</v>
      </c>
      <c r="I480" t="n">
        <v>0</v>
      </c>
      <c r="J480" t="n">
        <v>0</v>
      </c>
      <c r="K480" t="n">
        <v>0</v>
      </c>
      <c r="L480" t="n">
        <v>0</v>
      </c>
      <c r="M480" t="n">
        <v>0</v>
      </c>
      <c r="N480" t="n">
        <v>0</v>
      </c>
      <c r="O480" t="n">
        <v>0</v>
      </c>
      <c r="P480" t="n">
        <v>0</v>
      </c>
      <c r="Q480" t="n">
        <v>0</v>
      </c>
      <c r="R480" s="2" t="inlineStr"/>
    </row>
    <row r="481" ht="15" customHeight="1">
      <c r="A481" t="inlineStr">
        <is>
          <t>A 54813-2025</t>
        </is>
      </c>
      <c r="B481" s="1" t="n">
        <v>45966.64881944445</v>
      </c>
      <c r="C481" s="1" t="n">
        <v>45988</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6802-2025</t>
        </is>
      </c>
      <c r="B482" s="1" t="n">
        <v>45700.68289351852</v>
      </c>
      <c r="C482" s="1" t="n">
        <v>45988</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71793-2021</t>
        </is>
      </c>
      <c r="B483" s="1" t="n">
        <v>44539</v>
      </c>
      <c r="C483" s="1" t="n">
        <v>45988</v>
      </c>
      <c r="D483" t="inlineStr">
        <is>
          <t>KALMAR LÄN</t>
        </is>
      </c>
      <c r="E483" t="inlineStr">
        <is>
          <t>VIMMERBY</t>
        </is>
      </c>
      <c r="G483" t="n">
        <v>2.7</v>
      </c>
      <c r="H483" t="n">
        <v>0</v>
      </c>
      <c r="I483" t="n">
        <v>0</v>
      </c>
      <c r="J483" t="n">
        <v>0</v>
      </c>
      <c r="K483" t="n">
        <v>0</v>
      </c>
      <c r="L483" t="n">
        <v>0</v>
      </c>
      <c r="M483" t="n">
        <v>0</v>
      </c>
      <c r="N483" t="n">
        <v>0</v>
      </c>
      <c r="O483" t="n">
        <v>0</v>
      </c>
      <c r="P483" t="n">
        <v>0</v>
      </c>
      <c r="Q483" t="n">
        <v>0</v>
      </c>
      <c r="R483" s="2" t="inlineStr"/>
    </row>
    <row r="484" ht="15" customHeight="1">
      <c r="A484" t="inlineStr">
        <is>
          <t>A 46887-2025</t>
        </is>
      </c>
      <c r="B484" s="1" t="n">
        <v>45929.3672337963</v>
      </c>
      <c r="C484" s="1" t="n">
        <v>45988</v>
      </c>
      <c r="D484" t="inlineStr">
        <is>
          <t>KALMAR LÄN</t>
        </is>
      </c>
      <c r="E484" t="inlineStr">
        <is>
          <t>VIMMERBY</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45856-2025</t>
        </is>
      </c>
      <c r="B485" s="1" t="n">
        <v>45923</v>
      </c>
      <c r="C485" s="1" t="n">
        <v>45988</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527-2024</t>
        </is>
      </c>
      <c r="B486" s="1" t="n">
        <v>45299.47513888889</v>
      </c>
      <c r="C486" s="1" t="n">
        <v>45988</v>
      </c>
      <c r="D486" t="inlineStr">
        <is>
          <t>KALMAR LÄN</t>
        </is>
      </c>
      <c r="E486" t="inlineStr">
        <is>
          <t>VIMMERBY</t>
        </is>
      </c>
      <c r="G486" t="n">
        <v>2.2</v>
      </c>
      <c r="H486" t="n">
        <v>0</v>
      </c>
      <c r="I486" t="n">
        <v>0</v>
      </c>
      <c r="J486" t="n">
        <v>0</v>
      </c>
      <c r="K486" t="n">
        <v>0</v>
      </c>
      <c r="L486" t="n">
        <v>0</v>
      </c>
      <c r="M486" t="n">
        <v>0</v>
      </c>
      <c r="N486" t="n">
        <v>0</v>
      </c>
      <c r="O486" t="n">
        <v>0</v>
      </c>
      <c r="P486" t="n">
        <v>0</v>
      </c>
      <c r="Q486" t="n">
        <v>0</v>
      </c>
      <c r="R486" s="2" t="inlineStr"/>
    </row>
    <row r="487" ht="15" customHeight="1">
      <c r="A487" t="inlineStr">
        <is>
          <t>A 60230-2022</t>
        </is>
      </c>
      <c r="B487" s="1" t="n">
        <v>44910</v>
      </c>
      <c r="C487" s="1" t="n">
        <v>45988</v>
      </c>
      <c r="D487" t="inlineStr">
        <is>
          <t>KALMAR LÄN</t>
        </is>
      </c>
      <c r="E487" t="inlineStr">
        <is>
          <t>VIMMERBY</t>
        </is>
      </c>
      <c r="G487" t="n">
        <v>11.3</v>
      </c>
      <c r="H487" t="n">
        <v>0</v>
      </c>
      <c r="I487" t="n">
        <v>0</v>
      </c>
      <c r="J487" t="n">
        <v>0</v>
      </c>
      <c r="K487" t="n">
        <v>0</v>
      </c>
      <c r="L487" t="n">
        <v>0</v>
      </c>
      <c r="M487" t="n">
        <v>0</v>
      </c>
      <c r="N487" t="n">
        <v>0</v>
      </c>
      <c r="O487" t="n">
        <v>0</v>
      </c>
      <c r="P487" t="n">
        <v>0</v>
      </c>
      <c r="Q487" t="n">
        <v>0</v>
      </c>
      <c r="R487" s="2" t="inlineStr"/>
    </row>
    <row r="488" ht="15" customHeight="1">
      <c r="A488" t="inlineStr">
        <is>
          <t>A 36226-2025</t>
        </is>
      </c>
      <c r="B488" s="1" t="n">
        <v>45867.51630787037</v>
      </c>
      <c r="C488" s="1" t="n">
        <v>45988</v>
      </c>
      <c r="D488" t="inlineStr">
        <is>
          <t>KALMAR LÄN</t>
        </is>
      </c>
      <c r="E488" t="inlineStr">
        <is>
          <t>VIMMERBY</t>
        </is>
      </c>
      <c r="G488" t="n">
        <v>3.1</v>
      </c>
      <c r="H488" t="n">
        <v>0</v>
      </c>
      <c r="I488" t="n">
        <v>0</v>
      </c>
      <c r="J488" t="n">
        <v>0</v>
      </c>
      <c r="K488" t="n">
        <v>0</v>
      </c>
      <c r="L488" t="n">
        <v>0</v>
      </c>
      <c r="M488" t="n">
        <v>0</v>
      </c>
      <c r="N488" t="n">
        <v>0</v>
      </c>
      <c r="O488" t="n">
        <v>0</v>
      </c>
      <c r="P488" t="n">
        <v>0</v>
      </c>
      <c r="Q488" t="n">
        <v>0</v>
      </c>
      <c r="R488" s="2" t="inlineStr"/>
    </row>
    <row r="489" ht="15" customHeight="1">
      <c r="A489" t="inlineStr">
        <is>
          <t>A 36273-2025</t>
        </is>
      </c>
      <c r="B489" s="1" t="n">
        <v>45867.63094907408</v>
      </c>
      <c r="C489" s="1" t="n">
        <v>45988</v>
      </c>
      <c r="D489" t="inlineStr">
        <is>
          <t>KALMAR LÄN</t>
        </is>
      </c>
      <c r="E489" t="inlineStr">
        <is>
          <t>VIMMERBY</t>
        </is>
      </c>
      <c r="G489" t="n">
        <v>1.7</v>
      </c>
      <c r="H489" t="n">
        <v>0</v>
      </c>
      <c r="I489" t="n">
        <v>0</v>
      </c>
      <c r="J489" t="n">
        <v>0</v>
      </c>
      <c r="K489" t="n">
        <v>0</v>
      </c>
      <c r="L489" t="n">
        <v>0</v>
      </c>
      <c r="M489" t="n">
        <v>0</v>
      </c>
      <c r="N489" t="n">
        <v>0</v>
      </c>
      <c r="O489" t="n">
        <v>0</v>
      </c>
      <c r="P489" t="n">
        <v>0</v>
      </c>
      <c r="Q489" t="n">
        <v>0</v>
      </c>
      <c r="R489" s="2" t="inlineStr"/>
    </row>
    <row r="490" ht="15" customHeight="1">
      <c r="A490" t="inlineStr">
        <is>
          <t>A 36282-2025</t>
        </is>
      </c>
      <c r="B490" s="1" t="n">
        <v>45867.64663194444</v>
      </c>
      <c r="C490" s="1" t="n">
        <v>45988</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36246-2025</t>
        </is>
      </c>
      <c r="B491" s="1" t="n">
        <v>45867.56320601852</v>
      </c>
      <c r="C491" s="1" t="n">
        <v>45988</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36297-2025</t>
        </is>
      </c>
      <c r="B492" s="1" t="n">
        <v>45867.68625</v>
      </c>
      <c r="C492" s="1" t="n">
        <v>45988</v>
      </c>
      <c r="D492" t="inlineStr">
        <is>
          <t>KALMAR LÄN</t>
        </is>
      </c>
      <c r="E492" t="inlineStr">
        <is>
          <t>VIMMERBY</t>
        </is>
      </c>
      <c r="G492" t="n">
        <v>4.9</v>
      </c>
      <c r="H492" t="n">
        <v>0</v>
      </c>
      <c r="I492" t="n">
        <v>0</v>
      </c>
      <c r="J492" t="n">
        <v>0</v>
      </c>
      <c r="K492" t="n">
        <v>0</v>
      </c>
      <c r="L492" t="n">
        <v>0</v>
      </c>
      <c r="M492" t="n">
        <v>0</v>
      </c>
      <c r="N492" t="n">
        <v>0</v>
      </c>
      <c r="O492" t="n">
        <v>0</v>
      </c>
      <c r="P492" t="n">
        <v>0</v>
      </c>
      <c r="Q492" t="n">
        <v>0</v>
      </c>
      <c r="R492" s="2" t="inlineStr"/>
    </row>
    <row r="493" ht="15" customHeight="1">
      <c r="A493" t="inlineStr">
        <is>
          <t>A 5925-2022</t>
        </is>
      </c>
      <c r="B493" s="1" t="n">
        <v>44598.7384837963</v>
      </c>
      <c r="C493" s="1" t="n">
        <v>45988</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36221-2025</t>
        </is>
      </c>
      <c r="B494" s="1" t="n">
        <v>45867.50792824074</v>
      </c>
      <c r="C494" s="1" t="n">
        <v>45988</v>
      </c>
      <c r="D494" t="inlineStr">
        <is>
          <t>KALMAR LÄN</t>
        </is>
      </c>
      <c r="E494" t="inlineStr">
        <is>
          <t>VIMMERBY</t>
        </is>
      </c>
      <c r="G494" t="n">
        <v>2.5</v>
      </c>
      <c r="H494" t="n">
        <v>0</v>
      </c>
      <c r="I494" t="n">
        <v>0</v>
      </c>
      <c r="J494" t="n">
        <v>0</v>
      </c>
      <c r="K494" t="n">
        <v>0</v>
      </c>
      <c r="L494" t="n">
        <v>0</v>
      </c>
      <c r="M494" t="n">
        <v>0</v>
      </c>
      <c r="N494" t="n">
        <v>0</v>
      </c>
      <c r="O494" t="n">
        <v>0</v>
      </c>
      <c r="P494" t="n">
        <v>0</v>
      </c>
      <c r="Q494" t="n">
        <v>0</v>
      </c>
      <c r="R494" s="2" t="inlineStr"/>
    </row>
    <row r="495" ht="15" customHeight="1">
      <c r="A495" t="inlineStr">
        <is>
          <t>A 19502-2025</t>
        </is>
      </c>
      <c r="B495" s="1" t="n">
        <v>45769</v>
      </c>
      <c r="C495" s="1" t="n">
        <v>45988</v>
      </c>
      <c r="D495" t="inlineStr">
        <is>
          <t>KALMAR LÄN</t>
        </is>
      </c>
      <c r="E495" t="inlineStr">
        <is>
          <t>VIMMERBY</t>
        </is>
      </c>
      <c r="G495" t="n">
        <v>1.9</v>
      </c>
      <c r="H495" t="n">
        <v>0</v>
      </c>
      <c r="I495" t="n">
        <v>0</v>
      </c>
      <c r="J495" t="n">
        <v>0</v>
      </c>
      <c r="K495" t="n">
        <v>0</v>
      </c>
      <c r="L495" t="n">
        <v>0</v>
      </c>
      <c r="M495" t="n">
        <v>0</v>
      </c>
      <c r="N495" t="n">
        <v>0</v>
      </c>
      <c r="O495" t="n">
        <v>0</v>
      </c>
      <c r="P495" t="n">
        <v>0</v>
      </c>
      <c r="Q495" t="n">
        <v>0</v>
      </c>
      <c r="R495" s="2" t="inlineStr"/>
    </row>
    <row r="496" ht="15" customHeight="1">
      <c r="A496" t="inlineStr">
        <is>
          <t>A 45854-2025</t>
        </is>
      </c>
      <c r="B496" s="1" t="n">
        <v>45923</v>
      </c>
      <c r="C496" s="1" t="n">
        <v>45988</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45855-2025</t>
        </is>
      </c>
      <c r="B497" s="1" t="n">
        <v>45923</v>
      </c>
      <c r="C497" s="1" t="n">
        <v>45988</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46522-2022</t>
        </is>
      </c>
      <c r="B498" s="1" t="n">
        <v>44848.59133101852</v>
      </c>
      <c r="C498" s="1" t="n">
        <v>45988</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36299-2025</t>
        </is>
      </c>
      <c r="B499" s="1" t="n">
        <v>45867.69346064814</v>
      </c>
      <c r="C499" s="1" t="n">
        <v>45988</v>
      </c>
      <c r="D499" t="inlineStr">
        <is>
          <t>KALMAR LÄN</t>
        </is>
      </c>
      <c r="E499" t="inlineStr">
        <is>
          <t>VIMMERBY</t>
        </is>
      </c>
      <c r="G499" t="n">
        <v>7.6</v>
      </c>
      <c r="H499" t="n">
        <v>0</v>
      </c>
      <c r="I499" t="n">
        <v>0</v>
      </c>
      <c r="J499" t="n">
        <v>0</v>
      </c>
      <c r="K499" t="n">
        <v>0</v>
      </c>
      <c r="L499" t="n">
        <v>0</v>
      </c>
      <c r="M499" t="n">
        <v>0</v>
      </c>
      <c r="N499" t="n">
        <v>0</v>
      </c>
      <c r="O499" t="n">
        <v>0</v>
      </c>
      <c r="P499" t="n">
        <v>0</v>
      </c>
      <c r="Q499" t="n">
        <v>0</v>
      </c>
      <c r="R499" s="2" t="inlineStr"/>
    </row>
    <row r="500" ht="15" customHeight="1">
      <c r="A500" t="inlineStr">
        <is>
          <t>A 36538-2025</t>
        </is>
      </c>
      <c r="B500" s="1" t="n">
        <v>45869.62276620371</v>
      </c>
      <c r="C500" s="1" t="n">
        <v>45988</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41066-2024</t>
        </is>
      </c>
      <c r="B501" s="1" t="n">
        <v>45559.38876157408</v>
      </c>
      <c r="C501" s="1" t="n">
        <v>45988</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52279-2023</t>
        </is>
      </c>
      <c r="B502" s="1" t="n">
        <v>45224</v>
      </c>
      <c r="C502" s="1" t="n">
        <v>45988</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55384-2025</t>
        </is>
      </c>
      <c r="B503" s="1" t="n">
        <v>45971.43178240741</v>
      </c>
      <c r="C503" s="1" t="n">
        <v>45988</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55385-2025</t>
        </is>
      </c>
      <c r="B504" s="1" t="n">
        <v>45971.43350694444</v>
      </c>
      <c r="C504" s="1" t="n">
        <v>45988</v>
      </c>
      <c r="D504" t="inlineStr">
        <is>
          <t>KALMAR LÄN</t>
        </is>
      </c>
      <c r="E504" t="inlineStr">
        <is>
          <t>VIMMERBY</t>
        </is>
      </c>
      <c r="G504" t="n">
        <v>5</v>
      </c>
      <c r="H504" t="n">
        <v>0</v>
      </c>
      <c r="I504" t="n">
        <v>0</v>
      </c>
      <c r="J504" t="n">
        <v>0</v>
      </c>
      <c r="K504" t="n">
        <v>0</v>
      </c>
      <c r="L504" t="n">
        <v>0</v>
      </c>
      <c r="M504" t="n">
        <v>0</v>
      </c>
      <c r="N504" t="n">
        <v>0</v>
      </c>
      <c r="O504" t="n">
        <v>0</v>
      </c>
      <c r="P504" t="n">
        <v>0</v>
      </c>
      <c r="Q504" t="n">
        <v>0</v>
      </c>
      <c r="R504" s="2" t="inlineStr"/>
    </row>
    <row r="505" ht="15" customHeight="1">
      <c r="A505" t="inlineStr">
        <is>
          <t>A 17486-2024</t>
        </is>
      </c>
      <c r="B505" s="1" t="n">
        <v>45415.48979166667</v>
      </c>
      <c r="C505" s="1" t="n">
        <v>45988</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36598-2025</t>
        </is>
      </c>
      <c r="B506" s="1" t="n">
        <v>45870.51708333333</v>
      </c>
      <c r="C506" s="1" t="n">
        <v>45988</v>
      </c>
      <c r="D506" t="inlineStr">
        <is>
          <t>KALMAR LÄN</t>
        </is>
      </c>
      <c r="E506" t="inlineStr">
        <is>
          <t>VIMMERBY</t>
        </is>
      </c>
      <c r="G506" t="n">
        <v>3.7</v>
      </c>
      <c r="H506" t="n">
        <v>0</v>
      </c>
      <c r="I506" t="n">
        <v>0</v>
      </c>
      <c r="J506" t="n">
        <v>0</v>
      </c>
      <c r="K506" t="n">
        <v>0</v>
      </c>
      <c r="L506" t="n">
        <v>0</v>
      </c>
      <c r="M506" t="n">
        <v>0</v>
      </c>
      <c r="N506" t="n">
        <v>0</v>
      </c>
      <c r="O506" t="n">
        <v>0</v>
      </c>
      <c r="P506" t="n">
        <v>0</v>
      </c>
      <c r="Q506" t="n">
        <v>0</v>
      </c>
      <c r="R506" s="2" t="inlineStr"/>
    </row>
    <row r="507" ht="15" customHeight="1">
      <c r="A507" t="inlineStr">
        <is>
          <t>A 36602-2025</t>
        </is>
      </c>
      <c r="B507" s="1" t="n">
        <v>45870.52111111111</v>
      </c>
      <c r="C507" s="1" t="n">
        <v>45988</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71631-2021</t>
        </is>
      </c>
      <c r="B508" s="1" t="n">
        <v>44542.90072916666</v>
      </c>
      <c r="C508" s="1" t="n">
        <v>45988</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55604-2025</t>
        </is>
      </c>
      <c r="B509" s="1" t="n">
        <v>45971</v>
      </c>
      <c r="C509" s="1" t="n">
        <v>45988</v>
      </c>
      <c r="D509" t="inlineStr">
        <is>
          <t>KALMAR LÄN</t>
        </is>
      </c>
      <c r="E509" t="inlineStr">
        <is>
          <t>VIMMERBY</t>
        </is>
      </c>
      <c r="G509" t="n">
        <v>4.4</v>
      </c>
      <c r="H509" t="n">
        <v>0</v>
      </c>
      <c r="I509" t="n">
        <v>0</v>
      </c>
      <c r="J509" t="n">
        <v>0</v>
      </c>
      <c r="K509" t="n">
        <v>0</v>
      </c>
      <c r="L509" t="n">
        <v>0</v>
      </c>
      <c r="M509" t="n">
        <v>0</v>
      </c>
      <c r="N509" t="n">
        <v>0</v>
      </c>
      <c r="O509" t="n">
        <v>0</v>
      </c>
      <c r="P509" t="n">
        <v>0</v>
      </c>
      <c r="Q509" t="n">
        <v>0</v>
      </c>
      <c r="R509" s="2" t="inlineStr"/>
    </row>
    <row r="510" ht="15" customHeight="1">
      <c r="A510" t="inlineStr">
        <is>
          <t>A 55602-2025</t>
        </is>
      </c>
      <c r="B510" s="1" t="n">
        <v>45971</v>
      </c>
      <c r="C510" s="1" t="n">
        <v>45988</v>
      </c>
      <c r="D510" t="inlineStr">
        <is>
          <t>KALMAR LÄN</t>
        </is>
      </c>
      <c r="E510" t="inlineStr">
        <is>
          <t>VIMMERBY</t>
        </is>
      </c>
      <c r="G510" t="n">
        <v>2.7</v>
      </c>
      <c r="H510" t="n">
        <v>0</v>
      </c>
      <c r="I510" t="n">
        <v>0</v>
      </c>
      <c r="J510" t="n">
        <v>0</v>
      </c>
      <c r="K510" t="n">
        <v>0</v>
      </c>
      <c r="L510" t="n">
        <v>0</v>
      </c>
      <c r="M510" t="n">
        <v>0</v>
      </c>
      <c r="N510" t="n">
        <v>0</v>
      </c>
      <c r="O510" t="n">
        <v>0</v>
      </c>
      <c r="P510" t="n">
        <v>0</v>
      </c>
      <c r="Q510" t="n">
        <v>0</v>
      </c>
      <c r="R510" s="2" t="inlineStr"/>
    </row>
    <row r="511" ht="15" customHeight="1">
      <c r="A511" t="inlineStr">
        <is>
          <t>A 47227-2025</t>
        </is>
      </c>
      <c r="B511" s="1" t="n">
        <v>45930.39769675926</v>
      </c>
      <c r="C511" s="1" t="n">
        <v>45988</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36603-2025</t>
        </is>
      </c>
      <c r="B512" s="1" t="n">
        <v>45870.52142361111</v>
      </c>
      <c r="C512" s="1" t="n">
        <v>45988</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16015-2025</t>
        </is>
      </c>
      <c r="B513" s="1" t="n">
        <v>45749.60487268519</v>
      </c>
      <c r="C513" s="1" t="n">
        <v>45988</v>
      </c>
      <c r="D513" t="inlineStr">
        <is>
          <t>KALMAR LÄN</t>
        </is>
      </c>
      <c r="E513" t="inlineStr">
        <is>
          <t>VIMMERBY</t>
        </is>
      </c>
      <c r="F513" t="inlineStr">
        <is>
          <t>Kyrkan</t>
        </is>
      </c>
      <c r="G513" t="n">
        <v>2.7</v>
      </c>
      <c r="H513" t="n">
        <v>0</v>
      </c>
      <c r="I513" t="n">
        <v>0</v>
      </c>
      <c r="J513" t="n">
        <v>0</v>
      </c>
      <c r="K513" t="n">
        <v>0</v>
      </c>
      <c r="L513" t="n">
        <v>0</v>
      </c>
      <c r="M513" t="n">
        <v>0</v>
      </c>
      <c r="N513" t="n">
        <v>0</v>
      </c>
      <c r="O513" t="n">
        <v>0</v>
      </c>
      <c r="P513" t="n">
        <v>0</v>
      </c>
      <c r="Q513" t="n">
        <v>0</v>
      </c>
      <c r="R513" s="2" t="inlineStr"/>
    </row>
    <row r="514" ht="15" customHeight="1">
      <c r="A514" t="inlineStr">
        <is>
          <t>A 36600-2025</t>
        </is>
      </c>
      <c r="B514" s="1" t="n">
        <v>45870.51958333333</v>
      </c>
      <c r="C514" s="1" t="n">
        <v>45988</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36601-2025</t>
        </is>
      </c>
      <c r="B515" s="1" t="n">
        <v>45870.52005787037</v>
      </c>
      <c r="C515" s="1" t="n">
        <v>45988</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9694-2023</t>
        </is>
      </c>
      <c r="B516" s="1" t="n">
        <v>44984.45895833334</v>
      </c>
      <c r="C516" s="1" t="n">
        <v>45988</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22198-2024</t>
        </is>
      </c>
      <c r="B517" s="1" t="n">
        <v>45446.36865740741</v>
      </c>
      <c r="C517" s="1" t="n">
        <v>45988</v>
      </c>
      <c r="D517" t="inlineStr">
        <is>
          <t>KALMAR LÄN</t>
        </is>
      </c>
      <c r="E517" t="inlineStr">
        <is>
          <t>VIMMERBY</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57311-2023</t>
        </is>
      </c>
      <c r="B518" s="1" t="n">
        <v>45245.63574074074</v>
      </c>
      <c r="C518" s="1" t="n">
        <v>45988</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37088-2025</t>
        </is>
      </c>
      <c r="B519" s="1" t="n">
        <v>45875.45716435185</v>
      </c>
      <c r="C519" s="1" t="n">
        <v>45988</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37102-2025</t>
        </is>
      </c>
      <c r="B520" s="1" t="n">
        <v>45875.47454861111</v>
      </c>
      <c r="C520" s="1" t="n">
        <v>45988</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12588-2025</t>
        </is>
      </c>
      <c r="B521" s="1" t="n">
        <v>45732.76936342593</v>
      </c>
      <c r="C521" s="1" t="n">
        <v>45988</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7932-2025</t>
        </is>
      </c>
      <c r="B522" s="1" t="n">
        <v>45707.3793287037</v>
      </c>
      <c r="C522" s="1" t="n">
        <v>45988</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37079-2025</t>
        </is>
      </c>
      <c r="B523" s="1" t="n">
        <v>45875.42716435185</v>
      </c>
      <c r="C523" s="1" t="n">
        <v>45988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55603-2025</t>
        </is>
      </c>
      <c r="B524" s="1" t="n">
        <v>45971</v>
      </c>
      <c r="C524" s="1" t="n">
        <v>45988</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55605-2025</t>
        </is>
      </c>
      <c r="B525" s="1" t="n">
        <v>45971</v>
      </c>
      <c r="C525" s="1" t="n">
        <v>45988</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36934-2025</t>
        </is>
      </c>
      <c r="B526" s="1" t="n">
        <v>45874.57109953704</v>
      </c>
      <c r="C526" s="1" t="n">
        <v>45988</v>
      </c>
      <c r="D526" t="inlineStr">
        <is>
          <t>KALMAR LÄN</t>
        </is>
      </c>
      <c r="E526" t="inlineStr">
        <is>
          <t>VIMMERBY</t>
        </is>
      </c>
      <c r="G526" t="n">
        <v>4.2</v>
      </c>
      <c r="H526" t="n">
        <v>0</v>
      </c>
      <c r="I526" t="n">
        <v>0</v>
      </c>
      <c r="J526" t="n">
        <v>0</v>
      </c>
      <c r="K526" t="n">
        <v>0</v>
      </c>
      <c r="L526" t="n">
        <v>0</v>
      </c>
      <c r="M526" t="n">
        <v>0</v>
      </c>
      <c r="N526" t="n">
        <v>0</v>
      </c>
      <c r="O526" t="n">
        <v>0</v>
      </c>
      <c r="P526" t="n">
        <v>0</v>
      </c>
      <c r="Q526" t="n">
        <v>0</v>
      </c>
      <c r="R526" s="2" t="inlineStr"/>
    </row>
    <row r="527" ht="15" customHeight="1">
      <c r="A527" t="inlineStr">
        <is>
          <t>A 48299-2025</t>
        </is>
      </c>
      <c r="B527" s="1" t="n">
        <v>45933.60982638889</v>
      </c>
      <c r="C527" s="1" t="n">
        <v>45988</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2121-2022</t>
        </is>
      </c>
      <c r="B528" s="1" t="n">
        <v>44578.32717592592</v>
      </c>
      <c r="C528" s="1" t="n">
        <v>45988</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34386-2024</t>
        </is>
      </c>
      <c r="B529" s="1" t="n">
        <v>45525.41762731481</v>
      </c>
      <c r="C529" s="1" t="n">
        <v>45988</v>
      </c>
      <c r="D529" t="inlineStr">
        <is>
          <t>KALMAR LÄN</t>
        </is>
      </c>
      <c r="E529" t="inlineStr">
        <is>
          <t>VIMMERBY</t>
        </is>
      </c>
      <c r="G529" t="n">
        <v>0.3</v>
      </c>
      <c r="H529" t="n">
        <v>0</v>
      </c>
      <c r="I529" t="n">
        <v>0</v>
      </c>
      <c r="J529" t="n">
        <v>0</v>
      </c>
      <c r="K529" t="n">
        <v>0</v>
      </c>
      <c r="L529" t="n">
        <v>0</v>
      </c>
      <c r="M529" t="n">
        <v>0</v>
      </c>
      <c r="N529" t="n">
        <v>0</v>
      </c>
      <c r="O529" t="n">
        <v>0</v>
      </c>
      <c r="P529" t="n">
        <v>0</v>
      </c>
      <c r="Q529" t="n">
        <v>0</v>
      </c>
      <c r="R529" s="2" t="inlineStr"/>
    </row>
    <row r="530" ht="15" customHeight="1">
      <c r="A530" t="inlineStr">
        <is>
          <t>A 37578-2025</t>
        </is>
      </c>
      <c r="B530" s="1" t="n">
        <v>45880.38380787037</v>
      </c>
      <c r="C530" s="1" t="n">
        <v>45988</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6069-2023</t>
        </is>
      </c>
      <c r="B531" s="1" t="n">
        <v>44964.5115162037</v>
      </c>
      <c r="C531" s="1" t="n">
        <v>45988</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47965-2025</t>
        </is>
      </c>
      <c r="B532" s="1" t="n">
        <v>45932.59597222223</v>
      </c>
      <c r="C532" s="1" t="n">
        <v>45988</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32633-2023</t>
        </is>
      </c>
      <c r="B533" s="1" t="n">
        <v>45121.58699074074</v>
      </c>
      <c r="C533" s="1" t="n">
        <v>45988</v>
      </c>
      <c r="D533" t="inlineStr">
        <is>
          <t>KALMAR LÄN</t>
        </is>
      </c>
      <c r="E533" t="inlineStr">
        <is>
          <t>VIMMERBY</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37668-2025</t>
        </is>
      </c>
      <c r="B534" s="1" t="n">
        <v>45880.51550925926</v>
      </c>
      <c r="C534" s="1" t="n">
        <v>45988</v>
      </c>
      <c r="D534" t="inlineStr">
        <is>
          <t>KALMAR LÄN</t>
        </is>
      </c>
      <c r="E534" t="inlineStr">
        <is>
          <t>VIMMERBY</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49461-2023</t>
        </is>
      </c>
      <c r="B535" s="1" t="n">
        <v>45211.52642361111</v>
      </c>
      <c r="C535" s="1" t="n">
        <v>45988</v>
      </c>
      <c r="D535" t="inlineStr">
        <is>
          <t>KALMAR LÄN</t>
        </is>
      </c>
      <c r="E535" t="inlineStr">
        <is>
          <t>VIMMERBY</t>
        </is>
      </c>
      <c r="G535" t="n">
        <v>1.5</v>
      </c>
      <c r="H535" t="n">
        <v>0</v>
      </c>
      <c r="I535" t="n">
        <v>0</v>
      </c>
      <c r="J535" t="n">
        <v>0</v>
      </c>
      <c r="K535" t="n">
        <v>0</v>
      </c>
      <c r="L535" t="n">
        <v>0</v>
      </c>
      <c r="M535" t="n">
        <v>0</v>
      </c>
      <c r="N535" t="n">
        <v>0</v>
      </c>
      <c r="O535" t="n">
        <v>0</v>
      </c>
      <c r="P535" t="n">
        <v>0</v>
      </c>
      <c r="Q535" t="n">
        <v>0</v>
      </c>
      <c r="R535" s="2" t="inlineStr"/>
    </row>
    <row r="536" ht="15" customHeight="1">
      <c r="A536" t="inlineStr">
        <is>
          <t>A 37939-2025</t>
        </is>
      </c>
      <c r="B536" s="1" t="n">
        <v>45881.59877314815</v>
      </c>
      <c r="C536" s="1" t="n">
        <v>45988</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37866-2025</t>
        </is>
      </c>
      <c r="B537" s="1" t="n">
        <v>45881</v>
      </c>
      <c r="C537" s="1" t="n">
        <v>45988</v>
      </c>
      <c r="D537" t="inlineStr">
        <is>
          <t>KALMAR LÄN</t>
        </is>
      </c>
      <c r="E537" t="inlineStr">
        <is>
          <t>VIMMERBY</t>
        </is>
      </c>
      <c r="G537" t="n">
        <v>3.4</v>
      </c>
      <c r="H537" t="n">
        <v>0</v>
      </c>
      <c r="I537" t="n">
        <v>0</v>
      </c>
      <c r="J537" t="n">
        <v>0</v>
      </c>
      <c r="K537" t="n">
        <v>0</v>
      </c>
      <c r="L537" t="n">
        <v>0</v>
      </c>
      <c r="M537" t="n">
        <v>0</v>
      </c>
      <c r="N537" t="n">
        <v>0</v>
      </c>
      <c r="O537" t="n">
        <v>0</v>
      </c>
      <c r="P537" t="n">
        <v>0</v>
      </c>
      <c r="Q537" t="n">
        <v>0</v>
      </c>
      <c r="R537" s="2" t="inlineStr"/>
    </row>
    <row r="538" ht="15" customHeight="1">
      <c r="A538" t="inlineStr">
        <is>
          <t>A 23095-2023</t>
        </is>
      </c>
      <c r="B538" s="1" t="n">
        <v>45075.43059027778</v>
      </c>
      <c r="C538" s="1" t="n">
        <v>45988</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11429-2022</t>
        </is>
      </c>
      <c r="B539" s="1" t="n">
        <v>44630</v>
      </c>
      <c r="C539" s="1" t="n">
        <v>45988</v>
      </c>
      <c r="D539" t="inlineStr">
        <is>
          <t>KALMAR LÄN</t>
        </is>
      </c>
      <c r="E539" t="inlineStr">
        <is>
          <t>VIMMERBY</t>
        </is>
      </c>
      <c r="G539" t="n">
        <v>2.6</v>
      </c>
      <c r="H539" t="n">
        <v>0</v>
      </c>
      <c r="I539" t="n">
        <v>0</v>
      </c>
      <c r="J539" t="n">
        <v>0</v>
      </c>
      <c r="K539" t="n">
        <v>0</v>
      </c>
      <c r="L539" t="n">
        <v>0</v>
      </c>
      <c r="M539" t="n">
        <v>0</v>
      </c>
      <c r="N539" t="n">
        <v>0</v>
      </c>
      <c r="O539" t="n">
        <v>0</v>
      </c>
      <c r="P539" t="n">
        <v>0</v>
      </c>
      <c r="Q539" t="n">
        <v>0</v>
      </c>
      <c r="R539" s="2" t="inlineStr"/>
    </row>
    <row r="540" ht="15" customHeight="1">
      <c r="A540" t="inlineStr">
        <is>
          <t>A 47955-2025</t>
        </is>
      </c>
      <c r="B540" s="1" t="n">
        <v>45932.58896990741</v>
      </c>
      <c r="C540" s="1" t="n">
        <v>45988</v>
      </c>
      <c r="D540" t="inlineStr">
        <is>
          <t>KALMAR LÄN</t>
        </is>
      </c>
      <c r="E540" t="inlineStr">
        <is>
          <t>VIMMERBY</t>
        </is>
      </c>
      <c r="G540" t="n">
        <v>3.4</v>
      </c>
      <c r="H540" t="n">
        <v>0</v>
      </c>
      <c r="I540" t="n">
        <v>0</v>
      </c>
      <c r="J540" t="n">
        <v>0</v>
      </c>
      <c r="K540" t="n">
        <v>0</v>
      </c>
      <c r="L540" t="n">
        <v>0</v>
      </c>
      <c r="M540" t="n">
        <v>0</v>
      </c>
      <c r="N540" t="n">
        <v>0</v>
      </c>
      <c r="O540" t="n">
        <v>0</v>
      </c>
      <c r="P540" t="n">
        <v>0</v>
      </c>
      <c r="Q540" t="n">
        <v>0</v>
      </c>
      <c r="R540" s="2" t="inlineStr"/>
    </row>
    <row r="541" ht="15" customHeight="1">
      <c r="A541" t="inlineStr">
        <is>
          <t>A 11141-2024</t>
        </is>
      </c>
      <c r="B541" s="1" t="n">
        <v>45371.45865740741</v>
      </c>
      <c r="C541" s="1" t="n">
        <v>45988</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28395-2023</t>
        </is>
      </c>
      <c r="B542" s="1" t="n">
        <v>45100.4062962963</v>
      </c>
      <c r="C542" s="1" t="n">
        <v>45988</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34597-2022</t>
        </is>
      </c>
      <c r="B543" s="1" t="n">
        <v>44795</v>
      </c>
      <c r="C543" s="1" t="n">
        <v>45988</v>
      </c>
      <c r="D543" t="inlineStr">
        <is>
          <t>KALMAR LÄN</t>
        </is>
      </c>
      <c r="E543" t="inlineStr">
        <is>
          <t>VIMMERBY</t>
        </is>
      </c>
      <c r="G543" t="n">
        <v>2.2</v>
      </c>
      <c r="H543" t="n">
        <v>0</v>
      </c>
      <c r="I543" t="n">
        <v>0</v>
      </c>
      <c r="J543" t="n">
        <v>0</v>
      </c>
      <c r="K543" t="n">
        <v>0</v>
      </c>
      <c r="L543" t="n">
        <v>0</v>
      </c>
      <c r="M543" t="n">
        <v>0</v>
      </c>
      <c r="N543" t="n">
        <v>0</v>
      </c>
      <c r="O543" t="n">
        <v>0</v>
      </c>
      <c r="P543" t="n">
        <v>0</v>
      </c>
      <c r="Q543" t="n">
        <v>0</v>
      </c>
      <c r="R543" s="2" t="inlineStr"/>
    </row>
    <row r="544" ht="15" customHeight="1">
      <c r="A544" t="inlineStr">
        <is>
          <t>A 48723-2025</t>
        </is>
      </c>
      <c r="B544" s="1" t="n">
        <v>45936.65121527778</v>
      </c>
      <c r="C544" s="1" t="n">
        <v>45988</v>
      </c>
      <c r="D544" t="inlineStr">
        <is>
          <t>KALMAR LÄN</t>
        </is>
      </c>
      <c r="E544" t="inlineStr">
        <is>
          <t>VIMMERBY</t>
        </is>
      </c>
      <c r="G544" t="n">
        <v>3</v>
      </c>
      <c r="H544" t="n">
        <v>0</v>
      </c>
      <c r="I544" t="n">
        <v>0</v>
      </c>
      <c r="J544" t="n">
        <v>0</v>
      </c>
      <c r="K544" t="n">
        <v>0</v>
      </c>
      <c r="L544" t="n">
        <v>0</v>
      </c>
      <c r="M544" t="n">
        <v>0</v>
      </c>
      <c r="N544" t="n">
        <v>0</v>
      </c>
      <c r="O544" t="n">
        <v>0</v>
      </c>
      <c r="P544" t="n">
        <v>0</v>
      </c>
      <c r="Q544" t="n">
        <v>0</v>
      </c>
      <c r="R544" s="2" t="inlineStr"/>
    </row>
    <row r="545" ht="15" customHeight="1">
      <c r="A545" t="inlineStr">
        <is>
          <t>A 38964-2025</t>
        </is>
      </c>
      <c r="B545" s="1" t="n">
        <v>45887.68759259259</v>
      </c>
      <c r="C545" s="1" t="n">
        <v>45988</v>
      </c>
      <c r="D545" t="inlineStr">
        <is>
          <t>KALMAR LÄN</t>
        </is>
      </c>
      <c r="E545" t="inlineStr">
        <is>
          <t>VIMMERBY</t>
        </is>
      </c>
      <c r="G545" t="n">
        <v>7.5</v>
      </c>
      <c r="H545" t="n">
        <v>0</v>
      </c>
      <c r="I545" t="n">
        <v>0</v>
      </c>
      <c r="J545" t="n">
        <v>0</v>
      </c>
      <c r="K545" t="n">
        <v>0</v>
      </c>
      <c r="L545" t="n">
        <v>0</v>
      </c>
      <c r="M545" t="n">
        <v>0</v>
      </c>
      <c r="N545" t="n">
        <v>0</v>
      </c>
      <c r="O545" t="n">
        <v>0</v>
      </c>
      <c r="P545" t="n">
        <v>0</v>
      </c>
      <c r="Q545" t="n">
        <v>0</v>
      </c>
      <c r="R545" s="2" t="inlineStr"/>
    </row>
    <row r="546" ht="15" customHeight="1">
      <c r="A546" t="inlineStr">
        <is>
          <t>A 48712-2025</t>
        </is>
      </c>
      <c r="B546" s="1" t="n">
        <v>45936.63373842592</v>
      </c>
      <c r="C546" s="1" t="n">
        <v>45988</v>
      </c>
      <c r="D546" t="inlineStr">
        <is>
          <t>KALMAR LÄN</t>
        </is>
      </c>
      <c r="E546" t="inlineStr">
        <is>
          <t>VIMMERBY</t>
        </is>
      </c>
      <c r="G546" t="n">
        <v>3</v>
      </c>
      <c r="H546" t="n">
        <v>0</v>
      </c>
      <c r="I546" t="n">
        <v>0</v>
      </c>
      <c r="J546" t="n">
        <v>0</v>
      </c>
      <c r="K546" t="n">
        <v>0</v>
      </c>
      <c r="L546" t="n">
        <v>0</v>
      </c>
      <c r="M546" t="n">
        <v>0</v>
      </c>
      <c r="N546" t="n">
        <v>0</v>
      </c>
      <c r="O546" t="n">
        <v>0</v>
      </c>
      <c r="P546" t="n">
        <v>0</v>
      </c>
      <c r="Q546" t="n">
        <v>0</v>
      </c>
      <c r="R546" s="2" t="inlineStr"/>
    </row>
    <row r="547" ht="15" customHeight="1">
      <c r="A547" t="inlineStr">
        <is>
          <t>A 64428-2023</t>
        </is>
      </c>
      <c r="B547" s="1" t="n">
        <v>45280.66769675926</v>
      </c>
      <c r="C547" s="1" t="n">
        <v>45988</v>
      </c>
      <c r="D547" t="inlineStr">
        <is>
          <t>KALMAR LÄN</t>
        </is>
      </c>
      <c r="E547" t="inlineStr">
        <is>
          <t>VIMMERBY</t>
        </is>
      </c>
      <c r="G547" t="n">
        <v>1.2</v>
      </c>
      <c r="H547" t="n">
        <v>0</v>
      </c>
      <c r="I547" t="n">
        <v>0</v>
      </c>
      <c r="J547" t="n">
        <v>0</v>
      </c>
      <c r="K547" t="n">
        <v>0</v>
      </c>
      <c r="L547" t="n">
        <v>0</v>
      </c>
      <c r="M547" t="n">
        <v>0</v>
      </c>
      <c r="N547" t="n">
        <v>0</v>
      </c>
      <c r="O547" t="n">
        <v>0</v>
      </c>
      <c r="P547" t="n">
        <v>0</v>
      </c>
      <c r="Q547" t="n">
        <v>0</v>
      </c>
      <c r="R547" s="2" t="inlineStr"/>
    </row>
    <row r="548" ht="15" customHeight="1">
      <c r="A548" t="inlineStr">
        <is>
          <t>A 30588-2023</t>
        </is>
      </c>
      <c r="B548" s="1" t="n">
        <v>45112.33599537037</v>
      </c>
      <c r="C548" s="1" t="n">
        <v>45988</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30503-2023</t>
        </is>
      </c>
      <c r="B549" s="1" t="n">
        <v>45111</v>
      </c>
      <c r="C549" s="1" t="n">
        <v>45988</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48408-2025</t>
        </is>
      </c>
      <c r="B550" s="1" t="n">
        <v>45934.40527777778</v>
      </c>
      <c r="C550" s="1" t="n">
        <v>45988</v>
      </c>
      <c r="D550" t="inlineStr">
        <is>
          <t>KALMAR LÄN</t>
        </is>
      </c>
      <c r="E550" t="inlineStr">
        <is>
          <t>VIMMERBY</t>
        </is>
      </c>
      <c r="G550" t="n">
        <v>2.4</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45988</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47263-2023</t>
        </is>
      </c>
      <c r="B552" s="1" t="n">
        <v>45202.4209837963</v>
      </c>
      <c r="C552" s="1" t="n">
        <v>45988</v>
      </c>
      <c r="D552" t="inlineStr">
        <is>
          <t>KALMAR LÄN</t>
        </is>
      </c>
      <c r="E552" t="inlineStr">
        <is>
          <t>VIMMERBY</t>
        </is>
      </c>
      <c r="G552" t="n">
        <v>1.8</v>
      </c>
      <c r="H552" t="n">
        <v>0</v>
      </c>
      <c r="I552" t="n">
        <v>0</v>
      </c>
      <c r="J552" t="n">
        <v>0</v>
      </c>
      <c r="K552" t="n">
        <v>0</v>
      </c>
      <c r="L552" t="n">
        <v>0</v>
      </c>
      <c r="M552" t="n">
        <v>0</v>
      </c>
      <c r="N552" t="n">
        <v>0</v>
      </c>
      <c r="O552" t="n">
        <v>0</v>
      </c>
      <c r="P552" t="n">
        <v>0</v>
      </c>
      <c r="Q552" t="n">
        <v>0</v>
      </c>
      <c r="R552" s="2" t="inlineStr"/>
    </row>
    <row r="553" ht="15" customHeight="1">
      <c r="A553" t="inlineStr">
        <is>
          <t>A 48409-2025</t>
        </is>
      </c>
      <c r="B553" s="1" t="n">
        <v>45934.41387731482</v>
      </c>
      <c r="C553" s="1" t="n">
        <v>45988</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58100-2024</t>
        </is>
      </c>
      <c r="B554" s="1" t="n">
        <v>45632.36706018518</v>
      </c>
      <c r="C554" s="1" t="n">
        <v>45988</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58159-2024</t>
        </is>
      </c>
      <c r="B555" s="1" t="n">
        <v>45632.44886574074</v>
      </c>
      <c r="C555" s="1" t="n">
        <v>45988</v>
      </c>
      <c r="D555" t="inlineStr">
        <is>
          <t>KALMAR LÄN</t>
        </is>
      </c>
      <c r="E555" t="inlineStr">
        <is>
          <t>VIMMERBY</t>
        </is>
      </c>
      <c r="G555" t="n">
        <v>7.5</v>
      </c>
      <c r="H555" t="n">
        <v>0</v>
      </c>
      <c r="I555" t="n">
        <v>0</v>
      </c>
      <c r="J555" t="n">
        <v>0</v>
      </c>
      <c r="K555" t="n">
        <v>0</v>
      </c>
      <c r="L555" t="n">
        <v>0</v>
      </c>
      <c r="M555" t="n">
        <v>0</v>
      </c>
      <c r="N555" t="n">
        <v>0</v>
      </c>
      <c r="O555" t="n">
        <v>0</v>
      </c>
      <c r="P555" t="n">
        <v>0</v>
      </c>
      <c r="Q555" t="n">
        <v>0</v>
      </c>
      <c r="R555" s="2" t="inlineStr"/>
    </row>
    <row r="556" ht="15" customHeight="1">
      <c r="A556" t="inlineStr">
        <is>
          <t>A 48600-2025</t>
        </is>
      </c>
      <c r="B556" s="1" t="n">
        <v>45935</v>
      </c>
      <c r="C556" s="1" t="n">
        <v>45988</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57114-2023</t>
        </is>
      </c>
      <c r="B557" s="1" t="n">
        <v>45245.36174768519</v>
      </c>
      <c r="C557" s="1" t="n">
        <v>45988</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3423-2022</t>
        </is>
      </c>
      <c r="B558" s="1" t="n">
        <v>44585.50431712963</v>
      </c>
      <c r="C558" s="1" t="n">
        <v>45988</v>
      </c>
      <c r="D558" t="inlineStr">
        <is>
          <t>KALMAR LÄN</t>
        </is>
      </c>
      <c r="E558" t="inlineStr">
        <is>
          <t>VIMMERBY</t>
        </is>
      </c>
      <c r="G558" t="n">
        <v>1.7</v>
      </c>
      <c r="H558" t="n">
        <v>0</v>
      </c>
      <c r="I558" t="n">
        <v>0</v>
      </c>
      <c r="J558" t="n">
        <v>0</v>
      </c>
      <c r="K558" t="n">
        <v>0</v>
      </c>
      <c r="L558" t="n">
        <v>0</v>
      </c>
      <c r="M558" t="n">
        <v>0</v>
      </c>
      <c r="N558" t="n">
        <v>0</v>
      </c>
      <c r="O558" t="n">
        <v>0</v>
      </c>
      <c r="P558" t="n">
        <v>0</v>
      </c>
      <c r="Q558" t="n">
        <v>0</v>
      </c>
      <c r="R558" s="2" t="inlineStr"/>
    </row>
    <row r="559" ht="15" customHeight="1">
      <c r="A559" t="inlineStr">
        <is>
          <t>A 40665-2023</t>
        </is>
      </c>
      <c r="B559" s="1" t="n">
        <v>45170</v>
      </c>
      <c r="C559" s="1" t="n">
        <v>45988</v>
      </c>
      <c r="D559" t="inlineStr">
        <is>
          <t>KALMAR LÄN</t>
        </is>
      </c>
      <c r="E559" t="inlineStr">
        <is>
          <t>VIMMERBY</t>
        </is>
      </c>
      <c r="G559" t="n">
        <v>2.6</v>
      </c>
      <c r="H559" t="n">
        <v>0</v>
      </c>
      <c r="I559" t="n">
        <v>0</v>
      </c>
      <c r="J559" t="n">
        <v>0</v>
      </c>
      <c r="K559" t="n">
        <v>0</v>
      </c>
      <c r="L559" t="n">
        <v>0</v>
      </c>
      <c r="M559" t="n">
        <v>0</v>
      </c>
      <c r="N559" t="n">
        <v>0</v>
      </c>
      <c r="O559" t="n">
        <v>0</v>
      </c>
      <c r="P559" t="n">
        <v>0</v>
      </c>
      <c r="Q559" t="n">
        <v>0</v>
      </c>
      <c r="R559" s="2" t="inlineStr"/>
    </row>
    <row r="560" ht="15" customHeight="1">
      <c r="A560" t="inlineStr">
        <is>
          <t>A 50860-2022</t>
        </is>
      </c>
      <c r="B560" s="1" t="n">
        <v>44867</v>
      </c>
      <c r="C560" s="1" t="n">
        <v>45988</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25370-2022</t>
        </is>
      </c>
      <c r="B561" s="1" t="n">
        <v>44732.3659837963</v>
      </c>
      <c r="C561" s="1" t="n">
        <v>45988</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58577-2024</t>
        </is>
      </c>
      <c r="B562" s="1" t="n">
        <v>45635.4874537037</v>
      </c>
      <c r="C562" s="1" t="n">
        <v>45988</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29440-2024</t>
        </is>
      </c>
      <c r="B563" s="1" t="n">
        <v>45483.82479166667</v>
      </c>
      <c r="C563" s="1" t="n">
        <v>45988</v>
      </c>
      <c r="D563" t="inlineStr">
        <is>
          <t>KALMAR LÄN</t>
        </is>
      </c>
      <c r="E563" t="inlineStr">
        <is>
          <t>VIMMERBY</t>
        </is>
      </c>
      <c r="G563" t="n">
        <v>4.5</v>
      </c>
      <c r="H563" t="n">
        <v>0</v>
      </c>
      <c r="I563" t="n">
        <v>0</v>
      </c>
      <c r="J563" t="n">
        <v>0</v>
      </c>
      <c r="K563" t="n">
        <v>0</v>
      </c>
      <c r="L563" t="n">
        <v>0</v>
      </c>
      <c r="M563" t="n">
        <v>0</v>
      </c>
      <c r="N563" t="n">
        <v>0</v>
      </c>
      <c r="O563" t="n">
        <v>0</v>
      </c>
      <c r="P563" t="n">
        <v>0</v>
      </c>
      <c r="Q563" t="n">
        <v>0</v>
      </c>
      <c r="R563" s="2" t="inlineStr"/>
    </row>
    <row r="564" ht="15" customHeight="1">
      <c r="A564" t="inlineStr">
        <is>
          <t>A 9129-2025</t>
        </is>
      </c>
      <c r="B564" s="1" t="n">
        <v>45713.92412037037</v>
      </c>
      <c r="C564" s="1" t="n">
        <v>45988</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22197-2024</t>
        </is>
      </c>
      <c r="B565" s="1" t="n">
        <v>45446.36774305555</v>
      </c>
      <c r="C565" s="1" t="n">
        <v>45988</v>
      </c>
      <c r="D565" t="inlineStr">
        <is>
          <t>KALMAR LÄN</t>
        </is>
      </c>
      <c r="E565" t="inlineStr">
        <is>
          <t>VIMMERBY</t>
        </is>
      </c>
      <c r="F565" t="inlineStr">
        <is>
          <t>Sveaskog</t>
        </is>
      </c>
      <c r="G565" t="n">
        <v>3.2</v>
      </c>
      <c r="H565" t="n">
        <v>0</v>
      </c>
      <c r="I565" t="n">
        <v>0</v>
      </c>
      <c r="J565" t="n">
        <v>0</v>
      </c>
      <c r="K565" t="n">
        <v>0</v>
      </c>
      <c r="L565" t="n">
        <v>0</v>
      </c>
      <c r="M565" t="n">
        <v>0</v>
      </c>
      <c r="N565" t="n">
        <v>0</v>
      </c>
      <c r="O565" t="n">
        <v>0</v>
      </c>
      <c r="P565" t="n">
        <v>0</v>
      </c>
      <c r="Q565" t="n">
        <v>0</v>
      </c>
      <c r="R565" s="2" t="inlineStr"/>
    </row>
    <row r="566" ht="15" customHeight="1">
      <c r="A566" t="inlineStr">
        <is>
          <t>A 53752-2024</t>
        </is>
      </c>
      <c r="B566" s="1" t="n">
        <v>45615.48927083334</v>
      </c>
      <c r="C566" s="1" t="n">
        <v>45988</v>
      </c>
      <c r="D566" t="inlineStr">
        <is>
          <t>KALMAR LÄN</t>
        </is>
      </c>
      <c r="E566" t="inlineStr">
        <is>
          <t>VIMMERBY</t>
        </is>
      </c>
      <c r="G566" t="n">
        <v>2.4</v>
      </c>
      <c r="H566" t="n">
        <v>0</v>
      </c>
      <c r="I566" t="n">
        <v>0</v>
      </c>
      <c r="J566" t="n">
        <v>0</v>
      </c>
      <c r="K566" t="n">
        <v>0</v>
      </c>
      <c r="L566" t="n">
        <v>0</v>
      </c>
      <c r="M566" t="n">
        <v>0</v>
      </c>
      <c r="N566" t="n">
        <v>0</v>
      </c>
      <c r="O566" t="n">
        <v>0</v>
      </c>
      <c r="P566" t="n">
        <v>0</v>
      </c>
      <c r="Q566" t="n">
        <v>0</v>
      </c>
      <c r="R566" s="2" t="inlineStr"/>
    </row>
    <row r="567" ht="15" customHeight="1">
      <c r="A567" t="inlineStr">
        <is>
          <t>A 12121-2025</t>
        </is>
      </c>
      <c r="B567" s="1" t="n">
        <v>45729.36868055556</v>
      </c>
      <c r="C567" s="1" t="n">
        <v>45988</v>
      </c>
      <c r="D567" t="inlineStr">
        <is>
          <t>KALMAR LÄN</t>
        </is>
      </c>
      <c r="E567" t="inlineStr">
        <is>
          <t>VIMMERBY</t>
        </is>
      </c>
      <c r="G567" t="n">
        <v>4.3</v>
      </c>
      <c r="H567" t="n">
        <v>0</v>
      </c>
      <c r="I567" t="n">
        <v>0</v>
      </c>
      <c r="J567" t="n">
        <v>0</v>
      </c>
      <c r="K567" t="n">
        <v>0</v>
      </c>
      <c r="L567" t="n">
        <v>0</v>
      </c>
      <c r="M567" t="n">
        <v>0</v>
      </c>
      <c r="N567" t="n">
        <v>0</v>
      </c>
      <c r="O567" t="n">
        <v>0</v>
      </c>
      <c r="P567" t="n">
        <v>0</v>
      </c>
      <c r="Q567" t="n">
        <v>0</v>
      </c>
      <c r="R567" s="2" t="inlineStr"/>
    </row>
    <row r="568" ht="15" customHeight="1">
      <c r="A568" t="inlineStr">
        <is>
          <t>A 9710-2023</t>
        </is>
      </c>
      <c r="B568" s="1" t="n">
        <v>44984</v>
      </c>
      <c r="C568" s="1" t="n">
        <v>45988</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9720-2023</t>
        </is>
      </c>
      <c r="B569" s="1" t="n">
        <v>44984</v>
      </c>
      <c r="C569" s="1" t="n">
        <v>45988</v>
      </c>
      <c r="D569" t="inlineStr">
        <is>
          <t>KALMAR LÄN</t>
        </is>
      </c>
      <c r="E569" t="inlineStr">
        <is>
          <t>VIMMERBY</t>
        </is>
      </c>
      <c r="G569" t="n">
        <v>4.4</v>
      </c>
      <c r="H569" t="n">
        <v>0</v>
      </c>
      <c r="I569" t="n">
        <v>0</v>
      </c>
      <c r="J569" t="n">
        <v>0</v>
      </c>
      <c r="K569" t="n">
        <v>0</v>
      </c>
      <c r="L569" t="n">
        <v>0</v>
      </c>
      <c r="M569" t="n">
        <v>0</v>
      </c>
      <c r="N569" t="n">
        <v>0</v>
      </c>
      <c r="O569" t="n">
        <v>0</v>
      </c>
      <c r="P569" t="n">
        <v>0</v>
      </c>
      <c r="Q569" t="n">
        <v>0</v>
      </c>
      <c r="R569" s="2" t="inlineStr"/>
    </row>
    <row r="570" ht="15" customHeight="1">
      <c r="A570" t="inlineStr">
        <is>
          <t>A 15493-2023</t>
        </is>
      </c>
      <c r="B570" s="1" t="n">
        <v>45018</v>
      </c>
      <c r="C570" s="1" t="n">
        <v>45988</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58442-2025</t>
        </is>
      </c>
      <c r="B571" s="1" t="n">
        <v>45985.61635416667</v>
      </c>
      <c r="C571" s="1" t="n">
        <v>45988</v>
      </c>
      <c r="D571" t="inlineStr">
        <is>
          <t>KALMAR LÄN</t>
        </is>
      </c>
      <c r="E571" t="inlineStr">
        <is>
          <t>VIMMERBY</t>
        </is>
      </c>
      <c r="G571" t="n">
        <v>0.8</v>
      </c>
      <c r="H571" t="n">
        <v>0</v>
      </c>
      <c r="I571" t="n">
        <v>0</v>
      </c>
      <c r="J571" t="n">
        <v>0</v>
      </c>
      <c r="K571" t="n">
        <v>0</v>
      </c>
      <c r="L571" t="n">
        <v>0</v>
      </c>
      <c r="M571" t="n">
        <v>0</v>
      </c>
      <c r="N571" t="n">
        <v>0</v>
      </c>
      <c r="O571" t="n">
        <v>0</v>
      </c>
      <c r="P571" t="n">
        <v>0</v>
      </c>
      <c r="Q571" t="n">
        <v>0</v>
      </c>
      <c r="R571" s="2" t="inlineStr"/>
    </row>
    <row r="572" ht="15" customHeight="1">
      <c r="A572" t="inlineStr">
        <is>
          <t>A 58435-2025</t>
        </is>
      </c>
      <c r="B572" s="1" t="n">
        <v>45985.61501157407</v>
      </c>
      <c r="C572" s="1" t="n">
        <v>45988</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58498-2025</t>
        </is>
      </c>
      <c r="B573" s="1" t="n">
        <v>45985.68671296296</v>
      </c>
      <c r="C573" s="1" t="n">
        <v>45988</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58501-2025</t>
        </is>
      </c>
      <c r="B574" s="1" t="n">
        <v>45985.69153935185</v>
      </c>
      <c r="C574" s="1" t="n">
        <v>45988</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58514-2025</t>
        </is>
      </c>
      <c r="B575" s="1" t="n">
        <v>45985.70513888889</v>
      </c>
      <c r="C575" s="1" t="n">
        <v>45988</v>
      </c>
      <c r="D575" t="inlineStr">
        <is>
          <t>KALMAR LÄN</t>
        </is>
      </c>
      <c r="E575" t="inlineStr">
        <is>
          <t>VIMMERBY</t>
        </is>
      </c>
      <c r="G575" t="n">
        <v>3.7</v>
      </c>
      <c r="H575" t="n">
        <v>0</v>
      </c>
      <c r="I575" t="n">
        <v>0</v>
      </c>
      <c r="J575" t="n">
        <v>0</v>
      </c>
      <c r="K575" t="n">
        <v>0</v>
      </c>
      <c r="L575" t="n">
        <v>0</v>
      </c>
      <c r="M575" t="n">
        <v>0</v>
      </c>
      <c r="N575" t="n">
        <v>0</v>
      </c>
      <c r="O575" t="n">
        <v>0</v>
      </c>
      <c r="P575" t="n">
        <v>0</v>
      </c>
      <c r="Q575" t="n">
        <v>0</v>
      </c>
      <c r="R575" s="2" t="inlineStr"/>
    </row>
    <row r="576" ht="15" customHeight="1">
      <c r="A576" t="inlineStr">
        <is>
          <t>A 29093-2023</t>
        </is>
      </c>
      <c r="B576" s="1" t="n">
        <v>45105</v>
      </c>
      <c r="C576" s="1" t="n">
        <v>45988</v>
      </c>
      <c r="D576" t="inlineStr">
        <is>
          <t>KALMAR LÄN</t>
        </is>
      </c>
      <c r="E576" t="inlineStr">
        <is>
          <t>VIMMERBY</t>
        </is>
      </c>
      <c r="G576" t="n">
        <v>2.9</v>
      </c>
      <c r="H576" t="n">
        <v>0</v>
      </c>
      <c r="I576" t="n">
        <v>0</v>
      </c>
      <c r="J576" t="n">
        <v>0</v>
      </c>
      <c r="K576" t="n">
        <v>0</v>
      </c>
      <c r="L576" t="n">
        <v>0</v>
      </c>
      <c r="M576" t="n">
        <v>0</v>
      </c>
      <c r="N576" t="n">
        <v>0</v>
      </c>
      <c r="O576" t="n">
        <v>0</v>
      </c>
      <c r="P576" t="n">
        <v>0</v>
      </c>
      <c r="Q576" t="n">
        <v>0</v>
      </c>
      <c r="R576" s="2" t="inlineStr"/>
    </row>
    <row r="577" ht="15" customHeight="1">
      <c r="A577" t="inlineStr">
        <is>
          <t>A 33352-2022</t>
        </is>
      </c>
      <c r="B577" s="1" t="n">
        <v>44788</v>
      </c>
      <c r="C577" s="1" t="n">
        <v>45988</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10674-2021</t>
        </is>
      </c>
      <c r="B578" s="1" t="n">
        <v>44258</v>
      </c>
      <c r="C578" s="1" t="n">
        <v>45988</v>
      </c>
      <c r="D578" t="inlineStr">
        <is>
          <t>KALMAR LÄN</t>
        </is>
      </c>
      <c r="E578" t="inlineStr">
        <is>
          <t>VIMMERBY</t>
        </is>
      </c>
      <c r="G578" t="n">
        <v>8.4</v>
      </c>
      <c r="H578" t="n">
        <v>0</v>
      </c>
      <c r="I578" t="n">
        <v>0</v>
      </c>
      <c r="J578" t="n">
        <v>0</v>
      </c>
      <c r="K578" t="n">
        <v>0</v>
      </c>
      <c r="L578" t="n">
        <v>0</v>
      </c>
      <c r="M578" t="n">
        <v>0</v>
      </c>
      <c r="N578" t="n">
        <v>0</v>
      </c>
      <c r="O578" t="n">
        <v>0</v>
      </c>
      <c r="P578" t="n">
        <v>0</v>
      </c>
      <c r="Q578" t="n">
        <v>0</v>
      </c>
      <c r="R578" s="2" t="inlineStr"/>
    </row>
    <row r="579" ht="15" customHeight="1">
      <c r="A579" t="inlineStr">
        <is>
          <t>A 58500-2025</t>
        </is>
      </c>
      <c r="B579" s="1" t="n">
        <v>45985.69008101852</v>
      </c>
      <c r="C579" s="1" t="n">
        <v>45988</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58503-2025</t>
        </is>
      </c>
      <c r="B580" s="1" t="n">
        <v>45985.69509259259</v>
      </c>
      <c r="C580" s="1" t="n">
        <v>45988</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58446-2025</t>
        </is>
      </c>
      <c r="B581" s="1" t="n">
        <v>45985.62168981481</v>
      </c>
      <c r="C581" s="1" t="n">
        <v>45988</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22264-2023</t>
        </is>
      </c>
      <c r="B582" s="1" t="n">
        <v>45070.3665625</v>
      </c>
      <c r="C582" s="1" t="n">
        <v>45988</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16676-2023</t>
        </is>
      </c>
      <c r="B583" s="1" t="n">
        <v>45028</v>
      </c>
      <c r="C583" s="1" t="n">
        <v>45988</v>
      </c>
      <c r="D583" t="inlineStr">
        <is>
          <t>KALMAR LÄN</t>
        </is>
      </c>
      <c r="E583" t="inlineStr">
        <is>
          <t>VIMMERBY</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6220-2025</t>
        </is>
      </c>
      <c r="B584" s="1" t="n">
        <v>45698.53725694444</v>
      </c>
      <c r="C584" s="1" t="n">
        <v>45988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53586-2025</t>
        </is>
      </c>
      <c r="B585" s="1" t="n">
        <v>45960</v>
      </c>
      <c r="C585" s="1" t="n">
        <v>45988</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49871-2025</t>
        </is>
      </c>
      <c r="B586" s="1" t="n">
        <v>45940.54104166666</v>
      </c>
      <c r="C586" s="1" t="n">
        <v>45988</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24096-2024</t>
        </is>
      </c>
      <c r="B587" s="1" t="n">
        <v>45456.59289351852</v>
      </c>
      <c r="C587" s="1" t="n">
        <v>45988</v>
      </c>
      <c r="D587" t="inlineStr">
        <is>
          <t>KALMAR LÄN</t>
        </is>
      </c>
      <c r="E587" t="inlineStr">
        <is>
          <t>VIMMERBY</t>
        </is>
      </c>
      <c r="G587" t="n">
        <v>2.3</v>
      </c>
      <c r="H587" t="n">
        <v>0</v>
      </c>
      <c r="I587" t="n">
        <v>0</v>
      </c>
      <c r="J587" t="n">
        <v>0</v>
      </c>
      <c r="K587" t="n">
        <v>0</v>
      </c>
      <c r="L587" t="n">
        <v>0</v>
      </c>
      <c r="M587" t="n">
        <v>0</v>
      </c>
      <c r="N587" t="n">
        <v>0</v>
      </c>
      <c r="O587" t="n">
        <v>0</v>
      </c>
      <c r="P587" t="n">
        <v>0</v>
      </c>
      <c r="Q587" t="n">
        <v>0</v>
      </c>
      <c r="R587" s="2" t="inlineStr"/>
    </row>
    <row r="588" ht="15" customHeight="1">
      <c r="A588" t="inlineStr">
        <is>
          <t>A 29013-2024</t>
        </is>
      </c>
      <c r="B588" s="1" t="n">
        <v>45481.55984953704</v>
      </c>
      <c r="C588" s="1" t="n">
        <v>45988</v>
      </c>
      <c r="D588" t="inlineStr">
        <is>
          <t>KALMAR LÄN</t>
        </is>
      </c>
      <c r="E588" t="inlineStr">
        <is>
          <t>VIMMERBY</t>
        </is>
      </c>
      <c r="G588" t="n">
        <v>3.4</v>
      </c>
      <c r="H588" t="n">
        <v>0</v>
      </c>
      <c r="I588" t="n">
        <v>0</v>
      </c>
      <c r="J588" t="n">
        <v>0</v>
      </c>
      <c r="K588" t="n">
        <v>0</v>
      </c>
      <c r="L588" t="n">
        <v>0</v>
      </c>
      <c r="M588" t="n">
        <v>0</v>
      </c>
      <c r="N588" t="n">
        <v>0</v>
      </c>
      <c r="O588" t="n">
        <v>0</v>
      </c>
      <c r="P588" t="n">
        <v>0</v>
      </c>
      <c r="Q588" t="n">
        <v>0</v>
      </c>
      <c r="R588" s="2" t="inlineStr"/>
    </row>
    <row r="589" ht="15" customHeight="1">
      <c r="A589" t="inlineStr">
        <is>
          <t>A 6066-2023</t>
        </is>
      </c>
      <c r="B589" s="1" t="n">
        <v>44964.50894675926</v>
      </c>
      <c r="C589" s="1" t="n">
        <v>45988</v>
      </c>
      <c r="D589" t="inlineStr">
        <is>
          <t>KALMAR LÄN</t>
        </is>
      </c>
      <c r="E589" t="inlineStr">
        <is>
          <t>VIMMERBY</t>
        </is>
      </c>
      <c r="G589" t="n">
        <v>2.8</v>
      </c>
      <c r="H589" t="n">
        <v>0</v>
      </c>
      <c r="I589" t="n">
        <v>0</v>
      </c>
      <c r="J589" t="n">
        <v>0</v>
      </c>
      <c r="K589" t="n">
        <v>0</v>
      </c>
      <c r="L589" t="n">
        <v>0</v>
      </c>
      <c r="M589" t="n">
        <v>0</v>
      </c>
      <c r="N589" t="n">
        <v>0</v>
      </c>
      <c r="O589" t="n">
        <v>0</v>
      </c>
      <c r="P589" t="n">
        <v>0</v>
      </c>
      <c r="Q589" t="n">
        <v>0</v>
      </c>
      <c r="R589" s="2" t="inlineStr"/>
    </row>
    <row r="590" ht="15" customHeight="1">
      <c r="A590" t="inlineStr">
        <is>
          <t>A 59955-2023</t>
        </is>
      </c>
      <c r="B590" s="1" t="n">
        <v>45257.70313657408</v>
      </c>
      <c r="C590" s="1" t="n">
        <v>45988</v>
      </c>
      <c r="D590" t="inlineStr">
        <is>
          <t>KALMAR LÄN</t>
        </is>
      </c>
      <c r="E590" t="inlineStr">
        <is>
          <t>VIMMERBY</t>
        </is>
      </c>
      <c r="G590" t="n">
        <v>13.8</v>
      </c>
      <c r="H590" t="n">
        <v>0</v>
      </c>
      <c r="I590" t="n">
        <v>0</v>
      </c>
      <c r="J590" t="n">
        <v>0</v>
      </c>
      <c r="K590" t="n">
        <v>0</v>
      </c>
      <c r="L590" t="n">
        <v>0</v>
      </c>
      <c r="M590" t="n">
        <v>0</v>
      </c>
      <c r="N590" t="n">
        <v>0</v>
      </c>
      <c r="O590" t="n">
        <v>0</v>
      </c>
      <c r="P590" t="n">
        <v>0</v>
      </c>
      <c r="Q590" t="n">
        <v>0</v>
      </c>
      <c r="R590" s="2" t="inlineStr"/>
    </row>
    <row r="591" ht="15" customHeight="1">
      <c r="A591" t="inlineStr">
        <is>
          <t>A 36040-2024</t>
        </is>
      </c>
      <c r="B591" s="1" t="n">
        <v>45533.60232638889</v>
      </c>
      <c r="C591" s="1" t="n">
        <v>45988</v>
      </c>
      <c r="D591" t="inlineStr">
        <is>
          <t>KALMAR LÄN</t>
        </is>
      </c>
      <c r="E591" t="inlineStr">
        <is>
          <t>VIMMERBY</t>
        </is>
      </c>
      <c r="F591" t="inlineStr">
        <is>
          <t>Kommuner</t>
        </is>
      </c>
      <c r="G591" t="n">
        <v>3.6</v>
      </c>
      <c r="H591" t="n">
        <v>0</v>
      </c>
      <c r="I591" t="n">
        <v>0</v>
      </c>
      <c r="J591" t="n">
        <v>0</v>
      </c>
      <c r="K591" t="n">
        <v>0</v>
      </c>
      <c r="L591" t="n">
        <v>0</v>
      </c>
      <c r="M591" t="n">
        <v>0</v>
      </c>
      <c r="N591" t="n">
        <v>0</v>
      </c>
      <c r="O591" t="n">
        <v>0</v>
      </c>
      <c r="P591" t="n">
        <v>0</v>
      </c>
      <c r="Q591" t="n">
        <v>0</v>
      </c>
      <c r="R591" s="2" t="inlineStr"/>
    </row>
    <row r="592" ht="15" customHeight="1">
      <c r="A592" t="inlineStr">
        <is>
          <t>A 36043-2024</t>
        </is>
      </c>
      <c r="B592" s="1" t="n">
        <v>45533.60770833334</v>
      </c>
      <c r="C592" s="1" t="n">
        <v>45988</v>
      </c>
      <c r="D592" t="inlineStr">
        <is>
          <t>KALMAR LÄN</t>
        </is>
      </c>
      <c r="E592" t="inlineStr">
        <is>
          <t>VIMMERBY</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12890-2023</t>
        </is>
      </c>
      <c r="B593" s="1" t="n">
        <v>45001.59209490741</v>
      </c>
      <c r="C593" s="1" t="n">
        <v>45988</v>
      </c>
      <c r="D593" t="inlineStr">
        <is>
          <t>KALMAR LÄN</t>
        </is>
      </c>
      <c r="E593" t="inlineStr">
        <is>
          <t>VIMMERBY</t>
        </is>
      </c>
      <c r="G593" t="n">
        <v>2.8</v>
      </c>
      <c r="H593" t="n">
        <v>0</v>
      </c>
      <c r="I593" t="n">
        <v>0</v>
      </c>
      <c r="J593" t="n">
        <v>0</v>
      </c>
      <c r="K593" t="n">
        <v>0</v>
      </c>
      <c r="L593" t="n">
        <v>0</v>
      </c>
      <c r="M593" t="n">
        <v>0</v>
      </c>
      <c r="N593" t="n">
        <v>0</v>
      </c>
      <c r="O593" t="n">
        <v>0</v>
      </c>
      <c r="P593" t="n">
        <v>0</v>
      </c>
      <c r="Q593" t="n">
        <v>0</v>
      </c>
      <c r="R593" s="2" t="inlineStr"/>
    </row>
    <row r="594" ht="15" customHeight="1">
      <c r="A594" t="inlineStr">
        <is>
          <t>A 57728-2025</t>
        </is>
      </c>
      <c r="B594" s="1" t="n">
        <v>45981</v>
      </c>
      <c r="C594" s="1" t="n">
        <v>45988</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43594-2024</t>
        </is>
      </c>
      <c r="B595" s="1" t="n">
        <v>45569.44295138889</v>
      </c>
      <c r="C595" s="1" t="n">
        <v>45988</v>
      </c>
      <c r="D595" t="inlineStr">
        <is>
          <t>KALMAR LÄN</t>
        </is>
      </c>
      <c r="E595" t="inlineStr">
        <is>
          <t>VIMMERBY</t>
        </is>
      </c>
      <c r="G595" t="n">
        <v>3.9</v>
      </c>
      <c r="H595" t="n">
        <v>0</v>
      </c>
      <c r="I595" t="n">
        <v>0</v>
      </c>
      <c r="J595" t="n">
        <v>0</v>
      </c>
      <c r="K595" t="n">
        <v>0</v>
      </c>
      <c r="L595" t="n">
        <v>0</v>
      </c>
      <c r="M595" t="n">
        <v>0</v>
      </c>
      <c r="N595" t="n">
        <v>0</v>
      </c>
      <c r="O595" t="n">
        <v>0</v>
      </c>
      <c r="P595" t="n">
        <v>0</v>
      </c>
      <c r="Q595" t="n">
        <v>0</v>
      </c>
      <c r="R595" s="2" t="inlineStr"/>
    </row>
    <row r="596" ht="15" customHeight="1">
      <c r="A596" t="inlineStr">
        <is>
          <t>A 53482-2022</t>
        </is>
      </c>
      <c r="B596" s="1" t="n">
        <v>44879</v>
      </c>
      <c r="C596" s="1" t="n">
        <v>45988</v>
      </c>
      <c r="D596" t="inlineStr">
        <is>
          <t>KALMAR LÄN</t>
        </is>
      </c>
      <c r="E596" t="inlineStr">
        <is>
          <t>VIMMERBY</t>
        </is>
      </c>
      <c r="G596" t="n">
        <v>10.1</v>
      </c>
      <c r="H596" t="n">
        <v>0</v>
      </c>
      <c r="I596" t="n">
        <v>0</v>
      </c>
      <c r="J596" t="n">
        <v>0</v>
      </c>
      <c r="K596" t="n">
        <v>0</v>
      </c>
      <c r="L596" t="n">
        <v>0</v>
      </c>
      <c r="M596" t="n">
        <v>0</v>
      </c>
      <c r="N596" t="n">
        <v>0</v>
      </c>
      <c r="O596" t="n">
        <v>0</v>
      </c>
      <c r="P596" t="n">
        <v>0</v>
      </c>
      <c r="Q596" t="n">
        <v>0</v>
      </c>
      <c r="R596" s="2" t="inlineStr"/>
    </row>
    <row r="597" ht="15" customHeight="1">
      <c r="A597" t="inlineStr">
        <is>
          <t>A 58841-2025</t>
        </is>
      </c>
      <c r="B597" s="1" t="n">
        <v>45987.36275462963</v>
      </c>
      <c r="C597" s="1" t="n">
        <v>45988</v>
      </c>
      <c r="D597" t="inlineStr">
        <is>
          <t>KALMAR LÄN</t>
        </is>
      </c>
      <c r="E597" t="inlineStr">
        <is>
          <t>VIMMERBY</t>
        </is>
      </c>
      <c r="G597" t="n">
        <v>3.5</v>
      </c>
      <c r="H597" t="n">
        <v>0</v>
      </c>
      <c r="I597" t="n">
        <v>0</v>
      </c>
      <c r="J597" t="n">
        <v>0</v>
      </c>
      <c r="K597" t="n">
        <v>0</v>
      </c>
      <c r="L597" t="n">
        <v>0</v>
      </c>
      <c r="M597" t="n">
        <v>0</v>
      </c>
      <c r="N597" t="n">
        <v>0</v>
      </c>
      <c r="O597" t="n">
        <v>0</v>
      </c>
      <c r="P597" t="n">
        <v>0</v>
      </c>
      <c r="Q597" t="n">
        <v>0</v>
      </c>
      <c r="R597" s="2" t="inlineStr"/>
    </row>
    <row r="598" ht="15" customHeight="1">
      <c r="A598" t="inlineStr">
        <is>
          <t>A 27761-2024</t>
        </is>
      </c>
      <c r="B598" s="1" t="n">
        <v>45475.49018518518</v>
      </c>
      <c r="C598" s="1" t="n">
        <v>45988</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64203-2021</t>
        </is>
      </c>
      <c r="B599" s="1" t="n">
        <v>44510.60921296296</v>
      </c>
      <c r="C599" s="1" t="n">
        <v>45988</v>
      </c>
      <c r="D599" t="inlineStr">
        <is>
          <t>KALMAR LÄN</t>
        </is>
      </c>
      <c r="E599" t="inlineStr">
        <is>
          <t>VIMMERBY</t>
        </is>
      </c>
      <c r="F599" t="inlineStr">
        <is>
          <t>Övriga Aktiebolag</t>
        </is>
      </c>
      <c r="G599" t="n">
        <v>5.4</v>
      </c>
      <c r="H599" t="n">
        <v>0</v>
      </c>
      <c r="I599" t="n">
        <v>0</v>
      </c>
      <c r="J599" t="n">
        <v>0</v>
      </c>
      <c r="K599" t="n">
        <v>0</v>
      </c>
      <c r="L599" t="n">
        <v>0</v>
      </c>
      <c r="M599" t="n">
        <v>0</v>
      </c>
      <c r="N599" t="n">
        <v>0</v>
      </c>
      <c r="O599" t="n">
        <v>0</v>
      </c>
      <c r="P599" t="n">
        <v>0</v>
      </c>
      <c r="Q599" t="n">
        <v>0</v>
      </c>
      <c r="R599" s="2" t="inlineStr"/>
    </row>
    <row r="600" ht="15" customHeight="1">
      <c r="A600" t="inlineStr">
        <is>
          <t>A 50544-2025</t>
        </is>
      </c>
      <c r="B600" s="1" t="n">
        <v>45945.50736111111</v>
      </c>
      <c r="C600" s="1" t="n">
        <v>45988</v>
      </c>
      <c r="D600" t="inlineStr">
        <is>
          <t>KALMAR LÄN</t>
        </is>
      </c>
      <c r="E600" t="inlineStr">
        <is>
          <t>VIMMERBY</t>
        </is>
      </c>
      <c r="G600" t="n">
        <v>0.8</v>
      </c>
      <c r="H600" t="n">
        <v>0</v>
      </c>
      <c r="I600" t="n">
        <v>0</v>
      </c>
      <c r="J600" t="n">
        <v>0</v>
      </c>
      <c r="K600" t="n">
        <v>0</v>
      </c>
      <c r="L600" t="n">
        <v>0</v>
      </c>
      <c r="M600" t="n">
        <v>0</v>
      </c>
      <c r="N600" t="n">
        <v>0</v>
      </c>
      <c r="O600" t="n">
        <v>0</v>
      </c>
      <c r="P600" t="n">
        <v>0</v>
      </c>
      <c r="Q600" t="n">
        <v>0</v>
      </c>
      <c r="R600" s="2" t="inlineStr"/>
    </row>
    <row r="601" ht="15" customHeight="1">
      <c r="A601" t="inlineStr">
        <is>
          <t>A 5720-2023</t>
        </is>
      </c>
      <c r="B601" s="1" t="n">
        <v>44961</v>
      </c>
      <c r="C601" s="1" t="n">
        <v>45988</v>
      </c>
      <c r="D601" t="inlineStr">
        <is>
          <t>KALMAR LÄN</t>
        </is>
      </c>
      <c r="E601" t="inlineStr">
        <is>
          <t>VIMMERBY</t>
        </is>
      </c>
      <c r="G601" t="n">
        <v>1.4</v>
      </c>
      <c r="H601" t="n">
        <v>0</v>
      </c>
      <c r="I601" t="n">
        <v>0</v>
      </c>
      <c r="J601" t="n">
        <v>0</v>
      </c>
      <c r="K601" t="n">
        <v>0</v>
      </c>
      <c r="L601" t="n">
        <v>0</v>
      </c>
      <c r="M601" t="n">
        <v>0</v>
      </c>
      <c r="N601" t="n">
        <v>0</v>
      </c>
      <c r="O601" t="n">
        <v>0</v>
      </c>
      <c r="P601" t="n">
        <v>0</v>
      </c>
      <c r="Q601" t="n">
        <v>0</v>
      </c>
      <c r="R601" s="2" t="inlineStr"/>
    </row>
    <row r="602" ht="15" customHeight="1">
      <c r="A602" t="inlineStr">
        <is>
          <t>A 9643-2023</t>
        </is>
      </c>
      <c r="B602" s="1" t="n">
        <v>44984</v>
      </c>
      <c r="C602" s="1" t="n">
        <v>45988</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25728-2023</t>
        </is>
      </c>
      <c r="B603" s="1" t="n">
        <v>45090.38012731481</v>
      </c>
      <c r="C603" s="1" t="n">
        <v>45988</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58858-2025</t>
        </is>
      </c>
      <c r="B604" s="1" t="n">
        <v>45987.4243287037</v>
      </c>
      <c r="C604" s="1" t="n">
        <v>45988</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41311-2023</t>
        </is>
      </c>
      <c r="B605" s="1" t="n">
        <v>45174</v>
      </c>
      <c r="C605" s="1" t="n">
        <v>45988</v>
      </c>
      <c r="D605" t="inlineStr">
        <is>
          <t>KALMAR LÄN</t>
        </is>
      </c>
      <c r="E605" t="inlineStr">
        <is>
          <t>VIMMERBY</t>
        </is>
      </c>
      <c r="G605" t="n">
        <v>0.7</v>
      </c>
      <c r="H605" t="n">
        <v>0</v>
      </c>
      <c r="I605" t="n">
        <v>0</v>
      </c>
      <c r="J605" t="n">
        <v>0</v>
      </c>
      <c r="K605" t="n">
        <v>0</v>
      </c>
      <c r="L605" t="n">
        <v>0</v>
      </c>
      <c r="M605" t="n">
        <v>0</v>
      </c>
      <c r="N605" t="n">
        <v>0</v>
      </c>
      <c r="O605" t="n">
        <v>0</v>
      </c>
      <c r="P605" t="n">
        <v>0</v>
      </c>
      <c r="Q605" t="n">
        <v>0</v>
      </c>
      <c r="R605" s="2" t="inlineStr"/>
    </row>
    <row r="606" ht="15" customHeight="1">
      <c r="A606" t="inlineStr">
        <is>
          <t>A 26318-2023</t>
        </is>
      </c>
      <c r="B606" s="1" t="n">
        <v>45091.67936342592</v>
      </c>
      <c r="C606" s="1" t="n">
        <v>45988</v>
      </c>
      <c r="D606" t="inlineStr">
        <is>
          <t>KALMAR LÄN</t>
        </is>
      </c>
      <c r="E606" t="inlineStr">
        <is>
          <t>VIMMERBY</t>
        </is>
      </c>
      <c r="G606" t="n">
        <v>3.8</v>
      </c>
      <c r="H606" t="n">
        <v>0</v>
      </c>
      <c r="I606" t="n">
        <v>0</v>
      </c>
      <c r="J606" t="n">
        <v>0</v>
      </c>
      <c r="K606" t="n">
        <v>0</v>
      </c>
      <c r="L606" t="n">
        <v>0</v>
      </c>
      <c r="M606" t="n">
        <v>0</v>
      </c>
      <c r="N606" t="n">
        <v>0</v>
      </c>
      <c r="O606" t="n">
        <v>0</v>
      </c>
      <c r="P606" t="n">
        <v>0</v>
      </c>
      <c r="Q606" t="n">
        <v>0</v>
      </c>
      <c r="R606" s="2" t="inlineStr"/>
    </row>
    <row r="607" ht="15" customHeight="1">
      <c r="A607" t="inlineStr">
        <is>
          <t>A 50324-2025</t>
        </is>
      </c>
      <c r="B607" s="1" t="n">
        <v>45944.45962962963</v>
      </c>
      <c r="C607" s="1" t="n">
        <v>45988</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61355-2024</t>
        </is>
      </c>
      <c r="B608" s="1" t="n">
        <v>45646.38200231481</v>
      </c>
      <c r="C608" s="1" t="n">
        <v>45988</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36802-2021</t>
        </is>
      </c>
      <c r="B609" s="1" t="n">
        <v>44392</v>
      </c>
      <c r="C609" s="1" t="n">
        <v>45988</v>
      </c>
      <c r="D609" t="inlineStr">
        <is>
          <t>KALMAR LÄN</t>
        </is>
      </c>
      <c r="E609" t="inlineStr">
        <is>
          <t>VIMMERBY</t>
        </is>
      </c>
      <c r="F609" t="inlineStr">
        <is>
          <t>Sveaskog</t>
        </is>
      </c>
      <c r="G609" t="n">
        <v>4.6</v>
      </c>
      <c r="H609" t="n">
        <v>0</v>
      </c>
      <c r="I609" t="n">
        <v>0</v>
      </c>
      <c r="J609" t="n">
        <v>0</v>
      </c>
      <c r="K609" t="n">
        <v>0</v>
      </c>
      <c r="L609" t="n">
        <v>0</v>
      </c>
      <c r="M609" t="n">
        <v>0</v>
      </c>
      <c r="N609" t="n">
        <v>0</v>
      </c>
      <c r="O609" t="n">
        <v>0</v>
      </c>
      <c r="P609" t="n">
        <v>0</v>
      </c>
      <c r="Q609" t="n">
        <v>0</v>
      </c>
      <c r="R609" s="2" t="inlineStr"/>
    </row>
    <row r="610" ht="15" customHeight="1">
      <c r="A610" t="inlineStr">
        <is>
          <t>A 38198-2024</t>
        </is>
      </c>
      <c r="B610" s="1" t="n">
        <v>45545.49508101852</v>
      </c>
      <c r="C610" s="1" t="n">
        <v>45988</v>
      </c>
      <c r="D610" t="inlineStr">
        <is>
          <t>KALMAR LÄN</t>
        </is>
      </c>
      <c r="E610" t="inlineStr">
        <is>
          <t>VIMMERBY</t>
        </is>
      </c>
      <c r="G610" t="n">
        <v>7.9</v>
      </c>
      <c r="H610" t="n">
        <v>0</v>
      </c>
      <c r="I610" t="n">
        <v>0</v>
      </c>
      <c r="J610" t="n">
        <v>0</v>
      </c>
      <c r="K610" t="n">
        <v>0</v>
      </c>
      <c r="L610" t="n">
        <v>0</v>
      </c>
      <c r="M610" t="n">
        <v>0</v>
      </c>
      <c r="N610" t="n">
        <v>0</v>
      </c>
      <c r="O610" t="n">
        <v>0</v>
      </c>
      <c r="P610" t="n">
        <v>0</v>
      </c>
      <c r="Q610" t="n">
        <v>0</v>
      </c>
      <c r="R610" s="2" t="inlineStr"/>
    </row>
    <row r="611" ht="15" customHeight="1">
      <c r="A611" t="inlineStr">
        <is>
          <t>A 9623-2024</t>
        </is>
      </c>
      <c r="B611" s="1" t="n">
        <v>45361.87975694444</v>
      </c>
      <c r="C611" s="1" t="n">
        <v>45988</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58967-2022</t>
        </is>
      </c>
      <c r="B612" s="1" t="n">
        <v>44896</v>
      </c>
      <c r="C612" s="1" t="n">
        <v>45988</v>
      </c>
      <c r="D612" t="inlineStr">
        <is>
          <t>KALMAR LÄN</t>
        </is>
      </c>
      <c r="E612" t="inlineStr">
        <is>
          <t>VIMMERBY</t>
        </is>
      </c>
      <c r="G612" t="n">
        <v>5</v>
      </c>
      <c r="H612" t="n">
        <v>0</v>
      </c>
      <c r="I612" t="n">
        <v>0</v>
      </c>
      <c r="J612" t="n">
        <v>0</v>
      </c>
      <c r="K612" t="n">
        <v>0</v>
      </c>
      <c r="L612" t="n">
        <v>0</v>
      </c>
      <c r="M612" t="n">
        <v>0</v>
      </c>
      <c r="N612" t="n">
        <v>0</v>
      </c>
      <c r="O612" t="n">
        <v>0</v>
      </c>
      <c r="P612" t="n">
        <v>0</v>
      </c>
      <c r="Q612" t="n">
        <v>0</v>
      </c>
      <c r="R612" s="2" t="inlineStr"/>
    </row>
    <row r="613" ht="15" customHeight="1">
      <c r="A613" t="inlineStr">
        <is>
          <t>A 6399-2025</t>
        </is>
      </c>
      <c r="B613" s="1" t="n">
        <v>45699.44291666667</v>
      </c>
      <c r="C613" s="1" t="n">
        <v>45988</v>
      </c>
      <c r="D613" t="inlineStr">
        <is>
          <t>KALMAR LÄN</t>
        </is>
      </c>
      <c r="E613" t="inlineStr">
        <is>
          <t>VIMMERBY</t>
        </is>
      </c>
      <c r="G613" t="n">
        <v>3.1</v>
      </c>
      <c r="H613" t="n">
        <v>0</v>
      </c>
      <c r="I613" t="n">
        <v>0</v>
      </c>
      <c r="J613" t="n">
        <v>0</v>
      </c>
      <c r="K613" t="n">
        <v>0</v>
      </c>
      <c r="L613" t="n">
        <v>0</v>
      </c>
      <c r="M613" t="n">
        <v>0</v>
      </c>
      <c r="N613" t="n">
        <v>0</v>
      </c>
      <c r="O613" t="n">
        <v>0</v>
      </c>
      <c r="P613" t="n">
        <v>0</v>
      </c>
      <c r="Q613" t="n">
        <v>0</v>
      </c>
      <c r="R613" s="2" t="inlineStr"/>
    </row>
    <row r="614" ht="15" customHeight="1">
      <c r="A614" t="inlineStr">
        <is>
          <t>A 31355-2023</t>
        </is>
      </c>
      <c r="B614" s="1" t="n">
        <v>45114.49505787037</v>
      </c>
      <c r="C614" s="1" t="n">
        <v>45988</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66295-2020</t>
        </is>
      </c>
      <c r="B615" s="1" t="n">
        <v>44176</v>
      </c>
      <c r="C615" s="1" t="n">
        <v>45988</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30400-2023</t>
        </is>
      </c>
      <c r="B616" s="1" t="n">
        <v>45111.48225694444</v>
      </c>
      <c r="C616" s="1" t="n">
        <v>45988</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30404-2023</t>
        </is>
      </c>
      <c r="B617" s="1" t="n">
        <v>45111.48636574074</v>
      </c>
      <c r="C617" s="1" t="n">
        <v>45988</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27705-2023</t>
        </is>
      </c>
      <c r="B618" s="1" t="n">
        <v>45098.30535879629</v>
      </c>
      <c r="C618" s="1" t="n">
        <v>45988</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36843-2023</t>
        </is>
      </c>
      <c r="B619" s="1" t="n">
        <v>45154.49831018518</v>
      </c>
      <c r="C619" s="1" t="n">
        <v>45988</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10785-2025</t>
        </is>
      </c>
      <c r="B620" s="1" t="n">
        <v>45722.48634259259</v>
      </c>
      <c r="C620" s="1" t="n">
        <v>45988</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29017-2024</t>
        </is>
      </c>
      <c r="B621" s="1" t="n">
        <v>45481.56722222222</v>
      </c>
      <c r="C621" s="1" t="n">
        <v>45988</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23263-2024</t>
        </is>
      </c>
      <c r="B622" s="1" t="n">
        <v>45453.36854166666</v>
      </c>
      <c r="C622" s="1" t="n">
        <v>45988</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11074-2023</t>
        </is>
      </c>
      <c r="B623" s="1" t="n">
        <v>44992.34151620371</v>
      </c>
      <c r="C623" s="1" t="n">
        <v>45988</v>
      </c>
      <c r="D623" t="inlineStr">
        <is>
          <t>KALMAR LÄN</t>
        </is>
      </c>
      <c r="E623" t="inlineStr">
        <is>
          <t>VIMMERBY</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61939-2021</t>
        </is>
      </c>
      <c r="B624" s="1" t="n">
        <v>44502</v>
      </c>
      <c r="C624" s="1" t="n">
        <v>45988</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12215-2024</t>
        </is>
      </c>
      <c r="B625" s="1" t="n">
        <v>45378.32185185186</v>
      </c>
      <c r="C625" s="1" t="n">
        <v>45988</v>
      </c>
      <c r="D625" t="inlineStr">
        <is>
          <t>KALMAR LÄN</t>
        </is>
      </c>
      <c r="E625" t="inlineStr">
        <is>
          <t>VIMMERBY</t>
        </is>
      </c>
      <c r="G625" t="n">
        <v>1.6</v>
      </c>
      <c r="H625" t="n">
        <v>0</v>
      </c>
      <c r="I625" t="n">
        <v>0</v>
      </c>
      <c r="J625" t="n">
        <v>0</v>
      </c>
      <c r="K625" t="n">
        <v>0</v>
      </c>
      <c r="L625" t="n">
        <v>0</v>
      </c>
      <c r="M625" t="n">
        <v>0</v>
      </c>
      <c r="N625" t="n">
        <v>0</v>
      </c>
      <c r="O625" t="n">
        <v>0</v>
      </c>
      <c r="P625" t="n">
        <v>0</v>
      </c>
      <c r="Q625" t="n">
        <v>0</v>
      </c>
      <c r="R625" s="2" t="inlineStr"/>
    </row>
    <row r="626" ht="15" customHeight="1">
      <c r="A626" t="inlineStr">
        <is>
          <t>A 11303-2025</t>
        </is>
      </c>
      <c r="B626" s="1" t="n">
        <v>45726.44471064815</v>
      </c>
      <c r="C626" s="1" t="n">
        <v>45988</v>
      </c>
      <c r="D626" t="inlineStr">
        <is>
          <t>KALMAR LÄN</t>
        </is>
      </c>
      <c r="E626" t="inlineStr">
        <is>
          <t>VIMMERBY</t>
        </is>
      </c>
      <c r="G626" t="n">
        <v>2.1</v>
      </c>
      <c r="H626" t="n">
        <v>0</v>
      </c>
      <c r="I626" t="n">
        <v>0</v>
      </c>
      <c r="J626" t="n">
        <v>0</v>
      </c>
      <c r="K626" t="n">
        <v>0</v>
      </c>
      <c r="L626" t="n">
        <v>0</v>
      </c>
      <c r="M626" t="n">
        <v>0</v>
      </c>
      <c r="N626" t="n">
        <v>0</v>
      </c>
      <c r="O626" t="n">
        <v>0</v>
      </c>
      <c r="P626" t="n">
        <v>0</v>
      </c>
      <c r="Q626" t="n">
        <v>0</v>
      </c>
      <c r="R626" s="2" t="inlineStr"/>
    </row>
    <row r="627" ht="15" customHeight="1">
      <c r="A627" t="inlineStr">
        <is>
          <t>A 12033-2024</t>
        </is>
      </c>
      <c r="B627" s="1" t="n">
        <v>45377.40043981482</v>
      </c>
      <c r="C627" s="1" t="n">
        <v>45988</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51408-2023</t>
        </is>
      </c>
      <c r="B628" s="1" t="n">
        <v>45219.69356481481</v>
      </c>
      <c r="C628" s="1" t="n">
        <v>45988</v>
      </c>
      <c r="D628" t="inlineStr">
        <is>
          <t>KALMAR LÄN</t>
        </is>
      </c>
      <c r="E628" t="inlineStr">
        <is>
          <t>VIMMERBY</t>
        </is>
      </c>
      <c r="G628" t="n">
        <v>0.7</v>
      </c>
      <c r="H628" t="n">
        <v>0</v>
      </c>
      <c r="I628" t="n">
        <v>0</v>
      </c>
      <c r="J628" t="n">
        <v>0</v>
      </c>
      <c r="K628" t="n">
        <v>0</v>
      </c>
      <c r="L628" t="n">
        <v>0</v>
      </c>
      <c r="M628" t="n">
        <v>0</v>
      </c>
      <c r="N628" t="n">
        <v>0</v>
      </c>
      <c r="O628" t="n">
        <v>0</v>
      </c>
      <c r="P628" t="n">
        <v>0</v>
      </c>
      <c r="Q628" t="n">
        <v>0</v>
      </c>
      <c r="R628" s="2" t="inlineStr"/>
    </row>
    <row r="629" ht="15" customHeight="1">
      <c r="A629" t="inlineStr">
        <is>
          <t>A 49488-2023</t>
        </is>
      </c>
      <c r="B629" s="1" t="n">
        <v>45211.55472222222</v>
      </c>
      <c r="C629" s="1" t="n">
        <v>45988</v>
      </c>
      <c r="D629" t="inlineStr">
        <is>
          <t>KALMAR LÄN</t>
        </is>
      </c>
      <c r="E629" t="inlineStr">
        <is>
          <t>VIMMERBY</t>
        </is>
      </c>
      <c r="F629" t="inlineStr">
        <is>
          <t>Sveaskog</t>
        </is>
      </c>
      <c r="G629" t="n">
        <v>6.2</v>
      </c>
      <c r="H629" t="n">
        <v>0</v>
      </c>
      <c r="I629" t="n">
        <v>0</v>
      </c>
      <c r="J629" t="n">
        <v>0</v>
      </c>
      <c r="K629" t="n">
        <v>0</v>
      </c>
      <c r="L629" t="n">
        <v>0</v>
      </c>
      <c r="M629" t="n">
        <v>0</v>
      </c>
      <c r="N629" t="n">
        <v>0</v>
      </c>
      <c r="O629" t="n">
        <v>0</v>
      </c>
      <c r="P629" t="n">
        <v>0</v>
      </c>
      <c r="Q629" t="n">
        <v>0</v>
      </c>
      <c r="R629" s="2" t="inlineStr"/>
    </row>
    <row r="630" ht="15" customHeight="1">
      <c r="A630" t="inlineStr">
        <is>
          <t>A 8410-2023</t>
        </is>
      </c>
      <c r="B630" s="1" t="n">
        <v>44977</v>
      </c>
      <c r="C630" s="1" t="n">
        <v>45988</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30920-2024</t>
        </is>
      </c>
      <c r="B631" s="1" t="n">
        <v>45498.673125</v>
      </c>
      <c r="C631" s="1" t="n">
        <v>45988</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40929-2022</t>
        </is>
      </c>
      <c r="B632" s="1" t="n">
        <v>44825.4336574074</v>
      </c>
      <c r="C632" s="1" t="n">
        <v>45988</v>
      </c>
      <c r="D632" t="inlineStr">
        <is>
          <t>KALMAR LÄN</t>
        </is>
      </c>
      <c r="E632" t="inlineStr">
        <is>
          <t>VIMMERBY</t>
        </is>
      </c>
      <c r="G632" t="n">
        <v>2.5</v>
      </c>
      <c r="H632" t="n">
        <v>0</v>
      </c>
      <c r="I632" t="n">
        <v>0</v>
      </c>
      <c r="J632" t="n">
        <v>0</v>
      </c>
      <c r="K632" t="n">
        <v>0</v>
      </c>
      <c r="L632" t="n">
        <v>0</v>
      </c>
      <c r="M632" t="n">
        <v>0</v>
      </c>
      <c r="N632" t="n">
        <v>0</v>
      </c>
      <c r="O632" t="n">
        <v>0</v>
      </c>
      <c r="P632" t="n">
        <v>0</v>
      </c>
      <c r="Q632" t="n">
        <v>0</v>
      </c>
      <c r="R632" s="2" t="inlineStr"/>
    </row>
    <row r="633" ht="15" customHeight="1">
      <c r="A633" t="inlineStr">
        <is>
          <t>A 50091-2023</t>
        </is>
      </c>
      <c r="B633" s="1" t="n">
        <v>45215.60199074074</v>
      </c>
      <c r="C633" s="1" t="n">
        <v>45988</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36008-2024</t>
        </is>
      </c>
      <c r="B634" s="1" t="n">
        <v>45533.55362268518</v>
      </c>
      <c r="C634" s="1" t="n">
        <v>45988</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16622-2025</t>
        </is>
      </c>
      <c r="B635" s="1" t="n">
        <v>45754.33641203704</v>
      </c>
      <c r="C635" s="1" t="n">
        <v>45988</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17511-2024</t>
        </is>
      </c>
      <c r="B636" s="1" t="n">
        <v>45415.57682870371</v>
      </c>
      <c r="C636" s="1" t="n">
        <v>45988</v>
      </c>
      <c r="D636" t="inlineStr">
        <is>
          <t>KALMAR LÄN</t>
        </is>
      </c>
      <c r="E636" t="inlineStr">
        <is>
          <t>VIMMERBY</t>
        </is>
      </c>
      <c r="G636" t="n">
        <v>5.3</v>
      </c>
      <c r="H636" t="n">
        <v>0</v>
      </c>
      <c r="I636" t="n">
        <v>0</v>
      </c>
      <c r="J636" t="n">
        <v>0</v>
      </c>
      <c r="K636" t="n">
        <v>0</v>
      </c>
      <c r="L636" t="n">
        <v>0</v>
      </c>
      <c r="M636" t="n">
        <v>0</v>
      </c>
      <c r="N636" t="n">
        <v>0</v>
      </c>
      <c r="O636" t="n">
        <v>0</v>
      </c>
      <c r="P636" t="n">
        <v>0</v>
      </c>
      <c r="Q636" t="n">
        <v>0</v>
      </c>
      <c r="R636" s="2" t="inlineStr"/>
    </row>
    <row r="637" ht="15" customHeight="1">
      <c r="A637" t="inlineStr">
        <is>
          <t>A 43705-2023</t>
        </is>
      </c>
      <c r="B637" s="1" t="n">
        <v>45187.42854166667</v>
      </c>
      <c r="C637" s="1" t="n">
        <v>45988</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55300-2021</t>
        </is>
      </c>
      <c r="B638" s="1" t="n">
        <v>44475</v>
      </c>
      <c r="C638" s="1" t="n">
        <v>45988</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44179-2022</t>
        </is>
      </c>
      <c r="B639" s="1" t="n">
        <v>44839.4528125</v>
      </c>
      <c r="C639" s="1" t="n">
        <v>45988</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52755-2022</t>
        </is>
      </c>
      <c r="B640" s="1" t="n">
        <v>44875.27736111111</v>
      </c>
      <c r="C640" s="1" t="n">
        <v>45988</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35998-2024</t>
        </is>
      </c>
      <c r="B641" s="1" t="n">
        <v>45533.54429398148</v>
      </c>
      <c r="C641" s="1" t="n">
        <v>45988</v>
      </c>
      <c r="D641" t="inlineStr">
        <is>
          <t>KALMAR LÄN</t>
        </is>
      </c>
      <c r="E641" t="inlineStr">
        <is>
          <t>VIMMERBY</t>
        </is>
      </c>
      <c r="G641" t="n">
        <v>8.6</v>
      </c>
      <c r="H641" t="n">
        <v>0</v>
      </c>
      <c r="I641" t="n">
        <v>0</v>
      </c>
      <c r="J641" t="n">
        <v>0</v>
      </c>
      <c r="K641" t="n">
        <v>0</v>
      </c>
      <c r="L641" t="n">
        <v>0</v>
      </c>
      <c r="M641" t="n">
        <v>0</v>
      </c>
      <c r="N641" t="n">
        <v>0</v>
      </c>
      <c r="O641" t="n">
        <v>0</v>
      </c>
      <c r="P641" t="n">
        <v>0</v>
      </c>
      <c r="Q641" t="n">
        <v>0</v>
      </c>
      <c r="R641" s="2" t="inlineStr"/>
    </row>
    <row r="642" ht="15" customHeight="1">
      <c r="A642" t="inlineStr">
        <is>
          <t>A 7797-2023</t>
        </is>
      </c>
      <c r="B642" s="1" t="n">
        <v>44973.43075231482</v>
      </c>
      <c r="C642" s="1" t="n">
        <v>45988</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29351-2023</t>
        </is>
      </c>
      <c r="B643" s="1" t="n">
        <v>45106.2610300926</v>
      </c>
      <c r="C643" s="1" t="n">
        <v>45988</v>
      </c>
      <c r="D643" t="inlineStr">
        <is>
          <t>KALMAR LÄN</t>
        </is>
      </c>
      <c r="E643" t="inlineStr">
        <is>
          <t>VIMMERBY</t>
        </is>
      </c>
      <c r="G643" t="n">
        <v>0.4</v>
      </c>
      <c r="H643" t="n">
        <v>0</v>
      </c>
      <c r="I643" t="n">
        <v>0</v>
      </c>
      <c r="J643" t="n">
        <v>0</v>
      </c>
      <c r="K643" t="n">
        <v>0</v>
      </c>
      <c r="L643" t="n">
        <v>0</v>
      </c>
      <c r="M643" t="n">
        <v>0</v>
      </c>
      <c r="N643" t="n">
        <v>0</v>
      </c>
      <c r="O643" t="n">
        <v>0</v>
      </c>
      <c r="P643" t="n">
        <v>0</v>
      </c>
      <c r="Q643" t="n">
        <v>0</v>
      </c>
      <c r="R643" s="2" t="inlineStr"/>
    </row>
    <row r="644" ht="15" customHeight="1">
      <c r="A644" t="inlineStr">
        <is>
          <t>A 7630-2025</t>
        </is>
      </c>
      <c r="B644" s="1" t="n">
        <v>45705.74418981482</v>
      </c>
      <c r="C644" s="1" t="n">
        <v>45988</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1024-2024</t>
        </is>
      </c>
      <c r="B645" s="1" t="n">
        <v>45301.68237268519</v>
      </c>
      <c r="C645" s="1" t="n">
        <v>45988</v>
      </c>
      <c r="D645" t="inlineStr">
        <is>
          <t>KALMAR LÄN</t>
        </is>
      </c>
      <c r="E645" t="inlineStr">
        <is>
          <t>VIMMERBY</t>
        </is>
      </c>
      <c r="G645" t="n">
        <v>13</v>
      </c>
      <c r="H645" t="n">
        <v>0</v>
      </c>
      <c r="I645" t="n">
        <v>0</v>
      </c>
      <c r="J645" t="n">
        <v>0</v>
      </c>
      <c r="K645" t="n">
        <v>0</v>
      </c>
      <c r="L645" t="n">
        <v>0</v>
      </c>
      <c r="M645" t="n">
        <v>0</v>
      </c>
      <c r="N645" t="n">
        <v>0</v>
      </c>
      <c r="O645" t="n">
        <v>0</v>
      </c>
      <c r="P645" t="n">
        <v>0</v>
      </c>
      <c r="Q645" t="n">
        <v>0</v>
      </c>
      <c r="R645" s="2" t="inlineStr"/>
    </row>
    <row r="646" ht="15" customHeight="1">
      <c r="A646" t="inlineStr">
        <is>
          <t>A 10787-2025</t>
        </is>
      </c>
      <c r="B646" s="1" t="n">
        <v>45722.48915509259</v>
      </c>
      <c r="C646" s="1" t="n">
        <v>45988</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29350-2023</t>
        </is>
      </c>
      <c r="B647" s="1" t="n">
        <v>45106</v>
      </c>
      <c r="C647" s="1" t="n">
        <v>45988</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14855-2025</t>
        </is>
      </c>
      <c r="B648" s="1" t="n">
        <v>45743.41148148148</v>
      </c>
      <c r="C648" s="1" t="n">
        <v>45988</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43601-2024</t>
        </is>
      </c>
      <c r="B649" s="1" t="n">
        <v>45569.44684027778</v>
      </c>
      <c r="C649" s="1" t="n">
        <v>45988</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35913-2023</t>
        </is>
      </c>
      <c r="B650" s="1" t="n">
        <v>45148</v>
      </c>
      <c r="C650" s="1" t="n">
        <v>45988</v>
      </c>
      <c r="D650" t="inlineStr">
        <is>
          <t>KALMAR LÄN</t>
        </is>
      </c>
      <c r="E650" t="inlineStr">
        <is>
          <t>VIMMERBY</t>
        </is>
      </c>
      <c r="G650" t="n">
        <v>6.9</v>
      </c>
      <c r="H650" t="n">
        <v>0</v>
      </c>
      <c r="I650" t="n">
        <v>0</v>
      </c>
      <c r="J650" t="n">
        <v>0</v>
      </c>
      <c r="K650" t="n">
        <v>0</v>
      </c>
      <c r="L650" t="n">
        <v>0</v>
      </c>
      <c r="M650" t="n">
        <v>0</v>
      </c>
      <c r="N650" t="n">
        <v>0</v>
      </c>
      <c r="O650" t="n">
        <v>0</v>
      </c>
      <c r="P650" t="n">
        <v>0</v>
      </c>
      <c r="Q650" t="n">
        <v>0</v>
      </c>
      <c r="R650" s="2" t="inlineStr"/>
    </row>
    <row r="651" ht="15" customHeight="1">
      <c r="A651" t="inlineStr">
        <is>
          <t>A 9624-2024</t>
        </is>
      </c>
      <c r="B651" s="1" t="n">
        <v>45361.90282407407</v>
      </c>
      <c r="C651" s="1" t="n">
        <v>45988</v>
      </c>
      <c r="D651" t="inlineStr">
        <is>
          <t>KALMAR LÄN</t>
        </is>
      </c>
      <c r="E651" t="inlineStr">
        <is>
          <t>VIMMERBY</t>
        </is>
      </c>
      <c r="G651" t="n">
        <v>3.8</v>
      </c>
      <c r="H651" t="n">
        <v>0</v>
      </c>
      <c r="I651" t="n">
        <v>0</v>
      </c>
      <c r="J651" t="n">
        <v>0</v>
      </c>
      <c r="K651" t="n">
        <v>0</v>
      </c>
      <c r="L651" t="n">
        <v>0</v>
      </c>
      <c r="M651" t="n">
        <v>0</v>
      </c>
      <c r="N651" t="n">
        <v>0</v>
      </c>
      <c r="O651" t="n">
        <v>0</v>
      </c>
      <c r="P651" t="n">
        <v>0</v>
      </c>
      <c r="Q651" t="n">
        <v>0</v>
      </c>
      <c r="R651" s="2" t="inlineStr"/>
    </row>
    <row r="652" ht="15" customHeight="1">
      <c r="A652" t="inlineStr">
        <is>
          <t>A 3938-2023</t>
        </is>
      </c>
      <c r="B652" s="1" t="n">
        <v>44952.35775462963</v>
      </c>
      <c r="C652" s="1" t="n">
        <v>45988</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39053-2024</t>
        </is>
      </c>
      <c r="B653" s="1" t="n">
        <v>45548</v>
      </c>
      <c r="C653" s="1" t="n">
        <v>45988</v>
      </c>
      <c r="D653" t="inlineStr">
        <is>
          <t>KALMAR LÄN</t>
        </is>
      </c>
      <c r="E653" t="inlineStr">
        <is>
          <t>VIMMERBY</t>
        </is>
      </c>
      <c r="G653" t="n">
        <v>5</v>
      </c>
      <c r="H653" t="n">
        <v>0</v>
      </c>
      <c r="I653" t="n">
        <v>0</v>
      </c>
      <c r="J653" t="n">
        <v>0</v>
      </c>
      <c r="K653" t="n">
        <v>0</v>
      </c>
      <c r="L653" t="n">
        <v>0</v>
      </c>
      <c r="M653" t="n">
        <v>0</v>
      </c>
      <c r="N653" t="n">
        <v>0</v>
      </c>
      <c r="O653" t="n">
        <v>0</v>
      </c>
      <c r="P653" t="n">
        <v>0</v>
      </c>
      <c r="Q653" t="n">
        <v>0</v>
      </c>
      <c r="R653" s="2" t="inlineStr"/>
    </row>
    <row r="654" ht="15" customHeight="1">
      <c r="A654" t="inlineStr">
        <is>
          <t>A 14451-2024</t>
        </is>
      </c>
      <c r="B654" s="1" t="n">
        <v>45394.50028935185</v>
      </c>
      <c r="C654" s="1" t="n">
        <v>45988</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34205-2023</t>
        </is>
      </c>
      <c r="B655" s="1" t="n">
        <v>45138</v>
      </c>
      <c r="C655" s="1" t="n">
        <v>45988</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3268-2024</t>
        </is>
      </c>
      <c r="B656" s="1" t="n">
        <v>45317</v>
      </c>
      <c r="C656" s="1" t="n">
        <v>45988</v>
      </c>
      <c r="D656" t="inlineStr">
        <is>
          <t>KALMAR LÄN</t>
        </is>
      </c>
      <c r="E656" t="inlineStr">
        <is>
          <t>VIMMERBY</t>
        </is>
      </c>
      <c r="F656" t="inlineStr">
        <is>
          <t>Övriga Aktiebolag</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12819-2024</t>
        </is>
      </c>
      <c r="B657" s="1" t="n">
        <v>45384.66917824074</v>
      </c>
      <c r="C657" s="1" t="n">
        <v>45988</v>
      </c>
      <c r="D657" t="inlineStr">
        <is>
          <t>KALMAR LÄN</t>
        </is>
      </c>
      <c r="E657" t="inlineStr">
        <is>
          <t>VIMMERBY</t>
        </is>
      </c>
      <c r="G657" t="n">
        <v>5.1</v>
      </c>
      <c r="H657" t="n">
        <v>0</v>
      </c>
      <c r="I657" t="n">
        <v>0</v>
      </c>
      <c r="J657" t="n">
        <v>0</v>
      </c>
      <c r="K657" t="n">
        <v>0</v>
      </c>
      <c r="L657" t="n">
        <v>0</v>
      </c>
      <c r="M657" t="n">
        <v>0</v>
      </c>
      <c r="N657" t="n">
        <v>0</v>
      </c>
      <c r="O657" t="n">
        <v>0</v>
      </c>
      <c r="P657" t="n">
        <v>0</v>
      </c>
      <c r="Q657" t="n">
        <v>0</v>
      </c>
      <c r="R657" s="2" t="inlineStr"/>
    </row>
    <row r="658" ht="15" customHeight="1">
      <c r="A658" t="inlineStr">
        <is>
          <t>A 6214-2025</t>
        </is>
      </c>
      <c r="B658" s="1" t="n">
        <v>45698.51711805556</v>
      </c>
      <c r="C658" s="1" t="n">
        <v>45988</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32569-2024</t>
        </is>
      </c>
      <c r="B659" s="1" t="n">
        <v>45513.55840277778</v>
      </c>
      <c r="C659" s="1" t="n">
        <v>45988</v>
      </c>
      <c r="D659" t="inlineStr">
        <is>
          <t>KALMAR LÄN</t>
        </is>
      </c>
      <c r="E659" t="inlineStr">
        <is>
          <t>VIMMERBY</t>
        </is>
      </c>
      <c r="G659" t="n">
        <v>3.7</v>
      </c>
      <c r="H659" t="n">
        <v>0</v>
      </c>
      <c r="I659" t="n">
        <v>0</v>
      </c>
      <c r="J659" t="n">
        <v>0</v>
      </c>
      <c r="K659" t="n">
        <v>0</v>
      </c>
      <c r="L659" t="n">
        <v>0</v>
      </c>
      <c r="M659" t="n">
        <v>0</v>
      </c>
      <c r="N659" t="n">
        <v>0</v>
      </c>
      <c r="O659" t="n">
        <v>0</v>
      </c>
      <c r="P659" t="n">
        <v>0</v>
      </c>
      <c r="Q659" t="n">
        <v>0</v>
      </c>
      <c r="R659" s="2" t="inlineStr"/>
    </row>
    <row r="660" ht="15" customHeight="1">
      <c r="A660" t="inlineStr">
        <is>
          <t>A 32575-2024</t>
        </is>
      </c>
      <c r="B660" s="1" t="n">
        <v>45513.56527777778</v>
      </c>
      <c r="C660" s="1" t="n">
        <v>45988</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59300-2024</t>
        </is>
      </c>
      <c r="B661" s="1" t="n">
        <v>45637.66542824074</v>
      </c>
      <c r="C661" s="1" t="n">
        <v>45988</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59768-2024</t>
        </is>
      </c>
      <c r="B662" s="1" t="n">
        <v>45639.56185185185</v>
      </c>
      <c r="C662" s="1" t="n">
        <v>45988</v>
      </c>
      <c r="D662" t="inlineStr">
        <is>
          <t>KALMAR LÄN</t>
        </is>
      </c>
      <c r="E662" t="inlineStr">
        <is>
          <t>VIMMERBY</t>
        </is>
      </c>
      <c r="G662" t="n">
        <v>5.9</v>
      </c>
      <c r="H662" t="n">
        <v>0</v>
      </c>
      <c r="I662" t="n">
        <v>0</v>
      </c>
      <c r="J662" t="n">
        <v>0</v>
      </c>
      <c r="K662" t="n">
        <v>0</v>
      </c>
      <c r="L662" t="n">
        <v>0</v>
      </c>
      <c r="M662" t="n">
        <v>0</v>
      </c>
      <c r="N662" t="n">
        <v>0</v>
      </c>
      <c r="O662" t="n">
        <v>0</v>
      </c>
      <c r="P662" t="n">
        <v>0</v>
      </c>
      <c r="Q662" t="n">
        <v>0</v>
      </c>
      <c r="R662" s="2" t="inlineStr"/>
    </row>
    <row r="663" ht="15" customHeight="1">
      <c r="A663" t="inlineStr">
        <is>
          <t>A 36526-2023</t>
        </is>
      </c>
      <c r="B663" s="1" t="n">
        <v>45153.32778935185</v>
      </c>
      <c r="C663" s="1" t="n">
        <v>45988</v>
      </c>
      <c r="D663" t="inlineStr">
        <is>
          <t>KALMAR LÄN</t>
        </is>
      </c>
      <c r="E663" t="inlineStr">
        <is>
          <t>VIMMERBY</t>
        </is>
      </c>
      <c r="G663" t="n">
        <v>2.7</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45988</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49474-2023</t>
        </is>
      </c>
      <c r="B665" s="1" t="n">
        <v>45211.541875</v>
      </c>
      <c r="C665" s="1" t="n">
        <v>45988</v>
      </c>
      <c r="D665" t="inlineStr">
        <is>
          <t>KALMAR LÄN</t>
        </is>
      </c>
      <c r="E665" t="inlineStr">
        <is>
          <t>VIMMERBY</t>
        </is>
      </c>
      <c r="G665" t="n">
        <v>3.6</v>
      </c>
      <c r="H665" t="n">
        <v>0</v>
      </c>
      <c r="I665" t="n">
        <v>0</v>
      </c>
      <c r="J665" t="n">
        <v>0</v>
      </c>
      <c r="K665" t="n">
        <v>0</v>
      </c>
      <c r="L665" t="n">
        <v>0</v>
      </c>
      <c r="M665" t="n">
        <v>0</v>
      </c>
      <c r="N665" t="n">
        <v>0</v>
      </c>
      <c r="O665" t="n">
        <v>0</v>
      </c>
      <c r="P665" t="n">
        <v>0</v>
      </c>
      <c r="Q665" t="n">
        <v>0</v>
      </c>
      <c r="R665" s="2" t="inlineStr"/>
    </row>
    <row r="666" ht="15" customHeight="1">
      <c r="A666" t="inlineStr">
        <is>
          <t>A 57682-2022</t>
        </is>
      </c>
      <c r="B666" s="1" t="n">
        <v>44890</v>
      </c>
      <c r="C666" s="1" t="n">
        <v>45988</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14220-2021</t>
        </is>
      </c>
      <c r="B667" s="1" t="n">
        <v>44278.54855324074</v>
      </c>
      <c r="C667" s="1" t="n">
        <v>45988</v>
      </c>
      <c r="D667" t="inlineStr">
        <is>
          <t>KALMAR LÄN</t>
        </is>
      </c>
      <c r="E667" t="inlineStr">
        <is>
          <t>VIMMERBY</t>
        </is>
      </c>
      <c r="G667" t="n">
        <v>0.3</v>
      </c>
      <c r="H667" t="n">
        <v>0</v>
      </c>
      <c r="I667" t="n">
        <v>0</v>
      </c>
      <c r="J667" t="n">
        <v>0</v>
      </c>
      <c r="K667" t="n">
        <v>0</v>
      </c>
      <c r="L667" t="n">
        <v>0</v>
      </c>
      <c r="M667" t="n">
        <v>0</v>
      </c>
      <c r="N667" t="n">
        <v>0</v>
      </c>
      <c r="O667" t="n">
        <v>0</v>
      </c>
      <c r="P667" t="n">
        <v>0</v>
      </c>
      <c r="Q667" t="n">
        <v>0</v>
      </c>
      <c r="R667" s="2" t="inlineStr"/>
    </row>
    <row r="668" ht="15" customHeight="1">
      <c r="A668" t="inlineStr">
        <is>
          <t>A 63950-2023</t>
        </is>
      </c>
      <c r="B668" s="1" t="n">
        <v>45278</v>
      </c>
      <c r="C668" s="1" t="n">
        <v>45988</v>
      </c>
      <c r="D668" t="inlineStr">
        <is>
          <t>KALMAR LÄN</t>
        </is>
      </c>
      <c r="E668" t="inlineStr">
        <is>
          <t>VIMMERBY</t>
        </is>
      </c>
      <c r="F668" t="inlineStr">
        <is>
          <t>Kyrkan</t>
        </is>
      </c>
      <c r="G668" t="n">
        <v>2.7</v>
      </c>
      <c r="H668" t="n">
        <v>0</v>
      </c>
      <c r="I668" t="n">
        <v>0</v>
      </c>
      <c r="J668" t="n">
        <v>0</v>
      </c>
      <c r="K668" t="n">
        <v>0</v>
      </c>
      <c r="L668" t="n">
        <v>0</v>
      </c>
      <c r="M668" t="n">
        <v>0</v>
      </c>
      <c r="N668" t="n">
        <v>0</v>
      </c>
      <c r="O668" t="n">
        <v>0</v>
      </c>
      <c r="P668" t="n">
        <v>0</v>
      </c>
      <c r="Q668" t="n">
        <v>0</v>
      </c>
      <c r="R668" s="2" t="inlineStr"/>
    </row>
    <row r="669" ht="15" customHeight="1">
      <c r="A669" t="inlineStr">
        <is>
          <t>A 16516-2023</t>
        </is>
      </c>
      <c r="B669" s="1" t="n">
        <v>45029</v>
      </c>
      <c r="C669" s="1" t="n">
        <v>45988</v>
      </c>
      <c r="D669" t="inlineStr">
        <is>
          <t>KALMAR LÄN</t>
        </is>
      </c>
      <c r="E669" t="inlineStr">
        <is>
          <t>VIMMERBY</t>
        </is>
      </c>
      <c r="G669" t="n">
        <v>4.3</v>
      </c>
      <c r="H669" t="n">
        <v>0</v>
      </c>
      <c r="I669" t="n">
        <v>0</v>
      </c>
      <c r="J669" t="n">
        <v>0</v>
      </c>
      <c r="K669" t="n">
        <v>0</v>
      </c>
      <c r="L669" t="n">
        <v>0</v>
      </c>
      <c r="M669" t="n">
        <v>0</v>
      </c>
      <c r="N669" t="n">
        <v>0</v>
      </c>
      <c r="O669" t="n">
        <v>0</v>
      </c>
      <c r="P669" t="n">
        <v>0</v>
      </c>
      <c r="Q669" t="n">
        <v>0</v>
      </c>
      <c r="R669" s="2" t="inlineStr"/>
    </row>
    <row r="670" ht="15" customHeight="1">
      <c r="A670" t="inlineStr">
        <is>
          <t>A 47842-2024</t>
        </is>
      </c>
      <c r="B670" s="1" t="n">
        <v>45588.65545138889</v>
      </c>
      <c r="C670" s="1" t="n">
        <v>45988</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6408-2025</t>
        </is>
      </c>
      <c r="B671" s="1" t="n">
        <v>45699.45671296296</v>
      </c>
      <c r="C671" s="1" t="n">
        <v>45988</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25109-2023</t>
        </is>
      </c>
      <c r="B672" s="1" t="n">
        <v>45086</v>
      </c>
      <c r="C672" s="1" t="n">
        <v>45988</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33380-2023</t>
        </is>
      </c>
      <c r="B673" s="1" t="n">
        <v>45128</v>
      </c>
      <c r="C673" s="1" t="n">
        <v>45988</v>
      </c>
      <c r="D673" t="inlineStr">
        <is>
          <t>KALMAR LÄN</t>
        </is>
      </c>
      <c r="E673" t="inlineStr">
        <is>
          <t>VIMMERBY</t>
        </is>
      </c>
      <c r="G673" t="n">
        <v>5.2</v>
      </c>
      <c r="H673" t="n">
        <v>0</v>
      </c>
      <c r="I673" t="n">
        <v>0</v>
      </c>
      <c r="J673" t="n">
        <v>0</v>
      </c>
      <c r="K673" t="n">
        <v>0</v>
      </c>
      <c r="L673" t="n">
        <v>0</v>
      </c>
      <c r="M673" t="n">
        <v>0</v>
      </c>
      <c r="N673" t="n">
        <v>0</v>
      </c>
      <c r="O673" t="n">
        <v>0</v>
      </c>
      <c r="P673" t="n">
        <v>0</v>
      </c>
      <c r="Q673" t="n">
        <v>0</v>
      </c>
      <c r="R673" s="2" t="inlineStr"/>
    </row>
    <row r="674" ht="15" customHeight="1">
      <c r="A674" t="inlineStr">
        <is>
          <t>A 32639-2023</t>
        </is>
      </c>
      <c r="B674" s="1" t="n">
        <v>45121.5965162037</v>
      </c>
      <c r="C674" s="1" t="n">
        <v>45988</v>
      </c>
      <c r="D674" t="inlineStr">
        <is>
          <t>KALMAR LÄN</t>
        </is>
      </c>
      <c r="E674" t="inlineStr">
        <is>
          <t>VIMMERBY</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32642-2023</t>
        </is>
      </c>
      <c r="B675" s="1" t="n">
        <v>45121.59954861111</v>
      </c>
      <c r="C675" s="1" t="n">
        <v>45988</v>
      </c>
      <c r="D675" t="inlineStr">
        <is>
          <t>KALMAR LÄN</t>
        </is>
      </c>
      <c r="E675" t="inlineStr">
        <is>
          <t>VIMMERBY</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32651-2023</t>
        </is>
      </c>
      <c r="B676" s="1" t="n">
        <v>45121.6096875</v>
      </c>
      <c r="C676" s="1" t="n">
        <v>45988</v>
      </c>
      <c r="D676" t="inlineStr">
        <is>
          <t>KALMAR LÄN</t>
        </is>
      </c>
      <c r="E676" t="inlineStr">
        <is>
          <t>VIMMERBY</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11928-2022</t>
        </is>
      </c>
      <c r="B677" s="1" t="n">
        <v>44635</v>
      </c>
      <c r="C677" s="1" t="n">
        <v>45988</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7068-2024</t>
        </is>
      </c>
      <c r="B678" s="1" t="n">
        <v>45343.68038194445</v>
      </c>
      <c r="C678" s="1" t="n">
        <v>45988</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46234-2024</t>
        </is>
      </c>
      <c r="B679" s="1" t="n">
        <v>45581.57958333333</v>
      </c>
      <c r="C679" s="1" t="n">
        <v>45988</v>
      </c>
      <c r="D679" t="inlineStr">
        <is>
          <t>KALMAR LÄN</t>
        </is>
      </c>
      <c r="E679" t="inlineStr">
        <is>
          <t>VIMMERBY</t>
        </is>
      </c>
      <c r="G679" t="n">
        <v>0.6</v>
      </c>
      <c r="H679" t="n">
        <v>0</v>
      </c>
      <c r="I679" t="n">
        <v>0</v>
      </c>
      <c r="J679" t="n">
        <v>0</v>
      </c>
      <c r="K679" t="n">
        <v>0</v>
      </c>
      <c r="L679" t="n">
        <v>0</v>
      </c>
      <c r="M679" t="n">
        <v>0</v>
      </c>
      <c r="N679" t="n">
        <v>0</v>
      </c>
      <c r="O679" t="n">
        <v>0</v>
      </c>
      <c r="P679" t="n">
        <v>0</v>
      </c>
      <c r="Q679" t="n">
        <v>0</v>
      </c>
      <c r="R679" s="2" t="inlineStr"/>
    </row>
    <row r="680" ht="15" customHeight="1">
      <c r="A680" t="inlineStr">
        <is>
          <t>A 37187-2024</t>
        </is>
      </c>
      <c r="B680" s="1" t="n">
        <v>45539.65212962963</v>
      </c>
      <c r="C680" s="1" t="n">
        <v>45988</v>
      </c>
      <c r="D680" t="inlineStr">
        <is>
          <t>KALMAR LÄN</t>
        </is>
      </c>
      <c r="E680" t="inlineStr">
        <is>
          <t>VIMMERBY</t>
        </is>
      </c>
      <c r="G680" t="n">
        <v>2.7</v>
      </c>
      <c r="H680" t="n">
        <v>0</v>
      </c>
      <c r="I680" t="n">
        <v>0</v>
      </c>
      <c r="J680" t="n">
        <v>0</v>
      </c>
      <c r="K680" t="n">
        <v>0</v>
      </c>
      <c r="L680" t="n">
        <v>0</v>
      </c>
      <c r="M680" t="n">
        <v>0</v>
      </c>
      <c r="N680" t="n">
        <v>0</v>
      </c>
      <c r="O680" t="n">
        <v>0</v>
      </c>
      <c r="P680" t="n">
        <v>0</v>
      </c>
      <c r="Q680" t="n">
        <v>0</v>
      </c>
      <c r="R680" s="2" t="inlineStr"/>
    </row>
    <row r="681" ht="15" customHeight="1">
      <c r="A681" t="inlineStr">
        <is>
          <t>A 1021-2024</t>
        </is>
      </c>
      <c r="B681" s="1" t="n">
        <v>45301.67736111111</v>
      </c>
      <c r="C681" s="1" t="n">
        <v>45988</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72701-2021</t>
        </is>
      </c>
      <c r="B682" s="1" t="n">
        <v>44546</v>
      </c>
      <c r="C682" s="1" t="n">
        <v>45988</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19111-2025</t>
        </is>
      </c>
      <c r="B683" s="1" t="n">
        <v>45768.65611111111</v>
      </c>
      <c r="C683" s="1" t="n">
        <v>45988</v>
      </c>
      <c r="D683" t="inlineStr">
        <is>
          <t>KALMAR LÄN</t>
        </is>
      </c>
      <c r="E683" t="inlineStr">
        <is>
          <t>VIMMERBY</t>
        </is>
      </c>
      <c r="G683" t="n">
        <v>6.2</v>
      </c>
      <c r="H683" t="n">
        <v>0</v>
      </c>
      <c r="I683" t="n">
        <v>0</v>
      </c>
      <c r="J683" t="n">
        <v>0</v>
      </c>
      <c r="K683" t="n">
        <v>0</v>
      </c>
      <c r="L683" t="n">
        <v>0</v>
      </c>
      <c r="M683" t="n">
        <v>0</v>
      </c>
      <c r="N683" t="n">
        <v>0</v>
      </c>
      <c r="O683" t="n">
        <v>0</v>
      </c>
      <c r="P683" t="n">
        <v>0</v>
      </c>
      <c r="Q683" t="n">
        <v>0</v>
      </c>
      <c r="R683" s="2" t="inlineStr"/>
    </row>
    <row r="684" ht="15" customHeight="1">
      <c r="A684" t="inlineStr">
        <is>
          <t>A 33374-2021</t>
        </is>
      </c>
      <c r="B684" s="1" t="n">
        <v>44377</v>
      </c>
      <c r="C684" s="1" t="n">
        <v>45988</v>
      </c>
      <c r="D684" t="inlineStr">
        <is>
          <t>KALMAR LÄN</t>
        </is>
      </c>
      <c r="E684" t="inlineStr">
        <is>
          <t>VIMMERBY</t>
        </is>
      </c>
      <c r="G684" t="n">
        <v>3.3</v>
      </c>
      <c r="H684" t="n">
        <v>0</v>
      </c>
      <c r="I684" t="n">
        <v>0</v>
      </c>
      <c r="J684" t="n">
        <v>0</v>
      </c>
      <c r="K684" t="n">
        <v>0</v>
      </c>
      <c r="L684" t="n">
        <v>0</v>
      </c>
      <c r="M684" t="n">
        <v>0</v>
      </c>
      <c r="N684" t="n">
        <v>0</v>
      </c>
      <c r="O684" t="n">
        <v>0</v>
      </c>
      <c r="P684" t="n">
        <v>0</v>
      </c>
      <c r="Q684" t="n">
        <v>0</v>
      </c>
      <c r="R684" s="2" t="inlineStr"/>
    </row>
    <row r="685" ht="15" customHeight="1">
      <c r="A685" t="inlineStr">
        <is>
          <t>A 10807-2024</t>
        </is>
      </c>
      <c r="B685" s="1" t="n">
        <v>45369.62780092593</v>
      </c>
      <c r="C685" s="1" t="n">
        <v>45988</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33359-2021</t>
        </is>
      </c>
      <c r="B686" s="1" t="n">
        <v>44377.49684027778</v>
      </c>
      <c r="C686" s="1" t="n">
        <v>45988</v>
      </c>
      <c r="D686" t="inlineStr">
        <is>
          <t>KALMAR LÄN</t>
        </is>
      </c>
      <c r="E686" t="inlineStr">
        <is>
          <t>VIMMERBY</t>
        </is>
      </c>
      <c r="F686" t="inlineStr">
        <is>
          <t>Kommuner</t>
        </is>
      </c>
      <c r="G686" t="n">
        <v>8</v>
      </c>
      <c r="H686" t="n">
        <v>0</v>
      </c>
      <c r="I686" t="n">
        <v>0</v>
      </c>
      <c r="J686" t="n">
        <v>0</v>
      </c>
      <c r="K686" t="n">
        <v>0</v>
      </c>
      <c r="L686" t="n">
        <v>0</v>
      </c>
      <c r="M686" t="n">
        <v>0</v>
      </c>
      <c r="N686" t="n">
        <v>0</v>
      </c>
      <c r="O686" t="n">
        <v>0</v>
      </c>
      <c r="P686" t="n">
        <v>0</v>
      </c>
      <c r="Q686" t="n">
        <v>0</v>
      </c>
      <c r="R686" s="2" t="inlineStr"/>
    </row>
    <row r="687" ht="15" customHeight="1">
      <c r="A687" t="inlineStr">
        <is>
          <t>A 34588-2024</t>
        </is>
      </c>
      <c r="B687" s="1" t="n">
        <v>45526.3865625</v>
      </c>
      <c r="C687" s="1" t="n">
        <v>45988</v>
      </c>
      <c r="D687" t="inlineStr">
        <is>
          <t>KALMAR LÄN</t>
        </is>
      </c>
      <c r="E687" t="inlineStr">
        <is>
          <t>VIMMERBY</t>
        </is>
      </c>
      <c r="F687" t="inlineStr">
        <is>
          <t>Övriga Aktiebolag</t>
        </is>
      </c>
      <c r="G687" t="n">
        <v>3.3</v>
      </c>
      <c r="H687" t="n">
        <v>0</v>
      </c>
      <c r="I687" t="n">
        <v>0</v>
      </c>
      <c r="J687" t="n">
        <v>0</v>
      </c>
      <c r="K687" t="n">
        <v>0</v>
      </c>
      <c r="L687" t="n">
        <v>0</v>
      </c>
      <c r="M687" t="n">
        <v>0</v>
      </c>
      <c r="N687" t="n">
        <v>0</v>
      </c>
      <c r="O687" t="n">
        <v>0</v>
      </c>
      <c r="P687" t="n">
        <v>0</v>
      </c>
      <c r="Q687" t="n">
        <v>0</v>
      </c>
      <c r="R687" s="2" t="inlineStr"/>
    </row>
    <row r="688" ht="15" customHeight="1">
      <c r="A688" t="inlineStr">
        <is>
          <t>A 17084-2025</t>
        </is>
      </c>
      <c r="B688" s="1" t="n">
        <v>45755.64450231481</v>
      </c>
      <c r="C688" s="1" t="n">
        <v>45988</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33161-2024</t>
        </is>
      </c>
      <c r="B689" s="1" t="n">
        <v>45518.40657407408</v>
      </c>
      <c r="C689" s="1" t="n">
        <v>45988</v>
      </c>
      <c r="D689" t="inlineStr">
        <is>
          <t>KALMAR LÄN</t>
        </is>
      </c>
      <c r="E689" t="inlineStr">
        <is>
          <t>VIMMERBY</t>
        </is>
      </c>
      <c r="G689" t="n">
        <v>4.7</v>
      </c>
      <c r="H689" t="n">
        <v>0</v>
      </c>
      <c r="I689" t="n">
        <v>0</v>
      </c>
      <c r="J689" t="n">
        <v>0</v>
      </c>
      <c r="K689" t="n">
        <v>0</v>
      </c>
      <c r="L689" t="n">
        <v>0</v>
      </c>
      <c r="M689" t="n">
        <v>0</v>
      </c>
      <c r="N689" t="n">
        <v>0</v>
      </c>
      <c r="O689" t="n">
        <v>0</v>
      </c>
      <c r="P689" t="n">
        <v>0</v>
      </c>
      <c r="Q689" t="n">
        <v>0</v>
      </c>
      <c r="R689" s="2" t="inlineStr"/>
    </row>
    <row r="690" ht="15" customHeight="1">
      <c r="A690" t="inlineStr">
        <is>
          <t>A 14359-2025</t>
        </is>
      </c>
      <c r="B690" s="1" t="n">
        <v>45741.37270833334</v>
      </c>
      <c r="C690" s="1" t="n">
        <v>45988</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7075-2021</t>
        </is>
      </c>
      <c r="B691" s="1" t="n">
        <v>44237</v>
      </c>
      <c r="C691" s="1" t="n">
        <v>45988</v>
      </c>
      <c r="D691" t="inlineStr">
        <is>
          <t>KALMAR LÄN</t>
        </is>
      </c>
      <c r="E691" t="inlineStr">
        <is>
          <t>VIMMERBY</t>
        </is>
      </c>
      <c r="G691" t="n">
        <v>3.6</v>
      </c>
      <c r="H691" t="n">
        <v>0</v>
      </c>
      <c r="I691" t="n">
        <v>0</v>
      </c>
      <c r="J691" t="n">
        <v>0</v>
      </c>
      <c r="K691" t="n">
        <v>0</v>
      </c>
      <c r="L691" t="n">
        <v>0</v>
      </c>
      <c r="M691" t="n">
        <v>0</v>
      </c>
      <c r="N691" t="n">
        <v>0</v>
      </c>
      <c r="O691" t="n">
        <v>0</v>
      </c>
      <c r="P691" t="n">
        <v>0</v>
      </c>
      <c r="Q691" t="n">
        <v>0</v>
      </c>
      <c r="R691" s="2" t="inlineStr"/>
    </row>
    <row r="692" ht="15" customHeight="1">
      <c r="A692" t="inlineStr">
        <is>
          <t>A 55605-2024</t>
        </is>
      </c>
      <c r="B692" s="1" t="n">
        <v>45622</v>
      </c>
      <c r="C692" s="1" t="n">
        <v>45988</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44464-2024</t>
        </is>
      </c>
      <c r="B693" s="1" t="n">
        <v>45574.35809027778</v>
      </c>
      <c r="C693" s="1" t="n">
        <v>45988</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36049-2024</t>
        </is>
      </c>
      <c r="B694" s="1" t="n">
        <v>45533.61996527778</v>
      </c>
      <c r="C694" s="1" t="n">
        <v>45988</v>
      </c>
      <c r="D694" t="inlineStr">
        <is>
          <t>KALMAR LÄN</t>
        </is>
      </c>
      <c r="E694" t="inlineStr">
        <is>
          <t>VIMMERBY</t>
        </is>
      </c>
      <c r="F694" t="inlineStr">
        <is>
          <t>Kommuner</t>
        </is>
      </c>
      <c r="G694" t="n">
        <v>2.6</v>
      </c>
      <c r="H694" t="n">
        <v>0</v>
      </c>
      <c r="I694" t="n">
        <v>0</v>
      </c>
      <c r="J694" t="n">
        <v>0</v>
      </c>
      <c r="K694" t="n">
        <v>0</v>
      </c>
      <c r="L694" t="n">
        <v>0</v>
      </c>
      <c r="M694" t="n">
        <v>0</v>
      </c>
      <c r="N694" t="n">
        <v>0</v>
      </c>
      <c r="O694" t="n">
        <v>0</v>
      </c>
      <c r="P694" t="n">
        <v>0</v>
      </c>
      <c r="Q694" t="n">
        <v>0</v>
      </c>
      <c r="R694" s="2" t="inlineStr"/>
    </row>
    <row r="695" ht="15" customHeight="1">
      <c r="A695" t="inlineStr">
        <is>
          <t>A 4297-2022</t>
        </is>
      </c>
      <c r="B695" s="1" t="n">
        <v>44588</v>
      </c>
      <c r="C695" s="1" t="n">
        <v>45988</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46399-2024</t>
        </is>
      </c>
      <c r="B696" s="1" t="n">
        <v>45582.41200231481</v>
      </c>
      <c r="C696" s="1" t="n">
        <v>45988</v>
      </c>
      <c r="D696" t="inlineStr">
        <is>
          <t>KALMAR LÄN</t>
        </is>
      </c>
      <c r="E696" t="inlineStr">
        <is>
          <t>VIMMERBY</t>
        </is>
      </c>
      <c r="G696" t="n">
        <v>4.6</v>
      </c>
      <c r="H696" t="n">
        <v>0</v>
      </c>
      <c r="I696" t="n">
        <v>0</v>
      </c>
      <c r="J696" t="n">
        <v>0</v>
      </c>
      <c r="K696" t="n">
        <v>0</v>
      </c>
      <c r="L696" t="n">
        <v>0</v>
      </c>
      <c r="M696" t="n">
        <v>0</v>
      </c>
      <c r="N696" t="n">
        <v>0</v>
      </c>
      <c r="O696" t="n">
        <v>0</v>
      </c>
      <c r="P696" t="n">
        <v>0</v>
      </c>
      <c r="Q696" t="n">
        <v>0</v>
      </c>
      <c r="R696" s="2" t="inlineStr"/>
    </row>
    <row r="697" ht="15" customHeight="1">
      <c r="A697" t="inlineStr">
        <is>
          <t>A 13532-2025</t>
        </is>
      </c>
      <c r="B697" s="1" t="n">
        <v>45736.50743055555</v>
      </c>
      <c r="C697" s="1" t="n">
        <v>45988</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44833.60123842592</v>
      </c>
      <c r="C698" s="1" t="n">
        <v>45988</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12596-2021</t>
        </is>
      </c>
      <c r="B699" s="1" t="n">
        <v>44270.39765046296</v>
      </c>
      <c r="C699" s="1" t="n">
        <v>45988</v>
      </c>
      <c r="D699" t="inlineStr">
        <is>
          <t>KALMAR LÄN</t>
        </is>
      </c>
      <c r="E699" t="inlineStr">
        <is>
          <t>VIMMERBY</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57799-2022</t>
        </is>
      </c>
      <c r="B700" s="1" t="n">
        <v>44897</v>
      </c>
      <c r="C700" s="1" t="n">
        <v>45988</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30921-2024</t>
        </is>
      </c>
      <c r="B701" s="1" t="n">
        <v>45498</v>
      </c>
      <c r="C701" s="1" t="n">
        <v>45988</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14137-2023</t>
        </is>
      </c>
      <c r="B702" s="1" t="n">
        <v>45009.4671875</v>
      </c>
      <c r="C702" s="1" t="n">
        <v>45988</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11152-2023</t>
        </is>
      </c>
      <c r="B703" s="1" t="n">
        <v>44992</v>
      </c>
      <c r="C703" s="1" t="n">
        <v>45988</v>
      </c>
      <c r="D703" t="inlineStr">
        <is>
          <t>KALMAR LÄN</t>
        </is>
      </c>
      <c r="E703" t="inlineStr">
        <is>
          <t>VIMMERBY</t>
        </is>
      </c>
      <c r="G703" t="n">
        <v>10.6</v>
      </c>
      <c r="H703" t="n">
        <v>0</v>
      </c>
      <c r="I703" t="n">
        <v>0</v>
      </c>
      <c r="J703" t="n">
        <v>0</v>
      </c>
      <c r="K703" t="n">
        <v>0</v>
      </c>
      <c r="L703" t="n">
        <v>0</v>
      </c>
      <c r="M703" t="n">
        <v>0</v>
      </c>
      <c r="N703" t="n">
        <v>0</v>
      </c>
      <c r="O703" t="n">
        <v>0</v>
      </c>
      <c r="P703" t="n">
        <v>0</v>
      </c>
      <c r="Q703" t="n">
        <v>0</v>
      </c>
      <c r="R703" s="2" t="inlineStr"/>
    </row>
    <row r="704" ht="15" customHeight="1">
      <c r="A704" t="inlineStr">
        <is>
          <t>A 12499-2023</t>
        </is>
      </c>
      <c r="B704" s="1" t="n">
        <v>44999.86172453704</v>
      </c>
      <c r="C704" s="1" t="n">
        <v>45988</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12500-2023</t>
        </is>
      </c>
      <c r="B705" s="1" t="n">
        <v>44999.8625</v>
      </c>
      <c r="C705" s="1" t="n">
        <v>45988</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35846-2023</t>
        </is>
      </c>
      <c r="B706" s="1" t="n">
        <v>45148</v>
      </c>
      <c r="C706" s="1" t="n">
        <v>45988</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49039-2021</t>
        </is>
      </c>
      <c r="B707" s="1" t="n">
        <v>44453.56578703703</v>
      </c>
      <c r="C707" s="1" t="n">
        <v>45988</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46224-2024</t>
        </is>
      </c>
      <c r="B708" s="1" t="n">
        <v>45581.57016203704</v>
      </c>
      <c r="C708" s="1" t="n">
        <v>45988</v>
      </c>
      <c r="D708" t="inlineStr">
        <is>
          <t>KALMAR LÄN</t>
        </is>
      </c>
      <c r="E708" t="inlineStr">
        <is>
          <t>VIMMERBY</t>
        </is>
      </c>
      <c r="G708" t="n">
        <v>3.1</v>
      </c>
      <c r="H708" t="n">
        <v>0</v>
      </c>
      <c r="I708" t="n">
        <v>0</v>
      </c>
      <c r="J708" t="n">
        <v>0</v>
      </c>
      <c r="K708" t="n">
        <v>0</v>
      </c>
      <c r="L708" t="n">
        <v>0</v>
      </c>
      <c r="M708" t="n">
        <v>0</v>
      </c>
      <c r="N708" t="n">
        <v>0</v>
      </c>
      <c r="O708" t="n">
        <v>0</v>
      </c>
      <c r="P708" t="n">
        <v>0</v>
      </c>
      <c r="Q708" t="n">
        <v>0</v>
      </c>
      <c r="R708" s="2" t="inlineStr"/>
    </row>
    <row r="709" ht="15" customHeight="1">
      <c r="A709" t="inlineStr">
        <is>
          <t>A 46238-2024</t>
        </is>
      </c>
      <c r="B709" s="1" t="n">
        <v>45581.58418981481</v>
      </c>
      <c r="C709" s="1" t="n">
        <v>45988</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30633-2024</t>
        </is>
      </c>
      <c r="B710" s="1" t="n">
        <v>45495</v>
      </c>
      <c r="C710" s="1" t="n">
        <v>45988</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54838-2024</t>
        </is>
      </c>
      <c r="B711" s="1" t="n">
        <v>45618.56787037037</v>
      </c>
      <c r="C711" s="1" t="n">
        <v>45988</v>
      </c>
      <c r="D711" t="inlineStr">
        <is>
          <t>KALMAR LÄN</t>
        </is>
      </c>
      <c r="E711" t="inlineStr">
        <is>
          <t>VIMMERBY</t>
        </is>
      </c>
      <c r="G711" t="n">
        <v>3.3</v>
      </c>
      <c r="H711" t="n">
        <v>0</v>
      </c>
      <c r="I711" t="n">
        <v>0</v>
      </c>
      <c r="J711" t="n">
        <v>0</v>
      </c>
      <c r="K711" t="n">
        <v>0</v>
      </c>
      <c r="L711" t="n">
        <v>0</v>
      </c>
      <c r="M711" t="n">
        <v>0</v>
      </c>
      <c r="N711" t="n">
        <v>0</v>
      </c>
      <c r="O711" t="n">
        <v>0</v>
      </c>
      <c r="P711" t="n">
        <v>0</v>
      </c>
      <c r="Q711" t="n">
        <v>0</v>
      </c>
      <c r="R711" s="2" t="inlineStr"/>
    </row>
    <row r="712" ht="15" customHeight="1">
      <c r="A712" t="inlineStr">
        <is>
          <t>A 6405-2025</t>
        </is>
      </c>
      <c r="B712" s="1" t="n">
        <v>45699.45392361111</v>
      </c>
      <c r="C712" s="1" t="n">
        <v>45988</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60437-2023</t>
        </is>
      </c>
      <c r="B713" s="1" t="n">
        <v>45259.51916666667</v>
      </c>
      <c r="C713" s="1" t="n">
        <v>45988</v>
      </c>
      <c r="D713" t="inlineStr">
        <is>
          <t>KALMAR LÄN</t>
        </is>
      </c>
      <c r="E713" t="inlineStr">
        <is>
          <t>VIMMERBY</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60438-2023</t>
        </is>
      </c>
      <c r="B714" s="1" t="n">
        <v>45259.52020833334</v>
      </c>
      <c r="C714" s="1" t="n">
        <v>45988</v>
      </c>
      <c r="D714" t="inlineStr">
        <is>
          <t>KALMAR LÄN</t>
        </is>
      </c>
      <c r="E714" t="inlineStr">
        <is>
          <t>VIMMERBY</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42165-2024</t>
        </is>
      </c>
      <c r="B715" s="1" t="n">
        <v>45562.46342592593</v>
      </c>
      <c r="C715" s="1" t="n">
        <v>45988</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25244-2023</t>
        </is>
      </c>
      <c r="B716" s="1" t="n">
        <v>45086</v>
      </c>
      <c r="C716" s="1" t="n">
        <v>45988</v>
      </c>
      <c r="D716" t="inlineStr">
        <is>
          <t>KALMAR LÄN</t>
        </is>
      </c>
      <c r="E716" t="inlineStr">
        <is>
          <t>VIMMERBY</t>
        </is>
      </c>
      <c r="G716" t="n">
        <v>4.7</v>
      </c>
      <c r="H716" t="n">
        <v>0</v>
      </c>
      <c r="I716" t="n">
        <v>0</v>
      </c>
      <c r="J716" t="n">
        <v>0</v>
      </c>
      <c r="K716" t="n">
        <v>0</v>
      </c>
      <c r="L716" t="n">
        <v>0</v>
      </c>
      <c r="M716" t="n">
        <v>0</v>
      </c>
      <c r="N716" t="n">
        <v>0</v>
      </c>
      <c r="O716" t="n">
        <v>0</v>
      </c>
      <c r="P716" t="n">
        <v>0</v>
      </c>
      <c r="Q716" t="n">
        <v>0</v>
      </c>
      <c r="R716" s="2" t="inlineStr"/>
    </row>
    <row r="717" ht="15" customHeight="1">
      <c r="A717" t="inlineStr">
        <is>
          <t>A 66022-2021</t>
        </is>
      </c>
      <c r="B717" s="1" t="n">
        <v>44517</v>
      </c>
      <c r="C717" s="1" t="n">
        <v>45988</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35895-2024</t>
        </is>
      </c>
      <c r="B718" s="1" t="n">
        <v>45533.38870370371</v>
      </c>
      <c r="C718" s="1" t="n">
        <v>45988</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11073-2023</t>
        </is>
      </c>
      <c r="B719" s="1" t="n">
        <v>44992</v>
      </c>
      <c r="C719" s="1" t="n">
        <v>45988</v>
      </c>
      <c r="D719" t="inlineStr">
        <is>
          <t>KALMAR LÄN</t>
        </is>
      </c>
      <c r="E719" t="inlineStr">
        <is>
          <t>VIMMERBY</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17-2025</t>
        </is>
      </c>
      <c r="B720" s="1" t="n">
        <v>45658.78774305555</v>
      </c>
      <c r="C720" s="1" t="n">
        <v>45988</v>
      </c>
      <c r="D720" t="inlineStr">
        <is>
          <t>KALMAR LÄN</t>
        </is>
      </c>
      <c r="E720" t="inlineStr">
        <is>
          <t>VIMMERBY</t>
        </is>
      </c>
      <c r="G720" t="n">
        <v>4.4</v>
      </c>
      <c r="H720" t="n">
        <v>0</v>
      </c>
      <c r="I720" t="n">
        <v>0</v>
      </c>
      <c r="J720" t="n">
        <v>0</v>
      </c>
      <c r="K720" t="n">
        <v>0</v>
      </c>
      <c r="L720" t="n">
        <v>0</v>
      </c>
      <c r="M720" t="n">
        <v>0</v>
      </c>
      <c r="N720" t="n">
        <v>0</v>
      </c>
      <c r="O720" t="n">
        <v>0</v>
      </c>
      <c r="P720" t="n">
        <v>0</v>
      </c>
      <c r="Q720" t="n">
        <v>0</v>
      </c>
      <c r="R720" s="2" t="inlineStr"/>
    </row>
    <row r="721" ht="15" customHeight="1">
      <c r="A721" t="inlineStr">
        <is>
          <t>A 32655-2023</t>
        </is>
      </c>
      <c r="B721" s="1" t="n">
        <v>45121.61318287037</v>
      </c>
      <c r="C721" s="1" t="n">
        <v>45988</v>
      </c>
      <c r="D721" t="inlineStr">
        <is>
          <t>KALMAR LÄN</t>
        </is>
      </c>
      <c r="E721" t="inlineStr">
        <is>
          <t>VIMMERBY</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63541-2023</t>
        </is>
      </c>
      <c r="B722" s="1" t="n">
        <v>45275.32266203704</v>
      </c>
      <c r="C722" s="1" t="n">
        <v>45988</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28034-2022</t>
        </is>
      </c>
      <c r="B723" s="1" t="n">
        <v>44746.38834490741</v>
      </c>
      <c r="C723" s="1" t="n">
        <v>45988</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5938-2022</t>
        </is>
      </c>
      <c r="B724" s="1" t="n">
        <v>44598</v>
      </c>
      <c r="C724" s="1" t="n">
        <v>45988</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24283-2023</t>
        </is>
      </c>
      <c r="B725" s="1" t="n">
        <v>45079.87827546296</v>
      </c>
      <c r="C725" s="1" t="n">
        <v>45988</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2462-2022</t>
        </is>
      </c>
      <c r="B726" s="1" t="n">
        <v>44579.62225694444</v>
      </c>
      <c r="C726" s="1" t="n">
        <v>45988</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60228-2021</t>
        </is>
      </c>
      <c r="B727" s="1" t="n">
        <v>44495</v>
      </c>
      <c r="C727" s="1" t="n">
        <v>45988</v>
      </c>
      <c r="D727" t="inlineStr">
        <is>
          <t>KALMAR LÄN</t>
        </is>
      </c>
      <c r="E727" t="inlineStr">
        <is>
          <t>VIMMERBY</t>
        </is>
      </c>
      <c r="G727" t="n">
        <v>4.1</v>
      </c>
      <c r="H727" t="n">
        <v>0</v>
      </c>
      <c r="I727" t="n">
        <v>0</v>
      </c>
      <c r="J727" t="n">
        <v>0</v>
      </c>
      <c r="K727" t="n">
        <v>0</v>
      </c>
      <c r="L727" t="n">
        <v>0</v>
      </c>
      <c r="M727" t="n">
        <v>0</v>
      </c>
      <c r="N727" t="n">
        <v>0</v>
      </c>
      <c r="O727" t="n">
        <v>0</v>
      </c>
      <c r="P727" t="n">
        <v>0</v>
      </c>
      <c r="Q727" t="n">
        <v>0</v>
      </c>
      <c r="R727" s="2" t="inlineStr"/>
    </row>
    <row r="728" ht="15" customHeight="1">
      <c r="A728" t="inlineStr">
        <is>
          <t>A 25979-2023</t>
        </is>
      </c>
      <c r="B728" s="1" t="n">
        <v>45090.89653935185</v>
      </c>
      <c r="C728" s="1" t="n">
        <v>45988</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25980-2023</t>
        </is>
      </c>
      <c r="B729" s="1" t="n">
        <v>45090.89880787037</v>
      </c>
      <c r="C729" s="1" t="n">
        <v>45988</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12510-2022</t>
        </is>
      </c>
      <c r="B730" s="1" t="n">
        <v>44638.55256944444</v>
      </c>
      <c r="C730" s="1" t="n">
        <v>45988</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6358-2022</t>
        </is>
      </c>
      <c r="B731" s="1" t="n">
        <v>44600</v>
      </c>
      <c r="C731" s="1" t="n">
        <v>45988</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48373-2021</t>
        </is>
      </c>
      <c r="B732" s="1" t="n">
        <v>44451</v>
      </c>
      <c r="C732" s="1" t="n">
        <v>45988</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57256-2023</t>
        </is>
      </c>
      <c r="B733" s="1" t="n">
        <v>45245.5735300926</v>
      </c>
      <c r="C733" s="1" t="n">
        <v>45988</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17482-2024</t>
        </is>
      </c>
      <c r="B734" s="1" t="n">
        <v>45415.47848379629</v>
      </c>
      <c r="C734" s="1" t="n">
        <v>45988</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55123-2024</t>
        </is>
      </c>
      <c r="B735" s="1" t="n">
        <v>45621.46103009259</v>
      </c>
      <c r="C735" s="1" t="n">
        <v>45988</v>
      </c>
      <c r="D735" t="inlineStr">
        <is>
          <t>KALMAR LÄN</t>
        </is>
      </c>
      <c r="E735" t="inlineStr">
        <is>
          <t>VIMMERBY</t>
        </is>
      </c>
      <c r="G735" t="n">
        <v>3.1</v>
      </c>
      <c r="H735" t="n">
        <v>0</v>
      </c>
      <c r="I735" t="n">
        <v>0</v>
      </c>
      <c r="J735" t="n">
        <v>0</v>
      </c>
      <c r="K735" t="n">
        <v>0</v>
      </c>
      <c r="L735" t="n">
        <v>0</v>
      </c>
      <c r="M735" t="n">
        <v>0</v>
      </c>
      <c r="N735" t="n">
        <v>0</v>
      </c>
      <c r="O735" t="n">
        <v>0</v>
      </c>
      <c r="P735" t="n">
        <v>0</v>
      </c>
      <c r="Q735" t="n">
        <v>0</v>
      </c>
      <c r="R735" s="2" t="inlineStr"/>
    </row>
    <row r="736" ht="15" customHeight="1">
      <c r="A736" t="inlineStr">
        <is>
          <t>A 49313-2022</t>
        </is>
      </c>
      <c r="B736" s="1" t="n">
        <v>44861.52505787037</v>
      </c>
      <c r="C736" s="1" t="n">
        <v>45988</v>
      </c>
      <c r="D736" t="inlineStr">
        <is>
          <t>KALMAR LÄN</t>
        </is>
      </c>
      <c r="E736" t="inlineStr">
        <is>
          <t>VIMMERBY</t>
        </is>
      </c>
      <c r="G736" t="n">
        <v>1.9</v>
      </c>
      <c r="H736" t="n">
        <v>0</v>
      </c>
      <c r="I736" t="n">
        <v>0</v>
      </c>
      <c r="J736" t="n">
        <v>0</v>
      </c>
      <c r="K736" t="n">
        <v>0</v>
      </c>
      <c r="L736" t="n">
        <v>0</v>
      </c>
      <c r="M736" t="n">
        <v>0</v>
      </c>
      <c r="N736" t="n">
        <v>0</v>
      </c>
      <c r="O736" t="n">
        <v>0</v>
      </c>
      <c r="P736" t="n">
        <v>0</v>
      </c>
      <c r="Q736" t="n">
        <v>0</v>
      </c>
      <c r="R736" s="2" t="inlineStr"/>
    </row>
    <row r="737" ht="15" customHeight="1">
      <c r="A737" t="inlineStr">
        <is>
          <t>A 1987-2024</t>
        </is>
      </c>
      <c r="B737" s="1" t="n">
        <v>45308.61152777778</v>
      </c>
      <c r="C737" s="1" t="n">
        <v>45988</v>
      </c>
      <c r="D737" t="inlineStr">
        <is>
          <t>KALMAR LÄN</t>
        </is>
      </c>
      <c r="E737" t="inlineStr">
        <is>
          <t>VIMMERBY</t>
        </is>
      </c>
      <c r="G737" t="n">
        <v>3</v>
      </c>
      <c r="H737" t="n">
        <v>0</v>
      </c>
      <c r="I737" t="n">
        <v>0</v>
      </c>
      <c r="J737" t="n">
        <v>0</v>
      </c>
      <c r="K737" t="n">
        <v>0</v>
      </c>
      <c r="L737" t="n">
        <v>0</v>
      </c>
      <c r="M737" t="n">
        <v>0</v>
      </c>
      <c r="N737" t="n">
        <v>0</v>
      </c>
      <c r="O737" t="n">
        <v>0</v>
      </c>
      <c r="P737" t="n">
        <v>0</v>
      </c>
      <c r="Q737" t="n">
        <v>0</v>
      </c>
      <c r="R737" s="2" t="inlineStr"/>
    </row>
    <row r="738" ht="15" customHeight="1">
      <c r="A738" t="inlineStr">
        <is>
          <t>A 21507-2023</t>
        </is>
      </c>
      <c r="B738" s="1" t="n">
        <v>45063.508125</v>
      </c>
      <c r="C738" s="1" t="n">
        <v>45988</v>
      </c>
      <c r="D738" t="inlineStr">
        <is>
          <t>KALMAR LÄN</t>
        </is>
      </c>
      <c r="E738" t="inlineStr">
        <is>
          <t>VIMMERBY</t>
        </is>
      </c>
      <c r="G738" t="n">
        <v>2.8</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44895.62296296296</v>
      </c>
      <c r="C739" s="1" t="n">
        <v>45988</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48673-2021</t>
        </is>
      </c>
      <c r="B740" s="1" t="n">
        <v>44452</v>
      </c>
      <c r="C740" s="1" t="n">
        <v>45988</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14248-2023</t>
        </is>
      </c>
      <c r="B741" s="1" t="n">
        <v>45009</v>
      </c>
      <c r="C741" s="1" t="n">
        <v>45988</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12480-2024</t>
        </is>
      </c>
      <c r="B742" s="1" t="n">
        <v>45379</v>
      </c>
      <c r="C742" s="1" t="n">
        <v>45988</v>
      </c>
      <c r="D742" t="inlineStr">
        <is>
          <t>KALMAR LÄN</t>
        </is>
      </c>
      <c r="E742" t="inlineStr">
        <is>
          <t>VIMMERBY</t>
        </is>
      </c>
      <c r="G742" t="n">
        <v>2.8</v>
      </c>
      <c r="H742" t="n">
        <v>0</v>
      </c>
      <c r="I742" t="n">
        <v>0</v>
      </c>
      <c r="J742" t="n">
        <v>0</v>
      </c>
      <c r="K742" t="n">
        <v>0</v>
      </c>
      <c r="L742" t="n">
        <v>0</v>
      </c>
      <c r="M742" t="n">
        <v>0</v>
      </c>
      <c r="N742" t="n">
        <v>0</v>
      </c>
      <c r="O742" t="n">
        <v>0</v>
      </c>
      <c r="P742" t="n">
        <v>0</v>
      </c>
      <c r="Q742" t="n">
        <v>0</v>
      </c>
      <c r="R742" s="2" t="inlineStr"/>
    </row>
    <row r="743" ht="15" customHeight="1">
      <c r="A743" t="inlineStr">
        <is>
          <t>A 40095-2022</t>
        </is>
      </c>
      <c r="B743" s="1" t="n">
        <v>44820</v>
      </c>
      <c r="C743" s="1" t="n">
        <v>45988</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50085-2023</t>
        </is>
      </c>
      <c r="B744" s="1" t="n">
        <v>45215.5959375</v>
      </c>
      <c r="C744" s="1" t="n">
        <v>45988</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50087-2023</t>
        </is>
      </c>
      <c r="B745" s="1" t="n">
        <v>45215.59743055556</v>
      </c>
      <c r="C745" s="1" t="n">
        <v>45988</v>
      </c>
      <c r="D745" t="inlineStr">
        <is>
          <t>KALMAR LÄN</t>
        </is>
      </c>
      <c r="E745" t="inlineStr">
        <is>
          <t>VIMMERBY</t>
        </is>
      </c>
      <c r="G745" t="n">
        <v>0.9</v>
      </c>
      <c r="H745" t="n">
        <v>0</v>
      </c>
      <c r="I745" t="n">
        <v>0</v>
      </c>
      <c r="J745" t="n">
        <v>0</v>
      </c>
      <c r="K745" t="n">
        <v>0</v>
      </c>
      <c r="L745" t="n">
        <v>0</v>
      </c>
      <c r="M745" t="n">
        <v>0</v>
      </c>
      <c r="N745" t="n">
        <v>0</v>
      </c>
      <c r="O745" t="n">
        <v>0</v>
      </c>
      <c r="P745" t="n">
        <v>0</v>
      </c>
      <c r="Q745" t="n">
        <v>0</v>
      </c>
      <c r="R745" s="2" t="inlineStr"/>
    </row>
    <row r="746" ht="15" customHeight="1">
      <c r="A746" t="inlineStr">
        <is>
          <t>A 8167-2024</t>
        </is>
      </c>
      <c r="B746" s="1" t="n">
        <v>45351.6062962963</v>
      </c>
      <c r="C746" s="1" t="n">
        <v>45988</v>
      </c>
      <c r="D746" t="inlineStr">
        <is>
          <t>KALMAR LÄN</t>
        </is>
      </c>
      <c r="E746" t="inlineStr">
        <is>
          <t>VIMMERBY</t>
        </is>
      </c>
      <c r="G746" t="n">
        <v>3.8</v>
      </c>
      <c r="H746" t="n">
        <v>0</v>
      </c>
      <c r="I746" t="n">
        <v>0</v>
      </c>
      <c r="J746" t="n">
        <v>0</v>
      </c>
      <c r="K746" t="n">
        <v>0</v>
      </c>
      <c r="L746" t="n">
        <v>0</v>
      </c>
      <c r="M746" t="n">
        <v>0</v>
      </c>
      <c r="N746" t="n">
        <v>0</v>
      </c>
      <c r="O746" t="n">
        <v>0</v>
      </c>
      <c r="P746" t="n">
        <v>0</v>
      </c>
      <c r="Q746" t="n">
        <v>0</v>
      </c>
      <c r="R746" s="2" t="inlineStr"/>
    </row>
    <row r="747" ht="15" customHeight="1">
      <c r="A747" t="inlineStr">
        <is>
          <t>A 2604-2025</t>
        </is>
      </c>
      <c r="B747" s="1" t="n">
        <v>45674.74094907408</v>
      </c>
      <c r="C747" s="1" t="n">
        <v>45988</v>
      </c>
      <c r="D747" t="inlineStr">
        <is>
          <t>KALMAR LÄN</t>
        </is>
      </c>
      <c r="E747" t="inlineStr">
        <is>
          <t>VIMMERBY</t>
        </is>
      </c>
      <c r="G747" t="n">
        <v>7.6</v>
      </c>
      <c r="H747" t="n">
        <v>0</v>
      </c>
      <c r="I747" t="n">
        <v>0</v>
      </c>
      <c r="J747" t="n">
        <v>0</v>
      </c>
      <c r="K747" t="n">
        <v>0</v>
      </c>
      <c r="L747" t="n">
        <v>0</v>
      </c>
      <c r="M747" t="n">
        <v>0</v>
      </c>
      <c r="N747" t="n">
        <v>0</v>
      </c>
      <c r="O747" t="n">
        <v>0</v>
      </c>
      <c r="P747" t="n">
        <v>0</v>
      </c>
      <c r="Q747" t="n">
        <v>0</v>
      </c>
      <c r="R747" s="2" t="inlineStr"/>
    </row>
    <row r="748" ht="15" customHeight="1">
      <c r="A748" t="inlineStr">
        <is>
          <t>A 37192-2024</t>
        </is>
      </c>
      <c r="B748" s="1" t="n">
        <v>45539.66027777778</v>
      </c>
      <c r="C748" s="1" t="n">
        <v>45988</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42429-2024</t>
        </is>
      </c>
      <c r="B749" s="1" t="n">
        <v>45565.40657407408</v>
      </c>
      <c r="C749" s="1" t="n">
        <v>45988</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29180-2024</t>
        </is>
      </c>
      <c r="B750" s="1" t="n">
        <v>45482.54108796296</v>
      </c>
      <c r="C750" s="1" t="n">
        <v>45988</v>
      </c>
      <c r="D750" t="inlineStr">
        <is>
          <t>KALMAR LÄN</t>
        </is>
      </c>
      <c r="E750" t="inlineStr">
        <is>
          <t>VIMMERBY</t>
        </is>
      </c>
      <c r="G750" t="n">
        <v>3.8</v>
      </c>
      <c r="H750" t="n">
        <v>0</v>
      </c>
      <c r="I750" t="n">
        <v>0</v>
      </c>
      <c r="J750" t="n">
        <v>0</v>
      </c>
      <c r="K750" t="n">
        <v>0</v>
      </c>
      <c r="L750" t="n">
        <v>0</v>
      </c>
      <c r="M750" t="n">
        <v>0</v>
      </c>
      <c r="N750" t="n">
        <v>0</v>
      </c>
      <c r="O750" t="n">
        <v>0</v>
      </c>
      <c r="P750" t="n">
        <v>0</v>
      </c>
      <c r="Q750" t="n">
        <v>0</v>
      </c>
      <c r="R750" s="2" t="inlineStr"/>
    </row>
    <row r="751" ht="15" customHeight="1">
      <c r="A751" t="inlineStr">
        <is>
          <t>A 45846-2023</t>
        </is>
      </c>
      <c r="B751" s="1" t="n">
        <v>45195.58452546296</v>
      </c>
      <c r="C751" s="1" t="n">
        <v>45988</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16020-2023</t>
        </is>
      </c>
      <c r="B752" s="1" t="n">
        <v>45026.82216435186</v>
      </c>
      <c r="C752" s="1" t="n">
        <v>45988</v>
      </c>
      <c r="D752" t="inlineStr">
        <is>
          <t>KALMAR LÄN</t>
        </is>
      </c>
      <c r="E752" t="inlineStr">
        <is>
          <t>VIMMERBY</t>
        </is>
      </c>
      <c r="G752" t="n">
        <v>1.1</v>
      </c>
      <c r="H752" t="n">
        <v>0</v>
      </c>
      <c r="I752" t="n">
        <v>0</v>
      </c>
      <c r="J752" t="n">
        <v>0</v>
      </c>
      <c r="K752" t="n">
        <v>0</v>
      </c>
      <c r="L752" t="n">
        <v>0</v>
      </c>
      <c r="M752" t="n">
        <v>0</v>
      </c>
      <c r="N752" t="n">
        <v>0</v>
      </c>
      <c r="O752" t="n">
        <v>0</v>
      </c>
      <c r="P752" t="n">
        <v>0</v>
      </c>
      <c r="Q752" t="n">
        <v>0</v>
      </c>
      <c r="R752" s="2" t="inlineStr"/>
    </row>
    <row r="753" ht="15" customHeight="1">
      <c r="A753" t="inlineStr">
        <is>
          <t>A 61820-2023</t>
        </is>
      </c>
      <c r="B753" s="1" t="n">
        <v>45266.32614583334</v>
      </c>
      <c r="C753" s="1" t="n">
        <v>45988</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45560-2021</t>
        </is>
      </c>
      <c r="B754" s="1" t="n">
        <v>44440</v>
      </c>
      <c r="C754" s="1" t="n">
        <v>45988</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40256-2024</t>
        </is>
      </c>
      <c r="B755" s="1" t="n">
        <v>45554.62944444444</v>
      </c>
      <c r="C755" s="1" t="n">
        <v>45988</v>
      </c>
      <c r="D755" t="inlineStr">
        <is>
          <t>KALMAR LÄN</t>
        </is>
      </c>
      <c r="E755" t="inlineStr">
        <is>
          <t>VIMMERBY</t>
        </is>
      </c>
      <c r="G755" t="n">
        <v>0.9</v>
      </c>
      <c r="H755" t="n">
        <v>0</v>
      </c>
      <c r="I755" t="n">
        <v>0</v>
      </c>
      <c r="J755" t="n">
        <v>0</v>
      </c>
      <c r="K755" t="n">
        <v>0</v>
      </c>
      <c r="L755" t="n">
        <v>0</v>
      </c>
      <c r="M755" t="n">
        <v>0</v>
      </c>
      <c r="N755" t="n">
        <v>0</v>
      </c>
      <c r="O755" t="n">
        <v>0</v>
      </c>
      <c r="P755" t="n">
        <v>0</v>
      </c>
      <c r="Q755" t="n">
        <v>0</v>
      </c>
      <c r="R755" s="2" t="inlineStr"/>
    </row>
    <row r="756" ht="15" customHeight="1">
      <c r="A756" t="inlineStr">
        <is>
          <t>A 58104-2024</t>
        </is>
      </c>
      <c r="B756" s="1" t="n">
        <v>45632.37459490741</v>
      </c>
      <c r="C756" s="1" t="n">
        <v>45988</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36259-2022</t>
        </is>
      </c>
      <c r="B757" s="1" t="n">
        <v>44803.59118055556</v>
      </c>
      <c r="C757" s="1" t="n">
        <v>45988</v>
      </c>
      <c r="D757" t="inlineStr">
        <is>
          <t>KALMAR LÄN</t>
        </is>
      </c>
      <c r="E757" t="inlineStr">
        <is>
          <t>VIMMERBY</t>
        </is>
      </c>
      <c r="G757" t="n">
        <v>3.9</v>
      </c>
      <c r="H757" t="n">
        <v>0</v>
      </c>
      <c r="I757" t="n">
        <v>0</v>
      </c>
      <c r="J757" t="n">
        <v>0</v>
      </c>
      <c r="K757" t="n">
        <v>0</v>
      </c>
      <c r="L757" t="n">
        <v>0</v>
      </c>
      <c r="M757" t="n">
        <v>0</v>
      </c>
      <c r="N757" t="n">
        <v>0</v>
      </c>
      <c r="O757" t="n">
        <v>0</v>
      </c>
      <c r="P757" t="n">
        <v>0</v>
      </c>
      <c r="Q757" t="n">
        <v>0</v>
      </c>
      <c r="R757" s="2" t="inlineStr"/>
    </row>
    <row r="758" ht="15" customHeight="1">
      <c r="A758" t="inlineStr">
        <is>
          <t>A 43034-2024</t>
        </is>
      </c>
      <c r="B758" s="1" t="n">
        <v>45567.42011574074</v>
      </c>
      <c r="C758" s="1" t="n">
        <v>45988</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3902-2022</t>
        </is>
      </c>
      <c r="B759" s="1" t="n">
        <v>44587.48847222222</v>
      </c>
      <c r="C759" s="1" t="n">
        <v>45988</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30070-2023</t>
        </is>
      </c>
      <c r="B760" s="1" t="n">
        <v>45110.4275</v>
      </c>
      <c r="C760" s="1" t="n">
        <v>45988</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31209-2024</t>
        </is>
      </c>
      <c r="B761" s="1" t="n">
        <v>45503.5658912037</v>
      </c>
      <c r="C761" s="1" t="n">
        <v>45988</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45988</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12586-2021</t>
        </is>
      </c>
      <c r="B763" s="1" t="n">
        <v>44270.38002314815</v>
      </c>
      <c r="C763" s="1" t="n">
        <v>45988</v>
      </c>
      <c r="D763" t="inlineStr">
        <is>
          <t>KALMAR LÄN</t>
        </is>
      </c>
      <c r="E763" t="inlineStr">
        <is>
          <t>VIMMERBY</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5864-2022</t>
        </is>
      </c>
      <c r="B764" s="1" t="n">
        <v>44596</v>
      </c>
      <c r="C764" s="1" t="n">
        <v>45988</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30912-2023</t>
        </is>
      </c>
      <c r="B765" s="1" t="n">
        <v>45113.41633101852</v>
      </c>
      <c r="C765" s="1" t="n">
        <v>45988</v>
      </c>
      <c r="D765" t="inlineStr">
        <is>
          <t>KALMAR LÄN</t>
        </is>
      </c>
      <c r="E765" t="inlineStr">
        <is>
          <t>VIMMERBY</t>
        </is>
      </c>
      <c r="G765" t="n">
        <v>5</v>
      </c>
      <c r="H765" t="n">
        <v>0</v>
      </c>
      <c r="I765" t="n">
        <v>0</v>
      </c>
      <c r="J765" t="n">
        <v>0</v>
      </c>
      <c r="K765" t="n">
        <v>0</v>
      </c>
      <c r="L765" t="n">
        <v>0</v>
      </c>
      <c r="M765" t="n">
        <v>0</v>
      </c>
      <c r="N765" t="n">
        <v>0</v>
      </c>
      <c r="O765" t="n">
        <v>0</v>
      </c>
      <c r="P765" t="n">
        <v>0</v>
      </c>
      <c r="Q765" t="n">
        <v>0</v>
      </c>
      <c r="R765" s="2" t="inlineStr"/>
    </row>
    <row r="766" ht="15" customHeight="1">
      <c r="A766" t="inlineStr">
        <is>
          <t>A 1146-2025</t>
        </is>
      </c>
      <c r="B766" s="1" t="n">
        <v>45666</v>
      </c>
      <c r="C766" s="1" t="n">
        <v>45988</v>
      </c>
      <c r="D766" t="inlineStr">
        <is>
          <t>KALMAR LÄN</t>
        </is>
      </c>
      <c r="E766" t="inlineStr">
        <is>
          <t>VIMMERBY</t>
        </is>
      </c>
      <c r="G766" t="n">
        <v>4</v>
      </c>
      <c r="H766" t="n">
        <v>0</v>
      </c>
      <c r="I766" t="n">
        <v>0</v>
      </c>
      <c r="J766" t="n">
        <v>0</v>
      </c>
      <c r="K766" t="n">
        <v>0</v>
      </c>
      <c r="L766" t="n">
        <v>0</v>
      </c>
      <c r="M766" t="n">
        <v>0</v>
      </c>
      <c r="N766" t="n">
        <v>0</v>
      </c>
      <c r="O766" t="n">
        <v>0</v>
      </c>
      <c r="P766" t="n">
        <v>0</v>
      </c>
      <c r="Q766" t="n">
        <v>0</v>
      </c>
      <c r="R766" s="2" t="inlineStr"/>
    </row>
    <row r="767" ht="15" customHeight="1">
      <c r="A767" t="inlineStr">
        <is>
          <t>A 62023-2022</t>
        </is>
      </c>
      <c r="B767" s="1" t="n">
        <v>44918.50106481482</v>
      </c>
      <c r="C767" s="1" t="n">
        <v>45988</v>
      </c>
      <c r="D767" t="inlineStr">
        <is>
          <t>KALMAR LÄN</t>
        </is>
      </c>
      <c r="E767" t="inlineStr">
        <is>
          <t>VIMMERBY</t>
        </is>
      </c>
      <c r="G767" t="n">
        <v>0.3</v>
      </c>
      <c r="H767" t="n">
        <v>0</v>
      </c>
      <c r="I767" t="n">
        <v>0</v>
      </c>
      <c r="J767" t="n">
        <v>0</v>
      </c>
      <c r="K767" t="n">
        <v>0</v>
      </c>
      <c r="L767" t="n">
        <v>0</v>
      </c>
      <c r="M767" t="n">
        <v>0</v>
      </c>
      <c r="N767" t="n">
        <v>0</v>
      </c>
      <c r="O767" t="n">
        <v>0</v>
      </c>
      <c r="P767" t="n">
        <v>0</v>
      </c>
      <c r="Q767" t="n">
        <v>0</v>
      </c>
      <c r="R767" s="2" t="inlineStr"/>
    </row>
    <row r="768" ht="15" customHeight="1">
      <c r="A768" t="inlineStr">
        <is>
          <t>A 16119-2023</t>
        </is>
      </c>
      <c r="B768" s="1" t="n">
        <v>45027.59450231482</v>
      </c>
      <c r="C768" s="1" t="n">
        <v>45988</v>
      </c>
      <c r="D768" t="inlineStr">
        <is>
          <t>KALMAR LÄN</t>
        </is>
      </c>
      <c r="E768" t="inlineStr">
        <is>
          <t>VIMMERBY</t>
        </is>
      </c>
      <c r="F768" t="inlineStr">
        <is>
          <t>Kommuner</t>
        </is>
      </c>
      <c r="G768" t="n">
        <v>4.4</v>
      </c>
      <c r="H768" t="n">
        <v>0</v>
      </c>
      <c r="I768" t="n">
        <v>0</v>
      </c>
      <c r="J768" t="n">
        <v>0</v>
      </c>
      <c r="K768" t="n">
        <v>0</v>
      </c>
      <c r="L768" t="n">
        <v>0</v>
      </c>
      <c r="M768" t="n">
        <v>0</v>
      </c>
      <c r="N768" t="n">
        <v>0</v>
      </c>
      <c r="O768" t="n">
        <v>0</v>
      </c>
      <c r="P768" t="n">
        <v>0</v>
      </c>
      <c r="Q768" t="n">
        <v>0</v>
      </c>
      <c r="R768" s="2" t="inlineStr"/>
    </row>
    <row r="769" ht="15" customHeight="1">
      <c r="A769" t="inlineStr">
        <is>
          <t>A 52327-2023</t>
        </is>
      </c>
      <c r="B769" s="1" t="n">
        <v>45224.6515162037</v>
      </c>
      <c r="C769" s="1" t="n">
        <v>45988</v>
      </c>
      <c r="D769" t="inlineStr">
        <is>
          <t>KALMAR LÄN</t>
        </is>
      </c>
      <c r="E769" t="inlineStr">
        <is>
          <t>VIMMERBY</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12075-2024</t>
        </is>
      </c>
      <c r="B770" s="1" t="n">
        <v>45377</v>
      </c>
      <c r="C770" s="1" t="n">
        <v>45988</v>
      </c>
      <c r="D770" t="inlineStr">
        <is>
          <t>KALMAR LÄN</t>
        </is>
      </c>
      <c r="E770" t="inlineStr">
        <is>
          <t>VIMMERBY</t>
        </is>
      </c>
      <c r="G770" t="n">
        <v>3.7</v>
      </c>
      <c r="H770" t="n">
        <v>0</v>
      </c>
      <c r="I770" t="n">
        <v>0</v>
      </c>
      <c r="J770" t="n">
        <v>0</v>
      </c>
      <c r="K770" t="n">
        <v>0</v>
      </c>
      <c r="L770" t="n">
        <v>0</v>
      </c>
      <c r="M770" t="n">
        <v>0</v>
      </c>
      <c r="N770" t="n">
        <v>0</v>
      </c>
      <c r="O770" t="n">
        <v>0</v>
      </c>
      <c r="P770" t="n">
        <v>0</v>
      </c>
      <c r="Q770" t="n">
        <v>0</v>
      </c>
      <c r="R770" s="2" t="inlineStr"/>
    </row>
    <row r="771" ht="15" customHeight="1">
      <c r="A771" t="inlineStr">
        <is>
          <t>A 29348-2023</t>
        </is>
      </c>
      <c r="B771" s="1" t="n">
        <v>45106.25025462963</v>
      </c>
      <c r="C771" s="1" t="n">
        <v>45988</v>
      </c>
      <c r="D771" t="inlineStr">
        <is>
          <t>KALMAR LÄN</t>
        </is>
      </c>
      <c r="E771" t="inlineStr">
        <is>
          <t>VIMMERBY</t>
        </is>
      </c>
      <c r="G771" t="n">
        <v>2.4</v>
      </c>
      <c r="H771" t="n">
        <v>0</v>
      </c>
      <c r="I771" t="n">
        <v>0</v>
      </c>
      <c r="J771" t="n">
        <v>0</v>
      </c>
      <c r="K771" t="n">
        <v>0</v>
      </c>
      <c r="L771" t="n">
        <v>0</v>
      </c>
      <c r="M771" t="n">
        <v>0</v>
      </c>
      <c r="N771" t="n">
        <v>0</v>
      </c>
      <c r="O771" t="n">
        <v>0</v>
      </c>
      <c r="P771" t="n">
        <v>0</v>
      </c>
      <c r="Q771" t="n">
        <v>0</v>
      </c>
      <c r="R771" s="2" t="inlineStr"/>
    </row>
    <row r="772" ht="15" customHeight="1">
      <c r="A772" t="inlineStr">
        <is>
          <t>A 31340-2023</t>
        </is>
      </c>
      <c r="B772" s="1" t="n">
        <v>45114.47895833333</v>
      </c>
      <c r="C772" s="1" t="n">
        <v>45988</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7758-2024</t>
        </is>
      </c>
      <c r="B773" s="1" t="n">
        <v>45349.54434027777</v>
      </c>
      <c r="C773" s="1" t="n">
        <v>45988</v>
      </c>
      <c r="D773" t="inlineStr">
        <is>
          <t>KALMAR LÄN</t>
        </is>
      </c>
      <c r="E773" t="inlineStr">
        <is>
          <t>VIMMERBY</t>
        </is>
      </c>
      <c r="G773" t="n">
        <v>3.5</v>
      </c>
      <c r="H773" t="n">
        <v>0</v>
      </c>
      <c r="I773" t="n">
        <v>0</v>
      </c>
      <c r="J773" t="n">
        <v>0</v>
      </c>
      <c r="K773" t="n">
        <v>0</v>
      </c>
      <c r="L773" t="n">
        <v>0</v>
      </c>
      <c r="M773" t="n">
        <v>0</v>
      </c>
      <c r="N773" t="n">
        <v>0</v>
      </c>
      <c r="O773" t="n">
        <v>0</v>
      </c>
      <c r="P773" t="n">
        <v>0</v>
      </c>
      <c r="Q773" t="n">
        <v>0</v>
      </c>
      <c r="R773" s="2" t="inlineStr"/>
    </row>
    <row r="774" ht="15" customHeight="1">
      <c r="A774" t="inlineStr">
        <is>
          <t>A 5701-2024</t>
        </is>
      </c>
      <c r="B774" s="1" t="n">
        <v>45334.78826388889</v>
      </c>
      <c r="C774" s="1" t="n">
        <v>45988</v>
      </c>
      <c r="D774" t="inlineStr">
        <is>
          <t>KALMAR LÄN</t>
        </is>
      </c>
      <c r="E774" t="inlineStr">
        <is>
          <t>VIMMERBY</t>
        </is>
      </c>
      <c r="G774" t="n">
        <v>2.3</v>
      </c>
      <c r="H774" t="n">
        <v>0</v>
      </c>
      <c r="I774" t="n">
        <v>0</v>
      </c>
      <c r="J774" t="n">
        <v>0</v>
      </c>
      <c r="K774" t="n">
        <v>0</v>
      </c>
      <c r="L774" t="n">
        <v>0</v>
      </c>
      <c r="M774" t="n">
        <v>0</v>
      </c>
      <c r="N774" t="n">
        <v>0</v>
      </c>
      <c r="O774" t="n">
        <v>0</v>
      </c>
      <c r="P774" t="n">
        <v>0</v>
      </c>
      <c r="Q774" t="n">
        <v>0</v>
      </c>
      <c r="R774" s="2" t="inlineStr"/>
    </row>
    <row r="775" ht="15" customHeight="1">
      <c r="A775" t="inlineStr">
        <is>
          <t>A 31405-2023</t>
        </is>
      </c>
      <c r="B775" s="1" t="n">
        <v>45114.58148148148</v>
      </c>
      <c r="C775" s="1" t="n">
        <v>45988</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6355-2022</t>
        </is>
      </c>
      <c r="B776" s="1" t="n">
        <v>44600</v>
      </c>
      <c r="C776" s="1" t="n">
        <v>45988</v>
      </c>
      <c r="D776" t="inlineStr">
        <is>
          <t>KALMAR LÄN</t>
        </is>
      </c>
      <c r="E776" t="inlineStr">
        <is>
          <t>VIMMERBY</t>
        </is>
      </c>
      <c r="G776" t="n">
        <v>4.9</v>
      </c>
      <c r="H776" t="n">
        <v>0</v>
      </c>
      <c r="I776" t="n">
        <v>0</v>
      </c>
      <c r="J776" t="n">
        <v>0</v>
      </c>
      <c r="K776" t="n">
        <v>0</v>
      </c>
      <c r="L776" t="n">
        <v>0</v>
      </c>
      <c r="M776" t="n">
        <v>0</v>
      </c>
      <c r="N776" t="n">
        <v>0</v>
      </c>
      <c r="O776" t="n">
        <v>0</v>
      </c>
      <c r="P776" t="n">
        <v>0</v>
      </c>
      <c r="Q776" t="n">
        <v>0</v>
      </c>
      <c r="R776" s="2" t="inlineStr"/>
    </row>
    <row r="777" ht="15" customHeight="1">
      <c r="A777" t="inlineStr">
        <is>
          <t>A 46225-2024</t>
        </is>
      </c>
      <c r="B777" s="1" t="n">
        <v>45581.57333333333</v>
      </c>
      <c r="C777" s="1" t="n">
        <v>45988</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9418-2024</t>
        </is>
      </c>
      <c r="B778" s="1" t="n">
        <v>45359.45038194444</v>
      </c>
      <c r="C778" s="1" t="n">
        <v>45988</v>
      </c>
      <c r="D778" t="inlineStr">
        <is>
          <t>KALMAR LÄN</t>
        </is>
      </c>
      <c r="E778" t="inlineStr">
        <is>
          <t>VIMMERBY</t>
        </is>
      </c>
      <c r="G778" t="n">
        <v>1.9</v>
      </c>
      <c r="H778" t="n">
        <v>0</v>
      </c>
      <c r="I778" t="n">
        <v>0</v>
      </c>
      <c r="J778" t="n">
        <v>0</v>
      </c>
      <c r="K778" t="n">
        <v>0</v>
      </c>
      <c r="L778" t="n">
        <v>0</v>
      </c>
      <c r="M778" t="n">
        <v>0</v>
      </c>
      <c r="N778" t="n">
        <v>0</v>
      </c>
      <c r="O778" t="n">
        <v>0</v>
      </c>
      <c r="P778" t="n">
        <v>0</v>
      </c>
      <c r="Q778" t="n">
        <v>0</v>
      </c>
      <c r="R778" s="2" t="inlineStr"/>
    </row>
    <row r="779" ht="15" customHeight="1">
      <c r="A779" t="inlineStr">
        <is>
          <t>A 57091-2022</t>
        </is>
      </c>
      <c r="B779" s="1" t="n">
        <v>44895.46524305556</v>
      </c>
      <c r="C779" s="1" t="n">
        <v>45988</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3816-2022</t>
        </is>
      </c>
      <c r="B780" s="1" t="n">
        <v>44587</v>
      </c>
      <c r="C780" s="1" t="n">
        <v>45988</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43606-2024</t>
        </is>
      </c>
      <c r="B781" s="1" t="n">
        <v>45569.45017361111</v>
      </c>
      <c r="C781" s="1" t="n">
        <v>45988</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43617-2024</t>
        </is>
      </c>
      <c r="B782" s="1" t="n">
        <v>45569.47494212963</v>
      </c>
      <c r="C782" s="1" t="n">
        <v>45988</v>
      </c>
      <c r="D782" t="inlineStr">
        <is>
          <t>KALMAR LÄN</t>
        </is>
      </c>
      <c r="E782" t="inlineStr">
        <is>
          <t>VIMMERBY</t>
        </is>
      </c>
      <c r="G782" t="n">
        <v>2.7</v>
      </c>
      <c r="H782" t="n">
        <v>0</v>
      </c>
      <c r="I782" t="n">
        <v>0</v>
      </c>
      <c r="J782" t="n">
        <v>0</v>
      </c>
      <c r="K782" t="n">
        <v>0</v>
      </c>
      <c r="L782" t="n">
        <v>0</v>
      </c>
      <c r="M782" t="n">
        <v>0</v>
      </c>
      <c r="N782" t="n">
        <v>0</v>
      </c>
      <c r="O782" t="n">
        <v>0</v>
      </c>
      <c r="P782" t="n">
        <v>0</v>
      </c>
      <c r="Q782" t="n">
        <v>0</v>
      </c>
      <c r="R782" s="2" t="inlineStr"/>
    </row>
    <row r="783" ht="15" customHeight="1">
      <c r="A783" t="inlineStr">
        <is>
          <t>A 47859-2024</t>
        </is>
      </c>
      <c r="B783" s="1" t="n">
        <v>45588.67070601852</v>
      </c>
      <c r="C783" s="1" t="n">
        <v>45988</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8540-2024</t>
        </is>
      </c>
      <c r="B784" s="1" t="n">
        <v>45355.54138888889</v>
      </c>
      <c r="C784" s="1" t="n">
        <v>45988</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3331-2023</t>
        </is>
      </c>
      <c r="B785" s="1" t="n">
        <v>44949</v>
      </c>
      <c r="C785" s="1" t="n">
        <v>45988</v>
      </c>
      <c r="D785" t="inlineStr">
        <is>
          <t>KALMAR LÄN</t>
        </is>
      </c>
      <c r="E785" t="inlineStr">
        <is>
          <t>VIMMERBY</t>
        </is>
      </c>
      <c r="G785" t="n">
        <v>6.2</v>
      </c>
      <c r="H785" t="n">
        <v>0</v>
      </c>
      <c r="I785" t="n">
        <v>0</v>
      </c>
      <c r="J785" t="n">
        <v>0</v>
      </c>
      <c r="K785" t="n">
        <v>0</v>
      </c>
      <c r="L785" t="n">
        <v>0</v>
      </c>
      <c r="M785" t="n">
        <v>0</v>
      </c>
      <c r="N785" t="n">
        <v>0</v>
      </c>
      <c r="O785" t="n">
        <v>0</v>
      </c>
      <c r="P785" t="n">
        <v>0</v>
      </c>
      <c r="Q785" t="n">
        <v>0</v>
      </c>
      <c r="R785" s="2" t="inlineStr"/>
    </row>
    <row r="786" ht="15" customHeight="1">
      <c r="A786" t="inlineStr">
        <is>
          <t>A 598-2025</t>
        </is>
      </c>
      <c r="B786" s="1" t="n">
        <v>45660</v>
      </c>
      <c r="C786" s="1" t="n">
        <v>45988</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25799-2023</t>
        </is>
      </c>
      <c r="B787" s="1" t="n">
        <v>45090</v>
      </c>
      <c r="C787" s="1" t="n">
        <v>45988</v>
      </c>
      <c r="D787" t="inlineStr">
        <is>
          <t>KALMAR LÄN</t>
        </is>
      </c>
      <c r="E787" t="inlineStr">
        <is>
          <t>VIMMERBY</t>
        </is>
      </c>
      <c r="G787" t="n">
        <v>7.7</v>
      </c>
      <c r="H787" t="n">
        <v>0</v>
      </c>
      <c r="I787" t="n">
        <v>0</v>
      </c>
      <c r="J787" t="n">
        <v>0</v>
      </c>
      <c r="K787" t="n">
        <v>0</v>
      </c>
      <c r="L787" t="n">
        <v>0</v>
      </c>
      <c r="M787" t="n">
        <v>0</v>
      </c>
      <c r="N787" t="n">
        <v>0</v>
      </c>
      <c r="O787" t="n">
        <v>0</v>
      </c>
      <c r="P787" t="n">
        <v>0</v>
      </c>
      <c r="Q787" t="n">
        <v>0</v>
      </c>
      <c r="R787" s="2" t="inlineStr"/>
    </row>
    <row r="788" ht="15" customHeight="1">
      <c r="A788" t="inlineStr">
        <is>
          <t>A 53083-2021</t>
        </is>
      </c>
      <c r="B788" s="1" t="n">
        <v>44467.83386574074</v>
      </c>
      <c r="C788" s="1" t="n">
        <v>45988</v>
      </c>
      <c r="D788" t="inlineStr">
        <is>
          <t>KALMAR LÄN</t>
        </is>
      </c>
      <c r="E788" t="inlineStr">
        <is>
          <t>VIMMERBY</t>
        </is>
      </c>
      <c r="G788" t="n">
        <v>6.8</v>
      </c>
      <c r="H788" t="n">
        <v>0</v>
      </c>
      <c r="I788" t="n">
        <v>0</v>
      </c>
      <c r="J788" t="n">
        <v>0</v>
      </c>
      <c r="K788" t="n">
        <v>0</v>
      </c>
      <c r="L788" t="n">
        <v>0</v>
      </c>
      <c r="M788" t="n">
        <v>0</v>
      </c>
      <c r="N788" t="n">
        <v>0</v>
      </c>
      <c r="O788" t="n">
        <v>0</v>
      </c>
      <c r="P788" t="n">
        <v>0</v>
      </c>
      <c r="Q788" t="n">
        <v>0</v>
      </c>
      <c r="R788" s="2" t="inlineStr"/>
    </row>
    <row r="789" ht="15" customHeight="1">
      <c r="A789" t="inlineStr">
        <is>
          <t>A 24655-2021</t>
        </is>
      </c>
      <c r="B789" s="1" t="n">
        <v>44340</v>
      </c>
      <c r="C789" s="1" t="n">
        <v>45988</v>
      </c>
      <c r="D789" t="inlineStr">
        <is>
          <t>KALMAR LÄN</t>
        </is>
      </c>
      <c r="E789" t="inlineStr">
        <is>
          <t>VIMMERBY</t>
        </is>
      </c>
      <c r="G789" t="n">
        <v>14.9</v>
      </c>
      <c r="H789" t="n">
        <v>0</v>
      </c>
      <c r="I789" t="n">
        <v>0</v>
      </c>
      <c r="J789" t="n">
        <v>0</v>
      </c>
      <c r="K789" t="n">
        <v>0</v>
      </c>
      <c r="L789" t="n">
        <v>0</v>
      </c>
      <c r="M789" t="n">
        <v>0</v>
      </c>
      <c r="N789" t="n">
        <v>0</v>
      </c>
      <c r="O789" t="n">
        <v>0</v>
      </c>
      <c r="P789" t="n">
        <v>0</v>
      </c>
      <c r="Q789" t="n">
        <v>0</v>
      </c>
      <c r="R789" s="2" t="inlineStr"/>
    </row>
    <row r="790" ht="15" customHeight="1">
      <c r="A790" t="inlineStr">
        <is>
          <t>A 33838-2022</t>
        </is>
      </c>
      <c r="B790" s="1" t="n">
        <v>44790.49040509259</v>
      </c>
      <c r="C790" s="1" t="n">
        <v>45988</v>
      </c>
      <c r="D790" t="inlineStr">
        <is>
          <t>KALMAR LÄN</t>
        </is>
      </c>
      <c r="E790" t="inlineStr">
        <is>
          <t>VIMMERBY</t>
        </is>
      </c>
      <c r="G790" t="n">
        <v>0.7</v>
      </c>
      <c r="H790" t="n">
        <v>0</v>
      </c>
      <c r="I790" t="n">
        <v>0</v>
      </c>
      <c r="J790" t="n">
        <v>0</v>
      </c>
      <c r="K790" t="n">
        <v>0</v>
      </c>
      <c r="L790" t="n">
        <v>0</v>
      </c>
      <c r="M790" t="n">
        <v>0</v>
      </c>
      <c r="N790" t="n">
        <v>0</v>
      </c>
      <c r="O790" t="n">
        <v>0</v>
      </c>
      <c r="P790" t="n">
        <v>0</v>
      </c>
      <c r="Q790" t="n">
        <v>0</v>
      </c>
      <c r="R790" s="2" t="inlineStr"/>
    </row>
    <row r="791" ht="15" customHeight="1">
      <c r="A791" t="inlineStr">
        <is>
          <t>A 32835-2022</t>
        </is>
      </c>
      <c r="B791" s="1" t="n">
        <v>44784.42528935185</v>
      </c>
      <c r="C791" s="1" t="n">
        <v>45988</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1081-2023</t>
        </is>
      </c>
      <c r="B792" s="1" t="n">
        <v>44935</v>
      </c>
      <c r="C792" s="1" t="n">
        <v>45988</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47063-2022</t>
        </is>
      </c>
      <c r="B793" s="1" t="n">
        <v>44852</v>
      </c>
      <c r="C793" s="1" t="n">
        <v>45988</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28403-2023</t>
        </is>
      </c>
      <c r="B794" s="1" t="n">
        <v>45100.85270833333</v>
      </c>
      <c r="C794" s="1" t="n">
        <v>45988</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33103-2024</t>
        </is>
      </c>
      <c r="B795" s="1" t="n">
        <v>45517.8162037037</v>
      </c>
      <c r="C795" s="1" t="n">
        <v>45988</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2260-2022</t>
        </is>
      </c>
      <c r="B796" s="1" t="n">
        <v>44578.62943287037</v>
      </c>
      <c r="C796" s="1" t="n">
        <v>45988</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11661-2023</t>
        </is>
      </c>
      <c r="B797" s="1" t="n">
        <v>44994.46908564815</v>
      </c>
      <c r="C797" s="1" t="n">
        <v>45988</v>
      </c>
      <c r="D797" t="inlineStr">
        <is>
          <t>KALMAR LÄN</t>
        </is>
      </c>
      <c r="E797" t="inlineStr">
        <is>
          <t>VIMMERBY</t>
        </is>
      </c>
      <c r="G797" t="n">
        <v>2.7</v>
      </c>
      <c r="H797" t="n">
        <v>0</v>
      </c>
      <c r="I797" t="n">
        <v>0</v>
      </c>
      <c r="J797" t="n">
        <v>0</v>
      </c>
      <c r="K797" t="n">
        <v>0</v>
      </c>
      <c r="L797" t="n">
        <v>0</v>
      </c>
      <c r="M797" t="n">
        <v>0</v>
      </c>
      <c r="N797" t="n">
        <v>0</v>
      </c>
      <c r="O797" t="n">
        <v>0</v>
      </c>
      <c r="P797" t="n">
        <v>0</v>
      </c>
      <c r="Q797" t="n">
        <v>0</v>
      </c>
      <c r="R797" s="2" t="inlineStr"/>
    </row>
    <row r="798" ht="15" customHeight="1">
      <c r="A798" t="inlineStr">
        <is>
          <t>A 58046-2022</t>
        </is>
      </c>
      <c r="B798" s="1" t="n">
        <v>44900.57393518519</v>
      </c>
      <c r="C798" s="1" t="n">
        <v>45988</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45528-2021</t>
        </is>
      </c>
      <c r="B799" s="1" t="n">
        <v>44440.60415509259</v>
      </c>
      <c r="C799" s="1" t="n">
        <v>45988</v>
      </c>
      <c r="D799" t="inlineStr">
        <is>
          <t>KALMAR LÄN</t>
        </is>
      </c>
      <c r="E799" t="inlineStr">
        <is>
          <t>VIMMERBY</t>
        </is>
      </c>
      <c r="G799" t="n">
        <v>2.2</v>
      </c>
      <c r="H799" t="n">
        <v>0</v>
      </c>
      <c r="I799" t="n">
        <v>0</v>
      </c>
      <c r="J799" t="n">
        <v>0</v>
      </c>
      <c r="K799" t="n">
        <v>0</v>
      </c>
      <c r="L799" t="n">
        <v>0</v>
      </c>
      <c r="M799" t="n">
        <v>0</v>
      </c>
      <c r="N799" t="n">
        <v>0</v>
      </c>
      <c r="O799" t="n">
        <v>0</v>
      </c>
      <c r="P799" t="n">
        <v>0</v>
      </c>
      <c r="Q799" t="n">
        <v>0</v>
      </c>
      <c r="R799" s="2" t="inlineStr"/>
    </row>
    <row r="800" ht="15" customHeight="1">
      <c r="A800" t="inlineStr">
        <is>
          <t>A 46979-2023</t>
        </is>
      </c>
      <c r="B800" s="1" t="n">
        <v>45201</v>
      </c>
      <c r="C800" s="1" t="n">
        <v>45988</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6574-2023</t>
        </is>
      </c>
      <c r="B801" s="1" t="n">
        <v>44966</v>
      </c>
      <c r="C801" s="1" t="n">
        <v>45988</v>
      </c>
      <c r="D801" t="inlineStr">
        <is>
          <t>KALMAR LÄN</t>
        </is>
      </c>
      <c r="E801" t="inlineStr">
        <is>
          <t>VIMMERBY</t>
        </is>
      </c>
      <c r="G801" t="n">
        <v>2.5</v>
      </c>
      <c r="H801" t="n">
        <v>0</v>
      </c>
      <c r="I801" t="n">
        <v>0</v>
      </c>
      <c r="J801" t="n">
        <v>0</v>
      </c>
      <c r="K801" t="n">
        <v>0</v>
      </c>
      <c r="L801" t="n">
        <v>0</v>
      </c>
      <c r="M801" t="n">
        <v>0</v>
      </c>
      <c r="N801" t="n">
        <v>0</v>
      </c>
      <c r="O801" t="n">
        <v>0</v>
      </c>
      <c r="P801" t="n">
        <v>0</v>
      </c>
      <c r="Q801" t="n">
        <v>0</v>
      </c>
      <c r="R801" s="2" t="inlineStr"/>
    </row>
    <row r="802" ht="15" customHeight="1">
      <c r="A802" t="inlineStr">
        <is>
          <t>A 4058-2024</t>
        </is>
      </c>
      <c r="B802" s="1" t="n">
        <v>45323.53744212963</v>
      </c>
      <c r="C802" s="1" t="n">
        <v>45988</v>
      </c>
      <c r="D802" t="inlineStr">
        <is>
          <t>KALMAR LÄN</t>
        </is>
      </c>
      <c r="E802" t="inlineStr">
        <is>
          <t>VIMMERBY</t>
        </is>
      </c>
      <c r="G802" t="n">
        <v>6.5</v>
      </c>
      <c r="H802" t="n">
        <v>0</v>
      </c>
      <c r="I802" t="n">
        <v>0</v>
      </c>
      <c r="J802" t="n">
        <v>0</v>
      </c>
      <c r="K802" t="n">
        <v>0</v>
      </c>
      <c r="L802" t="n">
        <v>0</v>
      </c>
      <c r="M802" t="n">
        <v>0</v>
      </c>
      <c r="N802" t="n">
        <v>0</v>
      </c>
      <c r="O802" t="n">
        <v>0</v>
      </c>
      <c r="P802" t="n">
        <v>0</v>
      </c>
      <c r="Q802" t="n">
        <v>0</v>
      </c>
      <c r="R802" s="2" t="inlineStr"/>
    </row>
    <row r="803" ht="15" customHeight="1">
      <c r="A803" t="inlineStr">
        <is>
          <t>A 1978-2024</t>
        </is>
      </c>
      <c r="B803" s="1" t="n">
        <v>45308.59001157407</v>
      </c>
      <c r="C803" s="1" t="n">
        <v>45988</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30318-2023</t>
        </is>
      </c>
      <c r="B804" s="1" t="n">
        <v>45111.30824074074</v>
      </c>
      <c r="C804" s="1" t="n">
        <v>45988</v>
      </c>
      <c r="D804" t="inlineStr">
        <is>
          <t>KALMAR LÄN</t>
        </is>
      </c>
      <c r="E804" t="inlineStr">
        <is>
          <t>VIMMERBY</t>
        </is>
      </c>
      <c r="G804" t="n">
        <v>2.6</v>
      </c>
      <c r="H804" t="n">
        <v>0</v>
      </c>
      <c r="I804" t="n">
        <v>0</v>
      </c>
      <c r="J804" t="n">
        <v>0</v>
      </c>
      <c r="K804" t="n">
        <v>0</v>
      </c>
      <c r="L804" t="n">
        <v>0</v>
      </c>
      <c r="M804" t="n">
        <v>0</v>
      </c>
      <c r="N804" t="n">
        <v>0</v>
      </c>
      <c r="O804" t="n">
        <v>0</v>
      </c>
      <c r="P804" t="n">
        <v>0</v>
      </c>
      <c r="Q804" t="n">
        <v>0</v>
      </c>
      <c r="R804" s="2" t="inlineStr"/>
    </row>
    <row r="805" ht="15" customHeight="1">
      <c r="A805" t="inlineStr">
        <is>
          <t>A 25234-2023</t>
        </is>
      </c>
      <c r="B805" s="1" t="n">
        <v>45086.63194444445</v>
      </c>
      <c r="C805" s="1" t="n">
        <v>45988</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46078-2023</t>
        </is>
      </c>
      <c r="B806" s="1" t="n">
        <v>45196</v>
      </c>
      <c r="C806" s="1" t="n">
        <v>45988</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3609-2024</t>
        </is>
      </c>
      <c r="B807" s="1" t="n">
        <v>45320.89128472222</v>
      </c>
      <c r="C807" s="1" t="n">
        <v>45988</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10424-2023</t>
        </is>
      </c>
      <c r="B808" s="1" t="n">
        <v>44987.54104166666</v>
      </c>
      <c r="C808" s="1" t="n">
        <v>45988</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49382-2023</t>
        </is>
      </c>
      <c r="B809" s="1" t="n">
        <v>45208</v>
      </c>
      <c r="C809" s="1" t="n">
        <v>45988</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12810-2023</t>
        </is>
      </c>
      <c r="B810" s="1" t="n">
        <v>45001.43854166667</v>
      </c>
      <c r="C810" s="1" t="n">
        <v>45988</v>
      </c>
      <c r="D810" t="inlineStr">
        <is>
          <t>KALMAR LÄN</t>
        </is>
      </c>
      <c r="E810" t="inlineStr">
        <is>
          <t>VIMMERBY</t>
        </is>
      </c>
      <c r="G810" t="n">
        <v>1.5</v>
      </c>
      <c r="H810" t="n">
        <v>0</v>
      </c>
      <c r="I810" t="n">
        <v>0</v>
      </c>
      <c r="J810" t="n">
        <v>0</v>
      </c>
      <c r="K810" t="n">
        <v>0</v>
      </c>
      <c r="L810" t="n">
        <v>0</v>
      </c>
      <c r="M810" t="n">
        <v>0</v>
      </c>
      <c r="N810" t="n">
        <v>0</v>
      </c>
      <c r="O810" t="n">
        <v>0</v>
      </c>
      <c r="P810" t="n">
        <v>0</v>
      </c>
      <c r="Q810" t="n">
        <v>0</v>
      </c>
      <c r="R810" s="2" t="inlineStr"/>
    </row>
    <row r="811" ht="15" customHeight="1">
      <c r="A811" t="inlineStr">
        <is>
          <t>A 3425-2022</t>
        </is>
      </c>
      <c r="B811" s="1" t="n">
        <v>44585.51060185185</v>
      </c>
      <c r="C811" s="1" t="n">
        <v>45988</v>
      </c>
      <c r="D811" t="inlineStr">
        <is>
          <t>KALMAR LÄN</t>
        </is>
      </c>
      <c r="E811" t="inlineStr">
        <is>
          <t>VIMMERBY</t>
        </is>
      </c>
      <c r="G811" t="n">
        <v>1.3</v>
      </c>
      <c r="H811" t="n">
        <v>0</v>
      </c>
      <c r="I811" t="n">
        <v>0</v>
      </c>
      <c r="J811" t="n">
        <v>0</v>
      </c>
      <c r="K811" t="n">
        <v>0</v>
      </c>
      <c r="L811" t="n">
        <v>0</v>
      </c>
      <c r="M811" t="n">
        <v>0</v>
      </c>
      <c r="N811" t="n">
        <v>0</v>
      </c>
      <c r="O811" t="n">
        <v>0</v>
      </c>
      <c r="P811" t="n">
        <v>0</v>
      </c>
      <c r="Q811" t="n">
        <v>0</v>
      </c>
      <c r="R811" s="2" t="inlineStr"/>
    </row>
    <row r="812" ht="15" customHeight="1">
      <c r="A812" t="inlineStr">
        <is>
          <t>A 60675-2023</t>
        </is>
      </c>
      <c r="B812" s="1" t="n">
        <v>45260.4716550926</v>
      </c>
      <c r="C812" s="1" t="n">
        <v>45988</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2536-2023</t>
        </is>
      </c>
      <c r="B813" s="1" t="n">
        <v>44943.62954861111</v>
      </c>
      <c r="C813" s="1" t="n">
        <v>45988</v>
      </c>
      <c r="D813" t="inlineStr">
        <is>
          <t>KALMAR LÄN</t>
        </is>
      </c>
      <c r="E813" t="inlineStr">
        <is>
          <t>VIMMERBY</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11111-2024</t>
        </is>
      </c>
      <c r="B814" s="1" t="n">
        <v>45371.36359953704</v>
      </c>
      <c r="C814" s="1" t="n">
        <v>45988</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1687-2023</t>
        </is>
      </c>
      <c r="B815" s="1" t="n">
        <v>44938</v>
      </c>
      <c r="C815" s="1" t="n">
        <v>45988</v>
      </c>
      <c r="D815" t="inlineStr">
        <is>
          <t>KALMAR LÄN</t>
        </is>
      </c>
      <c r="E815" t="inlineStr">
        <is>
          <t>VIMMERBY</t>
        </is>
      </c>
      <c r="F815" t="inlineStr">
        <is>
          <t>Kommuner</t>
        </is>
      </c>
      <c r="G815" t="n">
        <v>2.5</v>
      </c>
      <c r="H815" t="n">
        <v>0</v>
      </c>
      <c r="I815" t="n">
        <v>0</v>
      </c>
      <c r="J815" t="n">
        <v>0</v>
      </c>
      <c r="K815" t="n">
        <v>0</v>
      </c>
      <c r="L815" t="n">
        <v>0</v>
      </c>
      <c r="M815" t="n">
        <v>0</v>
      </c>
      <c r="N815" t="n">
        <v>0</v>
      </c>
      <c r="O815" t="n">
        <v>0</v>
      </c>
      <c r="P815" t="n">
        <v>0</v>
      </c>
      <c r="Q815" t="n">
        <v>0</v>
      </c>
      <c r="R815" s="2" t="inlineStr"/>
    </row>
    <row r="816" ht="15" customHeight="1">
      <c r="A816" t="inlineStr">
        <is>
          <t>A 3494-2023</t>
        </is>
      </c>
      <c r="B816" s="1" t="n">
        <v>44949</v>
      </c>
      <c r="C816" s="1" t="n">
        <v>45988</v>
      </c>
      <c r="D816" t="inlineStr">
        <is>
          <t>KALMAR LÄN</t>
        </is>
      </c>
      <c r="E816" t="inlineStr">
        <is>
          <t>VIMMERBY</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15449-2023</t>
        </is>
      </c>
      <c r="B817" s="1" t="n">
        <v>45020</v>
      </c>
      <c r="C817" s="1" t="n">
        <v>45988</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43242-2024</t>
        </is>
      </c>
      <c r="B818" s="1" t="n">
        <v>45568.30189814815</v>
      </c>
      <c r="C818" s="1" t="n">
        <v>45988</v>
      </c>
      <c r="D818" t="inlineStr">
        <is>
          <t>KALMAR LÄN</t>
        </is>
      </c>
      <c r="E818" t="inlineStr">
        <is>
          <t>VIMMERBY</t>
        </is>
      </c>
      <c r="G818" t="n">
        <v>2.6</v>
      </c>
      <c r="H818" t="n">
        <v>0</v>
      </c>
      <c r="I818" t="n">
        <v>0</v>
      </c>
      <c r="J818" t="n">
        <v>0</v>
      </c>
      <c r="K818" t="n">
        <v>0</v>
      </c>
      <c r="L818" t="n">
        <v>0</v>
      </c>
      <c r="M818" t="n">
        <v>0</v>
      </c>
      <c r="N818" t="n">
        <v>0</v>
      </c>
      <c r="O818" t="n">
        <v>0</v>
      </c>
      <c r="P818" t="n">
        <v>0</v>
      </c>
      <c r="Q818" t="n">
        <v>0</v>
      </c>
      <c r="R818" s="2" t="inlineStr"/>
    </row>
    <row r="819" ht="15" customHeight="1">
      <c r="A819" t="inlineStr">
        <is>
          <t>A 56853-2022</t>
        </is>
      </c>
      <c r="B819" s="1" t="n">
        <v>44894.49538194444</v>
      </c>
      <c r="C819" s="1" t="n">
        <v>45988</v>
      </c>
      <c r="D819" t="inlineStr">
        <is>
          <t>KALMAR LÄN</t>
        </is>
      </c>
      <c r="E819" t="inlineStr">
        <is>
          <t>VIMMERBY</t>
        </is>
      </c>
      <c r="G819" t="n">
        <v>4.3</v>
      </c>
      <c r="H819" t="n">
        <v>0</v>
      </c>
      <c r="I819" t="n">
        <v>0</v>
      </c>
      <c r="J819" t="n">
        <v>0</v>
      </c>
      <c r="K819" t="n">
        <v>0</v>
      </c>
      <c r="L819" t="n">
        <v>0</v>
      </c>
      <c r="M819" t="n">
        <v>0</v>
      </c>
      <c r="N819" t="n">
        <v>0</v>
      </c>
      <c r="O819" t="n">
        <v>0</v>
      </c>
      <c r="P819" t="n">
        <v>0</v>
      </c>
      <c r="Q819" t="n">
        <v>0</v>
      </c>
      <c r="R819" s="2" t="inlineStr"/>
    </row>
    <row r="820" ht="15" customHeight="1">
      <c r="A820" t="inlineStr">
        <is>
          <t>A 65049-2020</t>
        </is>
      </c>
      <c r="B820" s="1" t="n">
        <v>44172</v>
      </c>
      <c r="C820" s="1" t="n">
        <v>45988</v>
      </c>
      <c r="D820" t="inlineStr">
        <is>
          <t>KALMAR LÄN</t>
        </is>
      </c>
      <c r="E820" t="inlineStr">
        <is>
          <t>VIMMERBY</t>
        </is>
      </c>
      <c r="G820" t="n">
        <v>2.3</v>
      </c>
      <c r="H820" t="n">
        <v>0</v>
      </c>
      <c r="I820" t="n">
        <v>0</v>
      </c>
      <c r="J820" t="n">
        <v>0</v>
      </c>
      <c r="K820" t="n">
        <v>0</v>
      </c>
      <c r="L820" t="n">
        <v>0</v>
      </c>
      <c r="M820" t="n">
        <v>0</v>
      </c>
      <c r="N820" t="n">
        <v>0</v>
      </c>
      <c r="O820" t="n">
        <v>0</v>
      </c>
      <c r="P820" t="n">
        <v>0</v>
      </c>
      <c r="Q820" t="n">
        <v>0</v>
      </c>
      <c r="R820" s="2" t="inlineStr"/>
    </row>
    <row r="821" ht="15" customHeight="1">
      <c r="A821" t="inlineStr">
        <is>
          <t>A 33815-2022</t>
        </is>
      </c>
      <c r="B821" s="1" t="n">
        <v>44790.45876157407</v>
      </c>
      <c r="C821" s="1" t="n">
        <v>45988</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33842-2022</t>
        </is>
      </c>
      <c r="B822" s="1" t="n">
        <v>44790.49523148148</v>
      </c>
      <c r="C822" s="1" t="n">
        <v>45988</v>
      </c>
      <c r="D822" t="inlineStr">
        <is>
          <t>KALMAR LÄN</t>
        </is>
      </c>
      <c r="E822" t="inlineStr">
        <is>
          <t>VIMMERBY</t>
        </is>
      </c>
      <c r="G822" t="n">
        <v>1.6</v>
      </c>
      <c r="H822" t="n">
        <v>0</v>
      </c>
      <c r="I822" t="n">
        <v>0</v>
      </c>
      <c r="J822" t="n">
        <v>0</v>
      </c>
      <c r="K822" t="n">
        <v>0</v>
      </c>
      <c r="L822" t="n">
        <v>0</v>
      </c>
      <c r="M822" t="n">
        <v>0</v>
      </c>
      <c r="N822" t="n">
        <v>0</v>
      </c>
      <c r="O822" t="n">
        <v>0</v>
      </c>
      <c r="P822" t="n">
        <v>0</v>
      </c>
      <c r="Q822" t="n">
        <v>0</v>
      </c>
      <c r="R822" s="2" t="inlineStr"/>
    </row>
    <row r="823" ht="15" customHeight="1">
      <c r="A823" t="inlineStr">
        <is>
          <t>A 49408-2023</t>
        </is>
      </c>
      <c r="B823" s="1" t="n">
        <v>45211.43555555555</v>
      </c>
      <c r="C823" s="1" t="n">
        <v>45988</v>
      </c>
      <c r="D823" t="inlineStr">
        <is>
          <t>KALMAR LÄN</t>
        </is>
      </c>
      <c r="E823" t="inlineStr">
        <is>
          <t>VIMMERBY</t>
        </is>
      </c>
      <c r="G823" t="n">
        <v>13.1</v>
      </c>
      <c r="H823" t="n">
        <v>0</v>
      </c>
      <c r="I823" t="n">
        <v>0</v>
      </c>
      <c r="J823" t="n">
        <v>0</v>
      </c>
      <c r="K823" t="n">
        <v>0</v>
      </c>
      <c r="L823" t="n">
        <v>0</v>
      </c>
      <c r="M823" t="n">
        <v>0</v>
      </c>
      <c r="N823" t="n">
        <v>0</v>
      </c>
      <c r="O823" t="n">
        <v>0</v>
      </c>
      <c r="P823" t="n">
        <v>0</v>
      </c>
      <c r="Q823" t="n">
        <v>0</v>
      </c>
      <c r="R823" s="2" t="inlineStr"/>
    </row>
    <row r="824" ht="15" customHeight="1">
      <c r="A824" t="inlineStr">
        <is>
          <t>A 56536-2022</t>
        </is>
      </c>
      <c r="B824" s="1" t="n">
        <v>44893</v>
      </c>
      <c r="C824" s="1" t="n">
        <v>45988</v>
      </c>
      <c r="D824" t="inlineStr">
        <is>
          <t>KALMAR LÄN</t>
        </is>
      </c>
      <c r="E824" t="inlineStr">
        <is>
          <t>VIMMERBY</t>
        </is>
      </c>
      <c r="G824" t="n">
        <v>3.2</v>
      </c>
      <c r="H824" t="n">
        <v>0</v>
      </c>
      <c r="I824" t="n">
        <v>0</v>
      </c>
      <c r="J824" t="n">
        <v>0</v>
      </c>
      <c r="K824" t="n">
        <v>0</v>
      </c>
      <c r="L824" t="n">
        <v>0</v>
      </c>
      <c r="M824" t="n">
        <v>0</v>
      </c>
      <c r="N824" t="n">
        <v>0</v>
      </c>
      <c r="O824" t="n">
        <v>0</v>
      </c>
      <c r="P824" t="n">
        <v>0</v>
      </c>
      <c r="Q824" t="n">
        <v>0</v>
      </c>
      <c r="R824" s="2" t="inlineStr"/>
    </row>
    <row r="825" ht="15" customHeight="1">
      <c r="A825" t="inlineStr">
        <is>
          <t>A 41199-2023</t>
        </is>
      </c>
      <c r="B825" s="1" t="n">
        <v>45174.40454861111</v>
      </c>
      <c r="C825" s="1" t="n">
        <v>45988</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8945-2025</t>
        </is>
      </c>
      <c r="B826" s="1" t="n">
        <v>45713.45311342592</v>
      </c>
      <c r="C826" s="1" t="n">
        <v>45988</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11619-2023</t>
        </is>
      </c>
      <c r="B827" s="1" t="n">
        <v>44994.42113425926</v>
      </c>
      <c r="C827" s="1" t="n">
        <v>45988</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41896-2023</t>
        </is>
      </c>
      <c r="B828" s="1" t="n">
        <v>45176.72427083334</v>
      </c>
      <c r="C828" s="1" t="n">
        <v>45988</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17926-2025</t>
        </is>
      </c>
      <c r="B829" s="1" t="n">
        <v>45759.38987268518</v>
      </c>
      <c r="C829" s="1" t="n">
        <v>45988</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21028-2023</t>
        </is>
      </c>
      <c r="B830" s="1" t="n">
        <v>45061</v>
      </c>
      <c r="C830" s="1" t="n">
        <v>45988</v>
      </c>
      <c r="D830" t="inlineStr">
        <is>
          <t>KALMAR LÄN</t>
        </is>
      </c>
      <c r="E830" t="inlineStr">
        <is>
          <t>VIMMERBY</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19445-2021</t>
        </is>
      </c>
      <c r="B831" s="1" t="n">
        <v>44310</v>
      </c>
      <c r="C831" s="1" t="n">
        <v>45988</v>
      </c>
      <c r="D831" t="inlineStr">
        <is>
          <t>KALMAR LÄN</t>
        </is>
      </c>
      <c r="E831" t="inlineStr">
        <is>
          <t>VIMMERBY</t>
        </is>
      </c>
      <c r="G831" t="n">
        <v>6.8</v>
      </c>
      <c r="H831" t="n">
        <v>0</v>
      </c>
      <c r="I831" t="n">
        <v>0</v>
      </c>
      <c r="J831" t="n">
        <v>0</v>
      </c>
      <c r="K831" t="n">
        <v>0</v>
      </c>
      <c r="L831" t="n">
        <v>0</v>
      </c>
      <c r="M831" t="n">
        <v>0</v>
      </c>
      <c r="N831" t="n">
        <v>0</v>
      </c>
      <c r="O831" t="n">
        <v>0</v>
      </c>
      <c r="P831" t="n">
        <v>0</v>
      </c>
      <c r="Q831" t="n">
        <v>0</v>
      </c>
      <c r="R831" s="2" t="inlineStr"/>
    </row>
    <row r="832" ht="15" customHeight="1">
      <c r="A832" t="inlineStr">
        <is>
          <t>A 27122-2023</t>
        </is>
      </c>
      <c r="B832" s="1" t="n">
        <v>45096.45247685185</v>
      </c>
      <c r="C832" s="1" t="n">
        <v>45988</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13813-2024</t>
        </is>
      </c>
      <c r="B833" s="1" t="n">
        <v>45391.41310185185</v>
      </c>
      <c r="C833" s="1" t="n">
        <v>45988</v>
      </c>
      <c r="D833" t="inlineStr">
        <is>
          <t>KALMAR LÄN</t>
        </is>
      </c>
      <c r="E833" t="inlineStr">
        <is>
          <t>VIMMERBY</t>
        </is>
      </c>
      <c r="G833" t="n">
        <v>0.4</v>
      </c>
      <c r="H833" t="n">
        <v>0</v>
      </c>
      <c r="I833" t="n">
        <v>0</v>
      </c>
      <c r="J833" t="n">
        <v>0</v>
      </c>
      <c r="K833" t="n">
        <v>0</v>
      </c>
      <c r="L833" t="n">
        <v>0</v>
      </c>
      <c r="M833" t="n">
        <v>0</v>
      </c>
      <c r="N833" t="n">
        <v>0</v>
      </c>
      <c r="O833" t="n">
        <v>0</v>
      </c>
      <c r="P833" t="n">
        <v>0</v>
      </c>
      <c r="Q833" t="n">
        <v>0</v>
      </c>
      <c r="R833" s="2" t="inlineStr"/>
    </row>
    <row r="834" ht="15" customHeight="1">
      <c r="A834" t="inlineStr">
        <is>
          <t>A 38969-2023</t>
        </is>
      </c>
      <c r="B834" s="1" t="n">
        <v>45163.63621527778</v>
      </c>
      <c r="C834" s="1" t="n">
        <v>45988</v>
      </c>
      <c r="D834" t="inlineStr">
        <is>
          <t>KALMAR LÄN</t>
        </is>
      </c>
      <c r="E834" t="inlineStr">
        <is>
          <t>VIMMERBY</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26937-2023</t>
        </is>
      </c>
      <c r="B835" s="1" t="n">
        <v>45093.62777777778</v>
      </c>
      <c r="C835" s="1" t="n">
        <v>45988</v>
      </c>
      <c r="D835" t="inlineStr">
        <is>
          <t>KALMAR LÄN</t>
        </is>
      </c>
      <c r="E835" t="inlineStr">
        <is>
          <t>VIMMERBY</t>
        </is>
      </c>
      <c r="F835" t="inlineStr">
        <is>
          <t>Sveaskog</t>
        </is>
      </c>
      <c r="G835" t="n">
        <v>14.5</v>
      </c>
      <c r="H835" t="n">
        <v>0</v>
      </c>
      <c r="I835" t="n">
        <v>0</v>
      </c>
      <c r="J835" t="n">
        <v>0</v>
      </c>
      <c r="K835" t="n">
        <v>0</v>
      </c>
      <c r="L835" t="n">
        <v>0</v>
      </c>
      <c r="M835" t="n">
        <v>0</v>
      </c>
      <c r="N835" t="n">
        <v>0</v>
      </c>
      <c r="O835" t="n">
        <v>0</v>
      </c>
      <c r="P835" t="n">
        <v>0</v>
      </c>
      <c r="Q835" t="n">
        <v>0</v>
      </c>
      <c r="R835" s="2" t="inlineStr"/>
    </row>
    <row r="836" ht="15" customHeight="1">
      <c r="A836" t="inlineStr">
        <is>
          <t>A 57486-2024</t>
        </is>
      </c>
      <c r="B836" s="1" t="n">
        <v>45630.35827546296</v>
      </c>
      <c r="C836" s="1" t="n">
        <v>45988</v>
      </c>
      <c r="D836" t="inlineStr">
        <is>
          <t>KALMAR LÄN</t>
        </is>
      </c>
      <c r="E836" t="inlineStr">
        <is>
          <t>VIMMERBY</t>
        </is>
      </c>
      <c r="G836" t="n">
        <v>0.4</v>
      </c>
      <c r="H836" t="n">
        <v>0</v>
      </c>
      <c r="I836" t="n">
        <v>0</v>
      </c>
      <c r="J836" t="n">
        <v>0</v>
      </c>
      <c r="K836" t="n">
        <v>0</v>
      </c>
      <c r="L836" t="n">
        <v>0</v>
      </c>
      <c r="M836" t="n">
        <v>0</v>
      </c>
      <c r="N836" t="n">
        <v>0</v>
      </c>
      <c r="O836" t="n">
        <v>0</v>
      </c>
      <c r="P836" t="n">
        <v>0</v>
      </c>
      <c r="Q836" t="n">
        <v>0</v>
      </c>
      <c r="R836" s="2" t="inlineStr"/>
    </row>
    <row r="837" ht="15" customHeight="1">
      <c r="A837" t="inlineStr">
        <is>
          <t>A 43186-2021</t>
        </is>
      </c>
      <c r="B837" s="1" t="n">
        <v>44431.84840277778</v>
      </c>
      <c r="C837" s="1" t="n">
        <v>45988</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1799-2025</t>
        </is>
      </c>
      <c r="B838" s="1" t="n">
        <v>45671.46746527778</v>
      </c>
      <c r="C838" s="1" t="n">
        <v>45988</v>
      </c>
      <c r="D838" t="inlineStr">
        <is>
          <t>KALMAR LÄN</t>
        </is>
      </c>
      <c r="E838" t="inlineStr">
        <is>
          <t>VIMMERBY</t>
        </is>
      </c>
      <c r="G838" t="n">
        <v>3.3</v>
      </c>
      <c r="H838" t="n">
        <v>0</v>
      </c>
      <c r="I838" t="n">
        <v>0</v>
      </c>
      <c r="J838" t="n">
        <v>0</v>
      </c>
      <c r="K838" t="n">
        <v>0</v>
      </c>
      <c r="L838" t="n">
        <v>0</v>
      </c>
      <c r="M838" t="n">
        <v>0</v>
      </c>
      <c r="N838" t="n">
        <v>0</v>
      </c>
      <c r="O838" t="n">
        <v>0</v>
      </c>
      <c r="P838" t="n">
        <v>0</v>
      </c>
      <c r="Q838" t="n">
        <v>0</v>
      </c>
      <c r="R838" s="2" t="inlineStr"/>
    </row>
    <row r="839" ht="15" customHeight="1">
      <c r="A839" t="inlineStr">
        <is>
          <t>A 30063-2023</t>
        </is>
      </c>
      <c r="B839" s="1" t="n">
        <v>45110.4184375</v>
      </c>
      <c r="C839" s="1" t="n">
        <v>45988</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43068-2023</t>
        </is>
      </c>
      <c r="B840" s="1" t="n">
        <v>45182.78834490741</v>
      </c>
      <c r="C840" s="1" t="n">
        <v>45988</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18020-2025</t>
        </is>
      </c>
      <c r="B841" s="1" t="n">
        <v>45761.4437962963</v>
      </c>
      <c r="C841" s="1" t="n">
        <v>45988</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33424-2023</t>
        </is>
      </c>
      <c r="B842" s="1" t="n">
        <v>45128.9325</v>
      </c>
      <c r="C842" s="1" t="n">
        <v>45988</v>
      </c>
      <c r="D842" t="inlineStr">
        <is>
          <t>KALMAR LÄN</t>
        </is>
      </c>
      <c r="E842" t="inlineStr">
        <is>
          <t>VIMMERBY</t>
        </is>
      </c>
      <c r="G842" t="n">
        <v>2.4</v>
      </c>
      <c r="H842" t="n">
        <v>0</v>
      </c>
      <c r="I842" t="n">
        <v>0</v>
      </c>
      <c r="J842" t="n">
        <v>0</v>
      </c>
      <c r="K842" t="n">
        <v>0</v>
      </c>
      <c r="L842" t="n">
        <v>0</v>
      </c>
      <c r="M842" t="n">
        <v>0</v>
      </c>
      <c r="N842" t="n">
        <v>0</v>
      </c>
      <c r="O842" t="n">
        <v>0</v>
      </c>
      <c r="P842" t="n">
        <v>0</v>
      </c>
      <c r="Q842" t="n">
        <v>0</v>
      </c>
      <c r="R842" s="2" t="inlineStr"/>
    </row>
    <row r="843" ht="15" customHeight="1">
      <c r="A843" t="inlineStr">
        <is>
          <t>A 33425-2023</t>
        </is>
      </c>
      <c r="B843" s="1" t="n">
        <v>45128.93540509259</v>
      </c>
      <c r="C843" s="1" t="n">
        <v>45988</v>
      </c>
      <c r="D843" t="inlineStr">
        <is>
          <t>KALMAR LÄN</t>
        </is>
      </c>
      <c r="E843" t="inlineStr">
        <is>
          <t>VIMMERBY</t>
        </is>
      </c>
      <c r="G843" t="n">
        <v>1.4</v>
      </c>
      <c r="H843" t="n">
        <v>0</v>
      </c>
      <c r="I843" t="n">
        <v>0</v>
      </c>
      <c r="J843" t="n">
        <v>0</v>
      </c>
      <c r="K843" t="n">
        <v>0</v>
      </c>
      <c r="L843" t="n">
        <v>0</v>
      </c>
      <c r="M843" t="n">
        <v>0</v>
      </c>
      <c r="N843" t="n">
        <v>0</v>
      </c>
      <c r="O843" t="n">
        <v>0</v>
      </c>
      <c r="P843" t="n">
        <v>0</v>
      </c>
      <c r="Q843" t="n">
        <v>0</v>
      </c>
      <c r="R843" s="2" t="inlineStr"/>
    </row>
    <row r="844" ht="15" customHeight="1">
      <c r="A844" t="inlineStr">
        <is>
          <t>A 12327-2023</t>
        </is>
      </c>
      <c r="B844" s="1" t="n">
        <v>44999.36081018519</v>
      </c>
      <c r="C844" s="1" t="n">
        <v>45988</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43092-2024</t>
        </is>
      </c>
      <c r="B845" s="1" t="n">
        <v>45567</v>
      </c>
      <c r="C845" s="1" t="n">
        <v>45988</v>
      </c>
      <c r="D845" t="inlineStr">
        <is>
          <t>KALMAR LÄN</t>
        </is>
      </c>
      <c r="E845" t="inlineStr">
        <is>
          <t>VIMMERBY</t>
        </is>
      </c>
      <c r="G845" t="n">
        <v>2.7</v>
      </c>
      <c r="H845" t="n">
        <v>0</v>
      </c>
      <c r="I845" t="n">
        <v>0</v>
      </c>
      <c r="J845" t="n">
        <v>0</v>
      </c>
      <c r="K845" t="n">
        <v>0</v>
      </c>
      <c r="L845" t="n">
        <v>0</v>
      </c>
      <c r="M845" t="n">
        <v>0</v>
      </c>
      <c r="N845" t="n">
        <v>0</v>
      </c>
      <c r="O845" t="n">
        <v>0</v>
      </c>
      <c r="P845" t="n">
        <v>0</v>
      </c>
      <c r="Q845" t="n">
        <v>0</v>
      </c>
      <c r="R845" s="2" t="inlineStr"/>
    </row>
    <row r="846" ht="15" customHeight="1">
      <c r="A846" t="inlineStr">
        <is>
          <t>A 52435-2021</t>
        </is>
      </c>
      <c r="B846" s="1" t="n">
        <v>44466.34962962963</v>
      </c>
      <c r="C846" s="1" t="n">
        <v>45988</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45988</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60215-2022</t>
        </is>
      </c>
      <c r="B848" s="1" t="n">
        <v>44910.41346064815</v>
      </c>
      <c r="C848" s="1" t="n">
        <v>45988</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29441-2024</t>
        </is>
      </c>
      <c r="B849" s="1" t="n">
        <v>45483.82834490741</v>
      </c>
      <c r="C849" s="1" t="n">
        <v>45988</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6216-2025</t>
        </is>
      </c>
      <c r="B850" s="1" t="n">
        <v>45698.52806712963</v>
      </c>
      <c r="C850" s="1" t="n">
        <v>45988</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62779-2023</t>
        </is>
      </c>
      <c r="B851" s="1" t="n">
        <v>45271.66576388889</v>
      </c>
      <c r="C851" s="1" t="n">
        <v>45988</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52294-2023</t>
        </is>
      </c>
      <c r="B852" s="1" t="n">
        <v>45224.60075231481</v>
      </c>
      <c r="C852" s="1" t="n">
        <v>45988</v>
      </c>
      <c r="D852" t="inlineStr">
        <is>
          <t>KALMAR LÄN</t>
        </is>
      </c>
      <c r="E852" t="inlineStr">
        <is>
          <t>VIMMERBY</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31013-2023</t>
        </is>
      </c>
      <c r="B853" s="1" t="n">
        <v>45113.56574074074</v>
      </c>
      <c r="C853" s="1" t="n">
        <v>45988</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72067-2021</t>
        </is>
      </c>
      <c r="B854" s="1" t="n">
        <v>44540</v>
      </c>
      <c r="C854" s="1" t="n">
        <v>45988</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61538-2022</t>
        </is>
      </c>
      <c r="B855" s="1" t="n">
        <v>44916.55414351852</v>
      </c>
      <c r="C855" s="1" t="n">
        <v>45988</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36155-2023</t>
        </is>
      </c>
      <c r="B856" s="1" t="n">
        <v>45149.60917824074</v>
      </c>
      <c r="C856" s="1" t="n">
        <v>45988</v>
      </c>
      <c r="D856" t="inlineStr">
        <is>
          <t>KALMAR LÄN</t>
        </is>
      </c>
      <c r="E856" t="inlineStr">
        <is>
          <t>VIMMERBY</t>
        </is>
      </c>
      <c r="G856" t="n">
        <v>5</v>
      </c>
      <c r="H856" t="n">
        <v>0</v>
      </c>
      <c r="I856" t="n">
        <v>0</v>
      </c>
      <c r="J856" t="n">
        <v>0</v>
      </c>
      <c r="K856" t="n">
        <v>0</v>
      </c>
      <c r="L856" t="n">
        <v>0</v>
      </c>
      <c r="M856" t="n">
        <v>0</v>
      </c>
      <c r="N856" t="n">
        <v>0</v>
      </c>
      <c r="O856" t="n">
        <v>0</v>
      </c>
      <c r="P856" t="n">
        <v>0</v>
      </c>
      <c r="Q856" t="n">
        <v>0</v>
      </c>
      <c r="R856" s="2" t="inlineStr"/>
    </row>
    <row r="857" ht="15" customHeight="1">
      <c r="A857" t="inlineStr">
        <is>
          <t>A 29173-2024</t>
        </is>
      </c>
      <c r="B857" s="1" t="n">
        <v>45482.52887731481</v>
      </c>
      <c r="C857" s="1" t="n">
        <v>45988</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53542-2022</t>
        </is>
      </c>
      <c r="B858" s="1" t="n">
        <v>44879.62173611111</v>
      </c>
      <c r="C858" s="1" t="n">
        <v>45988</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6807-2025</t>
        </is>
      </c>
      <c r="B859" s="1" t="n">
        <v>45700.68672453704</v>
      </c>
      <c r="C859" s="1" t="n">
        <v>45988</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7047-2022</t>
        </is>
      </c>
      <c r="B860" s="1" t="n">
        <v>44603</v>
      </c>
      <c r="C860" s="1" t="n">
        <v>45988</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35711-2023</t>
        </is>
      </c>
      <c r="B861" s="1" t="n">
        <v>45147.67172453704</v>
      </c>
      <c r="C861" s="1" t="n">
        <v>45988</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5382-2023</t>
        </is>
      </c>
      <c r="B862" s="1" t="n">
        <v>44959.66407407408</v>
      </c>
      <c r="C862" s="1" t="n">
        <v>45988</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40823-2023</t>
        </is>
      </c>
      <c r="B863" s="1" t="n">
        <v>45171.77335648148</v>
      </c>
      <c r="C863" s="1" t="n">
        <v>45988</v>
      </c>
      <c r="D863" t="inlineStr">
        <is>
          <t>KALMAR LÄN</t>
        </is>
      </c>
      <c r="E863" t="inlineStr">
        <is>
          <t>VIMMERBY</t>
        </is>
      </c>
      <c r="G863" t="n">
        <v>2.7</v>
      </c>
      <c r="H863" t="n">
        <v>0</v>
      </c>
      <c r="I863" t="n">
        <v>0</v>
      </c>
      <c r="J863" t="n">
        <v>0</v>
      </c>
      <c r="K863" t="n">
        <v>0</v>
      </c>
      <c r="L863" t="n">
        <v>0</v>
      </c>
      <c r="M863" t="n">
        <v>0</v>
      </c>
      <c r="N863" t="n">
        <v>0</v>
      </c>
      <c r="O863" t="n">
        <v>0</v>
      </c>
      <c r="P863" t="n">
        <v>0</v>
      </c>
      <c r="Q863" t="n">
        <v>0</v>
      </c>
      <c r="R863" s="2" t="inlineStr"/>
    </row>
    <row r="864" ht="15" customHeight="1">
      <c r="A864" t="inlineStr">
        <is>
          <t>A 6218-2025</t>
        </is>
      </c>
      <c r="B864" s="1" t="n">
        <v>45698.53336805556</v>
      </c>
      <c r="C864" s="1" t="n">
        <v>45988</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30920-2023</t>
        </is>
      </c>
      <c r="B865" s="1" t="n">
        <v>45113.43921296296</v>
      </c>
      <c r="C865" s="1" t="n">
        <v>45988</v>
      </c>
      <c r="D865" t="inlineStr">
        <is>
          <t>KALMAR LÄN</t>
        </is>
      </c>
      <c r="E865" t="inlineStr">
        <is>
          <t>VIMMERBY</t>
        </is>
      </c>
      <c r="G865" t="n">
        <v>3.1</v>
      </c>
      <c r="H865" t="n">
        <v>0</v>
      </c>
      <c r="I865" t="n">
        <v>0</v>
      </c>
      <c r="J865" t="n">
        <v>0</v>
      </c>
      <c r="K865" t="n">
        <v>0</v>
      </c>
      <c r="L865" t="n">
        <v>0</v>
      </c>
      <c r="M865" t="n">
        <v>0</v>
      </c>
      <c r="N865" t="n">
        <v>0</v>
      </c>
      <c r="O865" t="n">
        <v>0</v>
      </c>
      <c r="P865" t="n">
        <v>0</v>
      </c>
      <c r="Q865" t="n">
        <v>0</v>
      </c>
      <c r="R865" s="2" t="inlineStr"/>
    </row>
    <row r="866" ht="15" customHeight="1">
      <c r="A866" t="inlineStr">
        <is>
          <t>A 6857-2023</t>
        </is>
      </c>
      <c r="B866" s="1" t="n">
        <v>44967.45122685185</v>
      </c>
      <c r="C866" s="1" t="n">
        <v>45988</v>
      </c>
      <c r="D866" t="inlineStr">
        <is>
          <t>KALMAR LÄN</t>
        </is>
      </c>
      <c r="E866" t="inlineStr">
        <is>
          <t>VIMMERBY</t>
        </is>
      </c>
      <c r="G866" t="n">
        <v>2.1</v>
      </c>
      <c r="H866" t="n">
        <v>0</v>
      </c>
      <c r="I866" t="n">
        <v>0</v>
      </c>
      <c r="J866" t="n">
        <v>0</v>
      </c>
      <c r="K866" t="n">
        <v>0</v>
      </c>
      <c r="L866" t="n">
        <v>0</v>
      </c>
      <c r="M866" t="n">
        <v>0</v>
      </c>
      <c r="N866" t="n">
        <v>0</v>
      </c>
      <c r="O866" t="n">
        <v>0</v>
      </c>
      <c r="P866" t="n">
        <v>0</v>
      </c>
      <c r="Q866" t="n">
        <v>0</v>
      </c>
      <c r="R866" s="2" t="inlineStr"/>
    </row>
    <row r="867" ht="15" customHeight="1">
      <c r="A867" t="inlineStr">
        <is>
          <t>A 5792-2023</t>
        </is>
      </c>
      <c r="B867" s="1" t="n">
        <v>44963.44769675926</v>
      </c>
      <c r="C867" s="1" t="n">
        <v>45988</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10303-2025</t>
        </is>
      </c>
      <c r="B868" s="1" t="n">
        <v>45720.44217592593</v>
      </c>
      <c r="C868" s="1" t="n">
        <v>45988</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60110-2022</t>
        </is>
      </c>
      <c r="B869" s="1" t="n">
        <v>44909</v>
      </c>
      <c r="C869" s="1" t="n">
        <v>45988</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15394-2025</t>
        </is>
      </c>
      <c r="B870" s="1" t="n">
        <v>45747.43196759259</v>
      </c>
      <c r="C870" s="1" t="n">
        <v>45988</v>
      </c>
      <c r="D870" t="inlineStr">
        <is>
          <t>KALMAR LÄN</t>
        </is>
      </c>
      <c r="E870" t="inlineStr">
        <is>
          <t>VIMMERBY</t>
        </is>
      </c>
      <c r="G870" t="n">
        <v>0.8</v>
      </c>
      <c r="H870" t="n">
        <v>0</v>
      </c>
      <c r="I870" t="n">
        <v>0</v>
      </c>
      <c r="J870" t="n">
        <v>0</v>
      </c>
      <c r="K870" t="n">
        <v>0</v>
      </c>
      <c r="L870" t="n">
        <v>0</v>
      </c>
      <c r="M870" t="n">
        <v>0</v>
      </c>
      <c r="N870" t="n">
        <v>0</v>
      </c>
      <c r="O870" t="n">
        <v>0</v>
      </c>
      <c r="P870" t="n">
        <v>0</v>
      </c>
      <c r="Q870" t="n">
        <v>0</v>
      </c>
      <c r="R870" s="2" t="inlineStr"/>
    </row>
    <row r="871" ht="15" customHeight="1">
      <c r="A871" t="inlineStr">
        <is>
          <t>A 15388-2025</t>
        </is>
      </c>
      <c r="B871" s="1" t="n">
        <v>45747.42633101852</v>
      </c>
      <c r="C871" s="1" t="n">
        <v>45988</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15391-2025</t>
        </is>
      </c>
      <c r="B872" s="1" t="n">
        <v>45747.42958333333</v>
      </c>
      <c r="C872" s="1" t="n">
        <v>45988</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6474-2025</t>
        </is>
      </c>
      <c r="B873" s="1" t="n">
        <v>45699.60055555555</v>
      </c>
      <c r="C873" s="1" t="n">
        <v>45988</v>
      </c>
      <c r="D873" t="inlineStr">
        <is>
          <t>KALMAR LÄN</t>
        </is>
      </c>
      <c r="E873" t="inlineStr">
        <is>
          <t>VIMMERBY</t>
        </is>
      </c>
      <c r="G873" t="n">
        <v>1.6</v>
      </c>
      <c r="H873" t="n">
        <v>0</v>
      </c>
      <c r="I873" t="n">
        <v>0</v>
      </c>
      <c r="J873" t="n">
        <v>0</v>
      </c>
      <c r="K873" t="n">
        <v>0</v>
      </c>
      <c r="L873" t="n">
        <v>0</v>
      </c>
      <c r="M873" t="n">
        <v>0</v>
      </c>
      <c r="N873" t="n">
        <v>0</v>
      </c>
      <c r="O873" t="n">
        <v>0</v>
      </c>
      <c r="P873" t="n">
        <v>0</v>
      </c>
      <c r="Q873" t="n">
        <v>0</v>
      </c>
      <c r="R873" s="2" t="inlineStr"/>
    </row>
    <row r="874" ht="15" customHeight="1">
      <c r="A874" t="inlineStr">
        <is>
          <t>A 32919-2022</t>
        </is>
      </c>
      <c r="B874" s="1" t="n">
        <v>44784.62724537037</v>
      </c>
      <c r="C874" s="1" t="n">
        <v>45988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56659-2023</t>
        </is>
      </c>
      <c r="B875" s="1" t="n">
        <v>45243.84869212963</v>
      </c>
      <c r="C875" s="1" t="n">
        <v>45988</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13015-2022</t>
        </is>
      </c>
      <c r="B876" s="1" t="n">
        <v>44643</v>
      </c>
      <c r="C876" s="1" t="n">
        <v>45988</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17968-2025</t>
        </is>
      </c>
      <c r="B877" s="1" t="n">
        <v>45761.35990740741</v>
      </c>
      <c r="C877" s="1" t="n">
        <v>45988</v>
      </c>
      <c r="D877" t="inlineStr">
        <is>
          <t>KALMAR LÄN</t>
        </is>
      </c>
      <c r="E877" t="inlineStr">
        <is>
          <t>VIMMERBY</t>
        </is>
      </c>
      <c r="G877" t="n">
        <v>3.3</v>
      </c>
      <c r="H877" t="n">
        <v>0</v>
      </c>
      <c r="I877" t="n">
        <v>0</v>
      </c>
      <c r="J877" t="n">
        <v>0</v>
      </c>
      <c r="K877" t="n">
        <v>0</v>
      </c>
      <c r="L877" t="n">
        <v>0</v>
      </c>
      <c r="M877" t="n">
        <v>0</v>
      </c>
      <c r="N877" t="n">
        <v>0</v>
      </c>
      <c r="O877" t="n">
        <v>0</v>
      </c>
      <c r="P877" t="n">
        <v>0</v>
      </c>
      <c r="Q877" t="n">
        <v>0</v>
      </c>
      <c r="R877" s="2" t="inlineStr"/>
    </row>
    <row r="878" ht="15" customHeight="1">
      <c r="A878" t="inlineStr">
        <is>
          <t>A 6028-2023</t>
        </is>
      </c>
      <c r="B878" s="1" t="n">
        <v>44964.44356481481</v>
      </c>
      <c r="C878" s="1" t="n">
        <v>45988</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55436-2023</t>
        </is>
      </c>
      <c r="B879" s="1" t="n">
        <v>45238.4328587963</v>
      </c>
      <c r="C879" s="1" t="n">
        <v>45988</v>
      </c>
      <c r="D879" t="inlineStr">
        <is>
          <t>KALMAR LÄN</t>
        </is>
      </c>
      <c r="E879" t="inlineStr">
        <is>
          <t>VIMMERBY</t>
        </is>
      </c>
      <c r="G879" t="n">
        <v>5.6</v>
      </c>
      <c r="H879" t="n">
        <v>0</v>
      </c>
      <c r="I879" t="n">
        <v>0</v>
      </c>
      <c r="J879" t="n">
        <v>0</v>
      </c>
      <c r="K879" t="n">
        <v>0</v>
      </c>
      <c r="L879" t="n">
        <v>0</v>
      </c>
      <c r="M879" t="n">
        <v>0</v>
      </c>
      <c r="N879" t="n">
        <v>0</v>
      </c>
      <c r="O879" t="n">
        <v>0</v>
      </c>
      <c r="P879" t="n">
        <v>0</v>
      </c>
      <c r="Q879" t="n">
        <v>0</v>
      </c>
      <c r="R879" s="2" t="inlineStr"/>
    </row>
    <row r="880" ht="15" customHeight="1">
      <c r="A880" t="inlineStr">
        <is>
          <t>A 56582-2022</t>
        </is>
      </c>
      <c r="B880" s="1" t="n">
        <v>44893</v>
      </c>
      <c r="C880" s="1" t="n">
        <v>45988</v>
      </c>
      <c r="D880" t="inlineStr">
        <is>
          <t>KALMAR LÄN</t>
        </is>
      </c>
      <c r="E880" t="inlineStr">
        <is>
          <t>VIMMERBY</t>
        </is>
      </c>
      <c r="G880" t="n">
        <v>2.2</v>
      </c>
      <c r="H880" t="n">
        <v>0</v>
      </c>
      <c r="I880" t="n">
        <v>0</v>
      </c>
      <c r="J880" t="n">
        <v>0</v>
      </c>
      <c r="K880" t="n">
        <v>0</v>
      </c>
      <c r="L880" t="n">
        <v>0</v>
      </c>
      <c r="M880" t="n">
        <v>0</v>
      </c>
      <c r="N880" t="n">
        <v>0</v>
      </c>
      <c r="O880" t="n">
        <v>0</v>
      </c>
      <c r="P880" t="n">
        <v>0</v>
      </c>
      <c r="Q880" t="n">
        <v>0</v>
      </c>
      <c r="R880" s="2" t="inlineStr"/>
    </row>
    <row r="881" ht="15" customHeight="1">
      <c r="A881" t="inlineStr">
        <is>
          <t>A 20-2025</t>
        </is>
      </c>
      <c r="B881" s="1" t="n">
        <v>45658.80232638889</v>
      </c>
      <c r="C881" s="1" t="n">
        <v>45988</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23-2025</t>
        </is>
      </c>
      <c r="B882" s="1" t="n">
        <v>45658.80827546296</v>
      </c>
      <c r="C882" s="1" t="n">
        <v>45988</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43962-2024</t>
        </is>
      </c>
      <c r="B883" s="1" t="n">
        <v>45572.48293981481</v>
      </c>
      <c r="C883" s="1" t="n">
        <v>45988</v>
      </c>
      <c r="D883" t="inlineStr">
        <is>
          <t>KALMAR LÄN</t>
        </is>
      </c>
      <c r="E883" t="inlineStr">
        <is>
          <t>VIMMERBY</t>
        </is>
      </c>
      <c r="G883" t="n">
        <v>0.6</v>
      </c>
      <c r="H883" t="n">
        <v>0</v>
      </c>
      <c r="I883" t="n">
        <v>0</v>
      </c>
      <c r="J883" t="n">
        <v>0</v>
      </c>
      <c r="K883" t="n">
        <v>0</v>
      </c>
      <c r="L883" t="n">
        <v>0</v>
      </c>
      <c r="M883" t="n">
        <v>0</v>
      </c>
      <c r="N883" t="n">
        <v>0</v>
      </c>
      <c r="O883" t="n">
        <v>0</v>
      </c>
      <c r="P883" t="n">
        <v>0</v>
      </c>
      <c r="Q883" t="n">
        <v>0</v>
      </c>
      <c r="R883" s="2" t="inlineStr"/>
    </row>
    <row r="884" ht="15" customHeight="1">
      <c r="A884" t="inlineStr">
        <is>
          <t>A 35713-2023</t>
        </is>
      </c>
      <c r="B884" s="1" t="n">
        <v>45147</v>
      </c>
      <c r="C884" s="1" t="n">
        <v>45988</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40147-2023</t>
        </is>
      </c>
      <c r="B885" s="1" t="n">
        <v>45169</v>
      </c>
      <c r="C885" s="1" t="n">
        <v>45988</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50995-2022</t>
        </is>
      </c>
      <c r="B886" s="1" t="n">
        <v>44867</v>
      </c>
      <c r="C886" s="1" t="n">
        <v>45988</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27993-2022</t>
        </is>
      </c>
      <c r="B887" s="1" t="n">
        <v>44745.84396990741</v>
      </c>
      <c r="C887" s="1" t="n">
        <v>45988</v>
      </c>
      <c r="D887" t="inlineStr">
        <is>
          <t>KALMAR LÄN</t>
        </is>
      </c>
      <c r="E887" t="inlineStr">
        <is>
          <t>VIMMERBY</t>
        </is>
      </c>
      <c r="G887" t="n">
        <v>2.8</v>
      </c>
      <c r="H887" t="n">
        <v>0</v>
      </c>
      <c r="I887" t="n">
        <v>0</v>
      </c>
      <c r="J887" t="n">
        <v>0</v>
      </c>
      <c r="K887" t="n">
        <v>0</v>
      </c>
      <c r="L887" t="n">
        <v>0</v>
      </c>
      <c r="M887" t="n">
        <v>0</v>
      </c>
      <c r="N887" t="n">
        <v>0</v>
      </c>
      <c r="O887" t="n">
        <v>0</v>
      </c>
      <c r="P887" t="n">
        <v>0</v>
      </c>
      <c r="Q887" t="n">
        <v>0</v>
      </c>
      <c r="R887" s="2" t="inlineStr"/>
    </row>
    <row r="888" ht="15" customHeight="1">
      <c r="A888" t="inlineStr">
        <is>
          <t>A 57555-2024</t>
        </is>
      </c>
      <c r="B888" s="1" t="n">
        <v>45630.45069444444</v>
      </c>
      <c r="C888" s="1" t="n">
        <v>45988</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36014-2024</t>
        </is>
      </c>
      <c r="B889" s="1" t="n">
        <v>45533.56108796296</v>
      </c>
      <c r="C889" s="1" t="n">
        <v>45988</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36030-2024</t>
        </is>
      </c>
      <c r="B890" s="1" t="n">
        <v>45533.58302083334</v>
      </c>
      <c r="C890" s="1" t="n">
        <v>45988</v>
      </c>
      <c r="D890" t="inlineStr">
        <is>
          <t>KALMAR LÄN</t>
        </is>
      </c>
      <c r="E890" t="inlineStr">
        <is>
          <t>VIMMERBY</t>
        </is>
      </c>
      <c r="F890" t="inlineStr">
        <is>
          <t>Kommuner</t>
        </is>
      </c>
      <c r="G890" t="n">
        <v>4</v>
      </c>
      <c r="H890" t="n">
        <v>0</v>
      </c>
      <c r="I890" t="n">
        <v>0</v>
      </c>
      <c r="J890" t="n">
        <v>0</v>
      </c>
      <c r="K890" t="n">
        <v>0</v>
      </c>
      <c r="L890" t="n">
        <v>0</v>
      </c>
      <c r="M890" t="n">
        <v>0</v>
      </c>
      <c r="N890" t="n">
        <v>0</v>
      </c>
      <c r="O890" t="n">
        <v>0</v>
      </c>
      <c r="P890" t="n">
        <v>0</v>
      </c>
      <c r="Q890" t="n">
        <v>0</v>
      </c>
      <c r="R890" s="2" t="inlineStr"/>
    </row>
    <row r="891" ht="15" customHeight="1">
      <c r="A891" t="inlineStr">
        <is>
          <t>A 32865-2023</t>
        </is>
      </c>
      <c r="B891" s="1" t="n">
        <v>45124</v>
      </c>
      <c r="C891" s="1" t="n">
        <v>45988</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42918-2021</t>
        </is>
      </c>
      <c r="B892" s="1" t="n">
        <v>44431</v>
      </c>
      <c r="C892" s="1" t="n">
        <v>45988</v>
      </c>
      <c r="D892" t="inlineStr">
        <is>
          <t>KALMAR LÄN</t>
        </is>
      </c>
      <c r="E892" t="inlineStr">
        <is>
          <t>VIMMERBY</t>
        </is>
      </c>
      <c r="G892" t="n">
        <v>1.6</v>
      </c>
      <c r="H892" t="n">
        <v>0</v>
      </c>
      <c r="I892" t="n">
        <v>0</v>
      </c>
      <c r="J892" t="n">
        <v>0</v>
      </c>
      <c r="K892" t="n">
        <v>0</v>
      </c>
      <c r="L892" t="n">
        <v>0</v>
      </c>
      <c r="M892" t="n">
        <v>0</v>
      </c>
      <c r="N892" t="n">
        <v>0</v>
      </c>
      <c r="O892" t="n">
        <v>0</v>
      </c>
      <c r="P892" t="n">
        <v>0</v>
      </c>
      <c r="Q892" t="n">
        <v>0</v>
      </c>
      <c r="R892" s="2" t="inlineStr"/>
    </row>
    <row r="893" ht="15" customHeight="1">
      <c r="A893" t="inlineStr">
        <is>
          <t>A 22643-2023</t>
        </is>
      </c>
      <c r="B893" s="1" t="n">
        <v>45071</v>
      </c>
      <c r="C893" s="1" t="n">
        <v>45988</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18669-2025</t>
        </is>
      </c>
      <c r="B894" s="1" t="n">
        <v>45763.59436342592</v>
      </c>
      <c r="C894" s="1" t="n">
        <v>45988</v>
      </c>
      <c r="D894" t="inlineStr">
        <is>
          <t>KALMAR LÄN</t>
        </is>
      </c>
      <c r="E894" t="inlineStr">
        <is>
          <t>VIMMERBY</t>
        </is>
      </c>
      <c r="G894" t="n">
        <v>2.7</v>
      </c>
      <c r="H894" t="n">
        <v>0</v>
      </c>
      <c r="I894" t="n">
        <v>0</v>
      </c>
      <c r="J894" t="n">
        <v>0</v>
      </c>
      <c r="K894" t="n">
        <v>0</v>
      </c>
      <c r="L894" t="n">
        <v>0</v>
      </c>
      <c r="M894" t="n">
        <v>0</v>
      </c>
      <c r="N894" t="n">
        <v>0</v>
      </c>
      <c r="O894" t="n">
        <v>0</v>
      </c>
      <c r="P894" t="n">
        <v>0</v>
      </c>
      <c r="Q894" t="n">
        <v>0</v>
      </c>
      <c r="R894" s="2" t="inlineStr"/>
    </row>
    <row r="895" ht="15" customHeight="1">
      <c r="A895" t="inlineStr">
        <is>
          <t>A 38780-2021</t>
        </is>
      </c>
      <c r="B895" s="1" t="n">
        <v>44410</v>
      </c>
      <c r="C895" s="1" t="n">
        <v>45988</v>
      </c>
      <c r="D895" t="inlineStr">
        <is>
          <t>KALMAR LÄN</t>
        </is>
      </c>
      <c r="E895" t="inlineStr">
        <is>
          <t>VIMMERBY</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29020-2024</t>
        </is>
      </c>
      <c r="B896" s="1" t="n">
        <v>45481.58048611111</v>
      </c>
      <c r="C896" s="1" t="n">
        <v>45988</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30406-2023</t>
        </is>
      </c>
      <c r="B897" s="1" t="n">
        <v>45111.48787037037</v>
      </c>
      <c r="C897" s="1" t="n">
        <v>45988</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c r="A898" t="inlineStr">
        <is>
          <t>A 13817-2024</t>
        </is>
      </c>
      <c r="B898" s="1" t="n">
        <v>45391.41976851852</v>
      </c>
      <c r="C898" s="1" t="n">
        <v>45988</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2025-11-27T10:22:28Z</dcterms:created>
  <dcterms:modified xmlns:dcterms="http://purl.org/dc/terms/" xmlns:xsi="http://www.w3.org/2001/XMLSchema-instance" xsi:type="dcterms:W3CDTF">2025-11-27T10:22:29Z</dcterms:modified>
</cp:coreProperties>
</file>