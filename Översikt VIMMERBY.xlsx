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46106</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46106</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46106</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46106</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46106</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46106</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46106</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58997-2025</t>
        </is>
      </c>
      <c r="B12" s="1" t="n">
        <v>45987</v>
      </c>
      <c r="C12" s="1" t="n">
        <v>46106</v>
      </c>
      <c r="D12" t="inlineStr">
        <is>
          <t>KALMAR LÄN</t>
        </is>
      </c>
      <c r="E12" t="inlineStr">
        <is>
          <t>VIMMERBY</t>
        </is>
      </c>
      <c r="G12" t="n">
        <v>7.9</v>
      </c>
      <c r="H12" t="n">
        <v>1</v>
      </c>
      <c r="I12" t="n">
        <v>2</v>
      </c>
      <c r="J12" t="n">
        <v>1</v>
      </c>
      <c r="K12" t="n">
        <v>1</v>
      </c>
      <c r="L12" t="n">
        <v>0</v>
      </c>
      <c r="M12" t="n">
        <v>0</v>
      </c>
      <c r="N12" t="n">
        <v>0</v>
      </c>
      <c r="O12" t="n">
        <v>2</v>
      </c>
      <c r="P12" t="n">
        <v>1</v>
      </c>
      <c r="Q12" t="n">
        <v>4</v>
      </c>
      <c r="R12" s="2" t="inlineStr">
        <is>
          <t>Knärot
Tallticka
Brandticka
Dropptaggsvamp</t>
        </is>
      </c>
      <c r="S12">
        <f>HYPERLINK("https://klasma.github.io/Logging_0884/artfynd/A 58997-2025 artfynd.xlsx", "A 58997-2025")</f>
        <v/>
      </c>
      <c r="T12">
        <f>HYPERLINK("https://klasma.github.io/Logging_0884/kartor/A 58997-2025 karta.png", "A 58997-2025")</f>
        <v/>
      </c>
      <c r="U12">
        <f>HYPERLINK("https://klasma.github.io/Logging_0884/knärot/A 58997-2025 karta knärot.png", "A 58997-2025")</f>
        <v/>
      </c>
      <c r="V12">
        <f>HYPERLINK("https://klasma.github.io/Logging_0884/klagomål/A 58997-2025 FSC-klagomål.docx", "A 58997-2025")</f>
        <v/>
      </c>
      <c r="W12">
        <f>HYPERLINK("https://klasma.github.io/Logging_0884/klagomålsmail/A 58997-2025 FSC-klagomål mail.docx", "A 58997-2025")</f>
        <v/>
      </c>
      <c r="X12">
        <f>HYPERLINK("https://klasma.github.io/Logging_0884/tillsyn/A 58997-2025 tillsynsbegäran.docx", "A 58997-2025")</f>
        <v/>
      </c>
      <c r="Y12">
        <f>HYPERLINK("https://klasma.github.io/Logging_0884/tillsynsmail/A 58997-2025 tillsynsbegäran mail.docx", "A 58997-2025")</f>
        <v/>
      </c>
    </row>
    <row r="13" ht="15" customHeight="1">
      <c r="A13" t="inlineStr">
        <is>
          <t>A 7040-2026</t>
        </is>
      </c>
      <c r="B13" s="1" t="n">
        <v>46057.69520833333</v>
      </c>
      <c r="C13" s="1" t="n">
        <v>46106</v>
      </c>
      <c r="D13" t="inlineStr">
        <is>
          <t>KALMAR LÄN</t>
        </is>
      </c>
      <c r="E13" t="inlineStr">
        <is>
          <t>VIMMERBY</t>
        </is>
      </c>
      <c r="G13" t="n">
        <v>2.7</v>
      </c>
      <c r="H13" t="n">
        <v>4</v>
      </c>
      <c r="I13" t="n">
        <v>0</v>
      </c>
      <c r="J13" t="n">
        <v>2</v>
      </c>
      <c r="K13" t="n">
        <v>1</v>
      </c>
      <c r="L13" t="n">
        <v>0</v>
      </c>
      <c r="M13" t="n">
        <v>0</v>
      </c>
      <c r="N13" t="n">
        <v>0</v>
      </c>
      <c r="O13" t="n">
        <v>3</v>
      </c>
      <c r="P13" t="n">
        <v>1</v>
      </c>
      <c r="Q13" t="n">
        <v>4</v>
      </c>
      <c r="R13" s="2" t="inlineStr">
        <is>
          <t>Knärot
Spillkråka
Talltita
Tjäder</t>
        </is>
      </c>
      <c r="S13">
        <f>HYPERLINK("https://klasma.github.io/Logging_0884/artfynd/A 7040-2026 artfynd.xlsx", "A 7040-2026")</f>
        <v/>
      </c>
      <c r="T13">
        <f>HYPERLINK("https://klasma.github.io/Logging_0884/kartor/A 7040-2026 karta.png", "A 7040-2026")</f>
        <v/>
      </c>
      <c r="U13">
        <f>HYPERLINK("https://klasma.github.io/Logging_0884/knärot/A 7040-2026 karta knärot.png", "A 7040-2026")</f>
        <v/>
      </c>
      <c r="V13">
        <f>HYPERLINK("https://klasma.github.io/Logging_0884/klagomål/A 7040-2026 FSC-klagomål.docx", "A 7040-2026")</f>
        <v/>
      </c>
      <c r="W13">
        <f>HYPERLINK("https://klasma.github.io/Logging_0884/klagomålsmail/A 7040-2026 FSC-klagomål mail.docx", "A 7040-2026")</f>
        <v/>
      </c>
      <c r="X13">
        <f>HYPERLINK("https://klasma.github.io/Logging_0884/tillsyn/A 7040-2026 tillsynsbegäran.docx", "A 7040-2026")</f>
        <v/>
      </c>
      <c r="Y13">
        <f>HYPERLINK("https://klasma.github.io/Logging_0884/tillsynsmail/A 7040-2026 tillsynsbegäran mail.docx", "A 7040-2026")</f>
        <v/>
      </c>
      <c r="Z13">
        <f>HYPERLINK("https://klasma.github.io/Logging_0884/fåglar/A 7040-2026 prioriterade fågelarter.docx", "A 7040-2026")</f>
        <v/>
      </c>
    </row>
    <row r="14" ht="15" customHeight="1">
      <c r="A14" t="inlineStr">
        <is>
          <t>A 15808-2025</t>
        </is>
      </c>
      <c r="B14" s="1" t="n">
        <v>45748</v>
      </c>
      <c r="C14" s="1" t="n">
        <v>46106</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3075-2025</t>
        </is>
      </c>
      <c r="B15" s="1" t="n">
        <v>45678</v>
      </c>
      <c r="C15" s="1" t="n">
        <v>46106</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46106</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46106</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55604-2025</t>
        </is>
      </c>
      <c r="B18" s="1" t="n">
        <v>45971</v>
      </c>
      <c r="C18" s="1" t="n">
        <v>46106</v>
      </c>
      <c r="D18" t="inlineStr">
        <is>
          <t>KALMAR LÄN</t>
        </is>
      </c>
      <c r="E18" t="inlineStr">
        <is>
          <t>VIMMERBY</t>
        </is>
      </c>
      <c r="G18" t="n">
        <v>4.4</v>
      </c>
      <c r="H18" t="n">
        <v>2</v>
      </c>
      <c r="I18" t="n">
        <v>2</v>
      </c>
      <c r="J18" t="n">
        <v>1</v>
      </c>
      <c r="K18" t="n">
        <v>1</v>
      </c>
      <c r="L18" t="n">
        <v>0</v>
      </c>
      <c r="M18" t="n">
        <v>0</v>
      </c>
      <c r="N18" t="n">
        <v>0</v>
      </c>
      <c r="O18" t="n">
        <v>2</v>
      </c>
      <c r="P18" t="n">
        <v>1</v>
      </c>
      <c r="Q18" t="n">
        <v>4</v>
      </c>
      <c r="R18" s="2" t="inlineStr">
        <is>
          <t>Knärot
Spillkråka
Dropptaggsvamp
Grönpyrola</t>
        </is>
      </c>
      <c r="S18">
        <f>HYPERLINK("https://klasma.github.io/Logging_0884/artfynd/A 55604-2025 artfynd.xlsx", "A 55604-2025")</f>
        <v/>
      </c>
      <c r="T18">
        <f>HYPERLINK("https://klasma.github.io/Logging_0884/kartor/A 55604-2025 karta.png", "A 55604-2025")</f>
        <v/>
      </c>
      <c r="U18">
        <f>HYPERLINK("https://klasma.github.io/Logging_0884/knärot/A 55604-2025 karta knärot.png", "A 55604-2025")</f>
        <v/>
      </c>
      <c r="V18">
        <f>HYPERLINK("https://klasma.github.io/Logging_0884/klagomål/A 55604-2025 FSC-klagomål.docx", "A 55604-2025")</f>
        <v/>
      </c>
      <c r="W18">
        <f>HYPERLINK("https://klasma.github.io/Logging_0884/klagomålsmail/A 55604-2025 FSC-klagomål mail.docx", "A 55604-2025")</f>
        <v/>
      </c>
      <c r="X18">
        <f>HYPERLINK("https://klasma.github.io/Logging_0884/tillsyn/A 55604-2025 tillsynsbegäran.docx", "A 55604-2025")</f>
        <v/>
      </c>
      <c r="Y18">
        <f>HYPERLINK("https://klasma.github.io/Logging_0884/tillsynsmail/A 55604-2025 tillsynsbegäran mail.docx", "A 55604-2025")</f>
        <v/>
      </c>
      <c r="Z18">
        <f>HYPERLINK("https://klasma.github.io/Logging_0884/fåglar/A 55604-2025 prioriterade fågelarter.docx", "A 55604-2025")</f>
        <v/>
      </c>
    </row>
    <row r="19" ht="15" customHeight="1">
      <c r="A19" t="inlineStr">
        <is>
          <t>A 37901-2022</t>
        </is>
      </c>
      <c r="B19" s="1" t="n">
        <v>44811</v>
      </c>
      <c r="C19" s="1" t="n">
        <v>46106</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46106</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46106</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46106</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46106</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46106</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46106</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14426-2026</t>
        </is>
      </c>
      <c r="B27" s="1" t="n">
        <v>46100.46956018519</v>
      </c>
      <c r="C27" s="1" t="n">
        <v>46106</v>
      </c>
      <c r="D27" t="inlineStr">
        <is>
          <t>KALMAR LÄN</t>
        </is>
      </c>
      <c r="E27" t="inlineStr">
        <is>
          <t>VIMMERBY</t>
        </is>
      </c>
      <c r="F27" t="inlineStr">
        <is>
          <t>Kyrkan</t>
        </is>
      </c>
      <c r="G27" t="n">
        <v>8.6</v>
      </c>
      <c r="H27" t="n">
        <v>1</v>
      </c>
      <c r="I27" t="n">
        <v>0</v>
      </c>
      <c r="J27" t="n">
        <v>1</v>
      </c>
      <c r="K27" t="n">
        <v>1</v>
      </c>
      <c r="L27" t="n">
        <v>0</v>
      </c>
      <c r="M27" t="n">
        <v>0</v>
      </c>
      <c r="N27" t="n">
        <v>0</v>
      </c>
      <c r="O27" t="n">
        <v>2</v>
      </c>
      <c r="P27" t="n">
        <v>1</v>
      </c>
      <c r="Q27" t="n">
        <v>2</v>
      </c>
      <c r="R27" s="2" t="inlineStr">
        <is>
          <t>Knärot
Tallticka</t>
        </is>
      </c>
      <c r="S27">
        <f>HYPERLINK("https://klasma.github.io/Logging_0884/artfynd/A 14426-2026 artfynd.xlsx", "A 14426-2026")</f>
        <v/>
      </c>
      <c r="T27">
        <f>HYPERLINK("https://klasma.github.io/Logging_0884/kartor/A 14426-2026 karta.png", "A 14426-2026")</f>
        <v/>
      </c>
      <c r="U27">
        <f>HYPERLINK("https://klasma.github.io/Logging_0884/knärot/A 14426-2026 karta knärot.png", "A 14426-2026")</f>
        <v/>
      </c>
      <c r="V27">
        <f>HYPERLINK("https://klasma.github.io/Logging_0884/klagomål/A 14426-2026 FSC-klagomål.docx", "A 14426-2026")</f>
        <v/>
      </c>
      <c r="W27">
        <f>HYPERLINK("https://klasma.github.io/Logging_0884/klagomålsmail/A 14426-2026 FSC-klagomål mail.docx", "A 14426-2026")</f>
        <v/>
      </c>
      <c r="X27">
        <f>HYPERLINK("https://klasma.github.io/Logging_0884/tillsyn/A 14426-2026 tillsynsbegäran.docx", "A 14426-2026")</f>
        <v/>
      </c>
      <c r="Y27">
        <f>HYPERLINK("https://klasma.github.io/Logging_0884/tillsynsmail/A 14426-2026 tillsynsbegäran mail.docx", "A 14426-2026")</f>
        <v/>
      </c>
    </row>
    <row r="28" ht="15" customHeight="1">
      <c r="A28" t="inlineStr">
        <is>
          <t>A 40684-2025</t>
        </is>
      </c>
      <c r="B28" s="1" t="n">
        <v>45896.86820601852</v>
      </c>
      <c r="C28" s="1" t="n">
        <v>46106</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46106</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46106</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46106</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46106</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46106</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46106</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22396-2025</t>
        </is>
      </c>
      <c r="B35" s="1" t="n">
        <v>45786.52827546297</v>
      </c>
      <c r="C35" s="1" t="n">
        <v>46106</v>
      </c>
      <c r="D35" t="inlineStr">
        <is>
          <t>KALMAR LÄN</t>
        </is>
      </c>
      <c r="E35" t="inlineStr">
        <is>
          <t>VIMMERBY</t>
        </is>
      </c>
      <c r="G35" t="n">
        <v>2.5</v>
      </c>
      <c r="H35" t="n">
        <v>2</v>
      </c>
      <c r="I35" t="n">
        <v>0</v>
      </c>
      <c r="J35" t="n">
        <v>0</v>
      </c>
      <c r="K35" t="n">
        <v>1</v>
      </c>
      <c r="L35" t="n">
        <v>0</v>
      </c>
      <c r="M35" t="n">
        <v>0</v>
      </c>
      <c r="N35" t="n">
        <v>0</v>
      </c>
      <c r="O35" t="n">
        <v>1</v>
      </c>
      <c r="P35" t="n">
        <v>1</v>
      </c>
      <c r="Q35" t="n">
        <v>2</v>
      </c>
      <c r="R35" s="2" t="inlineStr">
        <is>
          <t>Knärot
Kungsfågel</t>
        </is>
      </c>
      <c r="S35">
        <f>HYPERLINK("https://klasma.github.io/Logging_0884/artfynd/A 22396-2025 artfynd.xlsx", "A 22396-2025")</f>
        <v/>
      </c>
      <c r="T35">
        <f>HYPERLINK("https://klasma.github.io/Logging_0884/kartor/A 22396-2025 karta.png", "A 22396-2025")</f>
        <v/>
      </c>
      <c r="U35">
        <f>HYPERLINK("https://klasma.github.io/Logging_0884/knärot/A 22396-2025 karta knärot.png", "A 22396-2025")</f>
        <v/>
      </c>
      <c r="V35">
        <f>HYPERLINK("https://klasma.github.io/Logging_0884/klagomål/A 22396-2025 FSC-klagomål.docx", "A 22396-2025")</f>
        <v/>
      </c>
      <c r="W35">
        <f>HYPERLINK("https://klasma.github.io/Logging_0884/klagomålsmail/A 22396-2025 FSC-klagomål mail.docx", "A 22396-2025")</f>
        <v/>
      </c>
      <c r="X35">
        <f>HYPERLINK("https://klasma.github.io/Logging_0884/tillsyn/A 22396-2025 tillsynsbegäran.docx", "A 22396-2025")</f>
        <v/>
      </c>
      <c r="Y35">
        <f>HYPERLINK("https://klasma.github.io/Logging_0884/tillsynsmail/A 22396-2025 tillsynsbegäran mail.docx", "A 22396-2025")</f>
        <v/>
      </c>
      <c r="Z35">
        <f>HYPERLINK("https://klasma.github.io/Logging_0884/fåglar/A 22396-2025 prioriterade fågelarter.docx", "A 22396-2025")</f>
        <v/>
      </c>
    </row>
    <row r="36" ht="15" customHeight="1">
      <c r="A36" t="inlineStr">
        <is>
          <t>A 32396-2021</t>
        </is>
      </c>
      <c r="B36" s="1" t="n">
        <v>44371</v>
      </c>
      <c r="C36" s="1" t="n">
        <v>46106</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9067-2025</t>
        </is>
      </c>
      <c r="B37" s="1" t="n">
        <v>45713</v>
      </c>
      <c r="C37" s="1" t="n">
        <v>46106</v>
      </c>
      <c r="D37" t="inlineStr">
        <is>
          <t>KALMAR LÄN</t>
        </is>
      </c>
      <c r="E37" t="inlineStr">
        <is>
          <t>VIMMERBY</t>
        </is>
      </c>
      <c r="G37" t="n">
        <v>3.9</v>
      </c>
      <c r="H37" t="n">
        <v>0</v>
      </c>
      <c r="I37" t="n">
        <v>1</v>
      </c>
      <c r="J37" t="n">
        <v>0</v>
      </c>
      <c r="K37" t="n">
        <v>0</v>
      </c>
      <c r="L37" t="n">
        <v>0</v>
      </c>
      <c r="M37" t="n">
        <v>0</v>
      </c>
      <c r="N37" t="n">
        <v>0</v>
      </c>
      <c r="O37" t="n">
        <v>0</v>
      </c>
      <c r="P37" t="n">
        <v>0</v>
      </c>
      <c r="Q37" t="n">
        <v>1</v>
      </c>
      <c r="R37" s="2" t="inlineStr">
        <is>
          <t>Ögonpyrola</t>
        </is>
      </c>
      <c r="S37">
        <f>HYPERLINK("https://klasma.github.io/Logging_0884/artfynd/A 9067-2025 artfynd.xlsx", "A 9067-2025")</f>
        <v/>
      </c>
      <c r="T37">
        <f>HYPERLINK("https://klasma.github.io/Logging_0884/kartor/A 9067-2025 karta.png", "A 9067-2025")</f>
        <v/>
      </c>
      <c r="V37">
        <f>HYPERLINK("https://klasma.github.io/Logging_0884/klagomål/A 9067-2025 FSC-klagomål.docx", "A 9067-2025")</f>
        <v/>
      </c>
      <c r="W37">
        <f>HYPERLINK("https://klasma.github.io/Logging_0884/klagomålsmail/A 9067-2025 FSC-klagomål mail.docx", "A 9067-2025")</f>
        <v/>
      </c>
      <c r="X37">
        <f>HYPERLINK("https://klasma.github.io/Logging_0884/tillsyn/A 9067-2025 tillsynsbegäran.docx", "A 9067-2025")</f>
        <v/>
      </c>
      <c r="Y37">
        <f>HYPERLINK("https://klasma.github.io/Logging_0884/tillsynsmail/A 9067-2025 tillsynsbegäran mail.docx", "A 9067-2025")</f>
        <v/>
      </c>
    </row>
    <row r="38" ht="15" customHeight="1">
      <c r="A38" t="inlineStr">
        <is>
          <t>A 28852-2023</t>
        </is>
      </c>
      <c r="B38" s="1" t="n">
        <v>45104</v>
      </c>
      <c r="C38" s="1" t="n">
        <v>46106</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52301-2023</t>
        </is>
      </c>
      <c r="B39" s="1" t="n">
        <v>45224</v>
      </c>
      <c r="C39" s="1" t="n">
        <v>46106</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40083-2023</t>
        </is>
      </c>
      <c r="B40" s="1" t="n">
        <v>45168</v>
      </c>
      <c r="C40" s="1" t="n">
        <v>46106</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46106</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61860-2024</t>
        </is>
      </c>
      <c r="B42" s="1" t="n">
        <v>45649</v>
      </c>
      <c r="C42" s="1" t="n">
        <v>46106</v>
      </c>
      <c r="D42" t="inlineStr">
        <is>
          <t>KALMAR LÄN</t>
        </is>
      </c>
      <c r="E42" t="inlineStr">
        <is>
          <t>VIMMERBY</t>
        </is>
      </c>
      <c r="G42" t="n">
        <v>4.4</v>
      </c>
      <c r="H42" t="n">
        <v>1</v>
      </c>
      <c r="I42" t="n">
        <v>0</v>
      </c>
      <c r="J42" t="n">
        <v>0</v>
      </c>
      <c r="K42" t="n">
        <v>1</v>
      </c>
      <c r="L42" t="n">
        <v>0</v>
      </c>
      <c r="M42" t="n">
        <v>0</v>
      </c>
      <c r="N42" t="n">
        <v>0</v>
      </c>
      <c r="O42" t="n">
        <v>1</v>
      </c>
      <c r="P42" t="n">
        <v>1</v>
      </c>
      <c r="Q42" t="n">
        <v>1</v>
      </c>
      <c r="R42" s="2" t="inlineStr">
        <is>
          <t>Knärot</t>
        </is>
      </c>
      <c r="S42">
        <f>HYPERLINK("https://klasma.github.io/Logging_0884/artfynd/A 61860-2024 artfynd.xlsx", "A 61860-2024")</f>
        <v/>
      </c>
      <c r="T42">
        <f>HYPERLINK("https://klasma.github.io/Logging_0884/kartor/A 61860-2024 karta.png", "A 61860-2024")</f>
        <v/>
      </c>
      <c r="U42">
        <f>HYPERLINK("https://klasma.github.io/Logging_0884/knärot/A 61860-2024 karta knärot.png", "A 61860-2024")</f>
        <v/>
      </c>
      <c r="V42">
        <f>HYPERLINK("https://klasma.github.io/Logging_0884/klagomål/A 61860-2024 FSC-klagomål.docx", "A 61860-2024")</f>
        <v/>
      </c>
      <c r="W42">
        <f>HYPERLINK("https://klasma.github.io/Logging_0884/klagomålsmail/A 61860-2024 FSC-klagomål mail.docx", "A 61860-2024")</f>
        <v/>
      </c>
      <c r="X42">
        <f>HYPERLINK("https://klasma.github.io/Logging_0884/tillsyn/A 61860-2024 tillsynsbegäran.docx", "A 61860-2024")</f>
        <v/>
      </c>
      <c r="Y42">
        <f>HYPERLINK("https://klasma.github.io/Logging_0884/tillsynsmail/A 61860-2024 tillsynsbegäran mail.docx", "A 61860-2024")</f>
        <v/>
      </c>
    </row>
    <row r="43" ht="15" customHeight="1">
      <c r="A43" t="inlineStr">
        <is>
          <t>A 29183-2025</t>
        </is>
      </c>
      <c r="B43" s="1" t="n">
        <v>45821</v>
      </c>
      <c r="C43" s="1" t="n">
        <v>46106</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23602-2023</t>
        </is>
      </c>
      <c r="B44" s="1" t="n">
        <v>45077</v>
      </c>
      <c r="C44" s="1" t="n">
        <v>46106</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32985-2023</t>
        </is>
      </c>
      <c r="B45" s="1" t="n">
        <v>45125</v>
      </c>
      <c r="C45" s="1" t="n">
        <v>46106</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53404-2025</t>
        </is>
      </c>
      <c r="B46" s="1" t="n">
        <v>45959.57126157408</v>
      </c>
      <c r="C46" s="1" t="n">
        <v>46106</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46106</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15122-2024</t>
        </is>
      </c>
      <c r="B48" s="1" t="n">
        <v>45399.71412037037</v>
      </c>
      <c r="C48" s="1" t="n">
        <v>46106</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55384-2025</t>
        </is>
      </c>
      <c r="B49" s="1" t="n">
        <v>45971.43178240741</v>
      </c>
      <c r="C49" s="1" t="n">
        <v>46106</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46106</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37930-2021</t>
        </is>
      </c>
      <c r="B51" s="1" t="n">
        <v>44403</v>
      </c>
      <c r="C51" s="1" t="n">
        <v>46106</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46106</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46106</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1201-2025</t>
        </is>
      </c>
      <c r="B54" s="1" t="n">
        <v>45667</v>
      </c>
      <c r="C54" s="1" t="n">
        <v>46106</v>
      </c>
      <c r="D54" t="inlineStr">
        <is>
          <t>KALMAR LÄN</t>
        </is>
      </c>
      <c r="E54" t="inlineStr">
        <is>
          <t>VIMMERBY</t>
        </is>
      </c>
      <c r="G54" t="n">
        <v>6.4</v>
      </c>
      <c r="H54" t="n">
        <v>1</v>
      </c>
      <c r="I54" t="n">
        <v>0</v>
      </c>
      <c r="J54" t="n">
        <v>0</v>
      </c>
      <c r="K54" t="n">
        <v>1</v>
      </c>
      <c r="L54" t="n">
        <v>0</v>
      </c>
      <c r="M54" t="n">
        <v>0</v>
      </c>
      <c r="N54" t="n">
        <v>0</v>
      </c>
      <c r="O54" t="n">
        <v>1</v>
      </c>
      <c r="P54" t="n">
        <v>1</v>
      </c>
      <c r="Q54" t="n">
        <v>1</v>
      </c>
      <c r="R54" s="2" t="inlineStr">
        <is>
          <t>Knärot</t>
        </is>
      </c>
      <c r="S54">
        <f>HYPERLINK("https://klasma.github.io/Logging_0884/artfynd/A 1201-2025 artfynd.xlsx", "A 1201-2025")</f>
        <v/>
      </c>
      <c r="T54">
        <f>HYPERLINK("https://klasma.github.io/Logging_0884/kartor/A 1201-2025 karta.png", "A 1201-2025")</f>
        <v/>
      </c>
      <c r="U54">
        <f>HYPERLINK("https://klasma.github.io/Logging_0884/knärot/A 1201-2025 karta knärot.png", "A 1201-2025")</f>
        <v/>
      </c>
      <c r="V54">
        <f>HYPERLINK("https://klasma.github.io/Logging_0884/klagomål/A 1201-2025 FSC-klagomål.docx", "A 1201-2025")</f>
        <v/>
      </c>
      <c r="W54">
        <f>HYPERLINK("https://klasma.github.io/Logging_0884/klagomålsmail/A 1201-2025 FSC-klagomål mail.docx", "A 1201-2025")</f>
        <v/>
      </c>
      <c r="X54">
        <f>HYPERLINK("https://klasma.github.io/Logging_0884/tillsyn/A 1201-2025 tillsynsbegäran.docx", "A 1201-2025")</f>
        <v/>
      </c>
      <c r="Y54">
        <f>HYPERLINK("https://klasma.github.io/Logging_0884/tillsynsmail/A 1201-2025 tillsynsbegäran mail.docx", "A 1201-2025")</f>
        <v/>
      </c>
    </row>
    <row r="55" ht="15" customHeight="1">
      <c r="A55" t="inlineStr">
        <is>
          <t>A 15092-2021</t>
        </is>
      </c>
      <c r="B55" s="1" t="n">
        <v>44281.79269675926</v>
      </c>
      <c r="C55" s="1" t="n">
        <v>46106</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46106</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46106</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46106</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46106</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46106</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15903-2021</t>
        </is>
      </c>
      <c r="B61" s="1" t="n">
        <v>44287.33261574074</v>
      </c>
      <c r="C61" s="1" t="n">
        <v>46106</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46106</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46106</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46106</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46106</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46106</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46106</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46106</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46106</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46106</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46106</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46106</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46106</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46106</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46106</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46106</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46106</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46106</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46106</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46106</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46106</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46106</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46106</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46106</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46106</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46106</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46106</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46106</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46106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46106</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46106</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46106</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46106</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46106</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19863-2021</t>
        </is>
      </c>
      <c r="B95" s="1" t="n">
        <v>44312</v>
      </c>
      <c r="C95" s="1" t="n">
        <v>46106</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46106</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46106</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46106</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17869-2021</t>
        </is>
      </c>
      <c r="B99" s="1" t="n">
        <v>44301.36048611111</v>
      </c>
      <c r="C99" s="1" t="n">
        <v>46106</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46106</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24723-2021</t>
        </is>
      </c>
      <c r="B101" s="1" t="n">
        <v>44340.54472222222</v>
      </c>
      <c r="C101" s="1" t="n">
        <v>46106</v>
      </c>
      <c r="D101" t="inlineStr">
        <is>
          <t>KALMAR LÄN</t>
        </is>
      </c>
      <c r="E101" t="inlineStr">
        <is>
          <t>VIMMERBY</t>
        </is>
      </c>
      <c r="G101" t="n">
        <v>3.3</v>
      </c>
      <c r="H101" t="n">
        <v>0</v>
      </c>
      <c r="I101" t="n">
        <v>0</v>
      </c>
      <c r="J101" t="n">
        <v>0</v>
      </c>
      <c r="K101" t="n">
        <v>0</v>
      </c>
      <c r="L101" t="n">
        <v>0</v>
      </c>
      <c r="M101" t="n">
        <v>0</v>
      </c>
      <c r="N101" t="n">
        <v>0</v>
      </c>
      <c r="O101" t="n">
        <v>0</v>
      </c>
      <c r="P101" t="n">
        <v>0</v>
      </c>
      <c r="Q101" t="n">
        <v>0</v>
      </c>
      <c r="R101" s="2" t="inlineStr"/>
    </row>
    <row r="102" ht="15" customHeight="1">
      <c r="A102" t="inlineStr">
        <is>
          <t>A 24752-2021</t>
        </is>
      </c>
      <c r="B102" s="1" t="n">
        <v>44340</v>
      </c>
      <c r="C102" s="1" t="n">
        <v>46106</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31533-2022</t>
        </is>
      </c>
      <c r="B103" s="1" t="n">
        <v>44774</v>
      </c>
      <c r="C103" s="1" t="n">
        <v>46106</v>
      </c>
      <c r="D103" t="inlineStr">
        <is>
          <t>KALMAR LÄN</t>
        </is>
      </c>
      <c r="E103" t="inlineStr">
        <is>
          <t>VIMMERBY</t>
        </is>
      </c>
      <c r="G103" t="n">
        <v>2.5</v>
      </c>
      <c r="H103" t="n">
        <v>0</v>
      </c>
      <c r="I103" t="n">
        <v>0</v>
      </c>
      <c r="J103" t="n">
        <v>0</v>
      </c>
      <c r="K103" t="n">
        <v>0</v>
      </c>
      <c r="L103" t="n">
        <v>0</v>
      </c>
      <c r="M103" t="n">
        <v>0</v>
      </c>
      <c r="N103" t="n">
        <v>0</v>
      </c>
      <c r="O103" t="n">
        <v>0</v>
      </c>
      <c r="P103" t="n">
        <v>0</v>
      </c>
      <c r="Q103" t="n">
        <v>0</v>
      </c>
      <c r="R103" s="2" t="inlineStr"/>
    </row>
    <row r="104" ht="15" customHeight="1">
      <c r="A104" t="inlineStr">
        <is>
          <t>A 25859-2022</t>
        </is>
      </c>
      <c r="B104" s="1" t="n">
        <v>44733</v>
      </c>
      <c r="C104" s="1" t="n">
        <v>46106</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25868-2022</t>
        </is>
      </c>
      <c r="B105" s="1" t="n">
        <v>44733</v>
      </c>
      <c r="C105" s="1" t="n">
        <v>46106</v>
      </c>
      <c r="D105" t="inlineStr">
        <is>
          <t>KALMAR LÄN</t>
        </is>
      </c>
      <c r="E105" t="inlineStr">
        <is>
          <t>VIMMERBY</t>
        </is>
      </c>
      <c r="G105" t="n">
        <v>1.7</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46106</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35633-2021</t>
        </is>
      </c>
      <c r="B107" s="1" t="n">
        <v>44386.40783564815</v>
      </c>
      <c r="C107" s="1" t="n">
        <v>46106</v>
      </c>
      <c r="D107" t="inlineStr">
        <is>
          <t>KALMAR LÄN</t>
        </is>
      </c>
      <c r="E107" t="inlineStr">
        <is>
          <t>VIMMERBY</t>
        </is>
      </c>
      <c r="G107" t="n">
        <v>1.6</v>
      </c>
      <c r="H107" t="n">
        <v>0</v>
      </c>
      <c r="I107" t="n">
        <v>0</v>
      </c>
      <c r="J107" t="n">
        <v>0</v>
      </c>
      <c r="K107" t="n">
        <v>0</v>
      </c>
      <c r="L107" t="n">
        <v>0</v>
      </c>
      <c r="M107" t="n">
        <v>0</v>
      </c>
      <c r="N107" t="n">
        <v>0</v>
      </c>
      <c r="O107" t="n">
        <v>0</v>
      </c>
      <c r="P107" t="n">
        <v>0</v>
      </c>
      <c r="Q107" t="n">
        <v>0</v>
      </c>
      <c r="R107" s="2" t="inlineStr"/>
    </row>
    <row r="108" ht="15" customHeight="1">
      <c r="A108" t="inlineStr">
        <is>
          <t>A 56343-2021</t>
        </is>
      </c>
      <c r="B108" s="1" t="n">
        <v>44480</v>
      </c>
      <c r="C108" s="1" t="n">
        <v>46106</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24369-2021</t>
        </is>
      </c>
      <c r="B109" s="1" t="n">
        <v>44337</v>
      </c>
      <c r="C109" s="1" t="n">
        <v>46106</v>
      </c>
      <c r="D109" t="inlineStr">
        <is>
          <t>KALMAR LÄN</t>
        </is>
      </c>
      <c r="E109" t="inlineStr">
        <is>
          <t>VIMMERBY</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51972-2021</t>
        </is>
      </c>
      <c r="B110" s="1" t="n">
        <v>44463.29439814815</v>
      </c>
      <c r="C110" s="1" t="n">
        <v>46106</v>
      </c>
      <c r="D110" t="inlineStr">
        <is>
          <t>KALMAR LÄN</t>
        </is>
      </c>
      <c r="E110" t="inlineStr">
        <is>
          <t>VIMMERBY</t>
        </is>
      </c>
      <c r="G110" t="n">
        <v>4.5</v>
      </c>
      <c r="H110" t="n">
        <v>0</v>
      </c>
      <c r="I110" t="n">
        <v>0</v>
      </c>
      <c r="J110" t="n">
        <v>0</v>
      </c>
      <c r="K110" t="n">
        <v>0</v>
      </c>
      <c r="L110" t="n">
        <v>0</v>
      </c>
      <c r="M110" t="n">
        <v>0</v>
      </c>
      <c r="N110" t="n">
        <v>0</v>
      </c>
      <c r="O110" t="n">
        <v>0</v>
      </c>
      <c r="P110" t="n">
        <v>0</v>
      </c>
      <c r="Q110" t="n">
        <v>0</v>
      </c>
      <c r="R110" s="2" t="inlineStr"/>
    </row>
    <row r="111" ht="15" customHeight="1">
      <c r="A111" t="inlineStr">
        <is>
          <t>A 4042-2022</t>
        </is>
      </c>
      <c r="B111" s="1" t="n">
        <v>44588</v>
      </c>
      <c r="C111" s="1" t="n">
        <v>46106</v>
      </c>
      <c r="D111" t="inlineStr">
        <is>
          <t>KALMAR LÄN</t>
        </is>
      </c>
      <c r="E111" t="inlineStr">
        <is>
          <t>VIMMERBY</t>
        </is>
      </c>
      <c r="G111" t="n">
        <v>4.7</v>
      </c>
      <c r="H111" t="n">
        <v>0</v>
      </c>
      <c r="I111" t="n">
        <v>0</v>
      </c>
      <c r="J111" t="n">
        <v>0</v>
      </c>
      <c r="K111" t="n">
        <v>0</v>
      </c>
      <c r="L111" t="n">
        <v>0</v>
      </c>
      <c r="M111" t="n">
        <v>0</v>
      </c>
      <c r="N111" t="n">
        <v>0</v>
      </c>
      <c r="O111" t="n">
        <v>0</v>
      </c>
      <c r="P111" t="n">
        <v>0</v>
      </c>
      <c r="Q111" t="n">
        <v>0</v>
      </c>
      <c r="R111" s="2" t="inlineStr"/>
    </row>
    <row r="112" ht="15" customHeight="1">
      <c r="A112" t="inlineStr">
        <is>
          <t>A 33690-2022</t>
        </is>
      </c>
      <c r="B112" s="1" t="n">
        <v>44789</v>
      </c>
      <c r="C112" s="1" t="n">
        <v>46106</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35198-2021</t>
        </is>
      </c>
      <c r="B113" s="1" t="n">
        <v>44377</v>
      </c>
      <c r="C113" s="1" t="n">
        <v>46106</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34036-2021</t>
        </is>
      </c>
      <c r="B114" s="1" t="n">
        <v>44379</v>
      </c>
      <c r="C114" s="1" t="n">
        <v>46106</v>
      </c>
      <c r="D114" t="inlineStr">
        <is>
          <t>KALMAR LÄN</t>
        </is>
      </c>
      <c r="E114" t="inlineStr">
        <is>
          <t>VIMMERBY</t>
        </is>
      </c>
      <c r="F114" t="inlineStr">
        <is>
          <t>Sveaskog</t>
        </is>
      </c>
      <c r="G114" t="n">
        <v>7</v>
      </c>
      <c r="H114" t="n">
        <v>0</v>
      </c>
      <c r="I114" t="n">
        <v>0</v>
      </c>
      <c r="J114" t="n">
        <v>0</v>
      </c>
      <c r="K114" t="n">
        <v>0</v>
      </c>
      <c r="L114" t="n">
        <v>0</v>
      </c>
      <c r="M114" t="n">
        <v>0</v>
      </c>
      <c r="N114" t="n">
        <v>0</v>
      </c>
      <c r="O114" t="n">
        <v>0</v>
      </c>
      <c r="P114" t="n">
        <v>0</v>
      </c>
      <c r="Q114" t="n">
        <v>0</v>
      </c>
      <c r="R114" s="2" t="inlineStr"/>
    </row>
    <row r="115" ht="15" customHeight="1">
      <c r="A115" t="inlineStr">
        <is>
          <t>A 63244-2021</t>
        </is>
      </c>
      <c r="B115" s="1" t="n">
        <v>44508</v>
      </c>
      <c r="C115" s="1" t="n">
        <v>46106</v>
      </c>
      <c r="D115" t="inlineStr">
        <is>
          <t>KALMAR LÄN</t>
        </is>
      </c>
      <c r="E115" t="inlineStr">
        <is>
          <t>VIMMERBY</t>
        </is>
      </c>
      <c r="F115" t="inlineStr">
        <is>
          <t>Övriga statliga verk och myndigheter</t>
        </is>
      </c>
      <c r="G115" t="n">
        <v>0.6</v>
      </c>
      <c r="H115" t="n">
        <v>0</v>
      </c>
      <c r="I115" t="n">
        <v>0</v>
      </c>
      <c r="J115" t="n">
        <v>0</v>
      </c>
      <c r="K115" t="n">
        <v>0</v>
      </c>
      <c r="L115" t="n">
        <v>0</v>
      </c>
      <c r="M115" t="n">
        <v>0</v>
      </c>
      <c r="N115" t="n">
        <v>0</v>
      </c>
      <c r="O115" t="n">
        <v>0</v>
      </c>
      <c r="P115" t="n">
        <v>0</v>
      </c>
      <c r="Q115" t="n">
        <v>0</v>
      </c>
      <c r="R115" s="2" t="inlineStr"/>
    </row>
    <row r="116" ht="15" customHeight="1">
      <c r="A116" t="inlineStr">
        <is>
          <t>A 11814-2022</t>
        </is>
      </c>
      <c r="B116" s="1" t="n">
        <v>44634.69703703704</v>
      </c>
      <c r="C116" s="1" t="n">
        <v>46106</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56385-2021</t>
        </is>
      </c>
      <c r="B117" s="1" t="n">
        <v>44480</v>
      </c>
      <c r="C117" s="1" t="n">
        <v>46106</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31053-2022</t>
        </is>
      </c>
      <c r="B118" s="1" t="n">
        <v>44769.45422453704</v>
      </c>
      <c r="C118" s="1" t="n">
        <v>46106</v>
      </c>
      <c r="D118" t="inlineStr">
        <is>
          <t>KALMAR LÄN</t>
        </is>
      </c>
      <c r="E118" t="inlineStr">
        <is>
          <t>VIMMERBY</t>
        </is>
      </c>
      <c r="G118" t="n">
        <v>1.9</v>
      </c>
      <c r="H118" t="n">
        <v>0</v>
      </c>
      <c r="I118" t="n">
        <v>0</v>
      </c>
      <c r="J118" t="n">
        <v>0</v>
      </c>
      <c r="K118" t="n">
        <v>0</v>
      </c>
      <c r="L118" t="n">
        <v>0</v>
      </c>
      <c r="M118" t="n">
        <v>0</v>
      </c>
      <c r="N118" t="n">
        <v>0</v>
      </c>
      <c r="O118" t="n">
        <v>0</v>
      </c>
      <c r="P118" t="n">
        <v>0</v>
      </c>
      <c r="Q118" t="n">
        <v>0</v>
      </c>
      <c r="R118" s="2" t="inlineStr"/>
    </row>
    <row r="119" ht="15" customHeight="1">
      <c r="A119" t="inlineStr">
        <is>
          <t>A 24738-2021</t>
        </is>
      </c>
      <c r="B119" s="1" t="n">
        <v>44340.58002314815</v>
      </c>
      <c r="C119" s="1" t="n">
        <v>46106</v>
      </c>
      <c r="D119" t="inlineStr">
        <is>
          <t>KALMAR LÄN</t>
        </is>
      </c>
      <c r="E119" t="inlineStr">
        <is>
          <t>VIMMERBY</t>
        </is>
      </c>
      <c r="G119" t="n">
        <v>3.5</v>
      </c>
      <c r="H119" t="n">
        <v>0</v>
      </c>
      <c r="I119" t="n">
        <v>0</v>
      </c>
      <c r="J119" t="n">
        <v>0</v>
      </c>
      <c r="K119" t="n">
        <v>0</v>
      </c>
      <c r="L119" t="n">
        <v>0</v>
      </c>
      <c r="M119" t="n">
        <v>0</v>
      </c>
      <c r="N119" t="n">
        <v>0</v>
      </c>
      <c r="O119" t="n">
        <v>0</v>
      </c>
      <c r="P119" t="n">
        <v>0</v>
      </c>
      <c r="Q119" t="n">
        <v>0</v>
      </c>
      <c r="R119" s="2" t="inlineStr"/>
    </row>
    <row r="120" ht="15" customHeight="1">
      <c r="A120" t="inlineStr">
        <is>
          <t>A 8454-2022</t>
        </is>
      </c>
      <c r="B120" s="1" t="n">
        <v>44612.86762731482</v>
      </c>
      <c r="C120" s="1" t="n">
        <v>46106</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65887-2021</t>
        </is>
      </c>
      <c r="B121" s="1" t="n">
        <v>44517</v>
      </c>
      <c r="C121" s="1" t="n">
        <v>46106</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39959-2022</t>
        </is>
      </c>
      <c r="B122" s="1" t="n">
        <v>44819</v>
      </c>
      <c r="C122" s="1" t="n">
        <v>46106</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7917-2022</t>
        </is>
      </c>
      <c r="B123" s="1" t="n">
        <v>44608</v>
      </c>
      <c r="C123" s="1" t="n">
        <v>46106</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24999-2021</t>
        </is>
      </c>
      <c r="B124" s="1" t="n">
        <v>44341</v>
      </c>
      <c r="C124" s="1" t="n">
        <v>46106</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47208-2021</t>
        </is>
      </c>
      <c r="B125" s="1" t="n">
        <v>44447.34237268518</v>
      </c>
      <c r="C125" s="1" t="n">
        <v>46106</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16705-2021</t>
        </is>
      </c>
      <c r="B126" s="1" t="n">
        <v>44294</v>
      </c>
      <c r="C126" s="1" t="n">
        <v>46106</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56389-2021</t>
        </is>
      </c>
      <c r="B127" s="1" t="n">
        <v>44480</v>
      </c>
      <c r="C127" s="1" t="n">
        <v>46106</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67952-2021</t>
        </is>
      </c>
      <c r="B128" s="1" t="n">
        <v>44525.63913194444</v>
      </c>
      <c r="C128" s="1" t="n">
        <v>46106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15533-2022</t>
        </is>
      </c>
      <c r="B129" s="1" t="n">
        <v>44662</v>
      </c>
      <c r="C129" s="1" t="n">
        <v>46106</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165-2022</t>
        </is>
      </c>
      <c r="B130" s="1" t="n">
        <v>44564</v>
      </c>
      <c r="C130" s="1" t="n">
        <v>46106</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34040-2021</t>
        </is>
      </c>
      <c r="B131" s="1" t="n">
        <v>44379</v>
      </c>
      <c r="C131" s="1" t="n">
        <v>46106</v>
      </c>
      <c r="D131" t="inlineStr">
        <is>
          <t>KALMAR LÄN</t>
        </is>
      </c>
      <c r="E131" t="inlineStr">
        <is>
          <t>VIMMERBY</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15200-2021</t>
        </is>
      </c>
      <c r="B132" s="1" t="n">
        <v>44284.44574074074</v>
      </c>
      <c r="C132" s="1" t="n">
        <v>46106</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12107-2022</t>
        </is>
      </c>
      <c r="B133" s="1" t="n">
        <v>44636</v>
      </c>
      <c r="C133" s="1" t="n">
        <v>46106</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39225-2022</t>
        </is>
      </c>
      <c r="B134" s="1" t="n">
        <v>44817.57988425926</v>
      </c>
      <c r="C134" s="1" t="n">
        <v>46106</v>
      </c>
      <c r="D134" t="inlineStr">
        <is>
          <t>KALMAR LÄN</t>
        </is>
      </c>
      <c r="E134" t="inlineStr">
        <is>
          <t>VIMMERBY</t>
        </is>
      </c>
      <c r="G134" t="n">
        <v>2.2</v>
      </c>
      <c r="H134" t="n">
        <v>0</v>
      </c>
      <c r="I134" t="n">
        <v>0</v>
      </c>
      <c r="J134" t="n">
        <v>0</v>
      </c>
      <c r="K134" t="n">
        <v>0</v>
      </c>
      <c r="L134" t="n">
        <v>0</v>
      </c>
      <c r="M134" t="n">
        <v>0</v>
      </c>
      <c r="N134" t="n">
        <v>0</v>
      </c>
      <c r="O134" t="n">
        <v>0</v>
      </c>
      <c r="P134" t="n">
        <v>0</v>
      </c>
      <c r="Q134" t="n">
        <v>0</v>
      </c>
      <c r="R134" s="2" t="inlineStr"/>
    </row>
    <row r="135" ht="15" customHeight="1">
      <c r="A135" t="inlineStr">
        <is>
          <t>A 16602-2021</t>
        </is>
      </c>
      <c r="B135" s="1" t="n">
        <v>44294</v>
      </c>
      <c r="C135" s="1" t="n">
        <v>46106</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16607-2021</t>
        </is>
      </c>
      <c r="B136" s="1" t="n">
        <v>44294</v>
      </c>
      <c r="C136" s="1" t="n">
        <v>46106</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17029-2022</t>
        </is>
      </c>
      <c r="B137" s="1" t="n">
        <v>44676.85248842592</v>
      </c>
      <c r="C137" s="1" t="n">
        <v>46106</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7167-2022</t>
        </is>
      </c>
      <c r="B138" s="1" t="n">
        <v>44604</v>
      </c>
      <c r="C138" s="1" t="n">
        <v>46106</v>
      </c>
      <c r="D138" t="inlineStr">
        <is>
          <t>KALMAR LÄN</t>
        </is>
      </c>
      <c r="E138" t="inlineStr">
        <is>
          <t>VIMMERBY</t>
        </is>
      </c>
      <c r="G138" t="n">
        <v>1.7</v>
      </c>
      <c r="H138" t="n">
        <v>0</v>
      </c>
      <c r="I138" t="n">
        <v>0</v>
      </c>
      <c r="J138" t="n">
        <v>0</v>
      </c>
      <c r="K138" t="n">
        <v>0</v>
      </c>
      <c r="L138" t="n">
        <v>0</v>
      </c>
      <c r="M138" t="n">
        <v>0</v>
      </c>
      <c r="N138" t="n">
        <v>0</v>
      </c>
      <c r="O138" t="n">
        <v>0</v>
      </c>
      <c r="P138" t="n">
        <v>0</v>
      </c>
      <c r="Q138" t="n">
        <v>0</v>
      </c>
      <c r="R138" s="2" t="inlineStr"/>
    </row>
    <row r="139" ht="15" customHeight="1">
      <c r="A139" t="inlineStr">
        <is>
          <t>A 18356-2021</t>
        </is>
      </c>
      <c r="B139" s="1" t="n">
        <v>44305</v>
      </c>
      <c r="C139" s="1" t="n">
        <v>46106</v>
      </c>
      <c r="D139" t="inlineStr">
        <is>
          <t>KALMAR LÄN</t>
        </is>
      </c>
      <c r="E139" t="inlineStr">
        <is>
          <t>VIMMERBY</t>
        </is>
      </c>
      <c r="G139" t="n">
        <v>3.4</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46106</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55674-2021</t>
        </is>
      </c>
      <c r="B141" s="1" t="n">
        <v>44476</v>
      </c>
      <c r="C141" s="1" t="n">
        <v>46106</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40077-2021</t>
        </is>
      </c>
      <c r="B142" s="1" t="n">
        <v>44418</v>
      </c>
      <c r="C142" s="1" t="n">
        <v>46106</v>
      </c>
      <c r="D142" t="inlineStr">
        <is>
          <t>KALMAR LÄN</t>
        </is>
      </c>
      <c r="E142" t="inlineStr">
        <is>
          <t>VIMMERBY</t>
        </is>
      </c>
      <c r="G142" t="n">
        <v>2.9</v>
      </c>
      <c r="H142" t="n">
        <v>0</v>
      </c>
      <c r="I142" t="n">
        <v>0</v>
      </c>
      <c r="J142" t="n">
        <v>0</v>
      </c>
      <c r="K142" t="n">
        <v>0</v>
      </c>
      <c r="L142" t="n">
        <v>0</v>
      </c>
      <c r="M142" t="n">
        <v>0</v>
      </c>
      <c r="N142" t="n">
        <v>0</v>
      </c>
      <c r="O142" t="n">
        <v>0</v>
      </c>
      <c r="P142" t="n">
        <v>0</v>
      </c>
      <c r="Q142" t="n">
        <v>0</v>
      </c>
      <c r="R142" s="2" t="inlineStr"/>
    </row>
    <row r="143" ht="15" customHeight="1">
      <c r="A143" t="inlineStr">
        <is>
          <t>A 47769-2022</t>
        </is>
      </c>
      <c r="B143" s="1" t="n">
        <v>44854</v>
      </c>
      <c r="C143" s="1" t="n">
        <v>46106</v>
      </c>
      <c r="D143" t="inlineStr">
        <is>
          <t>KALMAR LÄN</t>
        </is>
      </c>
      <c r="E143" t="inlineStr">
        <is>
          <t>VIMMERBY</t>
        </is>
      </c>
      <c r="G143" t="n">
        <v>1.1</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46106</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46106</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46106</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33831-2022</t>
        </is>
      </c>
      <c r="B147" s="1" t="n">
        <v>44790.48503472222</v>
      </c>
      <c r="C147" s="1" t="n">
        <v>46106</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46106</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9918-2022</t>
        </is>
      </c>
      <c r="B149" s="1" t="n">
        <v>44620</v>
      </c>
      <c r="C149" s="1" t="n">
        <v>46106</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23825-2022</t>
        </is>
      </c>
      <c r="B150" s="1" t="n">
        <v>44722.48768518519</v>
      </c>
      <c r="C150" s="1" t="n">
        <v>46106</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18276-2021</t>
        </is>
      </c>
      <c r="B151" s="1" t="n">
        <v>44305.40046296296</v>
      </c>
      <c r="C151" s="1" t="n">
        <v>46106</v>
      </c>
      <c r="D151" t="inlineStr">
        <is>
          <t>KALMAR LÄN</t>
        </is>
      </c>
      <c r="E151" t="inlineStr">
        <is>
          <t>VIMMERBY</t>
        </is>
      </c>
      <c r="G151" t="n">
        <v>0.9</v>
      </c>
      <c r="H151" t="n">
        <v>0</v>
      </c>
      <c r="I151" t="n">
        <v>0</v>
      </c>
      <c r="J151" t="n">
        <v>0</v>
      </c>
      <c r="K151" t="n">
        <v>0</v>
      </c>
      <c r="L151" t="n">
        <v>0</v>
      </c>
      <c r="M151" t="n">
        <v>0</v>
      </c>
      <c r="N151" t="n">
        <v>0</v>
      </c>
      <c r="O151" t="n">
        <v>0</v>
      </c>
      <c r="P151" t="n">
        <v>0</v>
      </c>
      <c r="Q151" t="n">
        <v>0</v>
      </c>
      <c r="R151" s="2" t="inlineStr"/>
    </row>
    <row r="152" ht="15" customHeight="1">
      <c r="A152" t="inlineStr">
        <is>
          <t>A 47473-2021</t>
        </is>
      </c>
      <c r="B152" s="1" t="n">
        <v>44447</v>
      </c>
      <c r="C152" s="1" t="n">
        <v>46106</v>
      </c>
      <c r="D152" t="inlineStr">
        <is>
          <t>KALMAR LÄN</t>
        </is>
      </c>
      <c r="E152" t="inlineStr">
        <is>
          <t>VIMMERBY</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41056-2022</t>
        </is>
      </c>
      <c r="B153" s="1" t="n">
        <v>44824</v>
      </c>
      <c r="C153" s="1" t="n">
        <v>46106</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31660-2021</t>
        </is>
      </c>
      <c r="B154" s="1" t="n">
        <v>44369</v>
      </c>
      <c r="C154" s="1" t="n">
        <v>46106</v>
      </c>
      <c r="D154" t="inlineStr">
        <is>
          <t>KALMAR LÄN</t>
        </is>
      </c>
      <c r="E154" t="inlineStr">
        <is>
          <t>VIMMERBY</t>
        </is>
      </c>
      <c r="G154" t="n">
        <v>4.2</v>
      </c>
      <c r="H154" t="n">
        <v>0</v>
      </c>
      <c r="I154" t="n">
        <v>0</v>
      </c>
      <c r="J154" t="n">
        <v>0</v>
      </c>
      <c r="K154" t="n">
        <v>0</v>
      </c>
      <c r="L154" t="n">
        <v>0</v>
      </c>
      <c r="M154" t="n">
        <v>0</v>
      </c>
      <c r="N154" t="n">
        <v>0</v>
      </c>
      <c r="O154" t="n">
        <v>0</v>
      </c>
      <c r="P154" t="n">
        <v>0</v>
      </c>
      <c r="Q154" t="n">
        <v>0</v>
      </c>
      <c r="R154" s="2" t="inlineStr"/>
    </row>
    <row r="155" ht="15" customHeight="1">
      <c r="A155" t="inlineStr">
        <is>
          <t>A 27455-2022</t>
        </is>
      </c>
      <c r="B155" s="1" t="n">
        <v>44742</v>
      </c>
      <c r="C155" s="1" t="n">
        <v>46106</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32603-2021</t>
        </is>
      </c>
      <c r="B156" s="1" t="n">
        <v>44375.38789351852</v>
      </c>
      <c r="C156" s="1" t="n">
        <v>46106</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36117-2021</t>
        </is>
      </c>
      <c r="B157" s="1" t="n">
        <v>44386</v>
      </c>
      <c r="C157" s="1" t="n">
        <v>46106</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42521-2021</t>
        </is>
      </c>
      <c r="B158" s="1" t="n">
        <v>44427</v>
      </c>
      <c r="C158" s="1" t="n">
        <v>46106</v>
      </c>
      <c r="D158" t="inlineStr">
        <is>
          <t>KALMAR LÄN</t>
        </is>
      </c>
      <c r="E158" t="inlineStr">
        <is>
          <t>VIMMERBY</t>
        </is>
      </c>
      <c r="G158" t="n">
        <v>5.4</v>
      </c>
      <c r="H158" t="n">
        <v>0</v>
      </c>
      <c r="I158" t="n">
        <v>0</v>
      </c>
      <c r="J158" t="n">
        <v>0</v>
      </c>
      <c r="K158" t="n">
        <v>0</v>
      </c>
      <c r="L158" t="n">
        <v>0</v>
      </c>
      <c r="M158" t="n">
        <v>0</v>
      </c>
      <c r="N158" t="n">
        <v>0</v>
      </c>
      <c r="O158" t="n">
        <v>0</v>
      </c>
      <c r="P158" t="n">
        <v>0</v>
      </c>
      <c r="Q158" t="n">
        <v>0</v>
      </c>
      <c r="R158" s="2" t="inlineStr"/>
    </row>
    <row r="159" ht="15" customHeight="1">
      <c r="A159" t="inlineStr">
        <is>
          <t>A 46964-2022</t>
        </is>
      </c>
      <c r="B159" s="1" t="n">
        <v>44851.95016203704</v>
      </c>
      <c r="C159" s="1" t="n">
        <v>46106</v>
      </c>
      <c r="D159" t="inlineStr">
        <is>
          <t>KALMAR LÄN</t>
        </is>
      </c>
      <c r="E159" t="inlineStr">
        <is>
          <t>VIMMERBY</t>
        </is>
      </c>
      <c r="G159" t="n">
        <v>0.2</v>
      </c>
      <c r="H159" t="n">
        <v>0</v>
      </c>
      <c r="I159" t="n">
        <v>0</v>
      </c>
      <c r="J159" t="n">
        <v>0</v>
      </c>
      <c r="K159" t="n">
        <v>0</v>
      </c>
      <c r="L159" t="n">
        <v>0</v>
      </c>
      <c r="M159" t="n">
        <v>0</v>
      </c>
      <c r="N159" t="n">
        <v>0</v>
      </c>
      <c r="O159" t="n">
        <v>0</v>
      </c>
      <c r="P159" t="n">
        <v>0</v>
      </c>
      <c r="Q159" t="n">
        <v>0</v>
      </c>
      <c r="R159" s="2" t="inlineStr"/>
    </row>
    <row r="160" ht="15" customHeight="1">
      <c r="A160" t="inlineStr">
        <is>
          <t>A 13180-2022</t>
        </is>
      </c>
      <c r="B160" s="1" t="n">
        <v>44644</v>
      </c>
      <c r="C160" s="1" t="n">
        <v>46106</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42850-2022</t>
        </is>
      </c>
      <c r="B161" s="1" t="n">
        <v>44832.67608796297</v>
      </c>
      <c r="C161" s="1" t="n">
        <v>46106</v>
      </c>
      <c r="D161" t="inlineStr">
        <is>
          <t>KALMAR LÄN</t>
        </is>
      </c>
      <c r="E161" t="inlineStr">
        <is>
          <t>VIMMERBY</t>
        </is>
      </c>
      <c r="G161" t="n">
        <v>5.9</v>
      </c>
      <c r="H161" t="n">
        <v>0</v>
      </c>
      <c r="I161" t="n">
        <v>0</v>
      </c>
      <c r="J161" t="n">
        <v>0</v>
      </c>
      <c r="K161" t="n">
        <v>0</v>
      </c>
      <c r="L161" t="n">
        <v>0</v>
      </c>
      <c r="M161" t="n">
        <v>0</v>
      </c>
      <c r="N161" t="n">
        <v>0</v>
      </c>
      <c r="O161" t="n">
        <v>0</v>
      </c>
      <c r="P161" t="n">
        <v>0</v>
      </c>
      <c r="Q161" t="n">
        <v>0</v>
      </c>
      <c r="R161" s="2" t="inlineStr"/>
    </row>
    <row r="162" ht="15" customHeight="1">
      <c r="A162" t="inlineStr">
        <is>
          <t>A 10086-2022</t>
        </is>
      </c>
      <c r="B162" s="1" t="n">
        <v>44621</v>
      </c>
      <c r="C162" s="1" t="n">
        <v>46106</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53145-2022</t>
        </is>
      </c>
      <c r="B163" s="1" t="n">
        <v>44876.48346064815</v>
      </c>
      <c r="C163" s="1" t="n">
        <v>46106</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25738-2022</t>
        </is>
      </c>
      <c r="B164" s="1" t="n">
        <v>44733.43092592592</v>
      </c>
      <c r="C164" s="1" t="n">
        <v>46106</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8194-2022</t>
        </is>
      </c>
      <c r="B165" s="1" t="n">
        <v>44609</v>
      </c>
      <c r="C165" s="1" t="n">
        <v>46106</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15191-2021</t>
        </is>
      </c>
      <c r="B166" s="1" t="n">
        <v>44284.42348379629</v>
      </c>
      <c r="C166" s="1" t="n">
        <v>46106</v>
      </c>
      <c r="D166" t="inlineStr">
        <is>
          <t>KALMAR LÄN</t>
        </is>
      </c>
      <c r="E166" t="inlineStr">
        <is>
          <t>VIMMERBY</t>
        </is>
      </c>
      <c r="G166" t="n">
        <v>1.3</v>
      </c>
      <c r="H166" t="n">
        <v>0</v>
      </c>
      <c r="I166" t="n">
        <v>0</v>
      </c>
      <c r="J166" t="n">
        <v>0</v>
      </c>
      <c r="K166" t="n">
        <v>0</v>
      </c>
      <c r="L166" t="n">
        <v>0</v>
      </c>
      <c r="M166" t="n">
        <v>0</v>
      </c>
      <c r="N166" t="n">
        <v>0</v>
      </c>
      <c r="O166" t="n">
        <v>0</v>
      </c>
      <c r="P166" t="n">
        <v>0</v>
      </c>
      <c r="Q166" t="n">
        <v>0</v>
      </c>
      <c r="R166" s="2" t="inlineStr"/>
    </row>
    <row r="167" ht="15" customHeight="1">
      <c r="A167" t="inlineStr">
        <is>
          <t>A 40971-2021</t>
        </is>
      </c>
      <c r="B167" s="1" t="n">
        <v>44421</v>
      </c>
      <c r="C167" s="1" t="n">
        <v>46106</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8453-2022</t>
        </is>
      </c>
      <c r="B168" s="1" t="n">
        <v>44612.86554398148</v>
      </c>
      <c r="C168" s="1" t="n">
        <v>46106</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54065-2021</t>
        </is>
      </c>
      <c r="B169" s="1" t="n">
        <v>44470.44232638889</v>
      </c>
      <c r="C169" s="1" t="n">
        <v>46106</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31824-2022</t>
        </is>
      </c>
      <c r="B170" s="1" t="n">
        <v>44776</v>
      </c>
      <c r="C170" s="1" t="n">
        <v>46106</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11733-2022</t>
        </is>
      </c>
      <c r="B171" s="1" t="n">
        <v>44634</v>
      </c>
      <c r="C171" s="1" t="n">
        <v>46106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52433-2021</t>
        </is>
      </c>
      <c r="B172" s="1" t="n">
        <v>44466.34726851852</v>
      </c>
      <c r="C172" s="1" t="n">
        <v>46106</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39042-2022</t>
        </is>
      </c>
      <c r="B173" s="1" t="n">
        <v>44817</v>
      </c>
      <c r="C173" s="1" t="n">
        <v>46106</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50621-2022</t>
        </is>
      </c>
      <c r="B174" s="1" t="n">
        <v>44866.81100694444</v>
      </c>
      <c r="C174" s="1" t="n">
        <v>46106</v>
      </c>
      <c r="D174" t="inlineStr">
        <is>
          <t>KALMAR LÄN</t>
        </is>
      </c>
      <c r="E174" t="inlineStr">
        <is>
          <t>VIMMERBY</t>
        </is>
      </c>
      <c r="F174" t="inlineStr">
        <is>
          <t>Övriga Aktiebolag</t>
        </is>
      </c>
      <c r="G174" t="n">
        <v>5.1</v>
      </c>
      <c r="H174" t="n">
        <v>0</v>
      </c>
      <c r="I174" t="n">
        <v>0</v>
      </c>
      <c r="J174" t="n">
        <v>0</v>
      </c>
      <c r="K174" t="n">
        <v>0</v>
      </c>
      <c r="L174" t="n">
        <v>0</v>
      </c>
      <c r="M174" t="n">
        <v>0</v>
      </c>
      <c r="N174" t="n">
        <v>0</v>
      </c>
      <c r="O174" t="n">
        <v>0</v>
      </c>
      <c r="P174" t="n">
        <v>0</v>
      </c>
      <c r="Q174" t="n">
        <v>0</v>
      </c>
      <c r="R174" s="2" t="inlineStr"/>
    </row>
    <row r="175" ht="15" customHeight="1">
      <c r="A175" t="inlineStr">
        <is>
          <t>A 7804-2022</t>
        </is>
      </c>
      <c r="B175" s="1" t="n">
        <v>44608.50458333334</v>
      </c>
      <c r="C175" s="1" t="n">
        <v>46106</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16288-2021</t>
        </is>
      </c>
      <c r="B176" s="1" t="n">
        <v>44292</v>
      </c>
      <c r="C176" s="1" t="n">
        <v>46106</v>
      </c>
      <c r="D176" t="inlineStr">
        <is>
          <t>KALMAR LÄN</t>
        </is>
      </c>
      <c r="E176" t="inlineStr">
        <is>
          <t>VIMMERBY</t>
        </is>
      </c>
      <c r="F176" t="inlineStr">
        <is>
          <t>Övriga Aktiebolag</t>
        </is>
      </c>
      <c r="G176" t="n">
        <v>27.6</v>
      </c>
      <c r="H176" t="n">
        <v>0</v>
      </c>
      <c r="I176" t="n">
        <v>0</v>
      </c>
      <c r="J176" t="n">
        <v>0</v>
      </c>
      <c r="K176" t="n">
        <v>0</v>
      </c>
      <c r="L176" t="n">
        <v>0</v>
      </c>
      <c r="M176" t="n">
        <v>0</v>
      </c>
      <c r="N176" t="n">
        <v>0</v>
      </c>
      <c r="O176" t="n">
        <v>0</v>
      </c>
      <c r="P176" t="n">
        <v>0</v>
      </c>
      <c r="Q176" t="n">
        <v>0</v>
      </c>
      <c r="R176" s="2" t="inlineStr"/>
    </row>
    <row r="177" ht="15" customHeight="1">
      <c r="A177" t="inlineStr">
        <is>
          <t>A 4076-2022</t>
        </is>
      </c>
      <c r="B177" s="1" t="n">
        <v>44588.37998842593</v>
      </c>
      <c r="C177" s="1" t="n">
        <v>46106</v>
      </c>
      <c r="D177" t="inlineStr">
        <is>
          <t>KALMAR LÄN</t>
        </is>
      </c>
      <c r="E177" t="inlineStr">
        <is>
          <t>VIMMERBY</t>
        </is>
      </c>
      <c r="G177" t="n">
        <v>3</v>
      </c>
      <c r="H177" t="n">
        <v>0</v>
      </c>
      <c r="I177" t="n">
        <v>0</v>
      </c>
      <c r="J177" t="n">
        <v>0</v>
      </c>
      <c r="K177" t="n">
        <v>0</v>
      </c>
      <c r="L177" t="n">
        <v>0</v>
      </c>
      <c r="M177" t="n">
        <v>0</v>
      </c>
      <c r="N177" t="n">
        <v>0</v>
      </c>
      <c r="O177" t="n">
        <v>0</v>
      </c>
      <c r="P177" t="n">
        <v>0</v>
      </c>
      <c r="Q177" t="n">
        <v>0</v>
      </c>
      <c r="R177" s="2" t="inlineStr"/>
    </row>
    <row r="178" ht="15" customHeight="1">
      <c r="A178" t="inlineStr">
        <is>
          <t>A 4122-2022</t>
        </is>
      </c>
      <c r="B178" s="1" t="n">
        <v>44588</v>
      </c>
      <c r="C178" s="1" t="n">
        <v>46106</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58374-2024</t>
        </is>
      </c>
      <c r="B179" s="1" t="n">
        <v>45632.72635416667</v>
      </c>
      <c r="C179" s="1" t="n">
        <v>46106</v>
      </c>
      <c r="D179" t="inlineStr">
        <is>
          <t>KALMAR LÄN</t>
        </is>
      </c>
      <c r="E179" t="inlineStr">
        <is>
          <t>VIMMERBY</t>
        </is>
      </c>
      <c r="G179" t="n">
        <v>0.8</v>
      </c>
      <c r="H179" t="n">
        <v>0</v>
      </c>
      <c r="I179" t="n">
        <v>0</v>
      </c>
      <c r="J179" t="n">
        <v>0</v>
      </c>
      <c r="K179" t="n">
        <v>0</v>
      </c>
      <c r="L179" t="n">
        <v>0</v>
      </c>
      <c r="M179" t="n">
        <v>0</v>
      </c>
      <c r="N179" t="n">
        <v>0</v>
      </c>
      <c r="O179" t="n">
        <v>0</v>
      </c>
      <c r="P179" t="n">
        <v>0</v>
      </c>
      <c r="Q179" t="n">
        <v>0</v>
      </c>
      <c r="R179" s="2" t="inlineStr"/>
    </row>
    <row r="180" ht="15" customHeight="1">
      <c r="A180" t="inlineStr">
        <is>
          <t>A 30402-2023</t>
        </is>
      </c>
      <c r="B180" s="1" t="n">
        <v>45111.48395833333</v>
      </c>
      <c r="C180" s="1" t="n">
        <v>46106</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16983-2023</t>
        </is>
      </c>
      <c r="B181" s="1" t="n">
        <v>45033.76043981482</v>
      </c>
      <c r="C181" s="1" t="n">
        <v>46106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11609-2023</t>
        </is>
      </c>
      <c r="B182" s="1" t="n">
        <v>44994.40635416667</v>
      </c>
      <c r="C182" s="1" t="n">
        <v>46106</v>
      </c>
      <c r="D182" t="inlineStr">
        <is>
          <t>KALMAR LÄN</t>
        </is>
      </c>
      <c r="E182" t="inlineStr">
        <is>
          <t>VIMMERBY</t>
        </is>
      </c>
      <c r="G182" t="n">
        <v>4.9</v>
      </c>
      <c r="H182" t="n">
        <v>0</v>
      </c>
      <c r="I182" t="n">
        <v>0</v>
      </c>
      <c r="J182" t="n">
        <v>0</v>
      </c>
      <c r="K182" t="n">
        <v>0</v>
      </c>
      <c r="L182" t="n">
        <v>0</v>
      </c>
      <c r="M182" t="n">
        <v>0</v>
      </c>
      <c r="N182" t="n">
        <v>0</v>
      </c>
      <c r="O182" t="n">
        <v>0</v>
      </c>
      <c r="P182" t="n">
        <v>0</v>
      </c>
      <c r="Q182" t="n">
        <v>0</v>
      </c>
      <c r="R182" s="2" t="inlineStr"/>
    </row>
    <row r="183" ht="15" customHeight="1">
      <c r="A183" t="inlineStr">
        <is>
          <t>A 56213-2024</t>
        </is>
      </c>
      <c r="B183" s="1" t="n">
        <v>45624.60141203704</v>
      </c>
      <c r="C183" s="1" t="n">
        <v>46106</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7643-2022</t>
        </is>
      </c>
      <c r="B184" s="1" t="n">
        <v>44607</v>
      </c>
      <c r="C184" s="1" t="n">
        <v>46106</v>
      </c>
      <c r="D184" t="inlineStr">
        <is>
          <t>KALMAR LÄN</t>
        </is>
      </c>
      <c r="E184" t="inlineStr">
        <is>
          <t>VIMMERBY</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54409-2024</t>
        </is>
      </c>
      <c r="B185" s="1" t="n">
        <v>45617.47570601852</v>
      </c>
      <c r="C185" s="1" t="n">
        <v>46106</v>
      </c>
      <c r="D185" t="inlineStr">
        <is>
          <t>KALMAR LÄN</t>
        </is>
      </c>
      <c r="E185" t="inlineStr">
        <is>
          <t>VIMMERBY</t>
        </is>
      </c>
      <c r="G185" t="n">
        <v>4.3</v>
      </c>
      <c r="H185" t="n">
        <v>0</v>
      </c>
      <c r="I185" t="n">
        <v>0</v>
      </c>
      <c r="J185" t="n">
        <v>0</v>
      </c>
      <c r="K185" t="n">
        <v>0</v>
      </c>
      <c r="L185" t="n">
        <v>0</v>
      </c>
      <c r="M185" t="n">
        <v>0</v>
      </c>
      <c r="N185" t="n">
        <v>0</v>
      </c>
      <c r="O185" t="n">
        <v>0</v>
      </c>
      <c r="P185" t="n">
        <v>0</v>
      </c>
      <c r="Q185" t="n">
        <v>0</v>
      </c>
      <c r="R185" s="2" t="inlineStr"/>
    </row>
    <row r="186" ht="15" customHeight="1">
      <c r="A186" t="inlineStr">
        <is>
          <t>A 16825-2024</t>
        </is>
      </c>
      <c r="B186" s="1" t="n">
        <v>45411.47335648148</v>
      </c>
      <c r="C186" s="1" t="n">
        <v>46106</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11027-2023</t>
        </is>
      </c>
      <c r="B187" s="1" t="n">
        <v>44991.89657407408</v>
      </c>
      <c r="C187" s="1" t="n">
        <v>46106</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46144-2023</t>
        </is>
      </c>
      <c r="B188" s="1" t="n">
        <v>45196.57247685185</v>
      </c>
      <c r="C188" s="1" t="n">
        <v>46106</v>
      </c>
      <c r="D188" t="inlineStr">
        <is>
          <t>KALMAR LÄN</t>
        </is>
      </c>
      <c r="E188" t="inlineStr">
        <is>
          <t>VIMMERBY</t>
        </is>
      </c>
      <c r="G188" t="n">
        <v>6.5</v>
      </c>
      <c r="H188" t="n">
        <v>0</v>
      </c>
      <c r="I188" t="n">
        <v>0</v>
      </c>
      <c r="J188" t="n">
        <v>0</v>
      </c>
      <c r="K188" t="n">
        <v>0</v>
      </c>
      <c r="L188" t="n">
        <v>0</v>
      </c>
      <c r="M188" t="n">
        <v>0</v>
      </c>
      <c r="N188" t="n">
        <v>0</v>
      </c>
      <c r="O188" t="n">
        <v>0</v>
      </c>
      <c r="P188" t="n">
        <v>0</v>
      </c>
      <c r="Q188" t="n">
        <v>0</v>
      </c>
      <c r="R188" s="2" t="inlineStr"/>
    </row>
    <row r="189" ht="15" customHeight="1">
      <c r="A189" t="inlineStr">
        <is>
          <t>A 31382-2023</t>
        </is>
      </c>
      <c r="B189" s="1" t="n">
        <v>45114.55136574074</v>
      </c>
      <c r="C189" s="1" t="n">
        <v>46106</v>
      </c>
      <c r="D189" t="inlineStr">
        <is>
          <t>KALMAR LÄN</t>
        </is>
      </c>
      <c r="E189" t="inlineStr">
        <is>
          <t>VIMMERBY</t>
        </is>
      </c>
      <c r="G189" t="n">
        <v>3.7</v>
      </c>
      <c r="H189" t="n">
        <v>0</v>
      </c>
      <c r="I189" t="n">
        <v>0</v>
      </c>
      <c r="J189" t="n">
        <v>0</v>
      </c>
      <c r="K189" t="n">
        <v>0</v>
      </c>
      <c r="L189" t="n">
        <v>0</v>
      </c>
      <c r="M189" t="n">
        <v>0</v>
      </c>
      <c r="N189" t="n">
        <v>0</v>
      </c>
      <c r="O189" t="n">
        <v>0</v>
      </c>
      <c r="P189" t="n">
        <v>0</v>
      </c>
      <c r="Q189" t="n">
        <v>0</v>
      </c>
      <c r="R189" s="2" t="inlineStr"/>
    </row>
    <row r="190" ht="15" customHeight="1">
      <c r="A190" t="inlineStr">
        <is>
          <t>A 58962-2022</t>
        </is>
      </c>
      <c r="B190" s="1" t="n">
        <v>44903</v>
      </c>
      <c r="C190" s="1" t="n">
        <v>46106</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53483-2022</t>
        </is>
      </c>
      <c r="B191" s="1" t="n">
        <v>44879.55940972222</v>
      </c>
      <c r="C191" s="1" t="n">
        <v>46106</v>
      </c>
      <c r="D191" t="inlineStr">
        <is>
          <t>KALMAR LÄN</t>
        </is>
      </c>
      <c r="E191" t="inlineStr">
        <is>
          <t>VIMMERBY</t>
        </is>
      </c>
      <c r="G191" t="n">
        <v>1.4</v>
      </c>
      <c r="H191" t="n">
        <v>0</v>
      </c>
      <c r="I191" t="n">
        <v>0</v>
      </c>
      <c r="J191" t="n">
        <v>0</v>
      </c>
      <c r="K191" t="n">
        <v>0</v>
      </c>
      <c r="L191" t="n">
        <v>0</v>
      </c>
      <c r="M191" t="n">
        <v>0</v>
      </c>
      <c r="N191" t="n">
        <v>0</v>
      </c>
      <c r="O191" t="n">
        <v>0</v>
      </c>
      <c r="P191" t="n">
        <v>0</v>
      </c>
      <c r="Q191" t="n">
        <v>0</v>
      </c>
      <c r="R191" s="2" t="inlineStr"/>
    </row>
    <row r="192" ht="15" customHeight="1">
      <c r="A192" t="inlineStr">
        <is>
          <t>A 18899-2025</t>
        </is>
      </c>
      <c r="B192" s="1" t="n">
        <v>45764.44931712963</v>
      </c>
      <c r="C192" s="1" t="n">
        <v>46106</v>
      </c>
      <c r="D192" t="inlineStr">
        <is>
          <t>KALMAR LÄN</t>
        </is>
      </c>
      <c r="E192" t="inlineStr">
        <is>
          <t>VIMMERBY</t>
        </is>
      </c>
      <c r="F192" t="inlineStr">
        <is>
          <t>Kommuner</t>
        </is>
      </c>
      <c r="G192" t="n">
        <v>4</v>
      </c>
      <c r="H192" t="n">
        <v>0</v>
      </c>
      <c r="I192" t="n">
        <v>0</v>
      </c>
      <c r="J192" t="n">
        <v>0</v>
      </c>
      <c r="K192" t="n">
        <v>0</v>
      </c>
      <c r="L192" t="n">
        <v>0</v>
      </c>
      <c r="M192" t="n">
        <v>0</v>
      </c>
      <c r="N192" t="n">
        <v>0</v>
      </c>
      <c r="O192" t="n">
        <v>0</v>
      </c>
      <c r="P192" t="n">
        <v>0</v>
      </c>
      <c r="Q192" t="n">
        <v>0</v>
      </c>
      <c r="R192" s="2" t="inlineStr"/>
    </row>
    <row r="193" ht="15" customHeight="1">
      <c r="A193" t="inlineStr">
        <is>
          <t>A 20054-2023</t>
        </is>
      </c>
      <c r="B193" s="1" t="n">
        <v>45054.6750462963</v>
      </c>
      <c r="C193" s="1" t="n">
        <v>46106</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10837-2023</t>
        </is>
      </c>
      <c r="B194" s="1" t="n">
        <v>44991.30547453704</v>
      </c>
      <c r="C194" s="1" t="n">
        <v>46106</v>
      </c>
      <c r="D194" t="inlineStr">
        <is>
          <t>KALMAR LÄN</t>
        </is>
      </c>
      <c r="E194" t="inlineStr">
        <is>
          <t>VIMMERBY</t>
        </is>
      </c>
      <c r="G194" t="n">
        <v>7.3</v>
      </c>
      <c r="H194" t="n">
        <v>0</v>
      </c>
      <c r="I194" t="n">
        <v>0</v>
      </c>
      <c r="J194" t="n">
        <v>0</v>
      </c>
      <c r="K194" t="n">
        <v>0</v>
      </c>
      <c r="L194" t="n">
        <v>0</v>
      </c>
      <c r="M194" t="n">
        <v>0</v>
      </c>
      <c r="N194" t="n">
        <v>0</v>
      </c>
      <c r="O194" t="n">
        <v>0</v>
      </c>
      <c r="P194" t="n">
        <v>0</v>
      </c>
      <c r="Q194" t="n">
        <v>0</v>
      </c>
      <c r="R194" s="2" t="inlineStr"/>
    </row>
    <row r="195" ht="15" customHeight="1">
      <c r="A195" t="inlineStr">
        <is>
          <t>A 10838-2023</t>
        </is>
      </c>
      <c r="B195" s="1" t="n">
        <v>44991</v>
      </c>
      <c r="C195" s="1" t="n">
        <v>46106</v>
      </c>
      <c r="D195" t="inlineStr">
        <is>
          <t>KALMAR LÄN</t>
        </is>
      </c>
      <c r="E195" t="inlineStr">
        <is>
          <t>VIMMERBY</t>
        </is>
      </c>
      <c r="G195" t="n">
        <v>5.1</v>
      </c>
      <c r="H195" t="n">
        <v>0</v>
      </c>
      <c r="I195" t="n">
        <v>0</v>
      </c>
      <c r="J195" t="n">
        <v>0</v>
      </c>
      <c r="K195" t="n">
        <v>0</v>
      </c>
      <c r="L195" t="n">
        <v>0</v>
      </c>
      <c r="M195" t="n">
        <v>0</v>
      </c>
      <c r="N195" t="n">
        <v>0</v>
      </c>
      <c r="O195" t="n">
        <v>0</v>
      </c>
      <c r="P195" t="n">
        <v>0</v>
      </c>
      <c r="Q195" t="n">
        <v>0</v>
      </c>
      <c r="R195" s="2" t="inlineStr"/>
    </row>
    <row r="196" ht="15" customHeight="1">
      <c r="A196" t="inlineStr">
        <is>
          <t>A 11946-2025</t>
        </is>
      </c>
      <c r="B196" s="1" t="n">
        <v>45728.54832175926</v>
      </c>
      <c r="C196" s="1" t="n">
        <v>46106</v>
      </c>
      <c r="D196" t="inlineStr">
        <is>
          <t>KALMAR LÄN</t>
        </is>
      </c>
      <c r="E196" t="inlineStr">
        <is>
          <t>VIMMERBY</t>
        </is>
      </c>
      <c r="G196" t="n">
        <v>0.4</v>
      </c>
      <c r="H196" t="n">
        <v>0</v>
      </c>
      <c r="I196" t="n">
        <v>0</v>
      </c>
      <c r="J196" t="n">
        <v>0</v>
      </c>
      <c r="K196" t="n">
        <v>0</v>
      </c>
      <c r="L196" t="n">
        <v>0</v>
      </c>
      <c r="M196" t="n">
        <v>0</v>
      </c>
      <c r="N196" t="n">
        <v>0</v>
      </c>
      <c r="O196" t="n">
        <v>0</v>
      </c>
      <c r="P196" t="n">
        <v>0</v>
      </c>
      <c r="Q196" t="n">
        <v>0</v>
      </c>
      <c r="R196" s="2" t="inlineStr"/>
    </row>
    <row r="197" ht="15" customHeight="1">
      <c r="A197" t="inlineStr">
        <is>
          <t>A 19537-2022</t>
        </is>
      </c>
      <c r="B197" s="1" t="n">
        <v>44693.62822916666</v>
      </c>
      <c r="C197" s="1" t="n">
        <v>46106</v>
      </c>
      <c r="D197" t="inlineStr">
        <is>
          <t>KALMAR LÄN</t>
        </is>
      </c>
      <c r="E197" t="inlineStr">
        <is>
          <t>VIMMERBY</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60951-2023</t>
        </is>
      </c>
      <c r="B198" s="1" t="n">
        <v>45261.44914351852</v>
      </c>
      <c r="C198" s="1" t="n">
        <v>46106</v>
      </c>
      <c r="D198" t="inlineStr">
        <is>
          <t>KALMAR LÄN</t>
        </is>
      </c>
      <c r="E198" t="inlineStr">
        <is>
          <t>VIMMERBY</t>
        </is>
      </c>
      <c r="G198" t="n">
        <v>4.3</v>
      </c>
      <c r="H198" t="n">
        <v>0</v>
      </c>
      <c r="I198" t="n">
        <v>0</v>
      </c>
      <c r="J198" t="n">
        <v>0</v>
      </c>
      <c r="K198" t="n">
        <v>0</v>
      </c>
      <c r="L198" t="n">
        <v>0</v>
      </c>
      <c r="M198" t="n">
        <v>0</v>
      </c>
      <c r="N198" t="n">
        <v>0</v>
      </c>
      <c r="O198" t="n">
        <v>0</v>
      </c>
      <c r="P198" t="n">
        <v>0</v>
      </c>
      <c r="Q198" t="n">
        <v>0</v>
      </c>
      <c r="R198" s="2" t="inlineStr"/>
    </row>
    <row r="199" ht="15" customHeight="1">
      <c r="A199" t="inlineStr">
        <is>
          <t>A 60292-2022</t>
        </is>
      </c>
      <c r="B199" s="1" t="n">
        <v>44910.54231481482</v>
      </c>
      <c r="C199" s="1" t="n">
        <v>46106</v>
      </c>
      <c r="D199" t="inlineStr">
        <is>
          <t>KALMAR LÄN</t>
        </is>
      </c>
      <c r="E199" t="inlineStr">
        <is>
          <t>VIMMERBY</t>
        </is>
      </c>
      <c r="G199" t="n">
        <v>4.4</v>
      </c>
      <c r="H199" t="n">
        <v>0</v>
      </c>
      <c r="I199" t="n">
        <v>0</v>
      </c>
      <c r="J199" t="n">
        <v>0</v>
      </c>
      <c r="K199" t="n">
        <v>0</v>
      </c>
      <c r="L199" t="n">
        <v>0</v>
      </c>
      <c r="M199" t="n">
        <v>0</v>
      </c>
      <c r="N199" t="n">
        <v>0</v>
      </c>
      <c r="O199" t="n">
        <v>0</v>
      </c>
      <c r="P199" t="n">
        <v>0</v>
      </c>
      <c r="Q199" t="n">
        <v>0</v>
      </c>
      <c r="R199" s="2" t="inlineStr"/>
    </row>
    <row r="200" ht="15" customHeight="1">
      <c r="A200" t="inlineStr">
        <is>
          <t>A 13290-2025</t>
        </is>
      </c>
      <c r="B200" s="1" t="n">
        <v>45735.56751157407</v>
      </c>
      <c r="C200" s="1" t="n">
        <v>46106</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19162-2023</t>
        </is>
      </c>
      <c r="B201" s="1" t="n">
        <v>45048.59699074074</v>
      </c>
      <c r="C201" s="1" t="n">
        <v>46106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7485-2024</t>
        </is>
      </c>
      <c r="B202" s="1" t="n">
        <v>45346.67184027778</v>
      </c>
      <c r="C202" s="1" t="n">
        <v>46106</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9475-2023</t>
        </is>
      </c>
      <c r="B203" s="1" t="n">
        <v>44981.58834490741</v>
      </c>
      <c r="C203" s="1" t="n">
        <v>46106</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11147-2023</t>
        </is>
      </c>
      <c r="B204" s="1" t="n">
        <v>44992</v>
      </c>
      <c r="C204" s="1" t="n">
        <v>46106</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12590-2025</t>
        </is>
      </c>
      <c r="B205" s="1" t="n">
        <v>45732.79925925926</v>
      </c>
      <c r="C205" s="1" t="n">
        <v>46106</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35710-2023</t>
        </is>
      </c>
      <c r="B206" s="1" t="n">
        <v>45147.67096064815</v>
      </c>
      <c r="C206" s="1" t="n">
        <v>46106</v>
      </c>
      <c r="D206" t="inlineStr">
        <is>
          <t>KALMAR LÄN</t>
        </is>
      </c>
      <c r="E206" t="inlineStr">
        <is>
          <t>VIMMERBY</t>
        </is>
      </c>
      <c r="G206" t="n">
        <v>3.1</v>
      </c>
      <c r="H206" t="n">
        <v>0</v>
      </c>
      <c r="I206" t="n">
        <v>0</v>
      </c>
      <c r="J206" t="n">
        <v>0</v>
      </c>
      <c r="K206" t="n">
        <v>0</v>
      </c>
      <c r="L206" t="n">
        <v>0</v>
      </c>
      <c r="M206" t="n">
        <v>0</v>
      </c>
      <c r="N206" t="n">
        <v>0</v>
      </c>
      <c r="O206" t="n">
        <v>0</v>
      </c>
      <c r="P206" t="n">
        <v>0</v>
      </c>
      <c r="Q206" t="n">
        <v>0</v>
      </c>
      <c r="R206" s="2" t="inlineStr"/>
    </row>
    <row r="207" ht="15" customHeight="1">
      <c r="A207" t="inlineStr">
        <is>
          <t>A 19833-2023</t>
        </is>
      </c>
      <c r="B207" s="1" t="n">
        <v>45052</v>
      </c>
      <c r="C207" s="1" t="n">
        <v>46106</v>
      </c>
      <c r="D207" t="inlineStr">
        <is>
          <t>KALMAR LÄN</t>
        </is>
      </c>
      <c r="E207" t="inlineStr">
        <is>
          <t>VIMMERBY</t>
        </is>
      </c>
      <c r="G207" t="n">
        <v>6.7</v>
      </c>
      <c r="H207" t="n">
        <v>0</v>
      </c>
      <c r="I207" t="n">
        <v>0</v>
      </c>
      <c r="J207" t="n">
        <v>0</v>
      </c>
      <c r="K207" t="n">
        <v>0</v>
      </c>
      <c r="L207" t="n">
        <v>0</v>
      </c>
      <c r="M207" t="n">
        <v>0</v>
      </c>
      <c r="N207" t="n">
        <v>0</v>
      </c>
      <c r="O207" t="n">
        <v>0</v>
      </c>
      <c r="P207" t="n">
        <v>0</v>
      </c>
      <c r="Q207" t="n">
        <v>0</v>
      </c>
      <c r="R207" s="2" t="inlineStr"/>
    </row>
    <row r="208" ht="15" customHeight="1">
      <c r="A208" t="inlineStr">
        <is>
          <t>A 18411-2021</t>
        </is>
      </c>
      <c r="B208" s="1" t="n">
        <v>44302</v>
      </c>
      <c r="C208" s="1" t="n">
        <v>46106</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47855-2024</t>
        </is>
      </c>
      <c r="B209" s="1" t="n">
        <v>45588.66457175926</v>
      </c>
      <c r="C209" s="1" t="n">
        <v>46106</v>
      </c>
      <c r="D209" t="inlineStr">
        <is>
          <t>KALMAR LÄN</t>
        </is>
      </c>
      <c r="E209" t="inlineStr">
        <is>
          <t>VIMMERBY</t>
        </is>
      </c>
      <c r="G209" t="n">
        <v>0.8</v>
      </c>
      <c r="H209" t="n">
        <v>0</v>
      </c>
      <c r="I209" t="n">
        <v>0</v>
      </c>
      <c r="J209" t="n">
        <v>0</v>
      </c>
      <c r="K209" t="n">
        <v>0</v>
      </c>
      <c r="L209" t="n">
        <v>0</v>
      </c>
      <c r="M209" t="n">
        <v>0</v>
      </c>
      <c r="N209" t="n">
        <v>0</v>
      </c>
      <c r="O209" t="n">
        <v>0</v>
      </c>
      <c r="P209" t="n">
        <v>0</v>
      </c>
      <c r="Q209" t="n">
        <v>0</v>
      </c>
      <c r="R209" s="2" t="inlineStr"/>
    </row>
    <row r="210" ht="15" customHeight="1">
      <c r="A210" t="inlineStr">
        <is>
          <t>A 52823-2024</t>
        </is>
      </c>
      <c r="B210" s="1" t="n">
        <v>45610.59094907407</v>
      </c>
      <c r="C210" s="1" t="n">
        <v>46106</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14548-2024</t>
        </is>
      </c>
      <c r="B211" s="1" t="n">
        <v>45394.66887731481</v>
      </c>
      <c r="C211" s="1" t="n">
        <v>46106</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585-2024</t>
        </is>
      </c>
      <c r="B212" s="1" t="n">
        <v>45299.62576388889</v>
      </c>
      <c r="C212" s="1" t="n">
        <v>46106</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172-2022</t>
        </is>
      </c>
      <c r="B213" s="1" t="n">
        <v>44564.62598379629</v>
      </c>
      <c r="C213" s="1" t="n">
        <v>46106</v>
      </c>
      <c r="D213" t="inlineStr">
        <is>
          <t>KALMAR LÄN</t>
        </is>
      </c>
      <c r="E213" t="inlineStr">
        <is>
          <t>VIMMERBY</t>
        </is>
      </c>
      <c r="G213" t="n">
        <v>2.1</v>
      </c>
      <c r="H213" t="n">
        <v>0</v>
      </c>
      <c r="I213" t="n">
        <v>0</v>
      </c>
      <c r="J213" t="n">
        <v>0</v>
      </c>
      <c r="K213" t="n">
        <v>0</v>
      </c>
      <c r="L213" t="n">
        <v>0</v>
      </c>
      <c r="M213" t="n">
        <v>0</v>
      </c>
      <c r="N213" t="n">
        <v>0</v>
      </c>
      <c r="O213" t="n">
        <v>0</v>
      </c>
      <c r="P213" t="n">
        <v>0</v>
      </c>
      <c r="Q213" t="n">
        <v>0</v>
      </c>
      <c r="R213" s="2" t="inlineStr"/>
    </row>
    <row r="214" ht="15" customHeight="1">
      <c r="A214" t="inlineStr">
        <is>
          <t>A 39584-2024</t>
        </is>
      </c>
      <c r="B214" s="1" t="n">
        <v>45552.36759259259</v>
      </c>
      <c r="C214" s="1" t="n">
        <v>46106</v>
      </c>
      <c r="D214" t="inlineStr">
        <is>
          <t>KALMAR LÄN</t>
        </is>
      </c>
      <c r="E214" t="inlineStr">
        <is>
          <t>VIMMERBY</t>
        </is>
      </c>
      <c r="G214" t="n">
        <v>1.9</v>
      </c>
      <c r="H214" t="n">
        <v>0</v>
      </c>
      <c r="I214" t="n">
        <v>0</v>
      </c>
      <c r="J214" t="n">
        <v>0</v>
      </c>
      <c r="K214" t="n">
        <v>0</v>
      </c>
      <c r="L214" t="n">
        <v>0</v>
      </c>
      <c r="M214" t="n">
        <v>0</v>
      </c>
      <c r="N214" t="n">
        <v>0</v>
      </c>
      <c r="O214" t="n">
        <v>0</v>
      </c>
      <c r="P214" t="n">
        <v>0</v>
      </c>
      <c r="Q214" t="n">
        <v>0</v>
      </c>
      <c r="R214" s="2" t="inlineStr"/>
    </row>
    <row r="215" ht="15" customHeight="1">
      <c r="A215" t="inlineStr">
        <is>
          <t>A 56020-2024</t>
        </is>
      </c>
      <c r="B215" s="1" t="n">
        <v>45623.9525462963</v>
      </c>
      <c r="C215" s="1" t="n">
        <v>46106</v>
      </c>
      <c r="D215" t="inlineStr">
        <is>
          <t>KALMAR LÄN</t>
        </is>
      </c>
      <c r="E215" t="inlineStr">
        <is>
          <t>VIMMERBY</t>
        </is>
      </c>
      <c r="G215" t="n">
        <v>1</v>
      </c>
      <c r="H215" t="n">
        <v>0</v>
      </c>
      <c r="I215" t="n">
        <v>0</v>
      </c>
      <c r="J215" t="n">
        <v>0</v>
      </c>
      <c r="K215" t="n">
        <v>0</v>
      </c>
      <c r="L215" t="n">
        <v>0</v>
      </c>
      <c r="M215" t="n">
        <v>0</v>
      </c>
      <c r="N215" t="n">
        <v>0</v>
      </c>
      <c r="O215" t="n">
        <v>0</v>
      </c>
      <c r="P215" t="n">
        <v>0</v>
      </c>
      <c r="Q215" t="n">
        <v>0</v>
      </c>
      <c r="R215" s="2" t="inlineStr"/>
    </row>
    <row r="216" ht="15" customHeight="1">
      <c r="A216" t="inlineStr">
        <is>
          <t>A 16734-2023</t>
        </is>
      </c>
      <c r="B216" s="1" t="n">
        <v>45030.71012731481</v>
      </c>
      <c r="C216" s="1" t="n">
        <v>46106</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23252-2024</t>
        </is>
      </c>
      <c r="B217" s="1" t="n">
        <v>45453.36067129629</v>
      </c>
      <c r="C217" s="1" t="n">
        <v>46106</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51881-2024</t>
        </is>
      </c>
      <c r="B218" s="1" t="n">
        <v>45607.56773148148</v>
      </c>
      <c r="C218" s="1" t="n">
        <v>46106</v>
      </c>
      <c r="D218" t="inlineStr">
        <is>
          <t>KALMAR LÄN</t>
        </is>
      </c>
      <c r="E218" t="inlineStr">
        <is>
          <t>VIMMERBY</t>
        </is>
      </c>
      <c r="G218" t="n">
        <v>3.4</v>
      </c>
      <c r="H218" t="n">
        <v>0</v>
      </c>
      <c r="I218" t="n">
        <v>0</v>
      </c>
      <c r="J218" t="n">
        <v>0</v>
      </c>
      <c r="K218" t="n">
        <v>0</v>
      </c>
      <c r="L218" t="n">
        <v>0</v>
      </c>
      <c r="M218" t="n">
        <v>0</v>
      </c>
      <c r="N218" t="n">
        <v>0</v>
      </c>
      <c r="O218" t="n">
        <v>0</v>
      </c>
      <c r="P218" t="n">
        <v>0</v>
      </c>
      <c r="Q218" t="n">
        <v>0</v>
      </c>
      <c r="R218" s="2" t="inlineStr"/>
    </row>
    <row r="219" ht="15" customHeight="1">
      <c r="A219" t="inlineStr">
        <is>
          <t>A 2596-2025</t>
        </is>
      </c>
      <c r="B219" s="1" t="n">
        <v>45674.71810185185</v>
      </c>
      <c r="C219" s="1" t="n">
        <v>46106</v>
      </c>
      <c r="D219" t="inlineStr">
        <is>
          <t>KALMAR LÄN</t>
        </is>
      </c>
      <c r="E219" t="inlineStr">
        <is>
          <t>VIMMERBY</t>
        </is>
      </c>
      <c r="G219" t="n">
        <v>9</v>
      </c>
      <c r="H219" t="n">
        <v>0</v>
      </c>
      <c r="I219" t="n">
        <v>0</v>
      </c>
      <c r="J219" t="n">
        <v>0</v>
      </c>
      <c r="K219" t="n">
        <v>0</v>
      </c>
      <c r="L219" t="n">
        <v>0</v>
      </c>
      <c r="M219" t="n">
        <v>0</v>
      </c>
      <c r="N219" t="n">
        <v>0</v>
      </c>
      <c r="O219" t="n">
        <v>0</v>
      </c>
      <c r="P219" t="n">
        <v>0</v>
      </c>
      <c r="Q219" t="n">
        <v>0</v>
      </c>
      <c r="R219" s="2" t="inlineStr"/>
    </row>
    <row r="220" ht="15" customHeight="1">
      <c r="A220" t="inlineStr">
        <is>
          <t>A 52324-2023</t>
        </is>
      </c>
      <c r="B220" s="1" t="n">
        <v>45224.64659722222</v>
      </c>
      <c r="C220" s="1" t="n">
        <v>46106</v>
      </c>
      <c r="D220" t="inlineStr">
        <is>
          <t>KALMAR LÄN</t>
        </is>
      </c>
      <c r="E220" t="inlineStr">
        <is>
          <t>VIMMERBY</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37028-2024</t>
        </is>
      </c>
      <c r="B221" s="1" t="n">
        <v>45539.38744212963</v>
      </c>
      <c r="C221" s="1" t="n">
        <v>46106</v>
      </c>
      <c r="D221" t="inlineStr">
        <is>
          <t>KALMAR LÄN</t>
        </is>
      </c>
      <c r="E221" t="inlineStr">
        <is>
          <t>VIMMERBY</t>
        </is>
      </c>
      <c r="G221" t="n">
        <v>5.2</v>
      </c>
      <c r="H221" t="n">
        <v>0</v>
      </c>
      <c r="I221" t="n">
        <v>0</v>
      </c>
      <c r="J221" t="n">
        <v>0</v>
      </c>
      <c r="K221" t="n">
        <v>0</v>
      </c>
      <c r="L221" t="n">
        <v>0</v>
      </c>
      <c r="M221" t="n">
        <v>0</v>
      </c>
      <c r="N221" t="n">
        <v>0</v>
      </c>
      <c r="O221" t="n">
        <v>0</v>
      </c>
      <c r="P221" t="n">
        <v>0</v>
      </c>
      <c r="Q221" t="n">
        <v>0</v>
      </c>
      <c r="R221" s="2" t="inlineStr"/>
    </row>
    <row r="222" ht="15" customHeight="1">
      <c r="A222" t="inlineStr">
        <is>
          <t>A 20129-2024</t>
        </is>
      </c>
      <c r="B222" s="1" t="n">
        <v>45434.55831018519</v>
      </c>
      <c r="C222" s="1" t="n">
        <v>46106</v>
      </c>
      <c r="D222" t="inlineStr">
        <is>
          <t>KALMAR LÄN</t>
        </is>
      </c>
      <c r="E222" t="inlineStr">
        <is>
          <t>VIMMERBY</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20137-2024</t>
        </is>
      </c>
      <c r="B223" s="1" t="n">
        <v>45434.56398148148</v>
      </c>
      <c r="C223" s="1" t="n">
        <v>46106</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7456-2024</t>
        </is>
      </c>
      <c r="B224" s="1" t="n">
        <v>45345.83557870371</v>
      </c>
      <c r="C224" s="1" t="n">
        <v>46106</v>
      </c>
      <c r="D224" t="inlineStr">
        <is>
          <t>KALMAR LÄN</t>
        </is>
      </c>
      <c r="E224" t="inlineStr">
        <is>
          <t>VIMMERBY</t>
        </is>
      </c>
      <c r="G224" t="n">
        <v>4.1</v>
      </c>
      <c r="H224" t="n">
        <v>0</v>
      </c>
      <c r="I224" t="n">
        <v>0</v>
      </c>
      <c r="J224" t="n">
        <v>0</v>
      </c>
      <c r="K224" t="n">
        <v>0</v>
      </c>
      <c r="L224" t="n">
        <v>0</v>
      </c>
      <c r="M224" t="n">
        <v>0</v>
      </c>
      <c r="N224" t="n">
        <v>0</v>
      </c>
      <c r="O224" t="n">
        <v>0</v>
      </c>
      <c r="P224" t="n">
        <v>0</v>
      </c>
      <c r="Q224" t="n">
        <v>0</v>
      </c>
      <c r="R224" s="2" t="inlineStr"/>
    </row>
    <row r="225" ht="15" customHeight="1">
      <c r="A225" t="inlineStr">
        <is>
          <t>A 17988-2025</t>
        </is>
      </c>
      <c r="B225" s="1" t="n">
        <v>45761.39600694444</v>
      </c>
      <c r="C225" s="1" t="n">
        <v>46106</v>
      </c>
      <c r="D225" t="inlineStr">
        <is>
          <t>KALMAR LÄN</t>
        </is>
      </c>
      <c r="E225" t="inlineStr">
        <is>
          <t>VIMMERBY</t>
        </is>
      </c>
      <c r="G225" t="n">
        <v>2.8</v>
      </c>
      <c r="H225" t="n">
        <v>0</v>
      </c>
      <c r="I225" t="n">
        <v>0</v>
      </c>
      <c r="J225" t="n">
        <v>0</v>
      </c>
      <c r="K225" t="n">
        <v>0</v>
      </c>
      <c r="L225" t="n">
        <v>0</v>
      </c>
      <c r="M225" t="n">
        <v>0</v>
      </c>
      <c r="N225" t="n">
        <v>0</v>
      </c>
      <c r="O225" t="n">
        <v>0</v>
      </c>
      <c r="P225" t="n">
        <v>0</v>
      </c>
      <c r="Q225" t="n">
        <v>0</v>
      </c>
      <c r="R225" s="2" t="inlineStr"/>
    </row>
    <row r="226" ht="15" customHeight="1">
      <c r="A226" t="inlineStr">
        <is>
          <t>A 23341-2022</t>
        </is>
      </c>
      <c r="B226" s="1" t="n">
        <v>44720.53898148148</v>
      </c>
      <c r="C226" s="1" t="n">
        <v>46106</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55236-2023</t>
        </is>
      </c>
      <c r="B227" s="1" t="n">
        <v>45237.63225694445</v>
      </c>
      <c r="C227" s="1" t="n">
        <v>46106</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55245-2023</t>
        </is>
      </c>
      <c r="B228" s="1" t="n">
        <v>45237.64408564815</v>
      </c>
      <c r="C228" s="1" t="n">
        <v>46106</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36055-2024</t>
        </is>
      </c>
      <c r="B229" s="1" t="n">
        <v>45533.63056712963</v>
      </c>
      <c r="C229" s="1" t="n">
        <v>46106</v>
      </c>
      <c r="D229" t="inlineStr">
        <is>
          <t>KALMAR LÄN</t>
        </is>
      </c>
      <c r="E229" t="inlineStr">
        <is>
          <t>VIMMERBY</t>
        </is>
      </c>
      <c r="F229" t="inlineStr">
        <is>
          <t>Kommuner</t>
        </is>
      </c>
      <c r="G229" t="n">
        <v>1.9</v>
      </c>
      <c r="H229" t="n">
        <v>0</v>
      </c>
      <c r="I229" t="n">
        <v>0</v>
      </c>
      <c r="J229" t="n">
        <v>0</v>
      </c>
      <c r="K229" t="n">
        <v>0</v>
      </c>
      <c r="L229" t="n">
        <v>0</v>
      </c>
      <c r="M229" t="n">
        <v>0</v>
      </c>
      <c r="N229" t="n">
        <v>0</v>
      </c>
      <c r="O229" t="n">
        <v>0</v>
      </c>
      <c r="P229" t="n">
        <v>0</v>
      </c>
      <c r="Q229" t="n">
        <v>0</v>
      </c>
      <c r="R229" s="2" t="inlineStr"/>
    </row>
    <row r="230" ht="15" customHeight="1">
      <c r="A230" t="inlineStr">
        <is>
          <t>A 6668-2023</t>
        </is>
      </c>
      <c r="B230" s="1" t="n">
        <v>44966</v>
      </c>
      <c r="C230" s="1" t="n">
        <v>46106</v>
      </c>
      <c r="D230" t="inlineStr">
        <is>
          <t>KALMAR LÄN</t>
        </is>
      </c>
      <c r="E230" t="inlineStr">
        <is>
          <t>VIMMERBY</t>
        </is>
      </c>
      <c r="G230" t="n">
        <v>0.9</v>
      </c>
      <c r="H230" t="n">
        <v>0</v>
      </c>
      <c r="I230" t="n">
        <v>0</v>
      </c>
      <c r="J230" t="n">
        <v>0</v>
      </c>
      <c r="K230" t="n">
        <v>0</v>
      </c>
      <c r="L230" t="n">
        <v>0</v>
      </c>
      <c r="M230" t="n">
        <v>0</v>
      </c>
      <c r="N230" t="n">
        <v>0</v>
      </c>
      <c r="O230" t="n">
        <v>0</v>
      </c>
      <c r="P230" t="n">
        <v>0</v>
      </c>
      <c r="Q230" t="n">
        <v>0</v>
      </c>
      <c r="R230" s="2" t="inlineStr"/>
    </row>
    <row r="231" ht="15" customHeight="1">
      <c r="A231" t="inlineStr">
        <is>
          <t>A 29168-2024</t>
        </is>
      </c>
      <c r="B231" s="1" t="n">
        <v>45482.49870370371</v>
      </c>
      <c r="C231" s="1" t="n">
        <v>46106</v>
      </c>
      <c r="D231" t="inlineStr">
        <is>
          <t>KALMAR LÄN</t>
        </is>
      </c>
      <c r="E231" t="inlineStr">
        <is>
          <t>VIMMERBY</t>
        </is>
      </c>
      <c r="G231" t="n">
        <v>1.4</v>
      </c>
      <c r="H231" t="n">
        <v>0</v>
      </c>
      <c r="I231" t="n">
        <v>0</v>
      </c>
      <c r="J231" t="n">
        <v>0</v>
      </c>
      <c r="K231" t="n">
        <v>0</v>
      </c>
      <c r="L231" t="n">
        <v>0</v>
      </c>
      <c r="M231" t="n">
        <v>0</v>
      </c>
      <c r="N231" t="n">
        <v>0</v>
      </c>
      <c r="O231" t="n">
        <v>0</v>
      </c>
      <c r="P231" t="n">
        <v>0</v>
      </c>
      <c r="Q231" t="n">
        <v>0</v>
      </c>
      <c r="R231" s="2" t="inlineStr"/>
    </row>
    <row r="232" ht="15" customHeight="1">
      <c r="A232" t="inlineStr">
        <is>
          <t>A 15550-2023</t>
        </is>
      </c>
      <c r="B232" s="1" t="n">
        <v>45020</v>
      </c>
      <c r="C232" s="1" t="n">
        <v>46106</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27443-2023</t>
        </is>
      </c>
      <c r="B233" s="1" t="n">
        <v>45097.40524305555</v>
      </c>
      <c r="C233" s="1" t="n">
        <v>46106</v>
      </c>
      <c r="D233" t="inlineStr">
        <is>
          <t>KALMAR LÄN</t>
        </is>
      </c>
      <c r="E233" t="inlineStr">
        <is>
          <t>VIMMERBY</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11219-2023</t>
        </is>
      </c>
      <c r="B234" s="1" t="n">
        <v>44992.62498842592</v>
      </c>
      <c r="C234" s="1" t="n">
        <v>46106</v>
      </c>
      <c r="D234" t="inlineStr">
        <is>
          <t>KALMAR LÄN</t>
        </is>
      </c>
      <c r="E234" t="inlineStr">
        <is>
          <t>VIMMERBY</t>
        </is>
      </c>
      <c r="G234" t="n">
        <v>2.5</v>
      </c>
      <c r="H234" t="n">
        <v>0</v>
      </c>
      <c r="I234" t="n">
        <v>0</v>
      </c>
      <c r="J234" t="n">
        <v>0</v>
      </c>
      <c r="K234" t="n">
        <v>0</v>
      </c>
      <c r="L234" t="n">
        <v>0</v>
      </c>
      <c r="M234" t="n">
        <v>0</v>
      </c>
      <c r="N234" t="n">
        <v>0</v>
      </c>
      <c r="O234" t="n">
        <v>0</v>
      </c>
      <c r="P234" t="n">
        <v>0</v>
      </c>
      <c r="Q234" t="n">
        <v>0</v>
      </c>
      <c r="R234" s="2" t="inlineStr"/>
    </row>
    <row r="235" ht="15" customHeight="1">
      <c r="A235" t="inlineStr">
        <is>
          <t>A 845-2023</t>
        </is>
      </c>
      <c r="B235" s="1" t="n">
        <v>44931</v>
      </c>
      <c r="C235" s="1" t="n">
        <v>46106</v>
      </c>
      <c r="D235" t="inlineStr">
        <is>
          <t>KALMAR LÄN</t>
        </is>
      </c>
      <c r="E235" t="inlineStr">
        <is>
          <t>VIMMERBY</t>
        </is>
      </c>
      <c r="F235" t="inlineStr">
        <is>
          <t>Övriga Aktiebolag</t>
        </is>
      </c>
      <c r="G235" t="n">
        <v>19</v>
      </c>
      <c r="H235" t="n">
        <v>0</v>
      </c>
      <c r="I235" t="n">
        <v>0</v>
      </c>
      <c r="J235" t="n">
        <v>0</v>
      </c>
      <c r="K235" t="n">
        <v>0</v>
      </c>
      <c r="L235" t="n">
        <v>0</v>
      </c>
      <c r="M235" t="n">
        <v>0</v>
      </c>
      <c r="N235" t="n">
        <v>0</v>
      </c>
      <c r="O235" t="n">
        <v>0</v>
      </c>
      <c r="P235" t="n">
        <v>0</v>
      </c>
      <c r="Q235" t="n">
        <v>0</v>
      </c>
      <c r="R235" s="2" t="inlineStr"/>
    </row>
    <row r="236" ht="15" customHeight="1">
      <c r="A236" t="inlineStr">
        <is>
          <t>A 40730-2024</t>
        </is>
      </c>
      <c r="B236" s="1" t="n">
        <v>45558.44914351852</v>
      </c>
      <c r="C236" s="1" t="n">
        <v>46106</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6321-2023</t>
        </is>
      </c>
      <c r="B237" s="1" t="n">
        <v>44965.4815162037</v>
      </c>
      <c r="C237" s="1" t="n">
        <v>46106</v>
      </c>
      <c r="D237" t="inlineStr">
        <is>
          <t>KALMAR LÄN</t>
        </is>
      </c>
      <c r="E237" t="inlineStr">
        <is>
          <t>VIMMERBY</t>
        </is>
      </c>
      <c r="G237" t="n">
        <v>1.8</v>
      </c>
      <c r="H237" t="n">
        <v>0</v>
      </c>
      <c r="I237" t="n">
        <v>0</v>
      </c>
      <c r="J237" t="n">
        <v>0</v>
      </c>
      <c r="K237" t="n">
        <v>0</v>
      </c>
      <c r="L237" t="n">
        <v>0</v>
      </c>
      <c r="M237" t="n">
        <v>0</v>
      </c>
      <c r="N237" t="n">
        <v>0</v>
      </c>
      <c r="O237" t="n">
        <v>0</v>
      </c>
      <c r="P237" t="n">
        <v>0</v>
      </c>
      <c r="Q237" t="n">
        <v>0</v>
      </c>
      <c r="R237" s="2" t="inlineStr"/>
    </row>
    <row r="238" ht="15" customHeight="1">
      <c r="A238" t="inlineStr">
        <is>
          <t>A 4624-2024</t>
        </is>
      </c>
      <c r="B238" s="1" t="n">
        <v>45328.38755787037</v>
      </c>
      <c r="C238" s="1" t="n">
        <v>46106</v>
      </c>
      <c r="D238" t="inlineStr">
        <is>
          <t>KALMAR LÄN</t>
        </is>
      </c>
      <c r="E238" t="inlineStr">
        <is>
          <t>VIMMERBY</t>
        </is>
      </c>
      <c r="G238" t="n">
        <v>1.7</v>
      </c>
      <c r="H238" t="n">
        <v>0</v>
      </c>
      <c r="I238" t="n">
        <v>0</v>
      </c>
      <c r="J238" t="n">
        <v>0</v>
      </c>
      <c r="K238" t="n">
        <v>0</v>
      </c>
      <c r="L238" t="n">
        <v>0</v>
      </c>
      <c r="M238" t="n">
        <v>0</v>
      </c>
      <c r="N238" t="n">
        <v>0</v>
      </c>
      <c r="O238" t="n">
        <v>0</v>
      </c>
      <c r="P238" t="n">
        <v>0</v>
      </c>
      <c r="Q238" t="n">
        <v>0</v>
      </c>
      <c r="R238" s="2" t="inlineStr"/>
    </row>
    <row r="239" ht="15" customHeight="1">
      <c r="A239" t="inlineStr">
        <is>
          <t>A 2157-2024</t>
        </is>
      </c>
      <c r="B239" s="1" t="n">
        <v>45309.59487268519</v>
      </c>
      <c r="C239" s="1" t="n">
        <v>46106</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59598-2023</t>
        </is>
      </c>
      <c r="B240" s="1" t="n">
        <v>45254.62489583333</v>
      </c>
      <c r="C240" s="1" t="n">
        <v>46106</v>
      </c>
      <c r="D240" t="inlineStr">
        <is>
          <t>KALMAR LÄN</t>
        </is>
      </c>
      <c r="E240" t="inlineStr">
        <is>
          <t>VIMMERBY</t>
        </is>
      </c>
      <c r="F240" t="inlineStr">
        <is>
          <t>Övriga Aktiebolag</t>
        </is>
      </c>
      <c r="G240" t="n">
        <v>4</v>
      </c>
      <c r="H240" t="n">
        <v>0</v>
      </c>
      <c r="I240" t="n">
        <v>0</v>
      </c>
      <c r="J240" t="n">
        <v>0</v>
      </c>
      <c r="K240" t="n">
        <v>0</v>
      </c>
      <c r="L240" t="n">
        <v>0</v>
      </c>
      <c r="M240" t="n">
        <v>0</v>
      </c>
      <c r="N240" t="n">
        <v>0</v>
      </c>
      <c r="O240" t="n">
        <v>0</v>
      </c>
      <c r="P240" t="n">
        <v>0</v>
      </c>
      <c r="Q240" t="n">
        <v>0</v>
      </c>
      <c r="R240" s="2" t="inlineStr"/>
    </row>
    <row r="241" ht="15" customHeight="1">
      <c r="A241" t="inlineStr">
        <is>
          <t>A 7944-2024</t>
        </is>
      </c>
      <c r="B241" s="1" t="n">
        <v>45350.53306712963</v>
      </c>
      <c r="C241" s="1" t="n">
        <v>46106</v>
      </c>
      <c r="D241" t="inlineStr">
        <is>
          <t>KALMAR LÄN</t>
        </is>
      </c>
      <c r="E241" t="inlineStr">
        <is>
          <t>VIMMERBY</t>
        </is>
      </c>
      <c r="G241" t="n">
        <v>1.2</v>
      </c>
      <c r="H241" t="n">
        <v>0</v>
      </c>
      <c r="I241" t="n">
        <v>0</v>
      </c>
      <c r="J241" t="n">
        <v>0</v>
      </c>
      <c r="K241" t="n">
        <v>0</v>
      </c>
      <c r="L241" t="n">
        <v>0</v>
      </c>
      <c r="M241" t="n">
        <v>0</v>
      </c>
      <c r="N241" t="n">
        <v>0</v>
      </c>
      <c r="O241" t="n">
        <v>0</v>
      </c>
      <c r="P241" t="n">
        <v>0</v>
      </c>
      <c r="Q241" t="n">
        <v>0</v>
      </c>
      <c r="R241" s="2" t="inlineStr"/>
    </row>
    <row r="242" ht="15" customHeight="1">
      <c r="A242" t="inlineStr">
        <is>
          <t>A 49461-2022</t>
        </is>
      </c>
      <c r="B242" s="1" t="n">
        <v>44861</v>
      </c>
      <c r="C242" s="1" t="n">
        <v>46106</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694-2024</t>
        </is>
      </c>
      <c r="B243" s="1" t="n">
        <v>45300.3794212963</v>
      </c>
      <c r="C243" s="1" t="n">
        <v>46106</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21496-2023</t>
        </is>
      </c>
      <c r="B244" s="1" t="n">
        <v>45063.49936342592</v>
      </c>
      <c r="C244" s="1" t="n">
        <v>46106</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35198-2023</t>
        </is>
      </c>
      <c r="B245" s="1" t="n">
        <v>45145</v>
      </c>
      <c r="C245" s="1" t="n">
        <v>46106</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43853-2023</t>
        </is>
      </c>
      <c r="B246" s="1" t="n">
        <v>45187.60813657408</v>
      </c>
      <c r="C246" s="1" t="n">
        <v>46106</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29783-2024</t>
        </is>
      </c>
      <c r="B247" s="1" t="n">
        <v>45485.45778935185</v>
      </c>
      <c r="C247" s="1" t="n">
        <v>46106</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38757-2023</t>
        </is>
      </c>
      <c r="B248" s="1" t="n">
        <v>45163.41376157408</v>
      </c>
      <c r="C248" s="1" t="n">
        <v>46106</v>
      </c>
      <c r="D248" t="inlineStr">
        <is>
          <t>KALMAR LÄN</t>
        </is>
      </c>
      <c r="E248" t="inlineStr">
        <is>
          <t>VIMMERBY</t>
        </is>
      </c>
      <c r="G248" t="n">
        <v>2.5</v>
      </c>
      <c r="H248" t="n">
        <v>0</v>
      </c>
      <c r="I248" t="n">
        <v>0</v>
      </c>
      <c r="J248" t="n">
        <v>0</v>
      </c>
      <c r="K248" t="n">
        <v>0</v>
      </c>
      <c r="L248" t="n">
        <v>0</v>
      </c>
      <c r="M248" t="n">
        <v>0</v>
      </c>
      <c r="N248" t="n">
        <v>0</v>
      </c>
      <c r="O248" t="n">
        <v>0</v>
      </c>
      <c r="P248" t="n">
        <v>0</v>
      </c>
      <c r="Q248" t="n">
        <v>0</v>
      </c>
      <c r="R248" s="2" t="inlineStr"/>
    </row>
    <row r="249" ht="15" customHeight="1">
      <c r="A249" t="inlineStr">
        <is>
          <t>A 9511-2023</t>
        </is>
      </c>
      <c r="B249" s="1" t="n">
        <v>44981.64725694444</v>
      </c>
      <c r="C249" s="1" t="n">
        <v>46106</v>
      </c>
      <c r="D249" t="inlineStr">
        <is>
          <t>KALMAR LÄN</t>
        </is>
      </c>
      <c r="E249" t="inlineStr">
        <is>
          <t>VIMMERBY</t>
        </is>
      </c>
      <c r="G249" t="n">
        <v>3.5</v>
      </c>
      <c r="H249" t="n">
        <v>0</v>
      </c>
      <c r="I249" t="n">
        <v>0</v>
      </c>
      <c r="J249" t="n">
        <v>0</v>
      </c>
      <c r="K249" t="n">
        <v>0</v>
      </c>
      <c r="L249" t="n">
        <v>0</v>
      </c>
      <c r="M249" t="n">
        <v>0</v>
      </c>
      <c r="N249" t="n">
        <v>0</v>
      </c>
      <c r="O249" t="n">
        <v>0</v>
      </c>
      <c r="P249" t="n">
        <v>0</v>
      </c>
      <c r="Q249" t="n">
        <v>0</v>
      </c>
      <c r="R249" s="2" t="inlineStr"/>
    </row>
    <row r="250" ht="15" customHeight="1">
      <c r="A250" t="inlineStr">
        <is>
          <t>A 50648-2023</t>
        </is>
      </c>
      <c r="B250" s="1" t="n">
        <v>45217.47834490741</v>
      </c>
      <c r="C250" s="1" t="n">
        <v>46106</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29973-2023</t>
        </is>
      </c>
      <c r="B251" s="1" t="n">
        <v>45108.703125</v>
      </c>
      <c r="C251" s="1" t="n">
        <v>46106</v>
      </c>
      <c r="D251" t="inlineStr">
        <is>
          <t>KALMAR LÄN</t>
        </is>
      </c>
      <c r="E251" t="inlineStr">
        <is>
          <t>VIMMERBY</t>
        </is>
      </c>
      <c r="G251" t="n">
        <v>4</v>
      </c>
      <c r="H251" t="n">
        <v>0</v>
      </c>
      <c r="I251" t="n">
        <v>0</v>
      </c>
      <c r="J251" t="n">
        <v>0</v>
      </c>
      <c r="K251" t="n">
        <v>0</v>
      </c>
      <c r="L251" t="n">
        <v>0</v>
      </c>
      <c r="M251" t="n">
        <v>0</v>
      </c>
      <c r="N251" t="n">
        <v>0</v>
      </c>
      <c r="O251" t="n">
        <v>0</v>
      </c>
      <c r="P251" t="n">
        <v>0</v>
      </c>
      <c r="Q251" t="n">
        <v>0</v>
      </c>
      <c r="R251" s="2" t="inlineStr"/>
    </row>
    <row r="252" ht="15" customHeight="1">
      <c r="A252" t="inlineStr">
        <is>
          <t>A 529-2022</t>
        </is>
      </c>
      <c r="B252" s="1" t="n">
        <v>44566</v>
      </c>
      <c r="C252" s="1" t="n">
        <v>46106</v>
      </c>
      <c r="D252" t="inlineStr">
        <is>
          <t>KALMAR LÄN</t>
        </is>
      </c>
      <c r="E252" t="inlineStr">
        <is>
          <t>VIMMERBY</t>
        </is>
      </c>
      <c r="G252" t="n">
        <v>1.5</v>
      </c>
      <c r="H252" t="n">
        <v>0</v>
      </c>
      <c r="I252" t="n">
        <v>0</v>
      </c>
      <c r="J252" t="n">
        <v>0</v>
      </c>
      <c r="K252" t="n">
        <v>0</v>
      </c>
      <c r="L252" t="n">
        <v>0</v>
      </c>
      <c r="M252" t="n">
        <v>0</v>
      </c>
      <c r="N252" t="n">
        <v>0</v>
      </c>
      <c r="O252" t="n">
        <v>0</v>
      </c>
      <c r="P252" t="n">
        <v>0</v>
      </c>
      <c r="Q252" t="n">
        <v>0</v>
      </c>
      <c r="R252" s="2" t="inlineStr"/>
    </row>
    <row r="253" ht="15" customHeight="1">
      <c r="A253" t="inlineStr">
        <is>
          <t>A 58318-2021</t>
        </is>
      </c>
      <c r="B253" s="1" t="n">
        <v>44488.35878472222</v>
      </c>
      <c r="C253" s="1" t="n">
        <v>46106</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89-2023</t>
        </is>
      </c>
      <c r="B254" s="1" t="n">
        <v>44918</v>
      </c>
      <c r="C254" s="1" t="n">
        <v>46106</v>
      </c>
      <c r="D254" t="inlineStr">
        <is>
          <t>KALMAR LÄN</t>
        </is>
      </c>
      <c r="E254" t="inlineStr">
        <is>
          <t>VIMMERBY</t>
        </is>
      </c>
      <c r="G254" t="n">
        <v>16.1</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46106</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40076-2021</t>
        </is>
      </c>
      <c r="B256" s="1" t="n">
        <v>44418</v>
      </c>
      <c r="C256" s="1" t="n">
        <v>46106</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73938-2021</t>
        </is>
      </c>
      <c r="B257" s="1" t="n">
        <v>44553</v>
      </c>
      <c r="C257" s="1" t="n">
        <v>46106</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23088-2024</t>
        </is>
      </c>
      <c r="B258" s="1" t="n">
        <v>45450.51092592593</v>
      </c>
      <c r="C258" s="1" t="n">
        <v>46106</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63583-2023</t>
        </is>
      </c>
      <c r="B259" s="1" t="n">
        <v>45275.41833333333</v>
      </c>
      <c r="C259" s="1" t="n">
        <v>46106</v>
      </c>
      <c r="D259" t="inlineStr">
        <is>
          <t>KALMAR LÄN</t>
        </is>
      </c>
      <c r="E259" t="inlineStr">
        <is>
          <t>VIMMERBY</t>
        </is>
      </c>
      <c r="G259" t="n">
        <v>1.4</v>
      </c>
      <c r="H259" t="n">
        <v>0</v>
      </c>
      <c r="I259" t="n">
        <v>0</v>
      </c>
      <c r="J259" t="n">
        <v>0</v>
      </c>
      <c r="K259" t="n">
        <v>0</v>
      </c>
      <c r="L259" t="n">
        <v>0</v>
      </c>
      <c r="M259" t="n">
        <v>0</v>
      </c>
      <c r="N259" t="n">
        <v>0</v>
      </c>
      <c r="O259" t="n">
        <v>0</v>
      </c>
      <c r="P259" t="n">
        <v>0</v>
      </c>
      <c r="Q259" t="n">
        <v>0</v>
      </c>
      <c r="R259" s="2" t="inlineStr"/>
    </row>
    <row r="260" ht="15" customHeight="1">
      <c r="A260" t="inlineStr">
        <is>
          <t>A 40079-2023</t>
        </is>
      </c>
      <c r="B260" s="1" t="n">
        <v>45168.89298611111</v>
      </c>
      <c r="C260" s="1" t="n">
        <v>46106</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38851-2023</t>
        </is>
      </c>
      <c r="B261" s="1" t="n">
        <v>45163</v>
      </c>
      <c r="C261" s="1" t="n">
        <v>46106</v>
      </c>
      <c r="D261" t="inlineStr">
        <is>
          <t>KALMAR LÄN</t>
        </is>
      </c>
      <c r="E261" t="inlineStr">
        <is>
          <t>VIMMERBY</t>
        </is>
      </c>
      <c r="G261" t="n">
        <v>4.3</v>
      </c>
      <c r="H261" t="n">
        <v>0</v>
      </c>
      <c r="I261" t="n">
        <v>0</v>
      </c>
      <c r="J261" t="n">
        <v>0</v>
      </c>
      <c r="K261" t="n">
        <v>0</v>
      </c>
      <c r="L261" t="n">
        <v>0</v>
      </c>
      <c r="M261" t="n">
        <v>0</v>
      </c>
      <c r="N261" t="n">
        <v>0</v>
      </c>
      <c r="O261" t="n">
        <v>0</v>
      </c>
      <c r="P261" t="n">
        <v>0</v>
      </c>
      <c r="Q261" t="n">
        <v>0</v>
      </c>
      <c r="R261" s="2" t="inlineStr"/>
    </row>
    <row r="262" ht="15" customHeight="1">
      <c r="A262" t="inlineStr">
        <is>
          <t>A 43774-2023</t>
        </is>
      </c>
      <c r="B262" s="1" t="n">
        <v>45187</v>
      </c>
      <c r="C262" s="1" t="n">
        <v>46106</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10759-2023</t>
        </is>
      </c>
      <c r="B263" s="1" t="n">
        <v>44988</v>
      </c>
      <c r="C263" s="1" t="n">
        <v>46106</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39578-2024</t>
        </is>
      </c>
      <c r="B264" s="1" t="n">
        <v>45552.36484953704</v>
      </c>
      <c r="C264" s="1" t="n">
        <v>46106</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24707-2024</t>
        </is>
      </c>
      <c r="B265" s="1" t="n">
        <v>45460.62172453704</v>
      </c>
      <c r="C265" s="1" t="n">
        <v>46106</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29616-2022</t>
        </is>
      </c>
      <c r="B266" s="1" t="n">
        <v>44754</v>
      </c>
      <c r="C266" s="1" t="n">
        <v>46106</v>
      </c>
      <c r="D266" t="inlineStr">
        <is>
          <t>KALMAR LÄN</t>
        </is>
      </c>
      <c r="E266" t="inlineStr">
        <is>
          <t>VIMMERBY</t>
        </is>
      </c>
      <c r="G266" t="n">
        <v>1.1</v>
      </c>
      <c r="H266" t="n">
        <v>0</v>
      </c>
      <c r="I266" t="n">
        <v>0</v>
      </c>
      <c r="J266" t="n">
        <v>0</v>
      </c>
      <c r="K266" t="n">
        <v>0</v>
      </c>
      <c r="L266" t="n">
        <v>0</v>
      </c>
      <c r="M266" t="n">
        <v>0</v>
      </c>
      <c r="N266" t="n">
        <v>0</v>
      </c>
      <c r="O266" t="n">
        <v>0</v>
      </c>
      <c r="P266" t="n">
        <v>0</v>
      </c>
      <c r="Q266" t="n">
        <v>0</v>
      </c>
      <c r="R266" s="2" t="inlineStr"/>
    </row>
    <row r="267" ht="15" customHeight="1">
      <c r="A267" t="inlineStr">
        <is>
          <t>A 40828-2023</t>
        </is>
      </c>
      <c r="B267" s="1" t="n">
        <v>45171.96248842592</v>
      </c>
      <c r="C267" s="1" t="n">
        <v>46106</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8650-2022</t>
        </is>
      </c>
      <c r="B268" s="1" t="n">
        <v>44613</v>
      </c>
      <c r="C268" s="1" t="n">
        <v>46106</v>
      </c>
      <c r="D268" t="inlineStr">
        <is>
          <t>KALMAR LÄN</t>
        </is>
      </c>
      <c r="E268" t="inlineStr">
        <is>
          <t>VIMMERBY</t>
        </is>
      </c>
      <c r="G268" t="n">
        <v>1.4</v>
      </c>
      <c r="H268" t="n">
        <v>0</v>
      </c>
      <c r="I268" t="n">
        <v>0</v>
      </c>
      <c r="J268" t="n">
        <v>0</v>
      </c>
      <c r="K268" t="n">
        <v>0</v>
      </c>
      <c r="L268" t="n">
        <v>0</v>
      </c>
      <c r="M268" t="n">
        <v>0</v>
      </c>
      <c r="N268" t="n">
        <v>0</v>
      </c>
      <c r="O268" t="n">
        <v>0</v>
      </c>
      <c r="P268" t="n">
        <v>0</v>
      </c>
      <c r="Q268" t="n">
        <v>0</v>
      </c>
      <c r="R268" s="2" t="inlineStr"/>
    </row>
    <row r="269" ht="15" customHeight="1">
      <c r="A269" t="inlineStr">
        <is>
          <t>A 33340-2023</t>
        </is>
      </c>
      <c r="B269" s="1" t="n">
        <v>45128.37305555555</v>
      </c>
      <c r="C269" s="1" t="n">
        <v>46106</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44423-2023</t>
        </is>
      </c>
      <c r="B270" s="1" t="n">
        <v>45189</v>
      </c>
      <c r="C270" s="1" t="n">
        <v>46106</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61861-2024</t>
        </is>
      </c>
      <c r="B271" s="1" t="n">
        <v>45650.37370370371</v>
      </c>
      <c r="C271" s="1" t="n">
        <v>46106</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31056-2022</t>
        </is>
      </c>
      <c r="B272" s="1" t="n">
        <v>44769.45805555556</v>
      </c>
      <c r="C272" s="1" t="n">
        <v>46106</v>
      </c>
      <c r="D272" t="inlineStr">
        <is>
          <t>KALMAR LÄN</t>
        </is>
      </c>
      <c r="E272" t="inlineStr">
        <is>
          <t>VIMMERBY</t>
        </is>
      </c>
      <c r="G272" t="n">
        <v>2</v>
      </c>
      <c r="H272" t="n">
        <v>0</v>
      </c>
      <c r="I272" t="n">
        <v>0</v>
      </c>
      <c r="J272" t="n">
        <v>0</v>
      </c>
      <c r="K272" t="n">
        <v>0</v>
      </c>
      <c r="L272" t="n">
        <v>0</v>
      </c>
      <c r="M272" t="n">
        <v>0</v>
      </c>
      <c r="N272" t="n">
        <v>0</v>
      </c>
      <c r="O272" t="n">
        <v>0</v>
      </c>
      <c r="P272" t="n">
        <v>0</v>
      </c>
      <c r="Q272" t="n">
        <v>0</v>
      </c>
      <c r="R272" s="2" t="inlineStr"/>
    </row>
    <row r="273" ht="15" customHeight="1">
      <c r="A273" t="inlineStr">
        <is>
          <t>A 33383-2023</t>
        </is>
      </c>
      <c r="B273" s="1" t="n">
        <v>45128.58414351852</v>
      </c>
      <c r="C273" s="1" t="n">
        <v>46106</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37323-2024</t>
        </is>
      </c>
      <c r="B274" s="1" t="n">
        <v>45540.50098379629</v>
      </c>
      <c r="C274" s="1" t="n">
        <v>46106</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18501-2024</t>
        </is>
      </c>
      <c r="B275" s="1" t="n">
        <v>45425.57538194444</v>
      </c>
      <c r="C275" s="1" t="n">
        <v>46106</v>
      </c>
      <c r="D275" t="inlineStr">
        <is>
          <t>KALMAR LÄN</t>
        </is>
      </c>
      <c r="E275" t="inlineStr">
        <is>
          <t>VIMMERBY</t>
        </is>
      </c>
      <c r="G275" t="n">
        <v>2</v>
      </c>
      <c r="H275" t="n">
        <v>0</v>
      </c>
      <c r="I275" t="n">
        <v>0</v>
      </c>
      <c r="J275" t="n">
        <v>0</v>
      </c>
      <c r="K275" t="n">
        <v>0</v>
      </c>
      <c r="L275" t="n">
        <v>0</v>
      </c>
      <c r="M275" t="n">
        <v>0</v>
      </c>
      <c r="N275" t="n">
        <v>0</v>
      </c>
      <c r="O275" t="n">
        <v>0</v>
      </c>
      <c r="P275" t="n">
        <v>0</v>
      </c>
      <c r="Q275" t="n">
        <v>0</v>
      </c>
      <c r="R275" s="2" t="inlineStr"/>
    </row>
    <row r="276" ht="15" customHeight="1">
      <c r="A276" t="inlineStr">
        <is>
          <t>A 27758-2024</t>
        </is>
      </c>
      <c r="B276" s="1" t="n">
        <v>45475.48303240741</v>
      </c>
      <c r="C276" s="1" t="n">
        <v>46106</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13307-2025</t>
        </is>
      </c>
      <c r="B277" s="1" t="n">
        <v>45735.58024305556</v>
      </c>
      <c r="C277" s="1" t="n">
        <v>46106</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14277-2026</t>
        </is>
      </c>
      <c r="B278" s="1" t="n">
        <v>46099.66305555555</v>
      </c>
      <c r="C278" s="1" t="n">
        <v>46106</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55716-2023</t>
        </is>
      </c>
      <c r="B279" s="1" t="n">
        <v>45232</v>
      </c>
      <c r="C279" s="1" t="n">
        <v>46106</v>
      </c>
      <c r="D279" t="inlineStr">
        <is>
          <t>KALMAR LÄN</t>
        </is>
      </c>
      <c r="E279" t="inlineStr">
        <is>
          <t>VIMMERBY</t>
        </is>
      </c>
      <c r="G279" t="n">
        <v>2.3</v>
      </c>
      <c r="H279" t="n">
        <v>0</v>
      </c>
      <c r="I279" t="n">
        <v>0</v>
      </c>
      <c r="J279" t="n">
        <v>0</v>
      </c>
      <c r="K279" t="n">
        <v>0</v>
      </c>
      <c r="L279" t="n">
        <v>0</v>
      </c>
      <c r="M279" t="n">
        <v>0</v>
      </c>
      <c r="N279" t="n">
        <v>0</v>
      </c>
      <c r="O279" t="n">
        <v>0</v>
      </c>
      <c r="P279" t="n">
        <v>0</v>
      </c>
      <c r="Q279" t="n">
        <v>0</v>
      </c>
      <c r="R279" s="2" t="inlineStr"/>
    </row>
    <row r="280" ht="15" customHeight="1">
      <c r="A280" t="inlineStr">
        <is>
          <t>A 13667-2026</t>
        </is>
      </c>
      <c r="B280" s="1" t="n">
        <v>46097</v>
      </c>
      <c r="C280" s="1" t="n">
        <v>46106</v>
      </c>
      <c r="D280" t="inlineStr">
        <is>
          <t>KALMAR LÄN</t>
        </is>
      </c>
      <c r="E280" t="inlineStr">
        <is>
          <t>VIMMERBY</t>
        </is>
      </c>
      <c r="G280" t="n">
        <v>6.8</v>
      </c>
      <c r="H280" t="n">
        <v>0</v>
      </c>
      <c r="I280" t="n">
        <v>0</v>
      </c>
      <c r="J280" t="n">
        <v>0</v>
      </c>
      <c r="K280" t="n">
        <v>0</v>
      </c>
      <c r="L280" t="n">
        <v>0</v>
      </c>
      <c r="M280" t="n">
        <v>0</v>
      </c>
      <c r="N280" t="n">
        <v>0</v>
      </c>
      <c r="O280" t="n">
        <v>0</v>
      </c>
      <c r="P280" t="n">
        <v>0</v>
      </c>
      <c r="Q280" t="n">
        <v>0</v>
      </c>
      <c r="R280" s="2" t="inlineStr"/>
    </row>
    <row r="281" ht="15" customHeight="1">
      <c r="A281" t="inlineStr">
        <is>
          <t>A 18329-2023</t>
        </is>
      </c>
      <c r="B281" s="1" t="n">
        <v>45041.63380787037</v>
      </c>
      <c r="C281" s="1" t="n">
        <v>46106</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38604-2025</t>
        </is>
      </c>
      <c r="B282" s="1" t="n">
        <v>45884.50613425926</v>
      </c>
      <c r="C282" s="1" t="n">
        <v>46106</v>
      </c>
      <c r="D282" t="inlineStr">
        <is>
          <t>KALMAR LÄN</t>
        </is>
      </c>
      <c r="E282" t="inlineStr">
        <is>
          <t>VIMMERBY</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13015-2023</t>
        </is>
      </c>
      <c r="B283" s="1" t="n">
        <v>45002</v>
      </c>
      <c r="C283" s="1" t="n">
        <v>46106</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13793-2026</t>
        </is>
      </c>
      <c r="B284" s="1" t="n">
        <v>46097.79199074074</v>
      </c>
      <c r="C284" s="1" t="n">
        <v>46106</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28286-2025</t>
        </is>
      </c>
      <c r="B285" s="1" t="n">
        <v>45818.58993055556</v>
      </c>
      <c r="C285" s="1" t="n">
        <v>46106</v>
      </c>
      <c r="D285" t="inlineStr">
        <is>
          <t>KALMAR LÄN</t>
        </is>
      </c>
      <c r="E285" t="inlineStr">
        <is>
          <t>VIMMERBY</t>
        </is>
      </c>
      <c r="F285" t="inlineStr">
        <is>
          <t>Sveaskog</t>
        </is>
      </c>
      <c r="G285" t="n">
        <v>8</v>
      </c>
      <c r="H285" t="n">
        <v>0</v>
      </c>
      <c r="I285" t="n">
        <v>0</v>
      </c>
      <c r="J285" t="n">
        <v>0</v>
      </c>
      <c r="K285" t="n">
        <v>0</v>
      </c>
      <c r="L285" t="n">
        <v>0</v>
      </c>
      <c r="M285" t="n">
        <v>0</v>
      </c>
      <c r="N285" t="n">
        <v>0</v>
      </c>
      <c r="O285" t="n">
        <v>0</v>
      </c>
      <c r="P285" t="n">
        <v>0</v>
      </c>
      <c r="Q285" t="n">
        <v>0</v>
      </c>
      <c r="R285" s="2" t="inlineStr"/>
    </row>
    <row r="286" ht="15" customHeight="1">
      <c r="A286" t="inlineStr">
        <is>
          <t>A 28282-2025</t>
        </is>
      </c>
      <c r="B286" s="1" t="n">
        <v>45818.58769675926</v>
      </c>
      <c r="C286" s="1" t="n">
        <v>46106</v>
      </c>
      <c r="D286" t="inlineStr">
        <is>
          <t>KALMAR LÄN</t>
        </is>
      </c>
      <c r="E286" t="inlineStr">
        <is>
          <t>VIMMERBY</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29186-2024</t>
        </is>
      </c>
      <c r="B287" s="1" t="n">
        <v>45482.54844907407</v>
      </c>
      <c r="C287" s="1" t="n">
        <v>46106</v>
      </c>
      <c r="D287" t="inlineStr">
        <is>
          <t>KALMAR LÄN</t>
        </is>
      </c>
      <c r="E287" t="inlineStr">
        <is>
          <t>VIMMERBY</t>
        </is>
      </c>
      <c r="G287" t="n">
        <v>2.6</v>
      </c>
      <c r="H287" t="n">
        <v>0</v>
      </c>
      <c r="I287" t="n">
        <v>0</v>
      </c>
      <c r="J287" t="n">
        <v>0</v>
      </c>
      <c r="K287" t="n">
        <v>0</v>
      </c>
      <c r="L287" t="n">
        <v>0</v>
      </c>
      <c r="M287" t="n">
        <v>0</v>
      </c>
      <c r="N287" t="n">
        <v>0</v>
      </c>
      <c r="O287" t="n">
        <v>0</v>
      </c>
      <c r="P287" t="n">
        <v>0</v>
      </c>
      <c r="Q287" t="n">
        <v>0</v>
      </c>
      <c r="R287" s="2" t="inlineStr"/>
    </row>
    <row r="288" ht="15" customHeight="1">
      <c r="A288" t="inlineStr">
        <is>
          <t>A 28294-2025</t>
        </is>
      </c>
      <c r="B288" s="1" t="n">
        <v>45818.595625</v>
      </c>
      <c r="C288" s="1" t="n">
        <v>46106</v>
      </c>
      <c r="D288" t="inlineStr">
        <is>
          <t>KALMAR LÄN</t>
        </is>
      </c>
      <c r="E288" t="inlineStr">
        <is>
          <t>VIMMERBY</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28290-2025</t>
        </is>
      </c>
      <c r="B289" s="1" t="n">
        <v>45818.59261574074</v>
      </c>
      <c r="C289" s="1" t="n">
        <v>46106</v>
      </c>
      <c r="D289" t="inlineStr">
        <is>
          <t>KALMAR LÄN</t>
        </is>
      </c>
      <c r="E289" t="inlineStr">
        <is>
          <t>VIMMERBY</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50993-2022</t>
        </is>
      </c>
      <c r="B290" s="1" t="n">
        <v>44867</v>
      </c>
      <c r="C290" s="1" t="n">
        <v>46106</v>
      </c>
      <c r="D290" t="inlineStr">
        <is>
          <t>KALMAR LÄN</t>
        </is>
      </c>
      <c r="E290" t="inlineStr">
        <is>
          <t>VIMMERBY</t>
        </is>
      </c>
      <c r="G290" t="n">
        <v>1.7</v>
      </c>
      <c r="H290" t="n">
        <v>0</v>
      </c>
      <c r="I290" t="n">
        <v>0</v>
      </c>
      <c r="J290" t="n">
        <v>0</v>
      </c>
      <c r="K290" t="n">
        <v>0</v>
      </c>
      <c r="L290" t="n">
        <v>0</v>
      </c>
      <c r="M290" t="n">
        <v>0</v>
      </c>
      <c r="N290" t="n">
        <v>0</v>
      </c>
      <c r="O290" t="n">
        <v>0</v>
      </c>
      <c r="P290" t="n">
        <v>0</v>
      </c>
      <c r="Q290" t="n">
        <v>0</v>
      </c>
      <c r="R290" s="2" t="inlineStr"/>
    </row>
    <row r="291" ht="15" customHeight="1">
      <c r="A291" t="inlineStr">
        <is>
          <t>A 28280-2025</t>
        </is>
      </c>
      <c r="B291" s="1" t="n">
        <v>45818.5862037037</v>
      </c>
      <c r="C291" s="1" t="n">
        <v>46106</v>
      </c>
      <c r="D291" t="inlineStr">
        <is>
          <t>KALMAR LÄN</t>
        </is>
      </c>
      <c r="E291" t="inlineStr">
        <is>
          <t>VIMMERBY</t>
        </is>
      </c>
      <c r="F291" t="inlineStr">
        <is>
          <t>Sveaskog</t>
        </is>
      </c>
      <c r="G291" t="n">
        <v>1.5</v>
      </c>
      <c r="H291" t="n">
        <v>0</v>
      </c>
      <c r="I291" t="n">
        <v>0</v>
      </c>
      <c r="J291" t="n">
        <v>0</v>
      </c>
      <c r="K291" t="n">
        <v>0</v>
      </c>
      <c r="L291" t="n">
        <v>0</v>
      </c>
      <c r="M291" t="n">
        <v>0</v>
      </c>
      <c r="N291" t="n">
        <v>0</v>
      </c>
      <c r="O291" t="n">
        <v>0</v>
      </c>
      <c r="P291" t="n">
        <v>0</v>
      </c>
      <c r="Q291" t="n">
        <v>0</v>
      </c>
      <c r="R291" s="2" t="inlineStr"/>
    </row>
    <row r="292" ht="15" customHeight="1">
      <c r="A292" t="inlineStr">
        <is>
          <t>A 29726-2025</t>
        </is>
      </c>
      <c r="B292" s="1" t="n">
        <v>45825.57805555555</v>
      </c>
      <c r="C292" s="1" t="n">
        <v>46106</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54787-2023</t>
        </is>
      </c>
      <c r="B293" s="1" t="n">
        <v>45236</v>
      </c>
      <c r="C293" s="1" t="n">
        <v>46106</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28620-2025</t>
        </is>
      </c>
      <c r="B294" s="1" t="n">
        <v>45819.61060185185</v>
      </c>
      <c r="C294" s="1" t="n">
        <v>46106</v>
      </c>
      <c r="D294" t="inlineStr">
        <is>
          <t>KALMAR LÄN</t>
        </is>
      </c>
      <c r="E294" t="inlineStr">
        <is>
          <t>VIMMERBY</t>
        </is>
      </c>
      <c r="G294" t="n">
        <v>5.6</v>
      </c>
      <c r="H294" t="n">
        <v>0</v>
      </c>
      <c r="I294" t="n">
        <v>0</v>
      </c>
      <c r="J294" t="n">
        <v>0</v>
      </c>
      <c r="K294" t="n">
        <v>0</v>
      </c>
      <c r="L294" t="n">
        <v>0</v>
      </c>
      <c r="M294" t="n">
        <v>0</v>
      </c>
      <c r="N294" t="n">
        <v>0</v>
      </c>
      <c r="O294" t="n">
        <v>0</v>
      </c>
      <c r="P294" t="n">
        <v>0</v>
      </c>
      <c r="Q294" t="n">
        <v>0</v>
      </c>
      <c r="R294" s="2" t="inlineStr"/>
    </row>
    <row r="295" ht="15" customHeight="1">
      <c r="A295" t="inlineStr">
        <is>
          <t>A 32614-2023</t>
        </is>
      </c>
      <c r="B295" s="1" t="n">
        <v>45121</v>
      </c>
      <c r="C295" s="1" t="n">
        <v>46106</v>
      </c>
      <c r="D295" t="inlineStr">
        <is>
          <t>KALMAR LÄN</t>
        </is>
      </c>
      <c r="E295" t="inlineStr">
        <is>
          <t>VIMMERBY</t>
        </is>
      </c>
      <c r="G295" t="n">
        <v>0.6</v>
      </c>
      <c r="H295" t="n">
        <v>0</v>
      </c>
      <c r="I295" t="n">
        <v>0</v>
      </c>
      <c r="J295" t="n">
        <v>0</v>
      </c>
      <c r="K295" t="n">
        <v>0</v>
      </c>
      <c r="L295" t="n">
        <v>0</v>
      </c>
      <c r="M295" t="n">
        <v>0</v>
      </c>
      <c r="N295" t="n">
        <v>0</v>
      </c>
      <c r="O295" t="n">
        <v>0</v>
      </c>
      <c r="P295" t="n">
        <v>0</v>
      </c>
      <c r="Q295" t="n">
        <v>0</v>
      </c>
      <c r="R295" s="2" t="inlineStr"/>
    </row>
    <row r="296" ht="15" customHeight="1">
      <c r="A296" t="inlineStr">
        <is>
          <t>A 14320-2026</t>
        </is>
      </c>
      <c r="B296" s="1" t="n">
        <v>46099.88449074074</v>
      </c>
      <c r="C296" s="1" t="n">
        <v>46106</v>
      </c>
      <c r="D296" t="inlineStr">
        <is>
          <t>KALMAR LÄN</t>
        </is>
      </c>
      <c r="E296" t="inlineStr">
        <is>
          <t>VIMMERBY</t>
        </is>
      </c>
      <c r="G296" t="n">
        <v>2.3</v>
      </c>
      <c r="H296" t="n">
        <v>0</v>
      </c>
      <c r="I296" t="n">
        <v>0</v>
      </c>
      <c r="J296" t="n">
        <v>0</v>
      </c>
      <c r="K296" t="n">
        <v>0</v>
      </c>
      <c r="L296" t="n">
        <v>0</v>
      </c>
      <c r="M296" t="n">
        <v>0</v>
      </c>
      <c r="N296" t="n">
        <v>0</v>
      </c>
      <c r="O296" t="n">
        <v>0</v>
      </c>
      <c r="P296" t="n">
        <v>0</v>
      </c>
      <c r="Q296" t="n">
        <v>0</v>
      </c>
      <c r="R296" s="2" t="inlineStr"/>
    </row>
    <row r="297" ht="15" customHeight="1">
      <c r="A297" t="inlineStr">
        <is>
          <t>A 6850-2023</t>
        </is>
      </c>
      <c r="B297" s="1" t="n">
        <v>44967.44255787037</v>
      </c>
      <c r="C297" s="1" t="n">
        <v>46106</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58750-2022</t>
        </is>
      </c>
      <c r="B298" s="1" t="n">
        <v>44903.33363425926</v>
      </c>
      <c r="C298" s="1" t="n">
        <v>46106</v>
      </c>
      <c r="D298" t="inlineStr">
        <is>
          <t>KALMAR LÄN</t>
        </is>
      </c>
      <c r="E298" t="inlineStr">
        <is>
          <t>VIMMERBY</t>
        </is>
      </c>
      <c r="G298" t="n">
        <v>3.3</v>
      </c>
      <c r="H298" t="n">
        <v>0</v>
      </c>
      <c r="I298" t="n">
        <v>0</v>
      </c>
      <c r="J298" t="n">
        <v>0</v>
      </c>
      <c r="K298" t="n">
        <v>0</v>
      </c>
      <c r="L298" t="n">
        <v>0</v>
      </c>
      <c r="M298" t="n">
        <v>0</v>
      </c>
      <c r="N298" t="n">
        <v>0</v>
      </c>
      <c r="O298" t="n">
        <v>0</v>
      </c>
      <c r="P298" t="n">
        <v>0</v>
      </c>
      <c r="Q298" t="n">
        <v>0</v>
      </c>
      <c r="R298" s="2" t="inlineStr"/>
    </row>
    <row r="299" ht="15" customHeight="1">
      <c r="A299" t="inlineStr">
        <is>
          <t>A 41158-2023</t>
        </is>
      </c>
      <c r="B299" s="1" t="n">
        <v>45174.31395833333</v>
      </c>
      <c r="C299" s="1" t="n">
        <v>46106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2510-2023</t>
        </is>
      </c>
      <c r="B300" s="1" t="n">
        <v>44943.57309027778</v>
      </c>
      <c r="C300" s="1" t="n">
        <v>46106</v>
      </c>
      <c r="D300" t="inlineStr">
        <is>
          <t>KALMAR LÄN</t>
        </is>
      </c>
      <c r="E300" t="inlineStr">
        <is>
          <t>VIMMERBY</t>
        </is>
      </c>
      <c r="G300" t="n">
        <v>8.6</v>
      </c>
      <c r="H300" t="n">
        <v>0</v>
      </c>
      <c r="I300" t="n">
        <v>0</v>
      </c>
      <c r="J300" t="n">
        <v>0</v>
      </c>
      <c r="K300" t="n">
        <v>0</v>
      </c>
      <c r="L300" t="n">
        <v>0</v>
      </c>
      <c r="M300" t="n">
        <v>0</v>
      </c>
      <c r="N300" t="n">
        <v>0</v>
      </c>
      <c r="O300" t="n">
        <v>0</v>
      </c>
      <c r="P300" t="n">
        <v>0</v>
      </c>
      <c r="Q300" t="n">
        <v>0</v>
      </c>
      <c r="R300" s="2" t="inlineStr"/>
    </row>
    <row r="301" ht="15" customHeight="1">
      <c r="A301" t="inlineStr">
        <is>
          <t>A 28712-2025</t>
        </is>
      </c>
      <c r="B301" s="1" t="n">
        <v>45820.33708333333</v>
      </c>
      <c r="C301" s="1" t="n">
        <v>46106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28714-2025</t>
        </is>
      </c>
      <c r="B302" s="1" t="n">
        <v>45820.34128472222</v>
      </c>
      <c r="C302" s="1" t="n">
        <v>46106</v>
      </c>
      <c r="D302" t="inlineStr">
        <is>
          <t>KALMAR LÄN</t>
        </is>
      </c>
      <c r="E302" t="inlineStr">
        <is>
          <t>VIMMERBY</t>
        </is>
      </c>
      <c r="G302" t="n">
        <v>1.8</v>
      </c>
      <c r="H302" t="n">
        <v>0</v>
      </c>
      <c r="I302" t="n">
        <v>0</v>
      </c>
      <c r="J302" t="n">
        <v>0</v>
      </c>
      <c r="K302" t="n">
        <v>0</v>
      </c>
      <c r="L302" t="n">
        <v>0</v>
      </c>
      <c r="M302" t="n">
        <v>0</v>
      </c>
      <c r="N302" t="n">
        <v>0</v>
      </c>
      <c r="O302" t="n">
        <v>0</v>
      </c>
      <c r="P302" t="n">
        <v>0</v>
      </c>
      <c r="Q302" t="n">
        <v>0</v>
      </c>
      <c r="R302" s="2" t="inlineStr"/>
    </row>
    <row r="303" ht="15" customHeight="1">
      <c r="A303" t="inlineStr">
        <is>
          <t>A 39801-2025</t>
        </is>
      </c>
      <c r="B303" s="1" t="n">
        <v>45891.50216435185</v>
      </c>
      <c r="C303" s="1" t="n">
        <v>46106</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28713-2025</t>
        </is>
      </c>
      <c r="B304" s="1" t="n">
        <v>45820.33930555556</v>
      </c>
      <c r="C304" s="1" t="n">
        <v>46106</v>
      </c>
      <c r="D304" t="inlineStr">
        <is>
          <t>KALMAR LÄN</t>
        </is>
      </c>
      <c r="E304" t="inlineStr">
        <is>
          <t>VIMMERBY</t>
        </is>
      </c>
      <c r="G304" t="n">
        <v>2.3</v>
      </c>
      <c r="H304" t="n">
        <v>0</v>
      </c>
      <c r="I304" t="n">
        <v>0</v>
      </c>
      <c r="J304" t="n">
        <v>0</v>
      </c>
      <c r="K304" t="n">
        <v>0</v>
      </c>
      <c r="L304" t="n">
        <v>0</v>
      </c>
      <c r="M304" t="n">
        <v>0</v>
      </c>
      <c r="N304" t="n">
        <v>0</v>
      </c>
      <c r="O304" t="n">
        <v>0</v>
      </c>
      <c r="P304" t="n">
        <v>0</v>
      </c>
      <c r="Q304" t="n">
        <v>0</v>
      </c>
      <c r="R304" s="2" t="inlineStr"/>
    </row>
    <row r="305" ht="15" customHeight="1">
      <c r="A305" t="inlineStr">
        <is>
          <t>A 39807-2025</t>
        </is>
      </c>
      <c r="B305" s="1" t="n">
        <v>45891.50986111111</v>
      </c>
      <c r="C305" s="1" t="n">
        <v>46106</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3269-2024</t>
        </is>
      </c>
      <c r="B306" s="1" t="n">
        <v>45317.40372685185</v>
      </c>
      <c r="C306" s="1" t="n">
        <v>46106</v>
      </c>
      <c r="D306" t="inlineStr">
        <is>
          <t>KALMAR LÄN</t>
        </is>
      </c>
      <c r="E306" t="inlineStr">
        <is>
          <t>VIMMERBY</t>
        </is>
      </c>
      <c r="F306" t="inlineStr">
        <is>
          <t>Övriga Aktiebolag</t>
        </is>
      </c>
      <c r="G306" t="n">
        <v>1.7</v>
      </c>
      <c r="H306" t="n">
        <v>0</v>
      </c>
      <c r="I306" t="n">
        <v>0</v>
      </c>
      <c r="J306" t="n">
        <v>0</v>
      </c>
      <c r="K306" t="n">
        <v>0</v>
      </c>
      <c r="L306" t="n">
        <v>0</v>
      </c>
      <c r="M306" t="n">
        <v>0</v>
      </c>
      <c r="N306" t="n">
        <v>0</v>
      </c>
      <c r="O306" t="n">
        <v>0</v>
      </c>
      <c r="P306" t="n">
        <v>0</v>
      </c>
      <c r="Q306" t="n">
        <v>0</v>
      </c>
      <c r="R306" s="2" t="inlineStr"/>
    </row>
    <row r="307" ht="15" customHeight="1">
      <c r="A307" t="inlineStr">
        <is>
          <t>A 39736-2025</t>
        </is>
      </c>
      <c r="B307" s="1" t="n">
        <v>45891</v>
      </c>
      <c r="C307" s="1" t="n">
        <v>46106</v>
      </c>
      <c r="D307" t="inlineStr">
        <is>
          <t>KALMAR LÄN</t>
        </is>
      </c>
      <c r="E307" t="inlineStr">
        <is>
          <t>VIMMERBY</t>
        </is>
      </c>
      <c r="G307" t="n">
        <v>12.8</v>
      </c>
      <c r="H307" t="n">
        <v>0</v>
      </c>
      <c r="I307" t="n">
        <v>0</v>
      </c>
      <c r="J307" t="n">
        <v>0</v>
      </c>
      <c r="K307" t="n">
        <v>0</v>
      </c>
      <c r="L307" t="n">
        <v>0</v>
      </c>
      <c r="M307" t="n">
        <v>0</v>
      </c>
      <c r="N307" t="n">
        <v>0</v>
      </c>
      <c r="O307" t="n">
        <v>0</v>
      </c>
      <c r="P307" t="n">
        <v>0</v>
      </c>
      <c r="Q307" t="n">
        <v>0</v>
      </c>
      <c r="R307" s="2" t="inlineStr"/>
    </row>
    <row r="308" ht="15" customHeight="1">
      <c r="A308" t="inlineStr">
        <is>
          <t>A 48120-2022</t>
        </is>
      </c>
      <c r="B308" s="1" t="n">
        <v>44857.65989583333</v>
      </c>
      <c r="C308" s="1" t="n">
        <v>46106</v>
      </c>
      <c r="D308" t="inlineStr">
        <is>
          <t>KALMAR LÄN</t>
        </is>
      </c>
      <c r="E308" t="inlineStr">
        <is>
          <t>VIMMERBY</t>
        </is>
      </c>
      <c r="G308" t="n">
        <v>1.7</v>
      </c>
      <c r="H308" t="n">
        <v>0</v>
      </c>
      <c r="I308" t="n">
        <v>0</v>
      </c>
      <c r="J308" t="n">
        <v>0</v>
      </c>
      <c r="K308" t="n">
        <v>0</v>
      </c>
      <c r="L308" t="n">
        <v>0</v>
      </c>
      <c r="M308" t="n">
        <v>0</v>
      </c>
      <c r="N308" t="n">
        <v>0</v>
      </c>
      <c r="O308" t="n">
        <v>0</v>
      </c>
      <c r="P308" t="n">
        <v>0</v>
      </c>
      <c r="Q308" t="n">
        <v>0</v>
      </c>
      <c r="R308" s="2" t="inlineStr"/>
    </row>
    <row r="309" ht="15" customHeight="1">
      <c r="A309" t="inlineStr">
        <is>
          <t>A 6368-2023</t>
        </is>
      </c>
      <c r="B309" s="1" t="n">
        <v>44965</v>
      </c>
      <c r="C309" s="1" t="n">
        <v>46106</v>
      </c>
      <c r="D309" t="inlineStr">
        <is>
          <t>KALMAR LÄN</t>
        </is>
      </c>
      <c r="E309" t="inlineStr">
        <is>
          <t>VIMMERBY</t>
        </is>
      </c>
      <c r="G309" t="n">
        <v>1.3</v>
      </c>
      <c r="H309" t="n">
        <v>0</v>
      </c>
      <c r="I309" t="n">
        <v>0</v>
      </c>
      <c r="J309" t="n">
        <v>0</v>
      </c>
      <c r="K309" t="n">
        <v>0</v>
      </c>
      <c r="L309" t="n">
        <v>0</v>
      </c>
      <c r="M309" t="n">
        <v>0</v>
      </c>
      <c r="N309" t="n">
        <v>0</v>
      </c>
      <c r="O309" t="n">
        <v>0</v>
      </c>
      <c r="P309" t="n">
        <v>0</v>
      </c>
      <c r="Q309" t="n">
        <v>0</v>
      </c>
      <c r="R309" s="2" t="inlineStr"/>
    </row>
    <row r="310" ht="15" customHeight="1">
      <c r="A310" t="inlineStr">
        <is>
          <t>A 9416-2024</t>
        </is>
      </c>
      <c r="B310" s="1" t="n">
        <v>45359.44837962963</v>
      </c>
      <c r="C310" s="1" t="n">
        <v>46106</v>
      </c>
      <c r="D310" t="inlineStr">
        <is>
          <t>KALMAR LÄN</t>
        </is>
      </c>
      <c r="E310" t="inlineStr">
        <is>
          <t>VIMMERBY</t>
        </is>
      </c>
      <c r="G310" t="n">
        <v>3.2</v>
      </c>
      <c r="H310" t="n">
        <v>0</v>
      </c>
      <c r="I310" t="n">
        <v>0</v>
      </c>
      <c r="J310" t="n">
        <v>0</v>
      </c>
      <c r="K310" t="n">
        <v>0</v>
      </c>
      <c r="L310" t="n">
        <v>0</v>
      </c>
      <c r="M310" t="n">
        <v>0</v>
      </c>
      <c r="N310" t="n">
        <v>0</v>
      </c>
      <c r="O310" t="n">
        <v>0</v>
      </c>
      <c r="P310" t="n">
        <v>0</v>
      </c>
      <c r="Q310" t="n">
        <v>0</v>
      </c>
      <c r="R310" s="2" t="inlineStr"/>
    </row>
    <row r="311" ht="15" customHeight="1">
      <c r="A311" t="inlineStr">
        <is>
          <t>A 2797-2023</t>
        </is>
      </c>
      <c r="B311" s="1" t="n">
        <v>44944.71386574074</v>
      </c>
      <c r="C311" s="1" t="n">
        <v>46106</v>
      </c>
      <c r="D311" t="inlineStr">
        <is>
          <t>KALMAR LÄN</t>
        </is>
      </c>
      <c r="E311" t="inlineStr">
        <is>
          <t>VIMMERBY</t>
        </is>
      </c>
      <c r="G311" t="n">
        <v>3.4</v>
      </c>
      <c r="H311" t="n">
        <v>0</v>
      </c>
      <c r="I311" t="n">
        <v>0</v>
      </c>
      <c r="J311" t="n">
        <v>0</v>
      </c>
      <c r="K311" t="n">
        <v>0</v>
      </c>
      <c r="L311" t="n">
        <v>0</v>
      </c>
      <c r="M311" t="n">
        <v>0</v>
      </c>
      <c r="N311" t="n">
        <v>0</v>
      </c>
      <c r="O311" t="n">
        <v>0</v>
      </c>
      <c r="P311" t="n">
        <v>0</v>
      </c>
      <c r="Q311" t="n">
        <v>0</v>
      </c>
      <c r="R311" s="2" t="inlineStr"/>
    </row>
    <row r="312" ht="15" customHeight="1">
      <c r="A312" t="inlineStr">
        <is>
          <t>A 2799-2023</t>
        </is>
      </c>
      <c r="B312" s="1" t="n">
        <v>44944.72100694444</v>
      </c>
      <c r="C312" s="1" t="n">
        <v>46106</v>
      </c>
      <c r="D312" t="inlineStr">
        <is>
          <t>KALMAR LÄN</t>
        </is>
      </c>
      <c r="E312" t="inlineStr">
        <is>
          <t>VIMMERBY</t>
        </is>
      </c>
      <c r="G312" t="n">
        <v>1.3</v>
      </c>
      <c r="H312" t="n">
        <v>0</v>
      </c>
      <c r="I312" t="n">
        <v>0</v>
      </c>
      <c r="J312" t="n">
        <v>0</v>
      </c>
      <c r="K312" t="n">
        <v>0</v>
      </c>
      <c r="L312" t="n">
        <v>0</v>
      </c>
      <c r="M312" t="n">
        <v>0</v>
      </c>
      <c r="N312" t="n">
        <v>0</v>
      </c>
      <c r="O312" t="n">
        <v>0</v>
      </c>
      <c r="P312" t="n">
        <v>0</v>
      </c>
      <c r="Q312" t="n">
        <v>0</v>
      </c>
      <c r="R312" s="2" t="inlineStr"/>
    </row>
    <row r="313" ht="15" customHeight="1">
      <c r="A313" t="inlineStr">
        <is>
          <t>A 39803-2025</t>
        </is>
      </c>
      <c r="B313" s="1" t="n">
        <v>45891.50525462963</v>
      </c>
      <c r="C313" s="1" t="n">
        <v>46106</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29737-2025</t>
        </is>
      </c>
      <c r="B314" s="1" t="n">
        <v>45825.58672453704</v>
      </c>
      <c r="C314" s="1" t="n">
        <v>46106</v>
      </c>
      <c r="D314" t="inlineStr">
        <is>
          <t>KALMAR LÄN</t>
        </is>
      </c>
      <c r="E314" t="inlineStr">
        <is>
          <t>VIMMERBY</t>
        </is>
      </c>
      <c r="G314" t="n">
        <v>1.2</v>
      </c>
      <c r="H314" t="n">
        <v>0</v>
      </c>
      <c r="I314" t="n">
        <v>0</v>
      </c>
      <c r="J314" t="n">
        <v>0</v>
      </c>
      <c r="K314" t="n">
        <v>0</v>
      </c>
      <c r="L314" t="n">
        <v>0</v>
      </c>
      <c r="M314" t="n">
        <v>0</v>
      </c>
      <c r="N314" t="n">
        <v>0</v>
      </c>
      <c r="O314" t="n">
        <v>0</v>
      </c>
      <c r="P314" t="n">
        <v>0</v>
      </c>
      <c r="Q314" t="n">
        <v>0</v>
      </c>
      <c r="R314" s="2" t="inlineStr"/>
    </row>
    <row r="315" ht="15" customHeight="1">
      <c r="A315" t="inlineStr">
        <is>
          <t>A 25987-2024</t>
        </is>
      </c>
      <c r="B315" s="1" t="n">
        <v>45467.74417824074</v>
      </c>
      <c r="C315" s="1" t="n">
        <v>46106</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39889-2025</t>
        </is>
      </c>
      <c r="B316" s="1" t="n">
        <v>45891</v>
      </c>
      <c r="C316" s="1" t="n">
        <v>46106</v>
      </c>
      <c r="D316" t="inlineStr">
        <is>
          <t>KALMAR LÄN</t>
        </is>
      </c>
      <c r="E316" t="inlineStr">
        <is>
          <t>VIMMERBY</t>
        </is>
      </c>
      <c r="G316" t="n">
        <v>4.5</v>
      </c>
      <c r="H316" t="n">
        <v>0</v>
      </c>
      <c r="I316" t="n">
        <v>0</v>
      </c>
      <c r="J316" t="n">
        <v>0</v>
      </c>
      <c r="K316" t="n">
        <v>0</v>
      </c>
      <c r="L316" t="n">
        <v>0</v>
      </c>
      <c r="M316" t="n">
        <v>0</v>
      </c>
      <c r="N316" t="n">
        <v>0</v>
      </c>
      <c r="O316" t="n">
        <v>0</v>
      </c>
      <c r="P316" t="n">
        <v>0</v>
      </c>
      <c r="Q316" t="n">
        <v>0</v>
      </c>
      <c r="R316" s="2" t="inlineStr"/>
    </row>
    <row r="317" ht="15" customHeight="1">
      <c r="A317" t="inlineStr">
        <is>
          <t>A 22194-2024</t>
        </is>
      </c>
      <c r="B317" s="1" t="n">
        <v>45446.36482638889</v>
      </c>
      <c r="C317" s="1" t="n">
        <v>46106</v>
      </c>
      <c r="D317" t="inlineStr">
        <is>
          <t>KALMAR LÄN</t>
        </is>
      </c>
      <c r="E317" t="inlineStr">
        <is>
          <t>VIMMERBY</t>
        </is>
      </c>
      <c r="F317" t="inlineStr">
        <is>
          <t>Sveaskog</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29727-2025</t>
        </is>
      </c>
      <c r="B318" s="1" t="n">
        <v>45825.5796875</v>
      </c>
      <c r="C318" s="1" t="n">
        <v>46106</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19865-2021</t>
        </is>
      </c>
      <c r="B319" s="1" t="n">
        <v>44312</v>
      </c>
      <c r="C319" s="1" t="n">
        <v>46106</v>
      </c>
      <c r="D319" t="inlineStr">
        <is>
          <t>KALMAR LÄN</t>
        </is>
      </c>
      <c r="E319" t="inlineStr">
        <is>
          <t>VIMMERBY</t>
        </is>
      </c>
      <c r="G319" t="n">
        <v>8.6</v>
      </c>
      <c r="H319" t="n">
        <v>0</v>
      </c>
      <c r="I319" t="n">
        <v>0</v>
      </c>
      <c r="J319" t="n">
        <v>0</v>
      </c>
      <c r="K319" t="n">
        <v>0</v>
      </c>
      <c r="L319" t="n">
        <v>0</v>
      </c>
      <c r="M319" t="n">
        <v>0</v>
      </c>
      <c r="N319" t="n">
        <v>0</v>
      </c>
      <c r="O319" t="n">
        <v>0</v>
      </c>
      <c r="P319" t="n">
        <v>0</v>
      </c>
      <c r="Q319" t="n">
        <v>0</v>
      </c>
      <c r="R319" s="2" t="inlineStr"/>
    </row>
    <row r="320" ht="15" customHeight="1">
      <c r="A320" t="inlineStr">
        <is>
          <t>A 12630-2023</t>
        </is>
      </c>
      <c r="B320" s="1" t="n">
        <v>45000.47998842593</v>
      </c>
      <c r="C320" s="1" t="n">
        <v>46106</v>
      </c>
      <c r="D320" t="inlineStr">
        <is>
          <t>KALMAR LÄN</t>
        </is>
      </c>
      <c r="E320" t="inlineStr">
        <is>
          <t>VIMMERBY</t>
        </is>
      </c>
      <c r="G320" t="n">
        <v>2.1</v>
      </c>
      <c r="H320" t="n">
        <v>0</v>
      </c>
      <c r="I320" t="n">
        <v>0</v>
      </c>
      <c r="J320" t="n">
        <v>0</v>
      </c>
      <c r="K320" t="n">
        <v>0</v>
      </c>
      <c r="L320" t="n">
        <v>0</v>
      </c>
      <c r="M320" t="n">
        <v>0</v>
      </c>
      <c r="N320" t="n">
        <v>0</v>
      </c>
      <c r="O320" t="n">
        <v>0</v>
      </c>
      <c r="P320" t="n">
        <v>0</v>
      </c>
      <c r="Q320" t="n">
        <v>0</v>
      </c>
      <c r="R320" s="2" t="inlineStr"/>
    </row>
    <row r="321" ht="15" customHeight="1">
      <c r="A321" t="inlineStr">
        <is>
          <t>A 21109-2024</t>
        </is>
      </c>
      <c r="B321" s="1" t="n">
        <v>45440.28329861111</v>
      </c>
      <c r="C321" s="1" t="n">
        <v>46106</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30634-2024</t>
        </is>
      </c>
      <c r="B322" s="1" t="n">
        <v>45495</v>
      </c>
      <c r="C322" s="1" t="n">
        <v>46106</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40260-2024</t>
        </is>
      </c>
      <c r="B323" s="1" t="n">
        <v>45554.63225694445</v>
      </c>
      <c r="C323" s="1" t="n">
        <v>46106</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40925-2025</t>
        </is>
      </c>
      <c r="B324" s="1" t="n">
        <v>45897.64208333333</v>
      </c>
      <c r="C324" s="1" t="n">
        <v>46106</v>
      </c>
      <c r="D324" t="inlineStr">
        <is>
          <t>KALMAR LÄN</t>
        </is>
      </c>
      <c r="E324" t="inlineStr">
        <is>
          <t>VIMMERBY</t>
        </is>
      </c>
      <c r="G324" t="n">
        <v>1.9</v>
      </c>
      <c r="H324" t="n">
        <v>0</v>
      </c>
      <c r="I324" t="n">
        <v>0</v>
      </c>
      <c r="J324" t="n">
        <v>0</v>
      </c>
      <c r="K324" t="n">
        <v>0</v>
      </c>
      <c r="L324" t="n">
        <v>0</v>
      </c>
      <c r="M324" t="n">
        <v>0</v>
      </c>
      <c r="N324" t="n">
        <v>0</v>
      </c>
      <c r="O324" t="n">
        <v>0</v>
      </c>
      <c r="P324" t="n">
        <v>0</v>
      </c>
      <c r="Q324" t="n">
        <v>0</v>
      </c>
      <c r="R324" s="2" t="inlineStr"/>
    </row>
    <row r="325" ht="15" customHeight="1">
      <c r="A325" t="inlineStr">
        <is>
          <t>A 59943-2023</t>
        </is>
      </c>
      <c r="B325" s="1" t="n">
        <v>45257.67958333333</v>
      </c>
      <c r="C325" s="1" t="n">
        <v>46106</v>
      </c>
      <c r="D325" t="inlineStr">
        <is>
          <t>KALMAR LÄN</t>
        </is>
      </c>
      <c r="E325" t="inlineStr">
        <is>
          <t>VIMMERBY</t>
        </is>
      </c>
      <c r="G325" t="n">
        <v>6.4</v>
      </c>
      <c r="H325" t="n">
        <v>0</v>
      </c>
      <c r="I325" t="n">
        <v>0</v>
      </c>
      <c r="J325" t="n">
        <v>0</v>
      </c>
      <c r="K325" t="n">
        <v>0</v>
      </c>
      <c r="L325" t="n">
        <v>0</v>
      </c>
      <c r="M325" t="n">
        <v>0</v>
      </c>
      <c r="N325" t="n">
        <v>0</v>
      </c>
      <c r="O325" t="n">
        <v>0</v>
      </c>
      <c r="P325" t="n">
        <v>0</v>
      </c>
      <c r="Q325" t="n">
        <v>0</v>
      </c>
      <c r="R325" s="2" t="inlineStr"/>
    </row>
    <row r="326" ht="15" customHeight="1">
      <c r="A326" t="inlineStr">
        <is>
          <t>A 40921-2025</t>
        </is>
      </c>
      <c r="B326" s="1" t="n">
        <v>45897.63520833333</v>
      </c>
      <c r="C326" s="1" t="n">
        <v>46106</v>
      </c>
      <c r="D326" t="inlineStr">
        <is>
          <t>KALMAR LÄN</t>
        </is>
      </c>
      <c r="E326" t="inlineStr">
        <is>
          <t>VIMMERBY</t>
        </is>
      </c>
      <c r="G326" t="n">
        <v>4.2</v>
      </c>
      <c r="H326" t="n">
        <v>0</v>
      </c>
      <c r="I326" t="n">
        <v>0</v>
      </c>
      <c r="J326" t="n">
        <v>0</v>
      </c>
      <c r="K326" t="n">
        <v>0</v>
      </c>
      <c r="L326" t="n">
        <v>0</v>
      </c>
      <c r="M326" t="n">
        <v>0</v>
      </c>
      <c r="N326" t="n">
        <v>0</v>
      </c>
      <c r="O326" t="n">
        <v>0</v>
      </c>
      <c r="P326" t="n">
        <v>0</v>
      </c>
      <c r="Q326" t="n">
        <v>0</v>
      </c>
      <c r="R326" s="2" t="inlineStr"/>
    </row>
    <row r="327" ht="15" customHeight="1">
      <c r="A327" t="inlineStr">
        <is>
          <t>A 30293-2025</t>
        </is>
      </c>
      <c r="B327" s="1" t="n">
        <v>45827</v>
      </c>
      <c r="C327" s="1" t="n">
        <v>46106</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30290-2025</t>
        </is>
      </c>
      <c r="B328" s="1" t="n">
        <v>45827</v>
      </c>
      <c r="C328" s="1" t="n">
        <v>46106</v>
      </c>
      <c r="D328" t="inlineStr">
        <is>
          <t>KALMAR LÄN</t>
        </is>
      </c>
      <c r="E328" t="inlineStr">
        <is>
          <t>VIMMERBY</t>
        </is>
      </c>
      <c r="G328" t="n">
        <v>1</v>
      </c>
      <c r="H328" t="n">
        <v>0</v>
      </c>
      <c r="I328" t="n">
        <v>0</v>
      </c>
      <c r="J328" t="n">
        <v>0</v>
      </c>
      <c r="K328" t="n">
        <v>0</v>
      </c>
      <c r="L328" t="n">
        <v>0</v>
      </c>
      <c r="M328" t="n">
        <v>0</v>
      </c>
      <c r="N328" t="n">
        <v>0</v>
      </c>
      <c r="O328" t="n">
        <v>0</v>
      </c>
      <c r="P328" t="n">
        <v>0</v>
      </c>
      <c r="Q328" t="n">
        <v>0</v>
      </c>
      <c r="R328" s="2" t="inlineStr"/>
    </row>
    <row r="329" ht="15" customHeight="1">
      <c r="A329" t="inlineStr">
        <is>
          <t>A 5527-2022</t>
        </is>
      </c>
      <c r="B329" s="1" t="n">
        <v>44595.583125</v>
      </c>
      <c r="C329" s="1" t="n">
        <v>46106</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12325-2023</t>
        </is>
      </c>
      <c r="B330" s="1" t="n">
        <v>44999.35858796296</v>
      </c>
      <c r="C330" s="1" t="n">
        <v>46106</v>
      </c>
      <c r="D330" t="inlineStr">
        <is>
          <t>KALMAR LÄN</t>
        </is>
      </c>
      <c r="E330" t="inlineStr">
        <is>
          <t>VIMMERBY</t>
        </is>
      </c>
      <c r="G330" t="n">
        <v>3.4</v>
      </c>
      <c r="H330" t="n">
        <v>0</v>
      </c>
      <c r="I330" t="n">
        <v>0</v>
      </c>
      <c r="J330" t="n">
        <v>0</v>
      </c>
      <c r="K330" t="n">
        <v>0</v>
      </c>
      <c r="L330" t="n">
        <v>0</v>
      </c>
      <c r="M330" t="n">
        <v>0</v>
      </c>
      <c r="N330" t="n">
        <v>0</v>
      </c>
      <c r="O330" t="n">
        <v>0</v>
      </c>
      <c r="P330" t="n">
        <v>0</v>
      </c>
      <c r="Q330" t="n">
        <v>0</v>
      </c>
      <c r="R330" s="2" t="inlineStr"/>
    </row>
    <row r="331" ht="15" customHeight="1">
      <c r="A331" t="inlineStr">
        <is>
          <t>A 14318-2026</t>
        </is>
      </c>
      <c r="B331" s="1" t="n">
        <v>46099.87961805556</v>
      </c>
      <c r="C331" s="1" t="n">
        <v>46106</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1016-2024</t>
        </is>
      </c>
      <c r="B332" s="1" t="n">
        <v>45301</v>
      </c>
      <c r="C332" s="1" t="n">
        <v>46106</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41224-2025</t>
        </is>
      </c>
      <c r="B333" s="1" t="n">
        <v>45898.58861111111</v>
      </c>
      <c r="C333" s="1" t="n">
        <v>46106</v>
      </c>
      <c r="D333" t="inlineStr">
        <is>
          <t>KALMAR LÄN</t>
        </is>
      </c>
      <c r="E333" t="inlineStr">
        <is>
          <t>VIMMERBY</t>
        </is>
      </c>
      <c r="G333" t="n">
        <v>4.4</v>
      </c>
      <c r="H333" t="n">
        <v>0</v>
      </c>
      <c r="I333" t="n">
        <v>0</v>
      </c>
      <c r="J333" t="n">
        <v>0</v>
      </c>
      <c r="K333" t="n">
        <v>0</v>
      </c>
      <c r="L333" t="n">
        <v>0</v>
      </c>
      <c r="M333" t="n">
        <v>0</v>
      </c>
      <c r="N333" t="n">
        <v>0</v>
      </c>
      <c r="O333" t="n">
        <v>0</v>
      </c>
      <c r="P333" t="n">
        <v>0</v>
      </c>
      <c r="Q333" t="n">
        <v>0</v>
      </c>
      <c r="R333" s="2" t="inlineStr"/>
    </row>
    <row r="334" ht="15" customHeight="1">
      <c r="A334" t="inlineStr">
        <is>
          <t>A 30850-2025</t>
        </is>
      </c>
      <c r="B334" s="1" t="n">
        <v>45831</v>
      </c>
      <c r="C334" s="1" t="n">
        <v>46106</v>
      </c>
      <c r="D334" t="inlineStr">
        <is>
          <t>KALMAR LÄN</t>
        </is>
      </c>
      <c r="E334" t="inlineStr">
        <is>
          <t>VIMMERBY</t>
        </is>
      </c>
      <c r="G334" t="n">
        <v>2.7</v>
      </c>
      <c r="H334" t="n">
        <v>0</v>
      </c>
      <c r="I334" t="n">
        <v>0</v>
      </c>
      <c r="J334" t="n">
        <v>0</v>
      </c>
      <c r="K334" t="n">
        <v>0</v>
      </c>
      <c r="L334" t="n">
        <v>0</v>
      </c>
      <c r="M334" t="n">
        <v>0</v>
      </c>
      <c r="N334" t="n">
        <v>0</v>
      </c>
      <c r="O334" t="n">
        <v>0</v>
      </c>
      <c r="P334" t="n">
        <v>0</v>
      </c>
      <c r="Q334" t="n">
        <v>0</v>
      </c>
      <c r="R334" s="2" t="inlineStr"/>
    </row>
    <row r="335" ht="15" customHeight="1">
      <c r="A335" t="inlineStr">
        <is>
          <t>A 41591-2025</t>
        </is>
      </c>
      <c r="B335" s="1" t="n">
        <v>45901.6327662037</v>
      </c>
      <c r="C335" s="1" t="n">
        <v>46106</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40971-2025</t>
        </is>
      </c>
      <c r="B336" s="1" t="n">
        <v>45897.88836805556</v>
      </c>
      <c r="C336" s="1" t="n">
        <v>46106</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33681-2022</t>
        </is>
      </c>
      <c r="B337" s="1" t="n">
        <v>44789</v>
      </c>
      <c r="C337" s="1" t="n">
        <v>46106</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41589-2025</t>
        </is>
      </c>
      <c r="B338" s="1" t="n">
        <v>45901.63219907408</v>
      </c>
      <c r="C338" s="1" t="n">
        <v>46106</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40970-2025</t>
        </is>
      </c>
      <c r="B339" s="1" t="n">
        <v>45897.88706018519</v>
      </c>
      <c r="C339" s="1" t="n">
        <v>46106</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40973-2025</t>
        </is>
      </c>
      <c r="B340" s="1" t="n">
        <v>45897.89737268518</v>
      </c>
      <c r="C340" s="1" t="n">
        <v>46106</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34090-2025</t>
        </is>
      </c>
      <c r="B341" s="1" t="n">
        <v>45845</v>
      </c>
      <c r="C341" s="1" t="n">
        <v>46106</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31552-2025</t>
        </is>
      </c>
      <c r="B342" s="1" t="n">
        <v>45833.64563657407</v>
      </c>
      <c r="C342" s="1" t="n">
        <v>46106</v>
      </c>
      <c r="D342" t="inlineStr">
        <is>
          <t>KALMAR LÄN</t>
        </is>
      </c>
      <c r="E342" t="inlineStr">
        <is>
          <t>VIMMERBY</t>
        </is>
      </c>
      <c r="G342" t="n">
        <v>1.7</v>
      </c>
      <c r="H342" t="n">
        <v>0</v>
      </c>
      <c r="I342" t="n">
        <v>0</v>
      </c>
      <c r="J342" t="n">
        <v>0</v>
      </c>
      <c r="K342" t="n">
        <v>0</v>
      </c>
      <c r="L342" t="n">
        <v>0</v>
      </c>
      <c r="M342" t="n">
        <v>0</v>
      </c>
      <c r="N342" t="n">
        <v>0</v>
      </c>
      <c r="O342" t="n">
        <v>0</v>
      </c>
      <c r="P342" t="n">
        <v>0</v>
      </c>
      <c r="Q342" t="n">
        <v>0</v>
      </c>
      <c r="R342" s="2" t="inlineStr"/>
    </row>
    <row r="343" ht="15" customHeight="1">
      <c r="A343" t="inlineStr">
        <is>
          <t>A 31555-2025</t>
        </is>
      </c>
      <c r="B343" s="1" t="n">
        <v>45833.64814814815</v>
      </c>
      <c r="C343" s="1" t="n">
        <v>46106</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30971-2025</t>
        </is>
      </c>
      <c r="B344" s="1" t="n">
        <v>45832.46146990741</v>
      </c>
      <c r="C344" s="1" t="n">
        <v>46106</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31551-2025</t>
        </is>
      </c>
      <c r="B345" s="1" t="n">
        <v>45833.64237268519</v>
      </c>
      <c r="C345" s="1" t="n">
        <v>46106</v>
      </c>
      <c r="D345" t="inlineStr">
        <is>
          <t>KALMAR LÄN</t>
        </is>
      </c>
      <c r="E345" t="inlineStr">
        <is>
          <t>VIMMERBY</t>
        </is>
      </c>
      <c r="G345" t="n">
        <v>1.9</v>
      </c>
      <c r="H345" t="n">
        <v>0</v>
      </c>
      <c r="I345" t="n">
        <v>0</v>
      </c>
      <c r="J345" t="n">
        <v>0</v>
      </c>
      <c r="K345" t="n">
        <v>0</v>
      </c>
      <c r="L345" t="n">
        <v>0</v>
      </c>
      <c r="M345" t="n">
        <v>0</v>
      </c>
      <c r="N345" t="n">
        <v>0</v>
      </c>
      <c r="O345" t="n">
        <v>0</v>
      </c>
      <c r="P345" t="n">
        <v>0</v>
      </c>
      <c r="Q345" t="n">
        <v>0</v>
      </c>
      <c r="R345" s="2" t="inlineStr"/>
    </row>
    <row r="346" ht="15" customHeight="1">
      <c r="A346" t="inlineStr">
        <is>
          <t>A 5074-2023</t>
        </is>
      </c>
      <c r="B346" s="1" t="n">
        <v>44958.61047453704</v>
      </c>
      <c r="C346" s="1" t="n">
        <v>46106</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51187-2023</t>
        </is>
      </c>
      <c r="B347" s="1" t="n">
        <v>45219.40528935185</v>
      </c>
      <c r="C347" s="1" t="n">
        <v>46106</v>
      </c>
      <c r="D347" t="inlineStr">
        <is>
          <t>KALMAR LÄN</t>
        </is>
      </c>
      <c r="E347" t="inlineStr">
        <is>
          <t>VIMMERBY</t>
        </is>
      </c>
      <c r="G347" t="n">
        <v>0.6</v>
      </c>
      <c r="H347" t="n">
        <v>0</v>
      </c>
      <c r="I347" t="n">
        <v>0</v>
      </c>
      <c r="J347" t="n">
        <v>0</v>
      </c>
      <c r="K347" t="n">
        <v>0</v>
      </c>
      <c r="L347" t="n">
        <v>0</v>
      </c>
      <c r="M347" t="n">
        <v>0</v>
      </c>
      <c r="N347" t="n">
        <v>0</v>
      </c>
      <c r="O347" t="n">
        <v>0</v>
      </c>
      <c r="P347" t="n">
        <v>0</v>
      </c>
      <c r="Q347" t="n">
        <v>0</v>
      </c>
      <c r="R347" s="2" t="inlineStr"/>
    </row>
    <row r="348" ht="15" customHeight="1">
      <c r="A348" t="inlineStr">
        <is>
          <t>A 30882-2025</t>
        </is>
      </c>
      <c r="B348" s="1" t="n">
        <v>45832.34540509259</v>
      </c>
      <c r="C348" s="1" t="n">
        <v>46106</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31872-2025</t>
        </is>
      </c>
      <c r="B349" s="1" t="n">
        <v>45834.65040509259</v>
      </c>
      <c r="C349" s="1" t="n">
        <v>46106</v>
      </c>
      <c r="D349" t="inlineStr">
        <is>
          <t>KALMAR LÄN</t>
        </is>
      </c>
      <c r="E349" t="inlineStr">
        <is>
          <t>VIMMERBY</t>
        </is>
      </c>
      <c r="F349" t="inlineStr">
        <is>
          <t>Sveaskog</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15715-2022</t>
        </is>
      </c>
      <c r="B350" s="1" t="n">
        <v>44663</v>
      </c>
      <c r="C350" s="1" t="n">
        <v>46106</v>
      </c>
      <c r="D350" t="inlineStr">
        <is>
          <t>KALMAR LÄN</t>
        </is>
      </c>
      <c r="E350" t="inlineStr">
        <is>
          <t>VIMMERBY</t>
        </is>
      </c>
      <c r="G350" t="n">
        <v>2.3</v>
      </c>
      <c r="H350" t="n">
        <v>0</v>
      </c>
      <c r="I350" t="n">
        <v>0</v>
      </c>
      <c r="J350" t="n">
        <v>0</v>
      </c>
      <c r="K350" t="n">
        <v>0</v>
      </c>
      <c r="L350" t="n">
        <v>0</v>
      </c>
      <c r="M350" t="n">
        <v>0</v>
      </c>
      <c r="N350" t="n">
        <v>0</v>
      </c>
      <c r="O350" t="n">
        <v>0</v>
      </c>
      <c r="P350" t="n">
        <v>0</v>
      </c>
      <c r="Q350" t="n">
        <v>0</v>
      </c>
      <c r="R350" s="2" t="inlineStr"/>
    </row>
    <row r="351" ht="15" customHeight="1">
      <c r="A351" t="inlineStr">
        <is>
          <t>A 43093-2024</t>
        </is>
      </c>
      <c r="B351" s="1" t="n">
        <v>45567</v>
      </c>
      <c r="C351" s="1" t="n">
        <v>46106</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56022-2024</t>
        </is>
      </c>
      <c r="B352" s="1" t="n">
        <v>45623.95947916667</v>
      </c>
      <c r="C352" s="1" t="n">
        <v>46106</v>
      </c>
      <c r="D352" t="inlineStr">
        <is>
          <t>KALMAR LÄN</t>
        </is>
      </c>
      <c r="E352" t="inlineStr">
        <is>
          <t>VIMMERBY</t>
        </is>
      </c>
      <c r="G352" t="n">
        <v>0.3</v>
      </c>
      <c r="H352" t="n">
        <v>0</v>
      </c>
      <c r="I352" t="n">
        <v>0</v>
      </c>
      <c r="J352" t="n">
        <v>0</v>
      </c>
      <c r="K352" t="n">
        <v>0</v>
      </c>
      <c r="L352" t="n">
        <v>0</v>
      </c>
      <c r="M352" t="n">
        <v>0</v>
      </c>
      <c r="N352" t="n">
        <v>0</v>
      </c>
      <c r="O352" t="n">
        <v>0</v>
      </c>
      <c r="P352" t="n">
        <v>0</v>
      </c>
      <c r="Q352" t="n">
        <v>0</v>
      </c>
      <c r="R352" s="2" t="inlineStr"/>
    </row>
    <row r="353" ht="15" customHeight="1">
      <c r="A353" t="inlineStr">
        <is>
          <t>A 8559-2025</t>
        </is>
      </c>
      <c r="B353" s="1" t="n">
        <v>45709.62280092593</v>
      </c>
      <c r="C353" s="1" t="n">
        <v>46106</v>
      </c>
      <c r="D353" t="inlineStr">
        <is>
          <t>KALMAR LÄN</t>
        </is>
      </c>
      <c r="E353" t="inlineStr">
        <is>
          <t>VIMMERBY</t>
        </is>
      </c>
      <c r="G353" t="n">
        <v>8.9</v>
      </c>
      <c r="H353" t="n">
        <v>0</v>
      </c>
      <c r="I353" t="n">
        <v>0</v>
      </c>
      <c r="J353" t="n">
        <v>0</v>
      </c>
      <c r="K353" t="n">
        <v>0</v>
      </c>
      <c r="L353" t="n">
        <v>0</v>
      </c>
      <c r="M353" t="n">
        <v>0</v>
      </c>
      <c r="N353" t="n">
        <v>0</v>
      </c>
      <c r="O353" t="n">
        <v>0</v>
      </c>
      <c r="P353" t="n">
        <v>0</v>
      </c>
      <c r="Q353" t="n">
        <v>0</v>
      </c>
      <c r="R353" s="2" t="inlineStr"/>
    </row>
    <row r="354" ht="15" customHeight="1">
      <c r="A354" t="inlineStr">
        <is>
          <t>A 41735-2025</t>
        </is>
      </c>
      <c r="B354" s="1" t="n">
        <v>45902.47164351852</v>
      </c>
      <c r="C354" s="1" t="n">
        <v>46106</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32064-2025</t>
        </is>
      </c>
      <c r="B355" s="1" t="n">
        <v>45835.44709490741</v>
      </c>
      <c r="C355" s="1" t="n">
        <v>46106</v>
      </c>
      <c r="D355" t="inlineStr">
        <is>
          <t>KALMAR LÄN</t>
        </is>
      </c>
      <c r="E355" t="inlineStr">
        <is>
          <t>VIMMERBY</t>
        </is>
      </c>
      <c r="G355" t="n">
        <v>2.6</v>
      </c>
      <c r="H355" t="n">
        <v>0</v>
      </c>
      <c r="I355" t="n">
        <v>0</v>
      </c>
      <c r="J355" t="n">
        <v>0</v>
      </c>
      <c r="K355" t="n">
        <v>0</v>
      </c>
      <c r="L355" t="n">
        <v>0</v>
      </c>
      <c r="M355" t="n">
        <v>0</v>
      </c>
      <c r="N355" t="n">
        <v>0</v>
      </c>
      <c r="O355" t="n">
        <v>0</v>
      </c>
      <c r="P355" t="n">
        <v>0</v>
      </c>
      <c r="Q355" t="n">
        <v>0</v>
      </c>
      <c r="R355" s="2" t="inlineStr"/>
    </row>
    <row r="356" ht="15" customHeight="1">
      <c r="A356" t="inlineStr">
        <is>
          <t>A 32109-2025</t>
        </is>
      </c>
      <c r="B356" s="1" t="n">
        <v>45835.48267361111</v>
      </c>
      <c r="C356" s="1" t="n">
        <v>46106</v>
      </c>
      <c r="D356" t="inlineStr">
        <is>
          <t>KALMAR LÄN</t>
        </is>
      </c>
      <c r="E356" t="inlineStr">
        <is>
          <t>VIMMERBY</t>
        </is>
      </c>
      <c r="G356" t="n">
        <v>2.5</v>
      </c>
      <c r="H356" t="n">
        <v>0</v>
      </c>
      <c r="I356" t="n">
        <v>0</v>
      </c>
      <c r="J356" t="n">
        <v>0</v>
      </c>
      <c r="K356" t="n">
        <v>0</v>
      </c>
      <c r="L356" t="n">
        <v>0</v>
      </c>
      <c r="M356" t="n">
        <v>0</v>
      </c>
      <c r="N356" t="n">
        <v>0</v>
      </c>
      <c r="O356" t="n">
        <v>0</v>
      </c>
      <c r="P356" t="n">
        <v>0</v>
      </c>
      <c r="Q356" t="n">
        <v>0</v>
      </c>
      <c r="R356" s="2" t="inlineStr"/>
    </row>
    <row r="357" ht="15" customHeight="1">
      <c r="A357" t="inlineStr">
        <is>
          <t>A 32113-2025</t>
        </is>
      </c>
      <c r="B357" s="1" t="n">
        <v>45835.48445601852</v>
      </c>
      <c r="C357" s="1" t="n">
        <v>46106</v>
      </c>
      <c r="D357" t="inlineStr">
        <is>
          <t>KALMAR LÄN</t>
        </is>
      </c>
      <c r="E357" t="inlineStr">
        <is>
          <t>VIMMERBY</t>
        </is>
      </c>
      <c r="G357" t="n">
        <v>3.5</v>
      </c>
      <c r="H357" t="n">
        <v>0</v>
      </c>
      <c r="I357" t="n">
        <v>0</v>
      </c>
      <c r="J357" t="n">
        <v>0</v>
      </c>
      <c r="K357" t="n">
        <v>0</v>
      </c>
      <c r="L357" t="n">
        <v>0</v>
      </c>
      <c r="M357" t="n">
        <v>0</v>
      </c>
      <c r="N357" t="n">
        <v>0</v>
      </c>
      <c r="O357" t="n">
        <v>0</v>
      </c>
      <c r="P357" t="n">
        <v>0</v>
      </c>
      <c r="Q357" t="n">
        <v>0</v>
      </c>
      <c r="R357" s="2" t="inlineStr"/>
    </row>
    <row r="358" ht="15" customHeight="1">
      <c r="A358" t="inlineStr">
        <is>
          <t>A 32116-2025</t>
        </is>
      </c>
      <c r="B358" s="1" t="n">
        <v>45835.48862268519</v>
      </c>
      <c r="C358" s="1" t="n">
        <v>46106</v>
      </c>
      <c r="D358" t="inlineStr">
        <is>
          <t>KALMAR LÄN</t>
        </is>
      </c>
      <c r="E358" t="inlineStr">
        <is>
          <t>VIMMERBY</t>
        </is>
      </c>
      <c r="G358" t="n">
        <v>0.9</v>
      </c>
      <c r="H358" t="n">
        <v>0</v>
      </c>
      <c r="I358" t="n">
        <v>0</v>
      </c>
      <c r="J358" t="n">
        <v>0</v>
      </c>
      <c r="K358" t="n">
        <v>0</v>
      </c>
      <c r="L358" t="n">
        <v>0</v>
      </c>
      <c r="M358" t="n">
        <v>0</v>
      </c>
      <c r="N358" t="n">
        <v>0</v>
      </c>
      <c r="O358" t="n">
        <v>0</v>
      </c>
      <c r="P358" t="n">
        <v>0</v>
      </c>
      <c r="Q358" t="n">
        <v>0</v>
      </c>
      <c r="R358" s="2" t="inlineStr"/>
    </row>
    <row r="359" ht="15" customHeight="1">
      <c r="A359" t="inlineStr">
        <is>
          <t>A 15205-2026</t>
        </is>
      </c>
      <c r="B359" s="1" t="n">
        <v>46105.48628472222</v>
      </c>
      <c r="C359" s="1" t="n">
        <v>46106</v>
      </c>
      <c r="D359" t="inlineStr">
        <is>
          <t>KALMAR LÄN</t>
        </is>
      </c>
      <c r="E359" t="inlineStr">
        <is>
          <t>VIMMERBY</t>
        </is>
      </c>
      <c r="G359" t="n">
        <v>2.1</v>
      </c>
      <c r="H359" t="n">
        <v>0</v>
      </c>
      <c r="I359" t="n">
        <v>0</v>
      </c>
      <c r="J359" t="n">
        <v>0</v>
      </c>
      <c r="K359" t="n">
        <v>0</v>
      </c>
      <c r="L359" t="n">
        <v>0</v>
      </c>
      <c r="M359" t="n">
        <v>0</v>
      </c>
      <c r="N359" t="n">
        <v>0</v>
      </c>
      <c r="O359" t="n">
        <v>0</v>
      </c>
      <c r="P359" t="n">
        <v>0</v>
      </c>
      <c r="Q359" t="n">
        <v>0</v>
      </c>
      <c r="R359" s="2" t="inlineStr"/>
    </row>
    <row r="360" ht="15" customHeight="1">
      <c r="A360" t="inlineStr">
        <is>
          <t>A 18330-2023</t>
        </is>
      </c>
      <c r="B360" s="1" t="n">
        <v>45041</v>
      </c>
      <c r="C360" s="1" t="n">
        <v>46106</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31870-2025</t>
        </is>
      </c>
      <c r="B361" s="1" t="n">
        <v>45834.64667824074</v>
      </c>
      <c r="C361" s="1" t="n">
        <v>46106</v>
      </c>
      <c r="D361" t="inlineStr">
        <is>
          <t>KALMAR LÄN</t>
        </is>
      </c>
      <c r="E361" t="inlineStr">
        <is>
          <t>VIMMERBY</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32065-2025</t>
        </is>
      </c>
      <c r="B362" s="1" t="n">
        <v>45835.44732638889</v>
      </c>
      <c r="C362" s="1" t="n">
        <v>46106</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31987-2025</t>
        </is>
      </c>
      <c r="B363" s="1" t="n">
        <v>45835.36229166666</v>
      </c>
      <c r="C363" s="1" t="n">
        <v>46106</v>
      </c>
      <c r="D363" t="inlineStr">
        <is>
          <t>KALMAR LÄN</t>
        </is>
      </c>
      <c r="E363" t="inlineStr">
        <is>
          <t>VIMMERBY</t>
        </is>
      </c>
      <c r="F363" t="inlineStr">
        <is>
          <t>Kyrkan</t>
        </is>
      </c>
      <c r="G363" t="n">
        <v>1.2</v>
      </c>
      <c r="H363" t="n">
        <v>0</v>
      </c>
      <c r="I363" t="n">
        <v>0</v>
      </c>
      <c r="J363" t="n">
        <v>0</v>
      </c>
      <c r="K363" t="n">
        <v>0</v>
      </c>
      <c r="L363" t="n">
        <v>0</v>
      </c>
      <c r="M363" t="n">
        <v>0</v>
      </c>
      <c r="N363" t="n">
        <v>0</v>
      </c>
      <c r="O363" t="n">
        <v>0</v>
      </c>
      <c r="P363" t="n">
        <v>0</v>
      </c>
      <c r="Q363" t="n">
        <v>0</v>
      </c>
      <c r="R363" s="2" t="inlineStr"/>
    </row>
    <row r="364" ht="15" customHeight="1">
      <c r="A364" t="inlineStr">
        <is>
          <t>A 32077-2025</t>
        </is>
      </c>
      <c r="B364" s="1" t="n">
        <v>45835.45099537037</v>
      </c>
      <c r="C364" s="1" t="n">
        <v>46106</v>
      </c>
      <c r="D364" t="inlineStr">
        <is>
          <t>KALMAR LÄN</t>
        </is>
      </c>
      <c r="E364" t="inlineStr">
        <is>
          <t>VIMMERBY</t>
        </is>
      </c>
      <c r="G364" t="n">
        <v>1.8</v>
      </c>
      <c r="H364" t="n">
        <v>0</v>
      </c>
      <c r="I364" t="n">
        <v>0</v>
      </c>
      <c r="J364" t="n">
        <v>0</v>
      </c>
      <c r="K364" t="n">
        <v>0</v>
      </c>
      <c r="L364" t="n">
        <v>0</v>
      </c>
      <c r="M364" t="n">
        <v>0</v>
      </c>
      <c r="N364" t="n">
        <v>0</v>
      </c>
      <c r="O364" t="n">
        <v>0</v>
      </c>
      <c r="P364" t="n">
        <v>0</v>
      </c>
      <c r="Q364" t="n">
        <v>0</v>
      </c>
      <c r="R364" s="2" t="inlineStr"/>
    </row>
    <row r="365" ht="15" customHeight="1">
      <c r="A365" t="inlineStr">
        <is>
          <t>A 20126-2024</t>
        </is>
      </c>
      <c r="B365" s="1" t="n">
        <v>45434.55471064815</v>
      </c>
      <c r="C365" s="1" t="n">
        <v>46106</v>
      </c>
      <c r="D365" t="inlineStr">
        <is>
          <t>KALMAR LÄN</t>
        </is>
      </c>
      <c r="E365" t="inlineStr">
        <is>
          <t>VIMMERBY</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20136-2024</t>
        </is>
      </c>
      <c r="B366" s="1" t="n">
        <v>45434.56291666667</v>
      </c>
      <c r="C366" s="1" t="n">
        <v>46106</v>
      </c>
      <c r="D366" t="inlineStr">
        <is>
          <t>KALMAR LÄN</t>
        </is>
      </c>
      <c r="E366" t="inlineStr">
        <is>
          <t>VIMMERBY</t>
        </is>
      </c>
      <c r="F366" t="inlineStr">
        <is>
          <t>Sveaskog</t>
        </is>
      </c>
      <c r="G366" t="n">
        <v>8.4</v>
      </c>
      <c r="H366" t="n">
        <v>0</v>
      </c>
      <c r="I366" t="n">
        <v>0</v>
      </c>
      <c r="J366" t="n">
        <v>0</v>
      </c>
      <c r="K366" t="n">
        <v>0</v>
      </c>
      <c r="L366" t="n">
        <v>0</v>
      </c>
      <c r="M366" t="n">
        <v>0</v>
      </c>
      <c r="N366" t="n">
        <v>0</v>
      </c>
      <c r="O366" t="n">
        <v>0</v>
      </c>
      <c r="P366" t="n">
        <v>0</v>
      </c>
      <c r="Q366" t="n">
        <v>0</v>
      </c>
      <c r="R366" s="2" t="inlineStr"/>
    </row>
    <row r="367" ht="15" customHeight="1">
      <c r="A367" t="inlineStr">
        <is>
          <t>A 32120-2025</t>
        </is>
      </c>
      <c r="B367" s="1" t="n">
        <v>45835.4924537037</v>
      </c>
      <c r="C367" s="1" t="n">
        <v>46106</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46106</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46921-2023</t>
        </is>
      </c>
      <c r="B369" s="1" t="n">
        <v>45201.39996527778</v>
      </c>
      <c r="C369" s="1" t="n">
        <v>46106</v>
      </c>
      <c r="D369" t="inlineStr">
        <is>
          <t>KALMAR LÄN</t>
        </is>
      </c>
      <c r="E369" t="inlineStr">
        <is>
          <t>VIMMERBY</t>
        </is>
      </c>
      <c r="G369" t="n">
        <v>2.6</v>
      </c>
      <c r="H369" t="n">
        <v>0</v>
      </c>
      <c r="I369" t="n">
        <v>0</v>
      </c>
      <c r="J369" t="n">
        <v>0</v>
      </c>
      <c r="K369" t="n">
        <v>0</v>
      </c>
      <c r="L369" t="n">
        <v>0</v>
      </c>
      <c r="M369" t="n">
        <v>0</v>
      </c>
      <c r="N369" t="n">
        <v>0</v>
      </c>
      <c r="O369" t="n">
        <v>0</v>
      </c>
      <c r="P369" t="n">
        <v>0</v>
      </c>
      <c r="Q369" t="n">
        <v>0</v>
      </c>
      <c r="R369" s="2" t="inlineStr"/>
    </row>
    <row r="370" ht="15" customHeight="1">
      <c r="A370" t="inlineStr">
        <is>
          <t>A 25236-2023</t>
        </is>
      </c>
      <c r="B370" s="1" t="n">
        <v>45086.63334490741</v>
      </c>
      <c r="C370" s="1" t="n">
        <v>46106</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14792-2026</t>
        </is>
      </c>
      <c r="B371" s="1" t="n">
        <v>46101.91993055555</v>
      </c>
      <c r="C371" s="1" t="n">
        <v>46106</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6082-2022</t>
        </is>
      </c>
      <c r="B372" s="1" t="n">
        <v>44599</v>
      </c>
      <c r="C372" s="1" t="n">
        <v>46106</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32380-2025</t>
        </is>
      </c>
      <c r="B373" s="1" t="n">
        <v>45837.77701388889</v>
      </c>
      <c r="C373" s="1" t="n">
        <v>46106</v>
      </c>
      <c r="D373" t="inlineStr">
        <is>
          <t>KALMAR LÄN</t>
        </is>
      </c>
      <c r="E373" t="inlineStr">
        <is>
          <t>VIMMERBY</t>
        </is>
      </c>
      <c r="G373" t="n">
        <v>3.1</v>
      </c>
      <c r="H373" t="n">
        <v>0</v>
      </c>
      <c r="I373" t="n">
        <v>0</v>
      </c>
      <c r="J373" t="n">
        <v>0</v>
      </c>
      <c r="K373" t="n">
        <v>0</v>
      </c>
      <c r="L373" t="n">
        <v>0</v>
      </c>
      <c r="M373" t="n">
        <v>0</v>
      </c>
      <c r="N373" t="n">
        <v>0</v>
      </c>
      <c r="O373" t="n">
        <v>0</v>
      </c>
      <c r="P373" t="n">
        <v>0</v>
      </c>
      <c r="Q373" t="n">
        <v>0</v>
      </c>
      <c r="R373" s="2" t="inlineStr"/>
    </row>
    <row r="374" ht="15" customHeight="1">
      <c r="A374" t="inlineStr">
        <is>
          <t>A 2801-2023</t>
        </is>
      </c>
      <c r="B374" s="1" t="n">
        <v>44944.73487268519</v>
      </c>
      <c r="C374" s="1" t="n">
        <v>46106</v>
      </c>
      <c r="D374" t="inlineStr">
        <is>
          <t>KALMAR LÄN</t>
        </is>
      </c>
      <c r="E374" t="inlineStr">
        <is>
          <t>VIMMERBY</t>
        </is>
      </c>
      <c r="G374" t="n">
        <v>0.6</v>
      </c>
      <c r="H374" t="n">
        <v>0</v>
      </c>
      <c r="I374" t="n">
        <v>0</v>
      </c>
      <c r="J374" t="n">
        <v>0</v>
      </c>
      <c r="K374" t="n">
        <v>0</v>
      </c>
      <c r="L374" t="n">
        <v>0</v>
      </c>
      <c r="M374" t="n">
        <v>0</v>
      </c>
      <c r="N374" t="n">
        <v>0</v>
      </c>
      <c r="O374" t="n">
        <v>0</v>
      </c>
      <c r="P374" t="n">
        <v>0</v>
      </c>
      <c r="Q374" t="n">
        <v>0</v>
      </c>
      <c r="R374" s="2" t="inlineStr"/>
    </row>
    <row r="375" ht="15" customHeight="1">
      <c r="A375" t="inlineStr">
        <is>
          <t>A 33186-2025</t>
        </is>
      </c>
      <c r="B375" s="1" t="n">
        <v>45840.59474537037</v>
      </c>
      <c r="C375" s="1" t="n">
        <v>46106</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42828-2025</t>
        </is>
      </c>
      <c r="B376" s="1" t="n">
        <v>45908.57716435185</v>
      </c>
      <c r="C376" s="1" t="n">
        <v>46106</v>
      </c>
      <c r="D376" t="inlineStr">
        <is>
          <t>KALMAR LÄN</t>
        </is>
      </c>
      <c r="E376" t="inlineStr">
        <is>
          <t>VIMMERBY</t>
        </is>
      </c>
      <c r="G376" t="n">
        <v>5.2</v>
      </c>
      <c r="H376" t="n">
        <v>0</v>
      </c>
      <c r="I376" t="n">
        <v>0</v>
      </c>
      <c r="J376" t="n">
        <v>0</v>
      </c>
      <c r="K376" t="n">
        <v>0</v>
      </c>
      <c r="L376" t="n">
        <v>0</v>
      </c>
      <c r="M376" t="n">
        <v>0</v>
      </c>
      <c r="N376" t="n">
        <v>0</v>
      </c>
      <c r="O376" t="n">
        <v>0</v>
      </c>
      <c r="P376" t="n">
        <v>0</v>
      </c>
      <c r="Q376" t="n">
        <v>0</v>
      </c>
      <c r="R376" s="2" t="inlineStr"/>
    </row>
    <row r="377" ht="15" customHeight="1">
      <c r="A377" t="inlineStr">
        <is>
          <t>A 33695-2025</t>
        </is>
      </c>
      <c r="B377" s="1" t="n">
        <v>45841.70569444444</v>
      </c>
      <c r="C377" s="1" t="n">
        <v>46106</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33698-2025</t>
        </is>
      </c>
      <c r="B378" s="1" t="n">
        <v>45841.70868055556</v>
      </c>
      <c r="C378" s="1" t="n">
        <v>46106</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42794-2025</t>
        </is>
      </c>
      <c r="B379" s="1" t="n">
        <v>45908</v>
      </c>
      <c r="C379" s="1" t="n">
        <v>46106</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5146-2024</t>
        </is>
      </c>
      <c r="B380" s="1" t="n">
        <v>45330</v>
      </c>
      <c r="C380" s="1" t="n">
        <v>46106</v>
      </c>
      <c r="D380" t="inlineStr">
        <is>
          <t>KALMAR LÄN</t>
        </is>
      </c>
      <c r="E380" t="inlineStr">
        <is>
          <t>VIMMERBY</t>
        </is>
      </c>
      <c r="G380" t="n">
        <v>5.3</v>
      </c>
      <c r="H380" t="n">
        <v>0</v>
      </c>
      <c r="I380" t="n">
        <v>0</v>
      </c>
      <c r="J380" t="n">
        <v>0</v>
      </c>
      <c r="K380" t="n">
        <v>0</v>
      </c>
      <c r="L380" t="n">
        <v>0</v>
      </c>
      <c r="M380" t="n">
        <v>0</v>
      </c>
      <c r="N380" t="n">
        <v>0</v>
      </c>
      <c r="O380" t="n">
        <v>0</v>
      </c>
      <c r="P380" t="n">
        <v>0</v>
      </c>
      <c r="Q380" t="n">
        <v>0</v>
      </c>
      <c r="R380" s="2" t="inlineStr"/>
    </row>
    <row r="381" ht="15" customHeight="1">
      <c r="A381" t="inlineStr">
        <is>
          <t>A 5148-2024</t>
        </is>
      </c>
      <c r="B381" s="1" t="n">
        <v>45330</v>
      </c>
      <c r="C381" s="1" t="n">
        <v>46106</v>
      </c>
      <c r="D381" t="inlineStr">
        <is>
          <t>KALMAR LÄN</t>
        </is>
      </c>
      <c r="E381" t="inlineStr">
        <is>
          <t>VIMMERBY</t>
        </is>
      </c>
      <c r="G381" t="n">
        <v>5.6</v>
      </c>
      <c r="H381" t="n">
        <v>0</v>
      </c>
      <c r="I381" t="n">
        <v>0</v>
      </c>
      <c r="J381" t="n">
        <v>0</v>
      </c>
      <c r="K381" t="n">
        <v>0</v>
      </c>
      <c r="L381" t="n">
        <v>0</v>
      </c>
      <c r="M381" t="n">
        <v>0</v>
      </c>
      <c r="N381" t="n">
        <v>0</v>
      </c>
      <c r="O381" t="n">
        <v>0</v>
      </c>
      <c r="P381" t="n">
        <v>0</v>
      </c>
      <c r="Q381" t="n">
        <v>0</v>
      </c>
      <c r="R381" s="2" t="inlineStr"/>
    </row>
    <row r="382" ht="15" customHeight="1">
      <c r="A382" t="inlineStr">
        <is>
          <t>A 42820-2025</t>
        </is>
      </c>
      <c r="B382" s="1" t="n">
        <v>45908</v>
      </c>
      <c r="C382" s="1" t="n">
        <v>46106</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30977-2025</t>
        </is>
      </c>
      <c r="B383" s="1" t="n">
        <v>45832.46649305556</v>
      </c>
      <c r="C383" s="1" t="n">
        <v>46106</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33696-2025</t>
        </is>
      </c>
      <c r="B384" s="1" t="n">
        <v>45841.7072337963</v>
      </c>
      <c r="C384" s="1" t="n">
        <v>46106</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58278-2023</t>
        </is>
      </c>
      <c r="B385" s="1" t="n">
        <v>45250.5278587963</v>
      </c>
      <c r="C385" s="1" t="n">
        <v>46106</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22266-2023</t>
        </is>
      </c>
      <c r="B386" s="1" t="n">
        <v>45070</v>
      </c>
      <c r="C386" s="1" t="n">
        <v>46106</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52588-2023</t>
        </is>
      </c>
      <c r="B387" s="1" t="n">
        <v>45225.60192129629</v>
      </c>
      <c r="C387" s="1" t="n">
        <v>46106</v>
      </c>
      <c r="D387" t="inlineStr">
        <is>
          <t>KALMAR LÄN</t>
        </is>
      </c>
      <c r="E387" t="inlineStr">
        <is>
          <t>VIMMERBY</t>
        </is>
      </c>
      <c r="G387" t="n">
        <v>2.9</v>
      </c>
      <c r="H387" t="n">
        <v>0</v>
      </c>
      <c r="I387" t="n">
        <v>0</v>
      </c>
      <c r="J387" t="n">
        <v>0</v>
      </c>
      <c r="K387" t="n">
        <v>0</v>
      </c>
      <c r="L387" t="n">
        <v>0</v>
      </c>
      <c r="M387" t="n">
        <v>0</v>
      </c>
      <c r="N387" t="n">
        <v>0</v>
      </c>
      <c r="O387" t="n">
        <v>0</v>
      </c>
      <c r="P387" t="n">
        <v>0</v>
      </c>
      <c r="Q387" t="n">
        <v>0</v>
      </c>
      <c r="R387" s="2" t="inlineStr"/>
    </row>
    <row r="388" ht="15" customHeight="1">
      <c r="A388" t="inlineStr">
        <is>
          <t>A 26956-2025</t>
        </is>
      </c>
      <c r="B388" s="1" t="n">
        <v>45811.45460648148</v>
      </c>
      <c r="C388" s="1" t="n">
        <v>46106</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34060-2025</t>
        </is>
      </c>
      <c r="B389" s="1" t="n">
        <v>45845.42015046296</v>
      </c>
      <c r="C389" s="1" t="n">
        <v>46106</v>
      </c>
      <c r="D389" t="inlineStr">
        <is>
          <t>KALMAR LÄN</t>
        </is>
      </c>
      <c r="E389" t="inlineStr">
        <is>
          <t>VIMMERBY</t>
        </is>
      </c>
      <c r="G389" t="n">
        <v>5.7</v>
      </c>
      <c r="H389" t="n">
        <v>0</v>
      </c>
      <c r="I389" t="n">
        <v>0</v>
      </c>
      <c r="J389" t="n">
        <v>0</v>
      </c>
      <c r="K389" t="n">
        <v>0</v>
      </c>
      <c r="L389" t="n">
        <v>0</v>
      </c>
      <c r="M389" t="n">
        <v>0</v>
      </c>
      <c r="N389" t="n">
        <v>0</v>
      </c>
      <c r="O389" t="n">
        <v>0</v>
      </c>
      <c r="P389" t="n">
        <v>0</v>
      </c>
      <c r="Q389" t="n">
        <v>0</v>
      </c>
      <c r="R389" s="2" t="inlineStr"/>
    </row>
    <row r="390" ht="15" customHeight="1">
      <c r="A390" t="inlineStr">
        <is>
          <t>A 6802-2025</t>
        </is>
      </c>
      <c r="B390" s="1" t="n">
        <v>45700.68289351852</v>
      </c>
      <c r="C390" s="1" t="n">
        <v>46106</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71793-2021</t>
        </is>
      </c>
      <c r="B391" s="1" t="n">
        <v>44539</v>
      </c>
      <c r="C391" s="1" t="n">
        <v>46106</v>
      </c>
      <c r="D391" t="inlineStr">
        <is>
          <t>KALMAR LÄN</t>
        </is>
      </c>
      <c r="E391" t="inlineStr">
        <is>
          <t>VIMMERBY</t>
        </is>
      </c>
      <c r="G391" t="n">
        <v>2.7</v>
      </c>
      <c r="H391" t="n">
        <v>0</v>
      </c>
      <c r="I391" t="n">
        <v>0</v>
      </c>
      <c r="J391" t="n">
        <v>0</v>
      </c>
      <c r="K391" t="n">
        <v>0</v>
      </c>
      <c r="L391" t="n">
        <v>0</v>
      </c>
      <c r="M391" t="n">
        <v>0</v>
      </c>
      <c r="N391" t="n">
        <v>0</v>
      </c>
      <c r="O391" t="n">
        <v>0</v>
      </c>
      <c r="P391" t="n">
        <v>0</v>
      </c>
      <c r="Q391" t="n">
        <v>0</v>
      </c>
      <c r="R391" s="2" t="inlineStr"/>
    </row>
    <row r="392" ht="15" customHeight="1">
      <c r="A392" t="inlineStr">
        <is>
          <t>A 43465-2025</t>
        </is>
      </c>
      <c r="B392" s="1" t="n">
        <v>45911.47138888889</v>
      </c>
      <c r="C392" s="1" t="n">
        <v>46106</v>
      </c>
      <c r="D392" t="inlineStr">
        <is>
          <t>KALMAR LÄN</t>
        </is>
      </c>
      <c r="E392" t="inlineStr">
        <is>
          <t>VIMMERBY</t>
        </is>
      </c>
      <c r="G392" t="n">
        <v>0.7</v>
      </c>
      <c r="H392" t="n">
        <v>0</v>
      </c>
      <c r="I392" t="n">
        <v>0</v>
      </c>
      <c r="J392" t="n">
        <v>0</v>
      </c>
      <c r="K392" t="n">
        <v>0</v>
      </c>
      <c r="L392" t="n">
        <v>0</v>
      </c>
      <c r="M392" t="n">
        <v>0</v>
      </c>
      <c r="N392" t="n">
        <v>0</v>
      </c>
      <c r="O392" t="n">
        <v>0</v>
      </c>
      <c r="P392" t="n">
        <v>0</v>
      </c>
      <c r="Q392" t="n">
        <v>0</v>
      </c>
      <c r="R392" s="2" t="inlineStr"/>
    </row>
    <row r="393" ht="15" customHeight="1">
      <c r="A393" t="inlineStr">
        <is>
          <t>A 43617-2025</t>
        </is>
      </c>
      <c r="B393" s="1" t="n">
        <v>45911.67798611111</v>
      </c>
      <c r="C393" s="1" t="n">
        <v>46106</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34071-2025</t>
        </is>
      </c>
      <c r="B394" s="1" t="n">
        <v>45845.43803240741</v>
      </c>
      <c r="C394" s="1" t="n">
        <v>46106</v>
      </c>
      <c r="D394" t="inlineStr">
        <is>
          <t>KALMAR LÄN</t>
        </is>
      </c>
      <c r="E394" t="inlineStr">
        <is>
          <t>VIMMERBY</t>
        </is>
      </c>
      <c r="G394" t="n">
        <v>6.8</v>
      </c>
      <c r="H394" t="n">
        <v>0</v>
      </c>
      <c r="I394" t="n">
        <v>0</v>
      </c>
      <c r="J394" t="n">
        <v>0</v>
      </c>
      <c r="K394" t="n">
        <v>0</v>
      </c>
      <c r="L394" t="n">
        <v>0</v>
      </c>
      <c r="M394" t="n">
        <v>0</v>
      </c>
      <c r="N394" t="n">
        <v>0</v>
      </c>
      <c r="O394" t="n">
        <v>0</v>
      </c>
      <c r="P394" t="n">
        <v>0</v>
      </c>
      <c r="Q394" t="n">
        <v>0</v>
      </c>
      <c r="R394" s="2" t="inlineStr"/>
    </row>
    <row r="395" ht="15" customHeight="1">
      <c r="A395" t="inlineStr">
        <is>
          <t>A 34106-2025</t>
        </is>
      </c>
      <c r="B395" s="1" t="n">
        <v>45845.49414351852</v>
      </c>
      <c r="C395" s="1" t="n">
        <v>46106</v>
      </c>
      <c r="D395" t="inlineStr">
        <is>
          <t>KALMAR LÄN</t>
        </is>
      </c>
      <c r="E395" t="inlineStr">
        <is>
          <t>VIMMERBY</t>
        </is>
      </c>
      <c r="G395" t="n">
        <v>6</v>
      </c>
      <c r="H395" t="n">
        <v>0</v>
      </c>
      <c r="I395" t="n">
        <v>0</v>
      </c>
      <c r="J395" t="n">
        <v>0</v>
      </c>
      <c r="K395" t="n">
        <v>0</v>
      </c>
      <c r="L395" t="n">
        <v>0</v>
      </c>
      <c r="M395" t="n">
        <v>0</v>
      </c>
      <c r="N395" t="n">
        <v>0</v>
      </c>
      <c r="O395" t="n">
        <v>0</v>
      </c>
      <c r="P395" t="n">
        <v>0</v>
      </c>
      <c r="Q395" t="n">
        <v>0</v>
      </c>
      <c r="R395" s="2" t="inlineStr"/>
    </row>
    <row r="396" ht="15" customHeight="1">
      <c r="A396" t="inlineStr">
        <is>
          <t>A 527-2024</t>
        </is>
      </c>
      <c r="B396" s="1" t="n">
        <v>45299.47513888889</v>
      </c>
      <c r="C396" s="1" t="n">
        <v>46106</v>
      </c>
      <c r="D396" t="inlineStr">
        <is>
          <t>KALMAR LÄN</t>
        </is>
      </c>
      <c r="E396" t="inlineStr">
        <is>
          <t>VIMMERBY</t>
        </is>
      </c>
      <c r="G396" t="n">
        <v>2.2</v>
      </c>
      <c r="H396" t="n">
        <v>0</v>
      </c>
      <c r="I396" t="n">
        <v>0</v>
      </c>
      <c r="J396" t="n">
        <v>0</v>
      </c>
      <c r="K396" t="n">
        <v>0</v>
      </c>
      <c r="L396" t="n">
        <v>0</v>
      </c>
      <c r="M396" t="n">
        <v>0</v>
      </c>
      <c r="N396" t="n">
        <v>0</v>
      </c>
      <c r="O396" t="n">
        <v>0</v>
      </c>
      <c r="P396" t="n">
        <v>0</v>
      </c>
      <c r="Q396" t="n">
        <v>0</v>
      </c>
      <c r="R396" s="2" t="inlineStr"/>
    </row>
    <row r="397" ht="15" customHeight="1">
      <c r="A397" t="inlineStr">
        <is>
          <t>A 28702-2025</t>
        </is>
      </c>
      <c r="B397" s="1" t="n">
        <v>45820.03976851852</v>
      </c>
      <c r="C397" s="1" t="n">
        <v>46106</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60230-2022</t>
        </is>
      </c>
      <c r="B398" s="1" t="n">
        <v>44910</v>
      </c>
      <c r="C398" s="1" t="n">
        <v>46106</v>
      </c>
      <c r="D398" t="inlineStr">
        <is>
          <t>KALMAR LÄN</t>
        </is>
      </c>
      <c r="E398" t="inlineStr">
        <is>
          <t>VIMMERBY</t>
        </is>
      </c>
      <c r="G398" t="n">
        <v>11.3</v>
      </c>
      <c r="H398" t="n">
        <v>0</v>
      </c>
      <c r="I398" t="n">
        <v>0</v>
      </c>
      <c r="J398" t="n">
        <v>0</v>
      </c>
      <c r="K398" t="n">
        <v>0</v>
      </c>
      <c r="L398" t="n">
        <v>0</v>
      </c>
      <c r="M398" t="n">
        <v>0</v>
      </c>
      <c r="N398" t="n">
        <v>0</v>
      </c>
      <c r="O398" t="n">
        <v>0</v>
      </c>
      <c r="P398" t="n">
        <v>0</v>
      </c>
      <c r="Q398" t="n">
        <v>0</v>
      </c>
      <c r="R398" s="2" t="inlineStr"/>
    </row>
    <row r="399" ht="15" customHeight="1">
      <c r="A399" t="inlineStr">
        <is>
          <t>A 5925-2022</t>
        </is>
      </c>
      <c r="B399" s="1" t="n">
        <v>44598.7384837963</v>
      </c>
      <c r="C399" s="1" t="n">
        <v>46106</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44095-2025</t>
        </is>
      </c>
      <c r="B400" s="1" t="n">
        <v>45915.56430555556</v>
      </c>
      <c r="C400" s="1" t="n">
        <v>46106</v>
      </c>
      <c r="D400" t="inlineStr">
        <is>
          <t>KALMAR LÄN</t>
        </is>
      </c>
      <c r="E400" t="inlineStr">
        <is>
          <t>VIMMERBY</t>
        </is>
      </c>
      <c r="G400" t="n">
        <v>2.4</v>
      </c>
      <c r="H400" t="n">
        <v>0</v>
      </c>
      <c r="I400" t="n">
        <v>0</v>
      </c>
      <c r="J400" t="n">
        <v>0</v>
      </c>
      <c r="K400" t="n">
        <v>0</v>
      </c>
      <c r="L400" t="n">
        <v>0</v>
      </c>
      <c r="M400" t="n">
        <v>0</v>
      </c>
      <c r="N400" t="n">
        <v>0</v>
      </c>
      <c r="O400" t="n">
        <v>0</v>
      </c>
      <c r="P400" t="n">
        <v>0</v>
      </c>
      <c r="Q400" t="n">
        <v>0</v>
      </c>
      <c r="R400" s="2" t="inlineStr"/>
    </row>
    <row r="401" ht="15" customHeight="1">
      <c r="A401" t="inlineStr">
        <is>
          <t>A 14793-2026</t>
        </is>
      </c>
      <c r="B401" s="1" t="n">
        <v>46101.92108796296</v>
      </c>
      <c r="C401" s="1" t="n">
        <v>46106</v>
      </c>
      <c r="D401" t="inlineStr">
        <is>
          <t>KALMAR LÄN</t>
        </is>
      </c>
      <c r="E401" t="inlineStr">
        <is>
          <t>VIMMERBY</t>
        </is>
      </c>
      <c r="G401" t="n">
        <v>5.7</v>
      </c>
      <c r="H401" t="n">
        <v>0</v>
      </c>
      <c r="I401" t="n">
        <v>0</v>
      </c>
      <c r="J401" t="n">
        <v>0</v>
      </c>
      <c r="K401" t="n">
        <v>0</v>
      </c>
      <c r="L401" t="n">
        <v>0</v>
      </c>
      <c r="M401" t="n">
        <v>0</v>
      </c>
      <c r="N401" t="n">
        <v>0</v>
      </c>
      <c r="O401" t="n">
        <v>0</v>
      </c>
      <c r="P401" t="n">
        <v>0</v>
      </c>
      <c r="Q401" t="n">
        <v>0</v>
      </c>
      <c r="R401" s="2" t="inlineStr"/>
    </row>
    <row r="402" ht="15" customHeight="1">
      <c r="A402" t="inlineStr">
        <is>
          <t>A 46522-2022</t>
        </is>
      </c>
      <c r="B402" s="1" t="n">
        <v>44848.59133101852</v>
      </c>
      <c r="C402" s="1" t="n">
        <v>46106</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41066-2024</t>
        </is>
      </c>
      <c r="B403" s="1" t="n">
        <v>45559.38876157408</v>
      </c>
      <c r="C403" s="1" t="n">
        <v>46106</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15054-2026</t>
        </is>
      </c>
      <c r="B404" s="1" t="n">
        <v>46104.6815162037</v>
      </c>
      <c r="C404" s="1" t="n">
        <v>46106</v>
      </c>
      <c r="D404" t="inlineStr">
        <is>
          <t>KALMAR LÄN</t>
        </is>
      </c>
      <c r="E404" t="inlineStr">
        <is>
          <t>VIMMERBY</t>
        </is>
      </c>
      <c r="G404" t="n">
        <v>1.4</v>
      </c>
      <c r="H404" t="n">
        <v>0</v>
      </c>
      <c r="I404" t="n">
        <v>0</v>
      </c>
      <c r="J404" t="n">
        <v>0</v>
      </c>
      <c r="K404" t="n">
        <v>0</v>
      </c>
      <c r="L404" t="n">
        <v>0</v>
      </c>
      <c r="M404" t="n">
        <v>0</v>
      </c>
      <c r="N404" t="n">
        <v>0</v>
      </c>
      <c r="O404" t="n">
        <v>0</v>
      </c>
      <c r="P404" t="n">
        <v>0</v>
      </c>
      <c r="Q404" t="n">
        <v>0</v>
      </c>
      <c r="R404" s="2" t="inlineStr"/>
    </row>
    <row r="405" ht="15" customHeight="1">
      <c r="A405" t="inlineStr">
        <is>
          <t>A 52279-2023</t>
        </is>
      </c>
      <c r="B405" s="1" t="n">
        <v>45224</v>
      </c>
      <c r="C405" s="1" t="n">
        <v>46106</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34628-2025</t>
        </is>
      </c>
      <c r="B406" s="1" t="n">
        <v>45847.91280092593</v>
      </c>
      <c r="C406" s="1" t="n">
        <v>46106</v>
      </c>
      <c r="D406" t="inlineStr">
        <is>
          <t>KALMAR LÄN</t>
        </is>
      </c>
      <c r="E406" t="inlineStr">
        <is>
          <t>VIMMERBY</t>
        </is>
      </c>
      <c r="G406" t="n">
        <v>4.2</v>
      </c>
      <c r="H406" t="n">
        <v>0</v>
      </c>
      <c r="I406" t="n">
        <v>0</v>
      </c>
      <c r="J406" t="n">
        <v>0</v>
      </c>
      <c r="K406" t="n">
        <v>0</v>
      </c>
      <c r="L406" t="n">
        <v>0</v>
      </c>
      <c r="M406" t="n">
        <v>0</v>
      </c>
      <c r="N406" t="n">
        <v>0</v>
      </c>
      <c r="O406" t="n">
        <v>0</v>
      </c>
      <c r="P406" t="n">
        <v>0</v>
      </c>
      <c r="Q406" t="n">
        <v>0</v>
      </c>
      <c r="R406" s="2" t="inlineStr"/>
    </row>
    <row r="407" ht="15" customHeight="1">
      <c r="A407" t="inlineStr">
        <is>
          <t>A 17486-2024</t>
        </is>
      </c>
      <c r="B407" s="1" t="n">
        <v>45415.48979166667</v>
      </c>
      <c r="C407" s="1" t="n">
        <v>46106</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44091-2025</t>
        </is>
      </c>
      <c r="B408" s="1" t="n">
        <v>45915.55950231481</v>
      </c>
      <c r="C408" s="1" t="n">
        <v>46106</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71631-2021</t>
        </is>
      </c>
      <c r="B409" s="1" t="n">
        <v>44542.90072916666</v>
      </c>
      <c r="C409" s="1" t="n">
        <v>46106</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16015-2025</t>
        </is>
      </c>
      <c r="B410" s="1" t="n">
        <v>45749.60487268519</v>
      </c>
      <c r="C410" s="1" t="n">
        <v>46106</v>
      </c>
      <c r="D410" t="inlineStr">
        <is>
          <t>KALMAR LÄN</t>
        </is>
      </c>
      <c r="E410" t="inlineStr">
        <is>
          <t>VIMMERBY</t>
        </is>
      </c>
      <c r="F410" t="inlineStr">
        <is>
          <t>Kyrkan</t>
        </is>
      </c>
      <c r="G410" t="n">
        <v>2.7</v>
      </c>
      <c r="H410" t="n">
        <v>0</v>
      </c>
      <c r="I410" t="n">
        <v>0</v>
      </c>
      <c r="J410" t="n">
        <v>0</v>
      </c>
      <c r="K410" t="n">
        <v>0</v>
      </c>
      <c r="L410" t="n">
        <v>0</v>
      </c>
      <c r="M410" t="n">
        <v>0</v>
      </c>
      <c r="N410" t="n">
        <v>0</v>
      </c>
      <c r="O410" t="n">
        <v>0</v>
      </c>
      <c r="P410" t="n">
        <v>0</v>
      </c>
      <c r="Q410" t="n">
        <v>0</v>
      </c>
      <c r="R410" s="2" t="inlineStr"/>
    </row>
    <row r="411" ht="15" customHeight="1">
      <c r="A411" t="inlineStr">
        <is>
          <t>A 44517-2025</t>
        </is>
      </c>
      <c r="B411" s="1" t="n">
        <v>45916.7103587963</v>
      </c>
      <c r="C411" s="1" t="n">
        <v>46106</v>
      </c>
      <c r="D411" t="inlineStr">
        <is>
          <t>KALMAR LÄN</t>
        </is>
      </c>
      <c r="E411" t="inlineStr">
        <is>
          <t>VIMMERBY</t>
        </is>
      </c>
      <c r="G411" t="n">
        <v>0.9</v>
      </c>
      <c r="H411" t="n">
        <v>0</v>
      </c>
      <c r="I411" t="n">
        <v>0</v>
      </c>
      <c r="J411" t="n">
        <v>0</v>
      </c>
      <c r="K411" t="n">
        <v>0</v>
      </c>
      <c r="L411" t="n">
        <v>0</v>
      </c>
      <c r="M411" t="n">
        <v>0</v>
      </c>
      <c r="N411" t="n">
        <v>0</v>
      </c>
      <c r="O411" t="n">
        <v>0</v>
      </c>
      <c r="P411" t="n">
        <v>0</v>
      </c>
      <c r="Q411" t="n">
        <v>0</v>
      </c>
      <c r="R411" s="2" t="inlineStr"/>
    </row>
    <row r="412" ht="15" customHeight="1">
      <c r="A412" t="inlineStr">
        <is>
          <t>A 9694-2023</t>
        </is>
      </c>
      <c r="B412" s="1" t="n">
        <v>44984.45895833334</v>
      </c>
      <c r="C412" s="1" t="n">
        <v>46106</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44742-2025</t>
        </is>
      </c>
      <c r="B413" s="1" t="n">
        <v>45917.67054398148</v>
      </c>
      <c r="C413" s="1" t="n">
        <v>46106</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44329-2025</t>
        </is>
      </c>
      <c r="B414" s="1" t="n">
        <v>45916.41019675926</v>
      </c>
      <c r="C414" s="1" t="n">
        <v>46106</v>
      </c>
      <c r="D414" t="inlineStr">
        <is>
          <t>KALMAR LÄN</t>
        </is>
      </c>
      <c r="E414" t="inlineStr">
        <is>
          <t>VIMMERBY</t>
        </is>
      </c>
      <c r="G414" t="n">
        <v>4.3</v>
      </c>
      <c r="H414" t="n">
        <v>0</v>
      </c>
      <c r="I414" t="n">
        <v>0</v>
      </c>
      <c r="J414" t="n">
        <v>0</v>
      </c>
      <c r="K414" t="n">
        <v>0</v>
      </c>
      <c r="L414" t="n">
        <v>0</v>
      </c>
      <c r="M414" t="n">
        <v>0</v>
      </c>
      <c r="N414" t="n">
        <v>0</v>
      </c>
      <c r="O414" t="n">
        <v>0</v>
      </c>
      <c r="P414" t="n">
        <v>0</v>
      </c>
      <c r="Q414" t="n">
        <v>0</v>
      </c>
      <c r="R414" s="2" t="inlineStr"/>
    </row>
    <row r="415" ht="15" customHeight="1">
      <c r="A415" t="inlineStr">
        <is>
          <t>A 35270-2025</t>
        </is>
      </c>
      <c r="B415" s="1" t="n">
        <v>45853.87112268519</v>
      </c>
      <c r="C415" s="1" t="n">
        <v>46106</v>
      </c>
      <c r="D415" t="inlineStr">
        <is>
          <t>KALMAR LÄN</t>
        </is>
      </c>
      <c r="E415" t="inlineStr">
        <is>
          <t>VIMMERBY</t>
        </is>
      </c>
      <c r="G415" t="n">
        <v>2.4</v>
      </c>
      <c r="H415" t="n">
        <v>0</v>
      </c>
      <c r="I415" t="n">
        <v>0</v>
      </c>
      <c r="J415" t="n">
        <v>0</v>
      </c>
      <c r="K415" t="n">
        <v>0</v>
      </c>
      <c r="L415" t="n">
        <v>0</v>
      </c>
      <c r="M415" t="n">
        <v>0</v>
      </c>
      <c r="N415" t="n">
        <v>0</v>
      </c>
      <c r="O415" t="n">
        <v>0</v>
      </c>
      <c r="P415" t="n">
        <v>0</v>
      </c>
      <c r="Q415" t="n">
        <v>0</v>
      </c>
      <c r="R415" s="2" t="inlineStr"/>
    </row>
    <row r="416" ht="15" customHeight="1">
      <c r="A416" t="inlineStr">
        <is>
          <t>A 41896-2025</t>
        </is>
      </c>
      <c r="B416" s="1" t="n">
        <v>45903.38800925926</v>
      </c>
      <c r="C416" s="1" t="n">
        <v>46106</v>
      </c>
      <c r="D416" t="inlineStr">
        <is>
          <t>KALMAR LÄN</t>
        </is>
      </c>
      <c r="E416" t="inlineStr">
        <is>
          <t>VIMMERBY</t>
        </is>
      </c>
      <c r="G416" t="n">
        <v>2.9</v>
      </c>
      <c r="H416" t="n">
        <v>0</v>
      </c>
      <c r="I416" t="n">
        <v>0</v>
      </c>
      <c r="J416" t="n">
        <v>0</v>
      </c>
      <c r="K416" t="n">
        <v>0</v>
      </c>
      <c r="L416" t="n">
        <v>0</v>
      </c>
      <c r="M416" t="n">
        <v>0</v>
      </c>
      <c r="N416" t="n">
        <v>0</v>
      </c>
      <c r="O416" t="n">
        <v>0</v>
      </c>
      <c r="P416" t="n">
        <v>0</v>
      </c>
      <c r="Q416" t="n">
        <v>0</v>
      </c>
      <c r="R416" s="2" t="inlineStr"/>
    </row>
    <row r="417" ht="15" customHeight="1">
      <c r="A417" t="inlineStr">
        <is>
          <t>A 35271-2025</t>
        </is>
      </c>
      <c r="B417" s="1" t="n">
        <v>45853.87599537037</v>
      </c>
      <c r="C417" s="1" t="n">
        <v>46106</v>
      </c>
      <c r="D417" t="inlineStr">
        <is>
          <t>KALMAR LÄN</t>
        </is>
      </c>
      <c r="E417" t="inlineStr">
        <is>
          <t>VIMMERBY</t>
        </is>
      </c>
      <c r="G417" t="n">
        <v>0.4</v>
      </c>
      <c r="H417" t="n">
        <v>0</v>
      </c>
      <c r="I417" t="n">
        <v>0</v>
      </c>
      <c r="J417" t="n">
        <v>0</v>
      </c>
      <c r="K417" t="n">
        <v>0</v>
      </c>
      <c r="L417" t="n">
        <v>0</v>
      </c>
      <c r="M417" t="n">
        <v>0</v>
      </c>
      <c r="N417" t="n">
        <v>0</v>
      </c>
      <c r="O417" t="n">
        <v>0</v>
      </c>
      <c r="P417" t="n">
        <v>0</v>
      </c>
      <c r="Q417" t="n">
        <v>0</v>
      </c>
      <c r="R417" s="2" t="inlineStr"/>
    </row>
    <row r="418" ht="15" customHeight="1">
      <c r="A418" t="inlineStr">
        <is>
          <t>A 35272-2025</t>
        </is>
      </c>
      <c r="B418" s="1" t="n">
        <v>45853.88070601852</v>
      </c>
      <c r="C418" s="1" t="n">
        <v>46106</v>
      </c>
      <c r="D418" t="inlineStr">
        <is>
          <t>KALMAR LÄN</t>
        </is>
      </c>
      <c r="E418" t="inlineStr">
        <is>
          <t>VIMMERBY</t>
        </is>
      </c>
      <c r="G418" t="n">
        <v>0.6</v>
      </c>
      <c r="H418" t="n">
        <v>0</v>
      </c>
      <c r="I418" t="n">
        <v>0</v>
      </c>
      <c r="J418" t="n">
        <v>0</v>
      </c>
      <c r="K418" t="n">
        <v>0</v>
      </c>
      <c r="L418" t="n">
        <v>0</v>
      </c>
      <c r="M418" t="n">
        <v>0</v>
      </c>
      <c r="N418" t="n">
        <v>0</v>
      </c>
      <c r="O418" t="n">
        <v>0</v>
      </c>
      <c r="P418" t="n">
        <v>0</v>
      </c>
      <c r="Q418" t="n">
        <v>0</v>
      </c>
      <c r="R418" s="2" t="inlineStr"/>
    </row>
    <row r="419" ht="15" customHeight="1">
      <c r="A419" t="inlineStr">
        <is>
          <t>A 22198-2024</t>
        </is>
      </c>
      <c r="B419" s="1" t="n">
        <v>45446.36865740741</v>
      </c>
      <c r="C419" s="1" t="n">
        <v>46106</v>
      </c>
      <c r="D419" t="inlineStr">
        <is>
          <t>KALMAR LÄN</t>
        </is>
      </c>
      <c r="E419" t="inlineStr">
        <is>
          <t>VIMMERBY</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16953-2025</t>
        </is>
      </c>
      <c r="B420" s="1" t="n">
        <v>45755.44333333334</v>
      </c>
      <c r="C420" s="1" t="n">
        <v>46106</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57311-2023</t>
        </is>
      </c>
      <c r="B421" s="1" t="n">
        <v>45245.63574074074</v>
      </c>
      <c r="C421" s="1" t="n">
        <v>46106</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35596-2025</t>
        </is>
      </c>
      <c r="B422" s="1" t="n">
        <v>45858.60641203704</v>
      </c>
      <c r="C422" s="1" t="n">
        <v>46106</v>
      </c>
      <c r="D422" t="inlineStr">
        <is>
          <t>KALMAR LÄN</t>
        </is>
      </c>
      <c r="E422" t="inlineStr">
        <is>
          <t>VIMMERBY</t>
        </is>
      </c>
      <c r="G422" t="n">
        <v>2.8</v>
      </c>
      <c r="H422" t="n">
        <v>0</v>
      </c>
      <c r="I422" t="n">
        <v>0</v>
      </c>
      <c r="J422" t="n">
        <v>0</v>
      </c>
      <c r="K422" t="n">
        <v>0</v>
      </c>
      <c r="L422" t="n">
        <v>0</v>
      </c>
      <c r="M422" t="n">
        <v>0</v>
      </c>
      <c r="N422" t="n">
        <v>0</v>
      </c>
      <c r="O422" t="n">
        <v>0</v>
      </c>
      <c r="P422" t="n">
        <v>0</v>
      </c>
      <c r="Q422" t="n">
        <v>0</v>
      </c>
      <c r="R422" s="2" t="inlineStr"/>
    </row>
    <row r="423" ht="15" customHeight="1">
      <c r="A423" t="inlineStr">
        <is>
          <t>A 12588-2025</t>
        </is>
      </c>
      <c r="B423" s="1" t="n">
        <v>45732.76936342593</v>
      </c>
      <c r="C423" s="1" t="n">
        <v>46106</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35597-2025</t>
        </is>
      </c>
      <c r="B424" s="1" t="n">
        <v>45858.66019675926</v>
      </c>
      <c r="C424" s="1" t="n">
        <v>46106</v>
      </c>
      <c r="D424" t="inlineStr">
        <is>
          <t>KALMAR LÄN</t>
        </is>
      </c>
      <c r="E424" t="inlineStr">
        <is>
          <t>VIMMERBY</t>
        </is>
      </c>
      <c r="G424" t="n">
        <v>6.4</v>
      </c>
      <c r="H424" t="n">
        <v>0</v>
      </c>
      <c r="I424" t="n">
        <v>0</v>
      </c>
      <c r="J424" t="n">
        <v>0</v>
      </c>
      <c r="K424" t="n">
        <v>0</v>
      </c>
      <c r="L424" t="n">
        <v>0</v>
      </c>
      <c r="M424" t="n">
        <v>0</v>
      </c>
      <c r="N424" t="n">
        <v>0</v>
      </c>
      <c r="O424" t="n">
        <v>0</v>
      </c>
      <c r="P424" t="n">
        <v>0</v>
      </c>
      <c r="Q424" t="n">
        <v>0</v>
      </c>
      <c r="R424" s="2" t="inlineStr"/>
    </row>
    <row r="425" ht="15" customHeight="1">
      <c r="A425" t="inlineStr">
        <is>
          <t>A 7932-2025</t>
        </is>
      </c>
      <c r="B425" s="1" t="n">
        <v>45707.3793287037</v>
      </c>
      <c r="C425" s="1" t="n">
        <v>46106</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45114-2025</t>
        </is>
      </c>
      <c r="B426" s="1" t="n">
        <v>45919.42387731482</v>
      </c>
      <c r="C426" s="1" t="n">
        <v>46106</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2121-2022</t>
        </is>
      </c>
      <c r="B427" s="1" t="n">
        <v>44578.32717592592</v>
      </c>
      <c r="C427" s="1" t="n">
        <v>46106</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34386-2024</t>
        </is>
      </c>
      <c r="B428" s="1" t="n">
        <v>45525.41762731481</v>
      </c>
      <c r="C428" s="1" t="n">
        <v>46106</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6069-2023</t>
        </is>
      </c>
      <c r="B429" s="1" t="n">
        <v>44964.5115162037</v>
      </c>
      <c r="C429" s="1" t="n">
        <v>46106</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45319-2025</t>
        </is>
      </c>
      <c r="B430" s="1" t="n">
        <v>45921.95611111111</v>
      </c>
      <c r="C430" s="1" t="n">
        <v>46106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36226-2025</t>
        </is>
      </c>
      <c r="B431" s="1" t="n">
        <v>45867.51630787037</v>
      </c>
      <c r="C431" s="1" t="n">
        <v>46106</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36273-2025</t>
        </is>
      </c>
      <c r="B432" s="1" t="n">
        <v>45867.63094907408</v>
      </c>
      <c r="C432" s="1" t="n">
        <v>46106</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46106</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36246-2025</t>
        </is>
      </c>
      <c r="B434" s="1" t="n">
        <v>45867.56320601852</v>
      </c>
      <c r="C434" s="1" t="n">
        <v>46106</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36297-2025</t>
        </is>
      </c>
      <c r="B435" s="1" t="n">
        <v>45867.68625</v>
      </c>
      <c r="C435" s="1" t="n">
        <v>46106</v>
      </c>
      <c r="D435" t="inlineStr">
        <is>
          <t>KALMAR LÄN</t>
        </is>
      </c>
      <c r="E435" t="inlineStr">
        <is>
          <t>VIMMERBY</t>
        </is>
      </c>
      <c r="G435" t="n">
        <v>4.9</v>
      </c>
      <c r="H435" t="n">
        <v>0</v>
      </c>
      <c r="I435" t="n">
        <v>0</v>
      </c>
      <c r="J435" t="n">
        <v>0</v>
      </c>
      <c r="K435" t="n">
        <v>0</v>
      </c>
      <c r="L435" t="n">
        <v>0</v>
      </c>
      <c r="M435" t="n">
        <v>0</v>
      </c>
      <c r="N435" t="n">
        <v>0</v>
      </c>
      <c r="O435" t="n">
        <v>0</v>
      </c>
      <c r="P435" t="n">
        <v>0</v>
      </c>
      <c r="Q435" t="n">
        <v>0</v>
      </c>
      <c r="R435" s="2" t="inlineStr"/>
    </row>
    <row r="436" ht="15" customHeight="1">
      <c r="A436" t="inlineStr">
        <is>
          <t>A 36221-2025</t>
        </is>
      </c>
      <c r="B436" s="1" t="n">
        <v>45867.50792824074</v>
      </c>
      <c r="C436" s="1" t="n">
        <v>46106</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19502-2025</t>
        </is>
      </c>
      <c r="B437" s="1" t="n">
        <v>45769</v>
      </c>
      <c r="C437" s="1" t="n">
        <v>46106</v>
      </c>
      <c r="D437" t="inlineStr">
        <is>
          <t>KALMAR LÄN</t>
        </is>
      </c>
      <c r="E437" t="inlineStr">
        <is>
          <t>VIMMERBY</t>
        </is>
      </c>
      <c r="G437" t="n">
        <v>1.9</v>
      </c>
      <c r="H437" t="n">
        <v>0</v>
      </c>
      <c r="I437" t="n">
        <v>0</v>
      </c>
      <c r="J437" t="n">
        <v>0</v>
      </c>
      <c r="K437" t="n">
        <v>0</v>
      </c>
      <c r="L437" t="n">
        <v>0</v>
      </c>
      <c r="M437" t="n">
        <v>0</v>
      </c>
      <c r="N437" t="n">
        <v>0</v>
      </c>
      <c r="O437" t="n">
        <v>0</v>
      </c>
      <c r="P437" t="n">
        <v>0</v>
      </c>
      <c r="Q437" t="n">
        <v>0</v>
      </c>
      <c r="R437" s="2" t="inlineStr"/>
    </row>
    <row r="438" ht="15" customHeight="1">
      <c r="A438" t="inlineStr">
        <is>
          <t>A 45320-2025</t>
        </is>
      </c>
      <c r="B438" s="1" t="n">
        <v>45921.96395833333</v>
      </c>
      <c r="C438" s="1" t="n">
        <v>46106</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36299-2025</t>
        </is>
      </c>
      <c r="B439" s="1" t="n">
        <v>45867.69346064814</v>
      </c>
      <c r="C439" s="1" t="n">
        <v>46106</v>
      </c>
      <c r="D439" t="inlineStr">
        <is>
          <t>KALMAR LÄN</t>
        </is>
      </c>
      <c r="E439" t="inlineStr">
        <is>
          <t>VIMMERBY</t>
        </is>
      </c>
      <c r="G439" t="n">
        <v>7.6</v>
      </c>
      <c r="H439" t="n">
        <v>0</v>
      </c>
      <c r="I439" t="n">
        <v>0</v>
      </c>
      <c r="J439" t="n">
        <v>0</v>
      </c>
      <c r="K439" t="n">
        <v>0</v>
      </c>
      <c r="L439" t="n">
        <v>0</v>
      </c>
      <c r="M439" t="n">
        <v>0</v>
      </c>
      <c r="N439" t="n">
        <v>0</v>
      </c>
      <c r="O439" t="n">
        <v>0</v>
      </c>
      <c r="P439" t="n">
        <v>0</v>
      </c>
      <c r="Q439" t="n">
        <v>0</v>
      </c>
      <c r="R439" s="2" t="inlineStr"/>
    </row>
    <row r="440" ht="15" customHeight="1">
      <c r="A440" t="inlineStr">
        <is>
          <t>A 32633-2023</t>
        </is>
      </c>
      <c r="B440" s="1" t="n">
        <v>45121.58699074074</v>
      </c>
      <c r="C440" s="1" t="n">
        <v>46106</v>
      </c>
      <c r="D440" t="inlineStr">
        <is>
          <t>KALMAR LÄN</t>
        </is>
      </c>
      <c r="E440" t="inlineStr">
        <is>
          <t>VIMMERBY</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46118-2025</t>
        </is>
      </c>
      <c r="B441" s="1" t="n">
        <v>45924.57697916667</v>
      </c>
      <c r="C441" s="1" t="n">
        <v>46106</v>
      </c>
      <c r="D441" t="inlineStr">
        <is>
          <t>KALMAR LÄN</t>
        </is>
      </c>
      <c r="E441" t="inlineStr">
        <is>
          <t>VIMMERBY</t>
        </is>
      </c>
      <c r="G441" t="n">
        <v>2.9</v>
      </c>
      <c r="H441" t="n">
        <v>0</v>
      </c>
      <c r="I441" t="n">
        <v>0</v>
      </c>
      <c r="J441" t="n">
        <v>0</v>
      </c>
      <c r="K441" t="n">
        <v>0</v>
      </c>
      <c r="L441" t="n">
        <v>0</v>
      </c>
      <c r="M441" t="n">
        <v>0</v>
      </c>
      <c r="N441" t="n">
        <v>0</v>
      </c>
      <c r="O441" t="n">
        <v>0</v>
      </c>
      <c r="P441" t="n">
        <v>0</v>
      </c>
      <c r="Q441" t="n">
        <v>0</v>
      </c>
      <c r="R441" s="2" t="inlineStr"/>
    </row>
    <row r="442" ht="15" customHeight="1">
      <c r="A442" t="inlineStr">
        <is>
          <t>A 36538-2025</t>
        </is>
      </c>
      <c r="B442" s="1" t="n">
        <v>45869.62276620371</v>
      </c>
      <c r="C442" s="1" t="n">
        <v>46106</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46365-2025</t>
        </is>
      </c>
      <c r="B443" s="1" t="n">
        <v>45925.50075231482</v>
      </c>
      <c r="C443" s="1" t="n">
        <v>46106</v>
      </c>
      <c r="D443" t="inlineStr">
        <is>
          <t>KALMAR LÄN</t>
        </is>
      </c>
      <c r="E443" t="inlineStr">
        <is>
          <t>VIMMERBY</t>
        </is>
      </c>
      <c r="G443" t="n">
        <v>5.6</v>
      </c>
      <c r="H443" t="n">
        <v>0</v>
      </c>
      <c r="I443" t="n">
        <v>0</v>
      </c>
      <c r="J443" t="n">
        <v>0</v>
      </c>
      <c r="K443" t="n">
        <v>0</v>
      </c>
      <c r="L443" t="n">
        <v>0</v>
      </c>
      <c r="M443" t="n">
        <v>0</v>
      </c>
      <c r="N443" t="n">
        <v>0</v>
      </c>
      <c r="O443" t="n">
        <v>0</v>
      </c>
      <c r="P443" t="n">
        <v>0</v>
      </c>
      <c r="Q443" t="n">
        <v>0</v>
      </c>
      <c r="R443" s="2" t="inlineStr"/>
    </row>
    <row r="444" ht="15" customHeight="1">
      <c r="A444" t="inlineStr">
        <is>
          <t>A 49461-2023</t>
        </is>
      </c>
      <c r="B444" s="1" t="n">
        <v>45211.52642361111</v>
      </c>
      <c r="C444" s="1" t="n">
        <v>46106</v>
      </c>
      <c r="D444" t="inlineStr">
        <is>
          <t>KALMAR LÄN</t>
        </is>
      </c>
      <c r="E444" t="inlineStr">
        <is>
          <t>VIMMERBY</t>
        </is>
      </c>
      <c r="G444" t="n">
        <v>1.5</v>
      </c>
      <c r="H444" t="n">
        <v>0</v>
      </c>
      <c r="I444" t="n">
        <v>0</v>
      </c>
      <c r="J444" t="n">
        <v>0</v>
      </c>
      <c r="K444" t="n">
        <v>0</v>
      </c>
      <c r="L444" t="n">
        <v>0</v>
      </c>
      <c r="M444" t="n">
        <v>0</v>
      </c>
      <c r="N444" t="n">
        <v>0</v>
      </c>
      <c r="O444" t="n">
        <v>0</v>
      </c>
      <c r="P444" t="n">
        <v>0</v>
      </c>
      <c r="Q444" t="n">
        <v>0</v>
      </c>
      <c r="R444" s="2" t="inlineStr"/>
    </row>
    <row r="445" ht="15" customHeight="1">
      <c r="A445" t="inlineStr">
        <is>
          <t>A 23095-2023</t>
        </is>
      </c>
      <c r="B445" s="1" t="n">
        <v>45075.43059027778</v>
      </c>
      <c r="C445" s="1" t="n">
        <v>46106</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11429-2022</t>
        </is>
      </c>
      <c r="B446" s="1" t="n">
        <v>44630</v>
      </c>
      <c r="C446" s="1" t="n">
        <v>46106</v>
      </c>
      <c r="D446" t="inlineStr">
        <is>
          <t>KALMAR LÄN</t>
        </is>
      </c>
      <c r="E446" t="inlineStr">
        <is>
          <t>VIMMERBY</t>
        </is>
      </c>
      <c r="G446" t="n">
        <v>2.6</v>
      </c>
      <c r="H446" t="n">
        <v>0</v>
      </c>
      <c r="I446" t="n">
        <v>0</v>
      </c>
      <c r="J446" t="n">
        <v>0</v>
      </c>
      <c r="K446" t="n">
        <v>0</v>
      </c>
      <c r="L446" t="n">
        <v>0</v>
      </c>
      <c r="M446" t="n">
        <v>0</v>
      </c>
      <c r="N446" t="n">
        <v>0</v>
      </c>
      <c r="O446" t="n">
        <v>0</v>
      </c>
      <c r="P446" t="n">
        <v>0</v>
      </c>
      <c r="Q446" t="n">
        <v>0</v>
      </c>
      <c r="R446" s="2" t="inlineStr"/>
    </row>
    <row r="447" ht="15" customHeight="1">
      <c r="A447" t="inlineStr">
        <is>
          <t>A 46361-2025</t>
        </is>
      </c>
      <c r="B447" s="1" t="n">
        <v>45925.49670138889</v>
      </c>
      <c r="C447" s="1" t="n">
        <v>46106</v>
      </c>
      <c r="D447" t="inlineStr">
        <is>
          <t>KALMAR LÄN</t>
        </is>
      </c>
      <c r="E447" t="inlineStr">
        <is>
          <t>VIMMERBY</t>
        </is>
      </c>
      <c r="G447" t="n">
        <v>4.2</v>
      </c>
      <c r="H447" t="n">
        <v>0</v>
      </c>
      <c r="I447" t="n">
        <v>0</v>
      </c>
      <c r="J447" t="n">
        <v>0</v>
      </c>
      <c r="K447" t="n">
        <v>0</v>
      </c>
      <c r="L447" t="n">
        <v>0</v>
      </c>
      <c r="M447" t="n">
        <v>0</v>
      </c>
      <c r="N447" t="n">
        <v>0</v>
      </c>
      <c r="O447" t="n">
        <v>0</v>
      </c>
      <c r="P447" t="n">
        <v>0</v>
      </c>
      <c r="Q447" t="n">
        <v>0</v>
      </c>
      <c r="R447" s="2" t="inlineStr"/>
    </row>
    <row r="448" ht="15" customHeight="1">
      <c r="A448" t="inlineStr">
        <is>
          <t>A 36598-2025</t>
        </is>
      </c>
      <c r="B448" s="1" t="n">
        <v>45870.51708333333</v>
      </c>
      <c r="C448" s="1" t="n">
        <v>46106</v>
      </c>
      <c r="D448" t="inlineStr">
        <is>
          <t>KALMAR LÄN</t>
        </is>
      </c>
      <c r="E448" t="inlineStr">
        <is>
          <t>VIMMERBY</t>
        </is>
      </c>
      <c r="G448" t="n">
        <v>3.7</v>
      </c>
      <c r="H448" t="n">
        <v>0</v>
      </c>
      <c r="I448" t="n">
        <v>0</v>
      </c>
      <c r="J448" t="n">
        <v>0</v>
      </c>
      <c r="K448" t="n">
        <v>0</v>
      </c>
      <c r="L448" t="n">
        <v>0</v>
      </c>
      <c r="M448" t="n">
        <v>0</v>
      </c>
      <c r="N448" t="n">
        <v>0</v>
      </c>
      <c r="O448" t="n">
        <v>0</v>
      </c>
      <c r="P448" t="n">
        <v>0</v>
      </c>
      <c r="Q448" t="n">
        <v>0</v>
      </c>
      <c r="R448" s="2" t="inlineStr"/>
    </row>
    <row r="449" ht="15" customHeight="1">
      <c r="A449" t="inlineStr">
        <is>
          <t>A 36602-2025</t>
        </is>
      </c>
      <c r="B449" s="1" t="n">
        <v>45870.52111111111</v>
      </c>
      <c r="C449" s="1" t="n">
        <v>46106</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11141-2024</t>
        </is>
      </c>
      <c r="B450" s="1" t="n">
        <v>45371.45865740741</v>
      </c>
      <c r="C450" s="1" t="n">
        <v>46106</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28395-2023</t>
        </is>
      </c>
      <c r="B451" s="1" t="n">
        <v>45100.4062962963</v>
      </c>
      <c r="C451" s="1" t="n">
        <v>46106</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34597-2022</t>
        </is>
      </c>
      <c r="B452" s="1" t="n">
        <v>44795</v>
      </c>
      <c r="C452" s="1" t="n">
        <v>46106</v>
      </c>
      <c r="D452" t="inlineStr">
        <is>
          <t>KALMAR LÄN</t>
        </is>
      </c>
      <c r="E452" t="inlineStr">
        <is>
          <t>VIMMERBY</t>
        </is>
      </c>
      <c r="G452" t="n">
        <v>2.2</v>
      </c>
      <c r="H452" t="n">
        <v>0</v>
      </c>
      <c r="I452" t="n">
        <v>0</v>
      </c>
      <c r="J452" t="n">
        <v>0</v>
      </c>
      <c r="K452" t="n">
        <v>0</v>
      </c>
      <c r="L452" t="n">
        <v>0</v>
      </c>
      <c r="M452" t="n">
        <v>0</v>
      </c>
      <c r="N452" t="n">
        <v>0</v>
      </c>
      <c r="O452" t="n">
        <v>0</v>
      </c>
      <c r="P452" t="n">
        <v>0</v>
      </c>
      <c r="Q452" t="n">
        <v>0</v>
      </c>
      <c r="R452" s="2" t="inlineStr"/>
    </row>
    <row r="453" ht="15" customHeight="1">
      <c r="A453" t="inlineStr">
        <is>
          <t>A 46887-2025</t>
        </is>
      </c>
      <c r="B453" s="1" t="n">
        <v>45929.3672337963</v>
      </c>
      <c r="C453" s="1" t="n">
        <v>46106</v>
      </c>
      <c r="D453" t="inlineStr">
        <is>
          <t>KALMAR LÄN</t>
        </is>
      </c>
      <c r="E453" t="inlineStr">
        <is>
          <t>VIMMERBY</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36603-2025</t>
        </is>
      </c>
      <c r="B454" s="1" t="n">
        <v>45870.52142361111</v>
      </c>
      <c r="C454" s="1" t="n">
        <v>46106</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45856-2025</t>
        </is>
      </c>
      <c r="B455" s="1" t="n">
        <v>45923</v>
      </c>
      <c r="C455" s="1" t="n">
        <v>46106</v>
      </c>
      <c r="D455" t="inlineStr">
        <is>
          <t>KALMAR LÄN</t>
        </is>
      </c>
      <c r="E455" t="inlineStr">
        <is>
          <t>VIMMERBY</t>
        </is>
      </c>
      <c r="G455" t="n">
        <v>2.1</v>
      </c>
      <c r="H455" t="n">
        <v>0</v>
      </c>
      <c r="I455" t="n">
        <v>0</v>
      </c>
      <c r="J455" t="n">
        <v>0</v>
      </c>
      <c r="K455" t="n">
        <v>0</v>
      </c>
      <c r="L455" t="n">
        <v>0</v>
      </c>
      <c r="M455" t="n">
        <v>0</v>
      </c>
      <c r="N455" t="n">
        <v>0</v>
      </c>
      <c r="O455" t="n">
        <v>0</v>
      </c>
      <c r="P455" t="n">
        <v>0</v>
      </c>
      <c r="Q455" t="n">
        <v>0</v>
      </c>
      <c r="R455" s="2" t="inlineStr"/>
    </row>
    <row r="456" ht="15" customHeight="1">
      <c r="A456" t="inlineStr">
        <is>
          <t>A 36600-2025</t>
        </is>
      </c>
      <c r="B456" s="1" t="n">
        <v>45870.51958333333</v>
      </c>
      <c r="C456" s="1" t="n">
        <v>46106</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36601-2025</t>
        </is>
      </c>
      <c r="B457" s="1" t="n">
        <v>45870.52005787037</v>
      </c>
      <c r="C457" s="1" t="n">
        <v>46106</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64428-2023</t>
        </is>
      </c>
      <c r="B458" s="1" t="n">
        <v>45280.66769675926</v>
      </c>
      <c r="C458" s="1" t="n">
        <v>46106</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30588-2023</t>
        </is>
      </c>
      <c r="B459" s="1" t="n">
        <v>45112.33599537037</v>
      </c>
      <c r="C459" s="1" t="n">
        <v>46106</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30503-2023</t>
        </is>
      </c>
      <c r="B460" s="1" t="n">
        <v>45111</v>
      </c>
      <c r="C460" s="1" t="n">
        <v>46106</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45854-2025</t>
        </is>
      </c>
      <c r="B461" s="1" t="n">
        <v>45923</v>
      </c>
      <c r="C461" s="1" t="n">
        <v>46106</v>
      </c>
      <c r="D461" t="inlineStr">
        <is>
          <t>KALMAR LÄN</t>
        </is>
      </c>
      <c r="E461" t="inlineStr">
        <is>
          <t>VIMMERBY</t>
        </is>
      </c>
      <c r="G461" t="n">
        <v>2.2</v>
      </c>
      <c r="H461" t="n">
        <v>0</v>
      </c>
      <c r="I461" t="n">
        <v>0</v>
      </c>
      <c r="J461" t="n">
        <v>0</v>
      </c>
      <c r="K461" t="n">
        <v>0</v>
      </c>
      <c r="L461" t="n">
        <v>0</v>
      </c>
      <c r="M461" t="n">
        <v>0</v>
      </c>
      <c r="N461" t="n">
        <v>0</v>
      </c>
      <c r="O461" t="n">
        <v>0</v>
      </c>
      <c r="P461" t="n">
        <v>0</v>
      </c>
      <c r="Q461" t="n">
        <v>0</v>
      </c>
      <c r="R461" s="2" t="inlineStr"/>
    </row>
    <row r="462" ht="15" customHeight="1">
      <c r="A462" t="inlineStr">
        <is>
          <t>A 45855-2025</t>
        </is>
      </c>
      <c r="B462" s="1" t="n">
        <v>45923</v>
      </c>
      <c r="C462" s="1" t="n">
        <v>46106</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37088-2025</t>
        </is>
      </c>
      <c r="B463" s="1" t="n">
        <v>45875.45716435185</v>
      </c>
      <c r="C463" s="1" t="n">
        <v>46106</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37102-2025</t>
        </is>
      </c>
      <c r="B464" s="1" t="n">
        <v>45875.47454861111</v>
      </c>
      <c r="C464" s="1" t="n">
        <v>46106</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37079-2025</t>
        </is>
      </c>
      <c r="B465" s="1" t="n">
        <v>45875.42716435185</v>
      </c>
      <c r="C465" s="1" t="n">
        <v>46106</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47263-2023</t>
        </is>
      </c>
      <c r="B466" s="1" t="n">
        <v>45202.4209837963</v>
      </c>
      <c r="C466" s="1" t="n">
        <v>46106</v>
      </c>
      <c r="D466" t="inlineStr">
        <is>
          <t>KALMAR LÄN</t>
        </is>
      </c>
      <c r="E466" t="inlineStr">
        <is>
          <t>VIMMERBY</t>
        </is>
      </c>
      <c r="G466" t="n">
        <v>1.8</v>
      </c>
      <c r="H466" t="n">
        <v>0</v>
      </c>
      <c r="I466" t="n">
        <v>0</v>
      </c>
      <c r="J466" t="n">
        <v>0</v>
      </c>
      <c r="K466" t="n">
        <v>0</v>
      </c>
      <c r="L466" t="n">
        <v>0</v>
      </c>
      <c r="M466" t="n">
        <v>0</v>
      </c>
      <c r="N466" t="n">
        <v>0</v>
      </c>
      <c r="O466" t="n">
        <v>0</v>
      </c>
      <c r="P466" t="n">
        <v>0</v>
      </c>
      <c r="Q466" t="n">
        <v>0</v>
      </c>
      <c r="R466" s="2" t="inlineStr"/>
    </row>
    <row r="467" ht="15" customHeight="1">
      <c r="A467" t="inlineStr">
        <is>
          <t>A 58100-2024</t>
        </is>
      </c>
      <c r="B467" s="1" t="n">
        <v>45632.36706018518</v>
      </c>
      <c r="C467" s="1" t="n">
        <v>46106</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36934-2025</t>
        </is>
      </c>
      <c r="B468" s="1" t="n">
        <v>45874.57109953704</v>
      </c>
      <c r="C468" s="1" t="n">
        <v>46106</v>
      </c>
      <c r="D468" t="inlineStr">
        <is>
          <t>KALMAR LÄN</t>
        </is>
      </c>
      <c r="E468" t="inlineStr">
        <is>
          <t>VIMMERBY</t>
        </is>
      </c>
      <c r="G468" t="n">
        <v>4.2</v>
      </c>
      <c r="H468" t="n">
        <v>0</v>
      </c>
      <c r="I468" t="n">
        <v>0</v>
      </c>
      <c r="J468" t="n">
        <v>0</v>
      </c>
      <c r="K468" t="n">
        <v>0</v>
      </c>
      <c r="L468" t="n">
        <v>0</v>
      </c>
      <c r="M468" t="n">
        <v>0</v>
      </c>
      <c r="N468" t="n">
        <v>0</v>
      </c>
      <c r="O468" t="n">
        <v>0</v>
      </c>
      <c r="P468" t="n">
        <v>0</v>
      </c>
      <c r="Q468" t="n">
        <v>0</v>
      </c>
      <c r="R468" s="2" t="inlineStr"/>
    </row>
    <row r="469" ht="15" customHeight="1">
      <c r="A469" t="inlineStr">
        <is>
          <t>A 58159-2024</t>
        </is>
      </c>
      <c r="B469" s="1" t="n">
        <v>45632.44886574074</v>
      </c>
      <c r="C469" s="1" t="n">
        <v>46106</v>
      </c>
      <c r="D469" t="inlineStr">
        <is>
          <t>KALMAR LÄN</t>
        </is>
      </c>
      <c r="E469" t="inlineStr">
        <is>
          <t>VIMMERBY</t>
        </is>
      </c>
      <c r="G469" t="n">
        <v>7.5</v>
      </c>
      <c r="H469" t="n">
        <v>0</v>
      </c>
      <c r="I469" t="n">
        <v>0</v>
      </c>
      <c r="J469" t="n">
        <v>0</v>
      </c>
      <c r="K469" t="n">
        <v>0</v>
      </c>
      <c r="L469" t="n">
        <v>0</v>
      </c>
      <c r="M469" t="n">
        <v>0</v>
      </c>
      <c r="N469" t="n">
        <v>0</v>
      </c>
      <c r="O469" t="n">
        <v>0</v>
      </c>
      <c r="P469" t="n">
        <v>0</v>
      </c>
      <c r="Q469" t="n">
        <v>0</v>
      </c>
      <c r="R469" s="2" t="inlineStr"/>
    </row>
    <row r="470" ht="15" customHeight="1">
      <c r="A470" t="inlineStr">
        <is>
          <t>A 47227-2025</t>
        </is>
      </c>
      <c r="B470" s="1" t="n">
        <v>45930.39769675926</v>
      </c>
      <c r="C470" s="1" t="n">
        <v>46106</v>
      </c>
      <c r="D470" t="inlineStr">
        <is>
          <t>KALMAR LÄN</t>
        </is>
      </c>
      <c r="E470" t="inlineStr">
        <is>
          <t>VIMMERBY</t>
        </is>
      </c>
      <c r="G470" t="n">
        <v>1.3</v>
      </c>
      <c r="H470" t="n">
        <v>0</v>
      </c>
      <c r="I470" t="n">
        <v>0</v>
      </c>
      <c r="J470" t="n">
        <v>0</v>
      </c>
      <c r="K470" t="n">
        <v>0</v>
      </c>
      <c r="L470" t="n">
        <v>0</v>
      </c>
      <c r="M470" t="n">
        <v>0</v>
      </c>
      <c r="N470" t="n">
        <v>0</v>
      </c>
      <c r="O470" t="n">
        <v>0</v>
      </c>
      <c r="P470" t="n">
        <v>0</v>
      </c>
      <c r="Q470" t="n">
        <v>0</v>
      </c>
      <c r="R470" s="2" t="inlineStr"/>
    </row>
    <row r="471" ht="15" customHeight="1">
      <c r="A471" t="inlineStr">
        <is>
          <t>A 57114-2023</t>
        </is>
      </c>
      <c r="B471" s="1" t="n">
        <v>45245.36174768519</v>
      </c>
      <c r="C471" s="1" t="n">
        <v>46106</v>
      </c>
      <c r="D471" t="inlineStr">
        <is>
          <t>KALMAR LÄN</t>
        </is>
      </c>
      <c r="E471" t="inlineStr">
        <is>
          <t>VIMMERBY</t>
        </is>
      </c>
      <c r="G471" t="n">
        <v>1.5</v>
      </c>
      <c r="H471" t="n">
        <v>0</v>
      </c>
      <c r="I471" t="n">
        <v>0</v>
      </c>
      <c r="J471" t="n">
        <v>0</v>
      </c>
      <c r="K471" t="n">
        <v>0</v>
      </c>
      <c r="L471" t="n">
        <v>0</v>
      </c>
      <c r="M471" t="n">
        <v>0</v>
      </c>
      <c r="N471" t="n">
        <v>0</v>
      </c>
      <c r="O471" t="n">
        <v>0</v>
      </c>
      <c r="P471" t="n">
        <v>0</v>
      </c>
      <c r="Q471" t="n">
        <v>0</v>
      </c>
      <c r="R471" s="2" t="inlineStr"/>
    </row>
    <row r="472" ht="15" customHeight="1">
      <c r="A472" t="inlineStr">
        <is>
          <t>A 3423-2022</t>
        </is>
      </c>
      <c r="B472" s="1" t="n">
        <v>44585.50431712963</v>
      </c>
      <c r="C472" s="1" t="n">
        <v>46106</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40665-2023</t>
        </is>
      </c>
      <c r="B473" s="1" t="n">
        <v>45170</v>
      </c>
      <c r="C473" s="1" t="n">
        <v>46106</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48299-2025</t>
        </is>
      </c>
      <c r="B474" s="1" t="n">
        <v>45933.60982638889</v>
      </c>
      <c r="C474" s="1" t="n">
        <v>46106</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37578-2025</t>
        </is>
      </c>
      <c r="B475" s="1" t="n">
        <v>45880.38380787037</v>
      </c>
      <c r="C475" s="1" t="n">
        <v>46106</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47965-2025</t>
        </is>
      </c>
      <c r="B476" s="1" t="n">
        <v>45932.59597222223</v>
      </c>
      <c r="C476" s="1" t="n">
        <v>46106</v>
      </c>
      <c r="D476" t="inlineStr">
        <is>
          <t>KALMAR LÄN</t>
        </is>
      </c>
      <c r="E476" t="inlineStr">
        <is>
          <t>VIMMERBY</t>
        </is>
      </c>
      <c r="G476" t="n">
        <v>2.2</v>
      </c>
      <c r="H476" t="n">
        <v>0</v>
      </c>
      <c r="I476" t="n">
        <v>0</v>
      </c>
      <c r="J476" t="n">
        <v>0</v>
      </c>
      <c r="K476" t="n">
        <v>0</v>
      </c>
      <c r="L476" t="n">
        <v>0</v>
      </c>
      <c r="M476" t="n">
        <v>0</v>
      </c>
      <c r="N476" t="n">
        <v>0</v>
      </c>
      <c r="O476" t="n">
        <v>0</v>
      </c>
      <c r="P476" t="n">
        <v>0</v>
      </c>
      <c r="Q476" t="n">
        <v>0</v>
      </c>
      <c r="R476" s="2" t="inlineStr"/>
    </row>
    <row r="477" ht="15" customHeight="1">
      <c r="A477" t="inlineStr">
        <is>
          <t>A 50860-2022</t>
        </is>
      </c>
      <c r="B477" s="1" t="n">
        <v>44867</v>
      </c>
      <c r="C477" s="1" t="n">
        <v>46106</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25370-2022</t>
        </is>
      </c>
      <c r="B478" s="1" t="n">
        <v>44732.3659837963</v>
      </c>
      <c r="C478" s="1" t="n">
        <v>46106</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58577-2024</t>
        </is>
      </c>
      <c r="B479" s="1" t="n">
        <v>45635.4874537037</v>
      </c>
      <c r="C479" s="1" t="n">
        <v>46106</v>
      </c>
      <c r="D479" t="inlineStr">
        <is>
          <t>KALMAR LÄN</t>
        </is>
      </c>
      <c r="E479" t="inlineStr">
        <is>
          <t>VIMMERBY</t>
        </is>
      </c>
      <c r="G479" t="n">
        <v>1.1</v>
      </c>
      <c r="H479" t="n">
        <v>0</v>
      </c>
      <c r="I479" t="n">
        <v>0</v>
      </c>
      <c r="J479" t="n">
        <v>0</v>
      </c>
      <c r="K479" t="n">
        <v>0</v>
      </c>
      <c r="L479" t="n">
        <v>0</v>
      </c>
      <c r="M479" t="n">
        <v>0</v>
      </c>
      <c r="N479" t="n">
        <v>0</v>
      </c>
      <c r="O479" t="n">
        <v>0</v>
      </c>
      <c r="P479" t="n">
        <v>0</v>
      </c>
      <c r="Q479" t="n">
        <v>0</v>
      </c>
      <c r="R479" s="2" t="inlineStr"/>
    </row>
    <row r="480" ht="15" customHeight="1">
      <c r="A480" t="inlineStr">
        <is>
          <t>A 37668-2025</t>
        </is>
      </c>
      <c r="B480" s="1" t="n">
        <v>45880.51550925926</v>
      </c>
      <c r="C480" s="1" t="n">
        <v>46106</v>
      </c>
      <c r="D480" t="inlineStr">
        <is>
          <t>KALMAR LÄN</t>
        </is>
      </c>
      <c r="E480" t="inlineStr">
        <is>
          <t>VIMMERBY</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29440-2024</t>
        </is>
      </c>
      <c r="B481" s="1" t="n">
        <v>45483.82479166667</v>
      </c>
      <c r="C481" s="1" t="n">
        <v>46106</v>
      </c>
      <c r="D481" t="inlineStr">
        <is>
          <t>KALMAR LÄN</t>
        </is>
      </c>
      <c r="E481" t="inlineStr">
        <is>
          <t>VIMMERBY</t>
        </is>
      </c>
      <c r="G481" t="n">
        <v>4.5</v>
      </c>
      <c r="H481" t="n">
        <v>0</v>
      </c>
      <c r="I481" t="n">
        <v>0</v>
      </c>
      <c r="J481" t="n">
        <v>0</v>
      </c>
      <c r="K481" t="n">
        <v>0</v>
      </c>
      <c r="L481" t="n">
        <v>0</v>
      </c>
      <c r="M481" t="n">
        <v>0</v>
      </c>
      <c r="N481" t="n">
        <v>0</v>
      </c>
      <c r="O481" t="n">
        <v>0</v>
      </c>
      <c r="P481" t="n">
        <v>0</v>
      </c>
      <c r="Q481" t="n">
        <v>0</v>
      </c>
      <c r="R481" s="2" t="inlineStr"/>
    </row>
    <row r="482" ht="15" customHeight="1">
      <c r="A482" t="inlineStr">
        <is>
          <t>A 47955-2025</t>
        </is>
      </c>
      <c r="B482" s="1" t="n">
        <v>45932.58896990741</v>
      </c>
      <c r="C482" s="1" t="n">
        <v>46106</v>
      </c>
      <c r="D482" t="inlineStr">
        <is>
          <t>KALMAR LÄN</t>
        </is>
      </c>
      <c r="E482" t="inlineStr">
        <is>
          <t>VIMMERBY</t>
        </is>
      </c>
      <c r="G482" t="n">
        <v>3.4</v>
      </c>
      <c r="H482" t="n">
        <v>0</v>
      </c>
      <c r="I482" t="n">
        <v>0</v>
      </c>
      <c r="J482" t="n">
        <v>0</v>
      </c>
      <c r="K482" t="n">
        <v>0</v>
      </c>
      <c r="L482" t="n">
        <v>0</v>
      </c>
      <c r="M482" t="n">
        <v>0</v>
      </c>
      <c r="N482" t="n">
        <v>0</v>
      </c>
      <c r="O482" t="n">
        <v>0</v>
      </c>
      <c r="P482" t="n">
        <v>0</v>
      </c>
      <c r="Q482" t="n">
        <v>0</v>
      </c>
      <c r="R482" s="2" t="inlineStr"/>
    </row>
    <row r="483" ht="15" customHeight="1">
      <c r="A483" t="inlineStr">
        <is>
          <t>A 48723-2025</t>
        </is>
      </c>
      <c r="B483" s="1" t="n">
        <v>45936.65121527778</v>
      </c>
      <c r="C483" s="1" t="n">
        <v>46106</v>
      </c>
      <c r="D483" t="inlineStr">
        <is>
          <t>KALMAR LÄN</t>
        </is>
      </c>
      <c r="E483" t="inlineStr">
        <is>
          <t>VIMMERBY</t>
        </is>
      </c>
      <c r="G483" t="n">
        <v>3</v>
      </c>
      <c r="H483" t="n">
        <v>0</v>
      </c>
      <c r="I483" t="n">
        <v>0</v>
      </c>
      <c r="J483" t="n">
        <v>0</v>
      </c>
      <c r="K483" t="n">
        <v>0</v>
      </c>
      <c r="L483" t="n">
        <v>0</v>
      </c>
      <c r="M483" t="n">
        <v>0</v>
      </c>
      <c r="N483" t="n">
        <v>0</v>
      </c>
      <c r="O483" t="n">
        <v>0</v>
      </c>
      <c r="P483" t="n">
        <v>0</v>
      </c>
      <c r="Q483" t="n">
        <v>0</v>
      </c>
      <c r="R483" s="2" t="inlineStr"/>
    </row>
    <row r="484" ht="15" customHeight="1">
      <c r="A484" t="inlineStr">
        <is>
          <t>A 48712-2025</t>
        </is>
      </c>
      <c r="B484" s="1" t="n">
        <v>45936.63373842592</v>
      </c>
      <c r="C484" s="1" t="n">
        <v>46106</v>
      </c>
      <c r="D484" t="inlineStr">
        <is>
          <t>KALMAR LÄN</t>
        </is>
      </c>
      <c r="E484" t="inlineStr">
        <is>
          <t>VIMMERBY</t>
        </is>
      </c>
      <c r="G484" t="n">
        <v>3</v>
      </c>
      <c r="H484" t="n">
        <v>0</v>
      </c>
      <c r="I484" t="n">
        <v>0</v>
      </c>
      <c r="J484" t="n">
        <v>0</v>
      </c>
      <c r="K484" t="n">
        <v>0</v>
      </c>
      <c r="L484" t="n">
        <v>0</v>
      </c>
      <c r="M484" t="n">
        <v>0</v>
      </c>
      <c r="N484" t="n">
        <v>0</v>
      </c>
      <c r="O484" t="n">
        <v>0</v>
      </c>
      <c r="P484" t="n">
        <v>0</v>
      </c>
      <c r="Q484" t="n">
        <v>0</v>
      </c>
      <c r="R484" s="2" t="inlineStr"/>
    </row>
    <row r="485" ht="15" customHeight="1">
      <c r="A485" t="inlineStr">
        <is>
          <t>A 48408-2025</t>
        </is>
      </c>
      <c r="B485" s="1" t="n">
        <v>45934.40527777778</v>
      </c>
      <c r="C485" s="1" t="n">
        <v>46106</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48409-2025</t>
        </is>
      </c>
      <c r="B486" s="1" t="n">
        <v>45934.41387731482</v>
      </c>
      <c r="C486" s="1" t="n">
        <v>46106</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48600-2025</t>
        </is>
      </c>
      <c r="B487" s="1" t="n">
        <v>45935</v>
      </c>
      <c r="C487" s="1" t="n">
        <v>46106</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37939-2025</t>
        </is>
      </c>
      <c r="B488" s="1" t="n">
        <v>45881.59877314815</v>
      </c>
      <c r="C488" s="1" t="n">
        <v>46106</v>
      </c>
      <c r="D488" t="inlineStr">
        <is>
          <t>KALMAR LÄN</t>
        </is>
      </c>
      <c r="E488" t="inlineStr">
        <is>
          <t>VIMMERBY</t>
        </is>
      </c>
      <c r="G488" t="n">
        <v>1.3</v>
      </c>
      <c r="H488" t="n">
        <v>0</v>
      </c>
      <c r="I488" t="n">
        <v>0</v>
      </c>
      <c r="J488" t="n">
        <v>0</v>
      </c>
      <c r="K488" t="n">
        <v>0</v>
      </c>
      <c r="L488" t="n">
        <v>0</v>
      </c>
      <c r="M488" t="n">
        <v>0</v>
      </c>
      <c r="N488" t="n">
        <v>0</v>
      </c>
      <c r="O488" t="n">
        <v>0</v>
      </c>
      <c r="P488" t="n">
        <v>0</v>
      </c>
      <c r="Q488" t="n">
        <v>0</v>
      </c>
      <c r="R488" s="2" t="inlineStr"/>
    </row>
    <row r="489" ht="15" customHeight="1">
      <c r="A489" t="inlineStr">
        <is>
          <t>A 37866-2025</t>
        </is>
      </c>
      <c r="B489" s="1" t="n">
        <v>45881</v>
      </c>
      <c r="C489" s="1" t="n">
        <v>46106</v>
      </c>
      <c r="D489" t="inlineStr">
        <is>
          <t>KALMAR LÄN</t>
        </is>
      </c>
      <c r="E489" t="inlineStr">
        <is>
          <t>VIMMERBY</t>
        </is>
      </c>
      <c r="G489" t="n">
        <v>3.4</v>
      </c>
      <c r="H489" t="n">
        <v>0</v>
      </c>
      <c r="I489" t="n">
        <v>0</v>
      </c>
      <c r="J489" t="n">
        <v>0</v>
      </c>
      <c r="K489" t="n">
        <v>0</v>
      </c>
      <c r="L489" t="n">
        <v>0</v>
      </c>
      <c r="M489" t="n">
        <v>0</v>
      </c>
      <c r="N489" t="n">
        <v>0</v>
      </c>
      <c r="O489" t="n">
        <v>0</v>
      </c>
      <c r="P489" t="n">
        <v>0</v>
      </c>
      <c r="Q489" t="n">
        <v>0</v>
      </c>
      <c r="R489" s="2" t="inlineStr"/>
    </row>
    <row r="490" ht="15" customHeight="1">
      <c r="A490" t="inlineStr">
        <is>
          <t>A 9129-2025</t>
        </is>
      </c>
      <c r="B490" s="1" t="n">
        <v>45713.92412037037</v>
      </c>
      <c r="C490" s="1" t="n">
        <v>46106</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22197-2024</t>
        </is>
      </c>
      <c r="B491" s="1" t="n">
        <v>45446.36774305555</v>
      </c>
      <c r="C491" s="1" t="n">
        <v>46106</v>
      </c>
      <c r="D491" t="inlineStr">
        <is>
          <t>KALMAR LÄN</t>
        </is>
      </c>
      <c r="E491" t="inlineStr">
        <is>
          <t>VIMMERBY</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53752-2024</t>
        </is>
      </c>
      <c r="B492" s="1" t="n">
        <v>45615.48927083334</v>
      </c>
      <c r="C492" s="1" t="n">
        <v>46106</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12121-2025</t>
        </is>
      </c>
      <c r="B493" s="1" t="n">
        <v>45729.36868055556</v>
      </c>
      <c r="C493" s="1" t="n">
        <v>46106</v>
      </c>
      <c r="D493" t="inlineStr">
        <is>
          <t>KALMAR LÄN</t>
        </is>
      </c>
      <c r="E493" t="inlineStr">
        <is>
          <t>VIMMERBY</t>
        </is>
      </c>
      <c r="G493" t="n">
        <v>4.3</v>
      </c>
      <c r="H493" t="n">
        <v>0</v>
      </c>
      <c r="I493" t="n">
        <v>0</v>
      </c>
      <c r="J493" t="n">
        <v>0</v>
      </c>
      <c r="K493" t="n">
        <v>0</v>
      </c>
      <c r="L493" t="n">
        <v>0</v>
      </c>
      <c r="M493" t="n">
        <v>0</v>
      </c>
      <c r="N493" t="n">
        <v>0</v>
      </c>
      <c r="O493" t="n">
        <v>0</v>
      </c>
      <c r="P493" t="n">
        <v>0</v>
      </c>
      <c r="Q493" t="n">
        <v>0</v>
      </c>
      <c r="R493" s="2" t="inlineStr"/>
    </row>
    <row r="494" ht="15" customHeight="1">
      <c r="A494" t="inlineStr">
        <is>
          <t>A 9710-2023</t>
        </is>
      </c>
      <c r="B494" s="1" t="n">
        <v>44984</v>
      </c>
      <c r="C494" s="1" t="n">
        <v>46106</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9720-2023</t>
        </is>
      </c>
      <c r="B495" s="1" t="n">
        <v>44984</v>
      </c>
      <c r="C495" s="1" t="n">
        <v>46106</v>
      </c>
      <c r="D495" t="inlineStr">
        <is>
          <t>KALMAR LÄN</t>
        </is>
      </c>
      <c r="E495" t="inlineStr">
        <is>
          <t>VIMMERBY</t>
        </is>
      </c>
      <c r="G495" t="n">
        <v>4.4</v>
      </c>
      <c r="H495" t="n">
        <v>0</v>
      </c>
      <c r="I495" t="n">
        <v>0</v>
      </c>
      <c r="J495" t="n">
        <v>0</v>
      </c>
      <c r="K495" t="n">
        <v>0</v>
      </c>
      <c r="L495" t="n">
        <v>0</v>
      </c>
      <c r="M495" t="n">
        <v>0</v>
      </c>
      <c r="N495" t="n">
        <v>0</v>
      </c>
      <c r="O495" t="n">
        <v>0</v>
      </c>
      <c r="P495" t="n">
        <v>0</v>
      </c>
      <c r="Q495" t="n">
        <v>0</v>
      </c>
      <c r="R495" s="2" t="inlineStr"/>
    </row>
    <row r="496" ht="15" customHeight="1">
      <c r="A496" t="inlineStr">
        <is>
          <t>A 38964-2025</t>
        </is>
      </c>
      <c r="B496" s="1" t="n">
        <v>45887.68759259259</v>
      </c>
      <c r="C496" s="1" t="n">
        <v>46106</v>
      </c>
      <c r="D496" t="inlineStr">
        <is>
          <t>KALMAR LÄN</t>
        </is>
      </c>
      <c r="E496" t="inlineStr">
        <is>
          <t>VIMMERBY</t>
        </is>
      </c>
      <c r="G496" t="n">
        <v>7.5</v>
      </c>
      <c r="H496" t="n">
        <v>0</v>
      </c>
      <c r="I496" t="n">
        <v>0</v>
      </c>
      <c r="J496" t="n">
        <v>0</v>
      </c>
      <c r="K496" t="n">
        <v>0</v>
      </c>
      <c r="L496" t="n">
        <v>0</v>
      </c>
      <c r="M496" t="n">
        <v>0</v>
      </c>
      <c r="N496" t="n">
        <v>0</v>
      </c>
      <c r="O496" t="n">
        <v>0</v>
      </c>
      <c r="P496" t="n">
        <v>0</v>
      </c>
      <c r="Q496" t="n">
        <v>0</v>
      </c>
      <c r="R496" s="2" t="inlineStr"/>
    </row>
    <row r="497" ht="15" customHeight="1">
      <c r="A497" t="inlineStr">
        <is>
          <t>A 15493-2023</t>
        </is>
      </c>
      <c r="B497" s="1" t="n">
        <v>45018</v>
      </c>
      <c r="C497" s="1" t="n">
        <v>46106</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29093-2023</t>
        </is>
      </c>
      <c r="B498" s="1" t="n">
        <v>45105</v>
      </c>
      <c r="C498" s="1" t="n">
        <v>46106</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33352-2022</t>
        </is>
      </c>
      <c r="B499" s="1" t="n">
        <v>44788</v>
      </c>
      <c r="C499" s="1" t="n">
        <v>46106</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22264-2023</t>
        </is>
      </c>
      <c r="B500" s="1" t="n">
        <v>45070.3665625</v>
      </c>
      <c r="C500" s="1" t="n">
        <v>46106</v>
      </c>
      <c r="D500" t="inlineStr">
        <is>
          <t>KALMAR LÄN</t>
        </is>
      </c>
      <c r="E500" t="inlineStr">
        <is>
          <t>VIMMERBY</t>
        </is>
      </c>
      <c r="G500" t="n">
        <v>1</v>
      </c>
      <c r="H500" t="n">
        <v>0</v>
      </c>
      <c r="I500" t="n">
        <v>0</v>
      </c>
      <c r="J500" t="n">
        <v>0</v>
      </c>
      <c r="K500" t="n">
        <v>0</v>
      </c>
      <c r="L500" t="n">
        <v>0</v>
      </c>
      <c r="M500" t="n">
        <v>0</v>
      </c>
      <c r="N500" t="n">
        <v>0</v>
      </c>
      <c r="O500" t="n">
        <v>0</v>
      </c>
      <c r="P500" t="n">
        <v>0</v>
      </c>
      <c r="Q500" t="n">
        <v>0</v>
      </c>
      <c r="R500" s="2" t="inlineStr"/>
    </row>
    <row r="501" ht="15" customHeight="1">
      <c r="A501" t="inlineStr">
        <is>
          <t>A 49871-2025</t>
        </is>
      </c>
      <c r="B501" s="1" t="n">
        <v>45940.54104166666</v>
      </c>
      <c r="C501" s="1" t="n">
        <v>46106</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16676-2023</t>
        </is>
      </c>
      <c r="B502" s="1" t="n">
        <v>45028</v>
      </c>
      <c r="C502" s="1" t="n">
        <v>46106</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6220-2025</t>
        </is>
      </c>
      <c r="B503" s="1" t="n">
        <v>45698.53725694444</v>
      </c>
      <c r="C503" s="1" t="n">
        <v>46106</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24096-2024</t>
        </is>
      </c>
      <c r="B504" s="1" t="n">
        <v>45456.59289351852</v>
      </c>
      <c r="C504" s="1" t="n">
        <v>46106</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29013-2024</t>
        </is>
      </c>
      <c r="B505" s="1" t="n">
        <v>45481.55984953704</v>
      </c>
      <c r="C505" s="1" t="n">
        <v>46106</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6066-2023</t>
        </is>
      </c>
      <c r="B506" s="1" t="n">
        <v>44964.50894675926</v>
      </c>
      <c r="C506" s="1" t="n">
        <v>46106</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59955-2023</t>
        </is>
      </c>
      <c r="B507" s="1" t="n">
        <v>45257.70313657408</v>
      </c>
      <c r="C507" s="1" t="n">
        <v>46106</v>
      </c>
      <c r="D507" t="inlineStr">
        <is>
          <t>KALMAR LÄN</t>
        </is>
      </c>
      <c r="E507" t="inlineStr">
        <is>
          <t>VIMMERBY</t>
        </is>
      </c>
      <c r="G507" t="n">
        <v>13.8</v>
      </c>
      <c r="H507" t="n">
        <v>0</v>
      </c>
      <c r="I507" t="n">
        <v>0</v>
      </c>
      <c r="J507" t="n">
        <v>0</v>
      </c>
      <c r="K507" t="n">
        <v>0</v>
      </c>
      <c r="L507" t="n">
        <v>0</v>
      </c>
      <c r="M507" t="n">
        <v>0</v>
      </c>
      <c r="N507" t="n">
        <v>0</v>
      </c>
      <c r="O507" t="n">
        <v>0</v>
      </c>
      <c r="P507" t="n">
        <v>0</v>
      </c>
      <c r="Q507" t="n">
        <v>0</v>
      </c>
      <c r="R507" s="2" t="inlineStr"/>
    </row>
    <row r="508" ht="15" customHeight="1">
      <c r="A508" t="inlineStr">
        <is>
          <t>A 36040-2024</t>
        </is>
      </c>
      <c r="B508" s="1" t="n">
        <v>45533.60232638889</v>
      </c>
      <c r="C508" s="1" t="n">
        <v>46106</v>
      </c>
      <c r="D508" t="inlineStr">
        <is>
          <t>KALMAR LÄN</t>
        </is>
      </c>
      <c r="E508" t="inlineStr">
        <is>
          <t>VIMMERBY</t>
        </is>
      </c>
      <c r="F508" t="inlineStr">
        <is>
          <t>Kommuner</t>
        </is>
      </c>
      <c r="G508" t="n">
        <v>3.6</v>
      </c>
      <c r="H508" t="n">
        <v>0</v>
      </c>
      <c r="I508" t="n">
        <v>0</v>
      </c>
      <c r="J508" t="n">
        <v>0</v>
      </c>
      <c r="K508" t="n">
        <v>0</v>
      </c>
      <c r="L508" t="n">
        <v>0</v>
      </c>
      <c r="M508" t="n">
        <v>0</v>
      </c>
      <c r="N508" t="n">
        <v>0</v>
      </c>
      <c r="O508" t="n">
        <v>0</v>
      </c>
      <c r="P508" t="n">
        <v>0</v>
      </c>
      <c r="Q508" t="n">
        <v>0</v>
      </c>
      <c r="R508" s="2" t="inlineStr"/>
    </row>
    <row r="509" ht="15" customHeight="1">
      <c r="A509" t="inlineStr">
        <is>
          <t>A 36043-2024</t>
        </is>
      </c>
      <c r="B509" s="1" t="n">
        <v>45533.60770833334</v>
      </c>
      <c r="C509" s="1" t="n">
        <v>46106</v>
      </c>
      <c r="D509" t="inlineStr">
        <is>
          <t>KALMAR LÄN</t>
        </is>
      </c>
      <c r="E509" t="inlineStr">
        <is>
          <t>VIMMERBY</t>
        </is>
      </c>
      <c r="F509" t="inlineStr">
        <is>
          <t>Kommuner</t>
        </is>
      </c>
      <c r="G509" t="n">
        <v>1.5</v>
      </c>
      <c r="H509" t="n">
        <v>0</v>
      </c>
      <c r="I509" t="n">
        <v>0</v>
      </c>
      <c r="J509" t="n">
        <v>0</v>
      </c>
      <c r="K509" t="n">
        <v>0</v>
      </c>
      <c r="L509" t="n">
        <v>0</v>
      </c>
      <c r="M509" t="n">
        <v>0</v>
      </c>
      <c r="N509" t="n">
        <v>0</v>
      </c>
      <c r="O509" t="n">
        <v>0</v>
      </c>
      <c r="P509" t="n">
        <v>0</v>
      </c>
      <c r="Q509" t="n">
        <v>0</v>
      </c>
      <c r="R509" s="2" t="inlineStr"/>
    </row>
    <row r="510" ht="15" customHeight="1">
      <c r="A510" t="inlineStr">
        <is>
          <t>A 12890-2023</t>
        </is>
      </c>
      <c r="B510" s="1" t="n">
        <v>45001.59209490741</v>
      </c>
      <c r="C510" s="1" t="n">
        <v>46106</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43594-2024</t>
        </is>
      </c>
      <c r="B511" s="1" t="n">
        <v>45569.44295138889</v>
      </c>
      <c r="C511" s="1" t="n">
        <v>46106</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53482-2022</t>
        </is>
      </c>
      <c r="B512" s="1" t="n">
        <v>44879</v>
      </c>
      <c r="C512" s="1" t="n">
        <v>46106</v>
      </c>
      <c r="D512" t="inlineStr">
        <is>
          <t>KALMAR LÄN</t>
        </is>
      </c>
      <c r="E512" t="inlineStr">
        <is>
          <t>VIMMERBY</t>
        </is>
      </c>
      <c r="G512" t="n">
        <v>10.1</v>
      </c>
      <c r="H512" t="n">
        <v>0</v>
      </c>
      <c r="I512" t="n">
        <v>0</v>
      </c>
      <c r="J512" t="n">
        <v>0</v>
      </c>
      <c r="K512" t="n">
        <v>0</v>
      </c>
      <c r="L512" t="n">
        <v>0</v>
      </c>
      <c r="M512" t="n">
        <v>0</v>
      </c>
      <c r="N512" t="n">
        <v>0</v>
      </c>
      <c r="O512" t="n">
        <v>0</v>
      </c>
      <c r="P512" t="n">
        <v>0</v>
      </c>
      <c r="Q512" t="n">
        <v>0</v>
      </c>
      <c r="R512" s="2" t="inlineStr"/>
    </row>
    <row r="513" ht="15" customHeight="1">
      <c r="A513" t="inlineStr">
        <is>
          <t>A 27761-2024</t>
        </is>
      </c>
      <c r="B513" s="1" t="n">
        <v>45475.49018518518</v>
      </c>
      <c r="C513" s="1" t="n">
        <v>46106</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64203-2021</t>
        </is>
      </c>
      <c r="B514" s="1" t="n">
        <v>44510.60921296296</v>
      </c>
      <c r="C514" s="1" t="n">
        <v>46106</v>
      </c>
      <c r="D514" t="inlineStr">
        <is>
          <t>KALMAR LÄN</t>
        </is>
      </c>
      <c r="E514" t="inlineStr">
        <is>
          <t>VIMMERBY</t>
        </is>
      </c>
      <c r="F514" t="inlineStr">
        <is>
          <t>Övriga Aktiebolag</t>
        </is>
      </c>
      <c r="G514" t="n">
        <v>5.4</v>
      </c>
      <c r="H514" t="n">
        <v>0</v>
      </c>
      <c r="I514" t="n">
        <v>0</v>
      </c>
      <c r="J514" t="n">
        <v>0</v>
      </c>
      <c r="K514" t="n">
        <v>0</v>
      </c>
      <c r="L514" t="n">
        <v>0</v>
      </c>
      <c r="M514" t="n">
        <v>0</v>
      </c>
      <c r="N514" t="n">
        <v>0</v>
      </c>
      <c r="O514" t="n">
        <v>0</v>
      </c>
      <c r="P514" t="n">
        <v>0</v>
      </c>
      <c r="Q514" t="n">
        <v>0</v>
      </c>
      <c r="R514" s="2" t="inlineStr"/>
    </row>
    <row r="515" ht="15" customHeight="1">
      <c r="A515" t="inlineStr">
        <is>
          <t>A 5720-2023</t>
        </is>
      </c>
      <c r="B515" s="1" t="n">
        <v>44961</v>
      </c>
      <c r="C515" s="1" t="n">
        <v>46106</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9643-2023</t>
        </is>
      </c>
      <c r="B516" s="1" t="n">
        <v>44984</v>
      </c>
      <c r="C516" s="1" t="n">
        <v>46106</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25728-2023</t>
        </is>
      </c>
      <c r="B517" s="1" t="n">
        <v>45090.38012731481</v>
      </c>
      <c r="C517" s="1" t="n">
        <v>46106</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50544-2025</t>
        </is>
      </c>
      <c r="B518" s="1" t="n">
        <v>45945.50736111111</v>
      </c>
      <c r="C518" s="1" t="n">
        <v>46106</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50324-2025</t>
        </is>
      </c>
      <c r="B519" s="1" t="n">
        <v>45944.45962962963</v>
      </c>
      <c r="C519" s="1" t="n">
        <v>46106</v>
      </c>
      <c r="D519" t="inlineStr">
        <is>
          <t>KALMAR LÄN</t>
        </is>
      </c>
      <c r="E519" t="inlineStr">
        <is>
          <t>VIMMERBY</t>
        </is>
      </c>
      <c r="G519" t="n">
        <v>2.1</v>
      </c>
      <c r="H519" t="n">
        <v>0</v>
      </c>
      <c r="I519" t="n">
        <v>0</v>
      </c>
      <c r="J519" t="n">
        <v>0</v>
      </c>
      <c r="K519" t="n">
        <v>0</v>
      </c>
      <c r="L519" t="n">
        <v>0</v>
      </c>
      <c r="M519" t="n">
        <v>0</v>
      </c>
      <c r="N519" t="n">
        <v>0</v>
      </c>
      <c r="O519" t="n">
        <v>0</v>
      </c>
      <c r="P519" t="n">
        <v>0</v>
      </c>
      <c r="Q519" t="n">
        <v>0</v>
      </c>
      <c r="R519" s="2" t="inlineStr"/>
    </row>
    <row r="520" ht="15" customHeight="1">
      <c r="A520" t="inlineStr">
        <is>
          <t>A 41311-2023</t>
        </is>
      </c>
      <c r="B520" s="1" t="n">
        <v>45174</v>
      </c>
      <c r="C520" s="1" t="n">
        <v>46106</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26318-2023</t>
        </is>
      </c>
      <c r="B521" s="1" t="n">
        <v>45091.67936342592</v>
      </c>
      <c r="C521" s="1" t="n">
        <v>46106</v>
      </c>
      <c r="D521" t="inlineStr">
        <is>
          <t>KALMAR LÄN</t>
        </is>
      </c>
      <c r="E521" t="inlineStr">
        <is>
          <t>VIMMERBY</t>
        </is>
      </c>
      <c r="G521" t="n">
        <v>3.8</v>
      </c>
      <c r="H521" t="n">
        <v>0</v>
      </c>
      <c r="I521" t="n">
        <v>0</v>
      </c>
      <c r="J521" t="n">
        <v>0</v>
      </c>
      <c r="K521" t="n">
        <v>0</v>
      </c>
      <c r="L521" t="n">
        <v>0</v>
      </c>
      <c r="M521" t="n">
        <v>0</v>
      </c>
      <c r="N521" t="n">
        <v>0</v>
      </c>
      <c r="O521" t="n">
        <v>0</v>
      </c>
      <c r="P521" t="n">
        <v>0</v>
      </c>
      <c r="Q521" t="n">
        <v>0</v>
      </c>
      <c r="R521" s="2" t="inlineStr"/>
    </row>
    <row r="522" ht="15" customHeight="1">
      <c r="A522" t="inlineStr">
        <is>
          <t>A 51062-2025</t>
        </is>
      </c>
      <c r="B522" s="1" t="n">
        <v>45947.44685185186</v>
      </c>
      <c r="C522" s="1" t="n">
        <v>46106</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61355-2024</t>
        </is>
      </c>
      <c r="B523" s="1" t="n">
        <v>45646.38200231481</v>
      </c>
      <c r="C523" s="1" t="n">
        <v>46106</v>
      </c>
      <c r="D523" t="inlineStr">
        <is>
          <t>KALMAR LÄN</t>
        </is>
      </c>
      <c r="E523" t="inlineStr">
        <is>
          <t>VIMMERBY</t>
        </is>
      </c>
      <c r="G523" t="n">
        <v>2.7</v>
      </c>
      <c r="H523" t="n">
        <v>0</v>
      </c>
      <c r="I523" t="n">
        <v>0</v>
      </c>
      <c r="J523" t="n">
        <v>0</v>
      </c>
      <c r="K523" t="n">
        <v>0</v>
      </c>
      <c r="L523" t="n">
        <v>0</v>
      </c>
      <c r="M523" t="n">
        <v>0</v>
      </c>
      <c r="N523" t="n">
        <v>0</v>
      </c>
      <c r="O523" t="n">
        <v>0</v>
      </c>
      <c r="P523" t="n">
        <v>0</v>
      </c>
      <c r="Q523" t="n">
        <v>0</v>
      </c>
      <c r="R523" s="2" t="inlineStr"/>
    </row>
    <row r="524" ht="15" customHeight="1">
      <c r="A524" t="inlineStr">
        <is>
          <t>A 36802-2021</t>
        </is>
      </c>
      <c r="B524" s="1" t="n">
        <v>44392</v>
      </c>
      <c r="C524" s="1" t="n">
        <v>46106</v>
      </c>
      <c r="D524" t="inlineStr">
        <is>
          <t>KALMAR LÄN</t>
        </is>
      </c>
      <c r="E524" t="inlineStr">
        <is>
          <t>VIMMERBY</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51990-2025</t>
        </is>
      </c>
      <c r="B525" s="1" t="n">
        <v>45952.58061342593</v>
      </c>
      <c r="C525" s="1" t="n">
        <v>46106</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38198-2024</t>
        </is>
      </c>
      <c r="B526" s="1" t="n">
        <v>45545.49508101852</v>
      </c>
      <c r="C526" s="1" t="n">
        <v>46106</v>
      </c>
      <c r="D526" t="inlineStr">
        <is>
          <t>KALMAR LÄN</t>
        </is>
      </c>
      <c r="E526" t="inlineStr">
        <is>
          <t>VIMMERBY</t>
        </is>
      </c>
      <c r="G526" t="n">
        <v>7.9</v>
      </c>
      <c r="H526" t="n">
        <v>0</v>
      </c>
      <c r="I526" t="n">
        <v>0</v>
      </c>
      <c r="J526" t="n">
        <v>0</v>
      </c>
      <c r="K526" t="n">
        <v>0</v>
      </c>
      <c r="L526" t="n">
        <v>0</v>
      </c>
      <c r="M526" t="n">
        <v>0</v>
      </c>
      <c r="N526" t="n">
        <v>0</v>
      </c>
      <c r="O526" t="n">
        <v>0</v>
      </c>
      <c r="P526" t="n">
        <v>0</v>
      </c>
      <c r="Q526" t="n">
        <v>0</v>
      </c>
      <c r="R526" s="2" t="inlineStr"/>
    </row>
    <row r="527" ht="15" customHeight="1">
      <c r="A527" t="inlineStr">
        <is>
          <t>A 9623-2024</t>
        </is>
      </c>
      <c r="B527" s="1" t="n">
        <v>45361.87975694444</v>
      </c>
      <c r="C527" s="1" t="n">
        <v>46106</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58967-2022</t>
        </is>
      </c>
      <c r="B528" s="1" t="n">
        <v>44896</v>
      </c>
      <c r="C528" s="1" t="n">
        <v>46106</v>
      </c>
      <c r="D528" t="inlineStr">
        <is>
          <t>KALMAR LÄN</t>
        </is>
      </c>
      <c r="E528" t="inlineStr">
        <is>
          <t>VIMMERBY</t>
        </is>
      </c>
      <c r="G528" t="n">
        <v>5</v>
      </c>
      <c r="H528" t="n">
        <v>0</v>
      </c>
      <c r="I528" t="n">
        <v>0</v>
      </c>
      <c r="J528" t="n">
        <v>0</v>
      </c>
      <c r="K528" t="n">
        <v>0</v>
      </c>
      <c r="L528" t="n">
        <v>0</v>
      </c>
      <c r="M528" t="n">
        <v>0</v>
      </c>
      <c r="N528" t="n">
        <v>0</v>
      </c>
      <c r="O528" t="n">
        <v>0</v>
      </c>
      <c r="P528" t="n">
        <v>0</v>
      </c>
      <c r="Q528" t="n">
        <v>0</v>
      </c>
      <c r="R528" s="2" t="inlineStr"/>
    </row>
    <row r="529" ht="15" customHeight="1">
      <c r="A529" t="inlineStr">
        <is>
          <t>A 51993-2025</t>
        </is>
      </c>
      <c r="B529" s="1" t="n">
        <v>45952.58194444444</v>
      </c>
      <c r="C529" s="1" t="n">
        <v>46106</v>
      </c>
      <c r="D529" t="inlineStr">
        <is>
          <t>KALMAR LÄN</t>
        </is>
      </c>
      <c r="E529" t="inlineStr">
        <is>
          <t>VIMMERBY</t>
        </is>
      </c>
      <c r="G529" t="n">
        <v>2.8</v>
      </c>
      <c r="H529" t="n">
        <v>0</v>
      </c>
      <c r="I529" t="n">
        <v>0</v>
      </c>
      <c r="J529" t="n">
        <v>0</v>
      </c>
      <c r="K529" t="n">
        <v>0</v>
      </c>
      <c r="L529" t="n">
        <v>0</v>
      </c>
      <c r="M529" t="n">
        <v>0</v>
      </c>
      <c r="N529" t="n">
        <v>0</v>
      </c>
      <c r="O529" t="n">
        <v>0</v>
      </c>
      <c r="P529" t="n">
        <v>0</v>
      </c>
      <c r="Q529" t="n">
        <v>0</v>
      </c>
      <c r="R529" s="2" t="inlineStr"/>
    </row>
    <row r="530" ht="15" customHeight="1">
      <c r="A530" t="inlineStr">
        <is>
          <t>A 52465-2025</t>
        </is>
      </c>
      <c r="B530" s="1" t="n">
        <v>45954.44543981482</v>
      </c>
      <c r="C530" s="1" t="n">
        <v>46106</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6399-2025</t>
        </is>
      </c>
      <c r="B531" s="1" t="n">
        <v>45699.44291666667</v>
      </c>
      <c r="C531" s="1" t="n">
        <v>46106</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31355-2023</t>
        </is>
      </c>
      <c r="B532" s="1" t="n">
        <v>45114.49505787037</v>
      </c>
      <c r="C532" s="1" t="n">
        <v>46106</v>
      </c>
      <c r="D532" t="inlineStr">
        <is>
          <t>KALMAR LÄN</t>
        </is>
      </c>
      <c r="E532" t="inlineStr">
        <is>
          <t>VIMMERBY</t>
        </is>
      </c>
      <c r="G532" t="n">
        <v>1.3</v>
      </c>
      <c r="H532" t="n">
        <v>0</v>
      </c>
      <c r="I532" t="n">
        <v>0</v>
      </c>
      <c r="J532" t="n">
        <v>0</v>
      </c>
      <c r="K532" t="n">
        <v>0</v>
      </c>
      <c r="L532" t="n">
        <v>0</v>
      </c>
      <c r="M532" t="n">
        <v>0</v>
      </c>
      <c r="N532" t="n">
        <v>0</v>
      </c>
      <c r="O532" t="n">
        <v>0</v>
      </c>
      <c r="P532" t="n">
        <v>0</v>
      </c>
      <c r="Q532" t="n">
        <v>0</v>
      </c>
      <c r="R532" s="2" t="inlineStr"/>
    </row>
    <row r="533" ht="15" customHeight="1">
      <c r="A533" t="inlineStr">
        <is>
          <t>A 30400-2023</t>
        </is>
      </c>
      <c r="B533" s="1" t="n">
        <v>45111.48225694444</v>
      </c>
      <c r="C533" s="1" t="n">
        <v>46106</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30404-2023</t>
        </is>
      </c>
      <c r="B534" s="1" t="n">
        <v>45111.48636574074</v>
      </c>
      <c r="C534" s="1" t="n">
        <v>46106</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52451-2025</t>
        </is>
      </c>
      <c r="B535" s="1" t="n">
        <v>45954.42326388889</v>
      </c>
      <c r="C535" s="1" t="n">
        <v>46106</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27705-2023</t>
        </is>
      </c>
      <c r="B536" s="1" t="n">
        <v>45098.30535879629</v>
      </c>
      <c r="C536" s="1" t="n">
        <v>46106</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52516-2025</t>
        </is>
      </c>
      <c r="B537" s="1" t="n">
        <v>45954.51412037037</v>
      </c>
      <c r="C537" s="1" t="n">
        <v>46106</v>
      </c>
      <c r="D537" t="inlineStr">
        <is>
          <t>KALMAR LÄN</t>
        </is>
      </c>
      <c r="E537" t="inlineStr">
        <is>
          <t>VIMMERBY</t>
        </is>
      </c>
      <c r="G537" t="n">
        <v>2.8</v>
      </c>
      <c r="H537" t="n">
        <v>0</v>
      </c>
      <c r="I537" t="n">
        <v>0</v>
      </c>
      <c r="J537" t="n">
        <v>0</v>
      </c>
      <c r="K537" t="n">
        <v>0</v>
      </c>
      <c r="L537" t="n">
        <v>0</v>
      </c>
      <c r="M537" t="n">
        <v>0</v>
      </c>
      <c r="N537" t="n">
        <v>0</v>
      </c>
      <c r="O537" t="n">
        <v>0</v>
      </c>
      <c r="P537" t="n">
        <v>0</v>
      </c>
      <c r="Q537" t="n">
        <v>0</v>
      </c>
      <c r="R537" s="2" t="inlineStr"/>
    </row>
    <row r="538" ht="15" customHeight="1">
      <c r="A538" t="inlineStr">
        <is>
          <t>A 52466-2025</t>
        </is>
      </c>
      <c r="B538" s="1" t="n">
        <v>45954.44707175926</v>
      </c>
      <c r="C538" s="1" t="n">
        <v>46106</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52473-2025</t>
        </is>
      </c>
      <c r="B539" s="1" t="n">
        <v>45954.45947916667</v>
      </c>
      <c r="C539" s="1" t="n">
        <v>46106</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52480-2025</t>
        </is>
      </c>
      <c r="B540" s="1" t="n">
        <v>45954.47172453703</v>
      </c>
      <c r="C540" s="1" t="n">
        <v>46106</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52475-2025</t>
        </is>
      </c>
      <c r="B541" s="1" t="n">
        <v>45954.468125</v>
      </c>
      <c r="C541" s="1" t="n">
        <v>46106</v>
      </c>
      <c r="D541" t="inlineStr">
        <is>
          <t>KALMAR LÄN</t>
        </is>
      </c>
      <c r="E541" t="inlineStr">
        <is>
          <t>VIMMERBY</t>
        </is>
      </c>
      <c r="G541" t="n">
        <v>1.5</v>
      </c>
      <c r="H541" t="n">
        <v>0</v>
      </c>
      <c r="I541" t="n">
        <v>0</v>
      </c>
      <c r="J541" t="n">
        <v>0</v>
      </c>
      <c r="K541" t="n">
        <v>0</v>
      </c>
      <c r="L541" t="n">
        <v>0</v>
      </c>
      <c r="M541" t="n">
        <v>0</v>
      </c>
      <c r="N541" t="n">
        <v>0</v>
      </c>
      <c r="O541" t="n">
        <v>0</v>
      </c>
      <c r="P541" t="n">
        <v>0</v>
      </c>
      <c r="Q541" t="n">
        <v>0</v>
      </c>
      <c r="R541" s="2" t="inlineStr"/>
    </row>
    <row r="542" ht="15" customHeight="1">
      <c r="A542" t="inlineStr">
        <is>
          <t>A 36843-2023</t>
        </is>
      </c>
      <c r="B542" s="1" t="n">
        <v>45154.49831018518</v>
      </c>
      <c r="C542" s="1" t="n">
        <v>46106</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53396-2025</t>
        </is>
      </c>
      <c r="B543" s="1" t="n">
        <v>45959.55577546296</v>
      </c>
      <c r="C543" s="1" t="n">
        <v>46106</v>
      </c>
      <c r="D543" t="inlineStr">
        <is>
          <t>KALMAR LÄN</t>
        </is>
      </c>
      <c r="E543" t="inlineStr">
        <is>
          <t>VIMMERBY</t>
        </is>
      </c>
      <c r="G543" t="n">
        <v>0.6</v>
      </c>
      <c r="H543" t="n">
        <v>0</v>
      </c>
      <c r="I543" t="n">
        <v>0</v>
      </c>
      <c r="J543" t="n">
        <v>0</v>
      </c>
      <c r="K543" t="n">
        <v>0</v>
      </c>
      <c r="L543" t="n">
        <v>0</v>
      </c>
      <c r="M543" t="n">
        <v>0</v>
      </c>
      <c r="N543" t="n">
        <v>0</v>
      </c>
      <c r="O543" t="n">
        <v>0</v>
      </c>
      <c r="P543" t="n">
        <v>0</v>
      </c>
      <c r="Q543" t="n">
        <v>0</v>
      </c>
      <c r="R543" s="2" t="inlineStr"/>
    </row>
    <row r="544" ht="15" customHeight="1">
      <c r="A544" t="inlineStr">
        <is>
          <t>A 53416-2025</t>
        </is>
      </c>
      <c r="B544" s="1" t="n">
        <v>45959.58387731481</v>
      </c>
      <c r="C544" s="1" t="n">
        <v>46106</v>
      </c>
      <c r="D544" t="inlineStr">
        <is>
          <t>KALMAR LÄN</t>
        </is>
      </c>
      <c r="E544" t="inlineStr">
        <is>
          <t>VIMMERBY</t>
        </is>
      </c>
      <c r="G544" t="n">
        <v>4.4</v>
      </c>
      <c r="H544" t="n">
        <v>0</v>
      </c>
      <c r="I544" t="n">
        <v>0</v>
      </c>
      <c r="J544" t="n">
        <v>0</v>
      </c>
      <c r="K544" t="n">
        <v>0</v>
      </c>
      <c r="L544" t="n">
        <v>0</v>
      </c>
      <c r="M544" t="n">
        <v>0</v>
      </c>
      <c r="N544" t="n">
        <v>0</v>
      </c>
      <c r="O544" t="n">
        <v>0</v>
      </c>
      <c r="P544" t="n">
        <v>0</v>
      </c>
      <c r="Q544" t="n">
        <v>0</v>
      </c>
      <c r="R544" s="2" t="inlineStr"/>
    </row>
    <row r="545" ht="15" customHeight="1">
      <c r="A545" t="inlineStr">
        <is>
          <t>A 53398-2025</t>
        </is>
      </c>
      <c r="B545" s="1" t="n">
        <v>45959.56247685185</v>
      </c>
      <c r="C545" s="1" t="n">
        <v>46106</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10785-2025</t>
        </is>
      </c>
      <c r="B546" s="1" t="n">
        <v>45722.48634259259</v>
      </c>
      <c r="C546" s="1" t="n">
        <v>46106</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29017-2024</t>
        </is>
      </c>
      <c r="B547" s="1" t="n">
        <v>45481.56722222222</v>
      </c>
      <c r="C547" s="1" t="n">
        <v>46106</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23263-2024</t>
        </is>
      </c>
      <c r="B548" s="1" t="n">
        <v>45453.36854166666</v>
      </c>
      <c r="C548" s="1" t="n">
        <v>46106</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11074-2023</t>
        </is>
      </c>
      <c r="B549" s="1" t="n">
        <v>44992.34151620371</v>
      </c>
      <c r="C549" s="1" t="n">
        <v>46106</v>
      </c>
      <c r="D549" t="inlineStr">
        <is>
          <t>KALMAR LÄN</t>
        </is>
      </c>
      <c r="E549" t="inlineStr">
        <is>
          <t>VIMMERBY</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53397-2025</t>
        </is>
      </c>
      <c r="B550" s="1" t="n">
        <v>45959.55918981481</v>
      </c>
      <c r="C550" s="1" t="n">
        <v>46106</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61939-2021</t>
        </is>
      </c>
      <c r="B551" s="1" t="n">
        <v>44502</v>
      </c>
      <c r="C551" s="1" t="n">
        <v>46106</v>
      </c>
      <c r="D551" t="inlineStr">
        <is>
          <t>KALMAR LÄN</t>
        </is>
      </c>
      <c r="E551" t="inlineStr">
        <is>
          <t>VIMMERBY</t>
        </is>
      </c>
      <c r="G551" t="n">
        <v>2.7</v>
      </c>
      <c r="H551" t="n">
        <v>0</v>
      </c>
      <c r="I551" t="n">
        <v>0</v>
      </c>
      <c r="J551" t="n">
        <v>0</v>
      </c>
      <c r="K551" t="n">
        <v>0</v>
      </c>
      <c r="L551" t="n">
        <v>0</v>
      </c>
      <c r="M551" t="n">
        <v>0</v>
      </c>
      <c r="N551" t="n">
        <v>0</v>
      </c>
      <c r="O551" t="n">
        <v>0</v>
      </c>
      <c r="P551" t="n">
        <v>0</v>
      </c>
      <c r="Q551" t="n">
        <v>0</v>
      </c>
      <c r="R551" s="2" t="inlineStr"/>
    </row>
    <row r="552" ht="15" customHeight="1">
      <c r="A552" t="inlineStr">
        <is>
          <t>A 53220-2025</t>
        </is>
      </c>
      <c r="B552" s="1" t="n">
        <v>45958.60146990741</v>
      </c>
      <c r="C552" s="1" t="n">
        <v>46106</v>
      </c>
      <c r="D552" t="inlineStr">
        <is>
          <t>KALMAR LÄN</t>
        </is>
      </c>
      <c r="E552" t="inlineStr">
        <is>
          <t>VIMMERBY</t>
        </is>
      </c>
      <c r="G552" t="n">
        <v>2.2</v>
      </c>
      <c r="H552" t="n">
        <v>0</v>
      </c>
      <c r="I552" t="n">
        <v>0</v>
      </c>
      <c r="J552" t="n">
        <v>0</v>
      </c>
      <c r="K552" t="n">
        <v>0</v>
      </c>
      <c r="L552" t="n">
        <v>0</v>
      </c>
      <c r="M552" t="n">
        <v>0</v>
      </c>
      <c r="N552" t="n">
        <v>0</v>
      </c>
      <c r="O552" t="n">
        <v>0</v>
      </c>
      <c r="P552" t="n">
        <v>0</v>
      </c>
      <c r="Q552" t="n">
        <v>0</v>
      </c>
      <c r="R552" s="2" t="inlineStr"/>
    </row>
    <row r="553" ht="15" customHeight="1">
      <c r="A553" t="inlineStr">
        <is>
          <t>A 12215-2024</t>
        </is>
      </c>
      <c r="B553" s="1" t="n">
        <v>45378.32185185186</v>
      </c>
      <c r="C553" s="1" t="n">
        <v>46106</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11303-2025</t>
        </is>
      </c>
      <c r="B554" s="1" t="n">
        <v>45726.44471064815</v>
      </c>
      <c r="C554" s="1" t="n">
        <v>46106</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53393-2025</t>
        </is>
      </c>
      <c r="B555" s="1" t="n">
        <v>45959.55284722222</v>
      </c>
      <c r="C555" s="1" t="n">
        <v>46106</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12033-2024</t>
        </is>
      </c>
      <c r="B556" s="1" t="n">
        <v>45377.40043981482</v>
      </c>
      <c r="C556" s="1" t="n">
        <v>46106</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51408-2023</t>
        </is>
      </c>
      <c r="B557" s="1" t="n">
        <v>45219.69356481481</v>
      </c>
      <c r="C557" s="1" t="n">
        <v>46106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53413-2025</t>
        </is>
      </c>
      <c r="B558" s="1" t="n">
        <v>45959.5787037037</v>
      </c>
      <c r="C558" s="1" t="n">
        <v>46106</v>
      </c>
      <c r="D558" t="inlineStr">
        <is>
          <t>KALMAR LÄN</t>
        </is>
      </c>
      <c r="E558" t="inlineStr">
        <is>
          <t>VIMMERBY</t>
        </is>
      </c>
      <c r="G558" t="n">
        <v>4.3</v>
      </c>
      <c r="H558" t="n">
        <v>0</v>
      </c>
      <c r="I558" t="n">
        <v>0</v>
      </c>
      <c r="J558" t="n">
        <v>0</v>
      </c>
      <c r="K558" t="n">
        <v>0</v>
      </c>
      <c r="L558" t="n">
        <v>0</v>
      </c>
      <c r="M558" t="n">
        <v>0</v>
      </c>
      <c r="N558" t="n">
        <v>0</v>
      </c>
      <c r="O558" t="n">
        <v>0</v>
      </c>
      <c r="P558" t="n">
        <v>0</v>
      </c>
      <c r="Q558" t="n">
        <v>0</v>
      </c>
      <c r="R558" s="2" t="inlineStr"/>
    </row>
    <row r="559" ht="15" customHeight="1">
      <c r="A559" t="inlineStr">
        <is>
          <t>A 53903-2025</t>
        </is>
      </c>
      <c r="B559" s="1" t="n">
        <v>45961.43738425926</v>
      </c>
      <c r="C559" s="1" t="n">
        <v>46106</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53920-2025</t>
        </is>
      </c>
      <c r="B560" s="1" t="n">
        <v>45961.44951388889</v>
      </c>
      <c r="C560" s="1" t="n">
        <v>46106</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49488-2023</t>
        </is>
      </c>
      <c r="B561" s="1" t="n">
        <v>45211.55472222222</v>
      </c>
      <c r="C561" s="1" t="n">
        <v>46106</v>
      </c>
      <c r="D561" t="inlineStr">
        <is>
          <t>KALMAR LÄN</t>
        </is>
      </c>
      <c r="E561" t="inlineStr">
        <is>
          <t>VIMMERBY</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53927-2025</t>
        </is>
      </c>
      <c r="B562" s="1" t="n">
        <v>45961.46740740741</v>
      </c>
      <c r="C562" s="1" t="n">
        <v>46106</v>
      </c>
      <c r="D562" t="inlineStr">
        <is>
          <t>KALMAR LÄN</t>
        </is>
      </c>
      <c r="E562" t="inlineStr">
        <is>
          <t>VIMMERBY</t>
        </is>
      </c>
      <c r="G562" t="n">
        <v>2.5</v>
      </c>
      <c r="H562" t="n">
        <v>0</v>
      </c>
      <c r="I562" t="n">
        <v>0</v>
      </c>
      <c r="J562" t="n">
        <v>0</v>
      </c>
      <c r="K562" t="n">
        <v>0</v>
      </c>
      <c r="L562" t="n">
        <v>0</v>
      </c>
      <c r="M562" t="n">
        <v>0</v>
      </c>
      <c r="N562" t="n">
        <v>0</v>
      </c>
      <c r="O562" t="n">
        <v>0</v>
      </c>
      <c r="P562" t="n">
        <v>0</v>
      </c>
      <c r="Q562" t="n">
        <v>0</v>
      </c>
      <c r="R562" s="2" t="inlineStr"/>
    </row>
    <row r="563" ht="15" customHeight="1">
      <c r="A563" t="inlineStr">
        <is>
          <t>A 53789-2025</t>
        </is>
      </c>
      <c r="B563" s="1" t="n">
        <v>45960</v>
      </c>
      <c r="C563" s="1" t="n">
        <v>46106</v>
      </c>
      <c r="D563" t="inlineStr">
        <is>
          <t>KALMAR LÄN</t>
        </is>
      </c>
      <c r="E563" t="inlineStr">
        <is>
          <t>VIMMERBY</t>
        </is>
      </c>
      <c r="F563" t="inlineStr">
        <is>
          <t>Övriga statliga verk och myndigheter</t>
        </is>
      </c>
      <c r="G563" t="n">
        <v>1.6</v>
      </c>
      <c r="H563" t="n">
        <v>0</v>
      </c>
      <c r="I563" t="n">
        <v>0</v>
      </c>
      <c r="J563" t="n">
        <v>0</v>
      </c>
      <c r="K563" t="n">
        <v>0</v>
      </c>
      <c r="L563" t="n">
        <v>0</v>
      </c>
      <c r="M563" t="n">
        <v>0</v>
      </c>
      <c r="N563" t="n">
        <v>0</v>
      </c>
      <c r="O563" t="n">
        <v>0</v>
      </c>
      <c r="P563" t="n">
        <v>0</v>
      </c>
      <c r="Q563" t="n">
        <v>0</v>
      </c>
      <c r="R563" s="2" t="inlineStr"/>
    </row>
    <row r="564" ht="15" customHeight="1">
      <c r="A564" t="inlineStr">
        <is>
          <t>A 53923-2025</t>
        </is>
      </c>
      <c r="B564" s="1" t="n">
        <v>45961.4569212963</v>
      </c>
      <c r="C564" s="1" t="n">
        <v>46106</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8410-2023</t>
        </is>
      </c>
      <c r="B565" s="1" t="n">
        <v>44977</v>
      </c>
      <c r="C565" s="1" t="n">
        <v>46106</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53933-2025</t>
        </is>
      </c>
      <c r="B566" s="1" t="n">
        <v>45961.47650462963</v>
      </c>
      <c r="C566" s="1" t="n">
        <v>46106</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30920-2024</t>
        </is>
      </c>
      <c r="B567" s="1" t="n">
        <v>45498.673125</v>
      </c>
      <c r="C567" s="1" t="n">
        <v>46106</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53788-2025</t>
        </is>
      </c>
      <c r="B568" s="1" t="n">
        <v>45960</v>
      </c>
      <c r="C568" s="1" t="n">
        <v>46106</v>
      </c>
      <c r="D568" t="inlineStr">
        <is>
          <t>KALMAR LÄN</t>
        </is>
      </c>
      <c r="E568" t="inlineStr">
        <is>
          <t>VIMMERBY</t>
        </is>
      </c>
      <c r="F568" t="inlineStr">
        <is>
          <t>Övriga statliga verk och myndigheter</t>
        </is>
      </c>
      <c r="G568" t="n">
        <v>6.3</v>
      </c>
      <c r="H568" t="n">
        <v>0</v>
      </c>
      <c r="I568" t="n">
        <v>0</v>
      </c>
      <c r="J568" t="n">
        <v>0</v>
      </c>
      <c r="K568" t="n">
        <v>0</v>
      </c>
      <c r="L568" t="n">
        <v>0</v>
      </c>
      <c r="M568" t="n">
        <v>0</v>
      </c>
      <c r="N568" t="n">
        <v>0</v>
      </c>
      <c r="O568" t="n">
        <v>0</v>
      </c>
      <c r="P568" t="n">
        <v>0</v>
      </c>
      <c r="Q568" t="n">
        <v>0</v>
      </c>
      <c r="R568" s="2" t="inlineStr"/>
    </row>
    <row r="569" ht="15" customHeight="1">
      <c r="A569" t="inlineStr">
        <is>
          <t>A 54236-2025</t>
        </is>
      </c>
      <c r="B569" s="1" t="n">
        <v>45964.62671296296</v>
      </c>
      <c r="C569" s="1" t="n">
        <v>46106</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40929-2022</t>
        </is>
      </c>
      <c r="B570" s="1" t="n">
        <v>44825.4336574074</v>
      </c>
      <c r="C570" s="1" t="n">
        <v>46106</v>
      </c>
      <c r="D570" t="inlineStr">
        <is>
          <t>KALMAR LÄN</t>
        </is>
      </c>
      <c r="E570" t="inlineStr">
        <is>
          <t>VIMMERBY</t>
        </is>
      </c>
      <c r="G570" t="n">
        <v>2.5</v>
      </c>
      <c r="H570" t="n">
        <v>0</v>
      </c>
      <c r="I570" t="n">
        <v>0</v>
      </c>
      <c r="J570" t="n">
        <v>0</v>
      </c>
      <c r="K570" t="n">
        <v>0</v>
      </c>
      <c r="L570" t="n">
        <v>0</v>
      </c>
      <c r="M570" t="n">
        <v>0</v>
      </c>
      <c r="N570" t="n">
        <v>0</v>
      </c>
      <c r="O570" t="n">
        <v>0</v>
      </c>
      <c r="P570" t="n">
        <v>0</v>
      </c>
      <c r="Q570" t="n">
        <v>0</v>
      </c>
      <c r="R570" s="2" t="inlineStr"/>
    </row>
    <row r="571" ht="15" customHeight="1">
      <c r="A571" t="inlineStr">
        <is>
          <t>A 50091-2023</t>
        </is>
      </c>
      <c r="B571" s="1" t="n">
        <v>45215.60199074074</v>
      </c>
      <c r="C571" s="1" t="n">
        <v>46106</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36008-2024</t>
        </is>
      </c>
      <c r="B572" s="1" t="n">
        <v>45533.55362268518</v>
      </c>
      <c r="C572" s="1" t="n">
        <v>46106</v>
      </c>
      <c r="D572" t="inlineStr">
        <is>
          <t>KALMAR LÄN</t>
        </is>
      </c>
      <c r="E572" t="inlineStr">
        <is>
          <t>VIMMERBY</t>
        </is>
      </c>
      <c r="G572" t="n">
        <v>3.7</v>
      </c>
      <c r="H572" t="n">
        <v>0</v>
      </c>
      <c r="I572" t="n">
        <v>0</v>
      </c>
      <c r="J572" t="n">
        <v>0</v>
      </c>
      <c r="K572" t="n">
        <v>0</v>
      </c>
      <c r="L572" t="n">
        <v>0</v>
      </c>
      <c r="M572" t="n">
        <v>0</v>
      </c>
      <c r="N572" t="n">
        <v>0</v>
      </c>
      <c r="O572" t="n">
        <v>0</v>
      </c>
      <c r="P572" t="n">
        <v>0</v>
      </c>
      <c r="Q572" t="n">
        <v>0</v>
      </c>
      <c r="R572" s="2" t="inlineStr"/>
    </row>
    <row r="573" ht="15" customHeight="1">
      <c r="A573" t="inlineStr">
        <is>
          <t>A 54234-2025</t>
        </is>
      </c>
      <c r="B573" s="1" t="n">
        <v>45964.62486111111</v>
      </c>
      <c r="C573" s="1" t="n">
        <v>46106</v>
      </c>
      <c r="D573" t="inlineStr">
        <is>
          <t>KALMAR LÄN</t>
        </is>
      </c>
      <c r="E573" t="inlineStr">
        <is>
          <t>VIMMERBY</t>
        </is>
      </c>
      <c r="G573" t="n">
        <v>4.1</v>
      </c>
      <c r="H573" t="n">
        <v>0</v>
      </c>
      <c r="I573" t="n">
        <v>0</v>
      </c>
      <c r="J573" t="n">
        <v>0</v>
      </c>
      <c r="K573" t="n">
        <v>0</v>
      </c>
      <c r="L573" t="n">
        <v>0</v>
      </c>
      <c r="M573" t="n">
        <v>0</v>
      </c>
      <c r="N573" t="n">
        <v>0</v>
      </c>
      <c r="O573" t="n">
        <v>0</v>
      </c>
      <c r="P573" t="n">
        <v>0</v>
      </c>
      <c r="Q573" t="n">
        <v>0</v>
      </c>
      <c r="R573" s="2" t="inlineStr"/>
    </row>
    <row r="574" ht="15" customHeight="1">
      <c r="A574" t="inlineStr">
        <is>
          <t>A 16622-2025</t>
        </is>
      </c>
      <c r="B574" s="1" t="n">
        <v>45754.33641203704</v>
      </c>
      <c r="C574" s="1" t="n">
        <v>46106</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17511-2024</t>
        </is>
      </c>
      <c r="B575" s="1" t="n">
        <v>45415.57682870371</v>
      </c>
      <c r="C575" s="1" t="n">
        <v>46106</v>
      </c>
      <c r="D575" t="inlineStr">
        <is>
          <t>KALMAR LÄN</t>
        </is>
      </c>
      <c r="E575" t="inlineStr">
        <is>
          <t>VIMMERBY</t>
        </is>
      </c>
      <c r="G575" t="n">
        <v>5.3</v>
      </c>
      <c r="H575" t="n">
        <v>0</v>
      </c>
      <c r="I575" t="n">
        <v>0</v>
      </c>
      <c r="J575" t="n">
        <v>0</v>
      </c>
      <c r="K575" t="n">
        <v>0</v>
      </c>
      <c r="L575" t="n">
        <v>0</v>
      </c>
      <c r="M575" t="n">
        <v>0</v>
      </c>
      <c r="N575" t="n">
        <v>0</v>
      </c>
      <c r="O575" t="n">
        <v>0</v>
      </c>
      <c r="P575" t="n">
        <v>0</v>
      </c>
      <c r="Q575" t="n">
        <v>0</v>
      </c>
      <c r="R575" s="2" t="inlineStr"/>
    </row>
    <row r="576" ht="15" customHeight="1">
      <c r="A576" t="inlineStr">
        <is>
          <t>A 43705-2023</t>
        </is>
      </c>
      <c r="B576" s="1" t="n">
        <v>45187.42854166667</v>
      </c>
      <c r="C576" s="1" t="n">
        <v>46106</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54737-2025</t>
        </is>
      </c>
      <c r="B577" s="1" t="n">
        <v>45966.56826388889</v>
      </c>
      <c r="C577" s="1" t="n">
        <v>46106</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55300-2021</t>
        </is>
      </c>
      <c r="B578" s="1" t="n">
        <v>44475</v>
      </c>
      <c r="C578" s="1" t="n">
        <v>46106</v>
      </c>
      <c r="D578" t="inlineStr">
        <is>
          <t>KALMAR LÄN</t>
        </is>
      </c>
      <c r="E578" t="inlineStr">
        <is>
          <t>VIMMERBY</t>
        </is>
      </c>
      <c r="G578" t="n">
        <v>3.4</v>
      </c>
      <c r="H578" t="n">
        <v>0</v>
      </c>
      <c r="I578" t="n">
        <v>0</v>
      </c>
      <c r="J578" t="n">
        <v>0</v>
      </c>
      <c r="K578" t="n">
        <v>0</v>
      </c>
      <c r="L578" t="n">
        <v>0</v>
      </c>
      <c r="M578" t="n">
        <v>0</v>
      </c>
      <c r="N578" t="n">
        <v>0</v>
      </c>
      <c r="O578" t="n">
        <v>0</v>
      </c>
      <c r="P578" t="n">
        <v>0</v>
      </c>
      <c r="Q578" t="n">
        <v>0</v>
      </c>
      <c r="R578" s="2" t="inlineStr"/>
    </row>
    <row r="579" ht="15" customHeight="1">
      <c r="A579" t="inlineStr">
        <is>
          <t>A 54813-2025</t>
        </is>
      </c>
      <c r="B579" s="1" t="n">
        <v>45966.64881944445</v>
      </c>
      <c r="C579" s="1" t="n">
        <v>46106</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44179-2022</t>
        </is>
      </c>
      <c r="B580" s="1" t="n">
        <v>44839.4528125</v>
      </c>
      <c r="C580" s="1" t="n">
        <v>46106</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52755-2022</t>
        </is>
      </c>
      <c r="B581" s="1" t="n">
        <v>44875.27736111111</v>
      </c>
      <c r="C581" s="1" t="n">
        <v>46106</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35998-2024</t>
        </is>
      </c>
      <c r="B582" s="1" t="n">
        <v>45533.54429398148</v>
      </c>
      <c r="C582" s="1" t="n">
        <v>46106</v>
      </c>
      <c r="D582" t="inlineStr">
        <is>
          <t>KALMAR LÄN</t>
        </is>
      </c>
      <c r="E582" t="inlineStr">
        <is>
          <t>VIMMERBY</t>
        </is>
      </c>
      <c r="G582" t="n">
        <v>8.6</v>
      </c>
      <c r="H582" t="n">
        <v>0</v>
      </c>
      <c r="I582" t="n">
        <v>0</v>
      </c>
      <c r="J582" t="n">
        <v>0</v>
      </c>
      <c r="K582" t="n">
        <v>0</v>
      </c>
      <c r="L582" t="n">
        <v>0</v>
      </c>
      <c r="M582" t="n">
        <v>0</v>
      </c>
      <c r="N582" t="n">
        <v>0</v>
      </c>
      <c r="O582" t="n">
        <v>0</v>
      </c>
      <c r="P582" t="n">
        <v>0</v>
      </c>
      <c r="Q582" t="n">
        <v>0</v>
      </c>
      <c r="R582" s="2" t="inlineStr"/>
    </row>
    <row r="583" ht="15" customHeight="1">
      <c r="A583" t="inlineStr">
        <is>
          <t>A 55602-2025</t>
        </is>
      </c>
      <c r="B583" s="1" t="n">
        <v>45971</v>
      </c>
      <c r="C583" s="1" t="n">
        <v>46106</v>
      </c>
      <c r="D583" t="inlineStr">
        <is>
          <t>KALMAR LÄN</t>
        </is>
      </c>
      <c r="E583" t="inlineStr">
        <is>
          <t>VIMMERBY</t>
        </is>
      </c>
      <c r="G583" t="n">
        <v>2.7</v>
      </c>
      <c r="H583" t="n">
        <v>0</v>
      </c>
      <c r="I583" t="n">
        <v>0</v>
      </c>
      <c r="J583" t="n">
        <v>0</v>
      </c>
      <c r="K583" t="n">
        <v>0</v>
      </c>
      <c r="L583" t="n">
        <v>0</v>
      </c>
      <c r="M583" t="n">
        <v>0</v>
      </c>
      <c r="N583" t="n">
        <v>0</v>
      </c>
      <c r="O583" t="n">
        <v>0</v>
      </c>
      <c r="P583" t="n">
        <v>0</v>
      </c>
      <c r="Q583" t="n">
        <v>0</v>
      </c>
      <c r="R583" s="2" t="inlineStr"/>
    </row>
    <row r="584" ht="15" customHeight="1">
      <c r="A584" t="inlineStr">
        <is>
          <t>A 7797-2023</t>
        </is>
      </c>
      <c r="B584" s="1" t="n">
        <v>44973.43075231482</v>
      </c>
      <c r="C584" s="1" t="n">
        <v>46106</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29351-2023</t>
        </is>
      </c>
      <c r="B585" s="1" t="n">
        <v>45106.2610300926</v>
      </c>
      <c r="C585" s="1" t="n">
        <v>46106</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7630-2025</t>
        </is>
      </c>
      <c r="B586" s="1" t="n">
        <v>45705.74418981482</v>
      </c>
      <c r="C586" s="1" t="n">
        <v>46106</v>
      </c>
      <c r="D586" t="inlineStr">
        <is>
          <t>KALMAR LÄN</t>
        </is>
      </c>
      <c r="E586" t="inlineStr">
        <is>
          <t>VIMMERBY</t>
        </is>
      </c>
      <c r="G586" t="n">
        <v>2.5</v>
      </c>
      <c r="H586" t="n">
        <v>0</v>
      </c>
      <c r="I586" t="n">
        <v>0</v>
      </c>
      <c r="J586" t="n">
        <v>0</v>
      </c>
      <c r="K586" t="n">
        <v>0</v>
      </c>
      <c r="L586" t="n">
        <v>0</v>
      </c>
      <c r="M586" t="n">
        <v>0</v>
      </c>
      <c r="N586" t="n">
        <v>0</v>
      </c>
      <c r="O586" t="n">
        <v>0</v>
      </c>
      <c r="P586" t="n">
        <v>0</v>
      </c>
      <c r="Q586" t="n">
        <v>0</v>
      </c>
      <c r="R586" s="2" t="inlineStr"/>
    </row>
    <row r="587" ht="15" customHeight="1">
      <c r="A587" t="inlineStr">
        <is>
          <t>A 55603-2025</t>
        </is>
      </c>
      <c r="B587" s="1" t="n">
        <v>45971</v>
      </c>
      <c r="C587" s="1" t="n">
        <v>46106</v>
      </c>
      <c r="D587" t="inlineStr">
        <is>
          <t>KALMAR LÄN</t>
        </is>
      </c>
      <c r="E587" t="inlineStr">
        <is>
          <t>VIMMERBY</t>
        </is>
      </c>
      <c r="G587" t="n">
        <v>0.9</v>
      </c>
      <c r="H587" t="n">
        <v>0</v>
      </c>
      <c r="I587" t="n">
        <v>0</v>
      </c>
      <c r="J587" t="n">
        <v>0</v>
      </c>
      <c r="K587" t="n">
        <v>0</v>
      </c>
      <c r="L587" t="n">
        <v>0</v>
      </c>
      <c r="M587" t="n">
        <v>0</v>
      </c>
      <c r="N587" t="n">
        <v>0</v>
      </c>
      <c r="O587" t="n">
        <v>0</v>
      </c>
      <c r="P587" t="n">
        <v>0</v>
      </c>
      <c r="Q587" t="n">
        <v>0</v>
      </c>
      <c r="R587" s="2" t="inlineStr"/>
    </row>
    <row r="588" ht="15" customHeight="1">
      <c r="A588" t="inlineStr">
        <is>
          <t>A 1024-2024</t>
        </is>
      </c>
      <c r="B588" s="1" t="n">
        <v>45301.68237268519</v>
      </c>
      <c r="C588" s="1" t="n">
        <v>46106</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55605-2025</t>
        </is>
      </c>
      <c r="B589" s="1" t="n">
        <v>45971</v>
      </c>
      <c r="C589" s="1" t="n">
        <v>46106</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55385-2025</t>
        </is>
      </c>
      <c r="B590" s="1" t="n">
        <v>45971.43350694444</v>
      </c>
      <c r="C590" s="1" t="n">
        <v>46106</v>
      </c>
      <c r="D590" t="inlineStr">
        <is>
          <t>KALMAR LÄN</t>
        </is>
      </c>
      <c r="E590" t="inlineStr">
        <is>
          <t>VIMMERBY</t>
        </is>
      </c>
      <c r="G590" t="n">
        <v>5</v>
      </c>
      <c r="H590" t="n">
        <v>0</v>
      </c>
      <c r="I590" t="n">
        <v>0</v>
      </c>
      <c r="J590" t="n">
        <v>0</v>
      </c>
      <c r="K590" t="n">
        <v>0</v>
      </c>
      <c r="L590" t="n">
        <v>0</v>
      </c>
      <c r="M590" t="n">
        <v>0</v>
      </c>
      <c r="N590" t="n">
        <v>0</v>
      </c>
      <c r="O590" t="n">
        <v>0</v>
      </c>
      <c r="P590" t="n">
        <v>0</v>
      </c>
      <c r="Q590" t="n">
        <v>0</v>
      </c>
      <c r="R590" s="2" t="inlineStr"/>
    </row>
    <row r="591" ht="15" customHeight="1">
      <c r="A591" t="inlineStr">
        <is>
          <t>A 10787-2025</t>
        </is>
      </c>
      <c r="B591" s="1" t="n">
        <v>45722.48915509259</v>
      </c>
      <c r="C591" s="1" t="n">
        <v>46106</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29350-2023</t>
        </is>
      </c>
      <c r="B592" s="1" t="n">
        <v>45106</v>
      </c>
      <c r="C592" s="1" t="n">
        <v>46106</v>
      </c>
      <c r="D592" t="inlineStr">
        <is>
          <t>KALMAR LÄN</t>
        </is>
      </c>
      <c r="E592" t="inlineStr">
        <is>
          <t>VIMMERBY</t>
        </is>
      </c>
      <c r="G592" t="n">
        <v>0.8</v>
      </c>
      <c r="H592" t="n">
        <v>0</v>
      </c>
      <c r="I592" t="n">
        <v>0</v>
      </c>
      <c r="J592" t="n">
        <v>0</v>
      </c>
      <c r="K592" t="n">
        <v>0</v>
      </c>
      <c r="L592" t="n">
        <v>0</v>
      </c>
      <c r="M592" t="n">
        <v>0</v>
      </c>
      <c r="N592" t="n">
        <v>0</v>
      </c>
      <c r="O592" t="n">
        <v>0</v>
      </c>
      <c r="P592" t="n">
        <v>0</v>
      </c>
      <c r="Q592" t="n">
        <v>0</v>
      </c>
      <c r="R592" s="2" t="inlineStr"/>
    </row>
    <row r="593" ht="15" customHeight="1">
      <c r="A593" t="inlineStr">
        <is>
          <t>A 14855-2025</t>
        </is>
      </c>
      <c r="B593" s="1" t="n">
        <v>45743.41148148148</v>
      </c>
      <c r="C593" s="1" t="n">
        <v>46106</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43601-2024</t>
        </is>
      </c>
      <c r="B594" s="1" t="n">
        <v>45569.44684027778</v>
      </c>
      <c r="C594" s="1" t="n">
        <v>46106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35913-2023</t>
        </is>
      </c>
      <c r="B595" s="1" t="n">
        <v>45148</v>
      </c>
      <c r="C595" s="1" t="n">
        <v>46106</v>
      </c>
      <c r="D595" t="inlineStr">
        <is>
          <t>KALMAR LÄN</t>
        </is>
      </c>
      <c r="E595" t="inlineStr">
        <is>
          <t>VIMMERBY</t>
        </is>
      </c>
      <c r="G595" t="n">
        <v>6.9</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46106</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3938-2023</t>
        </is>
      </c>
      <c r="B597" s="1" t="n">
        <v>44952.35775462963</v>
      </c>
      <c r="C597" s="1" t="n">
        <v>46106</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39053-2024</t>
        </is>
      </c>
      <c r="B598" s="1" t="n">
        <v>45548</v>
      </c>
      <c r="C598" s="1" t="n">
        <v>46106</v>
      </c>
      <c r="D598" t="inlineStr">
        <is>
          <t>KALMAR LÄN</t>
        </is>
      </c>
      <c r="E598" t="inlineStr">
        <is>
          <t>VIMMERBY</t>
        </is>
      </c>
      <c r="G598" t="n">
        <v>5</v>
      </c>
      <c r="H598" t="n">
        <v>0</v>
      </c>
      <c r="I598" t="n">
        <v>0</v>
      </c>
      <c r="J598" t="n">
        <v>0</v>
      </c>
      <c r="K598" t="n">
        <v>0</v>
      </c>
      <c r="L598" t="n">
        <v>0</v>
      </c>
      <c r="M598" t="n">
        <v>0</v>
      </c>
      <c r="N598" t="n">
        <v>0</v>
      </c>
      <c r="O598" t="n">
        <v>0</v>
      </c>
      <c r="P598" t="n">
        <v>0</v>
      </c>
      <c r="Q598" t="n">
        <v>0</v>
      </c>
      <c r="R598" s="2" t="inlineStr"/>
    </row>
    <row r="599" ht="15" customHeight="1">
      <c r="A599" t="inlineStr">
        <is>
          <t>A 14451-2024</t>
        </is>
      </c>
      <c r="B599" s="1" t="n">
        <v>45394.50028935185</v>
      </c>
      <c r="C599" s="1" t="n">
        <v>46106</v>
      </c>
      <c r="D599" t="inlineStr">
        <is>
          <t>KALMAR LÄN</t>
        </is>
      </c>
      <c r="E599" t="inlineStr">
        <is>
          <t>VIMMERBY</t>
        </is>
      </c>
      <c r="G599" t="n">
        <v>1.9</v>
      </c>
      <c r="H599" t="n">
        <v>0</v>
      </c>
      <c r="I599" t="n">
        <v>0</v>
      </c>
      <c r="J599" t="n">
        <v>0</v>
      </c>
      <c r="K599" t="n">
        <v>0</v>
      </c>
      <c r="L599" t="n">
        <v>0</v>
      </c>
      <c r="M599" t="n">
        <v>0</v>
      </c>
      <c r="N599" t="n">
        <v>0</v>
      </c>
      <c r="O599" t="n">
        <v>0</v>
      </c>
      <c r="P599" t="n">
        <v>0</v>
      </c>
      <c r="Q599" t="n">
        <v>0</v>
      </c>
      <c r="R599" s="2" t="inlineStr"/>
    </row>
    <row r="600" ht="15" customHeight="1">
      <c r="A600" t="inlineStr">
        <is>
          <t>A 34205-2023</t>
        </is>
      </c>
      <c r="B600" s="1" t="n">
        <v>45138</v>
      </c>
      <c r="C600" s="1" t="n">
        <v>46106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3268-2024</t>
        </is>
      </c>
      <c r="B601" s="1" t="n">
        <v>45317</v>
      </c>
      <c r="C601" s="1" t="n">
        <v>46106</v>
      </c>
      <c r="D601" t="inlineStr">
        <is>
          <t>KALMAR LÄN</t>
        </is>
      </c>
      <c r="E601" t="inlineStr">
        <is>
          <t>VIMMERBY</t>
        </is>
      </c>
      <c r="F601" t="inlineStr">
        <is>
          <t>Övriga Aktiebolag</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12819-2024</t>
        </is>
      </c>
      <c r="B602" s="1" t="n">
        <v>45384.66917824074</v>
      </c>
      <c r="C602" s="1" t="n">
        <v>46106</v>
      </c>
      <c r="D602" t="inlineStr">
        <is>
          <t>KALMAR LÄN</t>
        </is>
      </c>
      <c r="E602" t="inlineStr">
        <is>
          <t>VIMMERBY</t>
        </is>
      </c>
      <c r="G602" t="n">
        <v>5.1</v>
      </c>
      <c r="H602" t="n">
        <v>0</v>
      </c>
      <c r="I602" t="n">
        <v>0</v>
      </c>
      <c r="J602" t="n">
        <v>0</v>
      </c>
      <c r="K602" t="n">
        <v>0</v>
      </c>
      <c r="L602" t="n">
        <v>0</v>
      </c>
      <c r="M602" t="n">
        <v>0</v>
      </c>
      <c r="N602" t="n">
        <v>0</v>
      </c>
      <c r="O602" t="n">
        <v>0</v>
      </c>
      <c r="P602" t="n">
        <v>0</v>
      </c>
      <c r="Q602" t="n">
        <v>0</v>
      </c>
      <c r="R602" s="2" t="inlineStr"/>
    </row>
    <row r="603" ht="15" customHeight="1">
      <c r="A603" t="inlineStr">
        <is>
          <t>A 6214-2025</t>
        </is>
      </c>
      <c r="B603" s="1" t="n">
        <v>45698.51711805556</v>
      </c>
      <c r="C603" s="1" t="n">
        <v>46106</v>
      </c>
      <c r="D603" t="inlineStr">
        <is>
          <t>KALMAR LÄN</t>
        </is>
      </c>
      <c r="E603" t="inlineStr">
        <is>
          <t>VIMMERBY</t>
        </is>
      </c>
      <c r="G603" t="n">
        <v>1.2</v>
      </c>
      <c r="H603" t="n">
        <v>0</v>
      </c>
      <c r="I603" t="n">
        <v>0</v>
      </c>
      <c r="J603" t="n">
        <v>0</v>
      </c>
      <c r="K603" t="n">
        <v>0</v>
      </c>
      <c r="L603" t="n">
        <v>0</v>
      </c>
      <c r="M603" t="n">
        <v>0</v>
      </c>
      <c r="N603" t="n">
        <v>0</v>
      </c>
      <c r="O603" t="n">
        <v>0</v>
      </c>
      <c r="P603" t="n">
        <v>0</v>
      </c>
      <c r="Q603" t="n">
        <v>0</v>
      </c>
      <c r="R603" s="2" t="inlineStr"/>
    </row>
    <row r="604" ht="15" customHeight="1">
      <c r="A604" t="inlineStr">
        <is>
          <t>A 32569-2024</t>
        </is>
      </c>
      <c r="B604" s="1" t="n">
        <v>45513.55840277778</v>
      </c>
      <c r="C604" s="1" t="n">
        <v>46106</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32575-2024</t>
        </is>
      </c>
      <c r="B605" s="1" t="n">
        <v>45513.56527777778</v>
      </c>
      <c r="C605" s="1" t="n">
        <v>46106</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57728-2025</t>
        </is>
      </c>
      <c r="B606" s="1" t="n">
        <v>45981</v>
      </c>
      <c r="C606" s="1" t="n">
        <v>46106</v>
      </c>
      <c r="D606" t="inlineStr">
        <is>
          <t>KALMAR LÄN</t>
        </is>
      </c>
      <c r="E606" t="inlineStr">
        <is>
          <t>VIMMERBY</t>
        </is>
      </c>
      <c r="G606" t="n">
        <v>0.8</v>
      </c>
      <c r="H606" t="n">
        <v>0</v>
      </c>
      <c r="I606" t="n">
        <v>0</v>
      </c>
      <c r="J606" t="n">
        <v>0</v>
      </c>
      <c r="K606" t="n">
        <v>0</v>
      </c>
      <c r="L606" t="n">
        <v>0</v>
      </c>
      <c r="M606" t="n">
        <v>0</v>
      </c>
      <c r="N606" t="n">
        <v>0</v>
      </c>
      <c r="O606" t="n">
        <v>0</v>
      </c>
      <c r="P606" t="n">
        <v>0</v>
      </c>
      <c r="Q606" t="n">
        <v>0</v>
      </c>
      <c r="R606" s="2" t="inlineStr"/>
    </row>
    <row r="607" ht="15" customHeight="1">
      <c r="A607" t="inlineStr">
        <is>
          <t>A 59300-2024</t>
        </is>
      </c>
      <c r="B607" s="1" t="n">
        <v>45637.66542824074</v>
      </c>
      <c r="C607" s="1" t="n">
        <v>46106</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58503-2025</t>
        </is>
      </c>
      <c r="B608" s="1" t="n">
        <v>45985.69509259259</v>
      </c>
      <c r="C608" s="1" t="n">
        <v>46106</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58498-2025</t>
        </is>
      </c>
      <c r="B609" s="1" t="n">
        <v>45985.68671296296</v>
      </c>
      <c r="C609" s="1" t="n">
        <v>46106</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58501-2025</t>
        </is>
      </c>
      <c r="B610" s="1" t="n">
        <v>45985.69153935185</v>
      </c>
      <c r="C610" s="1" t="n">
        <v>46106</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58514-2025</t>
        </is>
      </c>
      <c r="B611" s="1" t="n">
        <v>45985.70513888889</v>
      </c>
      <c r="C611" s="1" t="n">
        <v>46106</v>
      </c>
      <c r="D611" t="inlineStr">
        <is>
          <t>KALMAR LÄN</t>
        </is>
      </c>
      <c r="E611" t="inlineStr">
        <is>
          <t>VIMMERBY</t>
        </is>
      </c>
      <c r="G611" t="n">
        <v>3.7</v>
      </c>
      <c r="H611" t="n">
        <v>0</v>
      </c>
      <c r="I611" t="n">
        <v>0</v>
      </c>
      <c r="J611" t="n">
        <v>0</v>
      </c>
      <c r="K611" t="n">
        <v>0</v>
      </c>
      <c r="L611" t="n">
        <v>0</v>
      </c>
      <c r="M611" t="n">
        <v>0</v>
      </c>
      <c r="N611" t="n">
        <v>0</v>
      </c>
      <c r="O611" t="n">
        <v>0</v>
      </c>
      <c r="P611" t="n">
        <v>0</v>
      </c>
      <c r="Q611" t="n">
        <v>0</v>
      </c>
      <c r="R611" s="2" t="inlineStr"/>
    </row>
    <row r="612" ht="15" customHeight="1">
      <c r="A612" t="inlineStr">
        <is>
          <t>A 58442-2025</t>
        </is>
      </c>
      <c r="B612" s="1" t="n">
        <v>45985.61635416667</v>
      </c>
      <c r="C612" s="1" t="n">
        <v>46106</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59768-2024</t>
        </is>
      </c>
      <c r="B613" s="1" t="n">
        <v>45639.56185185185</v>
      </c>
      <c r="C613" s="1" t="n">
        <v>46106</v>
      </c>
      <c r="D613" t="inlineStr">
        <is>
          <t>KALMAR LÄN</t>
        </is>
      </c>
      <c r="E613" t="inlineStr">
        <is>
          <t>VIMMERBY</t>
        </is>
      </c>
      <c r="G613" t="n">
        <v>5.9</v>
      </c>
      <c r="H613" t="n">
        <v>0</v>
      </c>
      <c r="I613" t="n">
        <v>0</v>
      </c>
      <c r="J613" t="n">
        <v>0</v>
      </c>
      <c r="K613" t="n">
        <v>0</v>
      </c>
      <c r="L613" t="n">
        <v>0</v>
      </c>
      <c r="M613" t="n">
        <v>0</v>
      </c>
      <c r="N613" t="n">
        <v>0</v>
      </c>
      <c r="O613" t="n">
        <v>0</v>
      </c>
      <c r="P613" t="n">
        <v>0</v>
      </c>
      <c r="Q613" t="n">
        <v>0</v>
      </c>
      <c r="R613" s="2" t="inlineStr"/>
    </row>
    <row r="614" ht="15" customHeight="1">
      <c r="A614" t="inlineStr">
        <is>
          <t>A 36526-2023</t>
        </is>
      </c>
      <c r="B614" s="1" t="n">
        <v>45153.32778935185</v>
      </c>
      <c r="C614" s="1" t="n">
        <v>46106</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58435-2025</t>
        </is>
      </c>
      <c r="B615" s="1" t="n">
        <v>45985.61501157407</v>
      </c>
      <c r="C615" s="1" t="n">
        <v>46106</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58446-2025</t>
        </is>
      </c>
      <c r="B616" s="1" t="n">
        <v>45985.62168981481</v>
      </c>
      <c r="C616" s="1" t="n">
        <v>46106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58500-2025</t>
        </is>
      </c>
      <c r="B617" s="1" t="n">
        <v>45985.69008101852</v>
      </c>
      <c r="C617" s="1" t="n">
        <v>46106</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58728-2024</t>
        </is>
      </c>
      <c r="B618" s="1" t="n">
        <v>45635.66695601852</v>
      </c>
      <c r="C618" s="1" t="n">
        <v>46106</v>
      </c>
      <c r="D618" t="inlineStr">
        <is>
          <t>KALMAR LÄN</t>
        </is>
      </c>
      <c r="E618" t="inlineStr">
        <is>
          <t>VIMMERBY</t>
        </is>
      </c>
      <c r="G618" t="n">
        <v>0.4</v>
      </c>
      <c r="H618" t="n">
        <v>0</v>
      </c>
      <c r="I618" t="n">
        <v>0</v>
      </c>
      <c r="J618" t="n">
        <v>0</v>
      </c>
      <c r="K618" t="n">
        <v>0</v>
      </c>
      <c r="L618" t="n">
        <v>0</v>
      </c>
      <c r="M618" t="n">
        <v>0</v>
      </c>
      <c r="N618" t="n">
        <v>0</v>
      </c>
      <c r="O618" t="n">
        <v>0</v>
      </c>
      <c r="P618" t="n">
        <v>0</v>
      </c>
      <c r="Q618" t="n">
        <v>0</v>
      </c>
      <c r="R618" s="2" t="inlineStr"/>
    </row>
    <row r="619" ht="15" customHeight="1">
      <c r="A619" t="inlineStr">
        <is>
          <t>A 49474-2023</t>
        </is>
      </c>
      <c r="B619" s="1" t="n">
        <v>45211.541875</v>
      </c>
      <c r="C619" s="1" t="n">
        <v>46106</v>
      </c>
      <c r="D619" t="inlineStr">
        <is>
          <t>KALMAR LÄN</t>
        </is>
      </c>
      <c r="E619" t="inlineStr">
        <is>
          <t>VIMMERBY</t>
        </is>
      </c>
      <c r="G619" t="n">
        <v>3.6</v>
      </c>
      <c r="H619" t="n">
        <v>0</v>
      </c>
      <c r="I619" t="n">
        <v>0</v>
      </c>
      <c r="J619" t="n">
        <v>0</v>
      </c>
      <c r="K619" t="n">
        <v>0</v>
      </c>
      <c r="L619" t="n">
        <v>0</v>
      </c>
      <c r="M619" t="n">
        <v>0</v>
      </c>
      <c r="N619" t="n">
        <v>0</v>
      </c>
      <c r="O619" t="n">
        <v>0</v>
      </c>
      <c r="P619" t="n">
        <v>0</v>
      </c>
      <c r="Q619" t="n">
        <v>0</v>
      </c>
      <c r="R619" s="2" t="inlineStr"/>
    </row>
    <row r="620" ht="15" customHeight="1">
      <c r="A620" t="inlineStr">
        <is>
          <t>A 58841-2025</t>
        </is>
      </c>
      <c r="B620" s="1" t="n">
        <v>45987.36275462963</v>
      </c>
      <c r="C620" s="1" t="n">
        <v>46106</v>
      </c>
      <c r="D620" t="inlineStr">
        <is>
          <t>KALMAR LÄN</t>
        </is>
      </c>
      <c r="E620" t="inlineStr">
        <is>
          <t>VIMMERBY</t>
        </is>
      </c>
      <c r="G620" t="n">
        <v>3.5</v>
      </c>
      <c r="H620" t="n">
        <v>0</v>
      </c>
      <c r="I620" t="n">
        <v>0</v>
      </c>
      <c r="J620" t="n">
        <v>0</v>
      </c>
      <c r="K620" t="n">
        <v>0</v>
      </c>
      <c r="L620" t="n">
        <v>0</v>
      </c>
      <c r="M620" t="n">
        <v>0</v>
      </c>
      <c r="N620" t="n">
        <v>0</v>
      </c>
      <c r="O620" t="n">
        <v>0</v>
      </c>
      <c r="P620" t="n">
        <v>0</v>
      </c>
      <c r="Q620" t="n">
        <v>0</v>
      </c>
      <c r="R620" s="2" t="inlineStr"/>
    </row>
    <row r="621" ht="15" customHeight="1">
      <c r="A621" t="inlineStr">
        <is>
          <t>A 57682-2022</t>
        </is>
      </c>
      <c r="B621" s="1" t="n">
        <v>44890</v>
      </c>
      <c r="C621" s="1" t="n">
        <v>46106</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63950-2023</t>
        </is>
      </c>
      <c r="B622" s="1" t="n">
        <v>45278</v>
      </c>
      <c r="C622" s="1" t="n">
        <v>46106</v>
      </c>
      <c r="D622" t="inlineStr">
        <is>
          <t>KALMAR LÄN</t>
        </is>
      </c>
      <c r="E622" t="inlineStr">
        <is>
          <t>VIMMERBY</t>
        </is>
      </c>
      <c r="F622" t="inlineStr">
        <is>
          <t>Kyrkan</t>
        </is>
      </c>
      <c r="G622" t="n">
        <v>2.7</v>
      </c>
      <c r="H622" t="n">
        <v>0</v>
      </c>
      <c r="I622" t="n">
        <v>0</v>
      </c>
      <c r="J622" t="n">
        <v>0</v>
      </c>
      <c r="K622" t="n">
        <v>0</v>
      </c>
      <c r="L622" t="n">
        <v>0</v>
      </c>
      <c r="M622" t="n">
        <v>0</v>
      </c>
      <c r="N622" t="n">
        <v>0</v>
      </c>
      <c r="O622" t="n">
        <v>0</v>
      </c>
      <c r="P622" t="n">
        <v>0</v>
      </c>
      <c r="Q622" t="n">
        <v>0</v>
      </c>
      <c r="R622" s="2" t="inlineStr"/>
    </row>
    <row r="623" ht="15" customHeight="1">
      <c r="A623" t="inlineStr">
        <is>
          <t>A 58858-2025</t>
        </is>
      </c>
      <c r="B623" s="1" t="n">
        <v>45987.4243287037</v>
      </c>
      <c r="C623" s="1" t="n">
        <v>46106</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16516-2023</t>
        </is>
      </c>
      <c r="B624" s="1" t="n">
        <v>45029</v>
      </c>
      <c r="C624" s="1" t="n">
        <v>46106</v>
      </c>
      <c r="D624" t="inlineStr">
        <is>
          <t>KALMAR LÄN</t>
        </is>
      </c>
      <c r="E624" t="inlineStr">
        <is>
          <t>VIMMERBY</t>
        </is>
      </c>
      <c r="G624" t="n">
        <v>4.3</v>
      </c>
      <c r="H624" t="n">
        <v>0</v>
      </c>
      <c r="I624" t="n">
        <v>0</v>
      </c>
      <c r="J624" t="n">
        <v>0</v>
      </c>
      <c r="K624" t="n">
        <v>0</v>
      </c>
      <c r="L624" t="n">
        <v>0</v>
      </c>
      <c r="M624" t="n">
        <v>0</v>
      </c>
      <c r="N624" t="n">
        <v>0</v>
      </c>
      <c r="O624" t="n">
        <v>0</v>
      </c>
      <c r="P624" t="n">
        <v>0</v>
      </c>
      <c r="Q624" t="n">
        <v>0</v>
      </c>
      <c r="R624" s="2" t="inlineStr"/>
    </row>
    <row r="625" ht="15" customHeight="1">
      <c r="A625" t="inlineStr">
        <is>
          <t>A 47842-2024</t>
        </is>
      </c>
      <c r="B625" s="1" t="n">
        <v>45588.65545138889</v>
      </c>
      <c r="C625" s="1" t="n">
        <v>46106</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6408-2025</t>
        </is>
      </c>
      <c r="B626" s="1" t="n">
        <v>45699.45671296296</v>
      </c>
      <c r="C626" s="1" t="n">
        <v>46106</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25109-2023</t>
        </is>
      </c>
      <c r="B627" s="1" t="n">
        <v>45086</v>
      </c>
      <c r="C627" s="1" t="n">
        <v>46106</v>
      </c>
      <c r="D627" t="inlineStr">
        <is>
          <t>KALMAR LÄN</t>
        </is>
      </c>
      <c r="E627" t="inlineStr">
        <is>
          <t>VIMMERBY</t>
        </is>
      </c>
      <c r="G627" t="n">
        <v>1.5</v>
      </c>
      <c r="H627" t="n">
        <v>0</v>
      </c>
      <c r="I627" t="n">
        <v>0</v>
      </c>
      <c r="J627" t="n">
        <v>0</v>
      </c>
      <c r="K627" t="n">
        <v>0</v>
      </c>
      <c r="L627" t="n">
        <v>0</v>
      </c>
      <c r="M627" t="n">
        <v>0</v>
      </c>
      <c r="N627" t="n">
        <v>0</v>
      </c>
      <c r="O627" t="n">
        <v>0</v>
      </c>
      <c r="P627" t="n">
        <v>0</v>
      </c>
      <c r="Q627" t="n">
        <v>0</v>
      </c>
      <c r="R627" s="2" t="inlineStr"/>
    </row>
    <row r="628" ht="15" customHeight="1">
      <c r="A628" t="inlineStr">
        <is>
          <t>A 33380-2023</t>
        </is>
      </c>
      <c r="B628" s="1" t="n">
        <v>45128</v>
      </c>
      <c r="C628" s="1" t="n">
        <v>46106</v>
      </c>
      <c r="D628" t="inlineStr">
        <is>
          <t>KALMAR LÄN</t>
        </is>
      </c>
      <c r="E628" t="inlineStr">
        <is>
          <t>VIMMERBY</t>
        </is>
      </c>
      <c r="G628" t="n">
        <v>5.2</v>
      </c>
      <c r="H628" t="n">
        <v>0</v>
      </c>
      <c r="I628" t="n">
        <v>0</v>
      </c>
      <c r="J628" t="n">
        <v>0</v>
      </c>
      <c r="K628" t="n">
        <v>0</v>
      </c>
      <c r="L628" t="n">
        <v>0</v>
      </c>
      <c r="M628" t="n">
        <v>0</v>
      </c>
      <c r="N628" t="n">
        <v>0</v>
      </c>
      <c r="O628" t="n">
        <v>0</v>
      </c>
      <c r="P628" t="n">
        <v>0</v>
      </c>
      <c r="Q628" t="n">
        <v>0</v>
      </c>
      <c r="R628" s="2" t="inlineStr"/>
    </row>
    <row r="629" ht="15" customHeight="1">
      <c r="A629" t="inlineStr">
        <is>
          <t>A 32639-2023</t>
        </is>
      </c>
      <c r="B629" s="1" t="n">
        <v>45121.5965162037</v>
      </c>
      <c r="C629" s="1" t="n">
        <v>46106</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32642-2023</t>
        </is>
      </c>
      <c r="B630" s="1" t="n">
        <v>45121.59954861111</v>
      </c>
      <c r="C630" s="1" t="n">
        <v>46106</v>
      </c>
      <c r="D630" t="inlineStr">
        <is>
          <t>KALMAR LÄN</t>
        </is>
      </c>
      <c r="E630" t="inlineStr">
        <is>
          <t>VIMMERBY</t>
        </is>
      </c>
      <c r="F630" t="inlineStr">
        <is>
          <t>Sveaskog</t>
        </is>
      </c>
      <c r="G630" t="n">
        <v>2.1</v>
      </c>
      <c r="H630" t="n">
        <v>0</v>
      </c>
      <c r="I630" t="n">
        <v>0</v>
      </c>
      <c r="J630" t="n">
        <v>0</v>
      </c>
      <c r="K630" t="n">
        <v>0</v>
      </c>
      <c r="L630" t="n">
        <v>0</v>
      </c>
      <c r="M630" t="n">
        <v>0</v>
      </c>
      <c r="N630" t="n">
        <v>0</v>
      </c>
      <c r="O630" t="n">
        <v>0</v>
      </c>
      <c r="P630" t="n">
        <v>0</v>
      </c>
      <c r="Q630" t="n">
        <v>0</v>
      </c>
      <c r="R630" s="2" t="inlineStr"/>
    </row>
    <row r="631" ht="15" customHeight="1">
      <c r="A631" t="inlineStr">
        <is>
          <t>A 32651-2023</t>
        </is>
      </c>
      <c r="B631" s="1" t="n">
        <v>45121.6096875</v>
      </c>
      <c r="C631" s="1" t="n">
        <v>46106</v>
      </c>
      <c r="D631" t="inlineStr">
        <is>
          <t>KALMAR LÄN</t>
        </is>
      </c>
      <c r="E631" t="inlineStr">
        <is>
          <t>VIMMERBY</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11928-2022</t>
        </is>
      </c>
      <c r="B632" s="1" t="n">
        <v>44635</v>
      </c>
      <c r="C632" s="1" t="n">
        <v>46106</v>
      </c>
      <c r="D632" t="inlineStr">
        <is>
          <t>KALMAR LÄN</t>
        </is>
      </c>
      <c r="E632" t="inlineStr">
        <is>
          <t>VIMMERBY</t>
        </is>
      </c>
      <c r="G632" t="n">
        <v>2.8</v>
      </c>
      <c r="H632" t="n">
        <v>0</v>
      </c>
      <c r="I632" t="n">
        <v>0</v>
      </c>
      <c r="J632" t="n">
        <v>0</v>
      </c>
      <c r="K632" t="n">
        <v>0</v>
      </c>
      <c r="L632" t="n">
        <v>0</v>
      </c>
      <c r="M632" t="n">
        <v>0</v>
      </c>
      <c r="N632" t="n">
        <v>0</v>
      </c>
      <c r="O632" t="n">
        <v>0</v>
      </c>
      <c r="P632" t="n">
        <v>0</v>
      </c>
      <c r="Q632" t="n">
        <v>0</v>
      </c>
      <c r="R632" s="2" t="inlineStr"/>
    </row>
    <row r="633" ht="15" customHeight="1">
      <c r="A633" t="inlineStr">
        <is>
          <t>A 7068-2024</t>
        </is>
      </c>
      <c r="B633" s="1" t="n">
        <v>45343.68038194445</v>
      </c>
      <c r="C633" s="1" t="n">
        <v>46106</v>
      </c>
      <c r="D633" t="inlineStr">
        <is>
          <t>KALMAR LÄN</t>
        </is>
      </c>
      <c r="E633" t="inlineStr">
        <is>
          <t>VIMMERBY</t>
        </is>
      </c>
      <c r="G633" t="n">
        <v>2.5</v>
      </c>
      <c r="H633" t="n">
        <v>0</v>
      </c>
      <c r="I633" t="n">
        <v>0</v>
      </c>
      <c r="J633" t="n">
        <v>0</v>
      </c>
      <c r="K633" t="n">
        <v>0</v>
      </c>
      <c r="L633" t="n">
        <v>0</v>
      </c>
      <c r="M633" t="n">
        <v>0</v>
      </c>
      <c r="N633" t="n">
        <v>0</v>
      </c>
      <c r="O633" t="n">
        <v>0</v>
      </c>
      <c r="P633" t="n">
        <v>0</v>
      </c>
      <c r="Q633" t="n">
        <v>0</v>
      </c>
      <c r="R633" s="2" t="inlineStr"/>
    </row>
    <row r="634" ht="15" customHeight="1">
      <c r="A634" t="inlineStr">
        <is>
          <t>A 46234-2024</t>
        </is>
      </c>
      <c r="B634" s="1" t="n">
        <v>45581.57958333333</v>
      </c>
      <c r="C634" s="1" t="n">
        <v>46106</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59039-2025</t>
        </is>
      </c>
      <c r="B635" s="1" t="n">
        <v>45988.36790509259</v>
      </c>
      <c r="C635" s="1" t="n">
        <v>46106</v>
      </c>
      <c r="D635" t="inlineStr">
        <is>
          <t>KALMAR LÄN</t>
        </is>
      </c>
      <c r="E635" t="inlineStr">
        <is>
          <t>VIMMERBY</t>
        </is>
      </c>
      <c r="F635" t="inlineStr">
        <is>
          <t>Sveaskog</t>
        </is>
      </c>
      <c r="G635" t="n">
        <v>3.2</v>
      </c>
      <c r="H635" t="n">
        <v>0</v>
      </c>
      <c r="I635" t="n">
        <v>0</v>
      </c>
      <c r="J635" t="n">
        <v>0</v>
      </c>
      <c r="K635" t="n">
        <v>0</v>
      </c>
      <c r="L635" t="n">
        <v>0</v>
      </c>
      <c r="M635" t="n">
        <v>0</v>
      </c>
      <c r="N635" t="n">
        <v>0</v>
      </c>
      <c r="O635" t="n">
        <v>0</v>
      </c>
      <c r="P635" t="n">
        <v>0</v>
      </c>
      <c r="Q635" t="n">
        <v>0</v>
      </c>
      <c r="R635" s="2" t="inlineStr"/>
    </row>
    <row r="636" ht="15" customHeight="1">
      <c r="A636" t="inlineStr">
        <is>
          <t>A 37187-2024</t>
        </is>
      </c>
      <c r="B636" s="1" t="n">
        <v>45539.65212962963</v>
      </c>
      <c r="C636" s="1" t="n">
        <v>46106</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59034-2025</t>
        </is>
      </c>
      <c r="B637" s="1" t="n">
        <v>45988.36243055556</v>
      </c>
      <c r="C637" s="1" t="n">
        <v>46106</v>
      </c>
      <c r="D637" t="inlineStr">
        <is>
          <t>KALMAR LÄN</t>
        </is>
      </c>
      <c r="E637" t="inlineStr">
        <is>
          <t>VIMMERBY</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1021-2024</t>
        </is>
      </c>
      <c r="B638" s="1" t="n">
        <v>45301.67736111111</v>
      </c>
      <c r="C638" s="1" t="n">
        <v>46106</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59037-2025</t>
        </is>
      </c>
      <c r="B639" s="1" t="n">
        <v>45988.36508101852</v>
      </c>
      <c r="C639" s="1" t="n">
        <v>46106</v>
      </c>
      <c r="D639" t="inlineStr">
        <is>
          <t>KALMAR LÄN</t>
        </is>
      </c>
      <c r="E639" t="inlineStr">
        <is>
          <t>VIMMERBY</t>
        </is>
      </c>
      <c r="F639" t="inlineStr">
        <is>
          <t>Sveaskog</t>
        </is>
      </c>
      <c r="G639" t="n">
        <v>4</v>
      </c>
      <c r="H639" t="n">
        <v>0</v>
      </c>
      <c r="I639" t="n">
        <v>0</v>
      </c>
      <c r="J639" t="n">
        <v>0</v>
      </c>
      <c r="K639" t="n">
        <v>0</v>
      </c>
      <c r="L639" t="n">
        <v>0</v>
      </c>
      <c r="M639" t="n">
        <v>0</v>
      </c>
      <c r="N639" t="n">
        <v>0</v>
      </c>
      <c r="O639" t="n">
        <v>0</v>
      </c>
      <c r="P639" t="n">
        <v>0</v>
      </c>
      <c r="Q639" t="n">
        <v>0</v>
      </c>
      <c r="R639" s="2" t="inlineStr"/>
    </row>
    <row r="640" ht="15" customHeight="1">
      <c r="A640" t="inlineStr">
        <is>
          <t>A 59068-2025</t>
        </is>
      </c>
      <c r="B640" s="1" t="n">
        <v>45988.41725694444</v>
      </c>
      <c r="C640" s="1" t="n">
        <v>46106</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72701-2021</t>
        </is>
      </c>
      <c r="B641" s="1" t="n">
        <v>44546</v>
      </c>
      <c r="C641" s="1" t="n">
        <v>46106</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19111-2025</t>
        </is>
      </c>
      <c r="B642" s="1" t="n">
        <v>45768.65611111111</v>
      </c>
      <c r="C642" s="1" t="n">
        <v>46106</v>
      </c>
      <c r="D642" t="inlineStr">
        <is>
          <t>KALMAR LÄN</t>
        </is>
      </c>
      <c r="E642" t="inlineStr">
        <is>
          <t>VIMMERBY</t>
        </is>
      </c>
      <c r="G642" t="n">
        <v>6.2</v>
      </c>
      <c r="H642" t="n">
        <v>0</v>
      </c>
      <c r="I642" t="n">
        <v>0</v>
      </c>
      <c r="J642" t="n">
        <v>0</v>
      </c>
      <c r="K642" t="n">
        <v>0</v>
      </c>
      <c r="L642" t="n">
        <v>0</v>
      </c>
      <c r="M642" t="n">
        <v>0</v>
      </c>
      <c r="N642" t="n">
        <v>0</v>
      </c>
      <c r="O642" t="n">
        <v>0</v>
      </c>
      <c r="P642" t="n">
        <v>0</v>
      </c>
      <c r="Q642" t="n">
        <v>0</v>
      </c>
      <c r="R642" s="2" t="inlineStr"/>
    </row>
    <row r="643" ht="15" customHeight="1">
      <c r="A643" t="inlineStr">
        <is>
          <t>A 33374-2021</t>
        </is>
      </c>
      <c r="B643" s="1" t="n">
        <v>44377</v>
      </c>
      <c r="C643" s="1" t="n">
        <v>46106</v>
      </c>
      <c r="D643" t="inlineStr">
        <is>
          <t>KALMAR LÄN</t>
        </is>
      </c>
      <c r="E643" t="inlineStr">
        <is>
          <t>VIMMERBY</t>
        </is>
      </c>
      <c r="G643" t="n">
        <v>3.3</v>
      </c>
      <c r="H643" t="n">
        <v>0</v>
      </c>
      <c r="I643" t="n">
        <v>0</v>
      </c>
      <c r="J643" t="n">
        <v>0</v>
      </c>
      <c r="K643" t="n">
        <v>0</v>
      </c>
      <c r="L643" t="n">
        <v>0</v>
      </c>
      <c r="M643" t="n">
        <v>0</v>
      </c>
      <c r="N643" t="n">
        <v>0</v>
      </c>
      <c r="O643" t="n">
        <v>0</v>
      </c>
      <c r="P643" t="n">
        <v>0</v>
      </c>
      <c r="Q643" t="n">
        <v>0</v>
      </c>
      <c r="R643" s="2" t="inlineStr"/>
    </row>
    <row r="644" ht="15" customHeight="1">
      <c r="A644" t="inlineStr">
        <is>
          <t>A 59579-2025</t>
        </is>
      </c>
      <c r="B644" s="1" t="n">
        <v>45992.30569444445</v>
      </c>
      <c r="C644" s="1" t="n">
        <v>46106</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10807-2024</t>
        </is>
      </c>
      <c r="B645" s="1" t="n">
        <v>45369.62780092593</v>
      </c>
      <c r="C645" s="1" t="n">
        <v>46106</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33359-2021</t>
        </is>
      </c>
      <c r="B646" s="1" t="n">
        <v>44377.49684027778</v>
      </c>
      <c r="C646" s="1" t="n">
        <v>46106</v>
      </c>
      <c r="D646" t="inlineStr">
        <is>
          <t>KALMAR LÄN</t>
        </is>
      </c>
      <c r="E646" t="inlineStr">
        <is>
          <t>VIMMERBY</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34588-2024</t>
        </is>
      </c>
      <c r="B647" s="1" t="n">
        <v>45526.3865625</v>
      </c>
      <c r="C647" s="1" t="n">
        <v>46106</v>
      </c>
      <c r="D647" t="inlineStr">
        <is>
          <t>KALMAR LÄN</t>
        </is>
      </c>
      <c r="E647" t="inlineStr">
        <is>
          <t>VIMMERBY</t>
        </is>
      </c>
      <c r="F647" t="inlineStr">
        <is>
          <t>Övriga Aktiebolag</t>
        </is>
      </c>
      <c r="G647" t="n">
        <v>3.3</v>
      </c>
      <c r="H647" t="n">
        <v>0</v>
      </c>
      <c r="I647" t="n">
        <v>0</v>
      </c>
      <c r="J647" t="n">
        <v>0</v>
      </c>
      <c r="K647" t="n">
        <v>0</v>
      </c>
      <c r="L647" t="n">
        <v>0</v>
      </c>
      <c r="M647" t="n">
        <v>0</v>
      </c>
      <c r="N647" t="n">
        <v>0</v>
      </c>
      <c r="O647" t="n">
        <v>0</v>
      </c>
      <c r="P647" t="n">
        <v>0</v>
      </c>
      <c r="Q647" t="n">
        <v>0</v>
      </c>
      <c r="R647" s="2" t="inlineStr"/>
    </row>
    <row r="648" ht="15" customHeight="1">
      <c r="A648" t="inlineStr">
        <is>
          <t>A 17084-2025</t>
        </is>
      </c>
      <c r="B648" s="1" t="n">
        <v>45755.64450231481</v>
      </c>
      <c r="C648" s="1" t="n">
        <v>46106</v>
      </c>
      <c r="D648" t="inlineStr">
        <is>
          <t>KALMAR LÄN</t>
        </is>
      </c>
      <c r="E648" t="inlineStr">
        <is>
          <t>VIMMERBY</t>
        </is>
      </c>
      <c r="G648" t="n">
        <v>1.4</v>
      </c>
      <c r="H648" t="n">
        <v>0</v>
      </c>
      <c r="I648" t="n">
        <v>0</v>
      </c>
      <c r="J648" t="n">
        <v>0</v>
      </c>
      <c r="K648" t="n">
        <v>0</v>
      </c>
      <c r="L648" t="n">
        <v>0</v>
      </c>
      <c r="M648" t="n">
        <v>0</v>
      </c>
      <c r="N648" t="n">
        <v>0</v>
      </c>
      <c r="O648" t="n">
        <v>0</v>
      </c>
      <c r="P648" t="n">
        <v>0</v>
      </c>
      <c r="Q648" t="n">
        <v>0</v>
      </c>
      <c r="R648" s="2" t="inlineStr"/>
    </row>
    <row r="649" ht="15" customHeight="1">
      <c r="A649" t="inlineStr">
        <is>
          <t>A 33161-2024</t>
        </is>
      </c>
      <c r="B649" s="1" t="n">
        <v>45518.40657407408</v>
      </c>
      <c r="C649" s="1" t="n">
        <v>46106</v>
      </c>
      <c r="D649" t="inlineStr">
        <is>
          <t>KALMAR LÄN</t>
        </is>
      </c>
      <c r="E649" t="inlineStr">
        <is>
          <t>VIMMERBY</t>
        </is>
      </c>
      <c r="G649" t="n">
        <v>4.7</v>
      </c>
      <c r="H649" t="n">
        <v>0</v>
      </c>
      <c r="I649" t="n">
        <v>0</v>
      </c>
      <c r="J649" t="n">
        <v>0</v>
      </c>
      <c r="K649" t="n">
        <v>0</v>
      </c>
      <c r="L649" t="n">
        <v>0</v>
      </c>
      <c r="M649" t="n">
        <v>0</v>
      </c>
      <c r="N649" t="n">
        <v>0</v>
      </c>
      <c r="O649" t="n">
        <v>0</v>
      </c>
      <c r="P649" t="n">
        <v>0</v>
      </c>
      <c r="Q649" t="n">
        <v>0</v>
      </c>
      <c r="R649" s="2" t="inlineStr"/>
    </row>
    <row r="650" ht="15" customHeight="1">
      <c r="A650" t="inlineStr">
        <is>
          <t>A 60180-2025</t>
        </is>
      </c>
      <c r="B650" s="1" t="n">
        <v>45994.46428240741</v>
      </c>
      <c r="C650" s="1" t="n">
        <v>46106</v>
      </c>
      <c r="D650" t="inlineStr">
        <is>
          <t>KALMAR LÄN</t>
        </is>
      </c>
      <c r="E650" t="inlineStr">
        <is>
          <t>VIMMERBY</t>
        </is>
      </c>
      <c r="G650" t="n">
        <v>6.8</v>
      </c>
      <c r="H650" t="n">
        <v>0</v>
      </c>
      <c r="I650" t="n">
        <v>0</v>
      </c>
      <c r="J650" t="n">
        <v>0</v>
      </c>
      <c r="K650" t="n">
        <v>0</v>
      </c>
      <c r="L650" t="n">
        <v>0</v>
      </c>
      <c r="M650" t="n">
        <v>0</v>
      </c>
      <c r="N650" t="n">
        <v>0</v>
      </c>
      <c r="O650" t="n">
        <v>0</v>
      </c>
      <c r="P650" t="n">
        <v>0</v>
      </c>
      <c r="Q650" t="n">
        <v>0</v>
      </c>
      <c r="R650" s="2" t="inlineStr"/>
    </row>
    <row r="651" ht="15" customHeight="1">
      <c r="A651" t="inlineStr">
        <is>
          <t>A 14359-2025</t>
        </is>
      </c>
      <c r="B651" s="1" t="n">
        <v>45741.37270833334</v>
      </c>
      <c r="C651" s="1" t="n">
        <v>46106</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60297-2025</t>
        </is>
      </c>
      <c r="B652" s="1" t="n">
        <v>45994</v>
      </c>
      <c r="C652" s="1" t="n">
        <v>46106</v>
      </c>
      <c r="D652" t="inlineStr">
        <is>
          <t>KALMAR LÄN</t>
        </is>
      </c>
      <c r="E652" t="inlineStr">
        <is>
          <t>VIMMERBY</t>
        </is>
      </c>
      <c r="G652" t="n">
        <v>4.2</v>
      </c>
      <c r="H652" t="n">
        <v>0</v>
      </c>
      <c r="I652" t="n">
        <v>0</v>
      </c>
      <c r="J652" t="n">
        <v>0</v>
      </c>
      <c r="K652" t="n">
        <v>0</v>
      </c>
      <c r="L652" t="n">
        <v>0</v>
      </c>
      <c r="M652" t="n">
        <v>0</v>
      </c>
      <c r="N652" t="n">
        <v>0</v>
      </c>
      <c r="O652" t="n">
        <v>0</v>
      </c>
      <c r="P652" t="n">
        <v>0</v>
      </c>
      <c r="Q652" t="n">
        <v>0</v>
      </c>
      <c r="R652" s="2" t="inlineStr"/>
    </row>
    <row r="653" ht="15" customHeight="1">
      <c r="A653" t="inlineStr">
        <is>
          <t>A 55605-2024</t>
        </is>
      </c>
      <c r="B653" s="1" t="n">
        <v>45622</v>
      </c>
      <c r="C653" s="1" t="n">
        <v>46106</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44464-2024</t>
        </is>
      </c>
      <c r="B654" s="1" t="n">
        <v>45574.35809027778</v>
      </c>
      <c r="C654" s="1" t="n">
        <v>46106</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36049-2024</t>
        </is>
      </c>
      <c r="B655" s="1" t="n">
        <v>45533.61996527778</v>
      </c>
      <c r="C655" s="1" t="n">
        <v>46106</v>
      </c>
      <c r="D655" t="inlineStr">
        <is>
          <t>KALMAR LÄN</t>
        </is>
      </c>
      <c r="E655" t="inlineStr">
        <is>
          <t>VIMMERBY</t>
        </is>
      </c>
      <c r="F655" t="inlineStr">
        <is>
          <t>Kommuner</t>
        </is>
      </c>
      <c r="G655" t="n">
        <v>2.6</v>
      </c>
      <c r="H655" t="n">
        <v>0</v>
      </c>
      <c r="I655" t="n">
        <v>0</v>
      </c>
      <c r="J655" t="n">
        <v>0</v>
      </c>
      <c r="K655" t="n">
        <v>0</v>
      </c>
      <c r="L655" t="n">
        <v>0</v>
      </c>
      <c r="M655" t="n">
        <v>0</v>
      </c>
      <c r="N655" t="n">
        <v>0</v>
      </c>
      <c r="O655" t="n">
        <v>0</v>
      </c>
      <c r="P655" t="n">
        <v>0</v>
      </c>
      <c r="Q655" t="n">
        <v>0</v>
      </c>
      <c r="R655" s="2" t="inlineStr"/>
    </row>
    <row r="656" ht="15" customHeight="1">
      <c r="A656" t="inlineStr">
        <is>
          <t>A 4297-2022</t>
        </is>
      </c>
      <c r="B656" s="1" t="n">
        <v>44588</v>
      </c>
      <c r="C656" s="1" t="n">
        <v>46106</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46399-2024</t>
        </is>
      </c>
      <c r="B657" s="1" t="n">
        <v>45582.41200231481</v>
      </c>
      <c r="C657" s="1" t="n">
        <v>46106</v>
      </c>
      <c r="D657" t="inlineStr">
        <is>
          <t>KALMAR LÄN</t>
        </is>
      </c>
      <c r="E657" t="inlineStr">
        <is>
          <t>VIMMERBY</t>
        </is>
      </c>
      <c r="G657" t="n">
        <v>4.6</v>
      </c>
      <c r="H657" t="n">
        <v>0</v>
      </c>
      <c r="I657" t="n">
        <v>0</v>
      </c>
      <c r="J657" t="n">
        <v>0</v>
      </c>
      <c r="K657" t="n">
        <v>0</v>
      </c>
      <c r="L657" t="n">
        <v>0</v>
      </c>
      <c r="M657" t="n">
        <v>0</v>
      </c>
      <c r="N657" t="n">
        <v>0</v>
      </c>
      <c r="O657" t="n">
        <v>0</v>
      </c>
      <c r="P657" t="n">
        <v>0</v>
      </c>
      <c r="Q657" t="n">
        <v>0</v>
      </c>
      <c r="R657" s="2" t="inlineStr"/>
    </row>
    <row r="658" ht="15" customHeight="1">
      <c r="A658" t="inlineStr">
        <is>
          <t>A 61725-2025</t>
        </is>
      </c>
      <c r="B658" s="1" t="n">
        <v>46002.58680555555</v>
      </c>
      <c r="C658" s="1" t="n">
        <v>46106</v>
      </c>
      <c r="D658" t="inlineStr">
        <is>
          <t>KALMAR LÄN</t>
        </is>
      </c>
      <c r="E658" t="inlineStr">
        <is>
          <t>VIMMERBY</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61790-2025</t>
        </is>
      </c>
      <c r="B659" s="1" t="n">
        <v>46002.68768518518</v>
      </c>
      <c r="C659" s="1" t="n">
        <v>46106</v>
      </c>
      <c r="D659" t="inlineStr">
        <is>
          <t>KALMAR LÄN</t>
        </is>
      </c>
      <c r="E659" t="inlineStr">
        <is>
          <t>VIMMERBY</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13532-2025</t>
        </is>
      </c>
      <c r="B660" s="1" t="n">
        <v>45736.50743055555</v>
      </c>
      <c r="C660" s="1" t="n">
        <v>46106</v>
      </c>
      <c r="D660" t="inlineStr">
        <is>
          <t>KALMAR LÄN</t>
        </is>
      </c>
      <c r="E660" t="inlineStr">
        <is>
          <t>VIMMERBY</t>
        </is>
      </c>
      <c r="G660" t="n">
        <v>3.6</v>
      </c>
      <c r="H660" t="n">
        <v>0</v>
      </c>
      <c r="I660" t="n">
        <v>0</v>
      </c>
      <c r="J660" t="n">
        <v>0</v>
      </c>
      <c r="K660" t="n">
        <v>0</v>
      </c>
      <c r="L660" t="n">
        <v>0</v>
      </c>
      <c r="M660" t="n">
        <v>0</v>
      </c>
      <c r="N660" t="n">
        <v>0</v>
      </c>
      <c r="O660" t="n">
        <v>0</v>
      </c>
      <c r="P660" t="n">
        <v>0</v>
      </c>
      <c r="Q660" t="n">
        <v>0</v>
      </c>
      <c r="R660" s="2" t="inlineStr"/>
    </row>
    <row r="661" ht="15" customHeight="1">
      <c r="A661" t="inlineStr">
        <is>
          <t>A 43038-2022</t>
        </is>
      </c>
      <c r="B661" s="1" t="n">
        <v>44833.60123842592</v>
      </c>
      <c r="C661" s="1" t="n">
        <v>46106</v>
      </c>
      <c r="D661" t="inlineStr">
        <is>
          <t>KALMAR LÄN</t>
        </is>
      </c>
      <c r="E661" t="inlineStr">
        <is>
          <t>VIMMERBY</t>
        </is>
      </c>
      <c r="G661" t="n">
        <v>4.2</v>
      </c>
      <c r="H661" t="n">
        <v>0</v>
      </c>
      <c r="I661" t="n">
        <v>0</v>
      </c>
      <c r="J661" t="n">
        <v>0</v>
      </c>
      <c r="K661" t="n">
        <v>0</v>
      </c>
      <c r="L661" t="n">
        <v>0</v>
      </c>
      <c r="M661" t="n">
        <v>0</v>
      </c>
      <c r="N661" t="n">
        <v>0</v>
      </c>
      <c r="O661" t="n">
        <v>0</v>
      </c>
      <c r="P661" t="n">
        <v>0</v>
      </c>
      <c r="Q661" t="n">
        <v>0</v>
      </c>
      <c r="R661" s="2" t="inlineStr"/>
    </row>
    <row r="662" ht="15" customHeight="1">
      <c r="A662" t="inlineStr">
        <is>
          <t>A 61726-2025</t>
        </is>
      </c>
      <c r="B662" s="1" t="n">
        <v>46002.58822916666</v>
      </c>
      <c r="C662" s="1" t="n">
        <v>46106</v>
      </c>
      <c r="D662" t="inlineStr">
        <is>
          <t>KALMAR LÄN</t>
        </is>
      </c>
      <c r="E662" t="inlineStr">
        <is>
          <t>VIMMERBY</t>
        </is>
      </c>
      <c r="F662" t="inlineStr">
        <is>
          <t>Sveaskog</t>
        </is>
      </c>
      <c r="G662" t="n">
        <v>0.2</v>
      </c>
      <c r="H662" t="n">
        <v>0</v>
      </c>
      <c r="I662" t="n">
        <v>0</v>
      </c>
      <c r="J662" t="n">
        <v>0</v>
      </c>
      <c r="K662" t="n">
        <v>0</v>
      </c>
      <c r="L662" t="n">
        <v>0</v>
      </c>
      <c r="M662" t="n">
        <v>0</v>
      </c>
      <c r="N662" t="n">
        <v>0</v>
      </c>
      <c r="O662" t="n">
        <v>0</v>
      </c>
      <c r="P662" t="n">
        <v>0</v>
      </c>
      <c r="Q662" t="n">
        <v>0</v>
      </c>
      <c r="R662" s="2" t="inlineStr"/>
    </row>
    <row r="663" ht="15" customHeight="1">
      <c r="A663" t="inlineStr">
        <is>
          <t>A 57799-2022</t>
        </is>
      </c>
      <c r="B663" s="1" t="n">
        <v>44897</v>
      </c>
      <c r="C663" s="1" t="n">
        <v>46106</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30921-2024</t>
        </is>
      </c>
      <c r="B664" s="1" t="n">
        <v>45498</v>
      </c>
      <c r="C664" s="1" t="n">
        <v>46106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14137-2023</t>
        </is>
      </c>
      <c r="B665" s="1" t="n">
        <v>45009.4671875</v>
      </c>
      <c r="C665" s="1" t="n">
        <v>46106</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11152-2023</t>
        </is>
      </c>
      <c r="B666" s="1" t="n">
        <v>44992</v>
      </c>
      <c r="C666" s="1" t="n">
        <v>46106</v>
      </c>
      <c r="D666" t="inlineStr">
        <is>
          <t>KALMAR LÄN</t>
        </is>
      </c>
      <c r="E666" t="inlineStr">
        <is>
          <t>VIMMERBY</t>
        </is>
      </c>
      <c r="G666" t="n">
        <v>10.6</v>
      </c>
      <c r="H666" t="n">
        <v>0</v>
      </c>
      <c r="I666" t="n">
        <v>0</v>
      </c>
      <c r="J666" t="n">
        <v>0</v>
      </c>
      <c r="K666" t="n">
        <v>0</v>
      </c>
      <c r="L666" t="n">
        <v>0</v>
      </c>
      <c r="M666" t="n">
        <v>0</v>
      </c>
      <c r="N666" t="n">
        <v>0</v>
      </c>
      <c r="O666" t="n">
        <v>0</v>
      </c>
      <c r="P666" t="n">
        <v>0</v>
      </c>
      <c r="Q666" t="n">
        <v>0</v>
      </c>
      <c r="R666" s="2" t="inlineStr"/>
    </row>
    <row r="667" ht="15" customHeight="1">
      <c r="A667" t="inlineStr">
        <is>
          <t>A 12499-2023</t>
        </is>
      </c>
      <c r="B667" s="1" t="n">
        <v>44999.86172453704</v>
      </c>
      <c r="C667" s="1" t="n">
        <v>46106</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12500-2023</t>
        </is>
      </c>
      <c r="B668" s="1" t="n">
        <v>44999.8625</v>
      </c>
      <c r="C668" s="1" t="n">
        <v>46106</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35846-2023</t>
        </is>
      </c>
      <c r="B669" s="1" t="n">
        <v>45148</v>
      </c>
      <c r="C669" s="1" t="n">
        <v>46106</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49039-2021</t>
        </is>
      </c>
      <c r="B670" s="1" t="n">
        <v>44453.56578703703</v>
      </c>
      <c r="C670" s="1" t="n">
        <v>46106</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63711-2025</t>
        </is>
      </c>
      <c r="B671" s="1" t="n">
        <v>46014.62724537037</v>
      </c>
      <c r="C671" s="1" t="n">
        <v>46106</v>
      </c>
      <c r="D671" t="inlineStr">
        <is>
          <t>KALMAR LÄN</t>
        </is>
      </c>
      <c r="E671" t="inlineStr">
        <is>
          <t>VIMMERBY</t>
        </is>
      </c>
      <c r="G671" t="n">
        <v>2.1</v>
      </c>
      <c r="H671" t="n">
        <v>0</v>
      </c>
      <c r="I671" t="n">
        <v>0</v>
      </c>
      <c r="J671" t="n">
        <v>0</v>
      </c>
      <c r="K671" t="n">
        <v>0</v>
      </c>
      <c r="L671" t="n">
        <v>0</v>
      </c>
      <c r="M671" t="n">
        <v>0</v>
      </c>
      <c r="N671" t="n">
        <v>0</v>
      </c>
      <c r="O671" t="n">
        <v>0</v>
      </c>
      <c r="P671" t="n">
        <v>0</v>
      </c>
      <c r="Q671" t="n">
        <v>0</v>
      </c>
      <c r="R671" s="2" t="inlineStr"/>
    </row>
    <row r="672" ht="15" customHeight="1">
      <c r="A672" t="inlineStr">
        <is>
          <t>A 61937-2025</t>
        </is>
      </c>
      <c r="B672" s="1" t="n">
        <v>46003</v>
      </c>
      <c r="C672" s="1" t="n">
        <v>46106</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46224-2024</t>
        </is>
      </c>
      <c r="B673" s="1" t="n">
        <v>45581.57016203704</v>
      </c>
      <c r="C673" s="1" t="n">
        <v>46106</v>
      </c>
      <c r="D673" t="inlineStr">
        <is>
          <t>KALMAR LÄN</t>
        </is>
      </c>
      <c r="E673" t="inlineStr">
        <is>
          <t>VIMMERBY</t>
        </is>
      </c>
      <c r="G673" t="n">
        <v>3.1</v>
      </c>
      <c r="H673" t="n">
        <v>0</v>
      </c>
      <c r="I673" t="n">
        <v>0</v>
      </c>
      <c r="J673" t="n">
        <v>0</v>
      </c>
      <c r="K673" t="n">
        <v>0</v>
      </c>
      <c r="L673" t="n">
        <v>0</v>
      </c>
      <c r="M673" t="n">
        <v>0</v>
      </c>
      <c r="N673" t="n">
        <v>0</v>
      </c>
      <c r="O673" t="n">
        <v>0</v>
      </c>
      <c r="P673" t="n">
        <v>0</v>
      </c>
      <c r="Q673" t="n">
        <v>0</v>
      </c>
      <c r="R673" s="2" t="inlineStr"/>
    </row>
    <row r="674" ht="15" customHeight="1">
      <c r="A674" t="inlineStr">
        <is>
          <t>A 46238-2024</t>
        </is>
      </c>
      <c r="B674" s="1" t="n">
        <v>45581.58418981481</v>
      </c>
      <c r="C674" s="1" t="n">
        <v>46106</v>
      </c>
      <c r="D674" t="inlineStr">
        <is>
          <t>KALMAR LÄN</t>
        </is>
      </c>
      <c r="E674" t="inlineStr">
        <is>
          <t>VIMMERBY</t>
        </is>
      </c>
      <c r="G674" t="n">
        <v>2.1</v>
      </c>
      <c r="H674" t="n">
        <v>0</v>
      </c>
      <c r="I674" t="n">
        <v>0</v>
      </c>
      <c r="J674" t="n">
        <v>0</v>
      </c>
      <c r="K674" t="n">
        <v>0</v>
      </c>
      <c r="L674" t="n">
        <v>0</v>
      </c>
      <c r="M674" t="n">
        <v>0</v>
      </c>
      <c r="N674" t="n">
        <v>0</v>
      </c>
      <c r="O674" t="n">
        <v>0</v>
      </c>
      <c r="P674" t="n">
        <v>0</v>
      </c>
      <c r="Q674" t="n">
        <v>0</v>
      </c>
      <c r="R674" s="2" t="inlineStr"/>
    </row>
    <row r="675" ht="15" customHeight="1">
      <c r="A675" t="inlineStr">
        <is>
          <t>A 30633-2024</t>
        </is>
      </c>
      <c r="B675" s="1" t="n">
        <v>45495</v>
      </c>
      <c r="C675" s="1" t="n">
        <v>46106</v>
      </c>
      <c r="D675" t="inlineStr">
        <is>
          <t>KALMAR LÄN</t>
        </is>
      </c>
      <c r="E675" t="inlineStr">
        <is>
          <t>VIMMERBY</t>
        </is>
      </c>
      <c r="G675" t="n">
        <v>0.5</v>
      </c>
      <c r="H675" t="n">
        <v>0</v>
      </c>
      <c r="I675" t="n">
        <v>0</v>
      </c>
      <c r="J675" t="n">
        <v>0</v>
      </c>
      <c r="K675" t="n">
        <v>0</v>
      </c>
      <c r="L675" t="n">
        <v>0</v>
      </c>
      <c r="M675" t="n">
        <v>0</v>
      </c>
      <c r="N675" t="n">
        <v>0</v>
      </c>
      <c r="O675" t="n">
        <v>0</v>
      </c>
      <c r="P675" t="n">
        <v>0</v>
      </c>
      <c r="Q675" t="n">
        <v>0</v>
      </c>
      <c r="R675" s="2" t="inlineStr"/>
    </row>
    <row r="676" ht="15" customHeight="1">
      <c r="A676" t="inlineStr">
        <is>
          <t>A 54838-2024</t>
        </is>
      </c>
      <c r="B676" s="1" t="n">
        <v>45618.56787037037</v>
      </c>
      <c r="C676" s="1" t="n">
        <v>46106</v>
      </c>
      <c r="D676" t="inlineStr">
        <is>
          <t>KALMAR LÄN</t>
        </is>
      </c>
      <c r="E676" t="inlineStr">
        <is>
          <t>VIMMERBY</t>
        </is>
      </c>
      <c r="G676" t="n">
        <v>3.3</v>
      </c>
      <c r="H676" t="n">
        <v>0</v>
      </c>
      <c r="I676" t="n">
        <v>0</v>
      </c>
      <c r="J676" t="n">
        <v>0</v>
      </c>
      <c r="K676" t="n">
        <v>0</v>
      </c>
      <c r="L676" t="n">
        <v>0</v>
      </c>
      <c r="M676" t="n">
        <v>0</v>
      </c>
      <c r="N676" t="n">
        <v>0</v>
      </c>
      <c r="O676" t="n">
        <v>0</v>
      </c>
      <c r="P676" t="n">
        <v>0</v>
      </c>
      <c r="Q676" t="n">
        <v>0</v>
      </c>
      <c r="R676" s="2" t="inlineStr"/>
    </row>
    <row r="677" ht="15" customHeight="1">
      <c r="A677" t="inlineStr">
        <is>
          <t>A 63762-2025</t>
        </is>
      </c>
      <c r="B677" s="1" t="n">
        <v>46018.67197916667</v>
      </c>
      <c r="C677" s="1" t="n">
        <v>46106</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63758-2025</t>
        </is>
      </c>
      <c r="B678" s="1" t="n">
        <v>46018.46483796297</v>
      </c>
      <c r="C678" s="1" t="n">
        <v>46106</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6405-2025</t>
        </is>
      </c>
      <c r="B679" s="1" t="n">
        <v>45699.45392361111</v>
      </c>
      <c r="C679" s="1" t="n">
        <v>46106</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63845-2025</t>
        </is>
      </c>
      <c r="B680" s="1" t="n">
        <v>46020.43715277778</v>
      </c>
      <c r="C680" s="1" t="n">
        <v>46106</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63848-2025</t>
        </is>
      </c>
      <c r="B681" s="1" t="n">
        <v>46020.44902777778</v>
      </c>
      <c r="C681" s="1" t="n">
        <v>46106</v>
      </c>
      <c r="D681" t="inlineStr">
        <is>
          <t>KALMAR LÄN</t>
        </is>
      </c>
      <c r="E681" t="inlineStr">
        <is>
          <t>VIMMERBY</t>
        </is>
      </c>
      <c r="G681" t="n">
        <v>3.4</v>
      </c>
      <c r="H681" t="n">
        <v>0</v>
      </c>
      <c r="I681" t="n">
        <v>0</v>
      </c>
      <c r="J681" t="n">
        <v>0</v>
      </c>
      <c r="K681" t="n">
        <v>0</v>
      </c>
      <c r="L681" t="n">
        <v>0</v>
      </c>
      <c r="M681" t="n">
        <v>0</v>
      </c>
      <c r="N681" t="n">
        <v>0</v>
      </c>
      <c r="O681" t="n">
        <v>0</v>
      </c>
      <c r="P681" t="n">
        <v>0</v>
      </c>
      <c r="Q681" t="n">
        <v>0</v>
      </c>
      <c r="R681" s="2" t="inlineStr"/>
    </row>
    <row r="682" ht="15" customHeight="1">
      <c r="A682" t="inlineStr">
        <is>
          <t>A 63839-2025</t>
        </is>
      </c>
      <c r="B682" s="1" t="n">
        <v>46020.41998842593</v>
      </c>
      <c r="C682" s="1" t="n">
        <v>46106</v>
      </c>
      <c r="D682" t="inlineStr">
        <is>
          <t>KALMAR LÄN</t>
        </is>
      </c>
      <c r="E682" t="inlineStr">
        <is>
          <t>VIMMERBY</t>
        </is>
      </c>
      <c r="G682" t="n">
        <v>2.9</v>
      </c>
      <c r="H682" t="n">
        <v>0</v>
      </c>
      <c r="I682" t="n">
        <v>0</v>
      </c>
      <c r="J682" t="n">
        <v>0</v>
      </c>
      <c r="K682" t="n">
        <v>0</v>
      </c>
      <c r="L682" t="n">
        <v>0</v>
      </c>
      <c r="M682" t="n">
        <v>0</v>
      </c>
      <c r="N682" t="n">
        <v>0</v>
      </c>
      <c r="O682" t="n">
        <v>0</v>
      </c>
      <c r="P682" t="n">
        <v>0</v>
      </c>
      <c r="Q682" t="n">
        <v>0</v>
      </c>
      <c r="R682" s="2" t="inlineStr"/>
    </row>
    <row r="683" ht="15" customHeight="1">
      <c r="A683" t="inlineStr">
        <is>
          <t>A 60437-2023</t>
        </is>
      </c>
      <c r="B683" s="1" t="n">
        <v>45259.51916666667</v>
      </c>
      <c r="C683" s="1" t="n">
        <v>46106</v>
      </c>
      <c r="D683" t="inlineStr">
        <is>
          <t>KALMAR LÄN</t>
        </is>
      </c>
      <c r="E683" t="inlineStr">
        <is>
          <t>VIMMERBY</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60438-2023</t>
        </is>
      </c>
      <c r="B684" s="1" t="n">
        <v>45259.52020833334</v>
      </c>
      <c r="C684" s="1" t="n">
        <v>46106</v>
      </c>
      <c r="D684" t="inlineStr">
        <is>
          <t>KALMAR LÄN</t>
        </is>
      </c>
      <c r="E684" t="inlineStr">
        <is>
          <t>VIMMERBY</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42165-2024</t>
        </is>
      </c>
      <c r="B685" s="1" t="n">
        <v>45562.46342592593</v>
      </c>
      <c r="C685" s="1" t="n">
        <v>46106</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25244-2023</t>
        </is>
      </c>
      <c r="B686" s="1" t="n">
        <v>45086</v>
      </c>
      <c r="C686" s="1" t="n">
        <v>46106</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66022-2021</t>
        </is>
      </c>
      <c r="B687" s="1" t="n">
        <v>44517</v>
      </c>
      <c r="C687" s="1" t="n">
        <v>46106</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35895-2024</t>
        </is>
      </c>
      <c r="B688" s="1" t="n">
        <v>45533.38870370371</v>
      </c>
      <c r="C688" s="1" t="n">
        <v>46106</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11073-2023</t>
        </is>
      </c>
      <c r="B689" s="1" t="n">
        <v>44992</v>
      </c>
      <c r="C689" s="1" t="n">
        <v>46106</v>
      </c>
      <c r="D689" t="inlineStr">
        <is>
          <t>KALMAR LÄN</t>
        </is>
      </c>
      <c r="E689" t="inlineStr">
        <is>
          <t>VIMMERBY</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8696-2026</t>
        </is>
      </c>
      <c r="B690" s="1" t="n">
        <v>46066.45273148148</v>
      </c>
      <c r="C690" s="1" t="n">
        <v>46106</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17-2025</t>
        </is>
      </c>
      <c r="B691" s="1" t="n">
        <v>45658.78774305555</v>
      </c>
      <c r="C691" s="1" t="n">
        <v>46106</v>
      </c>
      <c r="D691" t="inlineStr">
        <is>
          <t>KALMAR LÄN</t>
        </is>
      </c>
      <c r="E691" t="inlineStr">
        <is>
          <t>VIMMERBY</t>
        </is>
      </c>
      <c r="G691" t="n">
        <v>4.4</v>
      </c>
      <c r="H691" t="n">
        <v>0</v>
      </c>
      <c r="I691" t="n">
        <v>0</v>
      </c>
      <c r="J691" t="n">
        <v>0</v>
      </c>
      <c r="K691" t="n">
        <v>0</v>
      </c>
      <c r="L691" t="n">
        <v>0</v>
      </c>
      <c r="M691" t="n">
        <v>0</v>
      </c>
      <c r="N691" t="n">
        <v>0</v>
      </c>
      <c r="O691" t="n">
        <v>0</v>
      </c>
      <c r="P691" t="n">
        <v>0</v>
      </c>
      <c r="Q691" t="n">
        <v>0</v>
      </c>
      <c r="R691" s="2" t="inlineStr"/>
    </row>
    <row r="692" ht="15" customHeight="1">
      <c r="A692" t="inlineStr">
        <is>
          <t>A 32655-2023</t>
        </is>
      </c>
      <c r="B692" s="1" t="n">
        <v>45121.61318287037</v>
      </c>
      <c r="C692" s="1" t="n">
        <v>46106</v>
      </c>
      <c r="D692" t="inlineStr">
        <is>
          <t>KALMAR LÄN</t>
        </is>
      </c>
      <c r="E692" t="inlineStr">
        <is>
          <t>VIMMERBY</t>
        </is>
      </c>
      <c r="F692" t="inlineStr">
        <is>
          <t>Sveaskog</t>
        </is>
      </c>
      <c r="G692" t="n">
        <v>2</v>
      </c>
      <c r="H692" t="n">
        <v>0</v>
      </c>
      <c r="I692" t="n">
        <v>0</v>
      </c>
      <c r="J692" t="n">
        <v>0</v>
      </c>
      <c r="K692" t="n">
        <v>0</v>
      </c>
      <c r="L692" t="n">
        <v>0</v>
      </c>
      <c r="M692" t="n">
        <v>0</v>
      </c>
      <c r="N692" t="n">
        <v>0</v>
      </c>
      <c r="O692" t="n">
        <v>0</v>
      </c>
      <c r="P692" t="n">
        <v>0</v>
      </c>
      <c r="Q692" t="n">
        <v>0</v>
      </c>
      <c r="R692" s="2" t="inlineStr"/>
    </row>
    <row r="693" ht="15" customHeight="1">
      <c r="A693" t="inlineStr">
        <is>
          <t>A 8595-2026</t>
        </is>
      </c>
      <c r="B693" s="1" t="n">
        <v>46065.7372337963</v>
      </c>
      <c r="C693" s="1" t="n">
        <v>46106</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63541-2023</t>
        </is>
      </c>
      <c r="B694" s="1" t="n">
        <v>45275.32266203704</v>
      </c>
      <c r="C694" s="1" t="n">
        <v>46106</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28034-2022</t>
        </is>
      </c>
      <c r="B695" s="1" t="n">
        <v>44746.38834490741</v>
      </c>
      <c r="C695" s="1" t="n">
        <v>46106</v>
      </c>
      <c r="D695" t="inlineStr">
        <is>
          <t>KALMAR LÄN</t>
        </is>
      </c>
      <c r="E695" t="inlineStr">
        <is>
          <t>VIMMERBY</t>
        </is>
      </c>
      <c r="G695" t="n">
        <v>2</v>
      </c>
      <c r="H695" t="n">
        <v>0</v>
      </c>
      <c r="I695" t="n">
        <v>0</v>
      </c>
      <c r="J695" t="n">
        <v>0</v>
      </c>
      <c r="K695" t="n">
        <v>0</v>
      </c>
      <c r="L695" t="n">
        <v>0</v>
      </c>
      <c r="M695" t="n">
        <v>0</v>
      </c>
      <c r="N695" t="n">
        <v>0</v>
      </c>
      <c r="O695" t="n">
        <v>0</v>
      </c>
      <c r="P695" t="n">
        <v>0</v>
      </c>
      <c r="Q695" t="n">
        <v>0</v>
      </c>
      <c r="R695" s="2" t="inlineStr"/>
    </row>
    <row r="696" ht="15" customHeight="1">
      <c r="A696" t="inlineStr">
        <is>
          <t>A 579-2026</t>
        </is>
      </c>
      <c r="B696" s="1" t="n">
        <v>46029.47912037037</v>
      </c>
      <c r="C696" s="1" t="n">
        <v>46106</v>
      </c>
      <c r="D696" t="inlineStr">
        <is>
          <t>KALMAR LÄN</t>
        </is>
      </c>
      <c r="E696" t="inlineStr">
        <is>
          <t>VIMMERBY</t>
        </is>
      </c>
      <c r="G696" t="n">
        <v>3</v>
      </c>
      <c r="H696" t="n">
        <v>0</v>
      </c>
      <c r="I696" t="n">
        <v>0</v>
      </c>
      <c r="J696" t="n">
        <v>0</v>
      </c>
      <c r="K696" t="n">
        <v>0</v>
      </c>
      <c r="L696" t="n">
        <v>0</v>
      </c>
      <c r="M696" t="n">
        <v>0</v>
      </c>
      <c r="N696" t="n">
        <v>0</v>
      </c>
      <c r="O696" t="n">
        <v>0</v>
      </c>
      <c r="P696" t="n">
        <v>0</v>
      </c>
      <c r="Q696" t="n">
        <v>0</v>
      </c>
      <c r="R696" s="2" t="inlineStr"/>
    </row>
    <row r="697" ht="15" customHeight="1">
      <c r="A697" t="inlineStr">
        <is>
          <t>A 5938-2022</t>
        </is>
      </c>
      <c r="B697" s="1" t="n">
        <v>44598</v>
      </c>
      <c r="C697" s="1" t="n">
        <v>46106</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24283-2023</t>
        </is>
      </c>
      <c r="B698" s="1" t="n">
        <v>45079.87827546296</v>
      </c>
      <c r="C698" s="1" t="n">
        <v>46106</v>
      </c>
      <c r="D698" t="inlineStr">
        <is>
          <t>KALMAR LÄN</t>
        </is>
      </c>
      <c r="E698" t="inlineStr">
        <is>
          <t>VIMMERBY</t>
        </is>
      </c>
      <c r="G698" t="n">
        <v>2</v>
      </c>
      <c r="H698" t="n">
        <v>0</v>
      </c>
      <c r="I698" t="n">
        <v>0</v>
      </c>
      <c r="J698" t="n">
        <v>0</v>
      </c>
      <c r="K698" t="n">
        <v>0</v>
      </c>
      <c r="L698" t="n">
        <v>0</v>
      </c>
      <c r="M698" t="n">
        <v>0</v>
      </c>
      <c r="N698" t="n">
        <v>0</v>
      </c>
      <c r="O698" t="n">
        <v>0</v>
      </c>
      <c r="P698" t="n">
        <v>0</v>
      </c>
      <c r="Q698" t="n">
        <v>0</v>
      </c>
      <c r="R698" s="2" t="inlineStr"/>
    </row>
    <row r="699" ht="15" customHeight="1">
      <c r="A699" t="inlineStr">
        <is>
          <t>A 409-2026</t>
        </is>
      </c>
      <c r="B699" s="1" t="n">
        <v>46028.69432870371</v>
      </c>
      <c r="C699" s="1" t="n">
        <v>46106</v>
      </c>
      <c r="D699" t="inlineStr">
        <is>
          <t>KALMAR LÄN</t>
        </is>
      </c>
      <c r="E699" t="inlineStr">
        <is>
          <t>VIMMERBY</t>
        </is>
      </c>
      <c r="G699" t="n">
        <v>2.2</v>
      </c>
      <c r="H699" t="n">
        <v>0</v>
      </c>
      <c r="I699" t="n">
        <v>0</v>
      </c>
      <c r="J699" t="n">
        <v>0</v>
      </c>
      <c r="K699" t="n">
        <v>0</v>
      </c>
      <c r="L699" t="n">
        <v>0</v>
      </c>
      <c r="M699" t="n">
        <v>0</v>
      </c>
      <c r="N699" t="n">
        <v>0</v>
      </c>
      <c r="O699" t="n">
        <v>0</v>
      </c>
      <c r="P699" t="n">
        <v>0</v>
      </c>
      <c r="Q699" t="n">
        <v>0</v>
      </c>
      <c r="R699" s="2" t="inlineStr"/>
    </row>
    <row r="700" ht="15" customHeight="1">
      <c r="A700" t="inlineStr">
        <is>
          <t>A 406-2026</t>
        </is>
      </c>
      <c r="B700" s="1" t="n">
        <v>46028.68663194445</v>
      </c>
      <c r="C700" s="1" t="n">
        <v>46106</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2462-2022</t>
        </is>
      </c>
      <c r="B701" s="1" t="n">
        <v>44579.62225694444</v>
      </c>
      <c r="C701" s="1" t="n">
        <v>46106</v>
      </c>
      <c r="D701" t="inlineStr">
        <is>
          <t>KALMAR LÄN</t>
        </is>
      </c>
      <c r="E701" t="inlineStr">
        <is>
          <t>VIMMERBY</t>
        </is>
      </c>
      <c r="G701" t="n">
        <v>1.1</v>
      </c>
      <c r="H701" t="n">
        <v>0</v>
      </c>
      <c r="I701" t="n">
        <v>0</v>
      </c>
      <c r="J701" t="n">
        <v>0</v>
      </c>
      <c r="K701" t="n">
        <v>0</v>
      </c>
      <c r="L701" t="n">
        <v>0</v>
      </c>
      <c r="M701" t="n">
        <v>0</v>
      </c>
      <c r="N701" t="n">
        <v>0</v>
      </c>
      <c r="O701" t="n">
        <v>0</v>
      </c>
      <c r="P701" t="n">
        <v>0</v>
      </c>
      <c r="Q701" t="n">
        <v>0</v>
      </c>
      <c r="R701" s="2" t="inlineStr"/>
    </row>
    <row r="702" ht="15" customHeight="1">
      <c r="A702" t="inlineStr">
        <is>
          <t>A 60228-2021</t>
        </is>
      </c>
      <c r="B702" s="1" t="n">
        <v>44495</v>
      </c>
      <c r="C702" s="1" t="n">
        <v>46106</v>
      </c>
      <c r="D702" t="inlineStr">
        <is>
          <t>KALMAR LÄN</t>
        </is>
      </c>
      <c r="E702" t="inlineStr">
        <is>
          <t>VIMMERBY</t>
        </is>
      </c>
      <c r="G702" t="n">
        <v>4.1</v>
      </c>
      <c r="H702" t="n">
        <v>0</v>
      </c>
      <c r="I702" t="n">
        <v>0</v>
      </c>
      <c r="J702" t="n">
        <v>0</v>
      </c>
      <c r="K702" t="n">
        <v>0</v>
      </c>
      <c r="L702" t="n">
        <v>0</v>
      </c>
      <c r="M702" t="n">
        <v>0</v>
      </c>
      <c r="N702" t="n">
        <v>0</v>
      </c>
      <c r="O702" t="n">
        <v>0</v>
      </c>
      <c r="P702" t="n">
        <v>0</v>
      </c>
      <c r="Q702" t="n">
        <v>0</v>
      </c>
      <c r="R702" s="2" t="inlineStr"/>
    </row>
    <row r="703" ht="15" customHeight="1">
      <c r="A703" t="inlineStr">
        <is>
          <t>A 25979-2023</t>
        </is>
      </c>
      <c r="B703" s="1" t="n">
        <v>45090.89653935185</v>
      </c>
      <c r="C703" s="1" t="n">
        <v>46106</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25980-2023</t>
        </is>
      </c>
      <c r="B704" s="1" t="n">
        <v>45090.89880787037</v>
      </c>
      <c r="C704" s="1" t="n">
        <v>46106</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12510-2022</t>
        </is>
      </c>
      <c r="B705" s="1" t="n">
        <v>44638.55256944444</v>
      </c>
      <c r="C705" s="1" t="n">
        <v>46106</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6358-2022</t>
        </is>
      </c>
      <c r="B706" s="1" t="n">
        <v>44600</v>
      </c>
      <c r="C706" s="1" t="n">
        <v>46106</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842-2026</t>
        </is>
      </c>
      <c r="B707" s="1" t="n">
        <v>46030.380625</v>
      </c>
      <c r="C707" s="1" t="n">
        <v>46106</v>
      </c>
      <c r="D707" t="inlineStr">
        <is>
          <t>KALMAR LÄN</t>
        </is>
      </c>
      <c r="E707" t="inlineStr">
        <is>
          <t>VIMMERBY</t>
        </is>
      </c>
      <c r="G707" t="n">
        <v>0.9</v>
      </c>
      <c r="H707" t="n">
        <v>0</v>
      </c>
      <c r="I707" t="n">
        <v>0</v>
      </c>
      <c r="J707" t="n">
        <v>0</v>
      </c>
      <c r="K707" t="n">
        <v>0</v>
      </c>
      <c r="L707" t="n">
        <v>0</v>
      </c>
      <c r="M707" t="n">
        <v>0</v>
      </c>
      <c r="N707" t="n">
        <v>0</v>
      </c>
      <c r="O707" t="n">
        <v>0</v>
      </c>
      <c r="P707" t="n">
        <v>0</v>
      </c>
      <c r="Q707" t="n">
        <v>0</v>
      </c>
      <c r="R707" s="2" t="inlineStr"/>
    </row>
    <row r="708" ht="15" customHeight="1">
      <c r="A708" t="inlineStr">
        <is>
          <t>A 48373-2021</t>
        </is>
      </c>
      <c r="B708" s="1" t="n">
        <v>44451</v>
      </c>
      <c r="C708" s="1" t="n">
        <v>46106</v>
      </c>
      <c r="D708" t="inlineStr">
        <is>
          <t>KALMAR LÄN</t>
        </is>
      </c>
      <c r="E708" t="inlineStr">
        <is>
          <t>VIMMERBY</t>
        </is>
      </c>
      <c r="G708" t="n">
        <v>2.2</v>
      </c>
      <c r="H708" t="n">
        <v>0</v>
      </c>
      <c r="I708" t="n">
        <v>0</v>
      </c>
      <c r="J708" t="n">
        <v>0</v>
      </c>
      <c r="K708" t="n">
        <v>0</v>
      </c>
      <c r="L708" t="n">
        <v>0</v>
      </c>
      <c r="M708" t="n">
        <v>0</v>
      </c>
      <c r="N708" t="n">
        <v>0</v>
      </c>
      <c r="O708" t="n">
        <v>0</v>
      </c>
      <c r="P708" t="n">
        <v>0</v>
      </c>
      <c r="Q708" t="n">
        <v>0</v>
      </c>
      <c r="R708" s="2" t="inlineStr"/>
    </row>
    <row r="709" ht="15" customHeight="1">
      <c r="A709" t="inlineStr">
        <is>
          <t>A 1069-2026</t>
        </is>
      </c>
      <c r="B709" s="1" t="n">
        <v>46030</v>
      </c>
      <c r="C709" s="1" t="n">
        <v>46106</v>
      </c>
      <c r="D709" t="inlineStr">
        <is>
          <t>KALMAR LÄN</t>
        </is>
      </c>
      <c r="E709" t="inlineStr">
        <is>
          <t>VIMMERBY</t>
        </is>
      </c>
      <c r="G709" t="n">
        <v>3.3</v>
      </c>
      <c r="H709" t="n">
        <v>0</v>
      </c>
      <c r="I709" t="n">
        <v>0</v>
      </c>
      <c r="J709" t="n">
        <v>0</v>
      </c>
      <c r="K709" t="n">
        <v>0</v>
      </c>
      <c r="L709" t="n">
        <v>0</v>
      </c>
      <c r="M709" t="n">
        <v>0</v>
      </c>
      <c r="N709" t="n">
        <v>0</v>
      </c>
      <c r="O709" t="n">
        <v>0</v>
      </c>
      <c r="P709" t="n">
        <v>0</v>
      </c>
      <c r="Q709" t="n">
        <v>0</v>
      </c>
      <c r="R709" s="2" t="inlineStr"/>
    </row>
    <row r="710" ht="15" customHeight="1">
      <c r="A710" t="inlineStr">
        <is>
          <t>A 57256-2023</t>
        </is>
      </c>
      <c r="B710" s="1" t="n">
        <v>45245.5735300926</v>
      </c>
      <c r="C710" s="1" t="n">
        <v>46106</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1734-2026</t>
        </is>
      </c>
      <c r="B711" s="1" t="n">
        <v>46034</v>
      </c>
      <c r="C711" s="1" t="n">
        <v>46106</v>
      </c>
      <c r="D711" t="inlineStr">
        <is>
          <t>KALMAR LÄN</t>
        </is>
      </c>
      <c r="E711" t="inlineStr">
        <is>
          <t>VIMMERBY</t>
        </is>
      </c>
      <c r="G711" t="n">
        <v>0.8</v>
      </c>
      <c r="H711" t="n">
        <v>0</v>
      </c>
      <c r="I711" t="n">
        <v>0</v>
      </c>
      <c r="J711" t="n">
        <v>0</v>
      </c>
      <c r="K711" t="n">
        <v>0</v>
      </c>
      <c r="L711" t="n">
        <v>0</v>
      </c>
      <c r="M711" t="n">
        <v>0</v>
      </c>
      <c r="N711" t="n">
        <v>0</v>
      </c>
      <c r="O711" t="n">
        <v>0</v>
      </c>
      <c r="P711" t="n">
        <v>0</v>
      </c>
      <c r="Q711" t="n">
        <v>0</v>
      </c>
      <c r="R711" s="2" t="inlineStr"/>
    </row>
    <row r="712" ht="15" customHeight="1">
      <c r="A712" t="inlineStr">
        <is>
          <t>A 1743-2026</t>
        </is>
      </c>
      <c r="B712" s="1" t="n">
        <v>46034</v>
      </c>
      <c r="C712" s="1" t="n">
        <v>46106</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17482-2024</t>
        </is>
      </c>
      <c r="B713" s="1" t="n">
        <v>45415.47848379629</v>
      </c>
      <c r="C713" s="1" t="n">
        <v>46106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55123-2024</t>
        </is>
      </c>
      <c r="B714" s="1" t="n">
        <v>45621.46103009259</v>
      </c>
      <c r="C714" s="1" t="n">
        <v>46106</v>
      </c>
      <c r="D714" t="inlineStr">
        <is>
          <t>KALMAR LÄN</t>
        </is>
      </c>
      <c r="E714" t="inlineStr">
        <is>
          <t>VIMMERBY</t>
        </is>
      </c>
      <c r="G714" t="n">
        <v>3.1</v>
      </c>
      <c r="H714" t="n">
        <v>0</v>
      </c>
      <c r="I714" t="n">
        <v>0</v>
      </c>
      <c r="J714" t="n">
        <v>0</v>
      </c>
      <c r="K714" t="n">
        <v>0</v>
      </c>
      <c r="L714" t="n">
        <v>0</v>
      </c>
      <c r="M714" t="n">
        <v>0</v>
      </c>
      <c r="N714" t="n">
        <v>0</v>
      </c>
      <c r="O714" t="n">
        <v>0</v>
      </c>
      <c r="P714" t="n">
        <v>0</v>
      </c>
      <c r="Q714" t="n">
        <v>0</v>
      </c>
      <c r="R714" s="2" t="inlineStr"/>
    </row>
    <row r="715" ht="15" customHeight="1">
      <c r="A715" t="inlineStr">
        <is>
          <t>A 1748-2026</t>
        </is>
      </c>
      <c r="B715" s="1" t="n">
        <v>46034.65589120371</v>
      </c>
      <c r="C715" s="1" t="n">
        <v>46106</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44861.52505787037</v>
      </c>
      <c r="C716" s="1" t="n">
        <v>46106</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1987-2024</t>
        </is>
      </c>
      <c r="B717" s="1" t="n">
        <v>45308.61152777778</v>
      </c>
      <c r="C717" s="1" t="n">
        <v>46106</v>
      </c>
      <c r="D717" t="inlineStr">
        <is>
          <t>KALMAR LÄN</t>
        </is>
      </c>
      <c r="E717" t="inlineStr">
        <is>
          <t>VIMMERBY</t>
        </is>
      </c>
      <c r="G717" t="n">
        <v>3</v>
      </c>
      <c r="H717" t="n">
        <v>0</v>
      </c>
      <c r="I717" t="n">
        <v>0</v>
      </c>
      <c r="J717" t="n">
        <v>0</v>
      </c>
      <c r="K717" t="n">
        <v>0</v>
      </c>
      <c r="L717" t="n">
        <v>0</v>
      </c>
      <c r="M717" t="n">
        <v>0</v>
      </c>
      <c r="N717" t="n">
        <v>0</v>
      </c>
      <c r="O717" t="n">
        <v>0</v>
      </c>
      <c r="P717" t="n">
        <v>0</v>
      </c>
      <c r="Q717" t="n">
        <v>0</v>
      </c>
      <c r="R717" s="2" t="inlineStr"/>
    </row>
    <row r="718" ht="15" customHeight="1">
      <c r="A718" t="inlineStr">
        <is>
          <t>A 1862-2026</t>
        </is>
      </c>
      <c r="B718" s="1" t="n">
        <v>46035.44689814815</v>
      </c>
      <c r="C718" s="1" t="n">
        <v>46106</v>
      </c>
      <c r="D718" t="inlineStr">
        <is>
          <t>KALMAR LÄN</t>
        </is>
      </c>
      <c r="E718" t="inlineStr">
        <is>
          <t>VIMMERBY</t>
        </is>
      </c>
      <c r="G718" t="n">
        <v>3.1</v>
      </c>
      <c r="H718" t="n">
        <v>0</v>
      </c>
      <c r="I718" t="n">
        <v>0</v>
      </c>
      <c r="J718" t="n">
        <v>0</v>
      </c>
      <c r="K718" t="n">
        <v>0</v>
      </c>
      <c r="L718" t="n">
        <v>0</v>
      </c>
      <c r="M718" t="n">
        <v>0</v>
      </c>
      <c r="N718" t="n">
        <v>0</v>
      </c>
      <c r="O718" t="n">
        <v>0</v>
      </c>
      <c r="P718" t="n">
        <v>0</v>
      </c>
      <c r="Q718" t="n">
        <v>0</v>
      </c>
      <c r="R718" s="2" t="inlineStr"/>
    </row>
    <row r="719" ht="15" customHeight="1">
      <c r="A719" t="inlineStr">
        <is>
          <t>A 21507-2023</t>
        </is>
      </c>
      <c r="B719" s="1" t="n">
        <v>45063.508125</v>
      </c>
      <c r="C719" s="1" t="n">
        <v>46106</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57189-2022</t>
        </is>
      </c>
      <c r="B720" s="1" t="n">
        <v>44895.62296296296</v>
      </c>
      <c r="C720" s="1" t="n">
        <v>46106</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48673-2021</t>
        </is>
      </c>
      <c r="B721" s="1" t="n">
        <v>44452</v>
      </c>
      <c r="C721" s="1" t="n">
        <v>46106</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14248-2023</t>
        </is>
      </c>
      <c r="B722" s="1" t="n">
        <v>45009</v>
      </c>
      <c r="C722" s="1" t="n">
        <v>46106</v>
      </c>
      <c r="D722" t="inlineStr">
        <is>
          <t>KALMAR LÄN</t>
        </is>
      </c>
      <c r="E722" t="inlineStr">
        <is>
          <t>VIMMERBY</t>
        </is>
      </c>
      <c r="G722" t="n">
        <v>2.6</v>
      </c>
      <c r="H722" t="n">
        <v>0</v>
      </c>
      <c r="I722" t="n">
        <v>0</v>
      </c>
      <c r="J722" t="n">
        <v>0</v>
      </c>
      <c r="K722" t="n">
        <v>0</v>
      </c>
      <c r="L722" t="n">
        <v>0</v>
      </c>
      <c r="M722" t="n">
        <v>0</v>
      </c>
      <c r="N722" t="n">
        <v>0</v>
      </c>
      <c r="O722" t="n">
        <v>0</v>
      </c>
      <c r="P722" t="n">
        <v>0</v>
      </c>
      <c r="Q722" t="n">
        <v>0</v>
      </c>
      <c r="R722" s="2" t="inlineStr"/>
    </row>
    <row r="723" ht="15" customHeight="1">
      <c r="A723" t="inlineStr">
        <is>
          <t>A 12480-2024</t>
        </is>
      </c>
      <c r="B723" s="1" t="n">
        <v>45379</v>
      </c>
      <c r="C723" s="1" t="n">
        <v>46106</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2518-2026</t>
        </is>
      </c>
      <c r="B724" s="1" t="n">
        <v>46037.42511574074</v>
      </c>
      <c r="C724" s="1" t="n">
        <v>46106</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40095-2022</t>
        </is>
      </c>
      <c r="B725" s="1" t="n">
        <v>44820</v>
      </c>
      <c r="C725" s="1" t="n">
        <v>46106</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10965-2026</t>
        </is>
      </c>
      <c r="B726" s="1" t="n">
        <v>46079.43295138889</v>
      </c>
      <c r="C726" s="1" t="n">
        <v>46106</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50085-2023</t>
        </is>
      </c>
      <c r="B727" s="1" t="n">
        <v>45215.5959375</v>
      </c>
      <c r="C727" s="1" t="n">
        <v>46106</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50087-2023</t>
        </is>
      </c>
      <c r="B728" s="1" t="n">
        <v>45215.59743055556</v>
      </c>
      <c r="C728" s="1" t="n">
        <v>46106</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2514-2026</t>
        </is>
      </c>
      <c r="B729" s="1" t="n">
        <v>46037.42219907408</v>
      </c>
      <c r="C729" s="1" t="n">
        <v>46106</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8167-2024</t>
        </is>
      </c>
      <c r="B730" s="1" t="n">
        <v>45351.6062962963</v>
      </c>
      <c r="C730" s="1" t="n">
        <v>46106</v>
      </c>
      <c r="D730" t="inlineStr">
        <is>
          <t>KALMAR LÄN</t>
        </is>
      </c>
      <c r="E730" t="inlineStr">
        <is>
          <t>VIMMERBY</t>
        </is>
      </c>
      <c r="G730" t="n">
        <v>3.8</v>
      </c>
      <c r="H730" t="n">
        <v>0</v>
      </c>
      <c r="I730" t="n">
        <v>0</v>
      </c>
      <c r="J730" t="n">
        <v>0</v>
      </c>
      <c r="K730" t="n">
        <v>0</v>
      </c>
      <c r="L730" t="n">
        <v>0</v>
      </c>
      <c r="M730" t="n">
        <v>0</v>
      </c>
      <c r="N730" t="n">
        <v>0</v>
      </c>
      <c r="O730" t="n">
        <v>0</v>
      </c>
      <c r="P730" t="n">
        <v>0</v>
      </c>
      <c r="Q730" t="n">
        <v>0</v>
      </c>
      <c r="R730" s="2" t="inlineStr"/>
    </row>
    <row r="731" ht="15" customHeight="1">
      <c r="A731" t="inlineStr">
        <is>
          <t>A 2604-2025</t>
        </is>
      </c>
      <c r="B731" s="1" t="n">
        <v>45674.74094907408</v>
      </c>
      <c r="C731" s="1" t="n">
        <v>46106</v>
      </c>
      <c r="D731" t="inlineStr">
        <is>
          <t>KALMAR LÄN</t>
        </is>
      </c>
      <c r="E731" t="inlineStr">
        <is>
          <t>VIMMERBY</t>
        </is>
      </c>
      <c r="G731" t="n">
        <v>7.6</v>
      </c>
      <c r="H731" t="n">
        <v>0</v>
      </c>
      <c r="I731" t="n">
        <v>0</v>
      </c>
      <c r="J731" t="n">
        <v>0</v>
      </c>
      <c r="K731" t="n">
        <v>0</v>
      </c>
      <c r="L731" t="n">
        <v>0</v>
      </c>
      <c r="M731" t="n">
        <v>0</v>
      </c>
      <c r="N731" t="n">
        <v>0</v>
      </c>
      <c r="O731" t="n">
        <v>0</v>
      </c>
      <c r="P731" t="n">
        <v>0</v>
      </c>
      <c r="Q731" t="n">
        <v>0</v>
      </c>
      <c r="R731" s="2" t="inlineStr"/>
    </row>
    <row r="732" ht="15" customHeight="1">
      <c r="A732" t="inlineStr">
        <is>
          <t>A 2523-2026</t>
        </is>
      </c>
      <c r="B732" s="1" t="n">
        <v>46037.42825231481</v>
      </c>
      <c r="C732" s="1" t="n">
        <v>46106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3266-2026</t>
        </is>
      </c>
      <c r="B733" s="1" t="n">
        <v>46041</v>
      </c>
      <c r="C733" s="1" t="n">
        <v>46106</v>
      </c>
      <c r="D733" t="inlineStr">
        <is>
          <t>KALMAR LÄN</t>
        </is>
      </c>
      <c r="E733" t="inlineStr">
        <is>
          <t>VIMMERBY</t>
        </is>
      </c>
      <c r="G733" t="n">
        <v>1.2</v>
      </c>
      <c r="H733" t="n">
        <v>0</v>
      </c>
      <c r="I733" t="n">
        <v>0</v>
      </c>
      <c r="J733" t="n">
        <v>0</v>
      </c>
      <c r="K733" t="n">
        <v>0</v>
      </c>
      <c r="L733" t="n">
        <v>0</v>
      </c>
      <c r="M733" t="n">
        <v>0</v>
      </c>
      <c r="N733" t="n">
        <v>0</v>
      </c>
      <c r="O733" t="n">
        <v>0</v>
      </c>
      <c r="P733" t="n">
        <v>0</v>
      </c>
      <c r="Q733" t="n">
        <v>0</v>
      </c>
      <c r="R733" s="2" t="inlineStr"/>
    </row>
    <row r="734" ht="15" customHeight="1">
      <c r="A734" t="inlineStr">
        <is>
          <t>A 37192-2024</t>
        </is>
      </c>
      <c r="B734" s="1" t="n">
        <v>45539.66027777778</v>
      </c>
      <c r="C734" s="1" t="n">
        <v>46106</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42429-2024</t>
        </is>
      </c>
      <c r="B735" s="1" t="n">
        <v>45565.40657407408</v>
      </c>
      <c r="C735" s="1" t="n">
        <v>46106</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29180-2024</t>
        </is>
      </c>
      <c r="B736" s="1" t="n">
        <v>45482.54108796296</v>
      </c>
      <c r="C736" s="1" t="n">
        <v>46106</v>
      </c>
      <c r="D736" t="inlineStr">
        <is>
          <t>KALMAR LÄN</t>
        </is>
      </c>
      <c r="E736" t="inlineStr">
        <is>
          <t>VIMMERBY</t>
        </is>
      </c>
      <c r="G736" t="n">
        <v>3.8</v>
      </c>
      <c r="H736" t="n">
        <v>0</v>
      </c>
      <c r="I736" t="n">
        <v>0</v>
      </c>
      <c r="J736" t="n">
        <v>0</v>
      </c>
      <c r="K736" t="n">
        <v>0</v>
      </c>
      <c r="L736" t="n">
        <v>0</v>
      </c>
      <c r="M736" t="n">
        <v>0</v>
      </c>
      <c r="N736" t="n">
        <v>0</v>
      </c>
      <c r="O736" t="n">
        <v>0</v>
      </c>
      <c r="P736" t="n">
        <v>0</v>
      </c>
      <c r="Q736" t="n">
        <v>0</v>
      </c>
      <c r="R736" s="2" t="inlineStr"/>
    </row>
    <row r="737" ht="15" customHeight="1">
      <c r="A737" t="inlineStr">
        <is>
          <t>A 45846-2023</t>
        </is>
      </c>
      <c r="B737" s="1" t="n">
        <v>45195.58452546296</v>
      </c>
      <c r="C737" s="1" t="n">
        <v>46106</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16020-2023</t>
        </is>
      </c>
      <c r="B738" s="1" t="n">
        <v>45026.82216435186</v>
      </c>
      <c r="C738" s="1" t="n">
        <v>46106</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61820-2023</t>
        </is>
      </c>
      <c r="B739" s="1" t="n">
        <v>45266.32614583334</v>
      </c>
      <c r="C739" s="1" t="n">
        <v>46106</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3292-2026</t>
        </is>
      </c>
      <c r="B740" s="1" t="n">
        <v>46041</v>
      </c>
      <c r="C740" s="1" t="n">
        <v>46106</v>
      </c>
      <c r="D740" t="inlineStr">
        <is>
          <t>KALMAR LÄN</t>
        </is>
      </c>
      <c r="E740" t="inlineStr">
        <is>
          <t>VIMMERBY</t>
        </is>
      </c>
      <c r="G740" t="n">
        <v>3.9</v>
      </c>
      <c r="H740" t="n">
        <v>0</v>
      </c>
      <c r="I740" t="n">
        <v>0</v>
      </c>
      <c r="J740" t="n">
        <v>0</v>
      </c>
      <c r="K740" t="n">
        <v>0</v>
      </c>
      <c r="L740" t="n">
        <v>0</v>
      </c>
      <c r="M740" t="n">
        <v>0</v>
      </c>
      <c r="N740" t="n">
        <v>0</v>
      </c>
      <c r="O740" t="n">
        <v>0</v>
      </c>
      <c r="P740" t="n">
        <v>0</v>
      </c>
      <c r="Q740" t="n">
        <v>0</v>
      </c>
      <c r="R740" s="2" t="inlineStr"/>
    </row>
    <row r="741" ht="15" customHeight="1">
      <c r="A741" t="inlineStr">
        <is>
          <t>A 11273-2026</t>
        </is>
      </c>
      <c r="B741" s="1" t="n">
        <v>46080.57634259259</v>
      </c>
      <c r="C741" s="1" t="n">
        <v>46106</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45560-2021</t>
        </is>
      </c>
      <c r="B742" s="1" t="n">
        <v>44440</v>
      </c>
      <c r="C742" s="1" t="n">
        <v>46106</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3868-2026</t>
        </is>
      </c>
      <c r="B743" s="1" t="n">
        <v>46043.6360300926</v>
      </c>
      <c r="C743" s="1" t="n">
        <v>46106</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40256-2024</t>
        </is>
      </c>
      <c r="B744" s="1" t="n">
        <v>45554.62944444444</v>
      </c>
      <c r="C744" s="1" t="n">
        <v>46106</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58104-2024</t>
        </is>
      </c>
      <c r="B745" s="1" t="n">
        <v>45632.37459490741</v>
      </c>
      <c r="C745" s="1" t="n">
        <v>46106</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3869-2026</t>
        </is>
      </c>
      <c r="B746" s="1" t="n">
        <v>46043.63940972222</v>
      </c>
      <c r="C746" s="1" t="n">
        <v>46106</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36259-2022</t>
        </is>
      </c>
      <c r="B747" s="1" t="n">
        <v>44803.59118055556</v>
      </c>
      <c r="C747" s="1" t="n">
        <v>46106</v>
      </c>
      <c r="D747" t="inlineStr">
        <is>
          <t>KALMAR LÄN</t>
        </is>
      </c>
      <c r="E747" t="inlineStr">
        <is>
          <t>VIMMERBY</t>
        </is>
      </c>
      <c r="G747" t="n">
        <v>3.9</v>
      </c>
      <c r="H747" t="n">
        <v>0</v>
      </c>
      <c r="I747" t="n">
        <v>0</v>
      </c>
      <c r="J747" t="n">
        <v>0</v>
      </c>
      <c r="K747" t="n">
        <v>0</v>
      </c>
      <c r="L747" t="n">
        <v>0</v>
      </c>
      <c r="M747" t="n">
        <v>0</v>
      </c>
      <c r="N747" t="n">
        <v>0</v>
      </c>
      <c r="O747" t="n">
        <v>0</v>
      </c>
      <c r="P747" t="n">
        <v>0</v>
      </c>
      <c r="Q747" t="n">
        <v>0</v>
      </c>
      <c r="R747" s="2" t="inlineStr"/>
    </row>
    <row r="748" ht="15" customHeight="1">
      <c r="A748" t="inlineStr">
        <is>
          <t>A 43034-2024</t>
        </is>
      </c>
      <c r="B748" s="1" t="n">
        <v>45567.42011574074</v>
      </c>
      <c r="C748" s="1" t="n">
        <v>46106</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11407-2026</t>
        </is>
      </c>
      <c r="B749" s="1" t="n">
        <v>46083</v>
      </c>
      <c r="C749" s="1" t="n">
        <v>46106</v>
      </c>
      <c r="D749" t="inlineStr">
        <is>
          <t>KALMAR LÄN</t>
        </is>
      </c>
      <c r="E749" t="inlineStr">
        <is>
          <t>VIMMERBY</t>
        </is>
      </c>
      <c r="G749" t="n">
        <v>2.3</v>
      </c>
      <c r="H749" t="n">
        <v>0</v>
      </c>
      <c r="I749" t="n">
        <v>0</v>
      </c>
      <c r="J749" t="n">
        <v>0</v>
      </c>
      <c r="K749" t="n">
        <v>0</v>
      </c>
      <c r="L749" t="n">
        <v>0</v>
      </c>
      <c r="M749" t="n">
        <v>0</v>
      </c>
      <c r="N749" t="n">
        <v>0</v>
      </c>
      <c r="O749" t="n">
        <v>0</v>
      </c>
      <c r="P749" t="n">
        <v>0</v>
      </c>
      <c r="Q749" t="n">
        <v>0</v>
      </c>
      <c r="R749" s="2" t="inlineStr"/>
    </row>
    <row r="750" ht="15" customHeight="1">
      <c r="A750" t="inlineStr">
        <is>
          <t>A 3902-2022</t>
        </is>
      </c>
      <c r="B750" s="1" t="n">
        <v>44587.48847222222</v>
      </c>
      <c r="C750" s="1" t="n">
        <v>46106</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30070-2023</t>
        </is>
      </c>
      <c r="B751" s="1" t="n">
        <v>45110.4275</v>
      </c>
      <c r="C751" s="1" t="n">
        <v>46106</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11415-2026</t>
        </is>
      </c>
      <c r="B752" s="1" t="n">
        <v>46083</v>
      </c>
      <c r="C752" s="1" t="n">
        <v>46106</v>
      </c>
      <c r="D752" t="inlineStr">
        <is>
          <t>KALMAR LÄN</t>
        </is>
      </c>
      <c r="E752" t="inlineStr">
        <is>
          <t>VIMMERBY</t>
        </is>
      </c>
      <c r="G752" t="n">
        <v>1.1</v>
      </c>
      <c r="H752" t="n">
        <v>0</v>
      </c>
      <c r="I752" t="n">
        <v>0</v>
      </c>
      <c r="J752" t="n">
        <v>0</v>
      </c>
      <c r="K752" t="n">
        <v>0</v>
      </c>
      <c r="L752" t="n">
        <v>0</v>
      </c>
      <c r="M752" t="n">
        <v>0</v>
      </c>
      <c r="N752" t="n">
        <v>0</v>
      </c>
      <c r="O752" t="n">
        <v>0</v>
      </c>
      <c r="P752" t="n">
        <v>0</v>
      </c>
      <c r="Q752" t="n">
        <v>0</v>
      </c>
      <c r="R752" s="2" t="inlineStr"/>
    </row>
    <row r="753" ht="15" customHeight="1">
      <c r="A753" t="inlineStr">
        <is>
          <t>A 31209-2024</t>
        </is>
      </c>
      <c r="B753" s="1" t="n">
        <v>45503.5658912037</v>
      </c>
      <c r="C753" s="1" t="n">
        <v>46106</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11798-2026</t>
        </is>
      </c>
      <c r="B754" s="1" t="n">
        <v>46085.34020833333</v>
      </c>
      <c r="C754" s="1" t="n">
        <v>46106</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4527-2023</t>
        </is>
      </c>
      <c r="B755" s="1" t="n">
        <v>44956</v>
      </c>
      <c r="C755" s="1" t="n">
        <v>46106</v>
      </c>
      <c r="D755" t="inlineStr">
        <is>
          <t>KALMAR LÄN</t>
        </is>
      </c>
      <c r="E755" t="inlineStr">
        <is>
          <t>VIMMERBY</t>
        </is>
      </c>
      <c r="F755" t="inlineStr">
        <is>
          <t>Kommuner</t>
        </is>
      </c>
      <c r="G755" t="n">
        <v>8.5</v>
      </c>
      <c r="H755" t="n">
        <v>0</v>
      </c>
      <c r="I755" t="n">
        <v>0</v>
      </c>
      <c r="J755" t="n">
        <v>0</v>
      </c>
      <c r="K755" t="n">
        <v>0</v>
      </c>
      <c r="L755" t="n">
        <v>0</v>
      </c>
      <c r="M755" t="n">
        <v>0</v>
      </c>
      <c r="N755" t="n">
        <v>0</v>
      </c>
      <c r="O755" t="n">
        <v>0</v>
      </c>
      <c r="P755" t="n">
        <v>0</v>
      </c>
      <c r="Q755" t="n">
        <v>0</v>
      </c>
      <c r="R755" s="2" t="inlineStr"/>
    </row>
    <row r="756" ht="15" customHeight="1">
      <c r="A756" t="inlineStr">
        <is>
          <t>A 3965-2026</t>
        </is>
      </c>
      <c r="B756" s="1" t="n">
        <v>46044.34563657407</v>
      </c>
      <c r="C756" s="1" t="n">
        <v>46106</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5864-2022</t>
        </is>
      </c>
      <c r="B757" s="1" t="n">
        <v>44596</v>
      </c>
      <c r="C757" s="1" t="n">
        <v>46106</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30912-2023</t>
        </is>
      </c>
      <c r="B758" s="1" t="n">
        <v>45113.41633101852</v>
      </c>
      <c r="C758" s="1" t="n">
        <v>46106</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1146-2025</t>
        </is>
      </c>
      <c r="B759" s="1" t="n">
        <v>45666</v>
      </c>
      <c r="C759" s="1" t="n">
        <v>46106</v>
      </c>
      <c r="D759" t="inlineStr">
        <is>
          <t>KALMAR LÄN</t>
        </is>
      </c>
      <c r="E759" t="inlineStr">
        <is>
          <t>VIMMERBY</t>
        </is>
      </c>
      <c r="G759" t="n">
        <v>4</v>
      </c>
      <c r="H759" t="n">
        <v>0</v>
      </c>
      <c r="I759" t="n">
        <v>0</v>
      </c>
      <c r="J759" t="n">
        <v>0</v>
      </c>
      <c r="K759" t="n">
        <v>0</v>
      </c>
      <c r="L759" t="n">
        <v>0</v>
      </c>
      <c r="M759" t="n">
        <v>0</v>
      </c>
      <c r="N759" t="n">
        <v>0</v>
      </c>
      <c r="O759" t="n">
        <v>0</v>
      </c>
      <c r="P759" t="n">
        <v>0</v>
      </c>
      <c r="Q759" t="n">
        <v>0</v>
      </c>
      <c r="R759" s="2" t="inlineStr"/>
    </row>
    <row r="760" ht="15" customHeight="1">
      <c r="A760" t="inlineStr">
        <is>
          <t>A 62023-2022</t>
        </is>
      </c>
      <c r="B760" s="1" t="n">
        <v>44918.50106481482</v>
      </c>
      <c r="C760" s="1" t="n">
        <v>46106</v>
      </c>
      <c r="D760" t="inlineStr">
        <is>
          <t>KALMAR LÄN</t>
        </is>
      </c>
      <c r="E760" t="inlineStr">
        <is>
          <t>VIMMERBY</t>
        </is>
      </c>
      <c r="G760" t="n">
        <v>0.3</v>
      </c>
      <c r="H760" t="n">
        <v>0</v>
      </c>
      <c r="I760" t="n">
        <v>0</v>
      </c>
      <c r="J760" t="n">
        <v>0</v>
      </c>
      <c r="K760" t="n">
        <v>0</v>
      </c>
      <c r="L760" t="n">
        <v>0</v>
      </c>
      <c r="M760" t="n">
        <v>0</v>
      </c>
      <c r="N760" t="n">
        <v>0</v>
      </c>
      <c r="O760" t="n">
        <v>0</v>
      </c>
      <c r="P760" t="n">
        <v>0</v>
      </c>
      <c r="Q760" t="n">
        <v>0</v>
      </c>
      <c r="R760" s="2" t="inlineStr"/>
    </row>
    <row r="761" ht="15" customHeight="1">
      <c r="A761" t="inlineStr">
        <is>
          <t>A 16119-2023</t>
        </is>
      </c>
      <c r="B761" s="1" t="n">
        <v>45027.59450231482</v>
      </c>
      <c r="C761" s="1" t="n">
        <v>46106</v>
      </c>
      <c r="D761" t="inlineStr">
        <is>
          <t>KALMAR LÄN</t>
        </is>
      </c>
      <c r="E761" t="inlineStr">
        <is>
          <t>VIMMERBY</t>
        </is>
      </c>
      <c r="F761" t="inlineStr">
        <is>
          <t>Kommuner</t>
        </is>
      </c>
      <c r="G761" t="n">
        <v>4.4</v>
      </c>
      <c r="H761" t="n">
        <v>0</v>
      </c>
      <c r="I761" t="n">
        <v>0</v>
      </c>
      <c r="J761" t="n">
        <v>0</v>
      </c>
      <c r="K761" t="n">
        <v>0</v>
      </c>
      <c r="L761" t="n">
        <v>0</v>
      </c>
      <c r="M761" t="n">
        <v>0</v>
      </c>
      <c r="N761" t="n">
        <v>0</v>
      </c>
      <c r="O761" t="n">
        <v>0</v>
      </c>
      <c r="P761" t="n">
        <v>0</v>
      </c>
      <c r="Q761" t="n">
        <v>0</v>
      </c>
      <c r="R761" s="2" t="inlineStr"/>
    </row>
    <row r="762" ht="15" customHeight="1">
      <c r="A762" t="inlineStr">
        <is>
          <t>A 52327-2023</t>
        </is>
      </c>
      <c r="B762" s="1" t="n">
        <v>45224.6515162037</v>
      </c>
      <c r="C762" s="1" t="n">
        <v>46106</v>
      </c>
      <c r="D762" t="inlineStr">
        <is>
          <t>KALMAR LÄN</t>
        </is>
      </c>
      <c r="E762" t="inlineStr">
        <is>
          <t>VIMMERBY</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12075-2024</t>
        </is>
      </c>
      <c r="B763" s="1" t="n">
        <v>45377</v>
      </c>
      <c r="C763" s="1" t="n">
        <v>46106</v>
      </c>
      <c r="D763" t="inlineStr">
        <is>
          <t>KALMAR LÄN</t>
        </is>
      </c>
      <c r="E763" t="inlineStr">
        <is>
          <t>VIMMERBY</t>
        </is>
      </c>
      <c r="G763" t="n">
        <v>3.7</v>
      </c>
      <c r="H763" t="n">
        <v>0</v>
      </c>
      <c r="I763" t="n">
        <v>0</v>
      </c>
      <c r="J763" t="n">
        <v>0</v>
      </c>
      <c r="K763" t="n">
        <v>0</v>
      </c>
      <c r="L763" t="n">
        <v>0</v>
      </c>
      <c r="M763" t="n">
        <v>0</v>
      </c>
      <c r="N763" t="n">
        <v>0</v>
      </c>
      <c r="O763" t="n">
        <v>0</v>
      </c>
      <c r="P763" t="n">
        <v>0</v>
      </c>
      <c r="Q763" t="n">
        <v>0</v>
      </c>
      <c r="R763" s="2" t="inlineStr"/>
    </row>
    <row r="764" ht="15" customHeight="1">
      <c r="A764" t="inlineStr">
        <is>
          <t>A 29348-2023</t>
        </is>
      </c>
      <c r="B764" s="1" t="n">
        <v>45106.25025462963</v>
      </c>
      <c r="C764" s="1" t="n">
        <v>46106</v>
      </c>
      <c r="D764" t="inlineStr">
        <is>
          <t>KALMAR LÄN</t>
        </is>
      </c>
      <c r="E764" t="inlineStr">
        <is>
          <t>VIMMERBY</t>
        </is>
      </c>
      <c r="G764" t="n">
        <v>2.4</v>
      </c>
      <c r="H764" t="n">
        <v>0</v>
      </c>
      <c r="I764" t="n">
        <v>0</v>
      </c>
      <c r="J764" t="n">
        <v>0</v>
      </c>
      <c r="K764" t="n">
        <v>0</v>
      </c>
      <c r="L764" t="n">
        <v>0</v>
      </c>
      <c r="M764" t="n">
        <v>0</v>
      </c>
      <c r="N764" t="n">
        <v>0</v>
      </c>
      <c r="O764" t="n">
        <v>0</v>
      </c>
      <c r="P764" t="n">
        <v>0</v>
      </c>
      <c r="Q764" t="n">
        <v>0</v>
      </c>
      <c r="R764" s="2" t="inlineStr"/>
    </row>
    <row r="765" ht="15" customHeight="1">
      <c r="A765" t="inlineStr">
        <is>
          <t>A 31340-2023</t>
        </is>
      </c>
      <c r="B765" s="1" t="n">
        <v>45114.47895833333</v>
      </c>
      <c r="C765" s="1" t="n">
        <v>46106</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7758-2024</t>
        </is>
      </c>
      <c r="B766" s="1" t="n">
        <v>45349.54434027777</v>
      </c>
      <c r="C766" s="1" t="n">
        <v>46106</v>
      </c>
      <c r="D766" t="inlineStr">
        <is>
          <t>KALMAR LÄN</t>
        </is>
      </c>
      <c r="E766" t="inlineStr">
        <is>
          <t>VIMMERBY</t>
        </is>
      </c>
      <c r="G766" t="n">
        <v>3.5</v>
      </c>
      <c r="H766" t="n">
        <v>0</v>
      </c>
      <c r="I766" t="n">
        <v>0</v>
      </c>
      <c r="J766" t="n">
        <v>0</v>
      </c>
      <c r="K766" t="n">
        <v>0</v>
      </c>
      <c r="L766" t="n">
        <v>0</v>
      </c>
      <c r="M766" t="n">
        <v>0</v>
      </c>
      <c r="N766" t="n">
        <v>0</v>
      </c>
      <c r="O766" t="n">
        <v>0</v>
      </c>
      <c r="P766" t="n">
        <v>0</v>
      </c>
      <c r="Q766" t="n">
        <v>0</v>
      </c>
      <c r="R766" s="2" t="inlineStr"/>
    </row>
    <row r="767" ht="15" customHeight="1">
      <c r="A767" t="inlineStr">
        <is>
          <t>A 5701-2024</t>
        </is>
      </c>
      <c r="B767" s="1" t="n">
        <v>45334.78826388889</v>
      </c>
      <c r="C767" s="1" t="n">
        <v>46106</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31405-2023</t>
        </is>
      </c>
      <c r="B768" s="1" t="n">
        <v>45114.58148148148</v>
      </c>
      <c r="C768" s="1" t="n">
        <v>46106</v>
      </c>
      <c r="D768" t="inlineStr">
        <is>
          <t>KALMAR LÄN</t>
        </is>
      </c>
      <c r="E768" t="inlineStr">
        <is>
          <t>VIMMERBY</t>
        </is>
      </c>
      <c r="G768" t="n">
        <v>2.6</v>
      </c>
      <c r="H768" t="n">
        <v>0</v>
      </c>
      <c r="I768" t="n">
        <v>0</v>
      </c>
      <c r="J768" t="n">
        <v>0</v>
      </c>
      <c r="K768" t="n">
        <v>0</v>
      </c>
      <c r="L768" t="n">
        <v>0</v>
      </c>
      <c r="M768" t="n">
        <v>0</v>
      </c>
      <c r="N768" t="n">
        <v>0</v>
      </c>
      <c r="O768" t="n">
        <v>0</v>
      </c>
      <c r="P768" t="n">
        <v>0</v>
      </c>
      <c r="Q768" t="n">
        <v>0</v>
      </c>
      <c r="R768" s="2" t="inlineStr"/>
    </row>
    <row r="769" ht="15" customHeight="1">
      <c r="A769" t="inlineStr">
        <is>
          <t>A 6355-2022</t>
        </is>
      </c>
      <c r="B769" s="1" t="n">
        <v>44600</v>
      </c>
      <c r="C769" s="1" t="n">
        <v>46106</v>
      </c>
      <c r="D769" t="inlineStr">
        <is>
          <t>KALMAR LÄN</t>
        </is>
      </c>
      <c r="E769" t="inlineStr">
        <is>
          <t>VIMMERBY</t>
        </is>
      </c>
      <c r="G769" t="n">
        <v>4.9</v>
      </c>
      <c r="H769" t="n">
        <v>0</v>
      </c>
      <c r="I769" t="n">
        <v>0</v>
      </c>
      <c r="J769" t="n">
        <v>0</v>
      </c>
      <c r="K769" t="n">
        <v>0</v>
      </c>
      <c r="L769" t="n">
        <v>0</v>
      </c>
      <c r="M769" t="n">
        <v>0</v>
      </c>
      <c r="N769" t="n">
        <v>0</v>
      </c>
      <c r="O769" t="n">
        <v>0</v>
      </c>
      <c r="P769" t="n">
        <v>0</v>
      </c>
      <c r="Q769" t="n">
        <v>0</v>
      </c>
      <c r="R769" s="2" t="inlineStr"/>
    </row>
    <row r="770" ht="15" customHeight="1">
      <c r="A770" t="inlineStr">
        <is>
          <t>A 46225-2024</t>
        </is>
      </c>
      <c r="B770" s="1" t="n">
        <v>45581.57333333333</v>
      </c>
      <c r="C770" s="1" t="n">
        <v>46106</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9418-2024</t>
        </is>
      </c>
      <c r="B771" s="1" t="n">
        <v>45359.45038194444</v>
      </c>
      <c r="C771" s="1" t="n">
        <v>46106</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57091-2022</t>
        </is>
      </c>
      <c r="B772" s="1" t="n">
        <v>44895.46524305556</v>
      </c>
      <c r="C772" s="1" t="n">
        <v>46106</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3816-2022</t>
        </is>
      </c>
      <c r="B773" s="1" t="n">
        <v>44587</v>
      </c>
      <c r="C773" s="1" t="n">
        <v>46106</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43606-2024</t>
        </is>
      </c>
      <c r="B774" s="1" t="n">
        <v>45569.45017361111</v>
      </c>
      <c r="C774" s="1" t="n">
        <v>46106</v>
      </c>
      <c r="D774" t="inlineStr">
        <is>
          <t>KALMAR LÄN</t>
        </is>
      </c>
      <c r="E774" t="inlineStr">
        <is>
          <t>VIMMERBY</t>
        </is>
      </c>
      <c r="G774" t="n">
        <v>1</v>
      </c>
      <c r="H774" t="n">
        <v>0</v>
      </c>
      <c r="I774" t="n">
        <v>0</v>
      </c>
      <c r="J774" t="n">
        <v>0</v>
      </c>
      <c r="K774" t="n">
        <v>0</v>
      </c>
      <c r="L774" t="n">
        <v>0</v>
      </c>
      <c r="M774" t="n">
        <v>0</v>
      </c>
      <c r="N774" t="n">
        <v>0</v>
      </c>
      <c r="O774" t="n">
        <v>0</v>
      </c>
      <c r="P774" t="n">
        <v>0</v>
      </c>
      <c r="Q774" t="n">
        <v>0</v>
      </c>
      <c r="R774" s="2" t="inlineStr"/>
    </row>
    <row r="775" ht="15" customHeight="1">
      <c r="A775" t="inlineStr">
        <is>
          <t>A 43617-2024</t>
        </is>
      </c>
      <c r="B775" s="1" t="n">
        <v>45569.47494212963</v>
      </c>
      <c r="C775" s="1" t="n">
        <v>46106</v>
      </c>
      <c r="D775" t="inlineStr">
        <is>
          <t>KALMAR LÄN</t>
        </is>
      </c>
      <c r="E775" t="inlineStr">
        <is>
          <t>VIMMERBY</t>
        </is>
      </c>
      <c r="G775" t="n">
        <v>2.7</v>
      </c>
      <c r="H775" t="n">
        <v>0</v>
      </c>
      <c r="I775" t="n">
        <v>0</v>
      </c>
      <c r="J775" t="n">
        <v>0</v>
      </c>
      <c r="K775" t="n">
        <v>0</v>
      </c>
      <c r="L775" t="n">
        <v>0</v>
      </c>
      <c r="M775" t="n">
        <v>0</v>
      </c>
      <c r="N775" t="n">
        <v>0</v>
      </c>
      <c r="O775" t="n">
        <v>0</v>
      </c>
      <c r="P775" t="n">
        <v>0</v>
      </c>
      <c r="Q775" t="n">
        <v>0</v>
      </c>
      <c r="R775" s="2" t="inlineStr"/>
    </row>
    <row r="776" ht="15" customHeight="1">
      <c r="A776" t="inlineStr">
        <is>
          <t>A 47859-2024</t>
        </is>
      </c>
      <c r="B776" s="1" t="n">
        <v>45588.67070601852</v>
      </c>
      <c r="C776" s="1" t="n">
        <v>46106</v>
      </c>
      <c r="D776" t="inlineStr">
        <is>
          <t>KALMAR LÄN</t>
        </is>
      </c>
      <c r="E776" t="inlineStr">
        <is>
          <t>VIMMERBY</t>
        </is>
      </c>
      <c r="G776" t="n">
        <v>1.7</v>
      </c>
      <c r="H776" t="n">
        <v>0</v>
      </c>
      <c r="I776" t="n">
        <v>0</v>
      </c>
      <c r="J776" t="n">
        <v>0</v>
      </c>
      <c r="K776" t="n">
        <v>0</v>
      </c>
      <c r="L776" t="n">
        <v>0</v>
      </c>
      <c r="M776" t="n">
        <v>0</v>
      </c>
      <c r="N776" t="n">
        <v>0</v>
      </c>
      <c r="O776" t="n">
        <v>0</v>
      </c>
      <c r="P776" t="n">
        <v>0</v>
      </c>
      <c r="Q776" t="n">
        <v>0</v>
      </c>
      <c r="R776" s="2" t="inlineStr"/>
    </row>
    <row r="777" ht="15" customHeight="1">
      <c r="A777" t="inlineStr">
        <is>
          <t>A 8540-2024</t>
        </is>
      </c>
      <c r="B777" s="1" t="n">
        <v>45355.54138888889</v>
      </c>
      <c r="C777" s="1" t="n">
        <v>46106</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3331-2023</t>
        </is>
      </c>
      <c r="B778" s="1" t="n">
        <v>44949</v>
      </c>
      <c r="C778" s="1" t="n">
        <v>46106</v>
      </c>
      <c r="D778" t="inlineStr">
        <is>
          <t>KALMAR LÄN</t>
        </is>
      </c>
      <c r="E778" t="inlineStr">
        <is>
          <t>VIMMERBY</t>
        </is>
      </c>
      <c r="G778" t="n">
        <v>6.2</v>
      </c>
      <c r="H778" t="n">
        <v>0</v>
      </c>
      <c r="I778" t="n">
        <v>0</v>
      </c>
      <c r="J778" t="n">
        <v>0</v>
      </c>
      <c r="K778" t="n">
        <v>0</v>
      </c>
      <c r="L778" t="n">
        <v>0</v>
      </c>
      <c r="M778" t="n">
        <v>0</v>
      </c>
      <c r="N778" t="n">
        <v>0</v>
      </c>
      <c r="O778" t="n">
        <v>0</v>
      </c>
      <c r="P778" t="n">
        <v>0</v>
      </c>
      <c r="Q778" t="n">
        <v>0</v>
      </c>
      <c r="R778" s="2" t="inlineStr"/>
    </row>
    <row r="779" ht="15" customHeight="1">
      <c r="A779" t="inlineStr">
        <is>
          <t>A 12730-2026</t>
        </is>
      </c>
      <c r="B779" s="1" t="n">
        <v>46091</v>
      </c>
      <c r="C779" s="1" t="n">
        <v>46106</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12821-2026</t>
        </is>
      </c>
      <c r="B780" s="1" t="n">
        <v>46092.41256944444</v>
      </c>
      <c r="C780" s="1" t="n">
        <v>46106</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598-2025</t>
        </is>
      </c>
      <c r="B781" s="1" t="n">
        <v>45660</v>
      </c>
      <c r="C781" s="1" t="n">
        <v>46106</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12820-2026</t>
        </is>
      </c>
      <c r="B782" s="1" t="n">
        <v>46092.40909722223</v>
      </c>
      <c r="C782" s="1" t="n">
        <v>46106</v>
      </c>
      <c r="D782" t="inlineStr">
        <is>
          <t>KALMAR LÄN</t>
        </is>
      </c>
      <c r="E782" t="inlineStr">
        <is>
          <t>VIMMERBY</t>
        </is>
      </c>
      <c r="G782" t="n">
        <v>4.3</v>
      </c>
      <c r="H782" t="n">
        <v>0</v>
      </c>
      <c r="I782" t="n">
        <v>0</v>
      </c>
      <c r="J782" t="n">
        <v>0</v>
      </c>
      <c r="K782" t="n">
        <v>0</v>
      </c>
      <c r="L782" t="n">
        <v>0</v>
      </c>
      <c r="M782" t="n">
        <v>0</v>
      </c>
      <c r="N782" t="n">
        <v>0</v>
      </c>
      <c r="O782" t="n">
        <v>0</v>
      </c>
      <c r="P782" t="n">
        <v>0</v>
      </c>
      <c r="Q782" t="n">
        <v>0</v>
      </c>
      <c r="R782" s="2" t="inlineStr"/>
    </row>
    <row r="783" ht="15" customHeight="1">
      <c r="A783" t="inlineStr">
        <is>
          <t>A 12825-2026</t>
        </is>
      </c>
      <c r="B783" s="1" t="n">
        <v>46092.41561342592</v>
      </c>
      <c r="C783" s="1" t="n">
        <v>46106</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46106</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46106</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46106</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46106</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46106</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46106</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46106</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46106</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46106</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13714-2026</t>
        </is>
      </c>
      <c r="B793" s="1" t="n">
        <v>46097.58472222222</v>
      </c>
      <c r="C793" s="1" t="n">
        <v>46106</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2260-2022</t>
        </is>
      </c>
      <c r="B794" s="1" t="n">
        <v>44578.62943287037</v>
      </c>
      <c r="C794" s="1" t="n">
        <v>46106</v>
      </c>
      <c r="D794" t="inlineStr">
        <is>
          <t>KALMAR LÄN</t>
        </is>
      </c>
      <c r="E794" t="inlineStr">
        <is>
          <t>VIMMERBY</t>
        </is>
      </c>
      <c r="G794" t="n">
        <v>1.4</v>
      </c>
      <c r="H794" t="n">
        <v>0</v>
      </c>
      <c r="I794" t="n">
        <v>0</v>
      </c>
      <c r="J794" t="n">
        <v>0</v>
      </c>
      <c r="K794" t="n">
        <v>0</v>
      </c>
      <c r="L794" t="n">
        <v>0</v>
      </c>
      <c r="M794" t="n">
        <v>0</v>
      </c>
      <c r="N794" t="n">
        <v>0</v>
      </c>
      <c r="O794" t="n">
        <v>0</v>
      </c>
      <c r="P794" t="n">
        <v>0</v>
      </c>
      <c r="Q794" t="n">
        <v>0</v>
      </c>
      <c r="R794" s="2" t="inlineStr"/>
    </row>
    <row r="795" ht="15" customHeight="1">
      <c r="A795" t="inlineStr">
        <is>
          <t>A 11661-2023</t>
        </is>
      </c>
      <c r="B795" s="1" t="n">
        <v>44994.46908564815</v>
      </c>
      <c r="C795" s="1" t="n">
        <v>46106</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58046-2022</t>
        </is>
      </c>
      <c r="B796" s="1" t="n">
        <v>44900.57393518519</v>
      </c>
      <c r="C796" s="1" t="n">
        <v>46106</v>
      </c>
      <c r="D796" t="inlineStr">
        <is>
          <t>KALMAR LÄN</t>
        </is>
      </c>
      <c r="E796" t="inlineStr">
        <is>
          <t>VIMMERBY</t>
        </is>
      </c>
      <c r="G796" t="n">
        <v>2.5</v>
      </c>
      <c r="H796" t="n">
        <v>0</v>
      </c>
      <c r="I796" t="n">
        <v>0</v>
      </c>
      <c r="J796" t="n">
        <v>0</v>
      </c>
      <c r="K796" t="n">
        <v>0</v>
      </c>
      <c r="L796" t="n">
        <v>0</v>
      </c>
      <c r="M796" t="n">
        <v>0</v>
      </c>
      <c r="N796" t="n">
        <v>0</v>
      </c>
      <c r="O796" t="n">
        <v>0</v>
      </c>
      <c r="P796" t="n">
        <v>0</v>
      </c>
      <c r="Q796" t="n">
        <v>0</v>
      </c>
      <c r="R796" s="2" t="inlineStr"/>
    </row>
    <row r="797" ht="15" customHeight="1">
      <c r="A797" t="inlineStr">
        <is>
          <t>A 45528-2021</t>
        </is>
      </c>
      <c r="B797" s="1" t="n">
        <v>44440.60415509259</v>
      </c>
      <c r="C797" s="1" t="n">
        <v>46106</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46979-2023</t>
        </is>
      </c>
      <c r="B798" s="1" t="n">
        <v>45201</v>
      </c>
      <c r="C798" s="1" t="n">
        <v>46106</v>
      </c>
      <c r="D798" t="inlineStr">
        <is>
          <t>KALMAR LÄN</t>
        </is>
      </c>
      <c r="E798" t="inlineStr">
        <is>
          <t>VIMMERBY</t>
        </is>
      </c>
      <c r="G798" t="n">
        <v>1</v>
      </c>
      <c r="H798" t="n">
        <v>0</v>
      </c>
      <c r="I798" t="n">
        <v>0</v>
      </c>
      <c r="J798" t="n">
        <v>0</v>
      </c>
      <c r="K798" t="n">
        <v>0</v>
      </c>
      <c r="L798" t="n">
        <v>0</v>
      </c>
      <c r="M798" t="n">
        <v>0</v>
      </c>
      <c r="N798" t="n">
        <v>0</v>
      </c>
      <c r="O798" t="n">
        <v>0</v>
      </c>
      <c r="P798" t="n">
        <v>0</v>
      </c>
      <c r="Q798" t="n">
        <v>0</v>
      </c>
      <c r="R798" s="2" t="inlineStr"/>
    </row>
    <row r="799" ht="15" customHeight="1">
      <c r="A799" t="inlineStr">
        <is>
          <t>A 6574-2023</t>
        </is>
      </c>
      <c r="B799" s="1" t="n">
        <v>44966</v>
      </c>
      <c r="C799" s="1" t="n">
        <v>46106</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14279-2026</t>
        </is>
      </c>
      <c r="B800" s="1" t="n">
        <v>46099.66826388889</v>
      </c>
      <c r="C800" s="1" t="n">
        <v>46106</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4058-2024</t>
        </is>
      </c>
      <c r="B801" s="1" t="n">
        <v>45323.53744212963</v>
      </c>
      <c r="C801" s="1" t="n">
        <v>46106</v>
      </c>
      <c r="D801" t="inlineStr">
        <is>
          <t>KALMAR LÄN</t>
        </is>
      </c>
      <c r="E801" t="inlineStr">
        <is>
          <t>VIMMERBY</t>
        </is>
      </c>
      <c r="G801" t="n">
        <v>6.5</v>
      </c>
      <c r="H801" t="n">
        <v>0</v>
      </c>
      <c r="I801" t="n">
        <v>0</v>
      </c>
      <c r="J801" t="n">
        <v>0</v>
      </c>
      <c r="K801" t="n">
        <v>0</v>
      </c>
      <c r="L801" t="n">
        <v>0</v>
      </c>
      <c r="M801" t="n">
        <v>0</v>
      </c>
      <c r="N801" t="n">
        <v>0</v>
      </c>
      <c r="O801" t="n">
        <v>0</v>
      </c>
      <c r="P801" t="n">
        <v>0</v>
      </c>
      <c r="Q801" t="n">
        <v>0</v>
      </c>
      <c r="R801" s="2" t="inlineStr"/>
    </row>
    <row r="802" ht="15" customHeight="1">
      <c r="A802" t="inlineStr">
        <is>
          <t>A 6817-2026</t>
        </is>
      </c>
      <c r="B802" s="1" t="n">
        <v>46057.38412037037</v>
      </c>
      <c r="C802" s="1" t="n">
        <v>46106</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1978-2024</t>
        </is>
      </c>
      <c r="B803" s="1" t="n">
        <v>45308.59001157407</v>
      </c>
      <c r="C803" s="1" t="n">
        <v>46106</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30318-2023</t>
        </is>
      </c>
      <c r="B804" s="1" t="n">
        <v>45111.30824074074</v>
      </c>
      <c r="C804" s="1" t="n">
        <v>46106</v>
      </c>
      <c r="D804" t="inlineStr">
        <is>
          <t>KALMAR LÄN</t>
        </is>
      </c>
      <c r="E804" t="inlineStr">
        <is>
          <t>VIMMERBY</t>
        </is>
      </c>
      <c r="G804" t="n">
        <v>2.6</v>
      </c>
      <c r="H804" t="n">
        <v>0</v>
      </c>
      <c r="I804" t="n">
        <v>0</v>
      </c>
      <c r="J804" t="n">
        <v>0</v>
      </c>
      <c r="K804" t="n">
        <v>0</v>
      </c>
      <c r="L804" t="n">
        <v>0</v>
      </c>
      <c r="M804" t="n">
        <v>0</v>
      </c>
      <c r="N804" t="n">
        <v>0</v>
      </c>
      <c r="O804" t="n">
        <v>0</v>
      </c>
      <c r="P804" t="n">
        <v>0</v>
      </c>
      <c r="Q804" t="n">
        <v>0</v>
      </c>
      <c r="R804" s="2" t="inlineStr"/>
    </row>
    <row r="805" ht="15" customHeight="1">
      <c r="A805" t="inlineStr">
        <is>
          <t>A 25234-2023</t>
        </is>
      </c>
      <c r="B805" s="1" t="n">
        <v>45086.63194444445</v>
      </c>
      <c r="C805" s="1" t="n">
        <v>46106</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46078-2023</t>
        </is>
      </c>
      <c r="B806" s="1" t="n">
        <v>45196</v>
      </c>
      <c r="C806" s="1" t="n">
        <v>46106</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3609-2024</t>
        </is>
      </c>
      <c r="B807" s="1" t="n">
        <v>45320.89128472222</v>
      </c>
      <c r="C807" s="1" t="n">
        <v>46106</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10424-2023</t>
        </is>
      </c>
      <c r="B808" s="1" t="n">
        <v>44987.54104166666</v>
      </c>
      <c r="C808" s="1" t="n">
        <v>46106</v>
      </c>
      <c r="D808" t="inlineStr">
        <is>
          <t>KALMAR LÄN</t>
        </is>
      </c>
      <c r="E808" t="inlineStr">
        <is>
          <t>VIMMERBY</t>
        </is>
      </c>
      <c r="G808" t="n">
        <v>0.5</v>
      </c>
      <c r="H808" t="n">
        <v>0</v>
      </c>
      <c r="I808" t="n">
        <v>0</v>
      </c>
      <c r="J808" t="n">
        <v>0</v>
      </c>
      <c r="K808" t="n">
        <v>0</v>
      </c>
      <c r="L808" t="n">
        <v>0</v>
      </c>
      <c r="M808" t="n">
        <v>0</v>
      </c>
      <c r="N808" t="n">
        <v>0</v>
      </c>
      <c r="O808" t="n">
        <v>0</v>
      </c>
      <c r="P808" t="n">
        <v>0</v>
      </c>
      <c r="Q808" t="n">
        <v>0</v>
      </c>
      <c r="R808" s="2" t="inlineStr"/>
    </row>
    <row r="809" ht="15" customHeight="1">
      <c r="A809" t="inlineStr">
        <is>
          <t>A 49382-2023</t>
        </is>
      </c>
      <c r="B809" s="1" t="n">
        <v>45208</v>
      </c>
      <c r="C809" s="1" t="n">
        <v>46106</v>
      </c>
      <c r="D809" t="inlineStr">
        <is>
          <t>KALMAR LÄN</t>
        </is>
      </c>
      <c r="E809" t="inlineStr">
        <is>
          <t>VIMMERBY</t>
        </is>
      </c>
      <c r="G809" t="n">
        <v>2.2</v>
      </c>
      <c r="H809" t="n">
        <v>0</v>
      </c>
      <c r="I809" t="n">
        <v>0</v>
      </c>
      <c r="J809" t="n">
        <v>0</v>
      </c>
      <c r="K809" t="n">
        <v>0</v>
      </c>
      <c r="L809" t="n">
        <v>0</v>
      </c>
      <c r="M809" t="n">
        <v>0</v>
      </c>
      <c r="N809" t="n">
        <v>0</v>
      </c>
      <c r="O809" t="n">
        <v>0</v>
      </c>
      <c r="P809" t="n">
        <v>0</v>
      </c>
      <c r="Q809" t="n">
        <v>0</v>
      </c>
      <c r="R809" s="2" t="inlineStr"/>
    </row>
    <row r="810" ht="15" customHeight="1">
      <c r="A810" t="inlineStr">
        <is>
          <t>A 12810-2023</t>
        </is>
      </c>
      <c r="B810" s="1" t="n">
        <v>45001.43854166667</v>
      </c>
      <c r="C810" s="1" t="n">
        <v>46106</v>
      </c>
      <c r="D810" t="inlineStr">
        <is>
          <t>KALMAR LÄN</t>
        </is>
      </c>
      <c r="E810" t="inlineStr">
        <is>
          <t>VIMMERBY</t>
        </is>
      </c>
      <c r="G810" t="n">
        <v>1.5</v>
      </c>
      <c r="H810" t="n">
        <v>0</v>
      </c>
      <c r="I810" t="n">
        <v>0</v>
      </c>
      <c r="J810" t="n">
        <v>0</v>
      </c>
      <c r="K810" t="n">
        <v>0</v>
      </c>
      <c r="L810" t="n">
        <v>0</v>
      </c>
      <c r="M810" t="n">
        <v>0</v>
      </c>
      <c r="N810" t="n">
        <v>0</v>
      </c>
      <c r="O810" t="n">
        <v>0</v>
      </c>
      <c r="P810" t="n">
        <v>0</v>
      </c>
      <c r="Q810" t="n">
        <v>0</v>
      </c>
      <c r="R810" s="2" t="inlineStr"/>
    </row>
    <row r="811" ht="15" customHeight="1">
      <c r="A811" t="inlineStr">
        <is>
          <t>A 3425-2022</t>
        </is>
      </c>
      <c r="B811" s="1" t="n">
        <v>44585.51060185185</v>
      </c>
      <c r="C811" s="1" t="n">
        <v>46106</v>
      </c>
      <c r="D811" t="inlineStr">
        <is>
          <t>KALMAR LÄN</t>
        </is>
      </c>
      <c r="E811" t="inlineStr">
        <is>
          <t>VIMMERBY</t>
        </is>
      </c>
      <c r="G811" t="n">
        <v>1.3</v>
      </c>
      <c r="H811" t="n">
        <v>0</v>
      </c>
      <c r="I811" t="n">
        <v>0</v>
      </c>
      <c r="J811" t="n">
        <v>0</v>
      </c>
      <c r="K811" t="n">
        <v>0</v>
      </c>
      <c r="L811" t="n">
        <v>0</v>
      </c>
      <c r="M811" t="n">
        <v>0</v>
      </c>
      <c r="N811" t="n">
        <v>0</v>
      </c>
      <c r="O811" t="n">
        <v>0</v>
      </c>
      <c r="P811" t="n">
        <v>0</v>
      </c>
      <c r="Q811" t="n">
        <v>0</v>
      </c>
      <c r="R811" s="2" t="inlineStr"/>
    </row>
    <row r="812" ht="15" customHeight="1">
      <c r="A812" t="inlineStr">
        <is>
          <t>A 60675-2023</t>
        </is>
      </c>
      <c r="B812" s="1" t="n">
        <v>45260.4716550926</v>
      </c>
      <c r="C812" s="1" t="n">
        <v>46106</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2536-2023</t>
        </is>
      </c>
      <c r="B813" s="1" t="n">
        <v>44943.62954861111</v>
      </c>
      <c r="C813" s="1" t="n">
        <v>46106</v>
      </c>
      <c r="D813" t="inlineStr">
        <is>
          <t>KALMAR LÄN</t>
        </is>
      </c>
      <c r="E813" t="inlineStr">
        <is>
          <t>VIMMERBY</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11111-2024</t>
        </is>
      </c>
      <c r="B814" s="1" t="n">
        <v>45371.36359953704</v>
      </c>
      <c r="C814" s="1" t="n">
        <v>46106</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1687-2023</t>
        </is>
      </c>
      <c r="B815" s="1" t="n">
        <v>44938</v>
      </c>
      <c r="C815" s="1" t="n">
        <v>46106</v>
      </c>
      <c r="D815" t="inlineStr">
        <is>
          <t>KALMAR LÄN</t>
        </is>
      </c>
      <c r="E815" t="inlineStr">
        <is>
          <t>VIMMERBY</t>
        </is>
      </c>
      <c r="F815" t="inlineStr">
        <is>
          <t>Kommuner</t>
        </is>
      </c>
      <c r="G815" t="n">
        <v>2.5</v>
      </c>
      <c r="H815" t="n">
        <v>0</v>
      </c>
      <c r="I815" t="n">
        <v>0</v>
      </c>
      <c r="J815" t="n">
        <v>0</v>
      </c>
      <c r="K815" t="n">
        <v>0</v>
      </c>
      <c r="L815" t="n">
        <v>0</v>
      </c>
      <c r="M815" t="n">
        <v>0</v>
      </c>
      <c r="N815" t="n">
        <v>0</v>
      </c>
      <c r="O815" t="n">
        <v>0</v>
      </c>
      <c r="P815" t="n">
        <v>0</v>
      </c>
      <c r="Q815" t="n">
        <v>0</v>
      </c>
      <c r="R815" s="2" t="inlineStr"/>
    </row>
    <row r="816" ht="15" customHeight="1">
      <c r="A816" t="inlineStr">
        <is>
          <t>A 3494-2023</t>
        </is>
      </c>
      <c r="B816" s="1" t="n">
        <v>44949</v>
      </c>
      <c r="C816" s="1" t="n">
        <v>46106</v>
      </c>
      <c r="D816" t="inlineStr">
        <is>
          <t>KALMAR LÄN</t>
        </is>
      </c>
      <c r="E816" t="inlineStr">
        <is>
          <t>VIMMERBY</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15449-2023</t>
        </is>
      </c>
      <c r="B817" s="1" t="n">
        <v>45020</v>
      </c>
      <c r="C817" s="1" t="n">
        <v>46106</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43242-2024</t>
        </is>
      </c>
      <c r="B818" s="1" t="n">
        <v>45568.30189814815</v>
      </c>
      <c r="C818" s="1" t="n">
        <v>46106</v>
      </c>
      <c r="D818" t="inlineStr">
        <is>
          <t>KALMAR LÄN</t>
        </is>
      </c>
      <c r="E818" t="inlineStr">
        <is>
          <t>VIMMERBY</t>
        </is>
      </c>
      <c r="G818" t="n">
        <v>2.6</v>
      </c>
      <c r="H818" t="n">
        <v>0</v>
      </c>
      <c r="I818" t="n">
        <v>0</v>
      </c>
      <c r="J818" t="n">
        <v>0</v>
      </c>
      <c r="K818" t="n">
        <v>0</v>
      </c>
      <c r="L818" t="n">
        <v>0</v>
      </c>
      <c r="M818" t="n">
        <v>0</v>
      </c>
      <c r="N818" t="n">
        <v>0</v>
      </c>
      <c r="O818" t="n">
        <v>0</v>
      </c>
      <c r="P818" t="n">
        <v>0</v>
      </c>
      <c r="Q818" t="n">
        <v>0</v>
      </c>
      <c r="R818" s="2" t="inlineStr"/>
    </row>
    <row r="819" ht="15" customHeight="1">
      <c r="A819" t="inlineStr">
        <is>
          <t>A 56853-2022</t>
        </is>
      </c>
      <c r="B819" s="1" t="n">
        <v>44894.49538194444</v>
      </c>
      <c r="C819" s="1" t="n">
        <v>46106</v>
      </c>
      <c r="D819" t="inlineStr">
        <is>
          <t>KALMAR LÄN</t>
        </is>
      </c>
      <c r="E819" t="inlineStr">
        <is>
          <t>VIMMERBY</t>
        </is>
      </c>
      <c r="G819" t="n">
        <v>4.3</v>
      </c>
      <c r="H819" t="n">
        <v>0</v>
      </c>
      <c r="I819" t="n">
        <v>0</v>
      </c>
      <c r="J819" t="n">
        <v>0</v>
      </c>
      <c r="K819" t="n">
        <v>0</v>
      </c>
      <c r="L819" t="n">
        <v>0</v>
      </c>
      <c r="M819" t="n">
        <v>0</v>
      </c>
      <c r="N819" t="n">
        <v>0</v>
      </c>
      <c r="O819" t="n">
        <v>0</v>
      </c>
      <c r="P819" t="n">
        <v>0</v>
      </c>
      <c r="Q819" t="n">
        <v>0</v>
      </c>
      <c r="R819" s="2" t="inlineStr"/>
    </row>
    <row r="820" ht="15" customHeight="1">
      <c r="A820" t="inlineStr">
        <is>
          <t>A 33815-2022</t>
        </is>
      </c>
      <c r="B820" s="1" t="n">
        <v>44790.45876157407</v>
      </c>
      <c r="C820" s="1" t="n">
        <v>46106</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33842-2022</t>
        </is>
      </c>
      <c r="B821" s="1" t="n">
        <v>44790.49523148148</v>
      </c>
      <c r="C821" s="1" t="n">
        <v>46106</v>
      </c>
      <c r="D821" t="inlineStr">
        <is>
          <t>KALMAR LÄN</t>
        </is>
      </c>
      <c r="E821" t="inlineStr">
        <is>
          <t>VIMMERBY</t>
        </is>
      </c>
      <c r="G821" t="n">
        <v>1.6</v>
      </c>
      <c r="H821" t="n">
        <v>0</v>
      </c>
      <c r="I821" t="n">
        <v>0</v>
      </c>
      <c r="J821" t="n">
        <v>0</v>
      </c>
      <c r="K821" t="n">
        <v>0</v>
      </c>
      <c r="L821" t="n">
        <v>0</v>
      </c>
      <c r="M821" t="n">
        <v>0</v>
      </c>
      <c r="N821" t="n">
        <v>0</v>
      </c>
      <c r="O821" t="n">
        <v>0</v>
      </c>
      <c r="P821" t="n">
        <v>0</v>
      </c>
      <c r="Q821" t="n">
        <v>0</v>
      </c>
      <c r="R821" s="2" t="inlineStr"/>
    </row>
    <row r="822" ht="15" customHeight="1">
      <c r="A822" t="inlineStr">
        <is>
          <t>A 49408-2023</t>
        </is>
      </c>
      <c r="B822" s="1" t="n">
        <v>45211.43555555555</v>
      </c>
      <c r="C822" s="1" t="n">
        <v>46106</v>
      </c>
      <c r="D822" t="inlineStr">
        <is>
          <t>KALMAR LÄN</t>
        </is>
      </c>
      <c r="E822" t="inlineStr">
        <is>
          <t>VIMMERBY</t>
        </is>
      </c>
      <c r="G822" t="n">
        <v>13.1</v>
      </c>
      <c r="H822" t="n">
        <v>0</v>
      </c>
      <c r="I822" t="n">
        <v>0</v>
      </c>
      <c r="J822" t="n">
        <v>0</v>
      </c>
      <c r="K822" t="n">
        <v>0</v>
      </c>
      <c r="L822" t="n">
        <v>0</v>
      </c>
      <c r="M822" t="n">
        <v>0</v>
      </c>
      <c r="N822" t="n">
        <v>0</v>
      </c>
      <c r="O822" t="n">
        <v>0</v>
      </c>
      <c r="P822" t="n">
        <v>0</v>
      </c>
      <c r="Q822" t="n">
        <v>0</v>
      </c>
      <c r="R822" s="2" t="inlineStr"/>
    </row>
    <row r="823" ht="15" customHeight="1">
      <c r="A823" t="inlineStr">
        <is>
          <t>A 56536-2022</t>
        </is>
      </c>
      <c r="B823" s="1" t="n">
        <v>44893</v>
      </c>
      <c r="C823" s="1" t="n">
        <v>46106</v>
      </c>
      <c r="D823" t="inlineStr">
        <is>
          <t>KALMAR LÄN</t>
        </is>
      </c>
      <c r="E823" t="inlineStr">
        <is>
          <t>VIMMERBY</t>
        </is>
      </c>
      <c r="G823" t="n">
        <v>3.2</v>
      </c>
      <c r="H823" t="n">
        <v>0</v>
      </c>
      <c r="I823" t="n">
        <v>0</v>
      </c>
      <c r="J823" t="n">
        <v>0</v>
      </c>
      <c r="K823" t="n">
        <v>0</v>
      </c>
      <c r="L823" t="n">
        <v>0</v>
      </c>
      <c r="M823" t="n">
        <v>0</v>
      </c>
      <c r="N823" t="n">
        <v>0</v>
      </c>
      <c r="O823" t="n">
        <v>0</v>
      </c>
      <c r="P823" t="n">
        <v>0</v>
      </c>
      <c r="Q823" t="n">
        <v>0</v>
      </c>
      <c r="R823" s="2" t="inlineStr"/>
    </row>
    <row r="824" ht="15" customHeight="1">
      <c r="A824" t="inlineStr">
        <is>
          <t>A 41199-2023</t>
        </is>
      </c>
      <c r="B824" s="1" t="n">
        <v>45174.40454861111</v>
      </c>
      <c r="C824" s="1" t="n">
        <v>46106</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8945-2025</t>
        </is>
      </c>
      <c r="B825" s="1" t="n">
        <v>45713.45311342592</v>
      </c>
      <c r="C825" s="1" t="n">
        <v>46106</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11619-2023</t>
        </is>
      </c>
      <c r="B826" s="1" t="n">
        <v>44994.42113425926</v>
      </c>
      <c r="C826" s="1" t="n">
        <v>46106</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41896-2023</t>
        </is>
      </c>
      <c r="B827" s="1" t="n">
        <v>45176.72427083334</v>
      </c>
      <c r="C827" s="1" t="n">
        <v>46106</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17926-2025</t>
        </is>
      </c>
      <c r="B828" s="1" t="n">
        <v>45759.38987268518</v>
      </c>
      <c r="C828" s="1" t="n">
        <v>46106</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21028-2023</t>
        </is>
      </c>
      <c r="B829" s="1" t="n">
        <v>45061</v>
      </c>
      <c r="C829" s="1" t="n">
        <v>46106</v>
      </c>
      <c r="D829" t="inlineStr">
        <is>
          <t>KALMAR LÄN</t>
        </is>
      </c>
      <c r="E829" t="inlineStr">
        <is>
          <t>VIMMERBY</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19445-2021</t>
        </is>
      </c>
      <c r="B830" s="1" t="n">
        <v>44310</v>
      </c>
      <c r="C830" s="1" t="n">
        <v>46106</v>
      </c>
      <c r="D830" t="inlineStr">
        <is>
          <t>KALMAR LÄN</t>
        </is>
      </c>
      <c r="E830" t="inlineStr">
        <is>
          <t>VIMMERBY</t>
        </is>
      </c>
      <c r="G830" t="n">
        <v>6.8</v>
      </c>
      <c r="H830" t="n">
        <v>0</v>
      </c>
      <c r="I830" t="n">
        <v>0</v>
      </c>
      <c r="J830" t="n">
        <v>0</v>
      </c>
      <c r="K830" t="n">
        <v>0</v>
      </c>
      <c r="L830" t="n">
        <v>0</v>
      </c>
      <c r="M830" t="n">
        <v>0</v>
      </c>
      <c r="N830" t="n">
        <v>0</v>
      </c>
      <c r="O830" t="n">
        <v>0</v>
      </c>
      <c r="P830" t="n">
        <v>0</v>
      </c>
      <c r="Q830" t="n">
        <v>0</v>
      </c>
      <c r="R830" s="2" t="inlineStr"/>
    </row>
    <row r="831" ht="15" customHeight="1">
      <c r="A831" t="inlineStr">
        <is>
          <t>A 27122-2023</t>
        </is>
      </c>
      <c r="B831" s="1" t="n">
        <v>45096.45247685185</v>
      </c>
      <c r="C831" s="1" t="n">
        <v>46106</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13813-2024</t>
        </is>
      </c>
      <c r="B832" s="1" t="n">
        <v>45391.41310185185</v>
      </c>
      <c r="C832" s="1" t="n">
        <v>46106</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38969-2023</t>
        </is>
      </c>
      <c r="B833" s="1" t="n">
        <v>45163.63621527778</v>
      </c>
      <c r="C833" s="1" t="n">
        <v>46106</v>
      </c>
      <c r="D833" t="inlineStr">
        <is>
          <t>KALMAR LÄN</t>
        </is>
      </c>
      <c r="E833" t="inlineStr">
        <is>
          <t>VIMMERBY</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26937-2023</t>
        </is>
      </c>
      <c r="B834" s="1" t="n">
        <v>45093.62777777778</v>
      </c>
      <c r="C834" s="1" t="n">
        <v>46106</v>
      </c>
      <c r="D834" t="inlineStr">
        <is>
          <t>KALMAR LÄN</t>
        </is>
      </c>
      <c r="E834" t="inlineStr">
        <is>
          <t>VIMMERBY</t>
        </is>
      </c>
      <c r="F834" t="inlineStr">
        <is>
          <t>Sveaskog</t>
        </is>
      </c>
      <c r="G834" t="n">
        <v>14.5</v>
      </c>
      <c r="H834" t="n">
        <v>0</v>
      </c>
      <c r="I834" t="n">
        <v>0</v>
      </c>
      <c r="J834" t="n">
        <v>0</v>
      </c>
      <c r="K834" t="n">
        <v>0</v>
      </c>
      <c r="L834" t="n">
        <v>0</v>
      </c>
      <c r="M834" t="n">
        <v>0</v>
      </c>
      <c r="N834" t="n">
        <v>0</v>
      </c>
      <c r="O834" t="n">
        <v>0</v>
      </c>
      <c r="P834" t="n">
        <v>0</v>
      </c>
      <c r="Q834" t="n">
        <v>0</v>
      </c>
      <c r="R834" s="2" t="inlineStr"/>
    </row>
    <row r="835" ht="15" customHeight="1">
      <c r="A835" t="inlineStr">
        <is>
          <t>A 57486-2024</t>
        </is>
      </c>
      <c r="B835" s="1" t="n">
        <v>45630.35827546296</v>
      </c>
      <c r="C835" s="1" t="n">
        <v>46106</v>
      </c>
      <c r="D835" t="inlineStr">
        <is>
          <t>KALMAR LÄN</t>
        </is>
      </c>
      <c r="E835" t="inlineStr">
        <is>
          <t>VIMMERBY</t>
        </is>
      </c>
      <c r="G835" t="n">
        <v>0.4</v>
      </c>
      <c r="H835" t="n">
        <v>0</v>
      </c>
      <c r="I835" t="n">
        <v>0</v>
      </c>
      <c r="J835" t="n">
        <v>0</v>
      </c>
      <c r="K835" t="n">
        <v>0</v>
      </c>
      <c r="L835" t="n">
        <v>0</v>
      </c>
      <c r="M835" t="n">
        <v>0</v>
      </c>
      <c r="N835" t="n">
        <v>0</v>
      </c>
      <c r="O835" t="n">
        <v>0</v>
      </c>
      <c r="P835" t="n">
        <v>0</v>
      </c>
      <c r="Q835" t="n">
        <v>0</v>
      </c>
      <c r="R835" s="2" t="inlineStr"/>
    </row>
    <row r="836" ht="15" customHeight="1">
      <c r="A836" t="inlineStr">
        <is>
          <t>A 43186-2021</t>
        </is>
      </c>
      <c r="B836" s="1" t="n">
        <v>44431.84840277778</v>
      </c>
      <c r="C836" s="1" t="n">
        <v>46106</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1799-2025</t>
        </is>
      </c>
      <c r="B837" s="1" t="n">
        <v>45671.46746527778</v>
      </c>
      <c r="C837" s="1" t="n">
        <v>46106</v>
      </c>
      <c r="D837" t="inlineStr">
        <is>
          <t>KALMAR LÄN</t>
        </is>
      </c>
      <c r="E837" t="inlineStr">
        <is>
          <t>VIMMERBY</t>
        </is>
      </c>
      <c r="G837" t="n">
        <v>3.3</v>
      </c>
      <c r="H837" t="n">
        <v>0</v>
      </c>
      <c r="I837" t="n">
        <v>0</v>
      </c>
      <c r="J837" t="n">
        <v>0</v>
      </c>
      <c r="K837" t="n">
        <v>0</v>
      </c>
      <c r="L837" t="n">
        <v>0</v>
      </c>
      <c r="M837" t="n">
        <v>0</v>
      </c>
      <c r="N837" t="n">
        <v>0</v>
      </c>
      <c r="O837" t="n">
        <v>0</v>
      </c>
      <c r="P837" t="n">
        <v>0</v>
      </c>
      <c r="Q837" t="n">
        <v>0</v>
      </c>
      <c r="R837" s="2" t="inlineStr"/>
    </row>
    <row r="838" ht="15" customHeight="1">
      <c r="A838" t="inlineStr">
        <is>
          <t>A 30063-2023</t>
        </is>
      </c>
      <c r="B838" s="1" t="n">
        <v>45110.4184375</v>
      </c>
      <c r="C838" s="1" t="n">
        <v>46106</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43068-2023</t>
        </is>
      </c>
      <c r="B839" s="1" t="n">
        <v>45182.78834490741</v>
      </c>
      <c r="C839" s="1" t="n">
        <v>46106</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18020-2025</t>
        </is>
      </c>
      <c r="B840" s="1" t="n">
        <v>45761.4437962963</v>
      </c>
      <c r="C840" s="1" t="n">
        <v>46106</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33424-2023</t>
        </is>
      </c>
      <c r="B841" s="1" t="n">
        <v>45128.9325</v>
      </c>
      <c r="C841" s="1" t="n">
        <v>46106</v>
      </c>
      <c r="D841" t="inlineStr">
        <is>
          <t>KALMAR LÄN</t>
        </is>
      </c>
      <c r="E841" t="inlineStr">
        <is>
          <t>VIMMERBY</t>
        </is>
      </c>
      <c r="G841" t="n">
        <v>2.4</v>
      </c>
      <c r="H841" t="n">
        <v>0</v>
      </c>
      <c r="I841" t="n">
        <v>0</v>
      </c>
      <c r="J841" t="n">
        <v>0</v>
      </c>
      <c r="K841" t="n">
        <v>0</v>
      </c>
      <c r="L841" t="n">
        <v>0</v>
      </c>
      <c r="M841" t="n">
        <v>0</v>
      </c>
      <c r="N841" t="n">
        <v>0</v>
      </c>
      <c r="O841" t="n">
        <v>0</v>
      </c>
      <c r="P841" t="n">
        <v>0</v>
      </c>
      <c r="Q841" t="n">
        <v>0</v>
      </c>
      <c r="R841" s="2" t="inlineStr"/>
    </row>
    <row r="842" ht="15" customHeight="1">
      <c r="A842" t="inlineStr">
        <is>
          <t>A 33425-2023</t>
        </is>
      </c>
      <c r="B842" s="1" t="n">
        <v>45128.93540509259</v>
      </c>
      <c r="C842" s="1" t="n">
        <v>46106</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12327-2023</t>
        </is>
      </c>
      <c r="B843" s="1" t="n">
        <v>44999.36081018519</v>
      </c>
      <c r="C843" s="1" t="n">
        <v>46106</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43092-2024</t>
        </is>
      </c>
      <c r="B844" s="1" t="n">
        <v>45567</v>
      </c>
      <c r="C844" s="1" t="n">
        <v>46106</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52435-2021</t>
        </is>
      </c>
      <c r="B845" s="1" t="n">
        <v>44466.34962962963</v>
      </c>
      <c r="C845" s="1" t="n">
        <v>46106</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35127-2024</t>
        </is>
      </c>
      <c r="B846" s="1" t="n">
        <v>45530.33202546297</v>
      </c>
      <c r="C846" s="1" t="n">
        <v>46106</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60215-2022</t>
        </is>
      </c>
      <c r="B847" s="1" t="n">
        <v>44910.41346064815</v>
      </c>
      <c r="C847" s="1" t="n">
        <v>46106</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29441-2024</t>
        </is>
      </c>
      <c r="B848" s="1" t="n">
        <v>45483.82834490741</v>
      </c>
      <c r="C848" s="1" t="n">
        <v>46106</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6216-2025</t>
        </is>
      </c>
      <c r="B849" s="1" t="n">
        <v>45698.52806712963</v>
      </c>
      <c r="C849" s="1" t="n">
        <v>46106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62779-2023</t>
        </is>
      </c>
      <c r="B850" s="1" t="n">
        <v>45271.66576388889</v>
      </c>
      <c r="C850" s="1" t="n">
        <v>46106</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52294-2023</t>
        </is>
      </c>
      <c r="B851" s="1" t="n">
        <v>45224.60075231481</v>
      </c>
      <c r="C851" s="1" t="n">
        <v>46106</v>
      </c>
      <c r="D851" t="inlineStr">
        <is>
          <t>KALMAR LÄN</t>
        </is>
      </c>
      <c r="E851" t="inlineStr">
        <is>
          <t>VIMMERBY</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31013-2023</t>
        </is>
      </c>
      <c r="B852" s="1" t="n">
        <v>45113.56574074074</v>
      </c>
      <c r="C852" s="1" t="n">
        <v>46106</v>
      </c>
      <c r="D852" t="inlineStr">
        <is>
          <t>KALMAR LÄN</t>
        </is>
      </c>
      <c r="E852" t="inlineStr">
        <is>
          <t>VIMMERBY</t>
        </is>
      </c>
      <c r="G852" t="n">
        <v>1</v>
      </c>
      <c r="H852" t="n">
        <v>0</v>
      </c>
      <c r="I852" t="n">
        <v>0</v>
      </c>
      <c r="J852" t="n">
        <v>0</v>
      </c>
      <c r="K852" t="n">
        <v>0</v>
      </c>
      <c r="L852" t="n">
        <v>0</v>
      </c>
      <c r="M852" t="n">
        <v>0</v>
      </c>
      <c r="N852" t="n">
        <v>0</v>
      </c>
      <c r="O852" t="n">
        <v>0</v>
      </c>
      <c r="P852" t="n">
        <v>0</v>
      </c>
      <c r="Q852" t="n">
        <v>0</v>
      </c>
      <c r="R852" s="2" t="inlineStr"/>
    </row>
    <row r="853" ht="15" customHeight="1">
      <c r="A853" t="inlineStr">
        <is>
          <t>A 72067-2021</t>
        </is>
      </c>
      <c r="B853" s="1" t="n">
        <v>44540</v>
      </c>
      <c r="C853" s="1" t="n">
        <v>46106</v>
      </c>
      <c r="D853" t="inlineStr">
        <is>
          <t>KALMAR LÄN</t>
        </is>
      </c>
      <c r="E853" t="inlineStr">
        <is>
          <t>VIMMERBY</t>
        </is>
      </c>
      <c r="G853" t="n">
        <v>1.6</v>
      </c>
      <c r="H853" t="n">
        <v>0</v>
      </c>
      <c r="I853" t="n">
        <v>0</v>
      </c>
      <c r="J853" t="n">
        <v>0</v>
      </c>
      <c r="K853" t="n">
        <v>0</v>
      </c>
      <c r="L853" t="n">
        <v>0</v>
      </c>
      <c r="M853" t="n">
        <v>0</v>
      </c>
      <c r="N853" t="n">
        <v>0</v>
      </c>
      <c r="O853" t="n">
        <v>0</v>
      </c>
      <c r="P853" t="n">
        <v>0</v>
      </c>
      <c r="Q853" t="n">
        <v>0</v>
      </c>
      <c r="R853" s="2" t="inlineStr"/>
    </row>
    <row r="854" ht="15" customHeight="1">
      <c r="A854" t="inlineStr">
        <is>
          <t>A 61538-2022</t>
        </is>
      </c>
      <c r="B854" s="1" t="n">
        <v>44916.55414351852</v>
      </c>
      <c r="C854" s="1" t="n">
        <v>46106</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36155-2023</t>
        </is>
      </c>
      <c r="B855" s="1" t="n">
        <v>45149.60917824074</v>
      </c>
      <c r="C855" s="1" t="n">
        <v>46106</v>
      </c>
      <c r="D855" t="inlineStr">
        <is>
          <t>KALMAR LÄN</t>
        </is>
      </c>
      <c r="E855" t="inlineStr">
        <is>
          <t>VIMMERBY</t>
        </is>
      </c>
      <c r="G855" t="n">
        <v>5</v>
      </c>
      <c r="H855" t="n">
        <v>0</v>
      </c>
      <c r="I855" t="n">
        <v>0</v>
      </c>
      <c r="J855" t="n">
        <v>0</v>
      </c>
      <c r="K855" t="n">
        <v>0</v>
      </c>
      <c r="L855" t="n">
        <v>0</v>
      </c>
      <c r="M855" t="n">
        <v>0</v>
      </c>
      <c r="N855" t="n">
        <v>0</v>
      </c>
      <c r="O855" t="n">
        <v>0</v>
      </c>
      <c r="P855" t="n">
        <v>0</v>
      </c>
      <c r="Q855" t="n">
        <v>0</v>
      </c>
      <c r="R855" s="2" t="inlineStr"/>
    </row>
    <row r="856" ht="15" customHeight="1">
      <c r="A856" t="inlineStr">
        <is>
          <t>A 29173-2024</t>
        </is>
      </c>
      <c r="B856" s="1" t="n">
        <v>45482.52887731481</v>
      </c>
      <c r="C856" s="1" t="n">
        <v>46106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53542-2022</t>
        </is>
      </c>
      <c r="B857" s="1" t="n">
        <v>44879.62173611111</v>
      </c>
      <c r="C857" s="1" t="n">
        <v>46106</v>
      </c>
      <c r="D857" t="inlineStr">
        <is>
          <t>KALMAR LÄN</t>
        </is>
      </c>
      <c r="E857" t="inlineStr">
        <is>
          <t>VIMMERBY</t>
        </is>
      </c>
      <c r="G857" t="n">
        <v>2.6</v>
      </c>
      <c r="H857" t="n">
        <v>0</v>
      </c>
      <c r="I857" t="n">
        <v>0</v>
      </c>
      <c r="J857" t="n">
        <v>0</v>
      </c>
      <c r="K857" t="n">
        <v>0</v>
      </c>
      <c r="L857" t="n">
        <v>0</v>
      </c>
      <c r="M857" t="n">
        <v>0</v>
      </c>
      <c r="N857" t="n">
        <v>0</v>
      </c>
      <c r="O857" t="n">
        <v>0</v>
      </c>
      <c r="P857" t="n">
        <v>0</v>
      </c>
      <c r="Q857" t="n">
        <v>0</v>
      </c>
      <c r="R857" s="2" t="inlineStr"/>
    </row>
    <row r="858" ht="15" customHeight="1">
      <c r="A858" t="inlineStr">
        <is>
          <t>A 6807-2025</t>
        </is>
      </c>
      <c r="B858" s="1" t="n">
        <v>45700.68672453704</v>
      </c>
      <c r="C858" s="1" t="n">
        <v>46106</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7047-2022</t>
        </is>
      </c>
      <c r="B859" s="1" t="n">
        <v>44603</v>
      </c>
      <c r="C859" s="1" t="n">
        <v>46106</v>
      </c>
      <c r="D859" t="inlineStr">
        <is>
          <t>KALMAR LÄN</t>
        </is>
      </c>
      <c r="E859" t="inlineStr">
        <is>
          <t>VIMMERBY</t>
        </is>
      </c>
      <c r="G859" t="n">
        <v>0.6</v>
      </c>
      <c r="H859" t="n">
        <v>0</v>
      </c>
      <c r="I859" t="n">
        <v>0</v>
      </c>
      <c r="J859" t="n">
        <v>0</v>
      </c>
      <c r="K859" t="n">
        <v>0</v>
      </c>
      <c r="L859" t="n">
        <v>0</v>
      </c>
      <c r="M859" t="n">
        <v>0</v>
      </c>
      <c r="N859" t="n">
        <v>0</v>
      </c>
      <c r="O859" t="n">
        <v>0</v>
      </c>
      <c r="P859" t="n">
        <v>0</v>
      </c>
      <c r="Q859" t="n">
        <v>0</v>
      </c>
      <c r="R859" s="2" t="inlineStr"/>
    </row>
    <row r="860" ht="15" customHeight="1">
      <c r="A860" t="inlineStr">
        <is>
          <t>A 35711-2023</t>
        </is>
      </c>
      <c r="B860" s="1" t="n">
        <v>45147.67172453704</v>
      </c>
      <c r="C860" s="1" t="n">
        <v>46106</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5382-2023</t>
        </is>
      </c>
      <c r="B861" s="1" t="n">
        <v>44959.66407407408</v>
      </c>
      <c r="C861" s="1" t="n">
        <v>46106</v>
      </c>
      <c r="D861" t="inlineStr">
        <is>
          <t>KALMAR LÄN</t>
        </is>
      </c>
      <c r="E861" t="inlineStr">
        <is>
          <t>VIMMERBY</t>
        </is>
      </c>
      <c r="G861" t="n">
        <v>1</v>
      </c>
      <c r="H861" t="n">
        <v>0</v>
      </c>
      <c r="I861" t="n">
        <v>0</v>
      </c>
      <c r="J861" t="n">
        <v>0</v>
      </c>
      <c r="K861" t="n">
        <v>0</v>
      </c>
      <c r="L861" t="n">
        <v>0</v>
      </c>
      <c r="M861" t="n">
        <v>0</v>
      </c>
      <c r="N861" t="n">
        <v>0</v>
      </c>
      <c r="O861" t="n">
        <v>0</v>
      </c>
      <c r="P861" t="n">
        <v>0</v>
      </c>
      <c r="Q861" t="n">
        <v>0</v>
      </c>
      <c r="R861" s="2" t="inlineStr"/>
    </row>
    <row r="862" ht="15" customHeight="1">
      <c r="A862" t="inlineStr">
        <is>
          <t>A 40823-2023</t>
        </is>
      </c>
      <c r="B862" s="1" t="n">
        <v>45171.77335648148</v>
      </c>
      <c r="C862" s="1" t="n">
        <v>46106</v>
      </c>
      <c r="D862" t="inlineStr">
        <is>
          <t>KALMAR LÄN</t>
        </is>
      </c>
      <c r="E862" t="inlineStr">
        <is>
          <t>VIMMERBY</t>
        </is>
      </c>
      <c r="G862" t="n">
        <v>2.7</v>
      </c>
      <c r="H862" t="n">
        <v>0</v>
      </c>
      <c r="I862" t="n">
        <v>0</v>
      </c>
      <c r="J862" t="n">
        <v>0</v>
      </c>
      <c r="K862" t="n">
        <v>0</v>
      </c>
      <c r="L862" t="n">
        <v>0</v>
      </c>
      <c r="M862" t="n">
        <v>0</v>
      </c>
      <c r="N862" t="n">
        <v>0</v>
      </c>
      <c r="O862" t="n">
        <v>0</v>
      </c>
      <c r="P862" t="n">
        <v>0</v>
      </c>
      <c r="Q862" t="n">
        <v>0</v>
      </c>
      <c r="R862" s="2" t="inlineStr"/>
    </row>
    <row r="863" ht="15" customHeight="1">
      <c r="A863" t="inlineStr">
        <is>
          <t>A 6218-2025</t>
        </is>
      </c>
      <c r="B863" s="1" t="n">
        <v>45698.53336805556</v>
      </c>
      <c r="C863" s="1" t="n">
        <v>46106</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30920-2023</t>
        </is>
      </c>
      <c r="B864" s="1" t="n">
        <v>45113.43921296296</v>
      </c>
      <c r="C864" s="1" t="n">
        <v>46106</v>
      </c>
      <c r="D864" t="inlineStr">
        <is>
          <t>KALMAR LÄN</t>
        </is>
      </c>
      <c r="E864" t="inlineStr">
        <is>
          <t>VIMMERBY</t>
        </is>
      </c>
      <c r="G864" t="n">
        <v>3.1</v>
      </c>
      <c r="H864" t="n">
        <v>0</v>
      </c>
      <c r="I864" t="n">
        <v>0</v>
      </c>
      <c r="J864" t="n">
        <v>0</v>
      </c>
      <c r="K864" t="n">
        <v>0</v>
      </c>
      <c r="L864" t="n">
        <v>0</v>
      </c>
      <c r="M864" t="n">
        <v>0</v>
      </c>
      <c r="N864" t="n">
        <v>0</v>
      </c>
      <c r="O864" t="n">
        <v>0</v>
      </c>
      <c r="P864" t="n">
        <v>0</v>
      </c>
      <c r="Q864" t="n">
        <v>0</v>
      </c>
      <c r="R864" s="2" t="inlineStr"/>
    </row>
    <row r="865" ht="15" customHeight="1">
      <c r="A865" t="inlineStr">
        <is>
          <t>A 6857-2023</t>
        </is>
      </c>
      <c r="B865" s="1" t="n">
        <v>44967.45122685185</v>
      </c>
      <c r="C865" s="1" t="n">
        <v>46106</v>
      </c>
      <c r="D865" t="inlineStr">
        <is>
          <t>KALMAR LÄN</t>
        </is>
      </c>
      <c r="E865" t="inlineStr">
        <is>
          <t>VIMMERBY</t>
        </is>
      </c>
      <c r="G865" t="n">
        <v>2.1</v>
      </c>
      <c r="H865" t="n">
        <v>0</v>
      </c>
      <c r="I865" t="n">
        <v>0</v>
      </c>
      <c r="J865" t="n">
        <v>0</v>
      </c>
      <c r="K865" t="n">
        <v>0</v>
      </c>
      <c r="L865" t="n">
        <v>0</v>
      </c>
      <c r="M865" t="n">
        <v>0</v>
      </c>
      <c r="N865" t="n">
        <v>0</v>
      </c>
      <c r="O865" t="n">
        <v>0</v>
      </c>
      <c r="P865" t="n">
        <v>0</v>
      </c>
      <c r="Q865" t="n">
        <v>0</v>
      </c>
      <c r="R865" s="2" t="inlineStr"/>
    </row>
    <row r="866" ht="15" customHeight="1">
      <c r="A866" t="inlineStr">
        <is>
          <t>A 5792-2023</t>
        </is>
      </c>
      <c r="B866" s="1" t="n">
        <v>44963.44769675926</v>
      </c>
      <c r="C866" s="1" t="n">
        <v>46106</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10303-2025</t>
        </is>
      </c>
      <c r="B867" s="1" t="n">
        <v>45720.44217592593</v>
      </c>
      <c r="C867" s="1" t="n">
        <v>46106</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60110-2022</t>
        </is>
      </c>
      <c r="B868" s="1" t="n">
        <v>44909</v>
      </c>
      <c r="C868" s="1" t="n">
        <v>46106</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15394-2025</t>
        </is>
      </c>
      <c r="B869" s="1" t="n">
        <v>45747.43196759259</v>
      </c>
      <c r="C869" s="1" t="n">
        <v>46106</v>
      </c>
      <c r="D869" t="inlineStr">
        <is>
          <t>KALMAR LÄN</t>
        </is>
      </c>
      <c r="E869" t="inlineStr">
        <is>
          <t>VIMMERBY</t>
        </is>
      </c>
      <c r="G869" t="n">
        <v>0.8</v>
      </c>
      <c r="H869" t="n">
        <v>0</v>
      </c>
      <c r="I869" t="n">
        <v>0</v>
      </c>
      <c r="J869" t="n">
        <v>0</v>
      </c>
      <c r="K869" t="n">
        <v>0</v>
      </c>
      <c r="L869" t="n">
        <v>0</v>
      </c>
      <c r="M869" t="n">
        <v>0</v>
      </c>
      <c r="N869" t="n">
        <v>0</v>
      </c>
      <c r="O869" t="n">
        <v>0</v>
      </c>
      <c r="P869" t="n">
        <v>0</v>
      </c>
      <c r="Q869" t="n">
        <v>0</v>
      </c>
      <c r="R869" s="2" t="inlineStr"/>
    </row>
    <row r="870" ht="15" customHeight="1">
      <c r="A870" t="inlineStr">
        <is>
          <t>A 15388-2025</t>
        </is>
      </c>
      <c r="B870" s="1" t="n">
        <v>45747.42633101852</v>
      </c>
      <c r="C870" s="1" t="n">
        <v>46106</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15391-2025</t>
        </is>
      </c>
      <c r="B871" s="1" t="n">
        <v>45747.42958333333</v>
      </c>
      <c r="C871" s="1" t="n">
        <v>46106</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row r="872" ht="15" customHeight="1">
      <c r="A872" t="inlineStr">
        <is>
          <t>A 6474-2025</t>
        </is>
      </c>
      <c r="B872" s="1" t="n">
        <v>45699.60055555555</v>
      </c>
      <c r="C872" s="1" t="n">
        <v>46106</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32919-2022</t>
        </is>
      </c>
      <c r="B873" s="1" t="n">
        <v>44784.62724537037</v>
      </c>
      <c r="C873" s="1" t="n">
        <v>46106</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56659-2023</t>
        </is>
      </c>
      <c r="B874" s="1" t="n">
        <v>45243.84869212963</v>
      </c>
      <c r="C874" s="1" t="n">
        <v>46106</v>
      </c>
      <c r="D874" t="inlineStr">
        <is>
          <t>KALMAR LÄN</t>
        </is>
      </c>
      <c r="E874" t="inlineStr">
        <is>
          <t>VIMMERBY</t>
        </is>
      </c>
      <c r="G874" t="n">
        <v>0.6</v>
      </c>
      <c r="H874" t="n">
        <v>0</v>
      </c>
      <c r="I874" t="n">
        <v>0</v>
      </c>
      <c r="J874" t="n">
        <v>0</v>
      </c>
      <c r="K874" t="n">
        <v>0</v>
      </c>
      <c r="L874" t="n">
        <v>0</v>
      </c>
      <c r="M874" t="n">
        <v>0</v>
      </c>
      <c r="N874" t="n">
        <v>0</v>
      </c>
      <c r="O874" t="n">
        <v>0</v>
      </c>
      <c r="P874" t="n">
        <v>0</v>
      </c>
      <c r="Q874" t="n">
        <v>0</v>
      </c>
      <c r="R874" s="2" t="inlineStr"/>
    </row>
    <row r="875" ht="15" customHeight="1">
      <c r="A875" t="inlineStr">
        <is>
          <t>A 13015-2022</t>
        </is>
      </c>
      <c r="B875" s="1" t="n">
        <v>44643</v>
      </c>
      <c r="C875" s="1" t="n">
        <v>46106</v>
      </c>
      <c r="D875" t="inlineStr">
        <is>
          <t>KALMAR LÄN</t>
        </is>
      </c>
      <c r="E875" t="inlineStr">
        <is>
          <t>VIMMERBY</t>
        </is>
      </c>
      <c r="G875" t="n">
        <v>2.4</v>
      </c>
      <c r="H875" t="n">
        <v>0</v>
      </c>
      <c r="I875" t="n">
        <v>0</v>
      </c>
      <c r="J875" t="n">
        <v>0</v>
      </c>
      <c r="K875" t="n">
        <v>0</v>
      </c>
      <c r="L875" t="n">
        <v>0</v>
      </c>
      <c r="M875" t="n">
        <v>0</v>
      </c>
      <c r="N875" t="n">
        <v>0</v>
      </c>
      <c r="O875" t="n">
        <v>0</v>
      </c>
      <c r="P875" t="n">
        <v>0</v>
      </c>
      <c r="Q875" t="n">
        <v>0</v>
      </c>
      <c r="R875" s="2" t="inlineStr"/>
    </row>
    <row r="876" ht="15" customHeight="1">
      <c r="A876" t="inlineStr">
        <is>
          <t>A 17968-2025</t>
        </is>
      </c>
      <c r="B876" s="1" t="n">
        <v>45761.35990740741</v>
      </c>
      <c r="C876" s="1" t="n">
        <v>46106</v>
      </c>
      <c r="D876" t="inlineStr">
        <is>
          <t>KALMAR LÄN</t>
        </is>
      </c>
      <c r="E876" t="inlineStr">
        <is>
          <t>VIMMERBY</t>
        </is>
      </c>
      <c r="G876" t="n">
        <v>3.3</v>
      </c>
      <c r="H876" t="n">
        <v>0</v>
      </c>
      <c r="I876" t="n">
        <v>0</v>
      </c>
      <c r="J876" t="n">
        <v>0</v>
      </c>
      <c r="K876" t="n">
        <v>0</v>
      </c>
      <c r="L876" t="n">
        <v>0</v>
      </c>
      <c r="M876" t="n">
        <v>0</v>
      </c>
      <c r="N876" t="n">
        <v>0</v>
      </c>
      <c r="O876" t="n">
        <v>0</v>
      </c>
      <c r="P876" t="n">
        <v>0</v>
      </c>
      <c r="Q876" t="n">
        <v>0</v>
      </c>
      <c r="R876" s="2" t="inlineStr"/>
    </row>
    <row r="877" ht="15" customHeight="1">
      <c r="A877" t="inlineStr">
        <is>
          <t>A 6028-2023</t>
        </is>
      </c>
      <c r="B877" s="1" t="n">
        <v>44964.44356481481</v>
      </c>
      <c r="C877" s="1" t="n">
        <v>46106</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55436-2023</t>
        </is>
      </c>
      <c r="B878" s="1" t="n">
        <v>45238.4328587963</v>
      </c>
      <c r="C878" s="1" t="n">
        <v>46106</v>
      </c>
      <c r="D878" t="inlineStr">
        <is>
          <t>KALMAR LÄN</t>
        </is>
      </c>
      <c r="E878" t="inlineStr">
        <is>
          <t>VIMMERBY</t>
        </is>
      </c>
      <c r="G878" t="n">
        <v>5.6</v>
      </c>
      <c r="H878" t="n">
        <v>0</v>
      </c>
      <c r="I878" t="n">
        <v>0</v>
      </c>
      <c r="J878" t="n">
        <v>0</v>
      </c>
      <c r="K878" t="n">
        <v>0</v>
      </c>
      <c r="L878" t="n">
        <v>0</v>
      </c>
      <c r="M878" t="n">
        <v>0</v>
      </c>
      <c r="N878" t="n">
        <v>0</v>
      </c>
      <c r="O878" t="n">
        <v>0</v>
      </c>
      <c r="P878" t="n">
        <v>0</v>
      </c>
      <c r="Q878" t="n">
        <v>0</v>
      </c>
      <c r="R878" s="2" t="inlineStr"/>
    </row>
    <row r="879" ht="15" customHeight="1">
      <c r="A879" t="inlineStr">
        <is>
          <t>A 56582-2022</t>
        </is>
      </c>
      <c r="B879" s="1" t="n">
        <v>44893</v>
      </c>
      <c r="C879" s="1" t="n">
        <v>46106</v>
      </c>
      <c r="D879" t="inlineStr">
        <is>
          <t>KALMAR LÄN</t>
        </is>
      </c>
      <c r="E879" t="inlineStr">
        <is>
          <t>VIMMERBY</t>
        </is>
      </c>
      <c r="G879" t="n">
        <v>2.2</v>
      </c>
      <c r="H879" t="n">
        <v>0</v>
      </c>
      <c r="I879" t="n">
        <v>0</v>
      </c>
      <c r="J879" t="n">
        <v>0</v>
      </c>
      <c r="K879" t="n">
        <v>0</v>
      </c>
      <c r="L879" t="n">
        <v>0</v>
      </c>
      <c r="M879" t="n">
        <v>0</v>
      </c>
      <c r="N879" t="n">
        <v>0</v>
      </c>
      <c r="O879" t="n">
        <v>0</v>
      </c>
      <c r="P879" t="n">
        <v>0</v>
      </c>
      <c r="Q879" t="n">
        <v>0</v>
      </c>
      <c r="R879" s="2" t="inlineStr"/>
    </row>
    <row r="880" ht="15" customHeight="1">
      <c r="A880" t="inlineStr">
        <is>
          <t>A 20-2025</t>
        </is>
      </c>
      <c r="B880" s="1" t="n">
        <v>45658.80232638889</v>
      </c>
      <c r="C880" s="1" t="n">
        <v>46106</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23-2025</t>
        </is>
      </c>
      <c r="B881" s="1" t="n">
        <v>45658.80827546296</v>
      </c>
      <c r="C881" s="1" t="n">
        <v>46106</v>
      </c>
      <c r="D881" t="inlineStr">
        <is>
          <t>KALMAR LÄN</t>
        </is>
      </c>
      <c r="E881" t="inlineStr">
        <is>
          <t>VIMMERBY</t>
        </is>
      </c>
      <c r="G881" t="n">
        <v>1.8</v>
      </c>
      <c r="H881" t="n">
        <v>0</v>
      </c>
      <c r="I881" t="n">
        <v>0</v>
      </c>
      <c r="J881" t="n">
        <v>0</v>
      </c>
      <c r="K881" t="n">
        <v>0</v>
      </c>
      <c r="L881" t="n">
        <v>0</v>
      </c>
      <c r="M881" t="n">
        <v>0</v>
      </c>
      <c r="N881" t="n">
        <v>0</v>
      </c>
      <c r="O881" t="n">
        <v>0</v>
      </c>
      <c r="P881" t="n">
        <v>0</v>
      </c>
      <c r="Q881" t="n">
        <v>0</v>
      </c>
      <c r="R881" s="2" t="inlineStr"/>
    </row>
    <row r="882" ht="15" customHeight="1">
      <c r="A882" t="inlineStr">
        <is>
          <t>A 43962-2024</t>
        </is>
      </c>
      <c r="B882" s="1" t="n">
        <v>45572.48293981481</v>
      </c>
      <c r="C882" s="1" t="n">
        <v>46106</v>
      </c>
      <c r="D882" t="inlineStr">
        <is>
          <t>KALMAR LÄN</t>
        </is>
      </c>
      <c r="E882" t="inlineStr">
        <is>
          <t>VIMMERBY</t>
        </is>
      </c>
      <c r="G882" t="n">
        <v>0.6</v>
      </c>
      <c r="H882" t="n">
        <v>0</v>
      </c>
      <c r="I882" t="n">
        <v>0</v>
      </c>
      <c r="J882" t="n">
        <v>0</v>
      </c>
      <c r="K882" t="n">
        <v>0</v>
      </c>
      <c r="L882" t="n">
        <v>0</v>
      </c>
      <c r="M882" t="n">
        <v>0</v>
      </c>
      <c r="N882" t="n">
        <v>0</v>
      </c>
      <c r="O882" t="n">
        <v>0</v>
      </c>
      <c r="P882" t="n">
        <v>0</v>
      </c>
      <c r="Q882" t="n">
        <v>0</v>
      </c>
      <c r="R882" s="2" t="inlineStr"/>
    </row>
    <row r="883" ht="15" customHeight="1">
      <c r="A883" t="inlineStr">
        <is>
          <t>A 35713-2023</t>
        </is>
      </c>
      <c r="B883" s="1" t="n">
        <v>45147</v>
      </c>
      <c r="C883" s="1" t="n">
        <v>46106</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40147-2023</t>
        </is>
      </c>
      <c r="B884" s="1" t="n">
        <v>45169</v>
      </c>
      <c r="C884" s="1" t="n">
        <v>46106</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50995-2022</t>
        </is>
      </c>
      <c r="B885" s="1" t="n">
        <v>44867</v>
      </c>
      <c r="C885" s="1" t="n">
        <v>46106</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27993-2022</t>
        </is>
      </c>
      <c r="B886" s="1" t="n">
        <v>44745.84396990741</v>
      </c>
      <c r="C886" s="1" t="n">
        <v>46106</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57555-2024</t>
        </is>
      </c>
      <c r="B887" s="1" t="n">
        <v>45630.45069444444</v>
      </c>
      <c r="C887" s="1" t="n">
        <v>46106</v>
      </c>
      <c r="D887" t="inlineStr">
        <is>
          <t>KALMAR LÄN</t>
        </is>
      </c>
      <c r="E887" t="inlineStr">
        <is>
          <t>VIMMERBY</t>
        </is>
      </c>
      <c r="G887" t="n">
        <v>1.1</v>
      </c>
      <c r="H887" t="n">
        <v>0</v>
      </c>
      <c r="I887" t="n">
        <v>0</v>
      </c>
      <c r="J887" t="n">
        <v>0</v>
      </c>
      <c r="K887" t="n">
        <v>0</v>
      </c>
      <c r="L887" t="n">
        <v>0</v>
      </c>
      <c r="M887" t="n">
        <v>0</v>
      </c>
      <c r="N887" t="n">
        <v>0</v>
      </c>
      <c r="O887" t="n">
        <v>0</v>
      </c>
      <c r="P887" t="n">
        <v>0</v>
      </c>
      <c r="Q887" t="n">
        <v>0</v>
      </c>
      <c r="R887" s="2" t="inlineStr"/>
    </row>
    <row r="888" ht="15" customHeight="1">
      <c r="A888" t="inlineStr">
        <is>
          <t>A 36014-2024</t>
        </is>
      </c>
      <c r="B888" s="1" t="n">
        <v>45533.56108796296</v>
      </c>
      <c r="C888" s="1" t="n">
        <v>46106</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36030-2024</t>
        </is>
      </c>
      <c r="B889" s="1" t="n">
        <v>45533.58302083334</v>
      </c>
      <c r="C889" s="1" t="n">
        <v>46106</v>
      </c>
      <c r="D889" t="inlineStr">
        <is>
          <t>KALMAR LÄN</t>
        </is>
      </c>
      <c r="E889" t="inlineStr">
        <is>
          <t>VIMMERBY</t>
        </is>
      </c>
      <c r="F889" t="inlineStr">
        <is>
          <t>Kommuner</t>
        </is>
      </c>
      <c r="G889" t="n">
        <v>4</v>
      </c>
      <c r="H889" t="n">
        <v>0</v>
      </c>
      <c r="I889" t="n">
        <v>0</v>
      </c>
      <c r="J889" t="n">
        <v>0</v>
      </c>
      <c r="K889" t="n">
        <v>0</v>
      </c>
      <c r="L889" t="n">
        <v>0</v>
      </c>
      <c r="M889" t="n">
        <v>0</v>
      </c>
      <c r="N889" t="n">
        <v>0</v>
      </c>
      <c r="O889" t="n">
        <v>0</v>
      </c>
      <c r="P889" t="n">
        <v>0</v>
      </c>
      <c r="Q889" t="n">
        <v>0</v>
      </c>
      <c r="R889" s="2" t="inlineStr"/>
    </row>
    <row r="890" ht="15" customHeight="1">
      <c r="A890" t="inlineStr">
        <is>
          <t>A 32865-2023</t>
        </is>
      </c>
      <c r="B890" s="1" t="n">
        <v>45124</v>
      </c>
      <c r="C890" s="1" t="n">
        <v>46106</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42918-2021</t>
        </is>
      </c>
      <c r="B891" s="1" t="n">
        <v>44431</v>
      </c>
      <c r="C891" s="1" t="n">
        <v>46106</v>
      </c>
      <c r="D891" t="inlineStr">
        <is>
          <t>KALMAR LÄN</t>
        </is>
      </c>
      <c r="E891" t="inlineStr">
        <is>
          <t>VIMMERBY</t>
        </is>
      </c>
      <c r="G891" t="n">
        <v>1.6</v>
      </c>
      <c r="H891" t="n">
        <v>0</v>
      </c>
      <c r="I891" t="n">
        <v>0</v>
      </c>
      <c r="J891" t="n">
        <v>0</v>
      </c>
      <c r="K891" t="n">
        <v>0</v>
      </c>
      <c r="L891" t="n">
        <v>0</v>
      </c>
      <c r="M891" t="n">
        <v>0</v>
      </c>
      <c r="N891" t="n">
        <v>0</v>
      </c>
      <c r="O891" t="n">
        <v>0</v>
      </c>
      <c r="P891" t="n">
        <v>0</v>
      </c>
      <c r="Q891" t="n">
        <v>0</v>
      </c>
      <c r="R891" s="2" t="inlineStr"/>
    </row>
    <row r="892" ht="15" customHeight="1">
      <c r="A892" t="inlineStr">
        <is>
          <t>A 22643-2023</t>
        </is>
      </c>
      <c r="B892" s="1" t="n">
        <v>45071</v>
      </c>
      <c r="C892" s="1" t="n">
        <v>46106</v>
      </c>
      <c r="D892" t="inlineStr">
        <is>
          <t>KALMAR LÄN</t>
        </is>
      </c>
      <c r="E892" t="inlineStr">
        <is>
          <t>VIMMERBY</t>
        </is>
      </c>
      <c r="G892" t="n">
        <v>3.9</v>
      </c>
      <c r="H892" t="n">
        <v>0</v>
      </c>
      <c r="I892" t="n">
        <v>0</v>
      </c>
      <c r="J892" t="n">
        <v>0</v>
      </c>
      <c r="K892" t="n">
        <v>0</v>
      </c>
      <c r="L892" t="n">
        <v>0</v>
      </c>
      <c r="M892" t="n">
        <v>0</v>
      </c>
      <c r="N892" t="n">
        <v>0</v>
      </c>
      <c r="O892" t="n">
        <v>0</v>
      </c>
      <c r="P892" t="n">
        <v>0</v>
      </c>
      <c r="Q892" t="n">
        <v>0</v>
      </c>
      <c r="R892" s="2" t="inlineStr"/>
    </row>
    <row r="893" ht="15" customHeight="1">
      <c r="A893" t="inlineStr">
        <is>
          <t>A 18669-2025</t>
        </is>
      </c>
      <c r="B893" s="1" t="n">
        <v>45763.59436342592</v>
      </c>
      <c r="C893" s="1" t="n">
        <v>46106</v>
      </c>
      <c r="D893" t="inlineStr">
        <is>
          <t>KALMAR LÄN</t>
        </is>
      </c>
      <c r="E893" t="inlineStr">
        <is>
          <t>VIMMERBY</t>
        </is>
      </c>
      <c r="G893" t="n">
        <v>2.7</v>
      </c>
      <c r="H893" t="n">
        <v>0</v>
      </c>
      <c r="I893" t="n">
        <v>0</v>
      </c>
      <c r="J893" t="n">
        <v>0</v>
      </c>
      <c r="K893" t="n">
        <v>0</v>
      </c>
      <c r="L893" t="n">
        <v>0</v>
      </c>
      <c r="M893" t="n">
        <v>0</v>
      </c>
      <c r="N893" t="n">
        <v>0</v>
      </c>
      <c r="O893" t="n">
        <v>0</v>
      </c>
      <c r="P893" t="n">
        <v>0</v>
      </c>
      <c r="Q893" t="n">
        <v>0</v>
      </c>
      <c r="R893" s="2" t="inlineStr"/>
    </row>
    <row r="894" ht="15" customHeight="1">
      <c r="A894" t="inlineStr">
        <is>
          <t>A 38780-2021</t>
        </is>
      </c>
      <c r="B894" s="1" t="n">
        <v>44410</v>
      </c>
      <c r="C894" s="1" t="n">
        <v>46106</v>
      </c>
      <c r="D894" t="inlineStr">
        <is>
          <t>KALMAR LÄN</t>
        </is>
      </c>
      <c r="E894" t="inlineStr">
        <is>
          <t>VIMMERBY</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29020-2024</t>
        </is>
      </c>
      <c r="B895" s="1" t="n">
        <v>45481.58048611111</v>
      </c>
      <c r="C895" s="1" t="n">
        <v>46106</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30406-2023</t>
        </is>
      </c>
      <c r="B896" s="1" t="n">
        <v>45111.48787037037</v>
      </c>
      <c r="C896" s="1" t="n">
        <v>46106</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13817-2024</t>
        </is>
      </c>
      <c r="B897" s="1" t="n">
        <v>45391.41976851852</v>
      </c>
      <c r="C897" s="1" t="n">
        <v>46106</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22399-2025</t>
        </is>
      </c>
      <c r="B898" s="1" t="n">
        <v>45786.52996527778</v>
      </c>
      <c r="C898" s="1" t="n">
        <v>46106</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22397-2025</t>
        </is>
      </c>
      <c r="B899" s="1" t="n">
        <v>45786.52878472222</v>
      </c>
      <c r="C899" s="1" t="n">
        <v>46106</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25582-2024</t>
        </is>
      </c>
      <c r="B900" s="1" t="n">
        <v>45463</v>
      </c>
      <c r="C900" s="1" t="n">
        <v>46106</v>
      </c>
      <c r="D900" t="inlineStr">
        <is>
          <t>KALMAR LÄN</t>
        </is>
      </c>
      <c r="E900" t="inlineStr">
        <is>
          <t>VIMMERBY</t>
        </is>
      </c>
      <c r="G900" t="n">
        <v>1.4</v>
      </c>
      <c r="H900" t="n">
        <v>0</v>
      </c>
      <c r="I900" t="n">
        <v>0</v>
      </c>
      <c r="J900" t="n">
        <v>0</v>
      </c>
      <c r="K900" t="n">
        <v>0</v>
      </c>
      <c r="L900" t="n">
        <v>0</v>
      </c>
      <c r="M900" t="n">
        <v>0</v>
      </c>
      <c r="N900" t="n">
        <v>0</v>
      </c>
      <c r="O900" t="n">
        <v>0</v>
      </c>
      <c r="P900" t="n">
        <v>0</v>
      </c>
      <c r="Q900" t="n">
        <v>0</v>
      </c>
      <c r="R900" s="2" t="inlineStr"/>
    </row>
    <row r="901" ht="15" customHeight="1">
      <c r="A901" t="inlineStr">
        <is>
          <t>A 57578-2024</t>
        </is>
      </c>
      <c r="B901" s="1" t="n">
        <v>45630.47564814815</v>
      </c>
      <c r="C901" s="1" t="n">
        <v>46106</v>
      </c>
      <c r="D901" t="inlineStr">
        <is>
          <t>KALMAR LÄN</t>
        </is>
      </c>
      <c r="E901" t="inlineStr">
        <is>
          <t>VIMMERBY</t>
        </is>
      </c>
      <c r="G901" t="n">
        <v>2.6</v>
      </c>
      <c r="H901" t="n">
        <v>0</v>
      </c>
      <c r="I901" t="n">
        <v>0</v>
      </c>
      <c r="J901" t="n">
        <v>0</v>
      </c>
      <c r="K901" t="n">
        <v>0</v>
      </c>
      <c r="L901" t="n">
        <v>0</v>
      </c>
      <c r="M901" t="n">
        <v>0</v>
      </c>
      <c r="N901" t="n">
        <v>0</v>
      </c>
      <c r="O901" t="n">
        <v>0</v>
      </c>
      <c r="P901" t="n">
        <v>0</v>
      </c>
      <c r="Q901" t="n">
        <v>0</v>
      </c>
      <c r="R901" s="2" t="inlineStr"/>
    </row>
    <row r="902" ht="15" customHeight="1">
      <c r="A902" t="inlineStr">
        <is>
          <t>A 6307-2025</t>
        </is>
      </c>
      <c r="B902" s="1" t="n">
        <v>45698.69016203703</v>
      </c>
      <c r="C902" s="1" t="n">
        <v>46106</v>
      </c>
      <c r="D902" t="inlineStr">
        <is>
          <t>KALMAR LÄN</t>
        </is>
      </c>
      <c r="E902" t="inlineStr">
        <is>
          <t>VIMMERBY</t>
        </is>
      </c>
      <c r="G902" t="n">
        <v>3</v>
      </c>
      <c r="H902" t="n">
        <v>0</v>
      </c>
      <c r="I902" t="n">
        <v>0</v>
      </c>
      <c r="J902" t="n">
        <v>0</v>
      </c>
      <c r="K902" t="n">
        <v>0</v>
      </c>
      <c r="L902" t="n">
        <v>0</v>
      </c>
      <c r="M902" t="n">
        <v>0</v>
      </c>
      <c r="N902" t="n">
        <v>0</v>
      </c>
      <c r="O902" t="n">
        <v>0</v>
      </c>
      <c r="P902" t="n">
        <v>0</v>
      </c>
      <c r="Q902" t="n">
        <v>0</v>
      </c>
      <c r="R902" s="2" t="inlineStr"/>
    </row>
    <row r="903" ht="15" customHeight="1">
      <c r="A903" t="inlineStr">
        <is>
          <t>A 11442-2025</t>
        </is>
      </c>
      <c r="B903" s="1" t="n">
        <v>45726.62721064815</v>
      </c>
      <c r="C903" s="1" t="n">
        <v>46106</v>
      </c>
      <c r="D903" t="inlineStr">
        <is>
          <t>KALMAR LÄN</t>
        </is>
      </c>
      <c r="E903" t="inlineStr">
        <is>
          <t>VIMMERBY</t>
        </is>
      </c>
      <c r="G903" t="n">
        <v>2.6</v>
      </c>
      <c r="H903" t="n">
        <v>0</v>
      </c>
      <c r="I903" t="n">
        <v>0</v>
      </c>
      <c r="J903" t="n">
        <v>0</v>
      </c>
      <c r="K903" t="n">
        <v>0</v>
      </c>
      <c r="L903" t="n">
        <v>0</v>
      </c>
      <c r="M903" t="n">
        <v>0</v>
      </c>
      <c r="N903" t="n">
        <v>0</v>
      </c>
      <c r="O903" t="n">
        <v>0</v>
      </c>
      <c r="P903" t="n">
        <v>0</v>
      </c>
      <c r="Q903" t="n">
        <v>0</v>
      </c>
      <c r="R903" s="2" t="inlineStr"/>
    </row>
    <row r="904" ht="15" customHeight="1">
      <c r="A904" t="inlineStr">
        <is>
          <t>A 23394-2025</t>
        </is>
      </c>
      <c r="B904" s="1" t="n">
        <v>45791.89865740741</v>
      </c>
      <c r="C904" s="1" t="n">
        <v>46106</v>
      </c>
      <c r="D904" t="inlineStr">
        <is>
          <t>KALMAR LÄN</t>
        </is>
      </c>
      <c r="E904" t="inlineStr">
        <is>
          <t>VIMMERBY</t>
        </is>
      </c>
      <c r="G904" t="n">
        <v>3.1</v>
      </c>
      <c r="H904" t="n">
        <v>0</v>
      </c>
      <c r="I904" t="n">
        <v>0</v>
      </c>
      <c r="J904" t="n">
        <v>0</v>
      </c>
      <c r="K904" t="n">
        <v>0</v>
      </c>
      <c r="L904" t="n">
        <v>0</v>
      </c>
      <c r="M904" t="n">
        <v>0</v>
      </c>
      <c r="N904" t="n">
        <v>0</v>
      </c>
      <c r="O904" t="n">
        <v>0</v>
      </c>
      <c r="P904" t="n">
        <v>0</v>
      </c>
      <c r="Q904" t="n">
        <v>0</v>
      </c>
      <c r="R904" s="2" t="inlineStr"/>
    </row>
    <row r="905" ht="15" customHeight="1">
      <c r="A905" t="inlineStr">
        <is>
          <t>A 23984-2025</t>
        </is>
      </c>
      <c r="B905" s="1" t="n">
        <v>45796</v>
      </c>
      <c r="C905" s="1" t="n">
        <v>46106</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35082-2024</t>
        </is>
      </c>
      <c r="B906" s="1" t="n">
        <v>45527.68784722222</v>
      </c>
      <c r="C906" s="1" t="n">
        <v>46106</v>
      </c>
      <c r="D906" t="inlineStr">
        <is>
          <t>KALMAR LÄN</t>
        </is>
      </c>
      <c r="E906" t="inlineStr">
        <is>
          <t>VIMMERBY</t>
        </is>
      </c>
      <c r="G906" t="n">
        <v>0.8</v>
      </c>
      <c r="H906" t="n">
        <v>0</v>
      </c>
      <c r="I906" t="n">
        <v>0</v>
      </c>
      <c r="J906" t="n">
        <v>0</v>
      </c>
      <c r="K906" t="n">
        <v>0</v>
      </c>
      <c r="L906" t="n">
        <v>0</v>
      </c>
      <c r="M906" t="n">
        <v>0</v>
      </c>
      <c r="N906" t="n">
        <v>0</v>
      </c>
      <c r="O906" t="n">
        <v>0</v>
      </c>
      <c r="P906" t="n">
        <v>0</v>
      </c>
      <c r="Q906" t="n">
        <v>0</v>
      </c>
      <c r="R906" s="2" t="inlineStr"/>
    </row>
    <row r="907" ht="15" customHeight="1">
      <c r="A907" t="inlineStr">
        <is>
          <t>A 51278-2024</t>
        </is>
      </c>
      <c r="B907" s="1" t="n">
        <v>45603.74959490741</v>
      </c>
      <c r="C907" s="1" t="n">
        <v>46106</v>
      </c>
      <c r="D907" t="inlineStr">
        <is>
          <t>KALMAR LÄN</t>
        </is>
      </c>
      <c r="E907" t="inlineStr">
        <is>
          <t>VIMMERBY</t>
        </is>
      </c>
      <c r="G907" t="n">
        <v>3.4</v>
      </c>
      <c r="H907" t="n">
        <v>0</v>
      </c>
      <c r="I907" t="n">
        <v>0</v>
      </c>
      <c r="J907" t="n">
        <v>0</v>
      </c>
      <c r="K907" t="n">
        <v>0</v>
      </c>
      <c r="L907" t="n">
        <v>0</v>
      </c>
      <c r="M907" t="n">
        <v>0</v>
      </c>
      <c r="N907" t="n">
        <v>0</v>
      </c>
      <c r="O907" t="n">
        <v>0</v>
      </c>
      <c r="P907" t="n">
        <v>0</v>
      </c>
      <c r="Q907" t="n">
        <v>0</v>
      </c>
      <c r="R907" s="2" t="inlineStr"/>
    </row>
    <row r="908" ht="15" customHeight="1">
      <c r="A908" t="inlineStr">
        <is>
          <t>A 9456-2025</t>
        </is>
      </c>
      <c r="B908" s="1" t="n">
        <v>45715.44159722222</v>
      </c>
      <c r="C908" s="1" t="n">
        <v>46106</v>
      </c>
      <c r="D908" t="inlineStr">
        <is>
          <t>KALMAR LÄN</t>
        </is>
      </c>
      <c r="E908" t="inlineStr">
        <is>
          <t>VIMMERBY</t>
        </is>
      </c>
      <c r="G908" t="n">
        <v>1.5</v>
      </c>
      <c r="H908" t="n">
        <v>0</v>
      </c>
      <c r="I908" t="n">
        <v>0</v>
      </c>
      <c r="J908" t="n">
        <v>0</v>
      </c>
      <c r="K908" t="n">
        <v>0</v>
      </c>
      <c r="L908" t="n">
        <v>0</v>
      </c>
      <c r="M908" t="n">
        <v>0</v>
      </c>
      <c r="N908" t="n">
        <v>0</v>
      </c>
      <c r="O908" t="n">
        <v>0</v>
      </c>
      <c r="P908" t="n">
        <v>0</v>
      </c>
      <c r="Q908" t="n">
        <v>0</v>
      </c>
      <c r="R908" s="2" t="inlineStr"/>
    </row>
    <row r="909" ht="15" customHeight="1">
      <c r="A909" t="inlineStr">
        <is>
          <t>A 11111-2023</t>
        </is>
      </c>
      <c r="B909" s="1" t="n">
        <v>44992.4255787037</v>
      </c>
      <c r="C909" s="1" t="n">
        <v>46106</v>
      </c>
      <c r="D909" t="inlineStr">
        <is>
          <t>KALMAR LÄN</t>
        </is>
      </c>
      <c r="E909" t="inlineStr">
        <is>
          <t>VIMMERBY</t>
        </is>
      </c>
      <c r="G909" t="n">
        <v>0.8</v>
      </c>
      <c r="H909" t="n">
        <v>0</v>
      </c>
      <c r="I909" t="n">
        <v>0</v>
      </c>
      <c r="J909" t="n">
        <v>0</v>
      </c>
      <c r="K909" t="n">
        <v>0</v>
      </c>
      <c r="L909" t="n">
        <v>0</v>
      </c>
      <c r="M909" t="n">
        <v>0</v>
      </c>
      <c r="N909" t="n">
        <v>0</v>
      </c>
      <c r="O909" t="n">
        <v>0</v>
      </c>
      <c r="P909" t="n">
        <v>0</v>
      </c>
      <c r="Q909" t="n">
        <v>0</v>
      </c>
      <c r="R909" s="2" t="inlineStr"/>
    </row>
    <row r="910" ht="15" customHeight="1">
      <c r="A910" t="inlineStr">
        <is>
          <t>A 44582-2024</t>
        </is>
      </c>
      <c r="B910" s="1" t="n">
        <v>45574.49298611111</v>
      </c>
      <c r="C910" s="1" t="n">
        <v>46106</v>
      </c>
      <c r="D910" t="inlineStr">
        <is>
          <t>KALMAR LÄN</t>
        </is>
      </c>
      <c r="E910" t="inlineStr">
        <is>
          <t>VIMMERBY</t>
        </is>
      </c>
      <c r="G910" t="n">
        <v>1.1</v>
      </c>
      <c r="H910" t="n">
        <v>0</v>
      </c>
      <c r="I910" t="n">
        <v>0</v>
      </c>
      <c r="J910" t="n">
        <v>0</v>
      </c>
      <c r="K910" t="n">
        <v>0</v>
      </c>
      <c r="L910" t="n">
        <v>0</v>
      </c>
      <c r="M910" t="n">
        <v>0</v>
      </c>
      <c r="N910" t="n">
        <v>0</v>
      </c>
      <c r="O910" t="n">
        <v>0</v>
      </c>
      <c r="P910" t="n">
        <v>0</v>
      </c>
      <c r="Q910" t="n">
        <v>0</v>
      </c>
      <c r="R910" s="2" t="inlineStr"/>
    </row>
    <row r="911" ht="15" customHeight="1">
      <c r="A911" t="inlineStr">
        <is>
          <t>A 15494-2024</t>
        </is>
      </c>
      <c r="B911" s="1" t="n">
        <v>45401.53033564815</v>
      </c>
      <c r="C911" s="1" t="n">
        <v>46106</v>
      </c>
      <c r="D911" t="inlineStr">
        <is>
          <t>KALMAR LÄN</t>
        </is>
      </c>
      <c r="E911" t="inlineStr">
        <is>
          <t>VIMMERBY</t>
        </is>
      </c>
      <c r="G911" t="n">
        <v>3.2</v>
      </c>
      <c r="H911" t="n">
        <v>0</v>
      </c>
      <c r="I911" t="n">
        <v>0</v>
      </c>
      <c r="J911" t="n">
        <v>0</v>
      </c>
      <c r="K911" t="n">
        <v>0</v>
      </c>
      <c r="L911" t="n">
        <v>0</v>
      </c>
      <c r="M911" t="n">
        <v>0</v>
      </c>
      <c r="N911" t="n">
        <v>0</v>
      </c>
      <c r="O911" t="n">
        <v>0</v>
      </c>
      <c r="P911" t="n">
        <v>0</v>
      </c>
      <c r="Q911" t="n">
        <v>0</v>
      </c>
      <c r="R911" s="2" t="inlineStr"/>
    </row>
    <row r="912" ht="15" customHeight="1">
      <c r="A912" t="inlineStr">
        <is>
          <t>A 58724-2024</t>
        </is>
      </c>
      <c r="B912" s="1" t="n">
        <v>45635.66409722222</v>
      </c>
      <c r="C912" s="1" t="n">
        <v>46106</v>
      </c>
      <c r="D912" t="inlineStr">
        <is>
          <t>KALMAR LÄN</t>
        </is>
      </c>
      <c r="E912" t="inlineStr">
        <is>
          <t>VIMMERBY</t>
        </is>
      </c>
      <c r="G912" t="n">
        <v>1</v>
      </c>
      <c r="H912" t="n">
        <v>0</v>
      </c>
      <c r="I912" t="n">
        <v>0</v>
      </c>
      <c r="J912" t="n">
        <v>0</v>
      </c>
      <c r="K912" t="n">
        <v>0</v>
      </c>
      <c r="L912" t="n">
        <v>0</v>
      </c>
      <c r="M912" t="n">
        <v>0</v>
      </c>
      <c r="N912" t="n">
        <v>0</v>
      </c>
      <c r="O912" t="n">
        <v>0</v>
      </c>
      <c r="P912" t="n">
        <v>0</v>
      </c>
      <c r="Q912" t="n">
        <v>0</v>
      </c>
      <c r="R912" s="2" t="inlineStr"/>
    </row>
    <row r="913" ht="15" customHeight="1">
      <c r="A913" t="inlineStr">
        <is>
          <t>A 25792-2025</t>
        </is>
      </c>
      <c r="B913" s="1" t="n">
        <v>45804.39141203704</v>
      </c>
      <c r="C913" s="1" t="n">
        <v>46106</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26039-2025</t>
        </is>
      </c>
      <c r="B914" s="1" t="n">
        <v>45804.6953587963</v>
      </c>
      <c r="C914" s="1" t="n">
        <v>46106</v>
      </c>
      <c r="D914" t="inlineStr">
        <is>
          <t>KALMAR LÄN</t>
        </is>
      </c>
      <c r="E914" t="inlineStr">
        <is>
          <t>VIMMERBY</t>
        </is>
      </c>
      <c r="F914" t="inlineStr">
        <is>
          <t>Sveaskog</t>
        </is>
      </c>
      <c r="G914" t="n">
        <v>5.2</v>
      </c>
      <c r="H914" t="n">
        <v>0</v>
      </c>
      <c r="I914" t="n">
        <v>0</v>
      </c>
      <c r="J914" t="n">
        <v>0</v>
      </c>
      <c r="K914" t="n">
        <v>0</v>
      </c>
      <c r="L914" t="n">
        <v>0</v>
      </c>
      <c r="M914" t="n">
        <v>0</v>
      </c>
      <c r="N914" t="n">
        <v>0</v>
      </c>
      <c r="O914" t="n">
        <v>0</v>
      </c>
      <c r="P914" t="n">
        <v>0</v>
      </c>
      <c r="Q914" t="n">
        <v>0</v>
      </c>
      <c r="R914" s="2" t="inlineStr"/>
    </row>
    <row r="915" ht="15" customHeight="1">
      <c r="A915" t="inlineStr">
        <is>
          <t>A 26046-2025</t>
        </is>
      </c>
      <c r="B915" s="1" t="n">
        <v>45804.708125</v>
      </c>
      <c r="C915" s="1" t="n">
        <v>46106</v>
      </c>
      <c r="D915" t="inlineStr">
        <is>
          <t>KALMAR LÄN</t>
        </is>
      </c>
      <c r="E915" t="inlineStr">
        <is>
          <t>VIMMERBY</t>
        </is>
      </c>
      <c r="F915" t="inlineStr">
        <is>
          <t>Sveaskog</t>
        </is>
      </c>
      <c r="G915" t="n">
        <v>5.1</v>
      </c>
      <c r="H915" t="n">
        <v>0</v>
      </c>
      <c r="I915" t="n">
        <v>0</v>
      </c>
      <c r="J915" t="n">
        <v>0</v>
      </c>
      <c r="K915" t="n">
        <v>0</v>
      </c>
      <c r="L915" t="n">
        <v>0</v>
      </c>
      <c r="M915" t="n">
        <v>0</v>
      </c>
      <c r="N915" t="n">
        <v>0</v>
      </c>
      <c r="O915" t="n">
        <v>0</v>
      </c>
      <c r="P915" t="n">
        <v>0</v>
      </c>
      <c r="Q915" t="n">
        <v>0</v>
      </c>
      <c r="R915" s="2" t="inlineStr"/>
    </row>
    <row r="916" ht="15" customHeight="1">
      <c r="A916" t="inlineStr">
        <is>
          <t>A 26124-2025</t>
        </is>
      </c>
      <c r="B916" s="1" t="n">
        <v>45805.39247685186</v>
      </c>
      <c r="C916" s="1" t="n">
        <v>46106</v>
      </c>
      <c r="D916" t="inlineStr">
        <is>
          <t>KALMAR LÄN</t>
        </is>
      </c>
      <c r="E916" t="inlineStr">
        <is>
          <t>VIMMERBY</t>
        </is>
      </c>
      <c r="G916" t="n">
        <v>6.6</v>
      </c>
      <c r="H916" t="n">
        <v>0</v>
      </c>
      <c r="I916" t="n">
        <v>0</v>
      </c>
      <c r="J916" t="n">
        <v>0</v>
      </c>
      <c r="K916" t="n">
        <v>0</v>
      </c>
      <c r="L916" t="n">
        <v>0</v>
      </c>
      <c r="M916" t="n">
        <v>0</v>
      </c>
      <c r="N916" t="n">
        <v>0</v>
      </c>
      <c r="O916" t="n">
        <v>0</v>
      </c>
      <c r="P916" t="n">
        <v>0</v>
      </c>
      <c r="Q916" t="n">
        <v>0</v>
      </c>
      <c r="R916" s="2" t="inlineStr"/>
    </row>
    <row r="917" ht="15" customHeight="1">
      <c r="A917" t="inlineStr">
        <is>
          <t>A 26207-2025</t>
        </is>
      </c>
      <c r="B917" s="1" t="n">
        <v>45805.52983796296</v>
      </c>
      <c r="C917" s="1" t="n">
        <v>46106</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25830-2025</t>
        </is>
      </c>
      <c r="B918" s="1" t="n">
        <v>45804.44519675926</v>
      </c>
      <c r="C918" s="1" t="n">
        <v>46106</v>
      </c>
      <c r="D918" t="inlineStr">
        <is>
          <t>KALMAR LÄN</t>
        </is>
      </c>
      <c r="E918" t="inlineStr">
        <is>
          <t>VIMMERBY</t>
        </is>
      </c>
      <c r="G918" t="n">
        <v>4.9</v>
      </c>
      <c r="H918" t="n">
        <v>0</v>
      </c>
      <c r="I918" t="n">
        <v>0</v>
      </c>
      <c r="J918" t="n">
        <v>0</v>
      </c>
      <c r="K918" t="n">
        <v>0</v>
      </c>
      <c r="L918" t="n">
        <v>0</v>
      </c>
      <c r="M918" t="n">
        <v>0</v>
      </c>
      <c r="N918" t="n">
        <v>0</v>
      </c>
      <c r="O918" t="n">
        <v>0</v>
      </c>
      <c r="P918" t="n">
        <v>0</v>
      </c>
      <c r="Q918" t="n">
        <v>0</v>
      </c>
      <c r="R918" s="2" t="inlineStr"/>
    </row>
    <row r="919">
      <c r="A919" t="inlineStr">
        <is>
          <t>A 26254-2025</t>
        </is>
      </c>
      <c r="B919" s="1" t="n">
        <v>45805</v>
      </c>
      <c r="C919" s="1" t="n">
        <v>46106</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2026-03-25T11:29:44Z</dcterms:created>
  <dcterms:modified xmlns:dcterms="http://purl.org/dc/terms/" xmlns:xsi="http://www.w3.org/2001/XMLSchema-instance" xsi:type="dcterms:W3CDTF">2026-03-25T11:29:45Z</dcterms:modified>
</cp:coreProperties>
</file>