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46090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46090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46090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46090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46090</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46090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46090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46090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46090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46090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46090</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46090</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55604-2025</t>
        </is>
      </c>
      <c r="B15" s="1" t="n">
        <v>45971</v>
      </c>
      <c r="C15" s="1" t="n">
        <v>46090</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58997-2025</t>
        </is>
      </c>
      <c r="B16" s="1" t="n">
        <v>45987</v>
      </c>
      <c r="C16" s="1" t="n">
        <v>46090</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32645-2023</t>
        </is>
      </c>
      <c r="B17" s="1" t="n">
        <v>45121.60543981481</v>
      </c>
      <c r="C17" s="1" t="n">
        <v>46090</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37901-2022</t>
        </is>
      </c>
      <c r="B18" s="1" t="n">
        <v>44811</v>
      </c>
      <c r="C18" s="1" t="n">
        <v>46090</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46090</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46090</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46090</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46090</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46090</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46090</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46090</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46090</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46090</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46090</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46090</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46090</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46090</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46090</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46090</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46090</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46090</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46090</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61860-2024</t>
        </is>
      </c>
      <c r="B37" s="1" t="n">
        <v>45649</v>
      </c>
      <c r="C37" s="1" t="n">
        <v>46090</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52301-2023</t>
        </is>
      </c>
      <c r="B38" s="1" t="n">
        <v>45224</v>
      </c>
      <c r="C38" s="1" t="n">
        <v>46090</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1201-2025</t>
        </is>
      </c>
      <c r="B39" s="1" t="n">
        <v>45667</v>
      </c>
      <c r="C39" s="1" t="n">
        <v>46090</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46090</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46090</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46090</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23602-2023</t>
        </is>
      </c>
      <c r="B43" s="1" t="n">
        <v>45077</v>
      </c>
      <c r="C43" s="1" t="n">
        <v>46090</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53404-2025</t>
        </is>
      </c>
      <c r="B44" s="1" t="n">
        <v>45959.57126157408</v>
      </c>
      <c r="C44" s="1" t="n">
        <v>46090</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46090</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55384-2025</t>
        </is>
      </c>
      <c r="B46" s="1" t="n">
        <v>45971.43178240741</v>
      </c>
      <c r="C46" s="1" t="n">
        <v>46090</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57062-2025</t>
        </is>
      </c>
      <c r="B47" s="1" t="n">
        <v>45979.37598379629</v>
      </c>
      <c r="C47" s="1" t="n">
        <v>46090</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32985-2023</t>
        </is>
      </c>
      <c r="B48" s="1" t="n">
        <v>45125</v>
      </c>
      <c r="C48" s="1" t="n">
        <v>46090</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15122-2024</t>
        </is>
      </c>
      <c r="B49" s="1" t="n">
        <v>45399.71412037037</v>
      </c>
      <c r="C49" s="1" t="n">
        <v>46090</v>
      </c>
      <c r="D49" t="inlineStr">
        <is>
          <t>KALMAR LÄN</t>
        </is>
      </c>
      <c r="E49" t="inlineStr">
        <is>
          <t>VIMMERBY</t>
        </is>
      </c>
      <c r="G49" t="n">
        <v>1.7</v>
      </c>
      <c r="H49" t="n">
        <v>0</v>
      </c>
      <c r="I49" t="n">
        <v>0</v>
      </c>
      <c r="J49" t="n">
        <v>0</v>
      </c>
      <c r="K49" t="n">
        <v>1</v>
      </c>
      <c r="L49" t="n">
        <v>0</v>
      </c>
      <c r="M49" t="n">
        <v>0</v>
      </c>
      <c r="N49" t="n">
        <v>0</v>
      </c>
      <c r="O49" t="n">
        <v>1</v>
      </c>
      <c r="P49" t="n">
        <v>1</v>
      </c>
      <c r="Q49" t="n">
        <v>1</v>
      </c>
      <c r="R49" s="2" t="inlineStr">
        <is>
          <t>Sågfibbla</t>
        </is>
      </c>
      <c r="S49">
        <f>HYPERLINK("https://klasma.github.io/Logging_0884/artfynd/A 15122-2024 artfynd.xlsx", "A 15122-2024")</f>
        <v/>
      </c>
      <c r="T49">
        <f>HYPERLINK("https://klasma.github.io/Logging_0884/kartor/A 15122-2024 karta.png", "A 15122-2024")</f>
        <v/>
      </c>
      <c r="V49">
        <f>HYPERLINK("https://klasma.github.io/Logging_0884/klagomål/A 15122-2024 FSC-klagomål.docx", "A 15122-2024")</f>
        <v/>
      </c>
      <c r="W49">
        <f>HYPERLINK("https://klasma.github.io/Logging_0884/klagomålsmail/A 15122-2024 FSC-klagomål mail.docx", "A 15122-2024")</f>
        <v/>
      </c>
      <c r="X49">
        <f>HYPERLINK("https://klasma.github.io/Logging_0884/tillsyn/A 15122-2024 tillsynsbegäran.docx", "A 15122-2024")</f>
        <v/>
      </c>
      <c r="Y49">
        <f>HYPERLINK("https://klasma.github.io/Logging_0884/tillsynsmail/A 15122-2024 tillsynsbegäran mail.docx", "A 15122-2024")</f>
        <v/>
      </c>
    </row>
    <row r="50" ht="15" customHeight="1">
      <c r="A50" t="inlineStr">
        <is>
          <t>A 37930-2021</t>
        </is>
      </c>
      <c r="B50" s="1" t="n">
        <v>44403</v>
      </c>
      <c r="C50" s="1" t="n">
        <v>46090</v>
      </c>
      <c r="D50" t="inlineStr">
        <is>
          <t>KALMAR LÄN</t>
        </is>
      </c>
      <c r="E50" t="inlineStr">
        <is>
          <t>VIMMERBY</t>
        </is>
      </c>
      <c r="G50" t="n">
        <v>4.4</v>
      </c>
      <c r="H50" t="n">
        <v>0</v>
      </c>
      <c r="I50" t="n">
        <v>0</v>
      </c>
      <c r="J50" t="n">
        <v>1</v>
      </c>
      <c r="K50" t="n">
        <v>0</v>
      </c>
      <c r="L50" t="n">
        <v>0</v>
      </c>
      <c r="M50" t="n">
        <v>0</v>
      </c>
      <c r="N50" t="n">
        <v>0</v>
      </c>
      <c r="O50" t="n">
        <v>1</v>
      </c>
      <c r="P50" t="n">
        <v>0</v>
      </c>
      <c r="Q50" t="n">
        <v>1</v>
      </c>
      <c r="R50" s="2" t="inlineStr">
        <is>
          <t>Spindelört</t>
        </is>
      </c>
      <c r="S50">
        <f>HYPERLINK("https://klasma.github.io/Logging_0884/artfynd/A 37930-2021 artfynd.xlsx", "A 37930-2021")</f>
        <v/>
      </c>
      <c r="T50">
        <f>HYPERLINK("https://klasma.github.io/Logging_0884/kartor/A 37930-2021 karta.png", "A 37930-2021")</f>
        <v/>
      </c>
      <c r="V50">
        <f>HYPERLINK("https://klasma.github.io/Logging_0884/klagomål/A 37930-2021 FSC-klagomål.docx", "A 37930-2021")</f>
        <v/>
      </c>
      <c r="W50">
        <f>HYPERLINK("https://klasma.github.io/Logging_0884/klagomålsmail/A 37930-2021 FSC-klagomål mail.docx", "A 37930-2021")</f>
        <v/>
      </c>
      <c r="X50">
        <f>HYPERLINK("https://klasma.github.io/Logging_0884/tillsyn/A 37930-2021 tillsynsbegäran.docx", "A 37930-2021")</f>
        <v/>
      </c>
      <c r="Y50">
        <f>HYPERLINK("https://klasma.github.io/Logging_0884/tillsynsmail/A 37930-2021 tillsynsbegäran mail.docx", "A 37930-2021")</f>
        <v/>
      </c>
    </row>
    <row r="51" ht="15" customHeight="1">
      <c r="A51" t="inlineStr">
        <is>
          <t>A 33436-2021</t>
        </is>
      </c>
      <c r="B51" s="1" t="n">
        <v>44377.61104166666</v>
      </c>
      <c r="C51" s="1" t="n">
        <v>46090</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44515-2024</t>
        </is>
      </c>
      <c r="B52" s="1" t="n">
        <v>45574.42767361111</v>
      </c>
      <c r="C52" s="1" t="n">
        <v>46090</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15092-2021</t>
        </is>
      </c>
      <c r="B53" s="1" t="n">
        <v>44281.79269675926</v>
      </c>
      <c r="C53" s="1" t="n">
        <v>46090</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46090</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46090</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46090</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46090</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46090</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46090</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46090</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46090</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46090</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46090</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46090</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46090</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46090</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46090</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46090</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46090</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46090</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46090</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46090</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46090</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46090</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46090</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46090</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46090</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46090</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46090</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46090</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46090</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46090</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46090</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46090</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46090</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46090</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46090</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46090</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46090</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46090</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46090</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19863-2021</t>
        </is>
      </c>
      <c r="B92" s="1" t="n">
        <v>44312</v>
      </c>
      <c r="C92" s="1" t="n">
        <v>46090</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46090</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46090</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46090</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14347-2021</t>
        </is>
      </c>
      <c r="B96" s="1" t="n">
        <v>44279.33400462963</v>
      </c>
      <c r="C96" s="1" t="n">
        <v>46090</v>
      </c>
      <c r="D96" t="inlineStr">
        <is>
          <t>KALMAR LÄN</t>
        </is>
      </c>
      <c r="E96" t="inlineStr">
        <is>
          <t>VIMMERBY</t>
        </is>
      </c>
      <c r="G96" t="n">
        <v>6.4</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46090</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46090</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13492-2021</t>
        </is>
      </c>
      <c r="B99" s="1" t="n">
        <v>44273</v>
      </c>
      <c r="C99" s="1" t="n">
        <v>46090</v>
      </c>
      <c r="D99" t="inlineStr">
        <is>
          <t>KALMAR LÄN</t>
        </is>
      </c>
      <c r="E99" t="inlineStr">
        <is>
          <t>VIMMERBY</t>
        </is>
      </c>
      <c r="G99" t="n">
        <v>3.1</v>
      </c>
      <c r="H99" t="n">
        <v>0</v>
      </c>
      <c r="I99" t="n">
        <v>0</v>
      </c>
      <c r="J99" t="n">
        <v>0</v>
      </c>
      <c r="K99" t="n">
        <v>0</v>
      </c>
      <c r="L99" t="n">
        <v>0</v>
      </c>
      <c r="M99" t="n">
        <v>0</v>
      </c>
      <c r="N99" t="n">
        <v>0</v>
      </c>
      <c r="O99" t="n">
        <v>0</v>
      </c>
      <c r="P99" t="n">
        <v>0</v>
      </c>
      <c r="Q99" t="n">
        <v>0</v>
      </c>
      <c r="R99" s="2" t="inlineStr"/>
    </row>
    <row r="100" ht="15" customHeight="1">
      <c r="A100" t="inlineStr">
        <is>
          <t>A 25049-2022</t>
        </is>
      </c>
      <c r="B100" s="1" t="n">
        <v>44729.28226851852</v>
      </c>
      <c r="C100" s="1" t="n">
        <v>46090</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12848-2021</t>
        </is>
      </c>
      <c r="B101" s="1" t="n">
        <v>44271.37226851852</v>
      </c>
      <c r="C101" s="1" t="n">
        <v>46090</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24723-2021</t>
        </is>
      </c>
      <c r="B102" s="1" t="n">
        <v>44340.54472222222</v>
      </c>
      <c r="C102" s="1" t="n">
        <v>46090</v>
      </c>
      <c r="D102" t="inlineStr">
        <is>
          <t>KALMAR LÄN</t>
        </is>
      </c>
      <c r="E102" t="inlineStr">
        <is>
          <t>VIMMERBY</t>
        </is>
      </c>
      <c r="G102" t="n">
        <v>3.3</v>
      </c>
      <c r="H102" t="n">
        <v>0</v>
      </c>
      <c r="I102" t="n">
        <v>0</v>
      </c>
      <c r="J102" t="n">
        <v>0</v>
      </c>
      <c r="K102" t="n">
        <v>0</v>
      </c>
      <c r="L102" t="n">
        <v>0</v>
      </c>
      <c r="M102" t="n">
        <v>0</v>
      </c>
      <c r="N102" t="n">
        <v>0</v>
      </c>
      <c r="O102" t="n">
        <v>0</v>
      </c>
      <c r="P102" t="n">
        <v>0</v>
      </c>
      <c r="Q102" t="n">
        <v>0</v>
      </c>
      <c r="R102" s="2" t="inlineStr"/>
    </row>
    <row r="103" ht="15" customHeight="1">
      <c r="A103" t="inlineStr">
        <is>
          <t>A 17869-2021</t>
        </is>
      </c>
      <c r="B103" s="1" t="n">
        <v>44301.36048611111</v>
      </c>
      <c r="C103" s="1" t="n">
        <v>46090</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24752-2021</t>
        </is>
      </c>
      <c r="B104" s="1" t="n">
        <v>44340</v>
      </c>
      <c r="C104" s="1" t="n">
        <v>46090</v>
      </c>
      <c r="D104" t="inlineStr">
        <is>
          <t>KALMAR LÄN</t>
        </is>
      </c>
      <c r="E104" t="inlineStr">
        <is>
          <t>VIMMERBY</t>
        </is>
      </c>
      <c r="G104" t="n">
        <v>4.1</v>
      </c>
      <c r="H104" t="n">
        <v>0</v>
      </c>
      <c r="I104" t="n">
        <v>0</v>
      </c>
      <c r="J104" t="n">
        <v>0</v>
      </c>
      <c r="K104" t="n">
        <v>0</v>
      </c>
      <c r="L104" t="n">
        <v>0</v>
      </c>
      <c r="M104" t="n">
        <v>0</v>
      </c>
      <c r="N104" t="n">
        <v>0</v>
      </c>
      <c r="O104" t="n">
        <v>0</v>
      </c>
      <c r="P104" t="n">
        <v>0</v>
      </c>
      <c r="Q104" t="n">
        <v>0</v>
      </c>
      <c r="R104" s="2" t="inlineStr"/>
    </row>
    <row r="105" ht="15" customHeight="1">
      <c r="A105" t="inlineStr">
        <is>
          <t>A 31533-2022</t>
        </is>
      </c>
      <c r="B105" s="1" t="n">
        <v>44774</v>
      </c>
      <c r="C105" s="1" t="n">
        <v>46090</v>
      </c>
      <c r="D105" t="inlineStr">
        <is>
          <t>KALMAR LÄN</t>
        </is>
      </c>
      <c r="E105" t="inlineStr">
        <is>
          <t>VIMMERBY</t>
        </is>
      </c>
      <c r="G105" t="n">
        <v>2.5</v>
      </c>
      <c r="H105" t="n">
        <v>0</v>
      </c>
      <c r="I105" t="n">
        <v>0</v>
      </c>
      <c r="J105" t="n">
        <v>0</v>
      </c>
      <c r="K105" t="n">
        <v>0</v>
      </c>
      <c r="L105" t="n">
        <v>0</v>
      </c>
      <c r="M105" t="n">
        <v>0</v>
      </c>
      <c r="N105" t="n">
        <v>0</v>
      </c>
      <c r="O105" t="n">
        <v>0</v>
      </c>
      <c r="P105" t="n">
        <v>0</v>
      </c>
      <c r="Q105" t="n">
        <v>0</v>
      </c>
      <c r="R105" s="2" t="inlineStr"/>
    </row>
    <row r="106" ht="15" customHeight="1">
      <c r="A106" t="inlineStr">
        <is>
          <t>A 25859-2022</t>
        </is>
      </c>
      <c r="B106" s="1" t="n">
        <v>44733</v>
      </c>
      <c r="C106" s="1" t="n">
        <v>46090</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25868-2022</t>
        </is>
      </c>
      <c r="B107" s="1" t="n">
        <v>44733</v>
      </c>
      <c r="C107" s="1" t="n">
        <v>46090</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32386-2021</t>
        </is>
      </c>
      <c r="B108" s="1" t="n">
        <v>44371.62743055556</v>
      </c>
      <c r="C108" s="1" t="n">
        <v>46090</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35633-2021</t>
        </is>
      </c>
      <c r="B109" s="1" t="n">
        <v>44386.40783564815</v>
      </c>
      <c r="C109" s="1" t="n">
        <v>46090</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56343-2021</t>
        </is>
      </c>
      <c r="B110" s="1" t="n">
        <v>44480</v>
      </c>
      <c r="C110" s="1" t="n">
        <v>46090</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24369-2021</t>
        </is>
      </c>
      <c r="B111" s="1" t="n">
        <v>44337</v>
      </c>
      <c r="C111" s="1" t="n">
        <v>46090</v>
      </c>
      <c r="D111" t="inlineStr">
        <is>
          <t>KALMAR LÄN</t>
        </is>
      </c>
      <c r="E111" t="inlineStr">
        <is>
          <t>VIMMERBY</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51972-2021</t>
        </is>
      </c>
      <c r="B112" s="1" t="n">
        <v>44463.29439814815</v>
      </c>
      <c r="C112" s="1" t="n">
        <v>46090</v>
      </c>
      <c r="D112" t="inlineStr">
        <is>
          <t>KALMAR LÄN</t>
        </is>
      </c>
      <c r="E112" t="inlineStr">
        <is>
          <t>VIMMERBY</t>
        </is>
      </c>
      <c r="G112" t="n">
        <v>4.5</v>
      </c>
      <c r="H112" t="n">
        <v>0</v>
      </c>
      <c r="I112" t="n">
        <v>0</v>
      </c>
      <c r="J112" t="n">
        <v>0</v>
      </c>
      <c r="K112" t="n">
        <v>0</v>
      </c>
      <c r="L112" t="n">
        <v>0</v>
      </c>
      <c r="M112" t="n">
        <v>0</v>
      </c>
      <c r="N112" t="n">
        <v>0</v>
      </c>
      <c r="O112" t="n">
        <v>0</v>
      </c>
      <c r="P112" t="n">
        <v>0</v>
      </c>
      <c r="Q112" t="n">
        <v>0</v>
      </c>
      <c r="R112" s="2" t="inlineStr"/>
    </row>
    <row r="113" ht="15" customHeight="1">
      <c r="A113" t="inlineStr">
        <is>
          <t>A 4042-2022</t>
        </is>
      </c>
      <c r="B113" s="1" t="n">
        <v>44588</v>
      </c>
      <c r="C113" s="1" t="n">
        <v>46090</v>
      </c>
      <c r="D113" t="inlineStr">
        <is>
          <t>KALMAR LÄN</t>
        </is>
      </c>
      <c r="E113" t="inlineStr">
        <is>
          <t>VIMMERBY</t>
        </is>
      </c>
      <c r="G113" t="n">
        <v>4.7</v>
      </c>
      <c r="H113" t="n">
        <v>0</v>
      </c>
      <c r="I113" t="n">
        <v>0</v>
      </c>
      <c r="J113" t="n">
        <v>0</v>
      </c>
      <c r="K113" t="n">
        <v>0</v>
      </c>
      <c r="L113" t="n">
        <v>0</v>
      </c>
      <c r="M113" t="n">
        <v>0</v>
      </c>
      <c r="N113" t="n">
        <v>0</v>
      </c>
      <c r="O113" t="n">
        <v>0</v>
      </c>
      <c r="P113" t="n">
        <v>0</v>
      </c>
      <c r="Q113" t="n">
        <v>0</v>
      </c>
      <c r="R113" s="2" t="inlineStr"/>
    </row>
    <row r="114" ht="15" customHeight="1">
      <c r="A114" t="inlineStr">
        <is>
          <t>A 35198-2021</t>
        </is>
      </c>
      <c r="B114" s="1" t="n">
        <v>44377</v>
      </c>
      <c r="C114" s="1" t="n">
        <v>46090</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34036-2021</t>
        </is>
      </c>
      <c r="B115" s="1" t="n">
        <v>44379</v>
      </c>
      <c r="C115" s="1" t="n">
        <v>46090</v>
      </c>
      <c r="D115" t="inlineStr">
        <is>
          <t>KALMAR LÄN</t>
        </is>
      </c>
      <c r="E115" t="inlineStr">
        <is>
          <t>VIMMERBY</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33690-2022</t>
        </is>
      </c>
      <c r="B116" s="1" t="n">
        <v>44789</v>
      </c>
      <c r="C116" s="1" t="n">
        <v>46090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63244-2021</t>
        </is>
      </c>
      <c r="B117" s="1" t="n">
        <v>44508</v>
      </c>
      <c r="C117" s="1" t="n">
        <v>46090</v>
      </c>
      <c r="D117" t="inlineStr">
        <is>
          <t>KALMAR LÄN</t>
        </is>
      </c>
      <c r="E117" t="inlineStr">
        <is>
          <t>VIMMERBY</t>
        </is>
      </c>
      <c r="F117" t="inlineStr">
        <is>
          <t>Övriga statliga verk och myndigheter</t>
        </is>
      </c>
      <c r="G117" t="n">
        <v>0.6</v>
      </c>
      <c r="H117" t="n">
        <v>0</v>
      </c>
      <c r="I117" t="n">
        <v>0</v>
      </c>
      <c r="J117" t="n">
        <v>0</v>
      </c>
      <c r="K117" t="n">
        <v>0</v>
      </c>
      <c r="L117" t="n">
        <v>0</v>
      </c>
      <c r="M117" t="n">
        <v>0</v>
      </c>
      <c r="N117" t="n">
        <v>0</v>
      </c>
      <c r="O117" t="n">
        <v>0</v>
      </c>
      <c r="P117" t="n">
        <v>0</v>
      </c>
      <c r="Q117" t="n">
        <v>0</v>
      </c>
      <c r="R117" s="2" t="inlineStr"/>
    </row>
    <row r="118" ht="15" customHeight="1">
      <c r="A118" t="inlineStr">
        <is>
          <t>A 11814-2022</t>
        </is>
      </c>
      <c r="B118" s="1" t="n">
        <v>44634.69703703704</v>
      </c>
      <c r="C118" s="1" t="n">
        <v>46090</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56385-2021</t>
        </is>
      </c>
      <c r="B119" s="1" t="n">
        <v>44480</v>
      </c>
      <c r="C119" s="1" t="n">
        <v>46090</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31053-2022</t>
        </is>
      </c>
      <c r="B120" s="1" t="n">
        <v>44769.45422453704</v>
      </c>
      <c r="C120" s="1" t="n">
        <v>46090</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46090</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8454-2022</t>
        </is>
      </c>
      <c r="B122" s="1" t="n">
        <v>44612.86762731482</v>
      </c>
      <c r="C122" s="1" t="n">
        <v>46090</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65887-2021</t>
        </is>
      </c>
      <c r="B123" s="1" t="n">
        <v>44517</v>
      </c>
      <c r="C123" s="1" t="n">
        <v>46090</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39959-2022</t>
        </is>
      </c>
      <c r="B124" s="1" t="n">
        <v>44819</v>
      </c>
      <c r="C124" s="1" t="n">
        <v>46090</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12661-2021</t>
        </is>
      </c>
      <c r="B125" s="1" t="n">
        <v>44270</v>
      </c>
      <c r="C125" s="1" t="n">
        <v>46090</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7917-2022</t>
        </is>
      </c>
      <c r="B126" s="1" t="n">
        <v>44608</v>
      </c>
      <c r="C126" s="1" t="n">
        <v>46090</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47208-2021</t>
        </is>
      </c>
      <c r="B127" s="1" t="n">
        <v>44447.34237268518</v>
      </c>
      <c r="C127" s="1" t="n">
        <v>46090</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24999-2021</t>
        </is>
      </c>
      <c r="B128" s="1" t="n">
        <v>44341</v>
      </c>
      <c r="C128" s="1" t="n">
        <v>46090</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16705-2021</t>
        </is>
      </c>
      <c r="B129" s="1" t="n">
        <v>44294</v>
      </c>
      <c r="C129" s="1" t="n">
        <v>46090</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56389-2021</t>
        </is>
      </c>
      <c r="B130" s="1" t="n">
        <v>44480</v>
      </c>
      <c r="C130" s="1" t="n">
        <v>46090</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67952-2021</t>
        </is>
      </c>
      <c r="B131" s="1" t="n">
        <v>44525.63913194444</v>
      </c>
      <c r="C131" s="1" t="n">
        <v>46090</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46090</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14521-2021</t>
        </is>
      </c>
      <c r="B133" s="1" t="n">
        <v>44279.64934027778</v>
      </c>
      <c r="C133" s="1" t="n">
        <v>46090</v>
      </c>
      <c r="D133" t="inlineStr">
        <is>
          <t>KALMAR LÄN</t>
        </is>
      </c>
      <c r="E133" t="inlineStr">
        <is>
          <t>VIMMERBY</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165-2022</t>
        </is>
      </c>
      <c r="B134" s="1" t="n">
        <v>44564</v>
      </c>
      <c r="C134" s="1" t="n">
        <v>46090</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34040-2021</t>
        </is>
      </c>
      <c r="B135" s="1" t="n">
        <v>44379</v>
      </c>
      <c r="C135" s="1" t="n">
        <v>46090</v>
      </c>
      <c r="D135" t="inlineStr">
        <is>
          <t>KALMAR LÄN</t>
        </is>
      </c>
      <c r="E135" t="inlineStr">
        <is>
          <t>VIMMERBY</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15200-2021</t>
        </is>
      </c>
      <c r="B136" s="1" t="n">
        <v>44284.44574074074</v>
      </c>
      <c r="C136" s="1" t="n">
        <v>46090</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12107-2022</t>
        </is>
      </c>
      <c r="B137" s="1" t="n">
        <v>44636</v>
      </c>
      <c r="C137" s="1" t="n">
        <v>46090</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39225-2022</t>
        </is>
      </c>
      <c r="B138" s="1" t="n">
        <v>44817.57988425926</v>
      </c>
      <c r="C138" s="1" t="n">
        <v>46090</v>
      </c>
      <c r="D138" t="inlineStr">
        <is>
          <t>KALMAR LÄN</t>
        </is>
      </c>
      <c r="E138" t="inlineStr">
        <is>
          <t>VIMMERBY</t>
        </is>
      </c>
      <c r="G138" t="n">
        <v>2.2</v>
      </c>
      <c r="H138" t="n">
        <v>0</v>
      </c>
      <c r="I138" t="n">
        <v>0</v>
      </c>
      <c r="J138" t="n">
        <v>0</v>
      </c>
      <c r="K138" t="n">
        <v>0</v>
      </c>
      <c r="L138" t="n">
        <v>0</v>
      </c>
      <c r="M138" t="n">
        <v>0</v>
      </c>
      <c r="N138" t="n">
        <v>0</v>
      </c>
      <c r="O138" t="n">
        <v>0</v>
      </c>
      <c r="P138" t="n">
        <v>0</v>
      </c>
      <c r="Q138" t="n">
        <v>0</v>
      </c>
      <c r="R138" s="2" t="inlineStr"/>
    </row>
    <row r="139" ht="15" customHeight="1">
      <c r="A139" t="inlineStr">
        <is>
          <t>A 16602-2021</t>
        </is>
      </c>
      <c r="B139" s="1" t="n">
        <v>44294</v>
      </c>
      <c r="C139" s="1" t="n">
        <v>46090</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16607-2021</t>
        </is>
      </c>
      <c r="B140" s="1" t="n">
        <v>44294</v>
      </c>
      <c r="C140" s="1" t="n">
        <v>46090</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17029-2022</t>
        </is>
      </c>
      <c r="B141" s="1" t="n">
        <v>44676.85248842592</v>
      </c>
      <c r="C141" s="1" t="n">
        <v>46090</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18356-2021</t>
        </is>
      </c>
      <c r="B142" s="1" t="n">
        <v>44305</v>
      </c>
      <c r="C142" s="1" t="n">
        <v>46090</v>
      </c>
      <c r="D142" t="inlineStr">
        <is>
          <t>KALMAR LÄN</t>
        </is>
      </c>
      <c r="E142" t="inlineStr">
        <is>
          <t>VIMMERBY</t>
        </is>
      </c>
      <c r="G142" t="n">
        <v>3.4</v>
      </c>
      <c r="H142" t="n">
        <v>0</v>
      </c>
      <c r="I142" t="n">
        <v>0</v>
      </c>
      <c r="J142" t="n">
        <v>0</v>
      </c>
      <c r="K142" t="n">
        <v>0</v>
      </c>
      <c r="L142" t="n">
        <v>0</v>
      </c>
      <c r="M142" t="n">
        <v>0</v>
      </c>
      <c r="N142" t="n">
        <v>0</v>
      </c>
      <c r="O142" t="n">
        <v>0</v>
      </c>
      <c r="P142" t="n">
        <v>0</v>
      </c>
      <c r="Q142" t="n">
        <v>0</v>
      </c>
      <c r="R142" s="2" t="inlineStr"/>
    </row>
    <row r="143" ht="15" customHeight="1">
      <c r="A143" t="inlineStr">
        <is>
          <t>A 35001-2021</t>
        </is>
      </c>
      <c r="B143" s="1" t="n">
        <v>44383</v>
      </c>
      <c r="C143" s="1" t="n">
        <v>46090</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46090</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46090</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46090</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47769-2022</t>
        </is>
      </c>
      <c r="B147" s="1" t="n">
        <v>44854</v>
      </c>
      <c r="C147" s="1" t="n">
        <v>46090</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48377-2021</t>
        </is>
      </c>
      <c r="B148" s="1" t="n">
        <v>44451.8375</v>
      </c>
      <c r="C148" s="1" t="n">
        <v>46090</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40472-2022</t>
        </is>
      </c>
      <c r="B149" s="1" t="n">
        <v>44823</v>
      </c>
      <c r="C149" s="1" t="n">
        <v>46090</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47708-2022</t>
        </is>
      </c>
      <c r="B150" s="1" t="n">
        <v>44854.59157407407</v>
      </c>
      <c r="C150" s="1" t="n">
        <v>46090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46090</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9918-2022</t>
        </is>
      </c>
      <c r="B152" s="1" t="n">
        <v>44620</v>
      </c>
      <c r="C152" s="1" t="n">
        <v>46090</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33831-2022</t>
        </is>
      </c>
      <c r="B153" s="1" t="n">
        <v>44790.48503472222</v>
      </c>
      <c r="C153" s="1" t="n">
        <v>46090</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12241-2021</t>
        </is>
      </c>
      <c r="B154" s="1" t="n">
        <v>44266.7240625</v>
      </c>
      <c r="C154" s="1" t="n">
        <v>46090</v>
      </c>
      <c r="D154" t="inlineStr">
        <is>
          <t>KALMAR LÄN</t>
        </is>
      </c>
      <c r="E154" t="inlineStr">
        <is>
          <t>VIMMERBY</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12662-2021</t>
        </is>
      </c>
      <c r="B155" s="1" t="n">
        <v>44270.49743055556</v>
      </c>
      <c r="C155" s="1" t="n">
        <v>46090</v>
      </c>
      <c r="D155" t="inlineStr">
        <is>
          <t>KALMAR LÄN</t>
        </is>
      </c>
      <c r="E155" t="inlineStr">
        <is>
          <t>VIMMERBY</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23825-2022</t>
        </is>
      </c>
      <c r="B156" s="1" t="n">
        <v>44722.48768518519</v>
      </c>
      <c r="C156" s="1" t="n">
        <v>46090</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47473-2021</t>
        </is>
      </c>
      <c r="B157" s="1" t="n">
        <v>44447</v>
      </c>
      <c r="C157" s="1" t="n">
        <v>46090</v>
      </c>
      <c r="D157" t="inlineStr">
        <is>
          <t>KALMAR LÄN</t>
        </is>
      </c>
      <c r="E157" t="inlineStr">
        <is>
          <t>VIMMERBY</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46090</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41056-2022</t>
        </is>
      </c>
      <c r="B159" s="1" t="n">
        <v>44824</v>
      </c>
      <c r="C159" s="1" t="n">
        <v>46090</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31660-2021</t>
        </is>
      </c>
      <c r="B160" s="1" t="n">
        <v>44369</v>
      </c>
      <c r="C160" s="1" t="n">
        <v>46090</v>
      </c>
      <c r="D160" t="inlineStr">
        <is>
          <t>KALMAR LÄN</t>
        </is>
      </c>
      <c r="E160" t="inlineStr">
        <is>
          <t>VIMMERBY</t>
        </is>
      </c>
      <c r="G160" t="n">
        <v>4.2</v>
      </c>
      <c r="H160" t="n">
        <v>0</v>
      </c>
      <c r="I160" t="n">
        <v>0</v>
      </c>
      <c r="J160" t="n">
        <v>0</v>
      </c>
      <c r="K160" t="n">
        <v>0</v>
      </c>
      <c r="L160" t="n">
        <v>0</v>
      </c>
      <c r="M160" t="n">
        <v>0</v>
      </c>
      <c r="N160" t="n">
        <v>0</v>
      </c>
      <c r="O160" t="n">
        <v>0</v>
      </c>
      <c r="P160" t="n">
        <v>0</v>
      </c>
      <c r="Q160" t="n">
        <v>0</v>
      </c>
      <c r="R160" s="2" t="inlineStr"/>
    </row>
    <row r="161" ht="15" customHeight="1">
      <c r="A161" t="inlineStr">
        <is>
          <t>A 27455-2022</t>
        </is>
      </c>
      <c r="B161" s="1" t="n">
        <v>44742</v>
      </c>
      <c r="C161" s="1" t="n">
        <v>46090</v>
      </c>
      <c r="D161" t="inlineStr">
        <is>
          <t>KALMAR LÄN</t>
        </is>
      </c>
      <c r="E161" t="inlineStr">
        <is>
          <t>VIMMERBY</t>
        </is>
      </c>
      <c r="G161" t="n">
        <v>1.6</v>
      </c>
      <c r="H161" t="n">
        <v>0</v>
      </c>
      <c r="I161" t="n">
        <v>0</v>
      </c>
      <c r="J161" t="n">
        <v>0</v>
      </c>
      <c r="K161" t="n">
        <v>0</v>
      </c>
      <c r="L161" t="n">
        <v>0</v>
      </c>
      <c r="M161" t="n">
        <v>0</v>
      </c>
      <c r="N161" t="n">
        <v>0</v>
      </c>
      <c r="O161" t="n">
        <v>0</v>
      </c>
      <c r="P161" t="n">
        <v>0</v>
      </c>
      <c r="Q161" t="n">
        <v>0</v>
      </c>
      <c r="R161" s="2" t="inlineStr"/>
    </row>
    <row r="162" ht="15" customHeight="1">
      <c r="A162" t="inlineStr">
        <is>
          <t>A 32603-2021</t>
        </is>
      </c>
      <c r="B162" s="1" t="n">
        <v>44375.38789351852</v>
      </c>
      <c r="C162" s="1" t="n">
        <v>46090</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36117-2021</t>
        </is>
      </c>
      <c r="B163" s="1" t="n">
        <v>44386</v>
      </c>
      <c r="C163" s="1" t="n">
        <v>46090</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42521-2021</t>
        </is>
      </c>
      <c r="B164" s="1" t="n">
        <v>44427</v>
      </c>
      <c r="C164" s="1" t="n">
        <v>46090</v>
      </c>
      <c r="D164" t="inlineStr">
        <is>
          <t>KALMAR LÄN</t>
        </is>
      </c>
      <c r="E164" t="inlineStr">
        <is>
          <t>VIMMERBY</t>
        </is>
      </c>
      <c r="G164" t="n">
        <v>5.4</v>
      </c>
      <c r="H164" t="n">
        <v>0</v>
      </c>
      <c r="I164" t="n">
        <v>0</v>
      </c>
      <c r="J164" t="n">
        <v>0</v>
      </c>
      <c r="K164" t="n">
        <v>0</v>
      </c>
      <c r="L164" t="n">
        <v>0</v>
      </c>
      <c r="M164" t="n">
        <v>0</v>
      </c>
      <c r="N164" t="n">
        <v>0</v>
      </c>
      <c r="O164" t="n">
        <v>0</v>
      </c>
      <c r="P164" t="n">
        <v>0</v>
      </c>
      <c r="Q164" t="n">
        <v>0</v>
      </c>
      <c r="R164" s="2" t="inlineStr"/>
    </row>
    <row r="165" ht="15" customHeight="1">
      <c r="A165" t="inlineStr">
        <is>
          <t>A 46964-2022</t>
        </is>
      </c>
      <c r="B165" s="1" t="n">
        <v>44851.95016203704</v>
      </c>
      <c r="C165" s="1" t="n">
        <v>46090</v>
      </c>
      <c r="D165" t="inlineStr">
        <is>
          <t>KALMAR LÄN</t>
        </is>
      </c>
      <c r="E165" t="inlineStr">
        <is>
          <t>VIMMERBY</t>
        </is>
      </c>
      <c r="G165" t="n">
        <v>0.2</v>
      </c>
      <c r="H165" t="n">
        <v>0</v>
      </c>
      <c r="I165" t="n">
        <v>0</v>
      </c>
      <c r="J165" t="n">
        <v>0</v>
      </c>
      <c r="K165" t="n">
        <v>0</v>
      </c>
      <c r="L165" t="n">
        <v>0</v>
      </c>
      <c r="M165" t="n">
        <v>0</v>
      </c>
      <c r="N165" t="n">
        <v>0</v>
      </c>
      <c r="O165" t="n">
        <v>0</v>
      </c>
      <c r="P165" t="n">
        <v>0</v>
      </c>
      <c r="Q165" t="n">
        <v>0</v>
      </c>
      <c r="R165" s="2" t="inlineStr"/>
    </row>
    <row r="166" ht="15" customHeight="1">
      <c r="A166" t="inlineStr">
        <is>
          <t>A 13180-2022</t>
        </is>
      </c>
      <c r="B166" s="1" t="n">
        <v>44644</v>
      </c>
      <c r="C166" s="1" t="n">
        <v>46090</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42850-2022</t>
        </is>
      </c>
      <c r="B167" s="1" t="n">
        <v>44832.67608796297</v>
      </c>
      <c r="C167" s="1" t="n">
        <v>46090</v>
      </c>
      <c r="D167" t="inlineStr">
        <is>
          <t>KALMAR LÄN</t>
        </is>
      </c>
      <c r="E167" t="inlineStr">
        <is>
          <t>VIMMERBY</t>
        </is>
      </c>
      <c r="G167" t="n">
        <v>5.9</v>
      </c>
      <c r="H167" t="n">
        <v>0</v>
      </c>
      <c r="I167" t="n">
        <v>0</v>
      </c>
      <c r="J167" t="n">
        <v>0</v>
      </c>
      <c r="K167" t="n">
        <v>0</v>
      </c>
      <c r="L167" t="n">
        <v>0</v>
      </c>
      <c r="M167" t="n">
        <v>0</v>
      </c>
      <c r="N167" t="n">
        <v>0</v>
      </c>
      <c r="O167" t="n">
        <v>0</v>
      </c>
      <c r="P167" t="n">
        <v>0</v>
      </c>
      <c r="Q167" t="n">
        <v>0</v>
      </c>
      <c r="R167" s="2" t="inlineStr"/>
    </row>
    <row r="168" ht="15" customHeight="1">
      <c r="A168" t="inlineStr">
        <is>
          <t>A 10086-2022</t>
        </is>
      </c>
      <c r="B168" s="1" t="n">
        <v>44621</v>
      </c>
      <c r="C168" s="1" t="n">
        <v>46090</v>
      </c>
      <c r="D168" t="inlineStr">
        <is>
          <t>KALMAR LÄN</t>
        </is>
      </c>
      <c r="E168" t="inlineStr">
        <is>
          <t>VIMMERBY</t>
        </is>
      </c>
      <c r="G168" t="n">
        <v>1.2</v>
      </c>
      <c r="H168" t="n">
        <v>0</v>
      </c>
      <c r="I168" t="n">
        <v>0</v>
      </c>
      <c r="J168" t="n">
        <v>0</v>
      </c>
      <c r="K168" t="n">
        <v>0</v>
      </c>
      <c r="L168" t="n">
        <v>0</v>
      </c>
      <c r="M168" t="n">
        <v>0</v>
      </c>
      <c r="N168" t="n">
        <v>0</v>
      </c>
      <c r="O168" t="n">
        <v>0</v>
      </c>
      <c r="P168" t="n">
        <v>0</v>
      </c>
      <c r="Q168" t="n">
        <v>0</v>
      </c>
      <c r="R168" s="2" t="inlineStr"/>
    </row>
    <row r="169" ht="15" customHeight="1">
      <c r="A169" t="inlineStr">
        <is>
          <t>A 53145-2022</t>
        </is>
      </c>
      <c r="B169" s="1" t="n">
        <v>44876.48346064815</v>
      </c>
      <c r="C169" s="1" t="n">
        <v>46090</v>
      </c>
      <c r="D169" t="inlineStr">
        <is>
          <t>KALMAR LÄN</t>
        </is>
      </c>
      <c r="E169" t="inlineStr">
        <is>
          <t>VIMMERBY</t>
        </is>
      </c>
      <c r="G169" t="n">
        <v>0.4</v>
      </c>
      <c r="H169" t="n">
        <v>0</v>
      </c>
      <c r="I169" t="n">
        <v>0</v>
      </c>
      <c r="J169" t="n">
        <v>0</v>
      </c>
      <c r="K169" t="n">
        <v>0</v>
      </c>
      <c r="L169" t="n">
        <v>0</v>
      </c>
      <c r="M169" t="n">
        <v>0</v>
      </c>
      <c r="N169" t="n">
        <v>0</v>
      </c>
      <c r="O169" t="n">
        <v>0</v>
      </c>
      <c r="P169" t="n">
        <v>0</v>
      </c>
      <c r="Q169" t="n">
        <v>0</v>
      </c>
      <c r="R169" s="2" t="inlineStr"/>
    </row>
    <row r="170" ht="15" customHeight="1">
      <c r="A170" t="inlineStr">
        <is>
          <t>A 25738-2022</t>
        </is>
      </c>
      <c r="B170" s="1" t="n">
        <v>44733.43092592592</v>
      </c>
      <c r="C170" s="1" t="n">
        <v>46090</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8194-2022</t>
        </is>
      </c>
      <c r="B171" s="1" t="n">
        <v>44609</v>
      </c>
      <c r="C171" s="1" t="n">
        <v>46090</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15191-2021</t>
        </is>
      </c>
      <c r="B172" s="1" t="n">
        <v>44284.42348379629</v>
      </c>
      <c r="C172" s="1" t="n">
        <v>46090</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13457-2021</t>
        </is>
      </c>
      <c r="B173" s="1" t="n">
        <v>44273</v>
      </c>
      <c r="C173" s="1" t="n">
        <v>46090</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46090</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14278-2021</t>
        </is>
      </c>
      <c r="B175" s="1" t="n">
        <v>44278.63479166666</v>
      </c>
      <c r="C175" s="1" t="n">
        <v>46090</v>
      </c>
      <c r="D175" t="inlineStr">
        <is>
          <t>KALMAR LÄN</t>
        </is>
      </c>
      <c r="E175" t="inlineStr">
        <is>
          <t>VIMMERBY</t>
        </is>
      </c>
      <c r="F175" t="inlineStr">
        <is>
          <t>Övriga statliga verk och myndigheter</t>
        </is>
      </c>
      <c r="G175" t="n">
        <v>0.8</v>
      </c>
      <c r="H175" t="n">
        <v>0</v>
      </c>
      <c r="I175" t="n">
        <v>0</v>
      </c>
      <c r="J175" t="n">
        <v>0</v>
      </c>
      <c r="K175" t="n">
        <v>0</v>
      </c>
      <c r="L175" t="n">
        <v>0</v>
      </c>
      <c r="M175" t="n">
        <v>0</v>
      </c>
      <c r="N175" t="n">
        <v>0</v>
      </c>
      <c r="O175" t="n">
        <v>0</v>
      </c>
      <c r="P175" t="n">
        <v>0</v>
      </c>
      <c r="Q175" t="n">
        <v>0</v>
      </c>
      <c r="R175" s="2" t="inlineStr"/>
    </row>
    <row r="176" ht="15" customHeight="1">
      <c r="A176" t="inlineStr">
        <is>
          <t>A 8453-2022</t>
        </is>
      </c>
      <c r="B176" s="1" t="n">
        <v>44612.86554398148</v>
      </c>
      <c r="C176" s="1" t="n">
        <v>46090</v>
      </c>
      <c r="D176" t="inlineStr">
        <is>
          <t>KALMAR LÄN</t>
        </is>
      </c>
      <c r="E176" t="inlineStr">
        <is>
          <t>VIMMERBY</t>
        </is>
      </c>
      <c r="G176" t="n">
        <v>1.7</v>
      </c>
      <c r="H176" t="n">
        <v>0</v>
      </c>
      <c r="I176" t="n">
        <v>0</v>
      </c>
      <c r="J176" t="n">
        <v>0</v>
      </c>
      <c r="K176" t="n">
        <v>0</v>
      </c>
      <c r="L176" t="n">
        <v>0</v>
      </c>
      <c r="M176" t="n">
        <v>0</v>
      </c>
      <c r="N176" t="n">
        <v>0</v>
      </c>
      <c r="O176" t="n">
        <v>0</v>
      </c>
      <c r="P176" t="n">
        <v>0</v>
      </c>
      <c r="Q176" t="n">
        <v>0</v>
      </c>
      <c r="R176" s="2" t="inlineStr"/>
    </row>
    <row r="177" ht="15" customHeight="1">
      <c r="A177" t="inlineStr">
        <is>
          <t>A 52433-2021</t>
        </is>
      </c>
      <c r="B177" s="1" t="n">
        <v>44466.34726851852</v>
      </c>
      <c r="C177" s="1" t="n">
        <v>46090</v>
      </c>
      <c r="D177" t="inlineStr">
        <is>
          <t>KALMAR LÄN</t>
        </is>
      </c>
      <c r="E177" t="inlineStr">
        <is>
          <t>VIMMERBY</t>
        </is>
      </c>
      <c r="G177" t="n">
        <v>3.5</v>
      </c>
      <c r="H177" t="n">
        <v>0</v>
      </c>
      <c r="I177" t="n">
        <v>0</v>
      </c>
      <c r="J177" t="n">
        <v>0</v>
      </c>
      <c r="K177" t="n">
        <v>0</v>
      </c>
      <c r="L177" t="n">
        <v>0</v>
      </c>
      <c r="M177" t="n">
        <v>0</v>
      </c>
      <c r="N177" t="n">
        <v>0</v>
      </c>
      <c r="O177" t="n">
        <v>0</v>
      </c>
      <c r="P177" t="n">
        <v>0</v>
      </c>
      <c r="Q177" t="n">
        <v>0</v>
      </c>
      <c r="R177" s="2" t="inlineStr"/>
    </row>
    <row r="178" ht="15" customHeight="1">
      <c r="A178" t="inlineStr">
        <is>
          <t>A 50621-2022</t>
        </is>
      </c>
      <c r="B178" s="1" t="n">
        <v>44866.81100694444</v>
      </c>
      <c r="C178" s="1" t="n">
        <v>46090</v>
      </c>
      <c r="D178" t="inlineStr">
        <is>
          <t>KALMAR LÄN</t>
        </is>
      </c>
      <c r="E178" t="inlineStr">
        <is>
          <t>VIMMERBY</t>
        </is>
      </c>
      <c r="F178" t="inlineStr">
        <is>
          <t>Övriga Aktiebolag</t>
        </is>
      </c>
      <c r="G178" t="n">
        <v>5.1</v>
      </c>
      <c r="H178" t="n">
        <v>0</v>
      </c>
      <c r="I178" t="n">
        <v>0</v>
      </c>
      <c r="J178" t="n">
        <v>0</v>
      </c>
      <c r="K178" t="n">
        <v>0</v>
      </c>
      <c r="L178" t="n">
        <v>0</v>
      </c>
      <c r="M178" t="n">
        <v>0</v>
      </c>
      <c r="N178" t="n">
        <v>0</v>
      </c>
      <c r="O178" t="n">
        <v>0</v>
      </c>
      <c r="P178" t="n">
        <v>0</v>
      </c>
      <c r="Q178" t="n">
        <v>0</v>
      </c>
      <c r="R178" s="2" t="inlineStr"/>
    </row>
    <row r="179" ht="15" customHeight="1">
      <c r="A179" t="inlineStr">
        <is>
          <t>A 54065-2021</t>
        </is>
      </c>
      <c r="B179" s="1" t="n">
        <v>44470.44232638889</v>
      </c>
      <c r="C179" s="1" t="n">
        <v>46090</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11733-2022</t>
        </is>
      </c>
      <c r="B180" s="1" t="n">
        <v>44634</v>
      </c>
      <c r="C180" s="1" t="n">
        <v>46090</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31824-2022</t>
        </is>
      </c>
      <c r="B181" s="1" t="n">
        <v>44776</v>
      </c>
      <c r="C181" s="1" t="n">
        <v>46090</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7804-2022</t>
        </is>
      </c>
      <c r="B182" s="1" t="n">
        <v>44608.50458333334</v>
      </c>
      <c r="C182" s="1" t="n">
        <v>46090</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39042-2022</t>
        </is>
      </c>
      <c r="B183" s="1" t="n">
        <v>44817</v>
      </c>
      <c r="C183" s="1" t="n">
        <v>46090</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16288-2021</t>
        </is>
      </c>
      <c r="B184" s="1" t="n">
        <v>44292</v>
      </c>
      <c r="C184" s="1" t="n">
        <v>46090</v>
      </c>
      <c r="D184" t="inlineStr">
        <is>
          <t>KALMAR LÄN</t>
        </is>
      </c>
      <c r="E184" t="inlineStr">
        <is>
          <t>VIMMERBY</t>
        </is>
      </c>
      <c r="F184" t="inlineStr">
        <is>
          <t>Övriga Aktiebolag</t>
        </is>
      </c>
      <c r="G184" t="n">
        <v>27.6</v>
      </c>
      <c r="H184" t="n">
        <v>0</v>
      </c>
      <c r="I184" t="n">
        <v>0</v>
      </c>
      <c r="J184" t="n">
        <v>0</v>
      </c>
      <c r="K184" t="n">
        <v>0</v>
      </c>
      <c r="L184" t="n">
        <v>0</v>
      </c>
      <c r="M184" t="n">
        <v>0</v>
      </c>
      <c r="N184" t="n">
        <v>0</v>
      </c>
      <c r="O184" t="n">
        <v>0</v>
      </c>
      <c r="P184" t="n">
        <v>0</v>
      </c>
      <c r="Q184" t="n">
        <v>0</v>
      </c>
      <c r="R184" s="2" t="inlineStr"/>
    </row>
    <row r="185" ht="15" customHeight="1">
      <c r="A185" t="inlineStr">
        <is>
          <t>A 4076-2022</t>
        </is>
      </c>
      <c r="B185" s="1" t="n">
        <v>44588.37998842593</v>
      </c>
      <c r="C185" s="1" t="n">
        <v>46090</v>
      </c>
      <c r="D185" t="inlineStr">
        <is>
          <t>KALMAR LÄN</t>
        </is>
      </c>
      <c r="E185" t="inlineStr">
        <is>
          <t>VIMMERBY</t>
        </is>
      </c>
      <c r="G185" t="n">
        <v>3</v>
      </c>
      <c r="H185" t="n">
        <v>0</v>
      </c>
      <c r="I185" t="n">
        <v>0</v>
      </c>
      <c r="J185" t="n">
        <v>0</v>
      </c>
      <c r="K185" t="n">
        <v>0</v>
      </c>
      <c r="L185" t="n">
        <v>0</v>
      </c>
      <c r="M185" t="n">
        <v>0</v>
      </c>
      <c r="N185" t="n">
        <v>0</v>
      </c>
      <c r="O185" t="n">
        <v>0</v>
      </c>
      <c r="P185" t="n">
        <v>0</v>
      </c>
      <c r="Q185" t="n">
        <v>0</v>
      </c>
      <c r="R185" s="2" t="inlineStr"/>
    </row>
    <row r="186" ht="15" customHeight="1">
      <c r="A186" t="inlineStr">
        <is>
          <t>A 4122-2022</t>
        </is>
      </c>
      <c r="B186" s="1" t="n">
        <v>44588</v>
      </c>
      <c r="C186" s="1" t="n">
        <v>46090</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16983-2023</t>
        </is>
      </c>
      <c r="B187" s="1" t="n">
        <v>45033.76043981482</v>
      </c>
      <c r="C187" s="1" t="n">
        <v>46090</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58374-2024</t>
        </is>
      </c>
      <c r="B188" s="1" t="n">
        <v>45632.72635416667</v>
      </c>
      <c r="C188" s="1" t="n">
        <v>46090</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46144-2023</t>
        </is>
      </c>
      <c r="B189" s="1" t="n">
        <v>45196.57247685185</v>
      </c>
      <c r="C189" s="1" t="n">
        <v>46090</v>
      </c>
      <c r="D189" t="inlineStr">
        <is>
          <t>KALMAR LÄN</t>
        </is>
      </c>
      <c r="E189" t="inlineStr">
        <is>
          <t>VIMMERBY</t>
        </is>
      </c>
      <c r="G189" t="n">
        <v>6.5</v>
      </c>
      <c r="H189" t="n">
        <v>0</v>
      </c>
      <c r="I189" t="n">
        <v>0</v>
      </c>
      <c r="J189" t="n">
        <v>0</v>
      </c>
      <c r="K189" t="n">
        <v>0</v>
      </c>
      <c r="L189" t="n">
        <v>0</v>
      </c>
      <c r="M189" t="n">
        <v>0</v>
      </c>
      <c r="N189" t="n">
        <v>0</v>
      </c>
      <c r="O189" t="n">
        <v>0</v>
      </c>
      <c r="P189" t="n">
        <v>0</v>
      </c>
      <c r="Q189" t="n">
        <v>0</v>
      </c>
      <c r="R189" s="2" t="inlineStr"/>
    </row>
    <row r="190" ht="15" customHeight="1">
      <c r="A190" t="inlineStr">
        <is>
          <t>A 11609-2023</t>
        </is>
      </c>
      <c r="B190" s="1" t="n">
        <v>44994.40635416667</v>
      </c>
      <c r="C190" s="1" t="n">
        <v>46090</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56213-2024</t>
        </is>
      </c>
      <c r="B191" s="1" t="n">
        <v>45624.60141203704</v>
      </c>
      <c r="C191" s="1" t="n">
        <v>46090</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7643-2022</t>
        </is>
      </c>
      <c r="B192" s="1" t="n">
        <v>44607</v>
      </c>
      <c r="C192" s="1" t="n">
        <v>46090</v>
      </c>
      <c r="D192" t="inlineStr">
        <is>
          <t>KALMAR LÄN</t>
        </is>
      </c>
      <c r="E192" t="inlineStr">
        <is>
          <t>VIMMERBY</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54409-2024</t>
        </is>
      </c>
      <c r="B193" s="1" t="n">
        <v>45617.47570601852</v>
      </c>
      <c r="C193" s="1" t="n">
        <v>46090</v>
      </c>
      <c r="D193" t="inlineStr">
        <is>
          <t>KALMAR LÄN</t>
        </is>
      </c>
      <c r="E193" t="inlineStr">
        <is>
          <t>VIMMERBY</t>
        </is>
      </c>
      <c r="G193" t="n">
        <v>4.3</v>
      </c>
      <c r="H193" t="n">
        <v>0</v>
      </c>
      <c r="I193" t="n">
        <v>0</v>
      </c>
      <c r="J193" t="n">
        <v>0</v>
      </c>
      <c r="K193" t="n">
        <v>0</v>
      </c>
      <c r="L193" t="n">
        <v>0</v>
      </c>
      <c r="M193" t="n">
        <v>0</v>
      </c>
      <c r="N193" t="n">
        <v>0</v>
      </c>
      <c r="O193" t="n">
        <v>0</v>
      </c>
      <c r="P193" t="n">
        <v>0</v>
      </c>
      <c r="Q193" t="n">
        <v>0</v>
      </c>
      <c r="R193" s="2" t="inlineStr"/>
    </row>
    <row r="194" ht="15" customHeight="1">
      <c r="A194" t="inlineStr">
        <is>
          <t>A 16825-2024</t>
        </is>
      </c>
      <c r="B194" s="1" t="n">
        <v>45411.47335648148</v>
      </c>
      <c r="C194" s="1" t="n">
        <v>46090</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11027-2023</t>
        </is>
      </c>
      <c r="B195" s="1" t="n">
        <v>44991.89657407408</v>
      </c>
      <c r="C195" s="1" t="n">
        <v>46090</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31382-2023</t>
        </is>
      </c>
      <c r="B196" s="1" t="n">
        <v>45114.55136574074</v>
      </c>
      <c r="C196" s="1" t="n">
        <v>46090</v>
      </c>
      <c r="D196" t="inlineStr">
        <is>
          <t>KALMAR LÄN</t>
        </is>
      </c>
      <c r="E196" t="inlineStr">
        <is>
          <t>VIMMERBY</t>
        </is>
      </c>
      <c r="G196" t="n">
        <v>3.7</v>
      </c>
      <c r="H196" t="n">
        <v>0</v>
      </c>
      <c r="I196" t="n">
        <v>0</v>
      </c>
      <c r="J196" t="n">
        <v>0</v>
      </c>
      <c r="K196" t="n">
        <v>0</v>
      </c>
      <c r="L196" t="n">
        <v>0</v>
      </c>
      <c r="M196" t="n">
        <v>0</v>
      </c>
      <c r="N196" t="n">
        <v>0</v>
      </c>
      <c r="O196" t="n">
        <v>0</v>
      </c>
      <c r="P196" t="n">
        <v>0</v>
      </c>
      <c r="Q196" t="n">
        <v>0</v>
      </c>
      <c r="R196" s="2" t="inlineStr"/>
    </row>
    <row r="197" ht="15" customHeight="1">
      <c r="A197" t="inlineStr">
        <is>
          <t>A 58962-2022</t>
        </is>
      </c>
      <c r="B197" s="1" t="n">
        <v>44903</v>
      </c>
      <c r="C197" s="1" t="n">
        <v>46090</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10837-2023</t>
        </is>
      </c>
      <c r="B198" s="1" t="n">
        <v>44991.30547453704</v>
      </c>
      <c r="C198" s="1" t="n">
        <v>46090</v>
      </c>
      <c r="D198" t="inlineStr">
        <is>
          <t>KALMAR LÄN</t>
        </is>
      </c>
      <c r="E198" t="inlineStr">
        <is>
          <t>VIMMERBY</t>
        </is>
      </c>
      <c r="G198" t="n">
        <v>7.3</v>
      </c>
      <c r="H198" t="n">
        <v>0</v>
      </c>
      <c r="I198" t="n">
        <v>0</v>
      </c>
      <c r="J198" t="n">
        <v>0</v>
      </c>
      <c r="K198" t="n">
        <v>0</v>
      </c>
      <c r="L198" t="n">
        <v>0</v>
      </c>
      <c r="M198" t="n">
        <v>0</v>
      </c>
      <c r="N198" t="n">
        <v>0</v>
      </c>
      <c r="O198" t="n">
        <v>0</v>
      </c>
      <c r="P198" t="n">
        <v>0</v>
      </c>
      <c r="Q198" t="n">
        <v>0</v>
      </c>
      <c r="R198" s="2" t="inlineStr"/>
    </row>
    <row r="199" ht="15" customHeight="1">
      <c r="A199" t="inlineStr">
        <is>
          <t>A 10838-2023</t>
        </is>
      </c>
      <c r="B199" s="1" t="n">
        <v>44991</v>
      </c>
      <c r="C199" s="1" t="n">
        <v>46090</v>
      </c>
      <c r="D199" t="inlineStr">
        <is>
          <t>KALMAR LÄN</t>
        </is>
      </c>
      <c r="E199" t="inlineStr">
        <is>
          <t>VIMMERBY</t>
        </is>
      </c>
      <c r="G199" t="n">
        <v>5.1</v>
      </c>
      <c r="H199" t="n">
        <v>0</v>
      </c>
      <c r="I199" t="n">
        <v>0</v>
      </c>
      <c r="J199" t="n">
        <v>0</v>
      </c>
      <c r="K199" t="n">
        <v>0</v>
      </c>
      <c r="L199" t="n">
        <v>0</v>
      </c>
      <c r="M199" t="n">
        <v>0</v>
      </c>
      <c r="N199" t="n">
        <v>0</v>
      </c>
      <c r="O199" t="n">
        <v>0</v>
      </c>
      <c r="P199" t="n">
        <v>0</v>
      </c>
      <c r="Q199" t="n">
        <v>0</v>
      </c>
      <c r="R199" s="2" t="inlineStr"/>
    </row>
    <row r="200" ht="15" customHeight="1">
      <c r="A200" t="inlineStr">
        <is>
          <t>A 53483-2022</t>
        </is>
      </c>
      <c r="B200" s="1" t="n">
        <v>44879.55940972222</v>
      </c>
      <c r="C200" s="1" t="n">
        <v>46090</v>
      </c>
      <c r="D200" t="inlineStr">
        <is>
          <t>KALMAR LÄN</t>
        </is>
      </c>
      <c r="E200" t="inlineStr">
        <is>
          <t>VIMMERBY</t>
        </is>
      </c>
      <c r="G200" t="n">
        <v>1.4</v>
      </c>
      <c r="H200" t="n">
        <v>0</v>
      </c>
      <c r="I200" t="n">
        <v>0</v>
      </c>
      <c r="J200" t="n">
        <v>0</v>
      </c>
      <c r="K200" t="n">
        <v>0</v>
      </c>
      <c r="L200" t="n">
        <v>0</v>
      </c>
      <c r="M200" t="n">
        <v>0</v>
      </c>
      <c r="N200" t="n">
        <v>0</v>
      </c>
      <c r="O200" t="n">
        <v>0</v>
      </c>
      <c r="P200" t="n">
        <v>0</v>
      </c>
      <c r="Q200" t="n">
        <v>0</v>
      </c>
      <c r="R200" s="2" t="inlineStr"/>
    </row>
    <row r="201" ht="15" customHeight="1">
      <c r="A201" t="inlineStr">
        <is>
          <t>A 18899-2025</t>
        </is>
      </c>
      <c r="B201" s="1" t="n">
        <v>45764.44931712963</v>
      </c>
      <c r="C201" s="1" t="n">
        <v>46090</v>
      </c>
      <c r="D201" t="inlineStr">
        <is>
          <t>KALMAR LÄN</t>
        </is>
      </c>
      <c r="E201" t="inlineStr">
        <is>
          <t>VIMMERBY</t>
        </is>
      </c>
      <c r="F201" t="inlineStr">
        <is>
          <t>Kommuner</t>
        </is>
      </c>
      <c r="G201" t="n">
        <v>4</v>
      </c>
      <c r="H201" t="n">
        <v>0</v>
      </c>
      <c r="I201" t="n">
        <v>0</v>
      </c>
      <c r="J201" t="n">
        <v>0</v>
      </c>
      <c r="K201" t="n">
        <v>0</v>
      </c>
      <c r="L201" t="n">
        <v>0</v>
      </c>
      <c r="M201" t="n">
        <v>0</v>
      </c>
      <c r="N201" t="n">
        <v>0</v>
      </c>
      <c r="O201" t="n">
        <v>0</v>
      </c>
      <c r="P201" t="n">
        <v>0</v>
      </c>
      <c r="Q201" t="n">
        <v>0</v>
      </c>
      <c r="R201" s="2" t="inlineStr"/>
    </row>
    <row r="202" ht="15" customHeight="1">
      <c r="A202" t="inlineStr">
        <is>
          <t>A 20054-2023</t>
        </is>
      </c>
      <c r="B202" s="1" t="n">
        <v>45054.6750462963</v>
      </c>
      <c r="C202" s="1" t="n">
        <v>46090</v>
      </c>
      <c r="D202" t="inlineStr">
        <is>
          <t>KALMAR LÄN</t>
        </is>
      </c>
      <c r="E202" t="inlineStr">
        <is>
          <t>VIMMERBY</t>
        </is>
      </c>
      <c r="G202" t="n">
        <v>2.4</v>
      </c>
      <c r="H202" t="n">
        <v>0</v>
      </c>
      <c r="I202" t="n">
        <v>0</v>
      </c>
      <c r="J202" t="n">
        <v>0</v>
      </c>
      <c r="K202" t="n">
        <v>0</v>
      </c>
      <c r="L202" t="n">
        <v>0</v>
      </c>
      <c r="M202" t="n">
        <v>0</v>
      </c>
      <c r="N202" t="n">
        <v>0</v>
      </c>
      <c r="O202" t="n">
        <v>0</v>
      </c>
      <c r="P202" t="n">
        <v>0</v>
      </c>
      <c r="Q202" t="n">
        <v>0</v>
      </c>
      <c r="R202" s="2" t="inlineStr"/>
    </row>
    <row r="203" ht="15" customHeight="1">
      <c r="A203" t="inlineStr">
        <is>
          <t>A 60951-2023</t>
        </is>
      </c>
      <c r="B203" s="1" t="n">
        <v>45261.44914351852</v>
      </c>
      <c r="C203" s="1" t="n">
        <v>46090</v>
      </c>
      <c r="D203" t="inlineStr">
        <is>
          <t>KALMAR LÄN</t>
        </is>
      </c>
      <c r="E203" t="inlineStr">
        <is>
          <t>VIMMERBY</t>
        </is>
      </c>
      <c r="G203" t="n">
        <v>4.3</v>
      </c>
      <c r="H203" t="n">
        <v>0</v>
      </c>
      <c r="I203" t="n">
        <v>0</v>
      </c>
      <c r="J203" t="n">
        <v>0</v>
      </c>
      <c r="K203" t="n">
        <v>0</v>
      </c>
      <c r="L203" t="n">
        <v>0</v>
      </c>
      <c r="M203" t="n">
        <v>0</v>
      </c>
      <c r="N203" t="n">
        <v>0</v>
      </c>
      <c r="O203" t="n">
        <v>0</v>
      </c>
      <c r="P203" t="n">
        <v>0</v>
      </c>
      <c r="Q203" t="n">
        <v>0</v>
      </c>
      <c r="R203" s="2" t="inlineStr"/>
    </row>
    <row r="204" ht="15" customHeight="1">
      <c r="A204" t="inlineStr">
        <is>
          <t>A 11946-2025</t>
        </is>
      </c>
      <c r="B204" s="1" t="n">
        <v>45728.54832175926</v>
      </c>
      <c r="C204" s="1" t="n">
        <v>46090</v>
      </c>
      <c r="D204" t="inlineStr">
        <is>
          <t>KALMAR LÄN</t>
        </is>
      </c>
      <c r="E204" t="inlineStr">
        <is>
          <t>VIMMERBY</t>
        </is>
      </c>
      <c r="G204" t="n">
        <v>0.4</v>
      </c>
      <c r="H204" t="n">
        <v>0</v>
      </c>
      <c r="I204" t="n">
        <v>0</v>
      </c>
      <c r="J204" t="n">
        <v>0</v>
      </c>
      <c r="K204" t="n">
        <v>0</v>
      </c>
      <c r="L204" t="n">
        <v>0</v>
      </c>
      <c r="M204" t="n">
        <v>0</v>
      </c>
      <c r="N204" t="n">
        <v>0</v>
      </c>
      <c r="O204" t="n">
        <v>0</v>
      </c>
      <c r="P204" t="n">
        <v>0</v>
      </c>
      <c r="Q204" t="n">
        <v>0</v>
      </c>
      <c r="R204" s="2" t="inlineStr"/>
    </row>
    <row r="205" ht="15" customHeight="1">
      <c r="A205" t="inlineStr">
        <is>
          <t>A 19537-2022</t>
        </is>
      </c>
      <c r="B205" s="1" t="n">
        <v>44693.62822916666</v>
      </c>
      <c r="C205" s="1" t="n">
        <v>46090</v>
      </c>
      <c r="D205" t="inlineStr">
        <is>
          <t>KALMAR LÄN</t>
        </is>
      </c>
      <c r="E205" t="inlineStr">
        <is>
          <t>VIMMERBY</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60292-2022</t>
        </is>
      </c>
      <c r="B206" s="1" t="n">
        <v>44910.54231481482</v>
      </c>
      <c r="C206" s="1" t="n">
        <v>46090</v>
      </c>
      <c r="D206" t="inlineStr">
        <is>
          <t>KALMAR LÄN</t>
        </is>
      </c>
      <c r="E206" t="inlineStr">
        <is>
          <t>VIMMERBY</t>
        </is>
      </c>
      <c r="G206" t="n">
        <v>4.4</v>
      </c>
      <c r="H206" t="n">
        <v>0</v>
      </c>
      <c r="I206" t="n">
        <v>0</v>
      </c>
      <c r="J206" t="n">
        <v>0</v>
      </c>
      <c r="K206" t="n">
        <v>0</v>
      </c>
      <c r="L206" t="n">
        <v>0</v>
      </c>
      <c r="M206" t="n">
        <v>0</v>
      </c>
      <c r="N206" t="n">
        <v>0</v>
      </c>
      <c r="O206" t="n">
        <v>0</v>
      </c>
      <c r="P206" t="n">
        <v>0</v>
      </c>
      <c r="Q206" t="n">
        <v>0</v>
      </c>
      <c r="R206" s="2" t="inlineStr"/>
    </row>
    <row r="207" ht="15" customHeight="1">
      <c r="A207" t="inlineStr">
        <is>
          <t>A 13290-2025</t>
        </is>
      </c>
      <c r="B207" s="1" t="n">
        <v>45735.56751157407</v>
      </c>
      <c r="C207" s="1" t="n">
        <v>46090</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30402-2023</t>
        </is>
      </c>
      <c r="B208" s="1" t="n">
        <v>45111.48395833333</v>
      </c>
      <c r="C208" s="1" t="n">
        <v>46090</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19162-2023</t>
        </is>
      </c>
      <c r="B209" s="1" t="n">
        <v>45048.59699074074</v>
      </c>
      <c r="C209" s="1" t="n">
        <v>46090</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7485-2024</t>
        </is>
      </c>
      <c r="B210" s="1" t="n">
        <v>45346.67184027778</v>
      </c>
      <c r="C210" s="1" t="n">
        <v>46090</v>
      </c>
      <c r="D210" t="inlineStr">
        <is>
          <t>KALMAR LÄN</t>
        </is>
      </c>
      <c r="E210" t="inlineStr">
        <is>
          <t>VIMMERBY</t>
        </is>
      </c>
      <c r="G210" t="n">
        <v>1.9</v>
      </c>
      <c r="H210" t="n">
        <v>0</v>
      </c>
      <c r="I210" t="n">
        <v>0</v>
      </c>
      <c r="J210" t="n">
        <v>0</v>
      </c>
      <c r="K210" t="n">
        <v>0</v>
      </c>
      <c r="L210" t="n">
        <v>0</v>
      </c>
      <c r="M210" t="n">
        <v>0</v>
      </c>
      <c r="N210" t="n">
        <v>0</v>
      </c>
      <c r="O210" t="n">
        <v>0</v>
      </c>
      <c r="P210" t="n">
        <v>0</v>
      </c>
      <c r="Q210" t="n">
        <v>0</v>
      </c>
      <c r="R210" s="2" t="inlineStr"/>
    </row>
    <row r="211" ht="15" customHeight="1">
      <c r="A211" t="inlineStr">
        <is>
          <t>A 9475-2023</t>
        </is>
      </c>
      <c r="B211" s="1" t="n">
        <v>44981.58834490741</v>
      </c>
      <c r="C211" s="1" t="n">
        <v>46090</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12590-2025</t>
        </is>
      </c>
      <c r="B212" s="1" t="n">
        <v>45732.79925925926</v>
      </c>
      <c r="C212" s="1" t="n">
        <v>46090</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35710-2023</t>
        </is>
      </c>
      <c r="B213" s="1" t="n">
        <v>45147.67096064815</v>
      </c>
      <c r="C213" s="1" t="n">
        <v>46090</v>
      </c>
      <c r="D213" t="inlineStr">
        <is>
          <t>KALMAR LÄN</t>
        </is>
      </c>
      <c r="E213" t="inlineStr">
        <is>
          <t>VIMMERBY</t>
        </is>
      </c>
      <c r="G213" t="n">
        <v>3.1</v>
      </c>
      <c r="H213" t="n">
        <v>0</v>
      </c>
      <c r="I213" t="n">
        <v>0</v>
      </c>
      <c r="J213" t="n">
        <v>0</v>
      </c>
      <c r="K213" t="n">
        <v>0</v>
      </c>
      <c r="L213" t="n">
        <v>0</v>
      </c>
      <c r="M213" t="n">
        <v>0</v>
      </c>
      <c r="N213" t="n">
        <v>0</v>
      </c>
      <c r="O213" t="n">
        <v>0</v>
      </c>
      <c r="P213" t="n">
        <v>0</v>
      </c>
      <c r="Q213" t="n">
        <v>0</v>
      </c>
      <c r="R213" s="2" t="inlineStr"/>
    </row>
    <row r="214" ht="15" customHeight="1">
      <c r="A214" t="inlineStr">
        <is>
          <t>A 52823-2024</t>
        </is>
      </c>
      <c r="B214" s="1" t="n">
        <v>45610.59094907407</v>
      </c>
      <c r="C214" s="1" t="n">
        <v>46090</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18411-2021</t>
        </is>
      </c>
      <c r="B215" s="1" t="n">
        <v>44302</v>
      </c>
      <c r="C215" s="1" t="n">
        <v>46090</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14548-2024</t>
        </is>
      </c>
      <c r="B216" s="1" t="n">
        <v>45394.66887731481</v>
      </c>
      <c r="C216" s="1" t="n">
        <v>46090</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47855-2024</t>
        </is>
      </c>
      <c r="B217" s="1" t="n">
        <v>45588.66457175926</v>
      </c>
      <c r="C217" s="1" t="n">
        <v>46090</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585-2024</t>
        </is>
      </c>
      <c r="B218" s="1" t="n">
        <v>45299.62576388889</v>
      </c>
      <c r="C218" s="1" t="n">
        <v>46090</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23252-2024</t>
        </is>
      </c>
      <c r="B219" s="1" t="n">
        <v>45453.36067129629</v>
      </c>
      <c r="C219" s="1" t="n">
        <v>46090</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172-2022</t>
        </is>
      </c>
      <c r="B220" s="1" t="n">
        <v>44564.62598379629</v>
      </c>
      <c r="C220" s="1" t="n">
        <v>46090</v>
      </c>
      <c r="D220" t="inlineStr">
        <is>
          <t>KALMAR LÄN</t>
        </is>
      </c>
      <c r="E220" t="inlineStr">
        <is>
          <t>VIMMERBY</t>
        </is>
      </c>
      <c r="G220" t="n">
        <v>2.1</v>
      </c>
      <c r="H220" t="n">
        <v>0</v>
      </c>
      <c r="I220" t="n">
        <v>0</v>
      </c>
      <c r="J220" t="n">
        <v>0</v>
      </c>
      <c r="K220" t="n">
        <v>0</v>
      </c>
      <c r="L220" t="n">
        <v>0</v>
      </c>
      <c r="M220" t="n">
        <v>0</v>
      </c>
      <c r="N220" t="n">
        <v>0</v>
      </c>
      <c r="O220" t="n">
        <v>0</v>
      </c>
      <c r="P220" t="n">
        <v>0</v>
      </c>
      <c r="Q220" t="n">
        <v>0</v>
      </c>
      <c r="R220" s="2" t="inlineStr"/>
    </row>
    <row r="221" ht="15" customHeight="1">
      <c r="A221" t="inlineStr">
        <is>
          <t>A 56020-2024</t>
        </is>
      </c>
      <c r="B221" s="1" t="n">
        <v>45623.9525462963</v>
      </c>
      <c r="C221" s="1" t="n">
        <v>46090</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39584-2024</t>
        </is>
      </c>
      <c r="B222" s="1" t="n">
        <v>45552.36759259259</v>
      </c>
      <c r="C222" s="1" t="n">
        <v>46090</v>
      </c>
      <c r="D222" t="inlineStr">
        <is>
          <t>KALMAR LÄN</t>
        </is>
      </c>
      <c r="E222" t="inlineStr">
        <is>
          <t>VIMMERBY</t>
        </is>
      </c>
      <c r="G222" t="n">
        <v>1.9</v>
      </c>
      <c r="H222" t="n">
        <v>0</v>
      </c>
      <c r="I222" t="n">
        <v>0</v>
      </c>
      <c r="J222" t="n">
        <v>0</v>
      </c>
      <c r="K222" t="n">
        <v>0</v>
      </c>
      <c r="L222" t="n">
        <v>0</v>
      </c>
      <c r="M222" t="n">
        <v>0</v>
      </c>
      <c r="N222" t="n">
        <v>0</v>
      </c>
      <c r="O222" t="n">
        <v>0</v>
      </c>
      <c r="P222" t="n">
        <v>0</v>
      </c>
      <c r="Q222" t="n">
        <v>0</v>
      </c>
      <c r="R222" s="2" t="inlineStr"/>
    </row>
    <row r="223" ht="15" customHeight="1">
      <c r="A223" t="inlineStr">
        <is>
          <t>A 51881-2024</t>
        </is>
      </c>
      <c r="B223" s="1" t="n">
        <v>45607.56773148148</v>
      </c>
      <c r="C223" s="1" t="n">
        <v>46090</v>
      </c>
      <c r="D223" t="inlineStr">
        <is>
          <t>KALMAR LÄN</t>
        </is>
      </c>
      <c r="E223" t="inlineStr">
        <is>
          <t>VIMMERBY</t>
        </is>
      </c>
      <c r="G223" t="n">
        <v>3.4</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46090</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2596-2025</t>
        </is>
      </c>
      <c r="B225" s="1" t="n">
        <v>45674.71810185185</v>
      </c>
      <c r="C225" s="1" t="n">
        <v>46090</v>
      </c>
      <c r="D225" t="inlineStr">
        <is>
          <t>KALMAR LÄN</t>
        </is>
      </c>
      <c r="E225" t="inlineStr">
        <is>
          <t>VIMMERBY</t>
        </is>
      </c>
      <c r="G225" t="n">
        <v>9</v>
      </c>
      <c r="H225" t="n">
        <v>0</v>
      </c>
      <c r="I225" t="n">
        <v>0</v>
      </c>
      <c r="J225" t="n">
        <v>0</v>
      </c>
      <c r="K225" t="n">
        <v>0</v>
      </c>
      <c r="L225" t="n">
        <v>0</v>
      </c>
      <c r="M225" t="n">
        <v>0</v>
      </c>
      <c r="N225" t="n">
        <v>0</v>
      </c>
      <c r="O225" t="n">
        <v>0</v>
      </c>
      <c r="P225" t="n">
        <v>0</v>
      </c>
      <c r="Q225" t="n">
        <v>0</v>
      </c>
      <c r="R225" s="2" t="inlineStr"/>
    </row>
    <row r="226" ht="15" customHeight="1">
      <c r="A226" t="inlineStr">
        <is>
          <t>A 11219-2023</t>
        </is>
      </c>
      <c r="B226" s="1" t="n">
        <v>44992.62498842592</v>
      </c>
      <c r="C226" s="1" t="n">
        <v>46090</v>
      </c>
      <c r="D226" t="inlineStr">
        <is>
          <t>KALMAR LÄN</t>
        </is>
      </c>
      <c r="E226" t="inlineStr">
        <is>
          <t>VIMMERBY</t>
        </is>
      </c>
      <c r="G226" t="n">
        <v>2.5</v>
      </c>
      <c r="H226" t="n">
        <v>0</v>
      </c>
      <c r="I226" t="n">
        <v>0</v>
      </c>
      <c r="J226" t="n">
        <v>0</v>
      </c>
      <c r="K226" t="n">
        <v>0</v>
      </c>
      <c r="L226" t="n">
        <v>0</v>
      </c>
      <c r="M226" t="n">
        <v>0</v>
      </c>
      <c r="N226" t="n">
        <v>0</v>
      </c>
      <c r="O226" t="n">
        <v>0</v>
      </c>
      <c r="P226" t="n">
        <v>0</v>
      </c>
      <c r="Q226" t="n">
        <v>0</v>
      </c>
      <c r="R226" s="2" t="inlineStr"/>
    </row>
    <row r="227" ht="15" customHeight="1">
      <c r="A227" t="inlineStr">
        <is>
          <t>A 16734-2023</t>
        </is>
      </c>
      <c r="B227" s="1" t="n">
        <v>45030.71012731481</v>
      </c>
      <c r="C227" s="1" t="n">
        <v>46090</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20129-2024</t>
        </is>
      </c>
      <c r="B228" s="1" t="n">
        <v>45434.55831018519</v>
      </c>
      <c r="C228" s="1" t="n">
        <v>46090</v>
      </c>
      <c r="D228" t="inlineStr">
        <is>
          <t>KALMAR LÄN</t>
        </is>
      </c>
      <c r="E228" t="inlineStr">
        <is>
          <t>VIMMERBY</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20137-2024</t>
        </is>
      </c>
      <c r="B229" s="1" t="n">
        <v>45434.56398148148</v>
      </c>
      <c r="C229" s="1" t="n">
        <v>46090</v>
      </c>
      <c r="D229" t="inlineStr">
        <is>
          <t>KALMAR LÄN</t>
        </is>
      </c>
      <c r="E229" t="inlineStr">
        <is>
          <t>VIMMERBY</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7456-2024</t>
        </is>
      </c>
      <c r="B230" s="1" t="n">
        <v>45345.83557870371</v>
      </c>
      <c r="C230" s="1" t="n">
        <v>46090</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52324-2023</t>
        </is>
      </c>
      <c r="B231" s="1" t="n">
        <v>45224.64659722222</v>
      </c>
      <c r="C231" s="1" t="n">
        <v>46090</v>
      </c>
      <c r="D231" t="inlineStr">
        <is>
          <t>KALMAR LÄN</t>
        </is>
      </c>
      <c r="E231" t="inlineStr">
        <is>
          <t>VIMMERBY</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37028-2024</t>
        </is>
      </c>
      <c r="B232" s="1" t="n">
        <v>45539.38744212963</v>
      </c>
      <c r="C232" s="1" t="n">
        <v>46090</v>
      </c>
      <c r="D232" t="inlineStr">
        <is>
          <t>KALMAR LÄN</t>
        </is>
      </c>
      <c r="E232" t="inlineStr">
        <is>
          <t>VIMMERBY</t>
        </is>
      </c>
      <c r="G232" t="n">
        <v>5.2</v>
      </c>
      <c r="H232" t="n">
        <v>0</v>
      </c>
      <c r="I232" t="n">
        <v>0</v>
      </c>
      <c r="J232" t="n">
        <v>0</v>
      </c>
      <c r="K232" t="n">
        <v>0</v>
      </c>
      <c r="L232" t="n">
        <v>0</v>
      </c>
      <c r="M232" t="n">
        <v>0</v>
      </c>
      <c r="N232" t="n">
        <v>0</v>
      </c>
      <c r="O232" t="n">
        <v>0</v>
      </c>
      <c r="P232" t="n">
        <v>0</v>
      </c>
      <c r="Q232" t="n">
        <v>0</v>
      </c>
      <c r="R232" s="2" t="inlineStr"/>
    </row>
    <row r="233" ht="15" customHeight="1">
      <c r="A233" t="inlineStr">
        <is>
          <t>A 55236-2023</t>
        </is>
      </c>
      <c r="B233" s="1" t="n">
        <v>45237.63225694445</v>
      </c>
      <c r="C233" s="1" t="n">
        <v>46090</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55245-2023</t>
        </is>
      </c>
      <c r="B234" s="1" t="n">
        <v>45237.64408564815</v>
      </c>
      <c r="C234" s="1" t="n">
        <v>46090</v>
      </c>
      <c r="D234" t="inlineStr">
        <is>
          <t>KALMAR LÄN</t>
        </is>
      </c>
      <c r="E234" t="inlineStr">
        <is>
          <t>VIMMERBY</t>
        </is>
      </c>
      <c r="G234" t="n">
        <v>1.3</v>
      </c>
      <c r="H234" t="n">
        <v>0</v>
      </c>
      <c r="I234" t="n">
        <v>0</v>
      </c>
      <c r="J234" t="n">
        <v>0</v>
      </c>
      <c r="K234" t="n">
        <v>0</v>
      </c>
      <c r="L234" t="n">
        <v>0</v>
      </c>
      <c r="M234" t="n">
        <v>0</v>
      </c>
      <c r="N234" t="n">
        <v>0</v>
      </c>
      <c r="O234" t="n">
        <v>0</v>
      </c>
      <c r="P234" t="n">
        <v>0</v>
      </c>
      <c r="Q234" t="n">
        <v>0</v>
      </c>
      <c r="R234" s="2" t="inlineStr"/>
    </row>
    <row r="235" ht="15" customHeight="1">
      <c r="A235" t="inlineStr">
        <is>
          <t>A 36055-2024</t>
        </is>
      </c>
      <c r="B235" s="1" t="n">
        <v>45533.63056712963</v>
      </c>
      <c r="C235" s="1" t="n">
        <v>46090</v>
      </c>
      <c r="D235" t="inlineStr">
        <is>
          <t>KALMAR LÄN</t>
        </is>
      </c>
      <c r="E235" t="inlineStr">
        <is>
          <t>VIMMERBY</t>
        </is>
      </c>
      <c r="F235" t="inlineStr">
        <is>
          <t>Kommuner</t>
        </is>
      </c>
      <c r="G235" t="n">
        <v>1.9</v>
      </c>
      <c r="H235" t="n">
        <v>0</v>
      </c>
      <c r="I235" t="n">
        <v>0</v>
      </c>
      <c r="J235" t="n">
        <v>0</v>
      </c>
      <c r="K235" t="n">
        <v>0</v>
      </c>
      <c r="L235" t="n">
        <v>0</v>
      </c>
      <c r="M235" t="n">
        <v>0</v>
      </c>
      <c r="N235" t="n">
        <v>0</v>
      </c>
      <c r="O235" t="n">
        <v>0</v>
      </c>
      <c r="P235" t="n">
        <v>0</v>
      </c>
      <c r="Q235" t="n">
        <v>0</v>
      </c>
      <c r="R235" s="2" t="inlineStr"/>
    </row>
    <row r="236" ht="15" customHeight="1">
      <c r="A236" t="inlineStr">
        <is>
          <t>A 17988-2025</t>
        </is>
      </c>
      <c r="B236" s="1" t="n">
        <v>45761.39600694444</v>
      </c>
      <c r="C236" s="1" t="n">
        <v>46090</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6668-2023</t>
        </is>
      </c>
      <c r="B237" s="1" t="n">
        <v>44966</v>
      </c>
      <c r="C237" s="1" t="n">
        <v>46090</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29168-2024</t>
        </is>
      </c>
      <c r="B238" s="1" t="n">
        <v>45482.49870370371</v>
      </c>
      <c r="C238" s="1" t="n">
        <v>46090</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23341-2022</t>
        </is>
      </c>
      <c r="B239" s="1" t="n">
        <v>44720.53898148148</v>
      </c>
      <c r="C239" s="1" t="n">
        <v>46090</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27443-2023</t>
        </is>
      </c>
      <c r="B240" s="1" t="n">
        <v>45097.40524305555</v>
      </c>
      <c r="C240" s="1" t="n">
        <v>46090</v>
      </c>
      <c r="D240" t="inlineStr">
        <is>
          <t>KALMAR LÄN</t>
        </is>
      </c>
      <c r="E240" t="inlineStr">
        <is>
          <t>VIMMERBY</t>
        </is>
      </c>
      <c r="F240" t="inlineStr">
        <is>
          <t>Övriga Aktiebolag</t>
        </is>
      </c>
      <c r="G240" t="n">
        <v>2.3</v>
      </c>
      <c r="H240" t="n">
        <v>0</v>
      </c>
      <c r="I240" t="n">
        <v>0</v>
      </c>
      <c r="J240" t="n">
        <v>0</v>
      </c>
      <c r="K240" t="n">
        <v>0</v>
      </c>
      <c r="L240" t="n">
        <v>0</v>
      </c>
      <c r="M240" t="n">
        <v>0</v>
      </c>
      <c r="N240" t="n">
        <v>0</v>
      </c>
      <c r="O240" t="n">
        <v>0</v>
      </c>
      <c r="P240" t="n">
        <v>0</v>
      </c>
      <c r="Q240" t="n">
        <v>0</v>
      </c>
      <c r="R240" s="2" t="inlineStr"/>
    </row>
    <row r="241" ht="15" customHeight="1">
      <c r="A241" t="inlineStr">
        <is>
          <t>A 845-2023</t>
        </is>
      </c>
      <c r="B241" s="1" t="n">
        <v>44931</v>
      </c>
      <c r="C241" s="1" t="n">
        <v>46090</v>
      </c>
      <c r="D241" t="inlineStr">
        <is>
          <t>KALMAR LÄN</t>
        </is>
      </c>
      <c r="E241" t="inlineStr">
        <is>
          <t>VIMMERBY</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11147-2023</t>
        </is>
      </c>
      <c r="B242" s="1" t="n">
        <v>44992</v>
      </c>
      <c r="C242" s="1" t="n">
        <v>46090</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19833-2023</t>
        </is>
      </c>
      <c r="B243" s="1" t="n">
        <v>45052</v>
      </c>
      <c r="C243" s="1" t="n">
        <v>46090</v>
      </c>
      <c r="D243" t="inlineStr">
        <is>
          <t>KALMAR LÄN</t>
        </is>
      </c>
      <c r="E243" t="inlineStr">
        <is>
          <t>VIMMERBY</t>
        </is>
      </c>
      <c r="G243" t="n">
        <v>6.7</v>
      </c>
      <c r="H243" t="n">
        <v>0</v>
      </c>
      <c r="I243" t="n">
        <v>0</v>
      </c>
      <c r="J243" t="n">
        <v>0</v>
      </c>
      <c r="K243" t="n">
        <v>0</v>
      </c>
      <c r="L243" t="n">
        <v>0</v>
      </c>
      <c r="M243" t="n">
        <v>0</v>
      </c>
      <c r="N243" t="n">
        <v>0</v>
      </c>
      <c r="O243" t="n">
        <v>0</v>
      </c>
      <c r="P243" t="n">
        <v>0</v>
      </c>
      <c r="Q243" t="n">
        <v>0</v>
      </c>
      <c r="R243" s="2" t="inlineStr"/>
    </row>
    <row r="244" ht="15" customHeight="1">
      <c r="A244" t="inlineStr">
        <is>
          <t>A 23984-2025</t>
        </is>
      </c>
      <c r="B244" s="1" t="n">
        <v>45796</v>
      </c>
      <c r="C244" s="1" t="n">
        <v>46090</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6321-2023</t>
        </is>
      </c>
      <c r="B245" s="1" t="n">
        <v>44965.4815162037</v>
      </c>
      <c r="C245" s="1" t="n">
        <v>46090</v>
      </c>
      <c r="D245" t="inlineStr">
        <is>
          <t>KALMAR LÄN</t>
        </is>
      </c>
      <c r="E245" t="inlineStr">
        <is>
          <t>VIMMERBY</t>
        </is>
      </c>
      <c r="G245" t="n">
        <v>1.8</v>
      </c>
      <c r="H245" t="n">
        <v>0</v>
      </c>
      <c r="I245" t="n">
        <v>0</v>
      </c>
      <c r="J245" t="n">
        <v>0</v>
      </c>
      <c r="K245" t="n">
        <v>0</v>
      </c>
      <c r="L245" t="n">
        <v>0</v>
      </c>
      <c r="M245" t="n">
        <v>0</v>
      </c>
      <c r="N245" t="n">
        <v>0</v>
      </c>
      <c r="O245" t="n">
        <v>0</v>
      </c>
      <c r="P245" t="n">
        <v>0</v>
      </c>
      <c r="Q245" t="n">
        <v>0</v>
      </c>
      <c r="R245" s="2" t="inlineStr"/>
    </row>
    <row r="246" ht="15" customHeight="1">
      <c r="A246" t="inlineStr">
        <is>
          <t>A 4624-2024</t>
        </is>
      </c>
      <c r="B246" s="1" t="n">
        <v>45328.38755787037</v>
      </c>
      <c r="C246" s="1" t="n">
        <v>46090</v>
      </c>
      <c r="D246" t="inlineStr">
        <is>
          <t>KALMAR LÄN</t>
        </is>
      </c>
      <c r="E246" t="inlineStr">
        <is>
          <t>VIMMERBY</t>
        </is>
      </c>
      <c r="G246" t="n">
        <v>1.7</v>
      </c>
      <c r="H246" t="n">
        <v>0</v>
      </c>
      <c r="I246" t="n">
        <v>0</v>
      </c>
      <c r="J246" t="n">
        <v>0</v>
      </c>
      <c r="K246" t="n">
        <v>0</v>
      </c>
      <c r="L246" t="n">
        <v>0</v>
      </c>
      <c r="M246" t="n">
        <v>0</v>
      </c>
      <c r="N246" t="n">
        <v>0</v>
      </c>
      <c r="O246" t="n">
        <v>0</v>
      </c>
      <c r="P246" t="n">
        <v>0</v>
      </c>
      <c r="Q246" t="n">
        <v>0</v>
      </c>
      <c r="R246" s="2" t="inlineStr"/>
    </row>
    <row r="247" ht="15" customHeight="1">
      <c r="A247" t="inlineStr">
        <is>
          <t>A 40730-2024</t>
        </is>
      </c>
      <c r="B247" s="1" t="n">
        <v>45558.44914351852</v>
      </c>
      <c r="C247" s="1" t="n">
        <v>46090</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2157-2024</t>
        </is>
      </c>
      <c r="B248" s="1" t="n">
        <v>45309.59487268519</v>
      </c>
      <c r="C248" s="1" t="n">
        <v>46090</v>
      </c>
      <c r="D248" t="inlineStr">
        <is>
          <t>KALMAR LÄN</t>
        </is>
      </c>
      <c r="E248" t="inlineStr">
        <is>
          <t>VIMMERBY</t>
        </is>
      </c>
      <c r="G248" t="n">
        <v>0.7</v>
      </c>
      <c r="H248" t="n">
        <v>0</v>
      </c>
      <c r="I248" t="n">
        <v>0</v>
      </c>
      <c r="J248" t="n">
        <v>0</v>
      </c>
      <c r="K248" t="n">
        <v>0</v>
      </c>
      <c r="L248" t="n">
        <v>0</v>
      </c>
      <c r="M248" t="n">
        <v>0</v>
      </c>
      <c r="N248" t="n">
        <v>0</v>
      </c>
      <c r="O248" t="n">
        <v>0</v>
      </c>
      <c r="P248" t="n">
        <v>0</v>
      </c>
      <c r="Q248" t="n">
        <v>0</v>
      </c>
      <c r="R248" s="2" t="inlineStr"/>
    </row>
    <row r="249" ht="15" customHeight="1">
      <c r="A249" t="inlineStr">
        <is>
          <t>A 49461-2022</t>
        </is>
      </c>
      <c r="B249" s="1" t="n">
        <v>44861</v>
      </c>
      <c r="C249" s="1" t="n">
        <v>46090</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694-2024</t>
        </is>
      </c>
      <c r="B250" s="1" t="n">
        <v>45300.3794212963</v>
      </c>
      <c r="C250" s="1" t="n">
        <v>46090</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59598-2023</t>
        </is>
      </c>
      <c r="B251" s="1" t="n">
        <v>45254.62489583333</v>
      </c>
      <c r="C251" s="1" t="n">
        <v>46090</v>
      </c>
      <c r="D251" t="inlineStr">
        <is>
          <t>KALMAR LÄN</t>
        </is>
      </c>
      <c r="E251" t="inlineStr">
        <is>
          <t>VIMMERBY</t>
        </is>
      </c>
      <c r="F251" t="inlineStr">
        <is>
          <t>Övriga Aktiebolag</t>
        </is>
      </c>
      <c r="G251" t="n">
        <v>4</v>
      </c>
      <c r="H251" t="n">
        <v>0</v>
      </c>
      <c r="I251" t="n">
        <v>0</v>
      </c>
      <c r="J251" t="n">
        <v>0</v>
      </c>
      <c r="K251" t="n">
        <v>0</v>
      </c>
      <c r="L251" t="n">
        <v>0</v>
      </c>
      <c r="M251" t="n">
        <v>0</v>
      </c>
      <c r="N251" t="n">
        <v>0</v>
      </c>
      <c r="O251" t="n">
        <v>0</v>
      </c>
      <c r="P251" t="n">
        <v>0</v>
      </c>
      <c r="Q251" t="n">
        <v>0</v>
      </c>
      <c r="R251" s="2" t="inlineStr"/>
    </row>
    <row r="252" ht="15" customHeight="1">
      <c r="A252" t="inlineStr">
        <is>
          <t>A 7944-2024</t>
        </is>
      </c>
      <c r="B252" s="1" t="n">
        <v>45350.53306712963</v>
      </c>
      <c r="C252" s="1" t="n">
        <v>46090</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38604-2025</t>
        </is>
      </c>
      <c r="B253" s="1" t="n">
        <v>45884.50613425926</v>
      </c>
      <c r="C253" s="1" t="n">
        <v>46090</v>
      </c>
      <c r="D253" t="inlineStr">
        <is>
          <t>KALMAR LÄN</t>
        </is>
      </c>
      <c r="E253" t="inlineStr">
        <is>
          <t>VIMMERBY</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35082-2024</t>
        </is>
      </c>
      <c r="B254" s="1" t="n">
        <v>45527.68784722222</v>
      </c>
      <c r="C254" s="1" t="n">
        <v>46090</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21496-2023</t>
        </is>
      </c>
      <c r="B255" s="1" t="n">
        <v>45063.49936342592</v>
      </c>
      <c r="C255" s="1" t="n">
        <v>46090</v>
      </c>
      <c r="D255" t="inlineStr">
        <is>
          <t>KALMAR LÄN</t>
        </is>
      </c>
      <c r="E255" t="inlineStr">
        <is>
          <t>VIMMERBY</t>
        </is>
      </c>
      <c r="G255" t="n">
        <v>1.1</v>
      </c>
      <c r="H255" t="n">
        <v>0</v>
      </c>
      <c r="I255" t="n">
        <v>0</v>
      </c>
      <c r="J255" t="n">
        <v>0</v>
      </c>
      <c r="K255" t="n">
        <v>0</v>
      </c>
      <c r="L255" t="n">
        <v>0</v>
      </c>
      <c r="M255" t="n">
        <v>0</v>
      </c>
      <c r="N255" t="n">
        <v>0</v>
      </c>
      <c r="O255" t="n">
        <v>0</v>
      </c>
      <c r="P255" t="n">
        <v>0</v>
      </c>
      <c r="Q255" t="n">
        <v>0</v>
      </c>
      <c r="R255" s="2" t="inlineStr"/>
    </row>
    <row r="256" ht="15" customHeight="1">
      <c r="A256" t="inlineStr">
        <is>
          <t>A 63762-2025</t>
        </is>
      </c>
      <c r="B256" s="1" t="n">
        <v>46018.67197916667</v>
      </c>
      <c r="C256" s="1" t="n">
        <v>46090</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63758-2025</t>
        </is>
      </c>
      <c r="B257" s="1" t="n">
        <v>46018.46483796297</v>
      </c>
      <c r="C257" s="1" t="n">
        <v>46090</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51278-2024</t>
        </is>
      </c>
      <c r="B258" s="1" t="n">
        <v>45603.74959490741</v>
      </c>
      <c r="C258" s="1" t="n">
        <v>46090</v>
      </c>
      <c r="D258" t="inlineStr">
        <is>
          <t>KALMAR LÄN</t>
        </is>
      </c>
      <c r="E258" t="inlineStr">
        <is>
          <t>VIMMERBY</t>
        </is>
      </c>
      <c r="G258" t="n">
        <v>3.4</v>
      </c>
      <c r="H258" t="n">
        <v>0</v>
      </c>
      <c r="I258" t="n">
        <v>0</v>
      </c>
      <c r="J258" t="n">
        <v>0</v>
      </c>
      <c r="K258" t="n">
        <v>0</v>
      </c>
      <c r="L258" t="n">
        <v>0</v>
      </c>
      <c r="M258" t="n">
        <v>0</v>
      </c>
      <c r="N258" t="n">
        <v>0</v>
      </c>
      <c r="O258" t="n">
        <v>0</v>
      </c>
      <c r="P258" t="n">
        <v>0</v>
      </c>
      <c r="Q258" t="n">
        <v>0</v>
      </c>
      <c r="R258" s="2" t="inlineStr"/>
    </row>
    <row r="259" ht="15" customHeight="1">
      <c r="A259" t="inlineStr">
        <is>
          <t>A 63845-2025</t>
        </is>
      </c>
      <c r="B259" s="1" t="n">
        <v>46020.43715277778</v>
      </c>
      <c r="C259" s="1" t="n">
        <v>46090</v>
      </c>
      <c r="D259" t="inlineStr">
        <is>
          <t>KALMAR LÄN</t>
        </is>
      </c>
      <c r="E259" t="inlineStr">
        <is>
          <t>VIMMERBY</t>
        </is>
      </c>
      <c r="G259" t="n">
        <v>3.8</v>
      </c>
      <c r="H259" t="n">
        <v>0</v>
      </c>
      <c r="I259" t="n">
        <v>0</v>
      </c>
      <c r="J259" t="n">
        <v>0</v>
      </c>
      <c r="K259" t="n">
        <v>0</v>
      </c>
      <c r="L259" t="n">
        <v>0</v>
      </c>
      <c r="M259" t="n">
        <v>0</v>
      </c>
      <c r="N259" t="n">
        <v>0</v>
      </c>
      <c r="O259" t="n">
        <v>0</v>
      </c>
      <c r="P259" t="n">
        <v>0</v>
      </c>
      <c r="Q259" t="n">
        <v>0</v>
      </c>
      <c r="R259" s="2" t="inlineStr"/>
    </row>
    <row r="260" ht="15" customHeight="1">
      <c r="A260" t="inlineStr">
        <is>
          <t>A 63848-2025</t>
        </is>
      </c>
      <c r="B260" s="1" t="n">
        <v>46020.44902777778</v>
      </c>
      <c r="C260" s="1" t="n">
        <v>46090</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9456-2025</t>
        </is>
      </c>
      <c r="B261" s="1" t="n">
        <v>45715.44159722222</v>
      </c>
      <c r="C261" s="1" t="n">
        <v>46090</v>
      </c>
      <c r="D261" t="inlineStr">
        <is>
          <t>KALMAR LÄN</t>
        </is>
      </c>
      <c r="E261" t="inlineStr">
        <is>
          <t>VIMMERBY</t>
        </is>
      </c>
      <c r="G261" t="n">
        <v>1.5</v>
      </c>
      <c r="H261" t="n">
        <v>0</v>
      </c>
      <c r="I261" t="n">
        <v>0</v>
      </c>
      <c r="J261" t="n">
        <v>0</v>
      </c>
      <c r="K261" t="n">
        <v>0</v>
      </c>
      <c r="L261" t="n">
        <v>0</v>
      </c>
      <c r="M261" t="n">
        <v>0</v>
      </c>
      <c r="N261" t="n">
        <v>0</v>
      </c>
      <c r="O261" t="n">
        <v>0</v>
      </c>
      <c r="P261" t="n">
        <v>0</v>
      </c>
      <c r="Q261" t="n">
        <v>0</v>
      </c>
      <c r="R261" s="2" t="inlineStr"/>
    </row>
    <row r="262" ht="15" customHeight="1">
      <c r="A262" t="inlineStr">
        <is>
          <t>A 11111-2023</t>
        </is>
      </c>
      <c r="B262" s="1" t="n">
        <v>44992.4255787037</v>
      </c>
      <c r="C262" s="1" t="n">
        <v>46090</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29783-2024</t>
        </is>
      </c>
      <c r="B263" s="1" t="n">
        <v>45485.45778935185</v>
      </c>
      <c r="C263" s="1" t="n">
        <v>46090</v>
      </c>
      <c r="D263" t="inlineStr">
        <is>
          <t>KALMAR LÄN</t>
        </is>
      </c>
      <c r="E263" t="inlineStr">
        <is>
          <t>VIMMERBY</t>
        </is>
      </c>
      <c r="G263" t="n">
        <v>3.1</v>
      </c>
      <c r="H263" t="n">
        <v>0</v>
      </c>
      <c r="I263" t="n">
        <v>0</v>
      </c>
      <c r="J263" t="n">
        <v>0</v>
      </c>
      <c r="K263" t="n">
        <v>0</v>
      </c>
      <c r="L263" t="n">
        <v>0</v>
      </c>
      <c r="M263" t="n">
        <v>0</v>
      </c>
      <c r="N263" t="n">
        <v>0</v>
      </c>
      <c r="O263" t="n">
        <v>0</v>
      </c>
      <c r="P263" t="n">
        <v>0</v>
      </c>
      <c r="Q263" t="n">
        <v>0</v>
      </c>
      <c r="R263" s="2" t="inlineStr"/>
    </row>
    <row r="264" ht="15" customHeight="1">
      <c r="A264" t="inlineStr">
        <is>
          <t>A 44582-2024</t>
        </is>
      </c>
      <c r="B264" s="1" t="n">
        <v>45574.49298611111</v>
      </c>
      <c r="C264" s="1" t="n">
        <v>46090</v>
      </c>
      <c r="D264" t="inlineStr">
        <is>
          <t>KALMAR LÄN</t>
        </is>
      </c>
      <c r="E264" t="inlineStr">
        <is>
          <t>VIMMERBY</t>
        </is>
      </c>
      <c r="G264" t="n">
        <v>1.1</v>
      </c>
      <c r="H264" t="n">
        <v>0</v>
      </c>
      <c r="I264" t="n">
        <v>0</v>
      </c>
      <c r="J264" t="n">
        <v>0</v>
      </c>
      <c r="K264" t="n">
        <v>0</v>
      </c>
      <c r="L264" t="n">
        <v>0</v>
      </c>
      <c r="M264" t="n">
        <v>0</v>
      </c>
      <c r="N264" t="n">
        <v>0</v>
      </c>
      <c r="O264" t="n">
        <v>0</v>
      </c>
      <c r="P264" t="n">
        <v>0</v>
      </c>
      <c r="Q264" t="n">
        <v>0</v>
      </c>
      <c r="R264" s="2" t="inlineStr"/>
    </row>
    <row r="265" ht="15" customHeight="1">
      <c r="A265" t="inlineStr">
        <is>
          <t>A 29726-2025</t>
        </is>
      </c>
      <c r="B265" s="1" t="n">
        <v>45825.57805555555</v>
      </c>
      <c r="C265" s="1" t="n">
        <v>46090</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35198-2023</t>
        </is>
      </c>
      <c r="B266" s="1" t="n">
        <v>45145</v>
      </c>
      <c r="C266" s="1" t="n">
        <v>46090</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43853-2023</t>
        </is>
      </c>
      <c r="B267" s="1" t="n">
        <v>45187.60813657408</v>
      </c>
      <c r="C267" s="1" t="n">
        <v>46090</v>
      </c>
      <c r="D267" t="inlineStr">
        <is>
          <t>KALMAR LÄN</t>
        </is>
      </c>
      <c r="E267" t="inlineStr">
        <is>
          <t>VIMMERBY</t>
        </is>
      </c>
      <c r="G267" t="n">
        <v>1.4</v>
      </c>
      <c r="H267" t="n">
        <v>0</v>
      </c>
      <c r="I267" t="n">
        <v>0</v>
      </c>
      <c r="J267" t="n">
        <v>0</v>
      </c>
      <c r="K267" t="n">
        <v>0</v>
      </c>
      <c r="L267" t="n">
        <v>0</v>
      </c>
      <c r="M267" t="n">
        <v>0</v>
      </c>
      <c r="N267" t="n">
        <v>0</v>
      </c>
      <c r="O267" t="n">
        <v>0</v>
      </c>
      <c r="P267" t="n">
        <v>0</v>
      </c>
      <c r="Q267" t="n">
        <v>0</v>
      </c>
      <c r="R267" s="2" t="inlineStr"/>
    </row>
    <row r="268" ht="15" customHeight="1">
      <c r="A268" t="inlineStr">
        <is>
          <t>A 15494-2024</t>
        </is>
      </c>
      <c r="B268" s="1" t="n">
        <v>45401.53033564815</v>
      </c>
      <c r="C268" s="1" t="n">
        <v>46090</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63839-2025</t>
        </is>
      </c>
      <c r="B269" s="1" t="n">
        <v>46020.41998842593</v>
      </c>
      <c r="C269" s="1" t="n">
        <v>46090</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39801-2025</t>
        </is>
      </c>
      <c r="B270" s="1" t="n">
        <v>45891.50216435185</v>
      </c>
      <c r="C270" s="1" t="n">
        <v>46090</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9511-2023</t>
        </is>
      </c>
      <c r="B271" s="1" t="n">
        <v>44981.64725694444</v>
      </c>
      <c r="C271" s="1" t="n">
        <v>46090</v>
      </c>
      <c r="D271" t="inlineStr">
        <is>
          <t>KALMAR LÄN</t>
        </is>
      </c>
      <c r="E271" t="inlineStr">
        <is>
          <t>VIMMERBY</t>
        </is>
      </c>
      <c r="G271" t="n">
        <v>3.5</v>
      </c>
      <c r="H271" t="n">
        <v>0</v>
      </c>
      <c r="I271" t="n">
        <v>0</v>
      </c>
      <c r="J271" t="n">
        <v>0</v>
      </c>
      <c r="K271" t="n">
        <v>0</v>
      </c>
      <c r="L271" t="n">
        <v>0</v>
      </c>
      <c r="M271" t="n">
        <v>0</v>
      </c>
      <c r="N271" t="n">
        <v>0</v>
      </c>
      <c r="O271" t="n">
        <v>0</v>
      </c>
      <c r="P271" t="n">
        <v>0</v>
      </c>
      <c r="Q271" t="n">
        <v>0</v>
      </c>
      <c r="R271" s="2" t="inlineStr"/>
    </row>
    <row r="272" ht="15" customHeight="1">
      <c r="A272" t="inlineStr">
        <is>
          <t>A 39807-2025</t>
        </is>
      </c>
      <c r="B272" s="1" t="n">
        <v>45891.50986111111</v>
      </c>
      <c r="C272" s="1" t="n">
        <v>46090</v>
      </c>
      <c r="D272" t="inlineStr">
        <is>
          <t>KALMAR LÄN</t>
        </is>
      </c>
      <c r="E272" t="inlineStr">
        <is>
          <t>VIMMERBY</t>
        </is>
      </c>
      <c r="G272" t="n">
        <v>0.5</v>
      </c>
      <c r="H272" t="n">
        <v>0</v>
      </c>
      <c r="I272" t="n">
        <v>0</v>
      </c>
      <c r="J272" t="n">
        <v>0</v>
      </c>
      <c r="K272" t="n">
        <v>0</v>
      </c>
      <c r="L272" t="n">
        <v>0</v>
      </c>
      <c r="M272" t="n">
        <v>0</v>
      </c>
      <c r="N272" t="n">
        <v>0</v>
      </c>
      <c r="O272" t="n">
        <v>0</v>
      </c>
      <c r="P272" t="n">
        <v>0</v>
      </c>
      <c r="Q272" t="n">
        <v>0</v>
      </c>
      <c r="R272" s="2" t="inlineStr"/>
    </row>
    <row r="273" ht="15" customHeight="1">
      <c r="A273" t="inlineStr">
        <is>
          <t>A 39736-2025</t>
        </is>
      </c>
      <c r="B273" s="1" t="n">
        <v>45891</v>
      </c>
      <c r="C273" s="1" t="n">
        <v>46090</v>
      </c>
      <c r="D273" t="inlineStr">
        <is>
          <t>KALMAR LÄN</t>
        </is>
      </c>
      <c r="E273" t="inlineStr">
        <is>
          <t>VIMMERBY</t>
        </is>
      </c>
      <c r="G273" t="n">
        <v>12.8</v>
      </c>
      <c r="H273" t="n">
        <v>0</v>
      </c>
      <c r="I273" t="n">
        <v>0</v>
      </c>
      <c r="J273" t="n">
        <v>0</v>
      </c>
      <c r="K273" t="n">
        <v>0</v>
      </c>
      <c r="L273" t="n">
        <v>0</v>
      </c>
      <c r="M273" t="n">
        <v>0</v>
      </c>
      <c r="N273" t="n">
        <v>0</v>
      </c>
      <c r="O273" t="n">
        <v>0</v>
      </c>
      <c r="P273" t="n">
        <v>0</v>
      </c>
      <c r="Q273" t="n">
        <v>0</v>
      </c>
      <c r="R273" s="2" t="inlineStr"/>
    </row>
    <row r="274" ht="15" customHeight="1">
      <c r="A274" t="inlineStr">
        <is>
          <t>A 38757-2023</t>
        </is>
      </c>
      <c r="B274" s="1" t="n">
        <v>45163.41376157408</v>
      </c>
      <c r="C274" s="1" t="n">
        <v>46090</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29973-2023</t>
        </is>
      </c>
      <c r="B275" s="1" t="n">
        <v>45108.703125</v>
      </c>
      <c r="C275" s="1" t="n">
        <v>46090</v>
      </c>
      <c r="D275" t="inlineStr">
        <is>
          <t>KALMAR LÄN</t>
        </is>
      </c>
      <c r="E275" t="inlineStr">
        <is>
          <t>VIMMERBY</t>
        </is>
      </c>
      <c r="G275" t="n">
        <v>4</v>
      </c>
      <c r="H275" t="n">
        <v>0</v>
      </c>
      <c r="I275" t="n">
        <v>0</v>
      </c>
      <c r="J275" t="n">
        <v>0</v>
      </c>
      <c r="K275" t="n">
        <v>0</v>
      </c>
      <c r="L275" t="n">
        <v>0</v>
      </c>
      <c r="M275" t="n">
        <v>0</v>
      </c>
      <c r="N275" t="n">
        <v>0</v>
      </c>
      <c r="O275" t="n">
        <v>0</v>
      </c>
      <c r="P275" t="n">
        <v>0</v>
      </c>
      <c r="Q275" t="n">
        <v>0</v>
      </c>
      <c r="R275" s="2" t="inlineStr"/>
    </row>
    <row r="276" ht="15" customHeight="1">
      <c r="A276" t="inlineStr">
        <is>
          <t>A 64143-2021</t>
        </is>
      </c>
      <c r="B276" s="1" t="n">
        <v>44510.52157407408</v>
      </c>
      <c r="C276" s="1" t="n">
        <v>46090</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73938-2021</t>
        </is>
      </c>
      <c r="B277" s="1" t="n">
        <v>44553</v>
      </c>
      <c r="C277" s="1" t="n">
        <v>46090</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58724-2024</t>
        </is>
      </c>
      <c r="B278" s="1" t="n">
        <v>45635.66409722222</v>
      </c>
      <c r="C278" s="1" t="n">
        <v>46090</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39803-2025</t>
        </is>
      </c>
      <c r="B279" s="1" t="n">
        <v>45891.50525462963</v>
      </c>
      <c r="C279" s="1" t="n">
        <v>46090</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39889-2025</t>
        </is>
      </c>
      <c r="B280" s="1" t="n">
        <v>45891</v>
      </c>
      <c r="C280" s="1" t="n">
        <v>46090</v>
      </c>
      <c r="D280" t="inlineStr">
        <is>
          <t>KALMAR LÄN</t>
        </is>
      </c>
      <c r="E280" t="inlineStr">
        <is>
          <t>VIMMERBY</t>
        </is>
      </c>
      <c r="G280" t="n">
        <v>4.5</v>
      </c>
      <c r="H280" t="n">
        <v>0</v>
      </c>
      <c r="I280" t="n">
        <v>0</v>
      </c>
      <c r="J280" t="n">
        <v>0</v>
      </c>
      <c r="K280" t="n">
        <v>0</v>
      </c>
      <c r="L280" t="n">
        <v>0</v>
      </c>
      <c r="M280" t="n">
        <v>0</v>
      </c>
      <c r="N280" t="n">
        <v>0</v>
      </c>
      <c r="O280" t="n">
        <v>0</v>
      </c>
      <c r="P280" t="n">
        <v>0</v>
      </c>
      <c r="Q280" t="n">
        <v>0</v>
      </c>
      <c r="R280" s="2" t="inlineStr"/>
    </row>
    <row r="281" ht="15" customHeight="1">
      <c r="A281" t="inlineStr">
        <is>
          <t>A 25792-2025</t>
        </is>
      </c>
      <c r="B281" s="1" t="n">
        <v>45804.39141203704</v>
      </c>
      <c r="C281" s="1" t="n">
        <v>46090</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40076-2021</t>
        </is>
      </c>
      <c r="B282" s="1" t="n">
        <v>44418</v>
      </c>
      <c r="C282" s="1" t="n">
        <v>46090</v>
      </c>
      <c r="D282" t="inlineStr">
        <is>
          <t>KALMAR LÄN</t>
        </is>
      </c>
      <c r="E282" t="inlineStr">
        <is>
          <t>VIMMERBY</t>
        </is>
      </c>
      <c r="G282" t="n">
        <v>2</v>
      </c>
      <c r="H282" t="n">
        <v>0</v>
      </c>
      <c r="I282" t="n">
        <v>0</v>
      </c>
      <c r="J282" t="n">
        <v>0</v>
      </c>
      <c r="K282" t="n">
        <v>0</v>
      </c>
      <c r="L282" t="n">
        <v>0</v>
      </c>
      <c r="M282" t="n">
        <v>0</v>
      </c>
      <c r="N282" t="n">
        <v>0</v>
      </c>
      <c r="O282" t="n">
        <v>0</v>
      </c>
      <c r="P282" t="n">
        <v>0</v>
      </c>
      <c r="Q282" t="n">
        <v>0</v>
      </c>
      <c r="R282" s="2" t="inlineStr"/>
    </row>
    <row r="283" ht="15" customHeight="1">
      <c r="A283" t="inlineStr">
        <is>
          <t>A 26039-2025</t>
        </is>
      </c>
      <c r="B283" s="1" t="n">
        <v>45804.6953587963</v>
      </c>
      <c r="C283" s="1" t="n">
        <v>46090</v>
      </c>
      <c r="D283" t="inlineStr">
        <is>
          <t>KALMAR LÄN</t>
        </is>
      </c>
      <c r="E283" t="inlineStr">
        <is>
          <t>VIMMERBY</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26046-2025</t>
        </is>
      </c>
      <c r="B284" s="1" t="n">
        <v>45804.708125</v>
      </c>
      <c r="C284" s="1" t="n">
        <v>46090</v>
      </c>
      <c r="D284" t="inlineStr">
        <is>
          <t>KALMAR LÄN</t>
        </is>
      </c>
      <c r="E284" t="inlineStr">
        <is>
          <t>VIMMERBY</t>
        </is>
      </c>
      <c r="F284" t="inlineStr">
        <is>
          <t>Sveaskog</t>
        </is>
      </c>
      <c r="G284" t="n">
        <v>5.1</v>
      </c>
      <c r="H284" t="n">
        <v>0</v>
      </c>
      <c r="I284" t="n">
        <v>0</v>
      </c>
      <c r="J284" t="n">
        <v>0</v>
      </c>
      <c r="K284" t="n">
        <v>0</v>
      </c>
      <c r="L284" t="n">
        <v>0</v>
      </c>
      <c r="M284" t="n">
        <v>0</v>
      </c>
      <c r="N284" t="n">
        <v>0</v>
      </c>
      <c r="O284" t="n">
        <v>0</v>
      </c>
      <c r="P284" t="n">
        <v>0</v>
      </c>
      <c r="Q284" t="n">
        <v>0</v>
      </c>
      <c r="R284" s="2" t="inlineStr"/>
    </row>
    <row r="285" ht="15" customHeight="1">
      <c r="A285" t="inlineStr">
        <is>
          <t>A 50648-2023</t>
        </is>
      </c>
      <c r="B285" s="1" t="n">
        <v>45217.47834490741</v>
      </c>
      <c r="C285" s="1" t="n">
        <v>46090</v>
      </c>
      <c r="D285" t="inlineStr">
        <is>
          <t>KALMAR LÄN</t>
        </is>
      </c>
      <c r="E285" t="inlineStr">
        <is>
          <t>VIMMERBY</t>
        </is>
      </c>
      <c r="G285" t="n">
        <v>1.6</v>
      </c>
      <c r="H285" t="n">
        <v>0</v>
      </c>
      <c r="I285" t="n">
        <v>0</v>
      </c>
      <c r="J285" t="n">
        <v>0</v>
      </c>
      <c r="K285" t="n">
        <v>0</v>
      </c>
      <c r="L285" t="n">
        <v>0</v>
      </c>
      <c r="M285" t="n">
        <v>0</v>
      </c>
      <c r="N285" t="n">
        <v>0</v>
      </c>
      <c r="O285" t="n">
        <v>0</v>
      </c>
      <c r="P285" t="n">
        <v>0</v>
      </c>
      <c r="Q285" t="n">
        <v>0</v>
      </c>
      <c r="R285" s="2" t="inlineStr"/>
    </row>
    <row r="286" ht="15" customHeight="1">
      <c r="A286" t="inlineStr">
        <is>
          <t>A 529-2022</t>
        </is>
      </c>
      <c r="B286" s="1" t="n">
        <v>44566</v>
      </c>
      <c r="C286" s="1" t="n">
        <v>46090</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58318-2021</t>
        </is>
      </c>
      <c r="B287" s="1" t="n">
        <v>44488.35878472222</v>
      </c>
      <c r="C287" s="1" t="n">
        <v>46090</v>
      </c>
      <c r="D287" t="inlineStr">
        <is>
          <t>KALMAR LÄN</t>
        </is>
      </c>
      <c r="E287" t="inlineStr">
        <is>
          <t>VIMMERBY</t>
        </is>
      </c>
      <c r="G287" t="n">
        <v>4</v>
      </c>
      <c r="H287" t="n">
        <v>0</v>
      </c>
      <c r="I287" t="n">
        <v>0</v>
      </c>
      <c r="J287" t="n">
        <v>0</v>
      </c>
      <c r="K287" t="n">
        <v>0</v>
      </c>
      <c r="L287" t="n">
        <v>0</v>
      </c>
      <c r="M287" t="n">
        <v>0</v>
      </c>
      <c r="N287" t="n">
        <v>0</v>
      </c>
      <c r="O287" t="n">
        <v>0</v>
      </c>
      <c r="P287" t="n">
        <v>0</v>
      </c>
      <c r="Q287" t="n">
        <v>0</v>
      </c>
      <c r="R287" s="2" t="inlineStr"/>
    </row>
    <row r="288" ht="15" customHeight="1">
      <c r="A288" t="inlineStr">
        <is>
          <t>A 89-2023</t>
        </is>
      </c>
      <c r="B288" s="1" t="n">
        <v>44918</v>
      </c>
      <c r="C288" s="1" t="n">
        <v>46090</v>
      </c>
      <c r="D288" t="inlineStr">
        <is>
          <t>KALMAR LÄN</t>
        </is>
      </c>
      <c r="E288" t="inlineStr">
        <is>
          <t>VIMMERBY</t>
        </is>
      </c>
      <c r="G288" t="n">
        <v>16.1</v>
      </c>
      <c r="H288" t="n">
        <v>0</v>
      </c>
      <c r="I288" t="n">
        <v>0</v>
      </c>
      <c r="J288" t="n">
        <v>0</v>
      </c>
      <c r="K288" t="n">
        <v>0</v>
      </c>
      <c r="L288" t="n">
        <v>0</v>
      </c>
      <c r="M288" t="n">
        <v>0</v>
      </c>
      <c r="N288" t="n">
        <v>0</v>
      </c>
      <c r="O288" t="n">
        <v>0</v>
      </c>
      <c r="P288" t="n">
        <v>0</v>
      </c>
      <c r="Q288" t="n">
        <v>0</v>
      </c>
      <c r="R288" s="2" t="inlineStr"/>
    </row>
    <row r="289" ht="15" customHeight="1">
      <c r="A289" t="inlineStr">
        <is>
          <t>A 26124-2025</t>
        </is>
      </c>
      <c r="B289" s="1" t="n">
        <v>45805.39247685186</v>
      </c>
      <c r="C289" s="1" t="n">
        <v>46090</v>
      </c>
      <c r="D289" t="inlineStr">
        <is>
          <t>KALMAR LÄN</t>
        </is>
      </c>
      <c r="E289" t="inlineStr">
        <is>
          <t>VIMMERBY</t>
        </is>
      </c>
      <c r="G289" t="n">
        <v>6.6</v>
      </c>
      <c r="H289" t="n">
        <v>0</v>
      </c>
      <c r="I289" t="n">
        <v>0</v>
      </c>
      <c r="J289" t="n">
        <v>0</v>
      </c>
      <c r="K289" t="n">
        <v>0</v>
      </c>
      <c r="L289" t="n">
        <v>0</v>
      </c>
      <c r="M289" t="n">
        <v>0</v>
      </c>
      <c r="N289" t="n">
        <v>0</v>
      </c>
      <c r="O289" t="n">
        <v>0</v>
      </c>
      <c r="P289" t="n">
        <v>0</v>
      </c>
      <c r="Q289" t="n">
        <v>0</v>
      </c>
      <c r="R289" s="2" t="inlineStr"/>
    </row>
    <row r="290" ht="15" customHeight="1">
      <c r="A290" t="inlineStr">
        <is>
          <t>A 23088-2024</t>
        </is>
      </c>
      <c r="B290" s="1" t="n">
        <v>45450.51092592593</v>
      </c>
      <c r="C290" s="1" t="n">
        <v>46090</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40925-2025</t>
        </is>
      </c>
      <c r="B291" s="1" t="n">
        <v>45897.64208333333</v>
      </c>
      <c r="C291" s="1" t="n">
        <v>46090</v>
      </c>
      <c r="D291" t="inlineStr">
        <is>
          <t>KALMAR LÄN</t>
        </is>
      </c>
      <c r="E291" t="inlineStr">
        <is>
          <t>VIMMERBY</t>
        </is>
      </c>
      <c r="G291" t="n">
        <v>1.9</v>
      </c>
      <c r="H291" t="n">
        <v>0</v>
      </c>
      <c r="I291" t="n">
        <v>0</v>
      </c>
      <c r="J291" t="n">
        <v>0</v>
      </c>
      <c r="K291" t="n">
        <v>0</v>
      </c>
      <c r="L291" t="n">
        <v>0</v>
      </c>
      <c r="M291" t="n">
        <v>0</v>
      </c>
      <c r="N291" t="n">
        <v>0</v>
      </c>
      <c r="O291" t="n">
        <v>0</v>
      </c>
      <c r="P291" t="n">
        <v>0</v>
      </c>
      <c r="Q291" t="n">
        <v>0</v>
      </c>
      <c r="R291" s="2" t="inlineStr"/>
    </row>
    <row r="292" ht="15" customHeight="1">
      <c r="A292" t="inlineStr">
        <is>
          <t>A 38851-2023</t>
        </is>
      </c>
      <c r="B292" s="1" t="n">
        <v>45163</v>
      </c>
      <c r="C292" s="1" t="n">
        <v>46090</v>
      </c>
      <c r="D292" t="inlineStr">
        <is>
          <t>KALMAR LÄN</t>
        </is>
      </c>
      <c r="E292" t="inlineStr">
        <is>
          <t>VIMMERBY</t>
        </is>
      </c>
      <c r="G292" t="n">
        <v>4.3</v>
      </c>
      <c r="H292" t="n">
        <v>0</v>
      </c>
      <c r="I292" t="n">
        <v>0</v>
      </c>
      <c r="J292" t="n">
        <v>0</v>
      </c>
      <c r="K292" t="n">
        <v>0</v>
      </c>
      <c r="L292" t="n">
        <v>0</v>
      </c>
      <c r="M292" t="n">
        <v>0</v>
      </c>
      <c r="N292" t="n">
        <v>0</v>
      </c>
      <c r="O292" t="n">
        <v>0</v>
      </c>
      <c r="P292" t="n">
        <v>0</v>
      </c>
      <c r="Q292" t="n">
        <v>0</v>
      </c>
      <c r="R292" s="2" t="inlineStr"/>
    </row>
    <row r="293" ht="15" customHeight="1">
      <c r="A293" t="inlineStr">
        <is>
          <t>A 10759-2023</t>
        </is>
      </c>
      <c r="B293" s="1" t="n">
        <v>44988</v>
      </c>
      <c r="C293" s="1" t="n">
        <v>46090</v>
      </c>
      <c r="D293" t="inlineStr">
        <is>
          <t>KALMAR LÄN</t>
        </is>
      </c>
      <c r="E293" t="inlineStr">
        <is>
          <t>VIMMERBY</t>
        </is>
      </c>
      <c r="G293" t="n">
        <v>0.4</v>
      </c>
      <c r="H293" t="n">
        <v>0</v>
      </c>
      <c r="I293" t="n">
        <v>0</v>
      </c>
      <c r="J293" t="n">
        <v>0</v>
      </c>
      <c r="K293" t="n">
        <v>0</v>
      </c>
      <c r="L293" t="n">
        <v>0</v>
      </c>
      <c r="M293" t="n">
        <v>0</v>
      </c>
      <c r="N293" t="n">
        <v>0</v>
      </c>
      <c r="O293" t="n">
        <v>0</v>
      </c>
      <c r="P293" t="n">
        <v>0</v>
      </c>
      <c r="Q293" t="n">
        <v>0</v>
      </c>
      <c r="R293" s="2" t="inlineStr"/>
    </row>
    <row r="294" ht="15" customHeight="1">
      <c r="A294" t="inlineStr">
        <is>
          <t>A 63583-2023</t>
        </is>
      </c>
      <c r="B294" s="1" t="n">
        <v>45275.41833333333</v>
      </c>
      <c r="C294" s="1" t="n">
        <v>46090</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40921-2025</t>
        </is>
      </c>
      <c r="B295" s="1" t="n">
        <v>45897.63520833333</v>
      </c>
      <c r="C295" s="1" t="n">
        <v>46090</v>
      </c>
      <c r="D295" t="inlineStr">
        <is>
          <t>KALMAR LÄN</t>
        </is>
      </c>
      <c r="E295" t="inlineStr">
        <is>
          <t>VIMMERBY</t>
        </is>
      </c>
      <c r="G295" t="n">
        <v>4.2</v>
      </c>
      <c r="H295" t="n">
        <v>0</v>
      </c>
      <c r="I295" t="n">
        <v>0</v>
      </c>
      <c r="J295" t="n">
        <v>0</v>
      </c>
      <c r="K295" t="n">
        <v>0</v>
      </c>
      <c r="L295" t="n">
        <v>0</v>
      </c>
      <c r="M295" t="n">
        <v>0</v>
      </c>
      <c r="N295" t="n">
        <v>0</v>
      </c>
      <c r="O295" t="n">
        <v>0</v>
      </c>
      <c r="P295" t="n">
        <v>0</v>
      </c>
      <c r="Q295" t="n">
        <v>0</v>
      </c>
      <c r="R295" s="2" t="inlineStr"/>
    </row>
    <row r="296" ht="15" customHeight="1">
      <c r="A296" t="inlineStr">
        <is>
          <t>A 26207-2025</t>
        </is>
      </c>
      <c r="B296" s="1" t="n">
        <v>45805.52983796296</v>
      </c>
      <c r="C296" s="1" t="n">
        <v>46090</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40079-2023</t>
        </is>
      </c>
      <c r="B297" s="1" t="n">
        <v>45168.89298611111</v>
      </c>
      <c r="C297" s="1" t="n">
        <v>46090</v>
      </c>
      <c r="D297" t="inlineStr">
        <is>
          <t>KALMAR LÄN</t>
        </is>
      </c>
      <c r="E297" t="inlineStr">
        <is>
          <t>VIMMERBY</t>
        </is>
      </c>
      <c r="G297" t="n">
        <v>1.2</v>
      </c>
      <c r="H297" t="n">
        <v>0</v>
      </c>
      <c r="I297" t="n">
        <v>0</v>
      </c>
      <c r="J297" t="n">
        <v>0</v>
      </c>
      <c r="K297" t="n">
        <v>0</v>
      </c>
      <c r="L297" t="n">
        <v>0</v>
      </c>
      <c r="M297" t="n">
        <v>0</v>
      </c>
      <c r="N297" t="n">
        <v>0</v>
      </c>
      <c r="O297" t="n">
        <v>0</v>
      </c>
      <c r="P297" t="n">
        <v>0</v>
      </c>
      <c r="Q297" t="n">
        <v>0</v>
      </c>
      <c r="R297" s="2" t="inlineStr"/>
    </row>
    <row r="298" ht="15" customHeight="1">
      <c r="A298" t="inlineStr">
        <is>
          <t>A 25830-2025</t>
        </is>
      </c>
      <c r="B298" s="1" t="n">
        <v>45804.44519675926</v>
      </c>
      <c r="C298" s="1" t="n">
        <v>46090</v>
      </c>
      <c r="D298" t="inlineStr">
        <is>
          <t>KALMAR LÄN</t>
        </is>
      </c>
      <c r="E298" t="inlineStr">
        <is>
          <t>VIMMERBY</t>
        </is>
      </c>
      <c r="G298" t="n">
        <v>4.9</v>
      </c>
      <c r="H298" t="n">
        <v>0</v>
      </c>
      <c r="I298" t="n">
        <v>0</v>
      </c>
      <c r="J298" t="n">
        <v>0</v>
      </c>
      <c r="K298" t="n">
        <v>0</v>
      </c>
      <c r="L298" t="n">
        <v>0</v>
      </c>
      <c r="M298" t="n">
        <v>0</v>
      </c>
      <c r="N298" t="n">
        <v>0</v>
      </c>
      <c r="O298" t="n">
        <v>0</v>
      </c>
      <c r="P298" t="n">
        <v>0</v>
      </c>
      <c r="Q298" t="n">
        <v>0</v>
      </c>
      <c r="R298" s="2" t="inlineStr"/>
    </row>
    <row r="299" ht="15" customHeight="1">
      <c r="A299" t="inlineStr">
        <is>
          <t>A 43774-2023</t>
        </is>
      </c>
      <c r="B299" s="1" t="n">
        <v>45187</v>
      </c>
      <c r="C299" s="1" t="n">
        <v>46090</v>
      </c>
      <c r="D299" t="inlineStr">
        <is>
          <t>KALMAR LÄN</t>
        </is>
      </c>
      <c r="E299" t="inlineStr">
        <is>
          <t>VIMMERBY</t>
        </is>
      </c>
      <c r="G299" t="n">
        <v>3.4</v>
      </c>
      <c r="H299" t="n">
        <v>0</v>
      </c>
      <c r="I299" t="n">
        <v>0</v>
      </c>
      <c r="J299" t="n">
        <v>0</v>
      </c>
      <c r="K299" t="n">
        <v>0</v>
      </c>
      <c r="L299" t="n">
        <v>0</v>
      </c>
      <c r="M299" t="n">
        <v>0</v>
      </c>
      <c r="N299" t="n">
        <v>0</v>
      </c>
      <c r="O299" t="n">
        <v>0</v>
      </c>
      <c r="P299" t="n">
        <v>0</v>
      </c>
      <c r="Q299" t="n">
        <v>0</v>
      </c>
      <c r="R299" s="2" t="inlineStr"/>
    </row>
    <row r="300" ht="15" customHeight="1">
      <c r="A300" t="inlineStr">
        <is>
          <t>A 26254-2025</t>
        </is>
      </c>
      <c r="B300" s="1" t="n">
        <v>45805</v>
      </c>
      <c r="C300" s="1" t="n">
        <v>46090</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29616-2022</t>
        </is>
      </c>
      <c r="B301" s="1" t="n">
        <v>44754</v>
      </c>
      <c r="C301" s="1" t="n">
        <v>46090</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39578-2024</t>
        </is>
      </c>
      <c r="B302" s="1" t="n">
        <v>45552.36484953704</v>
      </c>
      <c r="C302" s="1" t="n">
        <v>46090</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24707-2024</t>
        </is>
      </c>
      <c r="B303" s="1" t="n">
        <v>45460.62172453704</v>
      </c>
      <c r="C303" s="1" t="n">
        <v>46090</v>
      </c>
      <c r="D303" t="inlineStr">
        <is>
          <t>KALMAR LÄN</t>
        </is>
      </c>
      <c r="E303" t="inlineStr">
        <is>
          <t>VIMMERBY</t>
        </is>
      </c>
      <c r="G303" t="n">
        <v>1.7</v>
      </c>
      <c r="H303" t="n">
        <v>0</v>
      </c>
      <c r="I303" t="n">
        <v>0</v>
      </c>
      <c r="J303" t="n">
        <v>0</v>
      </c>
      <c r="K303" t="n">
        <v>0</v>
      </c>
      <c r="L303" t="n">
        <v>0</v>
      </c>
      <c r="M303" t="n">
        <v>0</v>
      </c>
      <c r="N303" t="n">
        <v>0</v>
      </c>
      <c r="O303" t="n">
        <v>0</v>
      </c>
      <c r="P303" t="n">
        <v>0</v>
      </c>
      <c r="Q303" t="n">
        <v>0</v>
      </c>
      <c r="R303" s="2" t="inlineStr"/>
    </row>
    <row r="304" ht="15" customHeight="1">
      <c r="A304" t="inlineStr">
        <is>
          <t>A 41224-2025</t>
        </is>
      </c>
      <c r="B304" s="1" t="n">
        <v>45898.58861111111</v>
      </c>
      <c r="C304" s="1" t="n">
        <v>46090</v>
      </c>
      <c r="D304" t="inlineStr">
        <is>
          <t>KALMAR LÄN</t>
        </is>
      </c>
      <c r="E304" t="inlineStr">
        <is>
          <t>VIMMERBY</t>
        </is>
      </c>
      <c r="G304" t="n">
        <v>4.4</v>
      </c>
      <c r="H304" t="n">
        <v>0</v>
      </c>
      <c r="I304" t="n">
        <v>0</v>
      </c>
      <c r="J304" t="n">
        <v>0</v>
      </c>
      <c r="K304" t="n">
        <v>0</v>
      </c>
      <c r="L304" t="n">
        <v>0</v>
      </c>
      <c r="M304" t="n">
        <v>0</v>
      </c>
      <c r="N304" t="n">
        <v>0</v>
      </c>
      <c r="O304" t="n">
        <v>0</v>
      </c>
      <c r="P304" t="n">
        <v>0</v>
      </c>
      <c r="Q304" t="n">
        <v>0</v>
      </c>
      <c r="R304" s="2" t="inlineStr"/>
    </row>
    <row r="305" ht="15" customHeight="1">
      <c r="A305" t="inlineStr">
        <is>
          <t>A 41591-2025</t>
        </is>
      </c>
      <c r="B305" s="1" t="n">
        <v>45901.6327662037</v>
      </c>
      <c r="C305" s="1" t="n">
        <v>46090</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40971-2025</t>
        </is>
      </c>
      <c r="B306" s="1" t="n">
        <v>45897.88836805556</v>
      </c>
      <c r="C306" s="1" t="n">
        <v>46090</v>
      </c>
      <c r="D306" t="inlineStr">
        <is>
          <t>KALMAR LÄN</t>
        </is>
      </c>
      <c r="E306" t="inlineStr">
        <is>
          <t>VIMMERBY</t>
        </is>
      </c>
      <c r="G306" t="n">
        <v>1.5</v>
      </c>
      <c r="H306" t="n">
        <v>0</v>
      </c>
      <c r="I306" t="n">
        <v>0</v>
      </c>
      <c r="J306" t="n">
        <v>0</v>
      </c>
      <c r="K306" t="n">
        <v>0</v>
      </c>
      <c r="L306" t="n">
        <v>0</v>
      </c>
      <c r="M306" t="n">
        <v>0</v>
      </c>
      <c r="N306" t="n">
        <v>0</v>
      </c>
      <c r="O306" t="n">
        <v>0</v>
      </c>
      <c r="P306" t="n">
        <v>0</v>
      </c>
      <c r="Q306" t="n">
        <v>0</v>
      </c>
      <c r="R306" s="2" t="inlineStr"/>
    </row>
    <row r="307" ht="15" customHeight="1">
      <c r="A307" t="inlineStr">
        <is>
          <t>A 41589-2025</t>
        </is>
      </c>
      <c r="B307" s="1" t="n">
        <v>45901.63219907408</v>
      </c>
      <c r="C307" s="1" t="n">
        <v>46090</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31056-2022</t>
        </is>
      </c>
      <c r="B308" s="1" t="n">
        <v>44769.45805555556</v>
      </c>
      <c r="C308" s="1" t="n">
        <v>46090</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33383-2023</t>
        </is>
      </c>
      <c r="B309" s="1" t="n">
        <v>45128.58414351852</v>
      </c>
      <c r="C309" s="1" t="n">
        <v>46090</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40970-2025</t>
        </is>
      </c>
      <c r="B310" s="1" t="n">
        <v>45897.88706018519</v>
      </c>
      <c r="C310" s="1" t="n">
        <v>46090</v>
      </c>
      <c r="D310" t="inlineStr">
        <is>
          <t>KALMAR LÄN</t>
        </is>
      </c>
      <c r="E310" t="inlineStr">
        <is>
          <t>VIMMERBY</t>
        </is>
      </c>
      <c r="G310" t="n">
        <v>1</v>
      </c>
      <c r="H310" t="n">
        <v>0</v>
      </c>
      <c r="I310" t="n">
        <v>0</v>
      </c>
      <c r="J310" t="n">
        <v>0</v>
      </c>
      <c r="K310" t="n">
        <v>0</v>
      </c>
      <c r="L310" t="n">
        <v>0</v>
      </c>
      <c r="M310" t="n">
        <v>0</v>
      </c>
      <c r="N310" t="n">
        <v>0</v>
      </c>
      <c r="O310" t="n">
        <v>0</v>
      </c>
      <c r="P310" t="n">
        <v>0</v>
      </c>
      <c r="Q310" t="n">
        <v>0</v>
      </c>
      <c r="R310" s="2" t="inlineStr"/>
    </row>
    <row r="311" ht="15" customHeight="1">
      <c r="A311" t="inlineStr">
        <is>
          <t>A 40973-2025</t>
        </is>
      </c>
      <c r="B311" s="1" t="n">
        <v>45897.89737268518</v>
      </c>
      <c r="C311" s="1" t="n">
        <v>46090</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40828-2023</t>
        </is>
      </c>
      <c r="B312" s="1" t="n">
        <v>45171.96248842592</v>
      </c>
      <c r="C312" s="1" t="n">
        <v>46090</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34090-2025</t>
        </is>
      </c>
      <c r="B313" s="1" t="n">
        <v>45845</v>
      </c>
      <c r="C313" s="1" t="n">
        <v>46090</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61861-2024</t>
        </is>
      </c>
      <c r="B314" s="1" t="n">
        <v>45650.37370370371</v>
      </c>
      <c r="C314" s="1" t="n">
        <v>46090</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8650-2022</t>
        </is>
      </c>
      <c r="B315" s="1" t="n">
        <v>44613</v>
      </c>
      <c r="C315" s="1" t="n">
        <v>46090</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33340-2023</t>
        </is>
      </c>
      <c r="B316" s="1" t="n">
        <v>45128.37305555555</v>
      </c>
      <c r="C316" s="1" t="n">
        <v>46090</v>
      </c>
      <c r="D316" t="inlineStr">
        <is>
          <t>KALMAR LÄN</t>
        </is>
      </c>
      <c r="E316" t="inlineStr">
        <is>
          <t>VIMMERBY</t>
        </is>
      </c>
      <c r="G316" t="n">
        <v>1.5</v>
      </c>
      <c r="H316" t="n">
        <v>0</v>
      </c>
      <c r="I316" t="n">
        <v>0</v>
      </c>
      <c r="J316" t="n">
        <v>0</v>
      </c>
      <c r="K316" t="n">
        <v>0</v>
      </c>
      <c r="L316" t="n">
        <v>0</v>
      </c>
      <c r="M316" t="n">
        <v>0</v>
      </c>
      <c r="N316" t="n">
        <v>0</v>
      </c>
      <c r="O316" t="n">
        <v>0</v>
      </c>
      <c r="P316" t="n">
        <v>0</v>
      </c>
      <c r="Q316" t="n">
        <v>0</v>
      </c>
      <c r="R316" s="2" t="inlineStr"/>
    </row>
    <row r="317" ht="15" customHeight="1">
      <c r="A317" t="inlineStr">
        <is>
          <t>A 44423-2023</t>
        </is>
      </c>
      <c r="B317" s="1" t="n">
        <v>45189</v>
      </c>
      <c r="C317" s="1" t="n">
        <v>46090</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37323-2024</t>
        </is>
      </c>
      <c r="B318" s="1" t="n">
        <v>45540.50098379629</v>
      </c>
      <c r="C318" s="1" t="n">
        <v>46090</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41735-2025</t>
        </is>
      </c>
      <c r="B319" s="1" t="n">
        <v>45902.47164351852</v>
      </c>
      <c r="C319" s="1" t="n">
        <v>46090</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18501-2024</t>
        </is>
      </c>
      <c r="B320" s="1" t="n">
        <v>45425.57538194444</v>
      </c>
      <c r="C320" s="1" t="n">
        <v>46090</v>
      </c>
      <c r="D320" t="inlineStr">
        <is>
          <t>KALMAR LÄN</t>
        </is>
      </c>
      <c r="E320" t="inlineStr">
        <is>
          <t>VIMMERBY</t>
        </is>
      </c>
      <c r="G320" t="n">
        <v>2</v>
      </c>
      <c r="H320" t="n">
        <v>0</v>
      </c>
      <c r="I320" t="n">
        <v>0</v>
      </c>
      <c r="J320" t="n">
        <v>0</v>
      </c>
      <c r="K320" t="n">
        <v>0</v>
      </c>
      <c r="L320" t="n">
        <v>0</v>
      </c>
      <c r="M320" t="n">
        <v>0</v>
      </c>
      <c r="N320" t="n">
        <v>0</v>
      </c>
      <c r="O320" t="n">
        <v>0</v>
      </c>
      <c r="P320" t="n">
        <v>0</v>
      </c>
      <c r="Q320" t="n">
        <v>0</v>
      </c>
      <c r="R320" s="2" t="inlineStr"/>
    </row>
    <row r="321" ht="15" customHeight="1">
      <c r="A321" t="inlineStr">
        <is>
          <t>A 27758-2024</t>
        </is>
      </c>
      <c r="B321" s="1" t="n">
        <v>45475.48303240741</v>
      </c>
      <c r="C321" s="1" t="n">
        <v>46090</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13307-2025</t>
        </is>
      </c>
      <c r="B322" s="1" t="n">
        <v>45735.58024305556</v>
      </c>
      <c r="C322" s="1" t="n">
        <v>46090</v>
      </c>
      <c r="D322" t="inlineStr">
        <is>
          <t>KALMAR LÄN</t>
        </is>
      </c>
      <c r="E322" t="inlineStr">
        <is>
          <t>VIMMERBY</t>
        </is>
      </c>
      <c r="G322" t="n">
        <v>0.8</v>
      </c>
      <c r="H322" t="n">
        <v>0</v>
      </c>
      <c r="I322" t="n">
        <v>0</v>
      </c>
      <c r="J322" t="n">
        <v>0</v>
      </c>
      <c r="K322" t="n">
        <v>0</v>
      </c>
      <c r="L322" t="n">
        <v>0</v>
      </c>
      <c r="M322" t="n">
        <v>0</v>
      </c>
      <c r="N322" t="n">
        <v>0</v>
      </c>
      <c r="O322" t="n">
        <v>0</v>
      </c>
      <c r="P322" t="n">
        <v>0</v>
      </c>
      <c r="Q322" t="n">
        <v>0</v>
      </c>
      <c r="R322" s="2" t="inlineStr"/>
    </row>
    <row r="323" ht="15" customHeight="1">
      <c r="A323" t="inlineStr">
        <is>
          <t>A 42828-2025</t>
        </is>
      </c>
      <c r="B323" s="1" t="n">
        <v>45908.57716435185</v>
      </c>
      <c r="C323" s="1" t="n">
        <v>46090</v>
      </c>
      <c r="D323" t="inlineStr">
        <is>
          <t>KALMAR LÄN</t>
        </is>
      </c>
      <c r="E323" t="inlineStr">
        <is>
          <t>VIMMERBY</t>
        </is>
      </c>
      <c r="G323" t="n">
        <v>5.2</v>
      </c>
      <c r="H323" t="n">
        <v>0</v>
      </c>
      <c r="I323" t="n">
        <v>0</v>
      </c>
      <c r="J323" t="n">
        <v>0</v>
      </c>
      <c r="K323" t="n">
        <v>0</v>
      </c>
      <c r="L323" t="n">
        <v>0</v>
      </c>
      <c r="M323" t="n">
        <v>0</v>
      </c>
      <c r="N323" t="n">
        <v>0</v>
      </c>
      <c r="O323" t="n">
        <v>0</v>
      </c>
      <c r="P323" t="n">
        <v>0</v>
      </c>
      <c r="Q323" t="n">
        <v>0</v>
      </c>
      <c r="R323" s="2" t="inlineStr"/>
    </row>
    <row r="324" ht="15" customHeight="1">
      <c r="A324" t="inlineStr">
        <is>
          <t>A 55716-2023</t>
        </is>
      </c>
      <c r="B324" s="1" t="n">
        <v>45232</v>
      </c>
      <c r="C324" s="1" t="n">
        <v>46090</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28286-2025</t>
        </is>
      </c>
      <c r="B325" s="1" t="n">
        <v>45818.58993055556</v>
      </c>
      <c r="C325" s="1" t="n">
        <v>46090</v>
      </c>
      <c r="D325" t="inlineStr">
        <is>
          <t>KALMAR LÄN</t>
        </is>
      </c>
      <c r="E325" t="inlineStr">
        <is>
          <t>VIMMERBY</t>
        </is>
      </c>
      <c r="F325" t="inlineStr">
        <is>
          <t>Sveaskog</t>
        </is>
      </c>
      <c r="G325" t="n">
        <v>8</v>
      </c>
      <c r="H325" t="n">
        <v>0</v>
      </c>
      <c r="I325" t="n">
        <v>0</v>
      </c>
      <c r="J325" t="n">
        <v>0</v>
      </c>
      <c r="K325" t="n">
        <v>0</v>
      </c>
      <c r="L325" t="n">
        <v>0</v>
      </c>
      <c r="M325" t="n">
        <v>0</v>
      </c>
      <c r="N325" t="n">
        <v>0</v>
      </c>
      <c r="O325" t="n">
        <v>0</v>
      </c>
      <c r="P325" t="n">
        <v>0</v>
      </c>
      <c r="Q325" t="n">
        <v>0</v>
      </c>
      <c r="R325" s="2" t="inlineStr"/>
    </row>
    <row r="326" ht="15" customHeight="1">
      <c r="A326" t="inlineStr">
        <is>
          <t>A 42794-2025</t>
        </is>
      </c>
      <c r="B326" s="1" t="n">
        <v>45908</v>
      </c>
      <c r="C326" s="1" t="n">
        <v>46090</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28282-2025</t>
        </is>
      </c>
      <c r="B327" s="1" t="n">
        <v>45818.58769675926</v>
      </c>
      <c r="C327" s="1" t="n">
        <v>46090</v>
      </c>
      <c r="D327" t="inlineStr">
        <is>
          <t>KALMAR LÄN</t>
        </is>
      </c>
      <c r="E327" t="inlineStr">
        <is>
          <t>VIMMERBY</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28294-2025</t>
        </is>
      </c>
      <c r="B328" s="1" t="n">
        <v>45818.595625</v>
      </c>
      <c r="C328" s="1" t="n">
        <v>46090</v>
      </c>
      <c r="D328" t="inlineStr">
        <is>
          <t>KALMAR LÄN</t>
        </is>
      </c>
      <c r="E328" t="inlineStr">
        <is>
          <t>VIMMERBY</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28290-2025</t>
        </is>
      </c>
      <c r="B329" s="1" t="n">
        <v>45818.59261574074</v>
      </c>
      <c r="C329" s="1" t="n">
        <v>46090</v>
      </c>
      <c r="D329" t="inlineStr">
        <is>
          <t>KALMAR LÄN</t>
        </is>
      </c>
      <c r="E329" t="inlineStr">
        <is>
          <t>VIMMERBY</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42820-2025</t>
        </is>
      </c>
      <c r="B330" s="1" t="n">
        <v>45908</v>
      </c>
      <c r="C330" s="1" t="n">
        <v>46090</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18329-2023</t>
        </is>
      </c>
      <c r="B331" s="1" t="n">
        <v>45041.63380787037</v>
      </c>
      <c r="C331" s="1" t="n">
        <v>46090</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28280-2025</t>
        </is>
      </c>
      <c r="B332" s="1" t="n">
        <v>45818.5862037037</v>
      </c>
      <c r="C332" s="1" t="n">
        <v>46090</v>
      </c>
      <c r="D332" t="inlineStr">
        <is>
          <t>KALMAR LÄN</t>
        </is>
      </c>
      <c r="E332" t="inlineStr">
        <is>
          <t>VIMMERBY</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28620-2025</t>
        </is>
      </c>
      <c r="B333" s="1" t="n">
        <v>45819.61060185185</v>
      </c>
      <c r="C333" s="1" t="n">
        <v>46090</v>
      </c>
      <c r="D333" t="inlineStr">
        <is>
          <t>KALMAR LÄN</t>
        </is>
      </c>
      <c r="E333" t="inlineStr">
        <is>
          <t>VIMMERBY</t>
        </is>
      </c>
      <c r="G333" t="n">
        <v>5.6</v>
      </c>
      <c r="H333" t="n">
        <v>0</v>
      </c>
      <c r="I333" t="n">
        <v>0</v>
      </c>
      <c r="J333" t="n">
        <v>0</v>
      </c>
      <c r="K333" t="n">
        <v>0</v>
      </c>
      <c r="L333" t="n">
        <v>0</v>
      </c>
      <c r="M333" t="n">
        <v>0</v>
      </c>
      <c r="N333" t="n">
        <v>0</v>
      </c>
      <c r="O333" t="n">
        <v>0</v>
      </c>
      <c r="P333" t="n">
        <v>0</v>
      </c>
      <c r="Q333" t="n">
        <v>0</v>
      </c>
      <c r="R333" s="2" t="inlineStr"/>
    </row>
    <row r="334" ht="15" customHeight="1">
      <c r="A334" t="inlineStr">
        <is>
          <t>A 13015-2023</t>
        </is>
      </c>
      <c r="B334" s="1" t="n">
        <v>45002</v>
      </c>
      <c r="C334" s="1" t="n">
        <v>46090</v>
      </c>
      <c r="D334" t="inlineStr">
        <is>
          <t>KALMAR LÄN</t>
        </is>
      </c>
      <c r="E334" t="inlineStr">
        <is>
          <t>VIMMERBY</t>
        </is>
      </c>
      <c r="G334" t="n">
        <v>3.2</v>
      </c>
      <c r="H334" t="n">
        <v>0</v>
      </c>
      <c r="I334" t="n">
        <v>0</v>
      </c>
      <c r="J334" t="n">
        <v>0</v>
      </c>
      <c r="K334" t="n">
        <v>0</v>
      </c>
      <c r="L334" t="n">
        <v>0</v>
      </c>
      <c r="M334" t="n">
        <v>0</v>
      </c>
      <c r="N334" t="n">
        <v>0</v>
      </c>
      <c r="O334" t="n">
        <v>0</v>
      </c>
      <c r="P334" t="n">
        <v>0</v>
      </c>
      <c r="Q334" t="n">
        <v>0</v>
      </c>
      <c r="R334" s="2" t="inlineStr"/>
    </row>
    <row r="335" ht="15" customHeight="1">
      <c r="A335" t="inlineStr">
        <is>
          <t>A 34060-2025</t>
        </is>
      </c>
      <c r="B335" s="1" t="n">
        <v>45845.42015046296</v>
      </c>
      <c r="C335" s="1" t="n">
        <v>46090</v>
      </c>
      <c r="D335" t="inlineStr">
        <is>
          <t>KALMAR LÄN</t>
        </is>
      </c>
      <c r="E335" t="inlineStr">
        <is>
          <t>VIMMERBY</t>
        </is>
      </c>
      <c r="G335" t="n">
        <v>5.7</v>
      </c>
      <c r="H335" t="n">
        <v>0</v>
      </c>
      <c r="I335" t="n">
        <v>0</v>
      </c>
      <c r="J335" t="n">
        <v>0</v>
      </c>
      <c r="K335" t="n">
        <v>0</v>
      </c>
      <c r="L335" t="n">
        <v>0</v>
      </c>
      <c r="M335" t="n">
        <v>0</v>
      </c>
      <c r="N335" t="n">
        <v>0</v>
      </c>
      <c r="O335" t="n">
        <v>0</v>
      </c>
      <c r="P335" t="n">
        <v>0</v>
      </c>
      <c r="Q335" t="n">
        <v>0</v>
      </c>
      <c r="R335" s="2" t="inlineStr"/>
    </row>
    <row r="336" ht="15" customHeight="1">
      <c r="A336" t="inlineStr">
        <is>
          <t>A 43465-2025</t>
        </is>
      </c>
      <c r="B336" s="1" t="n">
        <v>45911.47138888889</v>
      </c>
      <c r="C336" s="1" t="n">
        <v>46090</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43617-2025</t>
        </is>
      </c>
      <c r="B337" s="1" t="n">
        <v>45911.67798611111</v>
      </c>
      <c r="C337" s="1" t="n">
        <v>46090</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29186-2024</t>
        </is>
      </c>
      <c r="B338" s="1" t="n">
        <v>45482.54844907407</v>
      </c>
      <c r="C338" s="1" t="n">
        <v>46090</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28712-2025</t>
        </is>
      </c>
      <c r="B339" s="1" t="n">
        <v>45820.33708333333</v>
      </c>
      <c r="C339" s="1" t="n">
        <v>46090</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28714-2025</t>
        </is>
      </c>
      <c r="B340" s="1" t="n">
        <v>45820.34128472222</v>
      </c>
      <c r="C340" s="1" t="n">
        <v>46090</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50993-2022</t>
        </is>
      </c>
      <c r="B341" s="1" t="n">
        <v>44867</v>
      </c>
      <c r="C341" s="1" t="n">
        <v>46090</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28713-2025</t>
        </is>
      </c>
      <c r="B342" s="1" t="n">
        <v>45820.33930555556</v>
      </c>
      <c r="C342" s="1" t="n">
        <v>46090</v>
      </c>
      <c r="D342" t="inlineStr">
        <is>
          <t>KALMAR LÄN</t>
        </is>
      </c>
      <c r="E342" t="inlineStr">
        <is>
          <t>VIMMERBY</t>
        </is>
      </c>
      <c r="G342" t="n">
        <v>2.3</v>
      </c>
      <c r="H342" t="n">
        <v>0</v>
      </c>
      <c r="I342" t="n">
        <v>0</v>
      </c>
      <c r="J342" t="n">
        <v>0</v>
      </c>
      <c r="K342" t="n">
        <v>0</v>
      </c>
      <c r="L342" t="n">
        <v>0</v>
      </c>
      <c r="M342" t="n">
        <v>0</v>
      </c>
      <c r="N342" t="n">
        <v>0</v>
      </c>
      <c r="O342" t="n">
        <v>0</v>
      </c>
      <c r="P342" t="n">
        <v>0</v>
      </c>
      <c r="Q342" t="n">
        <v>0</v>
      </c>
      <c r="R342" s="2" t="inlineStr"/>
    </row>
    <row r="343" ht="15" customHeight="1">
      <c r="A343" t="inlineStr">
        <is>
          <t>A 54787-2023</t>
        </is>
      </c>
      <c r="B343" s="1" t="n">
        <v>45236</v>
      </c>
      <c r="C343" s="1" t="n">
        <v>46090</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44095-2025</t>
        </is>
      </c>
      <c r="B344" s="1" t="n">
        <v>45915.56430555556</v>
      </c>
      <c r="C344" s="1" t="n">
        <v>46090</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32614-2023</t>
        </is>
      </c>
      <c r="B345" s="1" t="n">
        <v>45121</v>
      </c>
      <c r="C345" s="1" t="n">
        <v>46090</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6850-2023</t>
        </is>
      </c>
      <c r="B346" s="1" t="n">
        <v>44967.44255787037</v>
      </c>
      <c r="C346" s="1" t="n">
        <v>46090</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58750-2022</t>
        </is>
      </c>
      <c r="B347" s="1" t="n">
        <v>44903.33363425926</v>
      </c>
      <c r="C347" s="1" t="n">
        <v>46090</v>
      </c>
      <c r="D347" t="inlineStr">
        <is>
          <t>KALMAR LÄN</t>
        </is>
      </c>
      <c r="E347" t="inlineStr">
        <is>
          <t>VIMMERBY</t>
        </is>
      </c>
      <c r="G347" t="n">
        <v>3.3</v>
      </c>
      <c r="H347" t="n">
        <v>0</v>
      </c>
      <c r="I347" t="n">
        <v>0</v>
      </c>
      <c r="J347" t="n">
        <v>0</v>
      </c>
      <c r="K347" t="n">
        <v>0</v>
      </c>
      <c r="L347" t="n">
        <v>0</v>
      </c>
      <c r="M347" t="n">
        <v>0</v>
      </c>
      <c r="N347" t="n">
        <v>0</v>
      </c>
      <c r="O347" t="n">
        <v>0</v>
      </c>
      <c r="P347" t="n">
        <v>0</v>
      </c>
      <c r="Q347" t="n">
        <v>0</v>
      </c>
      <c r="R347" s="2" t="inlineStr"/>
    </row>
    <row r="348" ht="15" customHeight="1">
      <c r="A348" t="inlineStr">
        <is>
          <t>A 41158-2023</t>
        </is>
      </c>
      <c r="B348" s="1" t="n">
        <v>45174.31395833333</v>
      </c>
      <c r="C348" s="1" t="n">
        <v>46090</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29737-2025</t>
        </is>
      </c>
      <c r="B349" s="1" t="n">
        <v>45825.58672453704</v>
      </c>
      <c r="C349" s="1" t="n">
        <v>46090</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2510-2023</t>
        </is>
      </c>
      <c r="B350" s="1" t="n">
        <v>44943.57309027778</v>
      </c>
      <c r="C350" s="1" t="n">
        <v>46090</v>
      </c>
      <c r="D350" t="inlineStr">
        <is>
          <t>KALMAR LÄN</t>
        </is>
      </c>
      <c r="E350" t="inlineStr">
        <is>
          <t>VIMMERBY</t>
        </is>
      </c>
      <c r="G350" t="n">
        <v>8.6</v>
      </c>
      <c r="H350" t="n">
        <v>0</v>
      </c>
      <c r="I350" t="n">
        <v>0</v>
      </c>
      <c r="J350" t="n">
        <v>0</v>
      </c>
      <c r="K350" t="n">
        <v>0</v>
      </c>
      <c r="L350" t="n">
        <v>0</v>
      </c>
      <c r="M350" t="n">
        <v>0</v>
      </c>
      <c r="N350" t="n">
        <v>0</v>
      </c>
      <c r="O350" t="n">
        <v>0</v>
      </c>
      <c r="P350" t="n">
        <v>0</v>
      </c>
      <c r="Q350" t="n">
        <v>0</v>
      </c>
      <c r="R350" s="2" t="inlineStr"/>
    </row>
    <row r="351" ht="15" customHeight="1">
      <c r="A351" t="inlineStr">
        <is>
          <t>A 44091-2025</t>
        </is>
      </c>
      <c r="B351" s="1" t="n">
        <v>45915.55950231481</v>
      </c>
      <c r="C351" s="1" t="n">
        <v>46090</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29727-2025</t>
        </is>
      </c>
      <c r="B352" s="1" t="n">
        <v>45825.5796875</v>
      </c>
      <c r="C352" s="1" t="n">
        <v>46090</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3269-2024</t>
        </is>
      </c>
      <c r="B353" s="1" t="n">
        <v>45317.40372685185</v>
      </c>
      <c r="C353" s="1" t="n">
        <v>46090</v>
      </c>
      <c r="D353" t="inlineStr">
        <is>
          <t>KALMAR LÄN</t>
        </is>
      </c>
      <c r="E353" t="inlineStr">
        <is>
          <t>VIMMERBY</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48120-2022</t>
        </is>
      </c>
      <c r="B354" s="1" t="n">
        <v>44857.65989583333</v>
      </c>
      <c r="C354" s="1" t="n">
        <v>46090</v>
      </c>
      <c r="D354" t="inlineStr">
        <is>
          <t>KALMAR LÄN</t>
        </is>
      </c>
      <c r="E354" t="inlineStr">
        <is>
          <t>VIMMERBY</t>
        </is>
      </c>
      <c r="G354" t="n">
        <v>1.7</v>
      </c>
      <c r="H354" t="n">
        <v>0</v>
      </c>
      <c r="I354" t="n">
        <v>0</v>
      </c>
      <c r="J354" t="n">
        <v>0</v>
      </c>
      <c r="K354" t="n">
        <v>0</v>
      </c>
      <c r="L354" t="n">
        <v>0</v>
      </c>
      <c r="M354" t="n">
        <v>0</v>
      </c>
      <c r="N354" t="n">
        <v>0</v>
      </c>
      <c r="O354" t="n">
        <v>0</v>
      </c>
      <c r="P354" t="n">
        <v>0</v>
      </c>
      <c r="Q354" t="n">
        <v>0</v>
      </c>
      <c r="R354" s="2" t="inlineStr"/>
    </row>
    <row r="355" ht="15" customHeight="1">
      <c r="A355" t="inlineStr">
        <is>
          <t>A 6368-2023</t>
        </is>
      </c>
      <c r="B355" s="1" t="n">
        <v>44965</v>
      </c>
      <c r="C355" s="1" t="n">
        <v>46090</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9416-2024</t>
        </is>
      </c>
      <c r="B356" s="1" t="n">
        <v>45359.44837962963</v>
      </c>
      <c r="C356" s="1" t="n">
        <v>46090</v>
      </c>
      <c r="D356" t="inlineStr">
        <is>
          <t>KALMAR LÄN</t>
        </is>
      </c>
      <c r="E356" t="inlineStr">
        <is>
          <t>VIMMERBY</t>
        </is>
      </c>
      <c r="G356" t="n">
        <v>3.2</v>
      </c>
      <c r="H356" t="n">
        <v>0</v>
      </c>
      <c r="I356" t="n">
        <v>0</v>
      </c>
      <c r="J356" t="n">
        <v>0</v>
      </c>
      <c r="K356" t="n">
        <v>0</v>
      </c>
      <c r="L356" t="n">
        <v>0</v>
      </c>
      <c r="M356" t="n">
        <v>0</v>
      </c>
      <c r="N356" t="n">
        <v>0</v>
      </c>
      <c r="O356" t="n">
        <v>0</v>
      </c>
      <c r="P356" t="n">
        <v>0</v>
      </c>
      <c r="Q356" t="n">
        <v>0</v>
      </c>
      <c r="R356" s="2" t="inlineStr"/>
    </row>
    <row r="357" ht="15" customHeight="1">
      <c r="A357" t="inlineStr">
        <is>
          <t>A 44517-2025</t>
        </is>
      </c>
      <c r="B357" s="1" t="n">
        <v>45916.7103587963</v>
      </c>
      <c r="C357" s="1" t="n">
        <v>46090</v>
      </c>
      <c r="D357" t="inlineStr">
        <is>
          <t>KALMAR LÄN</t>
        </is>
      </c>
      <c r="E357" t="inlineStr">
        <is>
          <t>VIMMERBY</t>
        </is>
      </c>
      <c r="G357" t="n">
        <v>0.9</v>
      </c>
      <c r="H357" t="n">
        <v>0</v>
      </c>
      <c r="I357" t="n">
        <v>0</v>
      </c>
      <c r="J357" t="n">
        <v>0</v>
      </c>
      <c r="K357" t="n">
        <v>0</v>
      </c>
      <c r="L357" t="n">
        <v>0</v>
      </c>
      <c r="M357" t="n">
        <v>0</v>
      </c>
      <c r="N357" t="n">
        <v>0</v>
      </c>
      <c r="O357" t="n">
        <v>0</v>
      </c>
      <c r="P357" t="n">
        <v>0</v>
      </c>
      <c r="Q357" t="n">
        <v>0</v>
      </c>
      <c r="R357" s="2" t="inlineStr"/>
    </row>
    <row r="358" ht="15" customHeight="1">
      <c r="A358" t="inlineStr">
        <is>
          <t>A 44742-2025</t>
        </is>
      </c>
      <c r="B358" s="1" t="n">
        <v>45917.67054398148</v>
      </c>
      <c r="C358" s="1" t="n">
        <v>46090</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44329-2025</t>
        </is>
      </c>
      <c r="B359" s="1" t="n">
        <v>45916.41019675926</v>
      </c>
      <c r="C359" s="1" t="n">
        <v>46090</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41896-2025</t>
        </is>
      </c>
      <c r="B360" s="1" t="n">
        <v>45903.38800925926</v>
      </c>
      <c r="C360" s="1" t="n">
        <v>46090</v>
      </c>
      <c r="D360" t="inlineStr">
        <is>
          <t>KALMAR LÄN</t>
        </is>
      </c>
      <c r="E360" t="inlineStr">
        <is>
          <t>VIMMERBY</t>
        </is>
      </c>
      <c r="G360" t="n">
        <v>2.9</v>
      </c>
      <c r="H360" t="n">
        <v>0</v>
      </c>
      <c r="I360" t="n">
        <v>0</v>
      </c>
      <c r="J360" t="n">
        <v>0</v>
      </c>
      <c r="K360" t="n">
        <v>0</v>
      </c>
      <c r="L360" t="n">
        <v>0</v>
      </c>
      <c r="M360" t="n">
        <v>0</v>
      </c>
      <c r="N360" t="n">
        <v>0</v>
      </c>
      <c r="O360" t="n">
        <v>0</v>
      </c>
      <c r="P360" t="n">
        <v>0</v>
      </c>
      <c r="Q360" t="n">
        <v>0</v>
      </c>
      <c r="R360" s="2" t="inlineStr"/>
    </row>
    <row r="361" ht="15" customHeight="1">
      <c r="A361" t="inlineStr">
        <is>
          <t>A 2797-2023</t>
        </is>
      </c>
      <c r="B361" s="1" t="n">
        <v>44944.71386574074</v>
      </c>
      <c r="C361" s="1" t="n">
        <v>46090</v>
      </c>
      <c r="D361" t="inlineStr">
        <is>
          <t>KALMAR LÄN</t>
        </is>
      </c>
      <c r="E361" t="inlineStr">
        <is>
          <t>VIMMERBY</t>
        </is>
      </c>
      <c r="G361" t="n">
        <v>3.4</v>
      </c>
      <c r="H361" t="n">
        <v>0</v>
      </c>
      <c r="I361" t="n">
        <v>0</v>
      </c>
      <c r="J361" t="n">
        <v>0</v>
      </c>
      <c r="K361" t="n">
        <v>0</v>
      </c>
      <c r="L361" t="n">
        <v>0</v>
      </c>
      <c r="M361" t="n">
        <v>0</v>
      </c>
      <c r="N361" t="n">
        <v>0</v>
      </c>
      <c r="O361" t="n">
        <v>0</v>
      </c>
      <c r="P361" t="n">
        <v>0</v>
      </c>
      <c r="Q361" t="n">
        <v>0</v>
      </c>
      <c r="R361" s="2" t="inlineStr"/>
    </row>
    <row r="362" ht="15" customHeight="1">
      <c r="A362" t="inlineStr">
        <is>
          <t>A 2799-2023</t>
        </is>
      </c>
      <c r="B362" s="1" t="n">
        <v>44944.72100694444</v>
      </c>
      <c r="C362" s="1" t="n">
        <v>46090</v>
      </c>
      <c r="D362" t="inlineStr">
        <is>
          <t>KALMAR LÄN</t>
        </is>
      </c>
      <c r="E362" t="inlineStr">
        <is>
          <t>VIMMERBY</t>
        </is>
      </c>
      <c r="G362" t="n">
        <v>1.3</v>
      </c>
      <c r="H362" t="n">
        <v>0</v>
      </c>
      <c r="I362" t="n">
        <v>0</v>
      </c>
      <c r="J362" t="n">
        <v>0</v>
      </c>
      <c r="K362" t="n">
        <v>0</v>
      </c>
      <c r="L362" t="n">
        <v>0</v>
      </c>
      <c r="M362" t="n">
        <v>0</v>
      </c>
      <c r="N362" t="n">
        <v>0</v>
      </c>
      <c r="O362" t="n">
        <v>0</v>
      </c>
      <c r="P362" t="n">
        <v>0</v>
      </c>
      <c r="Q362" t="n">
        <v>0</v>
      </c>
      <c r="R362" s="2" t="inlineStr"/>
    </row>
    <row r="363" ht="15" customHeight="1">
      <c r="A363" t="inlineStr">
        <is>
          <t>A 25987-2024</t>
        </is>
      </c>
      <c r="B363" s="1" t="n">
        <v>45467.74417824074</v>
      </c>
      <c r="C363" s="1" t="n">
        <v>46090</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22194-2024</t>
        </is>
      </c>
      <c r="B364" s="1" t="n">
        <v>45446.36482638889</v>
      </c>
      <c r="C364" s="1" t="n">
        <v>46090</v>
      </c>
      <c r="D364" t="inlineStr">
        <is>
          <t>KALMAR LÄN</t>
        </is>
      </c>
      <c r="E364" t="inlineStr">
        <is>
          <t>VIMMERBY</t>
        </is>
      </c>
      <c r="F364" t="inlineStr">
        <is>
          <t>Sveaskog</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30293-2025</t>
        </is>
      </c>
      <c r="B365" s="1" t="n">
        <v>45827</v>
      </c>
      <c r="C365" s="1" t="n">
        <v>46090</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30290-2025</t>
        </is>
      </c>
      <c r="B366" s="1" t="n">
        <v>45827</v>
      </c>
      <c r="C366" s="1" t="n">
        <v>46090</v>
      </c>
      <c r="D366" t="inlineStr">
        <is>
          <t>KALMAR LÄN</t>
        </is>
      </c>
      <c r="E366" t="inlineStr">
        <is>
          <t>VIMMERBY</t>
        </is>
      </c>
      <c r="G366" t="n">
        <v>1</v>
      </c>
      <c r="H366" t="n">
        <v>0</v>
      </c>
      <c r="I366" t="n">
        <v>0</v>
      </c>
      <c r="J366" t="n">
        <v>0</v>
      </c>
      <c r="K366" t="n">
        <v>0</v>
      </c>
      <c r="L366" t="n">
        <v>0</v>
      </c>
      <c r="M366" t="n">
        <v>0</v>
      </c>
      <c r="N366" t="n">
        <v>0</v>
      </c>
      <c r="O366" t="n">
        <v>0</v>
      </c>
      <c r="P366" t="n">
        <v>0</v>
      </c>
      <c r="Q366" t="n">
        <v>0</v>
      </c>
      <c r="R366" s="2" t="inlineStr"/>
    </row>
    <row r="367" ht="15" customHeight="1">
      <c r="A367" t="inlineStr">
        <is>
          <t>A 19865-2021</t>
        </is>
      </c>
      <c r="B367" s="1" t="n">
        <v>44312</v>
      </c>
      <c r="C367" s="1" t="n">
        <v>46090</v>
      </c>
      <c r="D367" t="inlineStr">
        <is>
          <t>KALMAR LÄN</t>
        </is>
      </c>
      <c r="E367" t="inlineStr">
        <is>
          <t>VIMMERBY</t>
        </is>
      </c>
      <c r="G367" t="n">
        <v>8.6</v>
      </c>
      <c r="H367" t="n">
        <v>0</v>
      </c>
      <c r="I367" t="n">
        <v>0</v>
      </c>
      <c r="J367" t="n">
        <v>0</v>
      </c>
      <c r="K367" t="n">
        <v>0</v>
      </c>
      <c r="L367" t="n">
        <v>0</v>
      </c>
      <c r="M367" t="n">
        <v>0</v>
      </c>
      <c r="N367" t="n">
        <v>0</v>
      </c>
      <c r="O367" t="n">
        <v>0</v>
      </c>
      <c r="P367" t="n">
        <v>0</v>
      </c>
      <c r="Q367" t="n">
        <v>0</v>
      </c>
      <c r="R367" s="2" t="inlineStr"/>
    </row>
    <row r="368" ht="15" customHeight="1">
      <c r="A368" t="inlineStr">
        <is>
          <t>A 12630-2023</t>
        </is>
      </c>
      <c r="B368" s="1" t="n">
        <v>45000.47998842593</v>
      </c>
      <c r="C368" s="1" t="n">
        <v>46090</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21109-2024</t>
        </is>
      </c>
      <c r="B369" s="1" t="n">
        <v>45440.28329861111</v>
      </c>
      <c r="C369" s="1" t="n">
        <v>46090</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30850-2025</t>
        </is>
      </c>
      <c r="B370" s="1" t="n">
        <v>45831</v>
      </c>
      <c r="C370" s="1" t="n">
        <v>46090</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30634-2024</t>
        </is>
      </c>
      <c r="B371" s="1" t="n">
        <v>45495</v>
      </c>
      <c r="C371" s="1" t="n">
        <v>46090</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40260-2024</t>
        </is>
      </c>
      <c r="B372" s="1" t="n">
        <v>45554.63225694445</v>
      </c>
      <c r="C372" s="1" t="n">
        <v>46090</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45114-2025</t>
        </is>
      </c>
      <c r="B373" s="1" t="n">
        <v>45919.42387731482</v>
      </c>
      <c r="C373" s="1" t="n">
        <v>46090</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59943-2023</t>
        </is>
      </c>
      <c r="B374" s="1" t="n">
        <v>45257.67958333333</v>
      </c>
      <c r="C374" s="1" t="n">
        <v>46090</v>
      </c>
      <c r="D374" t="inlineStr">
        <is>
          <t>KALMAR LÄN</t>
        </is>
      </c>
      <c r="E374" t="inlineStr">
        <is>
          <t>VIMMERBY</t>
        </is>
      </c>
      <c r="G374" t="n">
        <v>6.4</v>
      </c>
      <c r="H374" t="n">
        <v>0</v>
      </c>
      <c r="I374" t="n">
        <v>0</v>
      </c>
      <c r="J374" t="n">
        <v>0</v>
      </c>
      <c r="K374" t="n">
        <v>0</v>
      </c>
      <c r="L374" t="n">
        <v>0</v>
      </c>
      <c r="M374" t="n">
        <v>0</v>
      </c>
      <c r="N374" t="n">
        <v>0</v>
      </c>
      <c r="O374" t="n">
        <v>0</v>
      </c>
      <c r="P374" t="n">
        <v>0</v>
      </c>
      <c r="Q374" t="n">
        <v>0</v>
      </c>
      <c r="R374" s="2" t="inlineStr"/>
    </row>
    <row r="375" ht="15" customHeight="1">
      <c r="A375" t="inlineStr">
        <is>
          <t>A 45319-2025</t>
        </is>
      </c>
      <c r="B375" s="1" t="n">
        <v>45921.95611111111</v>
      </c>
      <c r="C375" s="1" t="n">
        <v>46090</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5527-2022</t>
        </is>
      </c>
      <c r="B376" s="1" t="n">
        <v>44595.583125</v>
      </c>
      <c r="C376" s="1" t="n">
        <v>46090</v>
      </c>
      <c r="D376" t="inlineStr">
        <is>
          <t>KALMAR LÄN</t>
        </is>
      </c>
      <c r="E376" t="inlineStr">
        <is>
          <t>VIMMERBY</t>
        </is>
      </c>
      <c r="G376" t="n">
        <v>3.6</v>
      </c>
      <c r="H376" t="n">
        <v>0</v>
      </c>
      <c r="I376" t="n">
        <v>0</v>
      </c>
      <c r="J376" t="n">
        <v>0</v>
      </c>
      <c r="K376" t="n">
        <v>0</v>
      </c>
      <c r="L376" t="n">
        <v>0</v>
      </c>
      <c r="M376" t="n">
        <v>0</v>
      </c>
      <c r="N376" t="n">
        <v>0</v>
      </c>
      <c r="O376" t="n">
        <v>0</v>
      </c>
      <c r="P376" t="n">
        <v>0</v>
      </c>
      <c r="Q376" t="n">
        <v>0</v>
      </c>
      <c r="R376" s="2" t="inlineStr"/>
    </row>
    <row r="377" ht="15" customHeight="1">
      <c r="A377" t="inlineStr">
        <is>
          <t>A 12325-2023</t>
        </is>
      </c>
      <c r="B377" s="1" t="n">
        <v>44999.35858796296</v>
      </c>
      <c r="C377" s="1" t="n">
        <v>46090</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31552-2025</t>
        </is>
      </c>
      <c r="B378" s="1" t="n">
        <v>45833.64563657407</v>
      </c>
      <c r="C378" s="1" t="n">
        <v>46090</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31555-2025</t>
        </is>
      </c>
      <c r="B379" s="1" t="n">
        <v>45833.64814814815</v>
      </c>
      <c r="C379" s="1" t="n">
        <v>46090</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30971-2025</t>
        </is>
      </c>
      <c r="B380" s="1" t="n">
        <v>45832.46146990741</v>
      </c>
      <c r="C380" s="1" t="n">
        <v>46090</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1016-2024</t>
        </is>
      </c>
      <c r="B381" s="1" t="n">
        <v>45301</v>
      </c>
      <c r="C381" s="1" t="n">
        <v>46090</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45320-2025</t>
        </is>
      </c>
      <c r="B382" s="1" t="n">
        <v>45921.96395833333</v>
      </c>
      <c r="C382" s="1" t="n">
        <v>46090</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31551-2025</t>
        </is>
      </c>
      <c r="B383" s="1" t="n">
        <v>45833.64237268519</v>
      </c>
      <c r="C383" s="1" t="n">
        <v>46090</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30882-2025</t>
        </is>
      </c>
      <c r="B384" s="1" t="n">
        <v>45832.34540509259</v>
      </c>
      <c r="C384" s="1" t="n">
        <v>46090</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33681-2022</t>
        </is>
      </c>
      <c r="B385" s="1" t="n">
        <v>44789</v>
      </c>
      <c r="C385" s="1" t="n">
        <v>46090</v>
      </c>
      <c r="D385" t="inlineStr">
        <is>
          <t>KALMAR LÄN</t>
        </is>
      </c>
      <c r="E385" t="inlineStr">
        <is>
          <t>VIMMERBY</t>
        </is>
      </c>
      <c r="G385" t="n">
        <v>3.2</v>
      </c>
      <c r="H385" t="n">
        <v>0</v>
      </c>
      <c r="I385" t="n">
        <v>0</v>
      </c>
      <c r="J385" t="n">
        <v>0</v>
      </c>
      <c r="K385" t="n">
        <v>0</v>
      </c>
      <c r="L385" t="n">
        <v>0</v>
      </c>
      <c r="M385" t="n">
        <v>0</v>
      </c>
      <c r="N385" t="n">
        <v>0</v>
      </c>
      <c r="O385" t="n">
        <v>0</v>
      </c>
      <c r="P385" t="n">
        <v>0</v>
      </c>
      <c r="Q385" t="n">
        <v>0</v>
      </c>
      <c r="R385" s="2" t="inlineStr"/>
    </row>
    <row r="386" ht="15" customHeight="1">
      <c r="A386" t="inlineStr">
        <is>
          <t>A 46118-2025</t>
        </is>
      </c>
      <c r="B386" s="1" t="n">
        <v>45924.57697916667</v>
      </c>
      <c r="C386" s="1" t="n">
        <v>46090</v>
      </c>
      <c r="D386" t="inlineStr">
        <is>
          <t>KALMAR LÄN</t>
        </is>
      </c>
      <c r="E386" t="inlineStr">
        <is>
          <t>VIMMERBY</t>
        </is>
      </c>
      <c r="G386" t="n">
        <v>2.9</v>
      </c>
      <c r="H386" t="n">
        <v>0</v>
      </c>
      <c r="I386" t="n">
        <v>0</v>
      </c>
      <c r="J386" t="n">
        <v>0</v>
      </c>
      <c r="K386" t="n">
        <v>0</v>
      </c>
      <c r="L386" t="n">
        <v>0</v>
      </c>
      <c r="M386" t="n">
        <v>0</v>
      </c>
      <c r="N386" t="n">
        <v>0</v>
      </c>
      <c r="O386" t="n">
        <v>0</v>
      </c>
      <c r="P386" t="n">
        <v>0</v>
      </c>
      <c r="Q386" t="n">
        <v>0</v>
      </c>
      <c r="R386" s="2" t="inlineStr"/>
    </row>
    <row r="387" ht="15" customHeight="1">
      <c r="A387" t="inlineStr">
        <is>
          <t>A 31872-2025</t>
        </is>
      </c>
      <c r="B387" s="1" t="n">
        <v>45834.65040509259</v>
      </c>
      <c r="C387" s="1" t="n">
        <v>46090</v>
      </c>
      <c r="D387" t="inlineStr">
        <is>
          <t>KALMAR LÄN</t>
        </is>
      </c>
      <c r="E387" t="inlineStr">
        <is>
          <t>VIMMERBY</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46365-2025</t>
        </is>
      </c>
      <c r="B388" s="1" t="n">
        <v>45925.50075231482</v>
      </c>
      <c r="C388" s="1" t="n">
        <v>46090</v>
      </c>
      <c r="D388" t="inlineStr">
        <is>
          <t>KALMAR LÄN</t>
        </is>
      </c>
      <c r="E388" t="inlineStr">
        <is>
          <t>VIMMERBY</t>
        </is>
      </c>
      <c r="G388" t="n">
        <v>5.6</v>
      </c>
      <c r="H388" t="n">
        <v>0</v>
      </c>
      <c r="I388" t="n">
        <v>0</v>
      </c>
      <c r="J388" t="n">
        <v>0</v>
      </c>
      <c r="K388" t="n">
        <v>0</v>
      </c>
      <c r="L388" t="n">
        <v>0</v>
      </c>
      <c r="M388" t="n">
        <v>0</v>
      </c>
      <c r="N388" t="n">
        <v>0</v>
      </c>
      <c r="O388" t="n">
        <v>0</v>
      </c>
      <c r="P388" t="n">
        <v>0</v>
      </c>
      <c r="Q388" t="n">
        <v>0</v>
      </c>
      <c r="R388" s="2" t="inlineStr"/>
    </row>
    <row r="389" ht="15" customHeight="1">
      <c r="A389" t="inlineStr">
        <is>
          <t>A 8559-2025</t>
        </is>
      </c>
      <c r="B389" s="1" t="n">
        <v>45709.62280092593</v>
      </c>
      <c r="C389" s="1" t="n">
        <v>46090</v>
      </c>
      <c r="D389" t="inlineStr">
        <is>
          <t>KALMAR LÄN</t>
        </is>
      </c>
      <c r="E389" t="inlineStr">
        <is>
          <t>VIMMERBY</t>
        </is>
      </c>
      <c r="G389" t="n">
        <v>8.9</v>
      </c>
      <c r="H389" t="n">
        <v>0</v>
      </c>
      <c r="I389" t="n">
        <v>0</v>
      </c>
      <c r="J389" t="n">
        <v>0</v>
      </c>
      <c r="K389" t="n">
        <v>0</v>
      </c>
      <c r="L389" t="n">
        <v>0</v>
      </c>
      <c r="M389" t="n">
        <v>0</v>
      </c>
      <c r="N389" t="n">
        <v>0</v>
      </c>
      <c r="O389" t="n">
        <v>0</v>
      </c>
      <c r="P389" t="n">
        <v>0</v>
      </c>
      <c r="Q389" t="n">
        <v>0</v>
      </c>
      <c r="R389" s="2" t="inlineStr"/>
    </row>
    <row r="390" ht="15" customHeight="1">
      <c r="A390" t="inlineStr">
        <is>
          <t>A 46361-2025</t>
        </is>
      </c>
      <c r="B390" s="1" t="n">
        <v>45925.49670138889</v>
      </c>
      <c r="C390" s="1" t="n">
        <v>46090</v>
      </c>
      <c r="D390" t="inlineStr">
        <is>
          <t>KALMAR LÄN</t>
        </is>
      </c>
      <c r="E390" t="inlineStr">
        <is>
          <t>VIMMERBY</t>
        </is>
      </c>
      <c r="G390" t="n">
        <v>4.2</v>
      </c>
      <c r="H390" t="n">
        <v>0</v>
      </c>
      <c r="I390" t="n">
        <v>0</v>
      </c>
      <c r="J390" t="n">
        <v>0</v>
      </c>
      <c r="K390" t="n">
        <v>0</v>
      </c>
      <c r="L390" t="n">
        <v>0</v>
      </c>
      <c r="M390" t="n">
        <v>0</v>
      </c>
      <c r="N390" t="n">
        <v>0</v>
      </c>
      <c r="O390" t="n">
        <v>0</v>
      </c>
      <c r="P390" t="n">
        <v>0</v>
      </c>
      <c r="Q390" t="n">
        <v>0</v>
      </c>
      <c r="R390" s="2" t="inlineStr"/>
    </row>
    <row r="391" ht="15" customHeight="1">
      <c r="A391" t="inlineStr">
        <is>
          <t>A 32064-2025</t>
        </is>
      </c>
      <c r="B391" s="1" t="n">
        <v>45835.44709490741</v>
      </c>
      <c r="C391" s="1" t="n">
        <v>46090</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32109-2025</t>
        </is>
      </c>
      <c r="B392" s="1" t="n">
        <v>45835.48267361111</v>
      </c>
      <c r="C392" s="1" t="n">
        <v>46090</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32113-2025</t>
        </is>
      </c>
      <c r="B393" s="1" t="n">
        <v>45835.48445601852</v>
      </c>
      <c r="C393" s="1" t="n">
        <v>46090</v>
      </c>
      <c r="D393" t="inlineStr">
        <is>
          <t>KALMAR LÄN</t>
        </is>
      </c>
      <c r="E393" t="inlineStr">
        <is>
          <t>VIMMERBY</t>
        </is>
      </c>
      <c r="G393" t="n">
        <v>3.5</v>
      </c>
      <c r="H393" t="n">
        <v>0</v>
      </c>
      <c r="I393" t="n">
        <v>0</v>
      </c>
      <c r="J393" t="n">
        <v>0</v>
      </c>
      <c r="K393" t="n">
        <v>0</v>
      </c>
      <c r="L393" t="n">
        <v>0</v>
      </c>
      <c r="M393" t="n">
        <v>0</v>
      </c>
      <c r="N393" t="n">
        <v>0</v>
      </c>
      <c r="O393" t="n">
        <v>0</v>
      </c>
      <c r="P393" t="n">
        <v>0</v>
      </c>
      <c r="Q393" t="n">
        <v>0</v>
      </c>
      <c r="R393" s="2" t="inlineStr"/>
    </row>
    <row r="394" ht="15" customHeight="1">
      <c r="A394" t="inlineStr">
        <is>
          <t>A 32116-2025</t>
        </is>
      </c>
      <c r="B394" s="1" t="n">
        <v>45835.48862268519</v>
      </c>
      <c r="C394" s="1" t="n">
        <v>46090</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31870-2025</t>
        </is>
      </c>
      <c r="B395" s="1" t="n">
        <v>45834.64667824074</v>
      </c>
      <c r="C395" s="1" t="n">
        <v>46090</v>
      </c>
      <c r="D395" t="inlineStr">
        <is>
          <t>KALMAR LÄN</t>
        </is>
      </c>
      <c r="E395" t="inlineStr">
        <is>
          <t>VIMMERBY</t>
        </is>
      </c>
      <c r="F395" t="inlineStr">
        <is>
          <t>Sveaskog</t>
        </is>
      </c>
      <c r="G395" t="n">
        <v>3.5</v>
      </c>
      <c r="H395" t="n">
        <v>0</v>
      </c>
      <c r="I395" t="n">
        <v>0</v>
      </c>
      <c r="J395" t="n">
        <v>0</v>
      </c>
      <c r="K395" t="n">
        <v>0</v>
      </c>
      <c r="L395" t="n">
        <v>0</v>
      </c>
      <c r="M395" t="n">
        <v>0</v>
      </c>
      <c r="N395" t="n">
        <v>0</v>
      </c>
      <c r="O395" t="n">
        <v>0</v>
      </c>
      <c r="P395" t="n">
        <v>0</v>
      </c>
      <c r="Q395" t="n">
        <v>0</v>
      </c>
      <c r="R395" s="2" t="inlineStr"/>
    </row>
    <row r="396" ht="15" customHeight="1">
      <c r="A396" t="inlineStr">
        <is>
          <t>A 32065-2025</t>
        </is>
      </c>
      <c r="B396" s="1" t="n">
        <v>45835.44732638889</v>
      </c>
      <c r="C396" s="1" t="n">
        <v>46090</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31987-2025</t>
        </is>
      </c>
      <c r="B397" s="1" t="n">
        <v>45835.36229166666</v>
      </c>
      <c r="C397" s="1" t="n">
        <v>46090</v>
      </c>
      <c r="D397" t="inlineStr">
        <is>
          <t>KALMAR LÄN</t>
        </is>
      </c>
      <c r="E397" t="inlineStr">
        <is>
          <t>VIMMERBY</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32077-2025</t>
        </is>
      </c>
      <c r="B398" s="1" t="n">
        <v>45835.45099537037</v>
      </c>
      <c r="C398" s="1" t="n">
        <v>46090</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32120-2025</t>
        </is>
      </c>
      <c r="B399" s="1" t="n">
        <v>45835.4924537037</v>
      </c>
      <c r="C399" s="1" t="n">
        <v>46090</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5074-2023</t>
        </is>
      </c>
      <c r="B400" s="1" t="n">
        <v>44958.61047453704</v>
      </c>
      <c r="C400" s="1" t="n">
        <v>46090</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31876-2025</t>
        </is>
      </c>
      <c r="B401" s="1" t="n">
        <v>45834.65197916667</v>
      </c>
      <c r="C401" s="1" t="n">
        <v>46090</v>
      </c>
      <c r="D401" t="inlineStr">
        <is>
          <t>KALMAR LÄN</t>
        </is>
      </c>
      <c r="E401" t="inlineStr">
        <is>
          <t>VIMMERBY</t>
        </is>
      </c>
      <c r="F401" t="inlineStr">
        <is>
          <t>Sveaskog</t>
        </is>
      </c>
      <c r="G401" t="n">
        <v>3.3</v>
      </c>
      <c r="H401" t="n">
        <v>0</v>
      </c>
      <c r="I401" t="n">
        <v>0</v>
      </c>
      <c r="J401" t="n">
        <v>0</v>
      </c>
      <c r="K401" t="n">
        <v>0</v>
      </c>
      <c r="L401" t="n">
        <v>0</v>
      </c>
      <c r="M401" t="n">
        <v>0</v>
      </c>
      <c r="N401" t="n">
        <v>0</v>
      </c>
      <c r="O401" t="n">
        <v>0</v>
      </c>
      <c r="P401" t="n">
        <v>0</v>
      </c>
      <c r="Q401" t="n">
        <v>0</v>
      </c>
      <c r="R401" s="2" t="inlineStr"/>
    </row>
    <row r="402" ht="15" customHeight="1">
      <c r="A402" t="inlineStr">
        <is>
          <t>A 51187-2023</t>
        </is>
      </c>
      <c r="B402" s="1" t="n">
        <v>45219.40528935185</v>
      </c>
      <c r="C402" s="1" t="n">
        <v>46090</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46887-2025</t>
        </is>
      </c>
      <c r="B403" s="1" t="n">
        <v>45929.3672337963</v>
      </c>
      <c r="C403" s="1" t="n">
        <v>46090</v>
      </c>
      <c r="D403" t="inlineStr">
        <is>
          <t>KALMAR LÄN</t>
        </is>
      </c>
      <c r="E403" t="inlineStr">
        <is>
          <t>VIMMERBY</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45856-2025</t>
        </is>
      </c>
      <c r="B404" s="1" t="n">
        <v>45923</v>
      </c>
      <c r="C404" s="1" t="n">
        <v>46090</v>
      </c>
      <c r="D404" t="inlineStr">
        <is>
          <t>KALMAR LÄN</t>
        </is>
      </c>
      <c r="E404" t="inlineStr">
        <is>
          <t>VIMMERBY</t>
        </is>
      </c>
      <c r="G404" t="n">
        <v>2.1</v>
      </c>
      <c r="H404" t="n">
        <v>0</v>
      </c>
      <c r="I404" t="n">
        <v>0</v>
      </c>
      <c r="J404" t="n">
        <v>0</v>
      </c>
      <c r="K404" t="n">
        <v>0</v>
      </c>
      <c r="L404" t="n">
        <v>0</v>
      </c>
      <c r="M404" t="n">
        <v>0</v>
      </c>
      <c r="N404" t="n">
        <v>0</v>
      </c>
      <c r="O404" t="n">
        <v>0</v>
      </c>
      <c r="P404" t="n">
        <v>0</v>
      </c>
      <c r="Q404" t="n">
        <v>0</v>
      </c>
      <c r="R404" s="2" t="inlineStr"/>
    </row>
    <row r="405" ht="15" customHeight="1">
      <c r="A405" t="inlineStr">
        <is>
          <t>A 15715-2022</t>
        </is>
      </c>
      <c r="B405" s="1" t="n">
        <v>44663</v>
      </c>
      <c r="C405" s="1" t="n">
        <v>46090</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43093-2024</t>
        </is>
      </c>
      <c r="B406" s="1" t="n">
        <v>45567</v>
      </c>
      <c r="C406" s="1" t="n">
        <v>46090</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56022-2024</t>
        </is>
      </c>
      <c r="B407" s="1" t="n">
        <v>45623.95947916667</v>
      </c>
      <c r="C407" s="1" t="n">
        <v>46090</v>
      </c>
      <c r="D407" t="inlineStr">
        <is>
          <t>KALMAR LÄN</t>
        </is>
      </c>
      <c r="E407" t="inlineStr">
        <is>
          <t>VIMMERBY</t>
        </is>
      </c>
      <c r="G407" t="n">
        <v>0.3</v>
      </c>
      <c r="H407" t="n">
        <v>0</v>
      </c>
      <c r="I407" t="n">
        <v>0</v>
      </c>
      <c r="J407" t="n">
        <v>0</v>
      </c>
      <c r="K407" t="n">
        <v>0</v>
      </c>
      <c r="L407" t="n">
        <v>0</v>
      </c>
      <c r="M407" t="n">
        <v>0</v>
      </c>
      <c r="N407" t="n">
        <v>0</v>
      </c>
      <c r="O407" t="n">
        <v>0</v>
      </c>
      <c r="P407" t="n">
        <v>0</v>
      </c>
      <c r="Q407" t="n">
        <v>0</v>
      </c>
      <c r="R407" s="2" t="inlineStr"/>
    </row>
    <row r="408" ht="15" customHeight="1">
      <c r="A408" t="inlineStr">
        <is>
          <t>A 45854-2025</t>
        </is>
      </c>
      <c r="B408" s="1" t="n">
        <v>45923</v>
      </c>
      <c r="C408" s="1" t="n">
        <v>46090</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45855-2025</t>
        </is>
      </c>
      <c r="B409" s="1" t="n">
        <v>45923</v>
      </c>
      <c r="C409" s="1" t="n">
        <v>46090</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18330-2023</t>
        </is>
      </c>
      <c r="B410" s="1" t="n">
        <v>45041</v>
      </c>
      <c r="C410" s="1" t="n">
        <v>46090</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32380-2025</t>
        </is>
      </c>
      <c r="B411" s="1" t="n">
        <v>45837.77701388889</v>
      </c>
      <c r="C411" s="1" t="n">
        <v>46090</v>
      </c>
      <c r="D411" t="inlineStr">
        <is>
          <t>KALMAR LÄN</t>
        </is>
      </c>
      <c r="E411" t="inlineStr">
        <is>
          <t>VIMMERBY</t>
        </is>
      </c>
      <c r="G411" t="n">
        <v>3.1</v>
      </c>
      <c r="H411" t="n">
        <v>0</v>
      </c>
      <c r="I411" t="n">
        <v>0</v>
      </c>
      <c r="J411" t="n">
        <v>0</v>
      </c>
      <c r="K411" t="n">
        <v>0</v>
      </c>
      <c r="L411" t="n">
        <v>0</v>
      </c>
      <c r="M411" t="n">
        <v>0</v>
      </c>
      <c r="N411" t="n">
        <v>0</v>
      </c>
      <c r="O411" t="n">
        <v>0</v>
      </c>
      <c r="P411" t="n">
        <v>0</v>
      </c>
      <c r="Q411" t="n">
        <v>0</v>
      </c>
      <c r="R411" s="2" t="inlineStr"/>
    </row>
    <row r="412" ht="15" customHeight="1">
      <c r="A412" t="inlineStr">
        <is>
          <t>A 20126-2024</t>
        </is>
      </c>
      <c r="B412" s="1" t="n">
        <v>45434.55471064815</v>
      </c>
      <c r="C412" s="1" t="n">
        <v>46090</v>
      </c>
      <c r="D412" t="inlineStr">
        <is>
          <t>KALMAR LÄN</t>
        </is>
      </c>
      <c r="E412" t="inlineStr">
        <is>
          <t>VIMMERBY</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20136-2024</t>
        </is>
      </c>
      <c r="B413" s="1" t="n">
        <v>45434.56291666667</v>
      </c>
      <c r="C413" s="1" t="n">
        <v>46090</v>
      </c>
      <c r="D413" t="inlineStr">
        <is>
          <t>KALMAR LÄN</t>
        </is>
      </c>
      <c r="E413" t="inlineStr">
        <is>
          <t>VIMMERBY</t>
        </is>
      </c>
      <c r="F413" t="inlineStr">
        <is>
          <t>Sveaskog</t>
        </is>
      </c>
      <c r="G413" t="n">
        <v>8.4</v>
      </c>
      <c r="H413" t="n">
        <v>0</v>
      </c>
      <c r="I413" t="n">
        <v>0</v>
      </c>
      <c r="J413" t="n">
        <v>0</v>
      </c>
      <c r="K413" t="n">
        <v>0</v>
      </c>
      <c r="L413" t="n">
        <v>0</v>
      </c>
      <c r="M413" t="n">
        <v>0</v>
      </c>
      <c r="N413" t="n">
        <v>0</v>
      </c>
      <c r="O413" t="n">
        <v>0</v>
      </c>
      <c r="P413" t="n">
        <v>0</v>
      </c>
      <c r="Q413" t="n">
        <v>0</v>
      </c>
      <c r="R413" s="2" t="inlineStr"/>
    </row>
    <row r="414" ht="15" customHeight="1">
      <c r="A414" t="inlineStr">
        <is>
          <t>A 33186-2025</t>
        </is>
      </c>
      <c r="B414" s="1" t="n">
        <v>45840.59474537037</v>
      </c>
      <c r="C414" s="1" t="n">
        <v>46090</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33695-2025</t>
        </is>
      </c>
      <c r="B415" s="1" t="n">
        <v>45841.70569444444</v>
      </c>
      <c r="C415" s="1" t="n">
        <v>46090</v>
      </c>
      <c r="D415" t="inlineStr">
        <is>
          <t>KALMAR LÄN</t>
        </is>
      </c>
      <c r="E415" t="inlineStr">
        <is>
          <t>VIMMERBY</t>
        </is>
      </c>
      <c r="G415" t="n">
        <v>2.7</v>
      </c>
      <c r="H415" t="n">
        <v>0</v>
      </c>
      <c r="I415" t="n">
        <v>0</v>
      </c>
      <c r="J415" t="n">
        <v>0</v>
      </c>
      <c r="K415" t="n">
        <v>0</v>
      </c>
      <c r="L415" t="n">
        <v>0</v>
      </c>
      <c r="M415" t="n">
        <v>0</v>
      </c>
      <c r="N415" t="n">
        <v>0</v>
      </c>
      <c r="O415" t="n">
        <v>0</v>
      </c>
      <c r="P415" t="n">
        <v>0</v>
      </c>
      <c r="Q415" t="n">
        <v>0</v>
      </c>
      <c r="R415" s="2" t="inlineStr"/>
    </row>
    <row r="416" ht="15" customHeight="1">
      <c r="A416" t="inlineStr">
        <is>
          <t>A 33698-2025</t>
        </is>
      </c>
      <c r="B416" s="1" t="n">
        <v>45841.70868055556</v>
      </c>
      <c r="C416" s="1" t="n">
        <v>46090</v>
      </c>
      <c r="D416" t="inlineStr">
        <is>
          <t>KALMAR LÄN</t>
        </is>
      </c>
      <c r="E416" t="inlineStr">
        <is>
          <t>VIMMERBY</t>
        </is>
      </c>
      <c r="G416" t="n">
        <v>3.7</v>
      </c>
      <c r="H416" t="n">
        <v>0</v>
      </c>
      <c r="I416" t="n">
        <v>0</v>
      </c>
      <c r="J416" t="n">
        <v>0</v>
      </c>
      <c r="K416" t="n">
        <v>0</v>
      </c>
      <c r="L416" t="n">
        <v>0</v>
      </c>
      <c r="M416" t="n">
        <v>0</v>
      </c>
      <c r="N416" t="n">
        <v>0</v>
      </c>
      <c r="O416" t="n">
        <v>0</v>
      </c>
      <c r="P416" t="n">
        <v>0</v>
      </c>
      <c r="Q416" t="n">
        <v>0</v>
      </c>
      <c r="R416" s="2" t="inlineStr"/>
    </row>
    <row r="417" ht="15" customHeight="1">
      <c r="A417" t="inlineStr">
        <is>
          <t>A 8696-2026</t>
        </is>
      </c>
      <c r="B417" s="1" t="n">
        <v>46066.45273148148</v>
      </c>
      <c r="C417" s="1" t="n">
        <v>46090</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46921-2023</t>
        </is>
      </c>
      <c r="B418" s="1" t="n">
        <v>45201.39996527778</v>
      </c>
      <c r="C418" s="1" t="n">
        <v>46090</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47227-2025</t>
        </is>
      </c>
      <c r="B419" s="1" t="n">
        <v>45930.39769675926</v>
      </c>
      <c r="C419" s="1" t="n">
        <v>46090</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30977-2025</t>
        </is>
      </c>
      <c r="B420" s="1" t="n">
        <v>45832.46649305556</v>
      </c>
      <c r="C420" s="1" t="n">
        <v>46090</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25236-2023</t>
        </is>
      </c>
      <c r="B421" s="1" t="n">
        <v>45086.63334490741</v>
      </c>
      <c r="C421" s="1" t="n">
        <v>46090</v>
      </c>
      <c r="D421" t="inlineStr">
        <is>
          <t>KALMAR LÄN</t>
        </is>
      </c>
      <c r="E421" t="inlineStr">
        <is>
          <t>VIMMERBY</t>
        </is>
      </c>
      <c r="G421" t="n">
        <v>0.9</v>
      </c>
      <c r="H421" t="n">
        <v>0</v>
      </c>
      <c r="I421" t="n">
        <v>0</v>
      </c>
      <c r="J421" t="n">
        <v>0</v>
      </c>
      <c r="K421" t="n">
        <v>0</v>
      </c>
      <c r="L421" t="n">
        <v>0</v>
      </c>
      <c r="M421" t="n">
        <v>0</v>
      </c>
      <c r="N421" t="n">
        <v>0</v>
      </c>
      <c r="O421" t="n">
        <v>0</v>
      </c>
      <c r="P421" t="n">
        <v>0</v>
      </c>
      <c r="Q421" t="n">
        <v>0</v>
      </c>
      <c r="R421" s="2" t="inlineStr"/>
    </row>
    <row r="422" ht="15" customHeight="1">
      <c r="A422" t="inlineStr">
        <is>
          <t>A 33696-2025</t>
        </is>
      </c>
      <c r="B422" s="1" t="n">
        <v>45841.7072337963</v>
      </c>
      <c r="C422" s="1" t="n">
        <v>46090</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26956-2025</t>
        </is>
      </c>
      <c r="B423" s="1" t="n">
        <v>45811.45460648148</v>
      </c>
      <c r="C423" s="1" t="n">
        <v>46090</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6082-2022</t>
        </is>
      </c>
      <c r="B424" s="1" t="n">
        <v>44599</v>
      </c>
      <c r="C424" s="1" t="n">
        <v>46090</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48299-2025</t>
        </is>
      </c>
      <c r="B425" s="1" t="n">
        <v>45933.60982638889</v>
      </c>
      <c r="C425" s="1" t="n">
        <v>46090</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8595-2026</t>
        </is>
      </c>
      <c r="B426" s="1" t="n">
        <v>46065.7372337963</v>
      </c>
      <c r="C426" s="1" t="n">
        <v>46090</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2801-2023</t>
        </is>
      </c>
      <c r="B427" s="1" t="n">
        <v>44944.73487268519</v>
      </c>
      <c r="C427" s="1" t="n">
        <v>46090</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5146-2024</t>
        </is>
      </c>
      <c r="B428" s="1" t="n">
        <v>45330</v>
      </c>
      <c r="C428" s="1" t="n">
        <v>46090</v>
      </c>
      <c r="D428" t="inlineStr">
        <is>
          <t>KALMAR LÄN</t>
        </is>
      </c>
      <c r="E428" t="inlineStr">
        <is>
          <t>VIMMERBY</t>
        </is>
      </c>
      <c r="G428" t="n">
        <v>5.3</v>
      </c>
      <c r="H428" t="n">
        <v>0</v>
      </c>
      <c r="I428" t="n">
        <v>0</v>
      </c>
      <c r="J428" t="n">
        <v>0</v>
      </c>
      <c r="K428" t="n">
        <v>0</v>
      </c>
      <c r="L428" t="n">
        <v>0</v>
      </c>
      <c r="M428" t="n">
        <v>0</v>
      </c>
      <c r="N428" t="n">
        <v>0</v>
      </c>
      <c r="O428" t="n">
        <v>0</v>
      </c>
      <c r="P428" t="n">
        <v>0</v>
      </c>
      <c r="Q428" t="n">
        <v>0</v>
      </c>
      <c r="R428" s="2" t="inlineStr"/>
    </row>
    <row r="429" ht="15" customHeight="1">
      <c r="A429" t="inlineStr">
        <is>
          <t>A 5148-2024</t>
        </is>
      </c>
      <c r="B429" s="1" t="n">
        <v>45330</v>
      </c>
      <c r="C429" s="1" t="n">
        <v>46090</v>
      </c>
      <c r="D429" t="inlineStr">
        <is>
          <t>KALMAR LÄN</t>
        </is>
      </c>
      <c r="E429" t="inlineStr">
        <is>
          <t>VIMMERBY</t>
        </is>
      </c>
      <c r="G429" t="n">
        <v>5.6</v>
      </c>
      <c r="H429" t="n">
        <v>0</v>
      </c>
      <c r="I429" t="n">
        <v>0</v>
      </c>
      <c r="J429" t="n">
        <v>0</v>
      </c>
      <c r="K429" t="n">
        <v>0</v>
      </c>
      <c r="L429" t="n">
        <v>0</v>
      </c>
      <c r="M429" t="n">
        <v>0</v>
      </c>
      <c r="N429" t="n">
        <v>0</v>
      </c>
      <c r="O429" t="n">
        <v>0</v>
      </c>
      <c r="P429" t="n">
        <v>0</v>
      </c>
      <c r="Q429" t="n">
        <v>0</v>
      </c>
      <c r="R429" s="2" t="inlineStr"/>
    </row>
    <row r="430" ht="15" customHeight="1">
      <c r="A430" t="inlineStr">
        <is>
          <t>A 34071-2025</t>
        </is>
      </c>
      <c r="B430" s="1" t="n">
        <v>45845.43803240741</v>
      </c>
      <c r="C430" s="1" t="n">
        <v>46090</v>
      </c>
      <c r="D430" t="inlineStr">
        <is>
          <t>KALMAR LÄN</t>
        </is>
      </c>
      <c r="E430" t="inlineStr">
        <is>
          <t>VIMMERBY</t>
        </is>
      </c>
      <c r="G430" t="n">
        <v>6.8</v>
      </c>
      <c r="H430" t="n">
        <v>0</v>
      </c>
      <c r="I430" t="n">
        <v>0</v>
      </c>
      <c r="J430" t="n">
        <v>0</v>
      </c>
      <c r="K430" t="n">
        <v>0</v>
      </c>
      <c r="L430" t="n">
        <v>0</v>
      </c>
      <c r="M430" t="n">
        <v>0</v>
      </c>
      <c r="N430" t="n">
        <v>0</v>
      </c>
      <c r="O430" t="n">
        <v>0</v>
      </c>
      <c r="P430" t="n">
        <v>0</v>
      </c>
      <c r="Q430" t="n">
        <v>0</v>
      </c>
      <c r="R430" s="2" t="inlineStr"/>
    </row>
    <row r="431" ht="15" customHeight="1">
      <c r="A431" t="inlineStr">
        <is>
          <t>A 34106-2025</t>
        </is>
      </c>
      <c r="B431" s="1" t="n">
        <v>45845.49414351852</v>
      </c>
      <c r="C431" s="1" t="n">
        <v>46090</v>
      </c>
      <c r="D431" t="inlineStr">
        <is>
          <t>KALMAR LÄN</t>
        </is>
      </c>
      <c r="E431" t="inlineStr">
        <is>
          <t>VIMMERBY</t>
        </is>
      </c>
      <c r="G431" t="n">
        <v>6</v>
      </c>
      <c r="H431" t="n">
        <v>0</v>
      </c>
      <c r="I431" t="n">
        <v>0</v>
      </c>
      <c r="J431" t="n">
        <v>0</v>
      </c>
      <c r="K431" t="n">
        <v>0</v>
      </c>
      <c r="L431" t="n">
        <v>0</v>
      </c>
      <c r="M431" t="n">
        <v>0</v>
      </c>
      <c r="N431" t="n">
        <v>0</v>
      </c>
      <c r="O431" t="n">
        <v>0</v>
      </c>
      <c r="P431" t="n">
        <v>0</v>
      </c>
      <c r="Q431" t="n">
        <v>0</v>
      </c>
      <c r="R431" s="2" t="inlineStr"/>
    </row>
    <row r="432" ht="15" customHeight="1">
      <c r="A432" t="inlineStr">
        <is>
          <t>A 28702-2025</t>
        </is>
      </c>
      <c r="B432" s="1" t="n">
        <v>45820.03976851852</v>
      </c>
      <c r="C432" s="1" t="n">
        <v>46090</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47965-2025</t>
        </is>
      </c>
      <c r="B433" s="1" t="n">
        <v>45932.59597222223</v>
      </c>
      <c r="C433" s="1" t="n">
        <v>46090</v>
      </c>
      <c r="D433" t="inlineStr">
        <is>
          <t>KALMAR LÄN</t>
        </is>
      </c>
      <c r="E433" t="inlineStr">
        <is>
          <t>VIMMERBY</t>
        </is>
      </c>
      <c r="G433" t="n">
        <v>2.2</v>
      </c>
      <c r="H433" t="n">
        <v>0</v>
      </c>
      <c r="I433" t="n">
        <v>0</v>
      </c>
      <c r="J433" t="n">
        <v>0</v>
      </c>
      <c r="K433" t="n">
        <v>0</v>
      </c>
      <c r="L433" t="n">
        <v>0</v>
      </c>
      <c r="M433" t="n">
        <v>0</v>
      </c>
      <c r="N433" t="n">
        <v>0</v>
      </c>
      <c r="O433" t="n">
        <v>0</v>
      </c>
      <c r="P433" t="n">
        <v>0</v>
      </c>
      <c r="Q433" t="n">
        <v>0</v>
      </c>
      <c r="R433" s="2" t="inlineStr"/>
    </row>
    <row r="434" ht="15" customHeight="1">
      <c r="A434" t="inlineStr">
        <is>
          <t>A 58278-2023</t>
        </is>
      </c>
      <c r="B434" s="1" t="n">
        <v>45250.5278587963</v>
      </c>
      <c r="C434" s="1" t="n">
        <v>46090</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22266-2023</t>
        </is>
      </c>
      <c r="B435" s="1" t="n">
        <v>45070</v>
      </c>
      <c r="C435" s="1" t="n">
        <v>46090</v>
      </c>
      <c r="D435" t="inlineStr">
        <is>
          <t>KALMAR LÄN</t>
        </is>
      </c>
      <c r="E435" t="inlineStr">
        <is>
          <t>VIMMERBY</t>
        </is>
      </c>
      <c r="G435" t="n">
        <v>0.5</v>
      </c>
      <c r="H435" t="n">
        <v>0</v>
      </c>
      <c r="I435" t="n">
        <v>0</v>
      </c>
      <c r="J435" t="n">
        <v>0</v>
      </c>
      <c r="K435" t="n">
        <v>0</v>
      </c>
      <c r="L435" t="n">
        <v>0</v>
      </c>
      <c r="M435" t="n">
        <v>0</v>
      </c>
      <c r="N435" t="n">
        <v>0</v>
      </c>
      <c r="O435" t="n">
        <v>0</v>
      </c>
      <c r="P435" t="n">
        <v>0</v>
      </c>
      <c r="Q435" t="n">
        <v>0</v>
      </c>
      <c r="R435" s="2" t="inlineStr"/>
    </row>
    <row r="436" ht="15" customHeight="1">
      <c r="A436" t="inlineStr">
        <is>
          <t>A 52588-2023</t>
        </is>
      </c>
      <c r="B436" s="1" t="n">
        <v>45225.60192129629</v>
      </c>
      <c r="C436" s="1" t="n">
        <v>46090</v>
      </c>
      <c r="D436" t="inlineStr">
        <is>
          <t>KALMAR LÄN</t>
        </is>
      </c>
      <c r="E436" t="inlineStr">
        <is>
          <t>VIMMERBY</t>
        </is>
      </c>
      <c r="G436" t="n">
        <v>2.9</v>
      </c>
      <c r="H436" t="n">
        <v>0</v>
      </c>
      <c r="I436" t="n">
        <v>0</v>
      </c>
      <c r="J436" t="n">
        <v>0</v>
      </c>
      <c r="K436" t="n">
        <v>0</v>
      </c>
      <c r="L436" t="n">
        <v>0</v>
      </c>
      <c r="M436" t="n">
        <v>0</v>
      </c>
      <c r="N436" t="n">
        <v>0</v>
      </c>
      <c r="O436" t="n">
        <v>0</v>
      </c>
      <c r="P436" t="n">
        <v>0</v>
      </c>
      <c r="Q436" t="n">
        <v>0</v>
      </c>
      <c r="R436" s="2" t="inlineStr"/>
    </row>
    <row r="437" ht="15" customHeight="1">
      <c r="A437" t="inlineStr">
        <is>
          <t>A 47955-2025</t>
        </is>
      </c>
      <c r="B437" s="1" t="n">
        <v>45932.58896990741</v>
      </c>
      <c r="C437" s="1" t="n">
        <v>46090</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48723-2025</t>
        </is>
      </c>
      <c r="B438" s="1" t="n">
        <v>45936.65121527778</v>
      </c>
      <c r="C438" s="1" t="n">
        <v>46090</v>
      </c>
      <c r="D438" t="inlineStr">
        <is>
          <t>KALMAR LÄN</t>
        </is>
      </c>
      <c r="E438" t="inlineStr">
        <is>
          <t>VIMMERBY</t>
        </is>
      </c>
      <c r="G438" t="n">
        <v>3</v>
      </c>
      <c r="H438" t="n">
        <v>0</v>
      </c>
      <c r="I438" t="n">
        <v>0</v>
      </c>
      <c r="J438" t="n">
        <v>0</v>
      </c>
      <c r="K438" t="n">
        <v>0</v>
      </c>
      <c r="L438" t="n">
        <v>0</v>
      </c>
      <c r="M438" t="n">
        <v>0</v>
      </c>
      <c r="N438" t="n">
        <v>0</v>
      </c>
      <c r="O438" t="n">
        <v>0</v>
      </c>
      <c r="P438" t="n">
        <v>0</v>
      </c>
      <c r="Q438" t="n">
        <v>0</v>
      </c>
      <c r="R438" s="2" t="inlineStr"/>
    </row>
    <row r="439" ht="15" customHeight="1">
      <c r="A439" t="inlineStr">
        <is>
          <t>A 6802-2025</t>
        </is>
      </c>
      <c r="B439" s="1" t="n">
        <v>45700.68289351852</v>
      </c>
      <c r="C439" s="1" t="n">
        <v>46090</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71793-2021</t>
        </is>
      </c>
      <c r="B440" s="1" t="n">
        <v>44539</v>
      </c>
      <c r="C440" s="1" t="n">
        <v>46090</v>
      </c>
      <c r="D440" t="inlineStr">
        <is>
          <t>KALMAR LÄN</t>
        </is>
      </c>
      <c r="E440" t="inlineStr">
        <is>
          <t>VIMMERBY</t>
        </is>
      </c>
      <c r="G440" t="n">
        <v>2.7</v>
      </c>
      <c r="H440" t="n">
        <v>0</v>
      </c>
      <c r="I440" t="n">
        <v>0</v>
      </c>
      <c r="J440" t="n">
        <v>0</v>
      </c>
      <c r="K440" t="n">
        <v>0</v>
      </c>
      <c r="L440" t="n">
        <v>0</v>
      </c>
      <c r="M440" t="n">
        <v>0</v>
      </c>
      <c r="N440" t="n">
        <v>0</v>
      </c>
      <c r="O440" t="n">
        <v>0</v>
      </c>
      <c r="P440" t="n">
        <v>0</v>
      </c>
      <c r="Q440" t="n">
        <v>0</v>
      </c>
      <c r="R440" s="2" t="inlineStr"/>
    </row>
    <row r="441" ht="15" customHeight="1">
      <c r="A441" t="inlineStr">
        <is>
          <t>A 48712-2025</t>
        </is>
      </c>
      <c r="B441" s="1" t="n">
        <v>45936.63373842592</v>
      </c>
      <c r="C441" s="1" t="n">
        <v>46090</v>
      </c>
      <c r="D441" t="inlineStr">
        <is>
          <t>KALMAR LÄN</t>
        </is>
      </c>
      <c r="E441" t="inlineStr">
        <is>
          <t>VIMMERBY</t>
        </is>
      </c>
      <c r="G441" t="n">
        <v>3</v>
      </c>
      <c r="H441" t="n">
        <v>0</v>
      </c>
      <c r="I441" t="n">
        <v>0</v>
      </c>
      <c r="J441" t="n">
        <v>0</v>
      </c>
      <c r="K441" t="n">
        <v>0</v>
      </c>
      <c r="L441" t="n">
        <v>0</v>
      </c>
      <c r="M441" t="n">
        <v>0</v>
      </c>
      <c r="N441" t="n">
        <v>0</v>
      </c>
      <c r="O441" t="n">
        <v>0</v>
      </c>
      <c r="P441" t="n">
        <v>0</v>
      </c>
      <c r="Q441" t="n">
        <v>0</v>
      </c>
      <c r="R441" s="2" t="inlineStr"/>
    </row>
    <row r="442" ht="15" customHeight="1">
      <c r="A442" t="inlineStr">
        <is>
          <t>A 48408-2025</t>
        </is>
      </c>
      <c r="B442" s="1" t="n">
        <v>45934.40527777778</v>
      </c>
      <c r="C442" s="1" t="n">
        <v>46090</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527-2024</t>
        </is>
      </c>
      <c r="B443" s="1" t="n">
        <v>45299.47513888889</v>
      </c>
      <c r="C443" s="1" t="n">
        <v>46090</v>
      </c>
      <c r="D443" t="inlineStr">
        <is>
          <t>KALMAR LÄN</t>
        </is>
      </c>
      <c r="E443" t="inlineStr">
        <is>
          <t>VIMMERBY</t>
        </is>
      </c>
      <c r="G443" t="n">
        <v>2.2</v>
      </c>
      <c r="H443" t="n">
        <v>0</v>
      </c>
      <c r="I443" t="n">
        <v>0</v>
      </c>
      <c r="J443" t="n">
        <v>0</v>
      </c>
      <c r="K443" t="n">
        <v>0</v>
      </c>
      <c r="L443" t="n">
        <v>0</v>
      </c>
      <c r="M443" t="n">
        <v>0</v>
      </c>
      <c r="N443" t="n">
        <v>0</v>
      </c>
      <c r="O443" t="n">
        <v>0</v>
      </c>
      <c r="P443" t="n">
        <v>0</v>
      </c>
      <c r="Q443" t="n">
        <v>0</v>
      </c>
      <c r="R443" s="2" t="inlineStr"/>
    </row>
    <row r="444" ht="15" customHeight="1">
      <c r="A444" t="inlineStr">
        <is>
          <t>A 34628-2025</t>
        </is>
      </c>
      <c r="B444" s="1" t="n">
        <v>45847.91280092593</v>
      </c>
      <c r="C444" s="1" t="n">
        <v>46090</v>
      </c>
      <c r="D444" t="inlineStr">
        <is>
          <t>KALMAR LÄN</t>
        </is>
      </c>
      <c r="E444" t="inlineStr">
        <is>
          <t>VIMMERBY</t>
        </is>
      </c>
      <c r="G444" t="n">
        <v>4.2</v>
      </c>
      <c r="H444" t="n">
        <v>0</v>
      </c>
      <c r="I444" t="n">
        <v>0</v>
      </c>
      <c r="J444" t="n">
        <v>0</v>
      </c>
      <c r="K444" t="n">
        <v>0</v>
      </c>
      <c r="L444" t="n">
        <v>0</v>
      </c>
      <c r="M444" t="n">
        <v>0</v>
      </c>
      <c r="N444" t="n">
        <v>0</v>
      </c>
      <c r="O444" t="n">
        <v>0</v>
      </c>
      <c r="P444" t="n">
        <v>0</v>
      </c>
      <c r="Q444" t="n">
        <v>0</v>
      </c>
      <c r="R444" s="2" t="inlineStr"/>
    </row>
    <row r="445" ht="15" customHeight="1">
      <c r="A445" t="inlineStr">
        <is>
          <t>A 60230-2022</t>
        </is>
      </c>
      <c r="B445" s="1" t="n">
        <v>44910</v>
      </c>
      <c r="C445" s="1" t="n">
        <v>46090</v>
      </c>
      <c r="D445" t="inlineStr">
        <is>
          <t>KALMAR LÄN</t>
        </is>
      </c>
      <c r="E445" t="inlineStr">
        <is>
          <t>VIMMERBY</t>
        </is>
      </c>
      <c r="G445" t="n">
        <v>11.3</v>
      </c>
      <c r="H445" t="n">
        <v>0</v>
      </c>
      <c r="I445" t="n">
        <v>0</v>
      </c>
      <c r="J445" t="n">
        <v>0</v>
      </c>
      <c r="K445" t="n">
        <v>0</v>
      </c>
      <c r="L445" t="n">
        <v>0</v>
      </c>
      <c r="M445" t="n">
        <v>0</v>
      </c>
      <c r="N445" t="n">
        <v>0</v>
      </c>
      <c r="O445" t="n">
        <v>0</v>
      </c>
      <c r="P445" t="n">
        <v>0</v>
      </c>
      <c r="Q445" t="n">
        <v>0</v>
      </c>
      <c r="R445" s="2" t="inlineStr"/>
    </row>
    <row r="446" ht="15" customHeight="1">
      <c r="A446" t="inlineStr">
        <is>
          <t>A 48409-2025</t>
        </is>
      </c>
      <c r="B446" s="1" t="n">
        <v>45934.41387731482</v>
      </c>
      <c r="C446" s="1" t="n">
        <v>46090</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48600-2025</t>
        </is>
      </c>
      <c r="B447" s="1" t="n">
        <v>45935</v>
      </c>
      <c r="C447" s="1" t="n">
        <v>46090</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5925-2022</t>
        </is>
      </c>
      <c r="B448" s="1" t="n">
        <v>44598.7384837963</v>
      </c>
      <c r="C448" s="1" t="n">
        <v>46090</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46522-2022</t>
        </is>
      </c>
      <c r="B449" s="1" t="n">
        <v>44848.59133101852</v>
      </c>
      <c r="C449" s="1" t="n">
        <v>46090</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41066-2024</t>
        </is>
      </c>
      <c r="B450" s="1" t="n">
        <v>45559.38876157408</v>
      </c>
      <c r="C450" s="1" t="n">
        <v>46090</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52279-2023</t>
        </is>
      </c>
      <c r="B451" s="1" t="n">
        <v>45224</v>
      </c>
      <c r="C451" s="1" t="n">
        <v>46090</v>
      </c>
      <c r="D451" t="inlineStr">
        <is>
          <t>KALMAR LÄN</t>
        </is>
      </c>
      <c r="E451" t="inlineStr">
        <is>
          <t>VIMMERBY</t>
        </is>
      </c>
      <c r="G451" t="n">
        <v>1.8</v>
      </c>
      <c r="H451" t="n">
        <v>0</v>
      </c>
      <c r="I451" t="n">
        <v>0</v>
      </c>
      <c r="J451" t="n">
        <v>0</v>
      </c>
      <c r="K451" t="n">
        <v>0</v>
      </c>
      <c r="L451" t="n">
        <v>0</v>
      </c>
      <c r="M451" t="n">
        <v>0</v>
      </c>
      <c r="N451" t="n">
        <v>0</v>
      </c>
      <c r="O451" t="n">
        <v>0</v>
      </c>
      <c r="P451" t="n">
        <v>0</v>
      </c>
      <c r="Q451" t="n">
        <v>0</v>
      </c>
      <c r="R451" s="2" t="inlineStr"/>
    </row>
    <row r="452" ht="15" customHeight="1">
      <c r="A452" t="inlineStr">
        <is>
          <t>A 17486-2024</t>
        </is>
      </c>
      <c r="B452" s="1" t="n">
        <v>45415.48979166667</v>
      </c>
      <c r="C452" s="1" t="n">
        <v>46090</v>
      </c>
      <c r="D452" t="inlineStr">
        <is>
          <t>KALMAR LÄN</t>
        </is>
      </c>
      <c r="E452" t="inlineStr">
        <is>
          <t>VIMMERBY</t>
        </is>
      </c>
      <c r="G452" t="n">
        <v>2.6</v>
      </c>
      <c r="H452" t="n">
        <v>0</v>
      </c>
      <c r="I452" t="n">
        <v>0</v>
      </c>
      <c r="J452" t="n">
        <v>0</v>
      </c>
      <c r="K452" t="n">
        <v>0</v>
      </c>
      <c r="L452" t="n">
        <v>0</v>
      </c>
      <c r="M452" t="n">
        <v>0</v>
      </c>
      <c r="N452" t="n">
        <v>0</v>
      </c>
      <c r="O452" t="n">
        <v>0</v>
      </c>
      <c r="P452" t="n">
        <v>0</v>
      </c>
      <c r="Q452" t="n">
        <v>0</v>
      </c>
      <c r="R452" s="2" t="inlineStr"/>
    </row>
    <row r="453" ht="15" customHeight="1">
      <c r="A453" t="inlineStr">
        <is>
          <t>A 35270-2025</t>
        </is>
      </c>
      <c r="B453" s="1" t="n">
        <v>45853.87112268519</v>
      </c>
      <c r="C453" s="1" t="n">
        <v>46090</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35271-2025</t>
        </is>
      </c>
      <c r="B454" s="1" t="n">
        <v>45853.87599537037</v>
      </c>
      <c r="C454" s="1" t="n">
        <v>46090</v>
      </c>
      <c r="D454" t="inlineStr">
        <is>
          <t>KALMAR LÄN</t>
        </is>
      </c>
      <c r="E454" t="inlineStr">
        <is>
          <t>VIMMERBY</t>
        </is>
      </c>
      <c r="G454" t="n">
        <v>0.4</v>
      </c>
      <c r="H454" t="n">
        <v>0</v>
      </c>
      <c r="I454" t="n">
        <v>0</v>
      </c>
      <c r="J454" t="n">
        <v>0</v>
      </c>
      <c r="K454" t="n">
        <v>0</v>
      </c>
      <c r="L454" t="n">
        <v>0</v>
      </c>
      <c r="M454" t="n">
        <v>0</v>
      </c>
      <c r="N454" t="n">
        <v>0</v>
      </c>
      <c r="O454" t="n">
        <v>0</v>
      </c>
      <c r="P454" t="n">
        <v>0</v>
      </c>
      <c r="Q454" t="n">
        <v>0</v>
      </c>
      <c r="R454" s="2" t="inlineStr"/>
    </row>
    <row r="455" ht="15" customHeight="1">
      <c r="A455" t="inlineStr">
        <is>
          <t>A 35272-2025</t>
        </is>
      </c>
      <c r="B455" s="1" t="n">
        <v>45853.88070601852</v>
      </c>
      <c r="C455" s="1" t="n">
        <v>46090</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71631-2021</t>
        </is>
      </c>
      <c r="B456" s="1" t="n">
        <v>44542.90072916666</v>
      </c>
      <c r="C456" s="1" t="n">
        <v>46090</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16953-2025</t>
        </is>
      </c>
      <c r="B457" s="1" t="n">
        <v>45755.44333333334</v>
      </c>
      <c r="C457" s="1" t="n">
        <v>46090</v>
      </c>
      <c r="D457" t="inlineStr">
        <is>
          <t>KALMAR LÄN</t>
        </is>
      </c>
      <c r="E457" t="inlineStr">
        <is>
          <t>VIMMERBY</t>
        </is>
      </c>
      <c r="G457" t="n">
        <v>2</v>
      </c>
      <c r="H457" t="n">
        <v>0</v>
      </c>
      <c r="I457" t="n">
        <v>0</v>
      </c>
      <c r="J457" t="n">
        <v>0</v>
      </c>
      <c r="K457" t="n">
        <v>0</v>
      </c>
      <c r="L457" t="n">
        <v>0</v>
      </c>
      <c r="M457" t="n">
        <v>0</v>
      </c>
      <c r="N457" t="n">
        <v>0</v>
      </c>
      <c r="O457" t="n">
        <v>0</v>
      </c>
      <c r="P457" t="n">
        <v>0</v>
      </c>
      <c r="Q457" t="n">
        <v>0</v>
      </c>
      <c r="R457" s="2" t="inlineStr"/>
    </row>
    <row r="458" ht="15" customHeight="1">
      <c r="A458" t="inlineStr">
        <is>
          <t>A 35596-2025</t>
        </is>
      </c>
      <c r="B458" s="1" t="n">
        <v>45858.60641203704</v>
      </c>
      <c r="C458" s="1" t="n">
        <v>46090</v>
      </c>
      <c r="D458" t="inlineStr">
        <is>
          <t>KALMAR LÄN</t>
        </is>
      </c>
      <c r="E458" t="inlineStr">
        <is>
          <t>VIMMERBY</t>
        </is>
      </c>
      <c r="G458" t="n">
        <v>2.8</v>
      </c>
      <c r="H458" t="n">
        <v>0</v>
      </c>
      <c r="I458" t="n">
        <v>0</v>
      </c>
      <c r="J458" t="n">
        <v>0</v>
      </c>
      <c r="K458" t="n">
        <v>0</v>
      </c>
      <c r="L458" t="n">
        <v>0</v>
      </c>
      <c r="M458" t="n">
        <v>0</v>
      </c>
      <c r="N458" t="n">
        <v>0</v>
      </c>
      <c r="O458" t="n">
        <v>0</v>
      </c>
      <c r="P458" t="n">
        <v>0</v>
      </c>
      <c r="Q458" t="n">
        <v>0</v>
      </c>
      <c r="R458" s="2" t="inlineStr"/>
    </row>
    <row r="459" ht="15" customHeight="1">
      <c r="A459" t="inlineStr">
        <is>
          <t>A 35597-2025</t>
        </is>
      </c>
      <c r="B459" s="1" t="n">
        <v>45858.66019675926</v>
      </c>
      <c r="C459" s="1" t="n">
        <v>46090</v>
      </c>
      <c r="D459" t="inlineStr">
        <is>
          <t>KALMAR LÄN</t>
        </is>
      </c>
      <c r="E459" t="inlineStr">
        <is>
          <t>VIMMERBY</t>
        </is>
      </c>
      <c r="G459" t="n">
        <v>6.4</v>
      </c>
      <c r="H459" t="n">
        <v>0</v>
      </c>
      <c r="I459" t="n">
        <v>0</v>
      </c>
      <c r="J459" t="n">
        <v>0</v>
      </c>
      <c r="K459" t="n">
        <v>0</v>
      </c>
      <c r="L459" t="n">
        <v>0</v>
      </c>
      <c r="M459" t="n">
        <v>0</v>
      </c>
      <c r="N459" t="n">
        <v>0</v>
      </c>
      <c r="O459" t="n">
        <v>0</v>
      </c>
      <c r="P459" t="n">
        <v>0</v>
      </c>
      <c r="Q459" t="n">
        <v>0</v>
      </c>
      <c r="R459" s="2" t="inlineStr"/>
    </row>
    <row r="460" ht="15" customHeight="1">
      <c r="A460" t="inlineStr">
        <is>
          <t>A 579-2026</t>
        </is>
      </c>
      <c r="B460" s="1" t="n">
        <v>46029.47912037037</v>
      </c>
      <c r="C460" s="1" t="n">
        <v>46090</v>
      </c>
      <c r="D460" t="inlineStr">
        <is>
          <t>KALMAR LÄN</t>
        </is>
      </c>
      <c r="E460" t="inlineStr">
        <is>
          <t>VIMMERBY</t>
        </is>
      </c>
      <c r="G460" t="n">
        <v>3</v>
      </c>
      <c r="H460" t="n">
        <v>0</v>
      </c>
      <c r="I460" t="n">
        <v>0</v>
      </c>
      <c r="J460" t="n">
        <v>0</v>
      </c>
      <c r="K460" t="n">
        <v>0</v>
      </c>
      <c r="L460" t="n">
        <v>0</v>
      </c>
      <c r="M460" t="n">
        <v>0</v>
      </c>
      <c r="N460" t="n">
        <v>0</v>
      </c>
      <c r="O460" t="n">
        <v>0</v>
      </c>
      <c r="P460" t="n">
        <v>0</v>
      </c>
      <c r="Q460" t="n">
        <v>0</v>
      </c>
      <c r="R460" s="2" t="inlineStr"/>
    </row>
    <row r="461" ht="15" customHeight="1">
      <c r="A461" t="inlineStr">
        <is>
          <t>A 16015-2025</t>
        </is>
      </c>
      <c r="B461" s="1" t="n">
        <v>45749.60487268519</v>
      </c>
      <c r="C461" s="1" t="n">
        <v>46090</v>
      </c>
      <c r="D461" t="inlineStr">
        <is>
          <t>KALMAR LÄN</t>
        </is>
      </c>
      <c r="E461" t="inlineStr">
        <is>
          <t>VIMMERBY</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9694-2023</t>
        </is>
      </c>
      <c r="B462" s="1" t="n">
        <v>44984.45895833334</v>
      </c>
      <c r="C462" s="1" t="n">
        <v>46090</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22198-2024</t>
        </is>
      </c>
      <c r="B463" s="1" t="n">
        <v>45446.36865740741</v>
      </c>
      <c r="C463" s="1" t="n">
        <v>46090</v>
      </c>
      <c r="D463" t="inlineStr">
        <is>
          <t>KALMAR LÄN</t>
        </is>
      </c>
      <c r="E463" t="inlineStr">
        <is>
          <t>VIMMERBY</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49871-2025</t>
        </is>
      </c>
      <c r="B464" s="1" t="n">
        <v>45940.54104166666</v>
      </c>
      <c r="C464" s="1" t="n">
        <v>46090</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57311-2023</t>
        </is>
      </c>
      <c r="B465" s="1" t="n">
        <v>45245.63574074074</v>
      </c>
      <c r="C465" s="1" t="n">
        <v>46090</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12588-2025</t>
        </is>
      </c>
      <c r="B466" s="1" t="n">
        <v>45732.76936342593</v>
      </c>
      <c r="C466" s="1" t="n">
        <v>46090</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36226-2025</t>
        </is>
      </c>
      <c r="B467" s="1" t="n">
        <v>45867.51630787037</v>
      </c>
      <c r="C467" s="1" t="n">
        <v>46090</v>
      </c>
      <c r="D467" t="inlineStr">
        <is>
          <t>KALMAR LÄN</t>
        </is>
      </c>
      <c r="E467" t="inlineStr">
        <is>
          <t>VIMMERBY</t>
        </is>
      </c>
      <c r="G467" t="n">
        <v>3.1</v>
      </c>
      <c r="H467" t="n">
        <v>0</v>
      </c>
      <c r="I467" t="n">
        <v>0</v>
      </c>
      <c r="J467" t="n">
        <v>0</v>
      </c>
      <c r="K467" t="n">
        <v>0</v>
      </c>
      <c r="L467" t="n">
        <v>0</v>
      </c>
      <c r="M467" t="n">
        <v>0</v>
      </c>
      <c r="N467" t="n">
        <v>0</v>
      </c>
      <c r="O467" t="n">
        <v>0</v>
      </c>
      <c r="P467" t="n">
        <v>0</v>
      </c>
      <c r="Q467" t="n">
        <v>0</v>
      </c>
      <c r="R467" s="2" t="inlineStr"/>
    </row>
    <row r="468" ht="15" customHeight="1">
      <c r="A468" t="inlineStr">
        <is>
          <t>A 7932-2025</t>
        </is>
      </c>
      <c r="B468" s="1" t="n">
        <v>45707.3793287037</v>
      </c>
      <c r="C468" s="1" t="n">
        <v>46090</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36273-2025</t>
        </is>
      </c>
      <c r="B469" s="1" t="n">
        <v>45867.63094907408</v>
      </c>
      <c r="C469" s="1" t="n">
        <v>46090</v>
      </c>
      <c r="D469" t="inlineStr">
        <is>
          <t>KALMAR LÄN</t>
        </is>
      </c>
      <c r="E469" t="inlineStr">
        <is>
          <t>VIMMERBY</t>
        </is>
      </c>
      <c r="G469" t="n">
        <v>1.7</v>
      </c>
      <c r="H469" t="n">
        <v>0</v>
      </c>
      <c r="I469" t="n">
        <v>0</v>
      </c>
      <c r="J469" t="n">
        <v>0</v>
      </c>
      <c r="K469" t="n">
        <v>0</v>
      </c>
      <c r="L469" t="n">
        <v>0</v>
      </c>
      <c r="M469" t="n">
        <v>0</v>
      </c>
      <c r="N469" t="n">
        <v>0</v>
      </c>
      <c r="O469" t="n">
        <v>0</v>
      </c>
      <c r="P469" t="n">
        <v>0</v>
      </c>
      <c r="Q469" t="n">
        <v>0</v>
      </c>
      <c r="R469" s="2" t="inlineStr"/>
    </row>
    <row r="470" ht="15" customHeight="1">
      <c r="A470" t="inlineStr">
        <is>
          <t>A 36282-2025</t>
        </is>
      </c>
      <c r="B470" s="1" t="n">
        <v>45867.64663194444</v>
      </c>
      <c r="C470" s="1" t="n">
        <v>46090</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36246-2025</t>
        </is>
      </c>
      <c r="B471" s="1" t="n">
        <v>45867.56320601852</v>
      </c>
      <c r="C471" s="1" t="n">
        <v>46090</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36297-2025</t>
        </is>
      </c>
      <c r="B472" s="1" t="n">
        <v>45867.68625</v>
      </c>
      <c r="C472" s="1" t="n">
        <v>46090</v>
      </c>
      <c r="D472" t="inlineStr">
        <is>
          <t>KALMAR LÄN</t>
        </is>
      </c>
      <c r="E472" t="inlineStr">
        <is>
          <t>VIMMERBY</t>
        </is>
      </c>
      <c r="G472" t="n">
        <v>4.9</v>
      </c>
      <c r="H472" t="n">
        <v>0</v>
      </c>
      <c r="I472" t="n">
        <v>0</v>
      </c>
      <c r="J472" t="n">
        <v>0</v>
      </c>
      <c r="K472" t="n">
        <v>0</v>
      </c>
      <c r="L472" t="n">
        <v>0</v>
      </c>
      <c r="M472" t="n">
        <v>0</v>
      </c>
      <c r="N472" t="n">
        <v>0</v>
      </c>
      <c r="O472" t="n">
        <v>0</v>
      </c>
      <c r="P472" t="n">
        <v>0</v>
      </c>
      <c r="Q472" t="n">
        <v>0</v>
      </c>
      <c r="R472" s="2" t="inlineStr"/>
    </row>
    <row r="473" ht="15" customHeight="1">
      <c r="A473" t="inlineStr">
        <is>
          <t>A 50544-2025</t>
        </is>
      </c>
      <c r="B473" s="1" t="n">
        <v>45945.50736111111</v>
      </c>
      <c r="C473" s="1" t="n">
        <v>46090</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36221-2025</t>
        </is>
      </c>
      <c r="B474" s="1" t="n">
        <v>45867.50792824074</v>
      </c>
      <c r="C474" s="1" t="n">
        <v>46090</v>
      </c>
      <c r="D474" t="inlineStr">
        <is>
          <t>KALMAR LÄN</t>
        </is>
      </c>
      <c r="E474" t="inlineStr">
        <is>
          <t>VIMMERBY</t>
        </is>
      </c>
      <c r="G474" t="n">
        <v>2.5</v>
      </c>
      <c r="H474" t="n">
        <v>0</v>
      </c>
      <c r="I474" t="n">
        <v>0</v>
      </c>
      <c r="J474" t="n">
        <v>0</v>
      </c>
      <c r="K474" t="n">
        <v>0</v>
      </c>
      <c r="L474" t="n">
        <v>0</v>
      </c>
      <c r="M474" t="n">
        <v>0</v>
      </c>
      <c r="N474" t="n">
        <v>0</v>
      </c>
      <c r="O474" t="n">
        <v>0</v>
      </c>
      <c r="P474" t="n">
        <v>0</v>
      </c>
      <c r="Q474" t="n">
        <v>0</v>
      </c>
      <c r="R474" s="2" t="inlineStr"/>
    </row>
    <row r="475" ht="15" customHeight="1">
      <c r="A475" t="inlineStr">
        <is>
          <t>A 19502-2025</t>
        </is>
      </c>
      <c r="B475" s="1" t="n">
        <v>45769</v>
      </c>
      <c r="C475" s="1" t="n">
        <v>46090</v>
      </c>
      <c r="D475" t="inlineStr">
        <is>
          <t>KALMAR LÄN</t>
        </is>
      </c>
      <c r="E475" t="inlineStr">
        <is>
          <t>VIMMERBY</t>
        </is>
      </c>
      <c r="G475" t="n">
        <v>1.9</v>
      </c>
      <c r="H475" t="n">
        <v>0</v>
      </c>
      <c r="I475" t="n">
        <v>0</v>
      </c>
      <c r="J475" t="n">
        <v>0</v>
      </c>
      <c r="K475" t="n">
        <v>0</v>
      </c>
      <c r="L475" t="n">
        <v>0</v>
      </c>
      <c r="M475" t="n">
        <v>0</v>
      </c>
      <c r="N475" t="n">
        <v>0</v>
      </c>
      <c r="O475" t="n">
        <v>0</v>
      </c>
      <c r="P475" t="n">
        <v>0</v>
      </c>
      <c r="Q475" t="n">
        <v>0</v>
      </c>
      <c r="R475" s="2" t="inlineStr"/>
    </row>
    <row r="476" ht="15" customHeight="1">
      <c r="A476" t="inlineStr">
        <is>
          <t>A 36299-2025</t>
        </is>
      </c>
      <c r="B476" s="1" t="n">
        <v>45867.69346064814</v>
      </c>
      <c r="C476" s="1" t="n">
        <v>46090</v>
      </c>
      <c r="D476" t="inlineStr">
        <is>
          <t>KALMAR LÄN</t>
        </is>
      </c>
      <c r="E476" t="inlineStr">
        <is>
          <t>VIMMERBY</t>
        </is>
      </c>
      <c r="G476" t="n">
        <v>7.6</v>
      </c>
      <c r="H476" t="n">
        <v>0</v>
      </c>
      <c r="I476" t="n">
        <v>0</v>
      </c>
      <c r="J476" t="n">
        <v>0</v>
      </c>
      <c r="K476" t="n">
        <v>0</v>
      </c>
      <c r="L476" t="n">
        <v>0</v>
      </c>
      <c r="M476" t="n">
        <v>0</v>
      </c>
      <c r="N476" t="n">
        <v>0</v>
      </c>
      <c r="O476" t="n">
        <v>0</v>
      </c>
      <c r="P476" t="n">
        <v>0</v>
      </c>
      <c r="Q476" t="n">
        <v>0</v>
      </c>
      <c r="R476" s="2" t="inlineStr"/>
    </row>
    <row r="477" ht="15" customHeight="1">
      <c r="A477" t="inlineStr">
        <is>
          <t>A 50324-2025</t>
        </is>
      </c>
      <c r="B477" s="1" t="n">
        <v>45944.45962962963</v>
      </c>
      <c r="C477" s="1" t="n">
        <v>46090</v>
      </c>
      <c r="D477" t="inlineStr">
        <is>
          <t>KALMAR LÄN</t>
        </is>
      </c>
      <c r="E477" t="inlineStr">
        <is>
          <t>VIMMERBY</t>
        </is>
      </c>
      <c r="G477" t="n">
        <v>2.1</v>
      </c>
      <c r="H477" t="n">
        <v>0</v>
      </c>
      <c r="I477" t="n">
        <v>0</v>
      </c>
      <c r="J477" t="n">
        <v>0</v>
      </c>
      <c r="K477" t="n">
        <v>0</v>
      </c>
      <c r="L477" t="n">
        <v>0</v>
      </c>
      <c r="M477" t="n">
        <v>0</v>
      </c>
      <c r="N477" t="n">
        <v>0</v>
      </c>
      <c r="O477" t="n">
        <v>0</v>
      </c>
      <c r="P477" t="n">
        <v>0</v>
      </c>
      <c r="Q477" t="n">
        <v>0</v>
      </c>
      <c r="R477" s="2" t="inlineStr"/>
    </row>
    <row r="478" ht="15" customHeight="1">
      <c r="A478" t="inlineStr">
        <is>
          <t>A 2121-2022</t>
        </is>
      </c>
      <c r="B478" s="1" t="n">
        <v>44578.32717592592</v>
      </c>
      <c r="C478" s="1" t="n">
        <v>46090</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36538-2025</t>
        </is>
      </c>
      <c r="B479" s="1" t="n">
        <v>45869.62276620371</v>
      </c>
      <c r="C479" s="1" t="n">
        <v>46090</v>
      </c>
      <c r="D479" t="inlineStr">
        <is>
          <t>KALMAR LÄN</t>
        </is>
      </c>
      <c r="E479" t="inlineStr">
        <is>
          <t>VIMMERBY</t>
        </is>
      </c>
      <c r="G479" t="n">
        <v>2.6</v>
      </c>
      <c r="H479" t="n">
        <v>0</v>
      </c>
      <c r="I479" t="n">
        <v>0</v>
      </c>
      <c r="J479" t="n">
        <v>0</v>
      </c>
      <c r="K479" t="n">
        <v>0</v>
      </c>
      <c r="L479" t="n">
        <v>0</v>
      </c>
      <c r="M479" t="n">
        <v>0</v>
      </c>
      <c r="N479" t="n">
        <v>0</v>
      </c>
      <c r="O479" t="n">
        <v>0</v>
      </c>
      <c r="P479" t="n">
        <v>0</v>
      </c>
      <c r="Q479" t="n">
        <v>0</v>
      </c>
      <c r="R479" s="2" t="inlineStr"/>
    </row>
    <row r="480" ht="15" customHeight="1">
      <c r="A480" t="inlineStr">
        <is>
          <t>A 34386-2024</t>
        </is>
      </c>
      <c r="B480" s="1" t="n">
        <v>45525.41762731481</v>
      </c>
      <c r="C480" s="1" t="n">
        <v>46090</v>
      </c>
      <c r="D480" t="inlineStr">
        <is>
          <t>KALMAR LÄN</t>
        </is>
      </c>
      <c r="E480" t="inlineStr">
        <is>
          <t>VIMMERBY</t>
        </is>
      </c>
      <c r="G480" t="n">
        <v>0.3</v>
      </c>
      <c r="H480" t="n">
        <v>0</v>
      </c>
      <c r="I480" t="n">
        <v>0</v>
      </c>
      <c r="J480" t="n">
        <v>0</v>
      </c>
      <c r="K480" t="n">
        <v>0</v>
      </c>
      <c r="L480" t="n">
        <v>0</v>
      </c>
      <c r="M480" t="n">
        <v>0</v>
      </c>
      <c r="N480" t="n">
        <v>0</v>
      </c>
      <c r="O480" t="n">
        <v>0</v>
      </c>
      <c r="P480" t="n">
        <v>0</v>
      </c>
      <c r="Q480" t="n">
        <v>0</v>
      </c>
      <c r="R480" s="2" t="inlineStr"/>
    </row>
    <row r="481" ht="15" customHeight="1">
      <c r="A481" t="inlineStr">
        <is>
          <t>A 6069-2023</t>
        </is>
      </c>
      <c r="B481" s="1" t="n">
        <v>44964.5115162037</v>
      </c>
      <c r="C481" s="1" t="n">
        <v>46090</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36598-2025</t>
        </is>
      </c>
      <c r="B482" s="1" t="n">
        <v>45870.51708333333</v>
      </c>
      <c r="C482" s="1" t="n">
        <v>46090</v>
      </c>
      <c r="D482" t="inlineStr">
        <is>
          <t>KALMAR LÄN</t>
        </is>
      </c>
      <c r="E482" t="inlineStr">
        <is>
          <t>VIMMERBY</t>
        </is>
      </c>
      <c r="G482" t="n">
        <v>3.7</v>
      </c>
      <c r="H482" t="n">
        <v>0</v>
      </c>
      <c r="I482" t="n">
        <v>0</v>
      </c>
      <c r="J482" t="n">
        <v>0</v>
      </c>
      <c r="K482" t="n">
        <v>0</v>
      </c>
      <c r="L482" t="n">
        <v>0</v>
      </c>
      <c r="M482" t="n">
        <v>0</v>
      </c>
      <c r="N482" t="n">
        <v>0</v>
      </c>
      <c r="O482" t="n">
        <v>0</v>
      </c>
      <c r="P482" t="n">
        <v>0</v>
      </c>
      <c r="Q482" t="n">
        <v>0</v>
      </c>
      <c r="R482" s="2" t="inlineStr"/>
    </row>
    <row r="483" ht="15" customHeight="1">
      <c r="A483" t="inlineStr">
        <is>
          <t>A 36602-2025</t>
        </is>
      </c>
      <c r="B483" s="1" t="n">
        <v>45870.52111111111</v>
      </c>
      <c r="C483" s="1" t="n">
        <v>46090</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409-2026</t>
        </is>
      </c>
      <c r="B484" s="1" t="n">
        <v>46028.69432870371</v>
      </c>
      <c r="C484" s="1" t="n">
        <v>46090</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51062-2025</t>
        </is>
      </c>
      <c r="B485" s="1" t="n">
        <v>45947.44685185186</v>
      </c>
      <c r="C485" s="1" t="n">
        <v>46090</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32633-2023</t>
        </is>
      </c>
      <c r="B486" s="1" t="n">
        <v>45121.58699074074</v>
      </c>
      <c r="C486" s="1" t="n">
        <v>46090</v>
      </c>
      <c r="D486" t="inlineStr">
        <is>
          <t>KALMAR LÄN</t>
        </is>
      </c>
      <c r="E486" t="inlineStr">
        <is>
          <t>VIMMERBY</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36603-2025</t>
        </is>
      </c>
      <c r="B487" s="1" t="n">
        <v>45870.52142361111</v>
      </c>
      <c r="C487" s="1" t="n">
        <v>46090</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406-2026</t>
        </is>
      </c>
      <c r="B488" s="1" t="n">
        <v>46028.68663194445</v>
      </c>
      <c r="C488" s="1" t="n">
        <v>46090</v>
      </c>
      <c r="D488" t="inlineStr">
        <is>
          <t>KALMAR LÄN</t>
        </is>
      </c>
      <c r="E488" t="inlineStr">
        <is>
          <t>VIMMERBY</t>
        </is>
      </c>
      <c r="G488" t="n">
        <v>1.8</v>
      </c>
      <c r="H488" t="n">
        <v>0</v>
      </c>
      <c r="I488" t="n">
        <v>0</v>
      </c>
      <c r="J488" t="n">
        <v>0</v>
      </c>
      <c r="K488" t="n">
        <v>0</v>
      </c>
      <c r="L488" t="n">
        <v>0</v>
      </c>
      <c r="M488" t="n">
        <v>0</v>
      </c>
      <c r="N488" t="n">
        <v>0</v>
      </c>
      <c r="O488" t="n">
        <v>0</v>
      </c>
      <c r="P488" t="n">
        <v>0</v>
      </c>
      <c r="Q488" t="n">
        <v>0</v>
      </c>
      <c r="R488" s="2" t="inlineStr"/>
    </row>
    <row r="489" ht="15" customHeight="1">
      <c r="A489" t="inlineStr">
        <is>
          <t>A 49461-2023</t>
        </is>
      </c>
      <c r="B489" s="1" t="n">
        <v>45211.52642361111</v>
      </c>
      <c r="C489" s="1" t="n">
        <v>46090</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23095-2023</t>
        </is>
      </c>
      <c r="B490" s="1" t="n">
        <v>45075.43059027778</v>
      </c>
      <c r="C490" s="1" t="n">
        <v>46090</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11429-2022</t>
        </is>
      </c>
      <c r="B491" s="1" t="n">
        <v>44630</v>
      </c>
      <c r="C491" s="1" t="n">
        <v>46090</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36600-2025</t>
        </is>
      </c>
      <c r="B492" s="1" t="n">
        <v>45870.51958333333</v>
      </c>
      <c r="C492" s="1" t="n">
        <v>46090</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36601-2025</t>
        </is>
      </c>
      <c r="B493" s="1" t="n">
        <v>45870.52005787037</v>
      </c>
      <c r="C493" s="1" t="n">
        <v>46090</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37088-2025</t>
        </is>
      </c>
      <c r="B494" s="1" t="n">
        <v>45875.45716435185</v>
      </c>
      <c r="C494" s="1" t="n">
        <v>46090</v>
      </c>
      <c r="D494" t="inlineStr">
        <is>
          <t>KALMAR LÄN</t>
        </is>
      </c>
      <c r="E494" t="inlineStr">
        <is>
          <t>VIMMERBY</t>
        </is>
      </c>
      <c r="G494" t="n">
        <v>1.3</v>
      </c>
      <c r="H494" t="n">
        <v>0</v>
      </c>
      <c r="I494" t="n">
        <v>0</v>
      </c>
      <c r="J494" t="n">
        <v>0</v>
      </c>
      <c r="K494" t="n">
        <v>0</v>
      </c>
      <c r="L494" t="n">
        <v>0</v>
      </c>
      <c r="M494" t="n">
        <v>0</v>
      </c>
      <c r="N494" t="n">
        <v>0</v>
      </c>
      <c r="O494" t="n">
        <v>0</v>
      </c>
      <c r="P494" t="n">
        <v>0</v>
      </c>
      <c r="Q494" t="n">
        <v>0</v>
      </c>
      <c r="R494" s="2" t="inlineStr"/>
    </row>
    <row r="495" ht="15" customHeight="1">
      <c r="A495" t="inlineStr">
        <is>
          <t>A 37102-2025</t>
        </is>
      </c>
      <c r="B495" s="1" t="n">
        <v>45875.47454861111</v>
      </c>
      <c r="C495" s="1" t="n">
        <v>46090</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11141-2024</t>
        </is>
      </c>
      <c r="B496" s="1" t="n">
        <v>45371.45865740741</v>
      </c>
      <c r="C496" s="1" t="n">
        <v>46090</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28395-2023</t>
        </is>
      </c>
      <c r="B497" s="1" t="n">
        <v>45100.4062962963</v>
      </c>
      <c r="C497" s="1" t="n">
        <v>46090</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34597-2022</t>
        </is>
      </c>
      <c r="B498" s="1" t="n">
        <v>44795</v>
      </c>
      <c r="C498" s="1" t="n">
        <v>46090</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37079-2025</t>
        </is>
      </c>
      <c r="B499" s="1" t="n">
        <v>45875.42716435185</v>
      </c>
      <c r="C499" s="1" t="n">
        <v>46090</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36934-2025</t>
        </is>
      </c>
      <c r="B500" s="1" t="n">
        <v>45874.57109953704</v>
      </c>
      <c r="C500" s="1" t="n">
        <v>46090</v>
      </c>
      <c r="D500" t="inlineStr">
        <is>
          <t>KALMAR LÄN</t>
        </is>
      </c>
      <c r="E500" t="inlineStr">
        <is>
          <t>VIMMERBY</t>
        </is>
      </c>
      <c r="G500" t="n">
        <v>4.2</v>
      </c>
      <c r="H500" t="n">
        <v>0</v>
      </c>
      <c r="I500" t="n">
        <v>0</v>
      </c>
      <c r="J500" t="n">
        <v>0</v>
      </c>
      <c r="K500" t="n">
        <v>0</v>
      </c>
      <c r="L500" t="n">
        <v>0</v>
      </c>
      <c r="M500" t="n">
        <v>0</v>
      </c>
      <c r="N500" t="n">
        <v>0</v>
      </c>
      <c r="O500" t="n">
        <v>0</v>
      </c>
      <c r="P500" t="n">
        <v>0</v>
      </c>
      <c r="Q500" t="n">
        <v>0</v>
      </c>
      <c r="R500" s="2" t="inlineStr"/>
    </row>
    <row r="501" ht="15" customHeight="1">
      <c r="A501" t="inlineStr">
        <is>
          <t>A 51990-2025</t>
        </is>
      </c>
      <c r="B501" s="1" t="n">
        <v>45952.58061342593</v>
      </c>
      <c r="C501" s="1" t="n">
        <v>46090</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64428-2023</t>
        </is>
      </c>
      <c r="B502" s="1" t="n">
        <v>45280.66769675926</v>
      </c>
      <c r="C502" s="1" t="n">
        <v>46090</v>
      </c>
      <c r="D502" t="inlineStr">
        <is>
          <t>KALMAR LÄN</t>
        </is>
      </c>
      <c r="E502" t="inlineStr">
        <is>
          <t>VIMMERBY</t>
        </is>
      </c>
      <c r="G502" t="n">
        <v>1.2</v>
      </c>
      <c r="H502" t="n">
        <v>0</v>
      </c>
      <c r="I502" t="n">
        <v>0</v>
      </c>
      <c r="J502" t="n">
        <v>0</v>
      </c>
      <c r="K502" t="n">
        <v>0</v>
      </c>
      <c r="L502" t="n">
        <v>0</v>
      </c>
      <c r="M502" t="n">
        <v>0</v>
      </c>
      <c r="N502" t="n">
        <v>0</v>
      </c>
      <c r="O502" t="n">
        <v>0</v>
      </c>
      <c r="P502" t="n">
        <v>0</v>
      </c>
      <c r="Q502" t="n">
        <v>0</v>
      </c>
      <c r="R502" s="2" t="inlineStr"/>
    </row>
    <row r="503" ht="15" customHeight="1">
      <c r="A503" t="inlineStr">
        <is>
          <t>A 30588-2023</t>
        </is>
      </c>
      <c r="B503" s="1" t="n">
        <v>45112.33599537037</v>
      </c>
      <c r="C503" s="1" t="n">
        <v>46090</v>
      </c>
      <c r="D503" t="inlineStr">
        <is>
          <t>KALMAR LÄN</t>
        </is>
      </c>
      <c r="E503" t="inlineStr">
        <is>
          <t>VIMMERBY</t>
        </is>
      </c>
      <c r="G503" t="n">
        <v>2.7</v>
      </c>
      <c r="H503" t="n">
        <v>0</v>
      </c>
      <c r="I503" t="n">
        <v>0</v>
      </c>
      <c r="J503" t="n">
        <v>0</v>
      </c>
      <c r="K503" t="n">
        <v>0</v>
      </c>
      <c r="L503" t="n">
        <v>0</v>
      </c>
      <c r="M503" t="n">
        <v>0</v>
      </c>
      <c r="N503" t="n">
        <v>0</v>
      </c>
      <c r="O503" t="n">
        <v>0</v>
      </c>
      <c r="P503" t="n">
        <v>0</v>
      </c>
      <c r="Q503" t="n">
        <v>0</v>
      </c>
      <c r="R503" s="2" t="inlineStr"/>
    </row>
    <row r="504" ht="15" customHeight="1">
      <c r="A504" t="inlineStr">
        <is>
          <t>A 30503-2023</t>
        </is>
      </c>
      <c r="B504" s="1" t="n">
        <v>45111</v>
      </c>
      <c r="C504" s="1" t="n">
        <v>46090</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51993-2025</t>
        </is>
      </c>
      <c r="B505" s="1" t="n">
        <v>45952.58194444444</v>
      </c>
      <c r="C505" s="1" t="n">
        <v>46090</v>
      </c>
      <c r="D505" t="inlineStr">
        <is>
          <t>KALMAR LÄN</t>
        </is>
      </c>
      <c r="E505" t="inlineStr">
        <is>
          <t>VIMMERBY</t>
        </is>
      </c>
      <c r="G505" t="n">
        <v>2.8</v>
      </c>
      <c r="H505" t="n">
        <v>0</v>
      </c>
      <c r="I505" t="n">
        <v>0</v>
      </c>
      <c r="J505" t="n">
        <v>0</v>
      </c>
      <c r="K505" t="n">
        <v>0</v>
      </c>
      <c r="L505" t="n">
        <v>0</v>
      </c>
      <c r="M505" t="n">
        <v>0</v>
      </c>
      <c r="N505" t="n">
        <v>0</v>
      </c>
      <c r="O505" t="n">
        <v>0</v>
      </c>
      <c r="P505" t="n">
        <v>0</v>
      </c>
      <c r="Q505" t="n">
        <v>0</v>
      </c>
      <c r="R505" s="2" t="inlineStr"/>
    </row>
    <row r="506" ht="15" customHeight="1">
      <c r="A506" t="inlineStr">
        <is>
          <t>A 52465-2025</t>
        </is>
      </c>
      <c r="B506" s="1" t="n">
        <v>45954.44543981482</v>
      </c>
      <c r="C506" s="1" t="n">
        <v>46090</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37578-2025</t>
        </is>
      </c>
      <c r="B507" s="1" t="n">
        <v>45880.38380787037</v>
      </c>
      <c r="C507" s="1" t="n">
        <v>46090</v>
      </c>
      <c r="D507" t="inlineStr">
        <is>
          <t>KALMAR LÄN</t>
        </is>
      </c>
      <c r="E507" t="inlineStr">
        <is>
          <t>VIMMERBY</t>
        </is>
      </c>
      <c r="G507" t="n">
        <v>0.7</v>
      </c>
      <c r="H507" t="n">
        <v>0</v>
      </c>
      <c r="I507" t="n">
        <v>0</v>
      </c>
      <c r="J507" t="n">
        <v>0</v>
      </c>
      <c r="K507" t="n">
        <v>0</v>
      </c>
      <c r="L507" t="n">
        <v>0</v>
      </c>
      <c r="M507" t="n">
        <v>0</v>
      </c>
      <c r="N507" t="n">
        <v>0</v>
      </c>
      <c r="O507" t="n">
        <v>0</v>
      </c>
      <c r="P507" t="n">
        <v>0</v>
      </c>
      <c r="Q507" t="n">
        <v>0</v>
      </c>
      <c r="R507" s="2" t="inlineStr"/>
    </row>
    <row r="508" ht="15" customHeight="1">
      <c r="A508" t="inlineStr">
        <is>
          <t>A 47263-2023</t>
        </is>
      </c>
      <c r="B508" s="1" t="n">
        <v>45202.4209837963</v>
      </c>
      <c r="C508" s="1" t="n">
        <v>46090</v>
      </c>
      <c r="D508" t="inlineStr">
        <is>
          <t>KALMAR LÄN</t>
        </is>
      </c>
      <c r="E508" t="inlineStr">
        <is>
          <t>VIMMERBY</t>
        </is>
      </c>
      <c r="G508" t="n">
        <v>1.8</v>
      </c>
      <c r="H508" t="n">
        <v>0</v>
      </c>
      <c r="I508" t="n">
        <v>0</v>
      </c>
      <c r="J508" t="n">
        <v>0</v>
      </c>
      <c r="K508" t="n">
        <v>0</v>
      </c>
      <c r="L508" t="n">
        <v>0</v>
      </c>
      <c r="M508" t="n">
        <v>0</v>
      </c>
      <c r="N508" t="n">
        <v>0</v>
      </c>
      <c r="O508" t="n">
        <v>0</v>
      </c>
      <c r="P508" t="n">
        <v>0</v>
      </c>
      <c r="Q508" t="n">
        <v>0</v>
      </c>
      <c r="R508" s="2" t="inlineStr"/>
    </row>
    <row r="509" ht="15" customHeight="1">
      <c r="A509" t="inlineStr">
        <is>
          <t>A 58100-2024</t>
        </is>
      </c>
      <c r="B509" s="1" t="n">
        <v>45632.36706018518</v>
      </c>
      <c r="C509" s="1" t="n">
        <v>46090</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58159-2024</t>
        </is>
      </c>
      <c r="B510" s="1" t="n">
        <v>45632.44886574074</v>
      </c>
      <c r="C510" s="1" t="n">
        <v>46090</v>
      </c>
      <c r="D510" t="inlineStr">
        <is>
          <t>KALMAR LÄN</t>
        </is>
      </c>
      <c r="E510" t="inlineStr">
        <is>
          <t>VIMMERBY</t>
        </is>
      </c>
      <c r="G510" t="n">
        <v>7.5</v>
      </c>
      <c r="H510" t="n">
        <v>0</v>
      </c>
      <c r="I510" t="n">
        <v>0</v>
      </c>
      <c r="J510" t="n">
        <v>0</v>
      </c>
      <c r="K510" t="n">
        <v>0</v>
      </c>
      <c r="L510" t="n">
        <v>0</v>
      </c>
      <c r="M510" t="n">
        <v>0</v>
      </c>
      <c r="N510" t="n">
        <v>0</v>
      </c>
      <c r="O510" t="n">
        <v>0</v>
      </c>
      <c r="P510" t="n">
        <v>0</v>
      </c>
      <c r="Q510" t="n">
        <v>0</v>
      </c>
      <c r="R510" s="2" t="inlineStr"/>
    </row>
    <row r="511" ht="15" customHeight="1">
      <c r="A511" t="inlineStr">
        <is>
          <t>A 52451-2025</t>
        </is>
      </c>
      <c r="B511" s="1" t="n">
        <v>45954.42326388889</v>
      </c>
      <c r="C511" s="1" t="n">
        <v>46090</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57114-2023</t>
        </is>
      </c>
      <c r="B512" s="1" t="n">
        <v>45245.36174768519</v>
      </c>
      <c r="C512" s="1" t="n">
        <v>46090</v>
      </c>
      <c r="D512" t="inlineStr">
        <is>
          <t>KALMAR LÄN</t>
        </is>
      </c>
      <c r="E512" t="inlineStr">
        <is>
          <t>VIMMERBY</t>
        </is>
      </c>
      <c r="G512" t="n">
        <v>1.5</v>
      </c>
      <c r="H512" t="n">
        <v>0</v>
      </c>
      <c r="I512" t="n">
        <v>0</v>
      </c>
      <c r="J512" t="n">
        <v>0</v>
      </c>
      <c r="K512" t="n">
        <v>0</v>
      </c>
      <c r="L512" t="n">
        <v>0</v>
      </c>
      <c r="M512" t="n">
        <v>0</v>
      </c>
      <c r="N512" t="n">
        <v>0</v>
      </c>
      <c r="O512" t="n">
        <v>0</v>
      </c>
      <c r="P512" t="n">
        <v>0</v>
      </c>
      <c r="Q512" t="n">
        <v>0</v>
      </c>
      <c r="R512" s="2" t="inlineStr"/>
    </row>
    <row r="513" ht="15" customHeight="1">
      <c r="A513" t="inlineStr">
        <is>
          <t>A 3423-2022</t>
        </is>
      </c>
      <c r="B513" s="1" t="n">
        <v>44585.50431712963</v>
      </c>
      <c r="C513" s="1" t="n">
        <v>46090</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37668-2025</t>
        </is>
      </c>
      <c r="B514" s="1" t="n">
        <v>45880.51550925926</v>
      </c>
      <c r="C514" s="1" t="n">
        <v>46090</v>
      </c>
      <c r="D514" t="inlineStr">
        <is>
          <t>KALMAR LÄN</t>
        </is>
      </c>
      <c r="E514" t="inlineStr">
        <is>
          <t>VIMMERBY</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40665-2023</t>
        </is>
      </c>
      <c r="B515" s="1" t="n">
        <v>45170</v>
      </c>
      <c r="C515" s="1" t="n">
        <v>46090</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37939-2025</t>
        </is>
      </c>
      <c r="B516" s="1" t="n">
        <v>45881.59877314815</v>
      </c>
      <c r="C516" s="1" t="n">
        <v>46090</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52516-2025</t>
        </is>
      </c>
      <c r="B517" s="1" t="n">
        <v>45954.51412037037</v>
      </c>
      <c r="C517" s="1" t="n">
        <v>46090</v>
      </c>
      <c r="D517" t="inlineStr">
        <is>
          <t>KALMAR LÄN</t>
        </is>
      </c>
      <c r="E517" t="inlineStr">
        <is>
          <t>VIMMERBY</t>
        </is>
      </c>
      <c r="G517" t="n">
        <v>2.8</v>
      </c>
      <c r="H517" t="n">
        <v>0</v>
      </c>
      <c r="I517" t="n">
        <v>0</v>
      </c>
      <c r="J517" t="n">
        <v>0</v>
      </c>
      <c r="K517" t="n">
        <v>0</v>
      </c>
      <c r="L517" t="n">
        <v>0</v>
      </c>
      <c r="M517" t="n">
        <v>0</v>
      </c>
      <c r="N517" t="n">
        <v>0</v>
      </c>
      <c r="O517" t="n">
        <v>0</v>
      </c>
      <c r="P517" t="n">
        <v>0</v>
      </c>
      <c r="Q517" t="n">
        <v>0</v>
      </c>
      <c r="R517" s="2" t="inlineStr"/>
    </row>
    <row r="518" ht="15" customHeight="1">
      <c r="A518" t="inlineStr">
        <is>
          <t>A 37866-2025</t>
        </is>
      </c>
      <c r="B518" s="1" t="n">
        <v>45881</v>
      </c>
      <c r="C518" s="1" t="n">
        <v>46090</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52466-2025</t>
        </is>
      </c>
      <c r="B519" s="1" t="n">
        <v>45954.44707175926</v>
      </c>
      <c r="C519" s="1" t="n">
        <v>46090</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52473-2025</t>
        </is>
      </c>
      <c r="B520" s="1" t="n">
        <v>45954.45947916667</v>
      </c>
      <c r="C520" s="1" t="n">
        <v>46090</v>
      </c>
      <c r="D520" t="inlineStr">
        <is>
          <t>KALMAR LÄN</t>
        </is>
      </c>
      <c r="E520" t="inlineStr">
        <is>
          <t>VIMMERBY</t>
        </is>
      </c>
      <c r="G520" t="n">
        <v>2.4</v>
      </c>
      <c r="H520" t="n">
        <v>0</v>
      </c>
      <c r="I520" t="n">
        <v>0</v>
      </c>
      <c r="J520" t="n">
        <v>0</v>
      </c>
      <c r="K520" t="n">
        <v>0</v>
      </c>
      <c r="L520" t="n">
        <v>0</v>
      </c>
      <c r="M520" t="n">
        <v>0</v>
      </c>
      <c r="N520" t="n">
        <v>0</v>
      </c>
      <c r="O520" t="n">
        <v>0</v>
      </c>
      <c r="P520" t="n">
        <v>0</v>
      </c>
      <c r="Q520" t="n">
        <v>0</v>
      </c>
      <c r="R520" s="2" t="inlineStr"/>
    </row>
    <row r="521" ht="15" customHeight="1">
      <c r="A521" t="inlineStr">
        <is>
          <t>A 52480-2025</t>
        </is>
      </c>
      <c r="B521" s="1" t="n">
        <v>45954.47172453703</v>
      </c>
      <c r="C521" s="1" t="n">
        <v>46090</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52475-2025</t>
        </is>
      </c>
      <c r="B522" s="1" t="n">
        <v>45954.468125</v>
      </c>
      <c r="C522" s="1" t="n">
        <v>46090</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53396-2025</t>
        </is>
      </c>
      <c r="B523" s="1" t="n">
        <v>45959.55577546296</v>
      </c>
      <c r="C523" s="1" t="n">
        <v>46090</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53416-2025</t>
        </is>
      </c>
      <c r="B524" s="1" t="n">
        <v>45959.58387731481</v>
      </c>
      <c r="C524" s="1" t="n">
        <v>46090</v>
      </c>
      <c r="D524" t="inlineStr">
        <is>
          <t>KALMAR LÄN</t>
        </is>
      </c>
      <c r="E524" t="inlineStr">
        <is>
          <t>VIMMERBY</t>
        </is>
      </c>
      <c r="G524" t="n">
        <v>4.4</v>
      </c>
      <c r="H524" t="n">
        <v>0</v>
      </c>
      <c r="I524" t="n">
        <v>0</v>
      </c>
      <c r="J524" t="n">
        <v>0</v>
      </c>
      <c r="K524" t="n">
        <v>0</v>
      </c>
      <c r="L524" t="n">
        <v>0</v>
      </c>
      <c r="M524" t="n">
        <v>0</v>
      </c>
      <c r="N524" t="n">
        <v>0</v>
      </c>
      <c r="O524" t="n">
        <v>0</v>
      </c>
      <c r="P524" t="n">
        <v>0</v>
      </c>
      <c r="Q524" t="n">
        <v>0</v>
      </c>
      <c r="R524" s="2" t="inlineStr"/>
    </row>
    <row r="525" ht="15" customHeight="1">
      <c r="A525" t="inlineStr">
        <is>
          <t>A 53398-2025</t>
        </is>
      </c>
      <c r="B525" s="1" t="n">
        <v>45959.56247685185</v>
      </c>
      <c r="C525" s="1" t="n">
        <v>46090</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53397-2025</t>
        </is>
      </c>
      <c r="B526" s="1" t="n">
        <v>45959.55918981481</v>
      </c>
      <c r="C526" s="1" t="n">
        <v>46090</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53220-2025</t>
        </is>
      </c>
      <c r="B527" s="1" t="n">
        <v>45958.60146990741</v>
      </c>
      <c r="C527" s="1" t="n">
        <v>46090</v>
      </c>
      <c r="D527" t="inlineStr">
        <is>
          <t>KALMAR LÄN</t>
        </is>
      </c>
      <c r="E527" t="inlineStr">
        <is>
          <t>VIMMERBY</t>
        </is>
      </c>
      <c r="G527" t="n">
        <v>2.2</v>
      </c>
      <c r="H527" t="n">
        <v>0</v>
      </c>
      <c r="I527" t="n">
        <v>0</v>
      </c>
      <c r="J527" t="n">
        <v>0</v>
      </c>
      <c r="K527" t="n">
        <v>0</v>
      </c>
      <c r="L527" t="n">
        <v>0</v>
      </c>
      <c r="M527" t="n">
        <v>0</v>
      </c>
      <c r="N527" t="n">
        <v>0</v>
      </c>
      <c r="O527" t="n">
        <v>0</v>
      </c>
      <c r="P527" t="n">
        <v>0</v>
      </c>
      <c r="Q527" t="n">
        <v>0</v>
      </c>
      <c r="R527" s="2" t="inlineStr"/>
    </row>
    <row r="528" ht="15" customHeight="1">
      <c r="A528" t="inlineStr">
        <is>
          <t>A 53393-2025</t>
        </is>
      </c>
      <c r="B528" s="1" t="n">
        <v>45959.55284722222</v>
      </c>
      <c r="C528" s="1" t="n">
        <v>46090</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50860-2022</t>
        </is>
      </c>
      <c r="B529" s="1" t="n">
        <v>44867</v>
      </c>
      <c r="C529" s="1" t="n">
        <v>46090</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53413-2025</t>
        </is>
      </c>
      <c r="B530" s="1" t="n">
        <v>45959.5787037037</v>
      </c>
      <c r="C530" s="1" t="n">
        <v>46090</v>
      </c>
      <c r="D530" t="inlineStr">
        <is>
          <t>KALMAR LÄN</t>
        </is>
      </c>
      <c r="E530" t="inlineStr">
        <is>
          <t>VIMMERBY</t>
        </is>
      </c>
      <c r="G530" t="n">
        <v>4.3</v>
      </c>
      <c r="H530" t="n">
        <v>0</v>
      </c>
      <c r="I530" t="n">
        <v>0</v>
      </c>
      <c r="J530" t="n">
        <v>0</v>
      </c>
      <c r="K530" t="n">
        <v>0</v>
      </c>
      <c r="L530" t="n">
        <v>0</v>
      </c>
      <c r="M530" t="n">
        <v>0</v>
      </c>
      <c r="N530" t="n">
        <v>0</v>
      </c>
      <c r="O530" t="n">
        <v>0</v>
      </c>
      <c r="P530" t="n">
        <v>0</v>
      </c>
      <c r="Q530" t="n">
        <v>0</v>
      </c>
      <c r="R530" s="2" t="inlineStr"/>
    </row>
    <row r="531" ht="15" customHeight="1">
      <c r="A531" t="inlineStr">
        <is>
          <t>A 25370-2022</t>
        </is>
      </c>
      <c r="B531" s="1" t="n">
        <v>44732.3659837963</v>
      </c>
      <c r="C531" s="1" t="n">
        <v>46090</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53903-2025</t>
        </is>
      </c>
      <c r="B532" s="1" t="n">
        <v>45961.43738425926</v>
      </c>
      <c r="C532" s="1" t="n">
        <v>46090</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58577-2024</t>
        </is>
      </c>
      <c r="B533" s="1" t="n">
        <v>45635.4874537037</v>
      </c>
      <c r="C533" s="1" t="n">
        <v>46090</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38964-2025</t>
        </is>
      </c>
      <c r="B534" s="1" t="n">
        <v>45887.68759259259</v>
      </c>
      <c r="C534" s="1" t="n">
        <v>46090</v>
      </c>
      <c r="D534" t="inlineStr">
        <is>
          <t>KALMAR LÄN</t>
        </is>
      </c>
      <c r="E534" t="inlineStr">
        <is>
          <t>VIMMERBY</t>
        </is>
      </c>
      <c r="G534" t="n">
        <v>7.5</v>
      </c>
      <c r="H534" t="n">
        <v>0</v>
      </c>
      <c r="I534" t="n">
        <v>0</v>
      </c>
      <c r="J534" t="n">
        <v>0</v>
      </c>
      <c r="K534" t="n">
        <v>0</v>
      </c>
      <c r="L534" t="n">
        <v>0</v>
      </c>
      <c r="M534" t="n">
        <v>0</v>
      </c>
      <c r="N534" t="n">
        <v>0</v>
      </c>
      <c r="O534" t="n">
        <v>0</v>
      </c>
      <c r="P534" t="n">
        <v>0</v>
      </c>
      <c r="Q534" t="n">
        <v>0</v>
      </c>
      <c r="R534" s="2" t="inlineStr"/>
    </row>
    <row r="535" ht="15" customHeight="1">
      <c r="A535" t="inlineStr">
        <is>
          <t>A 53920-2025</t>
        </is>
      </c>
      <c r="B535" s="1" t="n">
        <v>45961.44951388889</v>
      </c>
      <c r="C535" s="1" t="n">
        <v>46090</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53927-2025</t>
        </is>
      </c>
      <c r="B536" s="1" t="n">
        <v>45961.46740740741</v>
      </c>
      <c r="C536" s="1" t="n">
        <v>46090</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29440-2024</t>
        </is>
      </c>
      <c r="B537" s="1" t="n">
        <v>45483.82479166667</v>
      </c>
      <c r="C537" s="1" t="n">
        <v>46090</v>
      </c>
      <c r="D537" t="inlineStr">
        <is>
          <t>KALMAR LÄN</t>
        </is>
      </c>
      <c r="E537" t="inlineStr">
        <is>
          <t>VIMMERBY</t>
        </is>
      </c>
      <c r="G537" t="n">
        <v>4.5</v>
      </c>
      <c r="H537" t="n">
        <v>0</v>
      </c>
      <c r="I537" t="n">
        <v>0</v>
      </c>
      <c r="J537" t="n">
        <v>0</v>
      </c>
      <c r="K537" t="n">
        <v>0</v>
      </c>
      <c r="L537" t="n">
        <v>0</v>
      </c>
      <c r="M537" t="n">
        <v>0</v>
      </c>
      <c r="N537" t="n">
        <v>0</v>
      </c>
      <c r="O537" t="n">
        <v>0</v>
      </c>
      <c r="P537" t="n">
        <v>0</v>
      </c>
      <c r="Q537" t="n">
        <v>0</v>
      </c>
      <c r="R537" s="2" t="inlineStr"/>
    </row>
    <row r="538" ht="15" customHeight="1">
      <c r="A538" t="inlineStr">
        <is>
          <t>A 53789-2025</t>
        </is>
      </c>
      <c r="B538" s="1" t="n">
        <v>45960</v>
      </c>
      <c r="C538" s="1" t="n">
        <v>46090</v>
      </c>
      <c r="D538" t="inlineStr">
        <is>
          <t>KALMAR LÄN</t>
        </is>
      </c>
      <c r="E538" t="inlineStr">
        <is>
          <t>VIMMERBY</t>
        </is>
      </c>
      <c r="F538" t="inlineStr">
        <is>
          <t>Övriga statliga verk och myndigheter</t>
        </is>
      </c>
      <c r="G538" t="n">
        <v>1.6</v>
      </c>
      <c r="H538" t="n">
        <v>0</v>
      </c>
      <c r="I538" t="n">
        <v>0</v>
      </c>
      <c r="J538" t="n">
        <v>0</v>
      </c>
      <c r="K538" t="n">
        <v>0</v>
      </c>
      <c r="L538" t="n">
        <v>0</v>
      </c>
      <c r="M538" t="n">
        <v>0</v>
      </c>
      <c r="N538" t="n">
        <v>0</v>
      </c>
      <c r="O538" t="n">
        <v>0</v>
      </c>
      <c r="P538" t="n">
        <v>0</v>
      </c>
      <c r="Q538" t="n">
        <v>0</v>
      </c>
      <c r="R538" s="2" t="inlineStr"/>
    </row>
    <row r="539" ht="15" customHeight="1">
      <c r="A539" t="inlineStr">
        <is>
          <t>A 53923-2025</t>
        </is>
      </c>
      <c r="B539" s="1" t="n">
        <v>45961.4569212963</v>
      </c>
      <c r="C539" s="1" t="n">
        <v>46090</v>
      </c>
      <c r="D539" t="inlineStr">
        <is>
          <t>KALMAR LÄN</t>
        </is>
      </c>
      <c r="E539" t="inlineStr">
        <is>
          <t>VIMMERBY</t>
        </is>
      </c>
      <c r="G539" t="n">
        <v>2.4</v>
      </c>
      <c r="H539" t="n">
        <v>0</v>
      </c>
      <c r="I539" t="n">
        <v>0</v>
      </c>
      <c r="J539" t="n">
        <v>0</v>
      </c>
      <c r="K539" t="n">
        <v>0</v>
      </c>
      <c r="L539" t="n">
        <v>0</v>
      </c>
      <c r="M539" t="n">
        <v>0</v>
      </c>
      <c r="N539" t="n">
        <v>0</v>
      </c>
      <c r="O539" t="n">
        <v>0</v>
      </c>
      <c r="P539" t="n">
        <v>0</v>
      </c>
      <c r="Q539" t="n">
        <v>0</v>
      </c>
      <c r="R539" s="2" t="inlineStr"/>
    </row>
    <row r="540" ht="15" customHeight="1">
      <c r="A540" t="inlineStr">
        <is>
          <t>A 53933-2025</t>
        </is>
      </c>
      <c r="B540" s="1" t="n">
        <v>45961.47650462963</v>
      </c>
      <c r="C540" s="1" t="n">
        <v>46090</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53788-2025</t>
        </is>
      </c>
      <c r="B541" s="1" t="n">
        <v>45960</v>
      </c>
      <c r="C541" s="1" t="n">
        <v>46090</v>
      </c>
      <c r="D541" t="inlineStr">
        <is>
          <t>KALMAR LÄN</t>
        </is>
      </c>
      <c r="E541" t="inlineStr">
        <is>
          <t>VIMMERBY</t>
        </is>
      </c>
      <c r="F541" t="inlineStr">
        <is>
          <t>Övriga statliga verk och myndigheter</t>
        </is>
      </c>
      <c r="G541" t="n">
        <v>6.3</v>
      </c>
      <c r="H541" t="n">
        <v>0</v>
      </c>
      <c r="I541" t="n">
        <v>0</v>
      </c>
      <c r="J541" t="n">
        <v>0</v>
      </c>
      <c r="K541" t="n">
        <v>0</v>
      </c>
      <c r="L541" t="n">
        <v>0</v>
      </c>
      <c r="M541" t="n">
        <v>0</v>
      </c>
      <c r="N541" t="n">
        <v>0</v>
      </c>
      <c r="O541" t="n">
        <v>0</v>
      </c>
      <c r="P541" t="n">
        <v>0</v>
      </c>
      <c r="Q541" t="n">
        <v>0</v>
      </c>
      <c r="R541" s="2" t="inlineStr"/>
    </row>
    <row r="542" ht="15" customHeight="1">
      <c r="A542" t="inlineStr">
        <is>
          <t>A 54236-2025</t>
        </is>
      </c>
      <c r="B542" s="1" t="n">
        <v>45964.62671296296</v>
      </c>
      <c r="C542" s="1" t="n">
        <v>46090</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9129-2025</t>
        </is>
      </c>
      <c r="B543" s="1" t="n">
        <v>45713.92412037037</v>
      </c>
      <c r="C543" s="1" t="n">
        <v>46090</v>
      </c>
      <c r="D543" t="inlineStr">
        <is>
          <t>KALMAR LÄN</t>
        </is>
      </c>
      <c r="E543" t="inlineStr">
        <is>
          <t>VIMMERBY</t>
        </is>
      </c>
      <c r="G543" t="n">
        <v>2.8</v>
      </c>
      <c r="H543" t="n">
        <v>0</v>
      </c>
      <c r="I543" t="n">
        <v>0</v>
      </c>
      <c r="J543" t="n">
        <v>0</v>
      </c>
      <c r="K543" t="n">
        <v>0</v>
      </c>
      <c r="L543" t="n">
        <v>0</v>
      </c>
      <c r="M543" t="n">
        <v>0</v>
      </c>
      <c r="N543" t="n">
        <v>0</v>
      </c>
      <c r="O543" t="n">
        <v>0</v>
      </c>
      <c r="P543" t="n">
        <v>0</v>
      </c>
      <c r="Q543" t="n">
        <v>0</v>
      </c>
      <c r="R543" s="2" t="inlineStr"/>
    </row>
    <row r="544" ht="15" customHeight="1">
      <c r="A544" t="inlineStr">
        <is>
          <t>A 22197-2024</t>
        </is>
      </c>
      <c r="B544" s="1" t="n">
        <v>45446.36774305555</v>
      </c>
      <c r="C544" s="1" t="n">
        <v>46090</v>
      </c>
      <c r="D544" t="inlineStr">
        <is>
          <t>KALMAR LÄN</t>
        </is>
      </c>
      <c r="E544" t="inlineStr">
        <is>
          <t>VIMMERBY</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53752-2024</t>
        </is>
      </c>
      <c r="B545" s="1" t="n">
        <v>45615.48927083334</v>
      </c>
      <c r="C545" s="1" t="n">
        <v>46090</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12121-2025</t>
        </is>
      </c>
      <c r="B546" s="1" t="n">
        <v>45729.36868055556</v>
      </c>
      <c r="C546" s="1" t="n">
        <v>46090</v>
      </c>
      <c r="D546" t="inlineStr">
        <is>
          <t>KALMAR LÄN</t>
        </is>
      </c>
      <c r="E546" t="inlineStr">
        <is>
          <t>VIMMERBY</t>
        </is>
      </c>
      <c r="G546" t="n">
        <v>4.3</v>
      </c>
      <c r="H546" t="n">
        <v>0</v>
      </c>
      <c r="I546" t="n">
        <v>0</v>
      </c>
      <c r="J546" t="n">
        <v>0</v>
      </c>
      <c r="K546" t="n">
        <v>0</v>
      </c>
      <c r="L546" t="n">
        <v>0</v>
      </c>
      <c r="M546" t="n">
        <v>0</v>
      </c>
      <c r="N546" t="n">
        <v>0</v>
      </c>
      <c r="O546" t="n">
        <v>0</v>
      </c>
      <c r="P546" t="n">
        <v>0</v>
      </c>
      <c r="Q546" t="n">
        <v>0</v>
      </c>
      <c r="R546" s="2" t="inlineStr"/>
    </row>
    <row r="547" ht="15" customHeight="1">
      <c r="A547" t="inlineStr">
        <is>
          <t>A 842-2026</t>
        </is>
      </c>
      <c r="B547" s="1" t="n">
        <v>46030.380625</v>
      </c>
      <c r="C547" s="1" t="n">
        <v>46090</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54234-2025</t>
        </is>
      </c>
      <c r="B548" s="1" t="n">
        <v>45964.62486111111</v>
      </c>
      <c r="C548" s="1" t="n">
        <v>46090</v>
      </c>
      <c r="D548" t="inlineStr">
        <is>
          <t>KALMAR LÄN</t>
        </is>
      </c>
      <c r="E548" t="inlineStr">
        <is>
          <t>VIMMERBY</t>
        </is>
      </c>
      <c r="G548" t="n">
        <v>4.1</v>
      </c>
      <c r="H548" t="n">
        <v>0</v>
      </c>
      <c r="I548" t="n">
        <v>0</v>
      </c>
      <c r="J548" t="n">
        <v>0</v>
      </c>
      <c r="K548" t="n">
        <v>0</v>
      </c>
      <c r="L548" t="n">
        <v>0</v>
      </c>
      <c r="M548" t="n">
        <v>0</v>
      </c>
      <c r="N548" t="n">
        <v>0</v>
      </c>
      <c r="O548" t="n">
        <v>0</v>
      </c>
      <c r="P548" t="n">
        <v>0</v>
      </c>
      <c r="Q548" t="n">
        <v>0</v>
      </c>
      <c r="R548" s="2" t="inlineStr"/>
    </row>
    <row r="549" ht="15" customHeight="1">
      <c r="A549" t="inlineStr">
        <is>
          <t>A 9710-2023</t>
        </is>
      </c>
      <c r="B549" s="1" t="n">
        <v>44984</v>
      </c>
      <c r="C549" s="1" t="n">
        <v>46090</v>
      </c>
      <c r="D549" t="inlineStr">
        <is>
          <t>KALMAR LÄN</t>
        </is>
      </c>
      <c r="E549" t="inlineStr">
        <is>
          <t>VIMMERBY</t>
        </is>
      </c>
      <c r="G549" t="n">
        <v>3.7</v>
      </c>
      <c r="H549" t="n">
        <v>0</v>
      </c>
      <c r="I549" t="n">
        <v>0</v>
      </c>
      <c r="J549" t="n">
        <v>0</v>
      </c>
      <c r="K549" t="n">
        <v>0</v>
      </c>
      <c r="L549" t="n">
        <v>0</v>
      </c>
      <c r="M549" t="n">
        <v>0</v>
      </c>
      <c r="N549" t="n">
        <v>0</v>
      </c>
      <c r="O549" t="n">
        <v>0</v>
      </c>
      <c r="P549" t="n">
        <v>0</v>
      </c>
      <c r="Q549" t="n">
        <v>0</v>
      </c>
      <c r="R549" s="2" t="inlineStr"/>
    </row>
    <row r="550" ht="15" customHeight="1">
      <c r="A550" t="inlineStr">
        <is>
          <t>A 9720-2023</t>
        </is>
      </c>
      <c r="B550" s="1" t="n">
        <v>44984</v>
      </c>
      <c r="C550" s="1" t="n">
        <v>46090</v>
      </c>
      <c r="D550" t="inlineStr">
        <is>
          <t>KALMAR LÄN</t>
        </is>
      </c>
      <c r="E550" t="inlineStr">
        <is>
          <t>VIMMERBY</t>
        </is>
      </c>
      <c r="G550" t="n">
        <v>4.4</v>
      </c>
      <c r="H550" t="n">
        <v>0</v>
      </c>
      <c r="I550" t="n">
        <v>0</v>
      </c>
      <c r="J550" t="n">
        <v>0</v>
      </c>
      <c r="K550" t="n">
        <v>0</v>
      </c>
      <c r="L550" t="n">
        <v>0</v>
      </c>
      <c r="M550" t="n">
        <v>0</v>
      </c>
      <c r="N550" t="n">
        <v>0</v>
      </c>
      <c r="O550" t="n">
        <v>0</v>
      </c>
      <c r="P550" t="n">
        <v>0</v>
      </c>
      <c r="Q550" t="n">
        <v>0</v>
      </c>
      <c r="R550" s="2" t="inlineStr"/>
    </row>
    <row r="551" ht="15" customHeight="1">
      <c r="A551" t="inlineStr">
        <is>
          <t>A 15493-2023</t>
        </is>
      </c>
      <c r="B551" s="1" t="n">
        <v>45018</v>
      </c>
      <c r="C551" s="1" t="n">
        <v>46090</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54737-2025</t>
        </is>
      </c>
      <c r="B552" s="1" t="n">
        <v>45966.56826388889</v>
      </c>
      <c r="C552" s="1" t="n">
        <v>46090</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54813-2025</t>
        </is>
      </c>
      <c r="B553" s="1" t="n">
        <v>45966.64881944445</v>
      </c>
      <c r="C553" s="1" t="n">
        <v>46090</v>
      </c>
      <c r="D553" t="inlineStr">
        <is>
          <t>KALMAR LÄN</t>
        </is>
      </c>
      <c r="E553" t="inlineStr">
        <is>
          <t>VIMMERBY</t>
        </is>
      </c>
      <c r="G553" t="n">
        <v>1.7</v>
      </c>
      <c r="H553" t="n">
        <v>0</v>
      </c>
      <c r="I553" t="n">
        <v>0</v>
      </c>
      <c r="J553" t="n">
        <v>0</v>
      </c>
      <c r="K553" t="n">
        <v>0</v>
      </c>
      <c r="L553" t="n">
        <v>0</v>
      </c>
      <c r="M553" t="n">
        <v>0</v>
      </c>
      <c r="N553" t="n">
        <v>0</v>
      </c>
      <c r="O553" t="n">
        <v>0</v>
      </c>
      <c r="P553" t="n">
        <v>0</v>
      </c>
      <c r="Q553" t="n">
        <v>0</v>
      </c>
      <c r="R553" s="2" t="inlineStr"/>
    </row>
    <row r="554" ht="15" customHeight="1">
      <c r="A554" t="inlineStr">
        <is>
          <t>A 1069-2026</t>
        </is>
      </c>
      <c r="B554" s="1" t="n">
        <v>46030</v>
      </c>
      <c r="C554" s="1" t="n">
        <v>46090</v>
      </c>
      <c r="D554" t="inlineStr">
        <is>
          <t>KALMAR LÄN</t>
        </is>
      </c>
      <c r="E554" t="inlineStr">
        <is>
          <t>VIMMERBY</t>
        </is>
      </c>
      <c r="G554" t="n">
        <v>3.3</v>
      </c>
      <c r="H554" t="n">
        <v>0</v>
      </c>
      <c r="I554" t="n">
        <v>0</v>
      </c>
      <c r="J554" t="n">
        <v>0</v>
      </c>
      <c r="K554" t="n">
        <v>0</v>
      </c>
      <c r="L554" t="n">
        <v>0</v>
      </c>
      <c r="M554" t="n">
        <v>0</v>
      </c>
      <c r="N554" t="n">
        <v>0</v>
      </c>
      <c r="O554" t="n">
        <v>0</v>
      </c>
      <c r="P554" t="n">
        <v>0</v>
      </c>
      <c r="Q554" t="n">
        <v>0</v>
      </c>
      <c r="R554" s="2" t="inlineStr"/>
    </row>
    <row r="555" ht="15" customHeight="1">
      <c r="A555" t="inlineStr">
        <is>
          <t>A 55602-2025</t>
        </is>
      </c>
      <c r="B555" s="1" t="n">
        <v>45971</v>
      </c>
      <c r="C555" s="1" t="n">
        <v>46090</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1734-2026</t>
        </is>
      </c>
      <c r="B556" s="1" t="n">
        <v>46034</v>
      </c>
      <c r="C556" s="1" t="n">
        <v>46090</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1743-2026</t>
        </is>
      </c>
      <c r="B557" s="1" t="n">
        <v>46034</v>
      </c>
      <c r="C557" s="1" t="n">
        <v>46090</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29093-2023</t>
        </is>
      </c>
      <c r="B558" s="1" t="n">
        <v>45105</v>
      </c>
      <c r="C558" s="1" t="n">
        <v>46090</v>
      </c>
      <c r="D558" t="inlineStr">
        <is>
          <t>KALMAR LÄN</t>
        </is>
      </c>
      <c r="E558" t="inlineStr">
        <is>
          <t>VIMMERBY</t>
        </is>
      </c>
      <c r="G558" t="n">
        <v>2.9</v>
      </c>
      <c r="H558" t="n">
        <v>0</v>
      </c>
      <c r="I558" t="n">
        <v>0</v>
      </c>
      <c r="J558" t="n">
        <v>0</v>
      </c>
      <c r="K558" t="n">
        <v>0</v>
      </c>
      <c r="L558" t="n">
        <v>0</v>
      </c>
      <c r="M558" t="n">
        <v>0</v>
      </c>
      <c r="N558" t="n">
        <v>0</v>
      </c>
      <c r="O558" t="n">
        <v>0</v>
      </c>
      <c r="P558" t="n">
        <v>0</v>
      </c>
      <c r="Q558" t="n">
        <v>0</v>
      </c>
      <c r="R558" s="2" t="inlineStr"/>
    </row>
    <row r="559" ht="15" customHeight="1">
      <c r="A559" t="inlineStr">
        <is>
          <t>A 33352-2022</t>
        </is>
      </c>
      <c r="B559" s="1" t="n">
        <v>44788</v>
      </c>
      <c r="C559" s="1" t="n">
        <v>46090</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22264-2023</t>
        </is>
      </c>
      <c r="B560" s="1" t="n">
        <v>45070.3665625</v>
      </c>
      <c r="C560" s="1" t="n">
        <v>46090</v>
      </c>
      <c r="D560" t="inlineStr">
        <is>
          <t>KALMAR LÄN</t>
        </is>
      </c>
      <c r="E560" t="inlineStr">
        <is>
          <t>VIMMERBY</t>
        </is>
      </c>
      <c r="G560" t="n">
        <v>1</v>
      </c>
      <c r="H560" t="n">
        <v>0</v>
      </c>
      <c r="I560" t="n">
        <v>0</v>
      </c>
      <c r="J560" t="n">
        <v>0</v>
      </c>
      <c r="K560" t="n">
        <v>0</v>
      </c>
      <c r="L560" t="n">
        <v>0</v>
      </c>
      <c r="M560" t="n">
        <v>0</v>
      </c>
      <c r="N560" t="n">
        <v>0</v>
      </c>
      <c r="O560" t="n">
        <v>0</v>
      </c>
      <c r="P560" t="n">
        <v>0</v>
      </c>
      <c r="Q560" t="n">
        <v>0</v>
      </c>
      <c r="R560" s="2" t="inlineStr"/>
    </row>
    <row r="561" ht="15" customHeight="1">
      <c r="A561" t="inlineStr">
        <is>
          <t>A 55603-2025</t>
        </is>
      </c>
      <c r="B561" s="1" t="n">
        <v>45971</v>
      </c>
      <c r="C561" s="1" t="n">
        <v>46090</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55605-2025</t>
        </is>
      </c>
      <c r="B562" s="1" t="n">
        <v>45971</v>
      </c>
      <c r="C562" s="1" t="n">
        <v>46090</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16676-2023</t>
        </is>
      </c>
      <c r="B563" s="1" t="n">
        <v>45028</v>
      </c>
      <c r="C563" s="1" t="n">
        <v>46090</v>
      </c>
      <c r="D563" t="inlineStr">
        <is>
          <t>KALMAR LÄN</t>
        </is>
      </c>
      <c r="E563" t="inlineStr">
        <is>
          <t>VIMMERBY</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55385-2025</t>
        </is>
      </c>
      <c r="B564" s="1" t="n">
        <v>45971.43350694444</v>
      </c>
      <c r="C564" s="1" t="n">
        <v>46090</v>
      </c>
      <c r="D564" t="inlineStr">
        <is>
          <t>KALMAR LÄN</t>
        </is>
      </c>
      <c r="E564" t="inlineStr">
        <is>
          <t>VIMMERBY</t>
        </is>
      </c>
      <c r="G564" t="n">
        <v>5</v>
      </c>
      <c r="H564" t="n">
        <v>0</v>
      </c>
      <c r="I564" t="n">
        <v>0</v>
      </c>
      <c r="J564" t="n">
        <v>0</v>
      </c>
      <c r="K564" t="n">
        <v>0</v>
      </c>
      <c r="L564" t="n">
        <v>0</v>
      </c>
      <c r="M564" t="n">
        <v>0</v>
      </c>
      <c r="N564" t="n">
        <v>0</v>
      </c>
      <c r="O564" t="n">
        <v>0</v>
      </c>
      <c r="P564" t="n">
        <v>0</v>
      </c>
      <c r="Q564" t="n">
        <v>0</v>
      </c>
      <c r="R564" s="2" t="inlineStr"/>
    </row>
    <row r="565" ht="15" customHeight="1">
      <c r="A565" t="inlineStr">
        <is>
          <t>A 6220-2025</t>
        </is>
      </c>
      <c r="B565" s="1" t="n">
        <v>45698.53725694444</v>
      </c>
      <c r="C565" s="1" t="n">
        <v>46090</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24096-2024</t>
        </is>
      </c>
      <c r="B566" s="1" t="n">
        <v>45456.59289351852</v>
      </c>
      <c r="C566" s="1" t="n">
        <v>46090</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1748-2026</t>
        </is>
      </c>
      <c r="B567" s="1" t="n">
        <v>46034.65589120371</v>
      </c>
      <c r="C567" s="1" t="n">
        <v>46090</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29013-2024</t>
        </is>
      </c>
      <c r="B568" s="1" t="n">
        <v>45481.55984953704</v>
      </c>
      <c r="C568" s="1" t="n">
        <v>46090</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6066-2023</t>
        </is>
      </c>
      <c r="B569" s="1" t="n">
        <v>44964.50894675926</v>
      </c>
      <c r="C569" s="1" t="n">
        <v>46090</v>
      </c>
      <c r="D569" t="inlineStr">
        <is>
          <t>KALMAR LÄN</t>
        </is>
      </c>
      <c r="E569" t="inlineStr">
        <is>
          <t>VIMMERBY</t>
        </is>
      </c>
      <c r="G569" t="n">
        <v>2.8</v>
      </c>
      <c r="H569" t="n">
        <v>0</v>
      </c>
      <c r="I569" t="n">
        <v>0</v>
      </c>
      <c r="J569" t="n">
        <v>0</v>
      </c>
      <c r="K569" t="n">
        <v>0</v>
      </c>
      <c r="L569" t="n">
        <v>0</v>
      </c>
      <c r="M569" t="n">
        <v>0</v>
      </c>
      <c r="N569" t="n">
        <v>0</v>
      </c>
      <c r="O569" t="n">
        <v>0</v>
      </c>
      <c r="P569" t="n">
        <v>0</v>
      </c>
      <c r="Q569" t="n">
        <v>0</v>
      </c>
      <c r="R569" s="2" t="inlineStr"/>
    </row>
    <row r="570" ht="15" customHeight="1">
      <c r="A570" t="inlineStr">
        <is>
          <t>A 59955-2023</t>
        </is>
      </c>
      <c r="B570" s="1" t="n">
        <v>45257.70313657408</v>
      </c>
      <c r="C570" s="1" t="n">
        <v>46090</v>
      </c>
      <c r="D570" t="inlineStr">
        <is>
          <t>KALMAR LÄN</t>
        </is>
      </c>
      <c r="E570" t="inlineStr">
        <is>
          <t>VIMMERBY</t>
        </is>
      </c>
      <c r="G570" t="n">
        <v>13.8</v>
      </c>
      <c r="H570" t="n">
        <v>0</v>
      </c>
      <c r="I570" t="n">
        <v>0</v>
      </c>
      <c r="J570" t="n">
        <v>0</v>
      </c>
      <c r="K570" t="n">
        <v>0</v>
      </c>
      <c r="L570" t="n">
        <v>0</v>
      </c>
      <c r="M570" t="n">
        <v>0</v>
      </c>
      <c r="N570" t="n">
        <v>0</v>
      </c>
      <c r="O570" t="n">
        <v>0</v>
      </c>
      <c r="P570" t="n">
        <v>0</v>
      </c>
      <c r="Q570" t="n">
        <v>0</v>
      </c>
      <c r="R570" s="2" t="inlineStr"/>
    </row>
    <row r="571" ht="15" customHeight="1">
      <c r="A571" t="inlineStr">
        <is>
          <t>A 1862-2026</t>
        </is>
      </c>
      <c r="B571" s="1" t="n">
        <v>46035.44689814815</v>
      </c>
      <c r="C571" s="1" t="n">
        <v>46090</v>
      </c>
      <c r="D571" t="inlineStr">
        <is>
          <t>KALMAR LÄN</t>
        </is>
      </c>
      <c r="E571" t="inlineStr">
        <is>
          <t>VIMMERBY</t>
        </is>
      </c>
      <c r="G571" t="n">
        <v>3.1</v>
      </c>
      <c r="H571" t="n">
        <v>0</v>
      </c>
      <c r="I571" t="n">
        <v>0</v>
      </c>
      <c r="J571" t="n">
        <v>0</v>
      </c>
      <c r="K571" t="n">
        <v>0</v>
      </c>
      <c r="L571" t="n">
        <v>0</v>
      </c>
      <c r="M571" t="n">
        <v>0</v>
      </c>
      <c r="N571" t="n">
        <v>0</v>
      </c>
      <c r="O571" t="n">
        <v>0</v>
      </c>
      <c r="P571" t="n">
        <v>0</v>
      </c>
      <c r="Q571" t="n">
        <v>0</v>
      </c>
      <c r="R571" s="2" t="inlineStr"/>
    </row>
    <row r="572" ht="15" customHeight="1">
      <c r="A572" t="inlineStr">
        <is>
          <t>A 36040-2024</t>
        </is>
      </c>
      <c r="B572" s="1" t="n">
        <v>45533.60232638889</v>
      </c>
      <c r="C572" s="1" t="n">
        <v>46090</v>
      </c>
      <c r="D572" t="inlineStr">
        <is>
          <t>KALMAR LÄN</t>
        </is>
      </c>
      <c r="E572" t="inlineStr">
        <is>
          <t>VIMMERBY</t>
        </is>
      </c>
      <c r="F572" t="inlineStr">
        <is>
          <t>Kommuner</t>
        </is>
      </c>
      <c r="G572" t="n">
        <v>3.6</v>
      </c>
      <c r="H572" t="n">
        <v>0</v>
      </c>
      <c r="I572" t="n">
        <v>0</v>
      </c>
      <c r="J572" t="n">
        <v>0</v>
      </c>
      <c r="K572" t="n">
        <v>0</v>
      </c>
      <c r="L572" t="n">
        <v>0</v>
      </c>
      <c r="M572" t="n">
        <v>0</v>
      </c>
      <c r="N572" t="n">
        <v>0</v>
      </c>
      <c r="O572" t="n">
        <v>0</v>
      </c>
      <c r="P572" t="n">
        <v>0</v>
      </c>
      <c r="Q572" t="n">
        <v>0</v>
      </c>
      <c r="R572" s="2" t="inlineStr"/>
    </row>
    <row r="573" ht="15" customHeight="1">
      <c r="A573" t="inlineStr">
        <is>
          <t>A 36043-2024</t>
        </is>
      </c>
      <c r="B573" s="1" t="n">
        <v>45533.60770833334</v>
      </c>
      <c r="C573" s="1" t="n">
        <v>46090</v>
      </c>
      <c r="D573" t="inlineStr">
        <is>
          <t>KALMAR LÄN</t>
        </is>
      </c>
      <c r="E573" t="inlineStr">
        <is>
          <t>VIMMERBY</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12890-2023</t>
        </is>
      </c>
      <c r="B574" s="1" t="n">
        <v>45001.59209490741</v>
      </c>
      <c r="C574" s="1" t="n">
        <v>46090</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43594-2024</t>
        </is>
      </c>
      <c r="B575" s="1" t="n">
        <v>45569.44295138889</v>
      </c>
      <c r="C575" s="1" t="n">
        <v>46090</v>
      </c>
      <c r="D575" t="inlineStr">
        <is>
          <t>KALMAR LÄN</t>
        </is>
      </c>
      <c r="E575" t="inlineStr">
        <is>
          <t>VIMMERBY</t>
        </is>
      </c>
      <c r="G575" t="n">
        <v>3.9</v>
      </c>
      <c r="H575" t="n">
        <v>0</v>
      </c>
      <c r="I575" t="n">
        <v>0</v>
      </c>
      <c r="J575" t="n">
        <v>0</v>
      </c>
      <c r="K575" t="n">
        <v>0</v>
      </c>
      <c r="L575" t="n">
        <v>0</v>
      </c>
      <c r="M575" t="n">
        <v>0</v>
      </c>
      <c r="N575" t="n">
        <v>0</v>
      </c>
      <c r="O575" t="n">
        <v>0</v>
      </c>
      <c r="P575" t="n">
        <v>0</v>
      </c>
      <c r="Q575" t="n">
        <v>0</v>
      </c>
      <c r="R575" s="2" t="inlineStr"/>
    </row>
    <row r="576" ht="15" customHeight="1">
      <c r="A576" t="inlineStr">
        <is>
          <t>A 53482-2022</t>
        </is>
      </c>
      <c r="B576" s="1" t="n">
        <v>44879</v>
      </c>
      <c r="C576" s="1" t="n">
        <v>46090</v>
      </c>
      <c r="D576" t="inlineStr">
        <is>
          <t>KALMAR LÄN</t>
        </is>
      </c>
      <c r="E576" t="inlineStr">
        <is>
          <t>VIMMERBY</t>
        </is>
      </c>
      <c r="G576" t="n">
        <v>10.1</v>
      </c>
      <c r="H576" t="n">
        <v>0</v>
      </c>
      <c r="I576" t="n">
        <v>0</v>
      </c>
      <c r="J576" t="n">
        <v>0</v>
      </c>
      <c r="K576" t="n">
        <v>0</v>
      </c>
      <c r="L576" t="n">
        <v>0</v>
      </c>
      <c r="M576" t="n">
        <v>0</v>
      </c>
      <c r="N576" t="n">
        <v>0</v>
      </c>
      <c r="O576" t="n">
        <v>0</v>
      </c>
      <c r="P576" t="n">
        <v>0</v>
      </c>
      <c r="Q576" t="n">
        <v>0</v>
      </c>
      <c r="R576" s="2" t="inlineStr"/>
    </row>
    <row r="577" ht="15" customHeight="1">
      <c r="A577" t="inlineStr">
        <is>
          <t>A 27761-2024</t>
        </is>
      </c>
      <c r="B577" s="1" t="n">
        <v>45475.49018518518</v>
      </c>
      <c r="C577" s="1" t="n">
        <v>46090</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64203-2021</t>
        </is>
      </c>
      <c r="B578" s="1" t="n">
        <v>44510.60921296296</v>
      </c>
      <c r="C578" s="1" t="n">
        <v>46090</v>
      </c>
      <c r="D578" t="inlineStr">
        <is>
          <t>KALMAR LÄN</t>
        </is>
      </c>
      <c r="E578" t="inlineStr">
        <is>
          <t>VIMMERBY</t>
        </is>
      </c>
      <c r="F578" t="inlineStr">
        <is>
          <t>Övriga Aktiebolag</t>
        </is>
      </c>
      <c r="G578" t="n">
        <v>5.4</v>
      </c>
      <c r="H578" t="n">
        <v>0</v>
      </c>
      <c r="I578" t="n">
        <v>0</v>
      </c>
      <c r="J578" t="n">
        <v>0</v>
      </c>
      <c r="K578" t="n">
        <v>0</v>
      </c>
      <c r="L578" t="n">
        <v>0</v>
      </c>
      <c r="M578" t="n">
        <v>0</v>
      </c>
      <c r="N578" t="n">
        <v>0</v>
      </c>
      <c r="O578" t="n">
        <v>0</v>
      </c>
      <c r="P578" t="n">
        <v>0</v>
      </c>
      <c r="Q578" t="n">
        <v>0</v>
      </c>
      <c r="R578" s="2" t="inlineStr"/>
    </row>
    <row r="579" ht="15" customHeight="1">
      <c r="A579" t="inlineStr">
        <is>
          <t>A 5720-2023</t>
        </is>
      </c>
      <c r="B579" s="1" t="n">
        <v>44961</v>
      </c>
      <c r="C579" s="1" t="n">
        <v>46090</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9643-2023</t>
        </is>
      </c>
      <c r="B580" s="1" t="n">
        <v>44984</v>
      </c>
      <c r="C580" s="1" t="n">
        <v>46090</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25728-2023</t>
        </is>
      </c>
      <c r="B581" s="1" t="n">
        <v>45090.38012731481</v>
      </c>
      <c r="C581" s="1" t="n">
        <v>46090</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41311-2023</t>
        </is>
      </c>
      <c r="B582" s="1" t="n">
        <v>45174</v>
      </c>
      <c r="C582" s="1" t="n">
        <v>46090</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2518-2026</t>
        </is>
      </c>
      <c r="B583" s="1" t="n">
        <v>46037.42511574074</v>
      </c>
      <c r="C583" s="1" t="n">
        <v>46090</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26318-2023</t>
        </is>
      </c>
      <c r="B584" s="1" t="n">
        <v>45091.67936342592</v>
      </c>
      <c r="C584" s="1" t="n">
        <v>46090</v>
      </c>
      <c r="D584" t="inlineStr">
        <is>
          <t>KALMAR LÄN</t>
        </is>
      </c>
      <c r="E584" t="inlineStr">
        <is>
          <t>VIMMERBY</t>
        </is>
      </c>
      <c r="G584" t="n">
        <v>3.8</v>
      </c>
      <c r="H584" t="n">
        <v>0</v>
      </c>
      <c r="I584" t="n">
        <v>0</v>
      </c>
      <c r="J584" t="n">
        <v>0</v>
      </c>
      <c r="K584" t="n">
        <v>0</v>
      </c>
      <c r="L584" t="n">
        <v>0</v>
      </c>
      <c r="M584" t="n">
        <v>0</v>
      </c>
      <c r="N584" t="n">
        <v>0</v>
      </c>
      <c r="O584" t="n">
        <v>0</v>
      </c>
      <c r="P584" t="n">
        <v>0</v>
      </c>
      <c r="Q584" t="n">
        <v>0</v>
      </c>
      <c r="R584" s="2" t="inlineStr"/>
    </row>
    <row r="585" ht="15" customHeight="1">
      <c r="A585" t="inlineStr">
        <is>
          <t>A 61355-2024</t>
        </is>
      </c>
      <c r="B585" s="1" t="n">
        <v>45646.38200231481</v>
      </c>
      <c r="C585" s="1" t="n">
        <v>46090</v>
      </c>
      <c r="D585" t="inlineStr">
        <is>
          <t>KALMAR LÄN</t>
        </is>
      </c>
      <c r="E585" t="inlineStr">
        <is>
          <t>VIMMERBY</t>
        </is>
      </c>
      <c r="G585" t="n">
        <v>2.7</v>
      </c>
      <c r="H585" t="n">
        <v>0</v>
      </c>
      <c r="I585" t="n">
        <v>0</v>
      </c>
      <c r="J585" t="n">
        <v>0</v>
      </c>
      <c r="K585" t="n">
        <v>0</v>
      </c>
      <c r="L585" t="n">
        <v>0</v>
      </c>
      <c r="M585" t="n">
        <v>0</v>
      </c>
      <c r="N585" t="n">
        <v>0</v>
      </c>
      <c r="O585" t="n">
        <v>0</v>
      </c>
      <c r="P585" t="n">
        <v>0</v>
      </c>
      <c r="Q585" t="n">
        <v>0</v>
      </c>
      <c r="R585" s="2" t="inlineStr"/>
    </row>
    <row r="586" ht="15" customHeight="1">
      <c r="A586" t="inlineStr">
        <is>
          <t>A 57728-2025</t>
        </is>
      </c>
      <c r="B586" s="1" t="n">
        <v>45981</v>
      </c>
      <c r="C586" s="1" t="n">
        <v>46090</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58503-2025</t>
        </is>
      </c>
      <c r="B587" s="1" t="n">
        <v>45985.69509259259</v>
      </c>
      <c r="C587" s="1" t="n">
        <v>46090</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10965-2026</t>
        </is>
      </c>
      <c r="B588" s="1" t="n">
        <v>46079.43295138889</v>
      </c>
      <c r="C588" s="1" t="n">
        <v>46090</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58498-2025</t>
        </is>
      </c>
      <c r="B589" s="1" t="n">
        <v>45985.68671296296</v>
      </c>
      <c r="C589" s="1" t="n">
        <v>46090</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58501-2025</t>
        </is>
      </c>
      <c r="B590" s="1" t="n">
        <v>45985.69153935185</v>
      </c>
      <c r="C590" s="1" t="n">
        <v>46090</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36802-2021</t>
        </is>
      </c>
      <c r="B591" s="1" t="n">
        <v>44392</v>
      </c>
      <c r="C591" s="1" t="n">
        <v>46090</v>
      </c>
      <c r="D591" t="inlineStr">
        <is>
          <t>KALMAR LÄN</t>
        </is>
      </c>
      <c r="E591" t="inlineStr">
        <is>
          <t>VIMMERBY</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58514-2025</t>
        </is>
      </c>
      <c r="B592" s="1" t="n">
        <v>45985.70513888889</v>
      </c>
      <c r="C592" s="1" t="n">
        <v>46090</v>
      </c>
      <c r="D592" t="inlineStr">
        <is>
          <t>KALMAR LÄN</t>
        </is>
      </c>
      <c r="E592" t="inlineStr">
        <is>
          <t>VIMMERBY</t>
        </is>
      </c>
      <c r="G592" t="n">
        <v>3.7</v>
      </c>
      <c r="H592" t="n">
        <v>0</v>
      </c>
      <c r="I592" t="n">
        <v>0</v>
      </c>
      <c r="J592" t="n">
        <v>0</v>
      </c>
      <c r="K592" t="n">
        <v>0</v>
      </c>
      <c r="L592" t="n">
        <v>0</v>
      </c>
      <c r="M592" t="n">
        <v>0</v>
      </c>
      <c r="N592" t="n">
        <v>0</v>
      </c>
      <c r="O592" t="n">
        <v>0</v>
      </c>
      <c r="P592" t="n">
        <v>0</v>
      </c>
      <c r="Q592" t="n">
        <v>0</v>
      </c>
      <c r="R592" s="2" t="inlineStr"/>
    </row>
    <row r="593" ht="15" customHeight="1">
      <c r="A593" t="inlineStr">
        <is>
          <t>A 58442-2025</t>
        </is>
      </c>
      <c r="B593" s="1" t="n">
        <v>45985.61635416667</v>
      </c>
      <c r="C593" s="1" t="n">
        <v>46090</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2514-2026</t>
        </is>
      </c>
      <c r="B594" s="1" t="n">
        <v>46037.42219907408</v>
      </c>
      <c r="C594" s="1" t="n">
        <v>46090</v>
      </c>
      <c r="D594" t="inlineStr">
        <is>
          <t>KALMAR LÄN</t>
        </is>
      </c>
      <c r="E594" t="inlineStr">
        <is>
          <t>VIMMERBY</t>
        </is>
      </c>
      <c r="G594" t="n">
        <v>0.7</v>
      </c>
      <c r="H594" t="n">
        <v>0</v>
      </c>
      <c r="I594" t="n">
        <v>0</v>
      </c>
      <c r="J594" t="n">
        <v>0</v>
      </c>
      <c r="K594" t="n">
        <v>0</v>
      </c>
      <c r="L594" t="n">
        <v>0</v>
      </c>
      <c r="M594" t="n">
        <v>0</v>
      </c>
      <c r="N594" t="n">
        <v>0</v>
      </c>
      <c r="O594" t="n">
        <v>0</v>
      </c>
      <c r="P594" t="n">
        <v>0</v>
      </c>
      <c r="Q594" t="n">
        <v>0</v>
      </c>
      <c r="R594" s="2" t="inlineStr"/>
    </row>
    <row r="595" ht="15" customHeight="1">
      <c r="A595" t="inlineStr">
        <is>
          <t>A 58435-2025</t>
        </is>
      </c>
      <c r="B595" s="1" t="n">
        <v>45985.61501157407</v>
      </c>
      <c r="C595" s="1" t="n">
        <v>46090</v>
      </c>
      <c r="D595" t="inlineStr">
        <is>
          <t>KALMAR LÄN</t>
        </is>
      </c>
      <c r="E595" t="inlineStr">
        <is>
          <t>VIMMERBY</t>
        </is>
      </c>
      <c r="G595" t="n">
        <v>1.3</v>
      </c>
      <c r="H595" t="n">
        <v>0</v>
      </c>
      <c r="I595" t="n">
        <v>0</v>
      </c>
      <c r="J595" t="n">
        <v>0</v>
      </c>
      <c r="K595" t="n">
        <v>0</v>
      </c>
      <c r="L595" t="n">
        <v>0</v>
      </c>
      <c r="M595" t="n">
        <v>0</v>
      </c>
      <c r="N595" t="n">
        <v>0</v>
      </c>
      <c r="O595" t="n">
        <v>0</v>
      </c>
      <c r="P595" t="n">
        <v>0</v>
      </c>
      <c r="Q595" t="n">
        <v>0</v>
      </c>
      <c r="R595" s="2" t="inlineStr"/>
    </row>
    <row r="596" ht="15" customHeight="1">
      <c r="A596" t="inlineStr">
        <is>
          <t>A 58446-2025</t>
        </is>
      </c>
      <c r="B596" s="1" t="n">
        <v>45985.62168981481</v>
      </c>
      <c r="C596" s="1" t="n">
        <v>46090</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58500-2025</t>
        </is>
      </c>
      <c r="B597" s="1" t="n">
        <v>45985.69008101852</v>
      </c>
      <c r="C597" s="1" t="n">
        <v>46090</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38198-2024</t>
        </is>
      </c>
      <c r="B598" s="1" t="n">
        <v>45545.49508101852</v>
      </c>
      <c r="C598" s="1" t="n">
        <v>46090</v>
      </c>
      <c r="D598" t="inlineStr">
        <is>
          <t>KALMAR LÄN</t>
        </is>
      </c>
      <c r="E598" t="inlineStr">
        <is>
          <t>VIMMERBY</t>
        </is>
      </c>
      <c r="G598" t="n">
        <v>7.9</v>
      </c>
      <c r="H598" t="n">
        <v>0</v>
      </c>
      <c r="I598" t="n">
        <v>0</v>
      </c>
      <c r="J598" t="n">
        <v>0</v>
      </c>
      <c r="K598" t="n">
        <v>0</v>
      </c>
      <c r="L598" t="n">
        <v>0</v>
      </c>
      <c r="M598" t="n">
        <v>0</v>
      </c>
      <c r="N598" t="n">
        <v>0</v>
      </c>
      <c r="O598" t="n">
        <v>0</v>
      </c>
      <c r="P598" t="n">
        <v>0</v>
      </c>
      <c r="Q598" t="n">
        <v>0</v>
      </c>
      <c r="R598" s="2" t="inlineStr"/>
    </row>
    <row r="599" ht="15" customHeight="1">
      <c r="A599" t="inlineStr">
        <is>
          <t>A 9623-2024</t>
        </is>
      </c>
      <c r="B599" s="1" t="n">
        <v>45361.87975694444</v>
      </c>
      <c r="C599" s="1" t="n">
        <v>46090</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58841-2025</t>
        </is>
      </c>
      <c r="B600" s="1" t="n">
        <v>45987.36275462963</v>
      </c>
      <c r="C600" s="1" t="n">
        <v>46090</v>
      </c>
      <c r="D600" t="inlineStr">
        <is>
          <t>KALMAR LÄN</t>
        </is>
      </c>
      <c r="E600" t="inlineStr">
        <is>
          <t>VIMMERBY</t>
        </is>
      </c>
      <c r="G600" t="n">
        <v>3.5</v>
      </c>
      <c r="H600" t="n">
        <v>0</v>
      </c>
      <c r="I600" t="n">
        <v>0</v>
      </c>
      <c r="J600" t="n">
        <v>0</v>
      </c>
      <c r="K600" t="n">
        <v>0</v>
      </c>
      <c r="L600" t="n">
        <v>0</v>
      </c>
      <c r="M600" t="n">
        <v>0</v>
      </c>
      <c r="N600" t="n">
        <v>0</v>
      </c>
      <c r="O600" t="n">
        <v>0</v>
      </c>
      <c r="P600" t="n">
        <v>0</v>
      </c>
      <c r="Q600" t="n">
        <v>0</v>
      </c>
      <c r="R600" s="2" t="inlineStr"/>
    </row>
    <row r="601" ht="15" customHeight="1">
      <c r="A601" t="inlineStr">
        <is>
          <t>A 58967-2022</t>
        </is>
      </c>
      <c r="B601" s="1" t="n">
        <v>44896</v>
      </c>
      <c r="C601" s="1" t="n">
        <v>46090</v>
      </c>
      <c r="D601" t="inlineStr">
        <is>
          <t>KALMAR LÄN</t>
        </is>
      </c>
      <c r="E601" t="inlineStr">
        <is>
          <t>VIMMERBY</t>
        </is>
      </c>
      <c r="G601" t="n">
        <v>5</v>
      </c>
      <c r="H601" t="n">
        <v>0</v>
      </c>
      <c r="I601" t="n">
        <v>0</v>
      </c>
      <c r="J601" t="n">
        <v>0</v>
      </c>
      <c r="K601" t="n">
        <v>0</v>
      </c>
      <c r="L601" t="n">
        <v>0</v>
      </c>
      <c r="M601" t="n">
        <v>0</v>
      </c>
      <c r="N601" t="n">
        <v>0</v>
      </c>
      <c r="O601" t="n">
        <v>0</v>
      </c>
      <c r="P601" t="n">
        <v>0</v>
      </c>
      <c r="Q601" t="n">
        <v>0</v>
      </c>
      <c r="R601" s="2" t="inlineStr"/>
    </row>
    <row r="602" ht="15" customHeight="1">
      <c r="A602" t="inlineStr">
        <is>
          <t>A 58858-2025</t>
        </is>
      </c>
      <c r="B602" s="1" t="n">
        <v>45987.4243287037</v>
      </c>
      <c r="C602" s="1" t="n">
        <v>46090</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6399-2025</t>
        </is>
      </c>
      <c r="B603" s="1" t="n">
        <v>45699.44291666667</v>
      </c>
      <c r="C603" s="1" t="n">
        <v>46090</v>
      </c>
      <c r="D603" t="inlineStr">
        <is>
          <t>KALMAR LÄN</t>
        </is>
      </c>
      <c r="E603" t="inlineStr">
        <is>
          <t>VIMMERBY</t>
        </is>
      </c>
      <c r="G603" t="n">
        <v>3.1</v>
      </c>
      <c r="H603" t="n">
        <v>0</v>
      </c>
      <c r="I603" t="n">
        <v>0</v>
      </c>
      <c r="J603" t="n">
        <v>0</v>
      </c>
      <c r="K603" t="n">
        <v>0</v>
      </c>
      <c r="L603" t="n">
        <v>0</v>
      </c>
      <c r="M603" t="n">
        <v>0</v>
      </c>
      <c r="N603" t="n">
        <v>0</v>
      </c>
      <c r="O603" t="n">
        <v>0</v>
      </c>
      <c r="P603" t="n">
        <v>0</v>
      </c>
      <c r="Q603" t="n">
        <v>0</v>
      </c>
      <c r="R603" s="2" t="inlineStr"/>
    </row>
    <row r="604" ht="15" customHeight="1">
      <c r="A604" t="inlineStr">
        <is>
          <t>A 31355-2023</t>
        </is>
      </c>
      <c r="B604" s="1" t="n">
        <v>45114.49505787037</v>
      </c>
      <c r="C604" s="1" t="n">
        <v>46090</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46090</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46090</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27705-2023</t>
        </is>
      </c>
      <c r="B607" s="1" t="n">
        <v>45098.30535879629</v>
      </c>
      <c r="C607" s="1" t="n">
        <v>46090</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59039-2025</t>
        </is>
      </c>
      <c r="B608" s="1" t="n">
        <v>45988.36790509259</v>
      </c>
      <c r="C608" s="1" t="n">
        <v>46090</v>
      </c>
      <c r="D608" t="inlineStr">
        <is>
          <t>KALMAR LÄN</t>
        </is>
      </c>
      <c r="E608" t="inlineStr">
        <is>
          <t>VIMMERBY</t>
        </is>
      </c>
      <c r="F608" t="inlineStr">
        <is>
          <t>Sveaskog</t>
        </is>
      </c>
      <c r="G608" t="n">
        <v>3.2</v>
      </c>
      <c r="H608" t="n">
        <v>0</v>
      </c>
      <c r="I608" t="n">
        <v>0</v>
      </c>
      <c r="J608" t="n">
        <v>0</v>
      </c>
      <c r="K608" t="n">
        <v>0</v>
      </c>
      <c r="L608" t="n">
        <v>0</v>
      </c>
      <c r="M608" t="n">
        <v>0</v>
      </c>
      <c r="N608" t="n">
        <v>0</v>
      </c>
      <c r="O608" t="n">
        <v>0</v>
      </c>
      <c r="P608" t="n">
        <v>0</v>
      </c>
      <c r="Q608" t="n">
        <v>0</v>
      </c>
      <c r="R608" s="2" t="inlineStr"/>
    </row>
    <row r="609" ht="15" customHeight="1">
      <c r="A609" t="inlineStr">
        <is>
          <t>A 59034-2025</t>
        </is>
      </c>
      <c r="B609" s="1" t="n">
        <v>45988.36243055556</v>
      </c>
      <c r="C609" s="1" t="n">
        <v>46090</v>
      </c>
      <c r="D609" t="inlineStr">
        <is>
          <t>KALMAR LÄN</t>
        </is>
      </c>
      <c r="E609" t="inlineStr">
        <is>
          <t>VIMMERBY</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59037-2025</t>
        </is>
      </c>
      <c r="B610" s="1" t="n">
        <v>45988.36508101852</v>
      </c>
      <c r="C610" s="1" t="n">
        <v>46090</v>
      </c>
      <c r="D610" t="inlineStr">
        <is>
          <t>KALMAR LÄN</t>
        </is>
      </c>
      <c r="E610" t="inlineStr">
        <is>
          <t>VIMMERBY</t>
        </is>
      </c>
      <c r="F610" t="inlineStr">
        <is>
          <t>Sveaskog</t>
        </is>
      </c>
      <c r="G610" t="n">
        <v>4</v>
      </c>
      <c r="H610" t="n">
        <v>0</v>
      </c>
      <c r="I610" t="n">
        <v>0</v>
      </c>
      <c r="J610" t="n">
        <v>0</v>
      </c>
      <c r="K610" t="n">
        <v>0</v>
      </c>
      <c r="L610" t="n">
        <v>0</v>
      </c>
      <c r="M610" t="n">
        <v>0</v>
      </c>
      <c r="N610" t="n">
        <v>0</v>
      </c>
      <c r="O610" t="n">
        <v>0</v>
      </c>
      <c r="P610" t="n">
        <v>0</v>
      </c>
      <c r="Q610" t="n">
        <v>0</v>
      </c>
      <c r="R610" s="2" t="inlineStr"/>
    </row>
    <row r="611" ht="15" customHeight="1">
      <c r="A611" t="inlineStr">
        <is>
          <t>A 36843-2023</t>
        </is>
      </c>
      <c r="B611" s="1" t="n">
        <v>45154.49831018518</v>
      </c>
      <c r="C611" s="1" t="n">
        <v>46090</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59068-2025</t>
        </is>
      </c>
      <c r="B612" s="1" t="n">
        <v>45988.41725694444</v>
      </c>
      <c r="C612" s="1" t="n">
        <v>46090</v>
      </c>
      <c r="D612" t="inlineStr">
        <is>
          <t>KALMAR LÄN</t>
        </is>
      </c>
      <c r="E612" t="inlineStr">
        <is>
          <t>VIMMERBY</t>
        </is>
      </c>
      <c r="G612" t="n">
        <v>1.3</v>
      </c>
      <c r="H612" t="n">
        <v>0</v>
      </c>
      <c r="I612" t="n">
        <v>0</v>
      </c>
      <c r="J612" t="n">
        <v>0</v>
      </c>
      <c r="K612" t="n">
        <v>0</v>
      </c>
      <c r="L612" t="n">
        <v>0</v>
      </c>
      <c r="M612" t="n">
        <v>0</v>
      </c>
      <c r="N612" t="n">
        <v>0</v>
      </c>
      <c r="O612" t="n">
        <v>0</v>
      </c>
      <c r="P612" t="n">
        <v>0</v>
      </c>
      <c r="Q612" t="n">
        <v>0</v>
      </c>
      <c r="R612" s="2" t="inlineStr"/>
    </row>
    <row r="613" ht="15" customHeight="1">
      <c r="A613" t="inlineStr">
        <is>
          <t>A 59579-2025</t>
        </is>
      </c>
      <c r="B613" s="1" t="n">
        <v>45992.30569444445</v>
      </c>
      <c r="C613" s="1" t="n">
        <v>46090</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10785-2025</t>
        </is>
      </c>
      <c r="B614" s="1" t="n">
        <v>45722.48634259259</v>
      </c>
      <c r="C614" s="1" t="n">
        <v>46090</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29017-2024</t>
        </is>
      </c>
      <c r="B615" s="1" t="n">
        <v>45481.56722222222</v>
      </c>
      <c r="C615" s="1" t="n">
        <v>46090</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23263-2024</t>
        </is>
      </c>
      <c r="B616" s="1" t="n">
        <v>45453.36854166666</v>
      </c>
      <c r="C616" s="1" t="n">
        <v>46090</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11074-2023</t>
        </is>
      </c>
      <c r="B617" s="1" t="n">
        <v>44992.34151620371</v>
      </c>
      <c r="C617" s="1" t="n">
        <v>46090</v>
      </c>
      <c r="D617" t="inlineStr">
        <is>
          <t>KALMAR LÄN</t>
        </is>
      </c>
      <c r="E617" t="inlineStr">
        <is>
          <t>VIMMERBY</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61939-2021</t>
        </is>
      </c>
      <c r="B618" s="1" t="n">
        <v>44502</v>
      </c>
      <c r="C618" s="1" t="n">
        <v>46090</v>
      </c>
      <c r="D618" t="inlineStr">
        <is>
          <t>KALMAR LÄN</t>
        </is>
      </c>
      <c r="E618" t="inlineStr">
        <is>
          <t>VIMMERBY</t>
        </is>
      </c>
      <c r="G618" t="n">
        <v>2.7</v>
      </c>
      <c r="H618" t="n">
        <v>0</v>
      </c>
      <c r="I618" t="n">
        <v>0</v>
      </c>
      <c r="J618" t="n">
        <v>0</v>
      </c>
      <c r="K618" t="n">
        <v>0</v>
      </c>
      <c r="L618" t="n">
        <v>0</v>
      </c>
      <c r="M618" t="n">
        <v>0</v>
      </c>
      <c r="N618" t="n">
        <v>0</v>
      </c>
      <c r="O618" t="n">
        <v>0</v>
      </c>
      <c r="P618" t="n">
        <v>0</v>
      </c>
      <c r="Q618" t="n">
        <v>0</v>
      </c>
      <c r="R618" s="2" t="inlineStr"/>
    </row>
    <row r="619" ht="15" customHeight="1">
      <c r="A619" t="inlineStr">
        <is>
          <t>A 12215-2024</t>
        </is>
      </c>
      <c r="B619" s="1" t="n">
        <v>45378.32185185186</v>
      </c>
      <c r="C619" s="1" t="n">
        <v>46090</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11303-2025</t>
        </is>
      </c>
      <c r="B620" s="1" t="n">
        <v>45726.44471064815</v>
      </c>
      <c r="C620" s="1" t="n">
        <v>46090</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12033-2024</t>
        </is>
      </c>
      <c r="B621" s="1" t="n">
        <v>45377.40043981482</v>
      </c>
      <c r="C621" s="1" t="n">
        <v>46090</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51408-2023</t>
        </is>
      </c>
      <c r="B622" s="1" t="n">
        <v>45219.69356481481</v>
      </c>
      <c r="C622" s="1" t="n">
        <v>46090</v>
      </c>
      <c r="D622" t="inlineStr">
        <is>
          <t>KALMAR LÄN</t>
        </is>
      </c>
      <c r="E622" t="inlineStr">
        <is>
          <t>VIMMERBY</t>
        </is>
      </c>
      <c r="G622" t="n">
        <v>0.7</v>
      </c>
      <c r="H622" t="n">
        <v>0</v>
      </c>
      <c r="I622" t="n">
        <v>0</v>
      </c>
      <c r="J622" t="n">
        <v>0</v>
      </c>
      <c r="K622" t="n">
        <v>0</v>
      </c>
      <c r="L622" t="n">
        <v>0</v>
      </c>
      <c r="M622" t="n">
        <v>0</v>
      </c>
      <c r="N622" t="n">
        <v>0</v>
      </c>
      <c r="O622" t="n">
        <v>0</v>
      </c>
      <c r="P622" t="n">
        <v>0</v>
      </c>
      <c r="Q622" t="n">
        <v>0</v>
      </c>
      <c r="R622" s="2" t="inlineStr"/>
    </row>
    <row r="623" ht="15" customHeight="1">
      <c r="A623" t="inlineStr">
        <is>
          <t>A 2523-2026</t>
        </is>
      </c>
      <c r="B623" s="1" t="n">
        <v>46037.42825231481</v>
      </c>
      <c r="C623" s="1" t="n">
        <v>46090</v>
      </c>
      <c r="D623" t="inlineStr">
        <is>
          <t>KALMAR LÄN</t>
        </is>
      </c>
      <c r="E623" t="inlineStr">
        <is>
          <t>VIMMERBY</t>
        </is>
      </c>
      <c r="G623" t="n">
        <v>1.1</v>
      </c>
      <c r="H623" t="n">
        <v>0</v>
      </c>
      <c r="I623" t="n">
        <v>0</v>
      </c>
      <c r="J623" t="n">
        <v>0</v>
      </c>
      <c r="K623" t="n">
        <v>0</v>
      </c>
      <c r="L623" t="n">
        <v>0</v>
      </c>
      <c r="M623" t="n">
        <v>0</v>
      </c>
      <c r="N623" t="n">
        <v>0</v>
      </c>
      <c r="O623" t="n">
        <v>0</v>
      </c>
      <c r="P623" t="n">
        <v>0</v>
      </c>
      <c r="Q623" t="n">
        <v>0</v>
      </c>
      <c r="R623" s="2" t="inlineStr"/>
    </row>
    <row r="624" ht="15" customHeight="1">
      <c r="A624" t="inlineStr">
        <is>
          <t>A 49488-2023</t>
        </is>
      </c>
      <c r="B624" s="1" t="n">
        <v>45211.55472222222</v>
      </c>
      <c r="C624" s="1" t="n">
        <v>46090</v>
      </c>
      <c r="D624" t="inlineStr">
        <is>
          <t>KALMAR LÄN</t>
        </is>
      </c>
      <c r="E624" t="inlineStr">
        <is>
          <t>VIMMERBY</t>
        </is>
      </c>
      <c r="F624" t="inlineStr">
        <is>
          <t>Sveaskog</t>
        </is>
      </c>
      <c r="G624" t="n">
        <v>6.2</v>
      </c>
      <c r="H624" t="n">
        <v>0</v>
      </c>
      <c r="I624" t="n">
        <v>0</v>
      </c>
      <c r="J624" t="n">
        <v>0</v>
      </c>
      <c r="K624" t="n">
        <v>0</v>
      </c>
      <c r="L624" t="n">
        <v>0</v>
      </c>
      <c r="M624" t="n">
        <v>0</v>
      </c>
      <c r="N624" t="n">
        <v>0</v>
      </c>
      <c r="O624" t="n">
        <v>0</v>
      </c>
      <c r="P624" t="n">
        <v>0</v>
      </c>
      <c r="Q624" t="n">
        <v>0</v>
      </c>
      <c r="R624" s="2" t="inlineStr"/>
    </row>
    <row r="625" ht="15" customHeight="1">
      <c r="A625" t="inlineStr">
        <is>
          <t>A 3266-2026</t>
        </is>
      </c>
      <c r="B625" s="1" t="n">
        <v>46041</v>
      </c>
      <c r="C625" s="1" t="n">
        <v>46090</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60180-2025</t>
        </is>
      </c>
      <c r="B626" s="1" t="n">
        <v>45994.46428240741</v>
      </c>
      <c r="C626" s="1" t="n">
        <v>46090</v>
      </c>
      <c r="D626" t="inlineStr">
        <is>
          <t>KALMAR LÄN</t>
        </is>
      </c>
      <c r="E626" t="inlineStr">
        <is>
          <t>VIMMERBY</t>
        </is>
      </c>
      <c r="G626" t="n">
        <v>6.8</v>
      </c>
      <c r="H626" t="n">
        <v>0</v>
      </c>
      <c r="I626" t="n">
        <v>0</v>
      </c>
      <c r="J626" t="n">
        <v>0</v>
      </c>
      <c r="K626" t="n">
        <v>0</v>
      </c>
      <c r="L626" t="n">
        <v>0</v>
      </c>
      <c r="M626" t="n">
        <v>0</v>
      </c>
      <c r="N626" t="n">
        <v>0</v>
      </c>
      <c r="O626" t="n">
        <v>0</v>
      </c>
      <c r="P626" t="n">
        <v>0</v>
      </c>
      <c r="Q626" t="n">
        <v>0</v>
      </c>
      <c r="R626" s="2" t="inlineStr"/>
    </row>
    <row r="627" ht="15" customHeight="1">
      <c r="A627" t="inlineStr">
        <is>
          <t>A 8410-2023</t>
        </is>
      </c>
      <c r="B627" s="1" t="n">
        <v>44977</v>
      </c>
      <c r="C627" s="1" t="n">
        <v>46090</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60297-2025</t>
        </is>
      </c>
      <c r="B628" s="1" t="n">
        <v>45994</v>
      </c>
      <c r="C628" s="1" t="n">
        <v>46090</v>
      </c>
      <c r="D628" t="inlineStr">
        <is>
          <t>KALMAR LÄN</t>
        </is>
      </c>
      <c r="E628" t="inlineStr">
        <is>
          <t>VIMMERBY</t>
        </is>
      </c>
      <c r="G628" t="n">
        <v>4.2</v>
      </c>
      <c r="H628" t="n">
        <v>0</v>
      </c>
      <c r="I628" t="n">
        <v>0</v>
      </c>
      <c r="J628" t="n">
        <v>0</v>
      </c>
      <c r="K628" t="n">
        <v>0</v>
      </c>
      <c r="L628" t="n">
        <v>0</v>
      </c>
      <c r="M628" t="n">
        <v>0</v>
      </c>
      <c r="N628" t="n">
        <v>0</v>
      </c>
      <c r="O628" t="n">
        <v>0</v>
      </c>
      <c r="P628" t="n">
        <v>0</v>
      </c>
      <c r="Q628" t="n">
        <v>0</v>
      </c>
      <c r="R628" s="2" t="inlineStr"/>
    </row>
    <row r="629" ht="15" customHeight="1">
      <c r="A629" t="inlineStr">
        <is>
          <t>A 30920-2024</t>
        </is>
      </c>
      <c r="B629" s="1" t="n">
        <v>45498.673125</v>
      </c>
      <c r="C629" s="1" t="n">
        <v>46090</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3292-2026</t>
        </is>
      </c>
      <c r="B630" s="1" t="n">
        <v>46041</v>
      </c>
      <c r="C630" s="1" t="n">
        <v>46090</v>
      </c>
      <c r="D630" t="inlineStr">
        <is>
          <t>KALMAR LÄN</t>
        </is>
      </c>
      <c r="E630" t="inlineStr">
        <is>
          <t>VIMMERBY</t>
        </is>
      </c>
      <c r="G630" t="n">
        <v>3.9</v>
      </c>
      <c r="H630" t="n">
        <v>0</v>
      </c>
      <c r="I630" t="n">
        <v>0</v>
      </c>
      <c r="J630" t="n">
        <v>0</v>
      </c>
      <c r="K630" t="n">
        <v>0</v>
      </c>
      <c r="L630" t="n">
        <v>0</v>
      </c>
      <c r="M630" t="n">
        <v>0</v>
      </c>
      <c r="N630" t="n">
        <v>0</v>
      </c>
      <c r="O630" t="n">
        <v>0</v>
      </c>
      <c r="P630" t="n">
        <v>0</v>
      </c>
      <c r="Q630" t="n">
        <v>0</v>
      </c>
      <c r="R630" s="2" t="inlineStr"/>
    </row>
    <row r="631" ht="15" customHeight="1">
      <c r="A631" t="inlineStr">
        <is>
          <t>A 40929-2022</t>
        </is>
      </c>
      <c r="B631" s="1" t="n">
        <v>44825.4336574074</v>
      </c>
      <c r="C631" s="1" t="n">
        <v>46090</v>
      </c>
      <c r="D631" t="inlineStr">
        <is>
          <t>KALMAR LÄN</t>
        </is>
      </c>
      <c r="E631" t="inlineStr">
        <is>
          <t>VIMMERBY</t>
        </is>
      </c>
      <c r="G631" t="n">
        <v>2.5</v>
      </c>
      <c r="H631" t="n">
        <v>0</v>
      </c>
      <c r="I631" t="n">
        <v>0</v>
      </c>
      <c r="J631" t="n">
        <v>0</v>
      </c>
      <c r="K631" t="n">
        <v>0</v>
      </c>
      <c r="L631" t="n">
        <v>0</v>
      </c>
      <c r="M631" t="n">
        <v>0</v>
      </c>
      <c r="N631" t="n">
        <v>0</v>
      </c>
      <c r="O631" t="n">
        <v>0</v>
      </c>
      <c r="P631" t="n">
        <v>0</v>
      </c>
      <c r="Q631" t="n">
        <v>0</v>
      </c>
      <c r="R631" s="2" t="inlineStr"/>
    </row>
    <row r="632" ht="15" customHeight="1">
      <c r="A632" t="inlineStr">
        <is>
          <t>A 50091-2023</t>
        </is>
      </c>
      <c r="B632" s="1" t="n">
        <v>45215.60199074074</v>
      </c>
      <c r="C632" s="1" t="n">
        <v>46090</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36008-2024</t>
        </is>
      </c>
      <c r="B633" s="1" t="n">
        <v>45533.55362268518</v>
      </c>
      <c r="C633" s="1" t="n">
        <v>46090</v>
      </c>
      <c r="D633" t="inlineStr">
        <is>
          <t>KALMAR LÄN</t>
        </is>
      </c>
      <c r="E633" t="inlineStr">
        <is>
          <t>VIMMERBY</t>
        </is>
      </c>
      <c r="G633" t="n">
        <v>3.7</v>
      </c>
      <c r="H633" t="n">
        <v>0</v>
      </c>
      <c r="I633" t="n">
        <v>0</v>
      </c>
      <c r="J633" t="n">
        <v>0</v>
      </c>
      <c r="K633" t="n">
        <v>0</v>
      </c>
      <c r="L633" t="n">
        <v>0</v>
      </c>
      <c r="M633" t="n">
        <v>0</v>
      </c>
      <c r="N633" t="n">
        <v>0</v>
      </c>
      <c r="O633" t="n">
        <v>0</v>
      </c>
      <c r="P633" t="n">
        <v>0</v>
      </c>
      <c r="Q633" t="n">
        <v>0</v>
      </c>
      <c r="R633" s="2" t="inlineStr"/>
    </row>
    <row r="634" ht="15" customHeight="1">
      <c r="A634" t="inlineStr">
        <is>
          <t>A 16622-2025</t>
        </is>
      </c>
      <c r="B634" s="1" t="n">
        <v>45754.33641203704</v>
      </c>
      <c r="C634" s="1" t="n">
        <v>46090</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17511-2024</t>
        </is>
      </c>
      <c r="B635" s="1" t="n">
        <v>45415.57682870371</v>
      </c>
      <c r="C635" s="1" t="n">
        <v>46090</v>
      </c>
      <c r="D635" t="inlineStr">
        <is>
          <t>KALMAR LÄN</t>
        </is>
      </c>
      <c r="E635" t="inlineStr">
        <is>
          <t>VIMMERBY</t>
        </is>
      </c>
      <c r="G635" t="n">
        <v>5.3</v>
      </c>
      <c r="H635" t="n">
        <v>0</v>
      </c>
      <c r="I635" t="n">
        <v>0</v>
      </c>
      <c r="J635" t="n">
        <v>0</v>
      </c>
      <c r="K635" t="n">
        <v>0</v>
      </c>
      <c r="L635" t="n">
        <v>0</v>
      </c>
      <c r="M635" t="n">
        <v>0</v>
      </c>
      <c r="N635" t="n">
        <v>0</v>
      </c>
      <c r="O635" t="n">
        <v>0</v>
      </c>
      <c r="P635" t="n">
        <v>0</v>
      </c>
      <c r="Q635" t="n">
        <v>0</v>
      </c>
      <c r="R635" s="2" t="inlineStr"/>
    </row>
    <row r="636" ht="15" customHeight="1">
      <c r="A636" t="inlineStr">
        <is>
          <t>A 43705-2023</t>
        </is>
      </c>
      <c r="B636" s="1" t="n">
        <v>45187.42854166667</v>
      </c>
      <c r="C636" s="1" t="n">
        <v>46090</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55300-2021</t>
        </is>
      </c>
      <c r="B637" s="1" t="n">
        <v>44475</v>
      </c>
      <c r="C637" s="1" t="n">
        <v>46090</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11273-2026</t>
        </is>
      </c>
      <c r="B638" s="1" t="n">
        <v>46080.57634259259</v>
      </c>
      <c r="C638" s="1" t="n">
        <v>46090</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44179-2022</t>
        </is>
      </c>
      <c r="B639" s="1" t="n">
        <v>44839.4528125</v>
      </c>
      <c r="C639" s="1" t="n">
        <v>46090</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52755-2022</t>
        </is>
      </c>
      <c r="B640" s="1" t="n">
        <v>44875.27736111111</v>
      </c>
      <c r="C640" s="1" t="n">
        <v>46090</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35998-2024</t>
        </is>
      </c>
      <c r="B641" s="1" t="n">
        <v>45533.54429398148</v>
      </c>
      <c r="C641" s="1" t="n">
        <v>46090</v>
      </c>
      <c r="D641" t="inlineStr">
        <is>
          <t>KALMAR LÄN</t>
        </is>
      </c>
      <c r="E641" t="inlineStr">
        <is>
          <t>VIMMERBY</t>
        </is>
      </c>
      <c r="G641" t="n">
        <v>8.6</v>
      </c>
      <c r="H641" t="n">
        <v>0</v>
      </c>
      <c r="I641" t="n">
        <v>0</v>
      </c>
      <c r="J641" t="n">
        <v>0</v>
      </c>
      <c r="K641" t="n">
        <v>0</v>
      </c>
      <c r="L641" t="n">
        <v>0</v>
      </c>
      <c r="M641" t="n">
        <v>0</v>
      </c>
      <c r="N641" t="n">
        <v>0</v>
      </c>
      <c r="O641" t="n">
        <v>0</v>
      </c>
      <c r="P641" t="n">
        <v>0</v>
      </c>
      <c r="Q641" t="n">
        <v>0</v>
      </c>
      <c r="R641" s="2" t="inlineStr"/>
    </row>
    <row r="642" ht="15" customHeight="1">
      <c r="A642" t="inlineStr">
        <is>
          <t>A 61725-2025</t>
        </is>
      </c>
      <c r="B642" s="1" t="n">
        <v>46002.58680555555</v>
      </c>
      <c r="C642" s="1" t="n">
        <v>46090</v>
      </c>
      <c r="D642" t="inlineStr">
        <is>
          <t>KALMAR LÄN</t>
        </is>
      </c>
      <c r="E642" t="inlineStr">
        <is>
          <t>VIMMERBY</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7797-2023</t>
        </is>
      </c>
      <c r="B643" s="1" t="n">
        <v>44973.43075231482</v>
      </c>
      <c r="C643" s="1" t="n">
        <v>46090</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61790-2025</t>
        </is>
      </c>
      <c r="B644" s="1" t="n">
        <v>46002.68768518518</v>
      </c>
      <c r="C644" s="1" t="n">
        <v>46090</v>
      </c>
      <c r="D644" t="inlineStr">
        <is>
          <t>KALMAR LÄN</t>
        </is>
      </c>
      <c r="E644" t="inlineStr">
        <is>
          <t>VIMMERBY</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3868-2026</t>
        </is>
      </c>
      <c r="B645" s="1" t="n">
        <v>46043.6360300926</v>
      </c>
      <c r="C645" s="1" t="n">
        <v>46090</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29351-2023</t>
        </is>
      </c>
      <c r="B646" s="1" t="n">
        <v>45106.2610300926</v>
      </c>
      <c r="C646" s="1" t="n">
        <v>46090</v>
      </c>
      <c r="D646" t="inlineStr">
        <is>
          <t>KALMAR LÄN</t>
        </is>
      </c>
      <c r="E646" t="inlineStr">
        <is>
          <t>VIMMERBY</t>
        </is>
      </c>
      <c r="G646" t="n">
        <v>0.4</v>
      </c>
      <c r="H646" t="n">
        <v>0</v>
      </c>
      <c r="I646" t="n">
        <v>0</v>
      </c>
      <c r="J646" t="n">
        <v>0</v>
      </c>
      <c r="K646" t="n">
        <v>0</v>
      </c>
      <c r="L646" t="n">
        <v>0</v>
      </c>
      <c r="M646" t="n">
        <v>0</v>
      </c>
      <c r="N646" t="n">
        <v>0</v>
      </c>
      <c r="O646" t="n">
        <v>0</v>
      </c>
      <c r="P646" t="n">
        <v>0</v>
      </c>
      <c r="Q646" t="n">
        <v>0</v>
      </c>
      <c r="R646" s="2" t="inlineStr"/>
    </row>
    <row r="647" ht="15" customHeight="1">
      <c r="A647" t="inlineStr">
        <is>
          <t>A 7630-2025</t>
        </is>
      </c>
      <c r="B647" s="1" t="n">
        <v>45705.74418981482</v>
      </c>
      <c r="C647" s="1" t="n">
        <v>46090</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1024-2024</t>
        </is>
      </c>
      <c r="B648" s="1" t="n">
        <v>45301.68237268519</v>
      </c>
      <c r="C648" s="1" t="n">
        <v>46090</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10787-2025</t>
        </is>
      </c>
      <c r="B649" s="1" t="n">
        <v>45722.48915509259</v>
      </c>
      <c r="C649" s="1" t="n">
        <v>46090</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3869-2026</t>
        </is>
      </c>
      <c r="B650" s="1" t="n">
        <v>46043.63940972222</v>
      </c>
      <c r="C650" s="1" t="n">
        <v>46090</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61726-2025</t>
        </is>
      </c>
      <c r="B651" s="1" t="n">
        <v>46002.58822916666</v>
      </c>
      <c r="C651" s="1" t="n">
        <v>46090</v>
      </c>
      <c r="D651" t="inlineStr">
        <is>
          <t>KALMAR LÄN</t>
        </is>
      </c>
      <c r="E651" t="inlineStr">
        <is>
          <t>VIMMERBY</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29350-2023</t>
        </is>
      </c>
      <c r="B652" s="1" t="n">
        <v>45106</v>
      </c>
      <c r="C652" s="1" t="n">
        <v>46090</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14855-2025</t>
        </is>
      </c>
      <c r="B653" s="1" t="n">
        <v>45743.41148148148</v>
      </c>
      <c r="C653" s="1" t="n">
        <v>46090</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43601-2024</t>
        </is>
      </c>
      <c r="B654" s="1" t="n">
        <v>45569.44684027778</v>
      </c>
      <c r="C654" s="1" t="n">
        <v>46090</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35913-2023</t>
        </is>
      </c>
      <c r="B655" s="1" t="n">
        <v>45148</v>
      </c>
      <c r="C655" s="1" t="n">
        <v>46090</v>
      </c>
      <c r="D655" t="inlineStr">
        <is>
          <t>KALMAR LÄN</t>
        </is>
      </c>
      <c r="E655" t="inlineStr">
        <is>
          <t>VIMMERBY</t>
        </is>
      </c>
      <c r="G655" t="n">
        <v>6.9</v>
      </c>
      <c r="H655" t="n">
        <v>0</v>
      </c>
      <c r="I655" t="n">
        <v>0</v>
      </c>
      <c r="J655" t="n">
        <v>0</v>
      </c>
      <c r="K655" t="n">
        <v>0</v>
      </c>
      <c r="L655" t="n">
        <v>0</v>
      </c>
      <c r="M655" t="n">
        <v>0</v>
      </c>
      <c r="N655" t="n">
        <v>0</v>
      </c>
      <c r="O655" t="n">
        <v>0</v>
      </c>
      <c r="P655" t="n">
        <v>0</v>
      </c>
      <c r="Q655" t="n">
        <v>0</v>
      </c>
      <c r="R655" s="2" t="inlineStr"/>
    </row>
    <row r="656" ht="15" customHeight="1">
      <c r="A656" t="inlineStr">
        <is>
          <t>A 9624-2024</t>
        </is>
      </c>
      <c r="B656" s="1" t="n">
        <v>45361.90282407407</v>
      </c>
      <c r="C656" s="1" t="n">
        <v>46090</v>
      </c>
      <c r="D656" t="inlineStr">
        <is>
          <t>KALMAR LÄN</t>
        </is>
      </c>
      <c r="E656" t="inlineStr">
        <is>
          <t>VIMMERBY</t>
        </is>
      </c>
      <c r="G656" t="n">
        <v>3.8</v>
      </c>
      <c r="H656" t="n">
        <v>0</v>
      </c>
      <c r="I656" t="n">
        <v>0</v>
      </c>
      <c r="J656" t="n">
        <v>0</v>
      </c>
      <c r="K656" t="n">
        <v>0</v>
      </c>
      <c r="L656" t="n">
        <v>0</v>
      </c>
      <c r="M656" t="n">
        <v>0</v>
      </c>
      <c r="N656" t="n">
        <v>0</v>
      </c>
      <c r="O656" t="n">
        <v>0</v>
      </c>
      <c r="P656" t="n">
        <v>0</v>
      </c>
      <c r="Q656" t="n">
        <v>0</v>
      </c>
      <c r="R656" s="2" t="inlineStr"/>
    </row>
    <row r="657" ht="15" customHeight="1">
      <c r="A657" t="inlineStr">
        <is>
          <t>A 3938-2023</t>
        </is>
      </c>
      <c r="B657" s="1" t="n">
        <v>44952.35775462963</v>
      </c>
      <c r="C657" s="1" t="n">
        <v>46090</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39053-2024</t>
        </is>
      </c>
      <c r="B658" s="1" t="n">
        <v>45548</v>
      </c>
      <c r="C658" s="1" t="n">
        <v>46090</v>
      </c>
      <c r="D658" t="inlineStr">
        <is>
          <t>KALMAR LÄN</t>
        </is>
      </c>
      <c r="E658" t="inlineStr">
        <is>
          <t>VIMMERBY</t>
        </is>
      </c>
      <c r="G658" t="n">
        <v>5</v>
      </c>
      <c r="H658" t="n">
        <v>0</v>
      </c>
      <c r="I658" t="n">
        <v>0</v>
      </c>
      <c r="J658" t="n">
        <v>0</v>
      </c>
      <c r="K658" t="n">
        <v>0</v>
      </c>
      <c r="L658" t="n">
        <v>0</v>
      </c>
      <c r="M658" t="n">
        <v>0</v>
      </c>
      <c r="N658" t="n">
        <v>0</v>
      </c>
      <c r="O658" t="n">
        <v>0</v>
      </c>
      <c r="P658" t="n">
        <v>0</v>
      </c>
      <c r="Q658" t="n">
        <v>0</v>
      </c>
      <c r="R658" s="2" t="inlineStr"/>
    </row>
    <row r="659" ht="15" customHeight="1">
      <c r="A659" t="inlineStr">
        <is>
          <t>A 11407-2026</t>
        </is>
      </c>
      <c r="B659" s="1" t="n">
        <v>46083</v>
      </c>
      <c r="C659" s="1" t="n">
        <v>46090</v>
      </c>
      <c r="D659" t="inlineStr">
        <is>
          <t>KALMAR LÄN</t>
        </is>
      </c>
      <c r="E659" t="inlineStr">
        <is>
          <t>VIMMERBY</t>
        </is>
      </c>
      <c r="G659" t="n">
        <v>2.3</v>
      </c>
      <c r="H659" t="n">
        <v>0</v>
      </c>
      <c r="I659" t="n">
        <v>0</v>
      </c>
      <c r="J659" t="n">
        <v>0</v>
      </c>
      <c r="K659" t="n">
        <v>0</v>
      </c>
      <c r="L659" t="n">
        <v>0</v>
      </c>
      <c r="M659" t="n">
        <v>0</v>
      </c>
      <c r="N659" t="n">
        <v>0</v>
      </c>
      <c r="O659" t="n">
        <v>0</v>
      </c>
      <c r="P659" t="n">
        <v>0</v>
      </c>
      <c r="Q659" t="n">
        <v>0</v>
      </c>
      <c r="R659" s="2" t="inlineStr"/>
    </row>
    <row r="660" ht="15" customHeight="1">
      <c r="A660" t="inlineStr">
        <is>
          <t>A 14451-2024</t>
        </is>
      </c>
      <c r="B660" s="1" t="n">
        <v>45394.50028935185</v>
      </c>
      <c r="C660" s="1" t="n">
        <v>46090</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34205-2023</t>
        </is>
      </c>
      <c r="B661" s="1" t="n">
        <v>45138</v>
      </c>
      <c r="C661" s="1" t="n">
        <v>46090</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3268-2024</t>
        </is>
      </c>
      <c r="B662" s="1" t="n">
        <v>45317</v>
      </c>
      <c r="C662" s="1" t="n">
        <v>46090</v>
      </c>
      <c r="D662" t="inlineStr">
        <is>
          <t>KALMAR LÄN</t>
        </is>
      </c>
      <c r="E662" t="inlineStr">
        <is>
          <t>VIMMERBY</t>
        </is>
      </c>
      <c r="F662" t="inlineStr">
        <is>
          <t>Övriga Aktiebolag</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11415-2026</t>
        </is>
      </c>
      <c r="B663" s="1" t="n">
        <v>46083</v>
      </c>
      <c r="C663" s="1" t="n">
        <v>46090</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12819-2024</t>
        </is>
      </c>
      <c r="B664" s="1" t="n">
        <v>45384.66917824074</v>
      </c>
      <c r="C664" s="1" t="n">
        <v>46090</v>
      </c>
      <c r="D664" t="inlineStr">
        <is>
          <t>KALMAR LÄN</t>
        </is>
      </c>
      <c r="E664" t="inlineStr">
        <is>
          <t>VIMMERBY</t>
        </is>
      </c>
      <c r="G664" t="n">
        <v>5.1</v>
      </c>
      <c r="H664" t="n">
        <v>0</v>
      </c>
      <c r="I664" t="n">
        <v>0</v>
      </c>
      <c r="J664" t="n">
        <v>0</v>
      </c>
      <c r="K664" t="n">
        <v>0</v>
      </c>
      <c r="L664" t="n">
        <v>0</v>
      </c>
      <c r="M664" t="n">
        <v>0</v>
      </c>
      <c r="N664" t="n">
        <v>0</v>
      </c>
      <c r="O664" t="n">
        <v>0</v>
      </c>
      <c r="P664" t="n">
        <v>0</v>
      </c>
      <c r="Q664" t="n">
        <v>0</v>
      </c>
      <c r="R664" s="2" t="inlineStr"/>
    </row>
    <row r="665" ht="15" customHeight="1">
      <c r="A665" t="inlineStr">
        <is>
          <t>A 6214-2025</t>
        </is>
      </c>
      <c r="B665" s="1" t="n">
        <v>45698.51711805556</v>
      </c>
      <c r="C665" s="1" t="n">
        <v>46090</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32569-2024</t>
        </is>
      </c>
      <c r="B666" s="1" t="n">
        <v>45513.55840277778</v>
      </c>
      <c r="C666" s="1" t="n">
        <v>46090</v>
      </c>
      <c r="D666" t="inlineStr">
        <is>
          <t>KALMAR LÄN</t>
        </is>
      </c>
      <c r="E666" t="inlineStr">
        <is>
          <t>VIMMERBY</t>
        </is>
      </c>
      <c r="G666" t="n">
        <v>3.7</v>
      </c>
      <c r="H666" t="n">
        <v>0</v>
      </c>
      <c r="I666" t="n">
        <v>0</v>
      </c>
      <c r="J666" t="n">
        <v>0</v>
      </c>
      <c r="K666" t="n">
        <v>0</v>
      </c>
      <c r="L666" t="n">
        <v>0</v>
      </c>
      <c r="M666" t="n">
        <v>0</v>
      </c>
      <c r="N666" t="n">
        <v>0</v>
      </c>
      <c r="O666" t="n">
        <v>0</v>
      </c>
      <c r="P666" t="n">
        <v>0</v>
      </c>
      <c r="Q666" t="n">
        <v>0</v>
      </c>
      <c r="R666" s="2" t="inlineStr"/>
    </row>
    <row r="667" ht="15" customHeight="1">
      <c r="A667" t="inlineStr">
        <is>
          <t>A 32575-2024</t>
        </is>
      </c>
      <c r="B667" s="1" t="n">
        <v>45513.56527777778</v>
      </c>
      <c r="C667" s="1" t="n">
        <v>46090</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59300-2024</t>
        </is>
      </c>
      <c r="B668" s="1" t="n">
        <v>45637.66542824074</v>
      </c>
      <c r="C668" s="1" t="n">
        <v>46090</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59768-2024</t>
        </is>
      </c>
      <c r="B669" s="1" t="n">
        <v>45639.56185185185</v>
      </c>
      <c r="C669" s="1" t="n">
        <v>46090</v>
      </c>
      <c r="D669" t="inlineStr">
        <is>
          <t>KALMAR LÄN</t>
        </is>
      </c>
      <c r="E669" t="inlineStr">
        <is>
          <t>VIMMERBY</t>
        </is>
      </c>
      <c r="G669" t="n">
        <v>5.9</v>
      </c>
      <c r="H669" t="n">
        <v>0</v>
      </c>
      <c r="I669" t="n">
        <v>0</v>
      </c>
      <c r="J669" t="n">
        <v>0</v>
      </c>
      <c r="K669" t="n">
        <v>0</v>
      </c>
      <c r="L669" t="n">
        <v>0</v>
      </c>
      <c r="M669" t="n">
        <v>0</v>
      </c>
      <c r="N669" t="n">
        <v>0</v>
      </c>
      <c r="O669" t="n">
        <v>0</v>
      </c>
      <c r="P669" t="n">
        <v>0</v>
      </c>
      <c r="Q669" t="n">
        <v>0</v>
      </c>
      <c r="R669" s="2" t="inlineStr"/>
    </row>
    <row r="670" ht="15" customHeight="1">
      <c r="A670" t="inlineStr">
        <is>
          <t>A 11798-2026</t>
        </is>
      </c>
      <c r="B670" s="1" t="n">
        <v>46085.34020833333</v>
      </c>
      <c r="C670" s="1" t="n">
        <v>46090</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36526-2023</t>
        </is>
      </c>
      <c r="B671" s="1" t="n">
        <v>45153.32778935185</v>
      </c>
      <c r="C671" s="1" t="n">
        <v>46090</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3965-2026</t>
        </is>
      </c>
      <c r="B672" s="1" t="n">
        <v>46044.34563657407</v>
      </c>
      <c r="C672" s="1" t="n">
        <v>46090</v>
      </c>
      <c r="D672" t="inlineStr">
        <is>
          <t>KALMAR LÄN</t>
        </is>
      </c>
      <c r="E672" t="inlineStr">
        <is>
          <t>VIMMERBY</t>
        </is>
      </c>
      <c r="G672" t="n">
        <v>2.6</v>
      </c>
      <c r="H672" t="n">
        <v>0</v>
      </c>
      <c r="I672" t="n">
        <v>0</v>
      </c>
      <c r="J672" t="n">
        <v>0</v>
      </c>
      <c r="K672" t="n">
        <v>0</v>
      </c>
      <c r="L672" t="n">
        <v>0</v>
      </c>
      <c r="M672" t="n">
        <v>0</v>
      </c>
      <c r="N672" t="n">
        <v>0</v>
      </c>
      <c r="O672" t="n">
        <v>0</v>
      </c>
      <c r="P672" t="n">
        <v>0</v>
      </c>
      <c r="Q672" t="n">
        <v>0</v>
      </c>
      <c r="R672" s="2" t="inlineStr"/>
    </row>
    <row r="673" ht="15" customHeight="1">
      <c r="A673" t="inlineStr">
        <is>
          <t>A 58728-2024</t>
        </is>
      </c>
      <c r="B673" s="1" t="n">
        <v>45635.66695601852</v>
      </c>
      <c r="C673" s="1" t="n">
        <v>46090</v>
      </c>
      <c r="D673" t="inlineStr">
        <is>
          <t>KALMAR LÄN</t>
        </is>
      </c>
      <c r="E673" t="inlineStr">
        <is>
          <t>VIMMERBY</t>
        </is>
      </c>
      <c r="G673" t="n">
        <v>0.4</v>
      </c>
      <c r="H673" t="n">
        <v>0</v>
      </c>
      <c r="I673" t="n">
        <v>0</v>
      </c>
      <c r="J673" t="n">
        <v>0</v>
      </c>
      <c r="K673" t="n">
        <v>0</v>
      </c>
      <c r="L673" t="n">
        <v>0</v>
      </c>
      <c r="M673" t="n">
        <v>0</v>
      </c>
      <c r="N673" t="n">
        <v>0</v>
      </c>
      <c r="O673" t="n">
        <v>0</v>
      </c>
      <c r="P673" t="n">
        <v>0</v>
      </c>
      <c r="Q673" t="n">
        <v>0</v>
      </c>
      <c r="R673" s="2" t="inlineStr"/>
    </row>
    <row r="674" ht="15" customHeight="1">
      <c r="A674" t="inlineStr">
        <is>
          <t>A 49474-2023</t>
        </is>
      </c>
      <c r="B674" s="1" t="n">
        <v>45211.541875</v>
      </c>
      <c r="C674" s="1" t="n">
        <v>46090</v>
      </c>
      <c r="D674" t="inlineStr">
        <is>
          <t>KALMAR LÄN</t>
        </is>
      </c>
      <c r="E674" t="inlineStr">
        <is>
          <t>VIMMERBY</t>
        </is>
      </c>
      <c r="G674" t="n">
        <v>3.6</v>
      </c>
      <c r="H674" t="n">
        <v>0</v>
      </c>
      <c r="I674" t="n">
        <v>0</v>
      </c>
      <c r="J674" t="n">
        <v>0</v>
      </c>
      <c r="K674" t="n">
        <v>0</v>
      </c>
      <c r="L674" t="n">
        <v>0</v>
      </c>
      <c r="M674" t="n">
        <v>0</v>
      </c>
      <c r="N674" t="n">
        <v>0</v>
      </c>
      <c r="O674" t="n">
        <v>0</v>
      </c>
      <c r="P674" t="n">
        <v>0</v>
      </c>
      <c r="Q674" t="n">
        <v>0</v>
      </c>
      <c r="R674" s="2" t="inlineStr"/>
    </row>
    <row r="675" ht="15" customHeight="1">
      <c r="A675" t="inlineStr">
        <is>
          <t>A 57682-2022</t>
        </is>
      </c>
      <c r="B675" s="1" t="n">
        <v>44890</v>
      </c>
      <c r="C675" s="1" t="n">
        <v>46090</v>
      </c>
      <c r="D675" t="inlineStr">
        <is>
          <t>KALMAR LÄN</t>
        </is>
      </c>
      <c r="E675" t="inlineStr">
        <is>
          <t>VIMMERBY</t>
        </is>
      </c>
      <c r="G675" t="n">
        <v>1.5</v>
      </c>
      <c r="H675" t="n">
        <v>0</v>
      </c>
      <c r="I675" t="n">
        <v>0</v>
      </c>
      <c r="J675" t="n">
        <v>0</v>
      </c>
      <c r="K675" t="n">
        <v>0</v>
      </c>
      <c r="L675" t="n">
        <v>0</v>
      </c>
      <c r="M675" t="n">
        <v>0</v>
      </c>
      <c r="N675" t="n">
        <v>0</v>
      </c>
      <c r="O675" t="n">
        <v>0</v>
      </c>
      <c r="P675" t="n">
        <v>0</v>
      </c>
      <c r="Q675" t="n">
        <v>0</v>
      </c>
      <c r="R675" s="2" t="inlineStr"/>
    </row>
    <row r="676" ht="15" customHeight="1">
      <c r="A676" t="inlineStr">
        <is>
          <t>A 14220-2021</t>
        </is>
      </c>
      <c r="B676" s="1" t="n">
        <v>44278.54855324074</v>
      </c>
      <c r="C676" s="1" t="n">
        <v>46090</v>
      </c>
      <c r="D676" t="inlineStr">
        <is>
          <t>KALMAR LÄN</t>
        </is>
      </c>
      <c r="E676" t="inlineStr">
        <is>
          <t>VIMMERBY</t>
        </is>
      </c>
      <c r="G676" t="n">
        <v>0.3</v>
      </c>
      <c r="H676" t="n">
        <v>0</v>
      </c>
      <c r="I676" t="n">
        <v>0</v>
      </c>
      <c r="J676" t="n">
        <v>0</v>
      </c>
      <c r="K676" t="n">
        <v>0</v>
      </c>
      <c r="L676" t="n">
        <v>0</v>
      </c>
      <c r="M676" t="n">
        <v>0</v>
      </c>
      <c r="N676" t="n">
        <v>0</v>
      </c>
      <c r="O676" t="n">
        <v>0</v>
      </c>
      <c r="P676" t="n">
        <v>0</v>
      </c>
      <c r="Q676" t="n">
        <v>0</v>
      </c>
      <c r="R676" s="2" t="inlineStr"/>
    </row>
    <row r="677" ht="15" customHeight="1">
      <c r="A677" t="inlineStr">
        <is>
          <t>A 63950-2023</t>
        </is>
      </c>
      <c r="B677" s="1" t="n">
        <v>45278</v>
      </c>
      <c r="C677" s="1" t="n">
        <v>46090</v>
      </c>
      <c r="D677" t="inlineStr">
        <is>
          <t>KALMAR LÄN</t>
        </is>
      </c>
      <c r="E677" t="inlineStr">
        <is>
          <t>VIMMERBY</t>
        </is>
      </c>
      <c r="F677" t="inlineStr">
        <is>
          <t>Kyrkan</t>
        </is>
      </c>
      <c r="G677" t="n">
        <v>2.7</v>
      </c>
      <c r="H677" t="n">
        <v>0</v>
      </c>
      <c r="I677" t="n">
        <v>0</v>
      </c>
      <c r="J677" t="n">
        <v>0</v>
      </c>
      <c r="K677" t="n">
        <v>0</v>
      </c>
      <c r="L677" t="n">
        <v>0</v>
      </c>
      <c r="M677" t="n">
        <v>0</v>
      </c>
      <c r="N677" t="n">
        <v>0</v>
      </c>
      <c r="O677" t="n">
        <v>0</v>
      </c>
      <c r="P677" t="n">
        <v>0</v>
      </c>
      <c r="Q677" t="n">
        <v>0</v>
      </c>
      <c r="R677" s="2" t="inlineStr"/>
    </row>
    <row r="678" ht="15" customHeight="1">
      <c r="A678" t="inlineStr">
        <is>
          <t>A 16516-2023</t>
        </is>
      </c>
      <c r="B678" s="1" t="n">
        <v>45029</v>
      </c>
      <c r="C678" s="1" t="n">
        <v>46090</v>
      </c>
      <c r="D678" t="inlineStr">
        <is>
          <t>KALMAR LÄN</t>
        </is>
      </c>
      <c r="E678" t="inlineStr">
        <is>
          <t>VIMMERBY</t>
        </is>
      </c>
      <c r="G678" t="n">
        <v>4.3</v>
      </c>
      <c r="H678" t="n">
        <v>0</v>
      </c>
      <c r="I678" t="n">
        <v>0</v>
      </c>
      <c r="J678" t="n">
        <v>0</v>
      </c>
      <c r="K678" t="n">
        <v>0</v>
      </c>
      <c r="L678" t="n">
        <v>0</v>
      </c>
      <c r="M678" t="n">
        <v>0</v>
      </c>
      <c r="N678" t="n">
        <v>0</v>
      </c>
      <c r="O678" t="n">
        <v>0</v>
      </c>
      <c r="P678" t="n">
        <v>0</v>
      </c>
      <c r="Q678" t="n">
        <v>0</v>
      </c>
      <c r="R678" s="2" t="inlineStr"/>
    </row>
    <row r="679" ht="15" customHeight="1">
      <c r="A679" t="inlineStr">
        <is>
          <t>A 6817-2026</t>
        </is>
      </c>
      <c r="B679" s="1" t="n">
        <v>46057.38412037037</v>
      </c>
      <c r="C679" s="1" t="n">
        <v>46090</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47842-2024</t>
        </is>
      </c>
      <c r="B680" s="1" t="n">
        <v>45588.65545138889</v>
      </c>
      <c r="C680" s="1" t="n">
        <v>46090</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63711-2025</t>
        </is>
      </c>
      <c r="B681" s="1" t="n">
        <v>46014.62724537037</v>
      </c>
      <c r="C681" s="1" t="n">
        <v>46090</v>
      </c>
      <c r="D681" t="inlineStr">
        <is>
          <t>KALMAR LÄN</t>
        </is>
      </c>
      <c r="E681" t="inlineStr">
        <is>
          <t>VIMMERBY</t>
        </is>
      </c>
      <c r="G681" t="n">
        <v>2.1</v>
      </c>
      <c r="H681" t="n">
        <v>0</v>
      </c>
      <c r="I681" t="n">
        <v>0</v>
      </c>
      <c r="J681" t="n">
        <v>0</v>
      </c>
      <c r="K681" t="n">
        <v>0</v>
      </c>
      <c r="L681" t="n">
        <v>0</v>
      </c>
      <c r="M681" t="n">
        <v>0</v>
      </c>
      <c r="N681" t="n">
        <v>0</v>
      </c>
      <c r="O681" t="n">
        <v>0</v>
      </c>
      <c r="P681" t="n">
        <v>0</v>
      </c>
      <c r="Q681" t="n">
        <v>0</v>
      </c>
      <c r="R681" s="2" t="inlineStr"/>
    </row>
    <row r="682" ht="15" customHeight="1">
      <c r="A682" t="inlineStr">
        <is>
          <t>A 6408-2025</t>
        </is>
      </c>
      <c r="B682" s="1" t="n">
        <v>45699.45671296296</v>
      </c>
      <c r="C682" s="1" t="n">
        <v>46090</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25109-2023</t>
        </is>
      </c>
      <c r="B683" s="1" t="n">
        <v>45086</v>
      </c>
      <c r="C683" s="1" t="n">
        <v>46090</v>
      </c>
      <c r="D683" t="inlineStr">
        <is>
          <t>KALMAR LÄN</t>
        </is>
      </c>
      <c r="E683" t="inlineStr">
        <is>
          <t>VIMMERBY</t>
        </is>
      </c>
      <c r="G683" t="n">
        <v>1.5</v>
      </c>
      <c r="H683" t="n">
        <v>0</v>
      </c>
      <c r="I683" t="n">
        <v>0</v>
      </c>
      <c r="J683" t="n">
        <v>0</v>
      </c>
      <c r="K683" t="n">
        <v>0</v>
      </c>
      <c r="L683" t="n">
        <v>0</v>
      </c>
      <c r="M683" t="n">
        <v>0</v>
      </c>
      <c r="N683" t="n">
        <v>0</v>
      </c>
      <c r="O683" t="n">
        <v>0</v>
      </c>
      <c r="P683" t="n">
        <v>0</v>
      </c>
      <c r="Q683" t="n">
        <v>0</v>
      </c>
      <c r="R683" s="2" t="inlineStr"/>
    </row>
    <row r="684" ht="15" customHeight="1">
      <c r="A684" t="inlineStr">
        <is>
          <t>A 33380-2023</t>
        </is>
      </c>
      <c r="B684" s="1" t="n">
        <v>45128</v>
      </c>
      <c r="C684" s="1" t="n">
        <v>46090</v>
      </c>
      <c r="D684" t="inlineStr">
        <is>
          <t>KALMAR LÄN</t>
        </is>
      </c>
      <c r="E684" t="inlineStr">
        <is>
          <t>VIMMERBY</t>
        </is>
      </c>
      <c r="G684" t="n">
        <v>5.2</v>
      </c>
      <c r="H684" t="n">
        <v>0</v>
      </c>
      <c r="I684" t="n">
        <v>0</v>
      </c>
      <c r="J684" t="n">
        <v>0</v>
      </c>
      <c r="K684" t="n">
        <v>0</v>
      </c>
      <c r="L684" t="n">
        <v>0</v>
      </c>
      <c r="M684" t="n">
        <v>0</v>
      </c>
      <c r="N684" t="n">
        <v>0</v>
      </c>
      <c r="O684" t="n">
        <v>0</v>
      </c>
      <c r="P684" t="n">
        <v>0</v>
      </c>
      <c r="Q684" t="n">
        <v>0</v>
      </c>
      <c r="R684" s="2" t="inlineStr"/>
    </row>
    <row r="685" ht="15" customHeight="1">
      <c r="A685" t="inlineStr">
        <is>
          <t>A 7040-2026</t>
        </is>
      </c>
      <c r="B685" s="1" t="n">
        <v>46057.69520833333</v>
      </c>
      <c r="C685" s="1" t="n">
        <v>46090</v>
      </c>
      <c r="D685" t="inlineStr">
        <is>
          <t>KALMAR LÄN</t>
        </is>
      </c>
      <c r="E685" t="inlineStr">
        <is>
          <t>VIMMERBY</t>
        </is>
      </c>
      <c r="G685" t="n">
        <v>2.7</v>
      </c>
      <c r="H685" t="n">
        <v>0</v>
      </c>
      <c r="I685" t="n">
        <v>0</v>
      </c>
      <c r="J685" t="n">
        <v>0</v>
      </c>
      <c r="K685" t="n">
        <v>0</v>
      </c>
      <c r="L685" t="n">
        <v>0</v>
      </c>
      <c r="M685" t="n">
        <v>0</v>
      </c>
      <c r="N685" t="n">
        <v>0</v>
      </c>
      <c r="O685" t="n">
        <v>0</v>
      </c>
      <c r="P685" t="n">
        <v>0</v>
      </c>
      <c r="Q685" t="n">
        <v>0</v>
      </c>
      <c r="R685" s="2" t="inlineStr"/>
    </row>
    <row r="686" ht="15" customHeight="1">
      <c r="A686" t="inlineStr">
        <is>
          <t>A 61937-2025</t>
        </is>
      </c>
      <c r="B686" s="1" t="n">
        <v>46003</v>
      </c>
      <c r="C686" s="1" t="n">
        <v>46090</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32639-2023</t>
        </is>
      </c>
      <c r="B687" s="1" t="n">
        <v>45121.5965162037</v>
      </c>
      <c r="C687" s="1" t="n">
        <v>46090</v>
      </c>
      <c r="D687" t="inlineStr">
        <is>
          <t>KALMAR LÄN</t>
        </is>
      </c>
      <c r="E687" t="inlineStr">
        <is>
          <t>VIMMERBY</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32642-2023</t>
        </is>
      </c>
      <c r="B688" s="1" t="n">
        <v>45121.59954861111</v>
      </c>
      <c r="C688" s="1" t="n">
        <v>46090</v>
      </c>
      <c r="D688" t="inlineStr">
        <is>
          <t>KALMAR LÄN</t>
        </is>
      </c>
      <c r="E688" t="inlineStr">
        <is>
          <t>VIMMERBY</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32651-2023</t>
        </is>
      </c>
      <c r="B689" s="1" t="n">
        <v>45121.6096875</v>
      </c>
      <c r="C689" s="1" t="n">
        <v>46090</v>
      </c>
      <c r="D689" t="inlineStr">
        <is>
          <t>KALMAR LÄN</t>
        </is>
      </c>
      <c r="E689" t="inlineStr">
        <is>
          <t>VIMMERBY</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11928-2022</t>
        </is>
      </c>
      <c r="B690" s="1" t="n">
        <v>44635</v>
      </c>
      <c r="C690" s="1" t="n">
        <v>46090</v>
      </c>
      <c r="D690" t="inlineStr">
        <is>
          <t>KALMAR LÄN</t>
        </is>
      </c>
      <c r="E690" t="inlineStr">
        <is>
          <t>VIMMERBY</t>
        </is>
      </c>
      <c r="G690" t="n">
        <v>2.8</v>
      </c>
      <c r="H690" t="n">
        <v>0</v>
      </c>
      <c r="I690" t="n">
        <v>0</v>
      </c>
      <c r="J690" t="n">
        <v>0</v>
      </c>
      <c r="K690" t="n">
        <v>0</v>
      </c>
      <c r="L690" t="n">
        <v>0</v>
      </c>
      <c r="M690" t="n">
        <v>0</v>
      </c>
      <c r="N690" t="n">
        <v>0</v>
      </c>
      <c r="O690" t="n">
        <v>0</v>
      </c>
      <c r="P690" t="n">
        <v>0</v>
      </c>
      <c r="Q690" t="n">
        <v>0</v>
      </c>
      <c r="R690" s="2" t="inlineStr"/>
    </row>
    <row r="691" ht="15" customHeight="1">
      <c r="A691" t="inlineStr">
        <is>
          <t>A 7068-2024</t>
        </is>
      </c>
      <c r="B691" s="1" t="n">
        <v>45343.68038194445</v>
      </c>
      <c r="C691" s="1" t="n">
        <v>46090</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46234-2024</t>
        </is>
      </c>
      <c r="B692" s="1" t="n">
        <v>45581.57958333333</v>
      </c>
      <c r="C692" s="1" t="n">
        <v>46090</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37187-2024</t>
        </is>
      </c>
      <c r="B693" s="1" t="n">
        <v>45539.65212962963</v>
      </c>
      <c r="C693" s="1" t="n">
        <v>46090</v>
      </c>
      <c r="D693" t="inlineStr">
        <is>
          <t>KALMAR LÄN</t>
        </is>
      </c>
      <c r="E693" t="inlineStr">
        <is>
          <t>VIMMERBY</t>
        </is>
      </c>
      <c r="G693" t="n">
        <v>2.7</v>
      </c>
      <c r="H693" t="n">
        <v>0</v>
      </c>
      <c r="I693" t="n">
        <v>0</v>
      </c>
      <c r="J693" t="n">
        <v>0</v>
      </c>
      <c r="K693" t="n">
        <v>0</v>
      </c>
      <c r="L693" t="n">
        <v>0</v>
      </c>
      <c r="M693" t="n">
        <v>0</v>
      </c>
      <c r="N693" t="n">
        <v>0</v>
      </c>
      <c r="O693" t="n">
        <v>0</v>
      </c>
      <c r="P693" t="n">
        <v>0</v>
      </c>
      <c r="Q693" t="n">
        <v>0</v>
      </c>
      <c r="R693" s="2" t="inlineStr"/>
    </row>
    <row r="694" ht="15" customHeight="1">
      <c r="A694" t="inlineStr">
        <is>
          <t>A 1021-2024</t>
        </is>
      </c>
      <c r="B694" s="1" t="n">
        <v>45301.67736111111</v>
      </c>
      <c r="C694" s="1" t="n">
        <v>46090</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72701-2021</t>
        </is>
      </c>
      <c r="B695" s="1" t="n">
        <v>44546</v>
      </c>
      <c r="C695" s="1" t="n">
        <v>46090</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19111-2025</t>
        </is>
      </c>
      <c r="B696" s="1" t="n">
        <v>45768.65611111111</v>
      </c>
      <c r="C696" s="1" t="n">
        <v>46090</v>
      </c>
      <c r="D696" t="inlineStr">
        <is>
          <t>KALMAR LÄN</t>
        </is>
      </c>
      <c r="E696" t="inlineStr">
        <is>
          <t>VIMMERBY</t>
        </is>
      </c>
      <c r="G696" t="n">
        <v>6.2</v>
      </c>
      <c r="H696" t="n">
        <v>0</v>
      </c>
      <c r="I696" t="n">
        <v>0</v>
      </c>
      <c r="J696" t="n">
        <v>0</v>
      </c>
      <c r="K696" t="n">
        <v>0</v>
      </c>
      <c r="L696" t="n">
        <v>0</v>
      </c>
      <c r="M696" t="n">
        <v>0</v>
      </c>
      <c r="N696" t="n">
        <v>0</v>
      </c>
      <c r="O696" t="n">
        <v>0</v>
      </c>
      <c r="P696" t="n">
        <v>0</v>
      </c>
      <c r="Q696" t="n">
        <v>0</v>
      </c>
      <c r="R696" s="2" t="inlineStr"/>
    </row>
    <row r="697" ht="15" customHeight="1">
      <c r="A697" t="inlineStr">
        <is>
          <t>A 33374-2021</t>
        </is>
      </c>
      <c r="B697" s="1" t="n">
        <v>44377</v>
      </c>
      <c r="C697" s="1" t="n">
        <v>46090</v>
      </c>
      <c r="D697" t="inlineStr">
        <is>
          <t>KALMAR LÄN</t>
        </is>
      </c>
      <c r="E697" t="inlineStr">
        <is>
          <t>VIMMERBY</t>
        </is>
      </c>
      <c r="G697" t="n">
        <v>3.3</v>
      </c>
      <c r="H697" t="n">
        <v>0</v>
      </c>
      <c r="I697" t="n">
        <v>0</v>
      </c>
      <c r="J697" t="n">
        <v>0</v>
      </c>
      <c r="K697" t="n">
        <v>0</v>
      </c>
      <c r="L697" t="n">
        <v>0</v>
      </c>
      <c r="M697" t="n">
        <v>0</v>
      </c>
      <c r="N697" t="n">
        <v>0</v>
      </c>
      <c r="O697" t="n">
        <v>0</v>
      </c>
      <c r="P697" t="n">
        <v>0</v>
      </c>
      <c r="Q697" t="n">
        <v>0</v>
      </c>
      <c r="R697" s="2" t="inlineStr"/>
    </row>
    <row r="698" ht="15" customHeight="1">
      <c r="A698" t="inlineStr">
        <is>
          <t>A 10807-2024</t>
        </is>
      </c>
      <c r="B698" s="1" t="n">
        <v>45369.62780092593</v>
      </c>
      <c r="C698" s="1" t="n">
        <v>46090</v>
      </c>
      <c r="D698" t="inlineStr">
        <is>
          <t>KALMAR LÄN</t>
        </is>
      </c>
      <c r="E698" t="inlineStr">
        <is>
          <t>VIMMERBY</t>
        </is>
      </c>
      <c r="G698" t="n">
        <v>0.7</v>
      </c>
      <c r="H698" t="n">
        <v>0</v>
      </c>
      <c r="I698" t="n">
        <v>0</v>
      </c>
      <c r="J698" t="n">
        <v>0</v>
      </c>
      <c r="K698" t="n">
        <v>0</v>
      </c>
      <c r="L698" t="n">
        <v>0</v>
      </c>
      <c r="M698" t="n">
        <v>0</v>
      </c>
      <c r="N698" t="n">
        <v>0</v>
      </c>
      <c r="O698" t="n">
        <v>0</v>
      </c>
      <c r="P698" t="n">
        <v>0</v>
      </c>
      <c r="Q698" t="n">
        <v>0</v>
      </c>
      <c r="R698" s="2" t="inlineStr"/>
    </row>
    <row r="699" ht="15" customHeight="1">
      <c r="A699" t="inlineStr">
        <is>
          <t>A 33359-2021</t>
        </is>
      </c>
      <c r="B699" s="1" t="n">
        <v>44377.49684027778</v>
      </c>
      <c r="C699" s="1" t="n">
        <v>46090</v>
      </c>
      <c r="D699" t="inlineStr">
        <is>
          <t>KALMAR LÄN</t>
        </is>
      </c>
      <c r="E699" t="inlineStr">
        <is>
          <t>VIMMERBY</t>
        </is>
      </c>
      <c r="F699" t="inlineStr">
        <is>
          <t>Kommuner</t>
        </is>
      </c>
      <c r="G699" t="n">
        <v>8</v>
      </c>
      <c r="H699" t="n">
        <v>0</v>
      </c>
      <c r="I699" t="n">
        <v>0</v>
      </c>
      <c r="J699" t="n">
        <v>0</v>
      </c>
      <c r="K699" t="n">
        <v>0</v>
      </c>
      <c r="L699" t="n">
        <v>0</v>
      </c>
      <c r="M699" t="n">
        <v>0</v>
      </c>
      <c r="N699" t="n">
        <v>0</v>
      </c>
      <c r="O699" t="n">
        <v>0</v>
      </c>
      <c r="P699" t="n">
        <v>0</v>
      </c>
      <c r="Q699" t="n">
        <v>0</v>
      </c>
      <c r="R699" s="2" t="inlineStr"/>
    </row>
    <row r="700" ht="15" customHeight="1">
      <c r="A700" t="inlineStr">
        <is>
          <t>A 34588-2024</t>
        </is>
      </c>
      <c r="B700" s="1" t="n">
        <v>45526.3865625</v>
      </c>
      <c r="C700" s="1" t="n">
        <v>46090</v>
      </c>
      <c r="D700" t="inlineStr">
        <is>
          <t>KALMAR LÄN</t>
        </is>
      </c>
      <c r="E700" t="inlineStr">
        <is>
          <t>VIMMERBY</t>
        </is>
      </c>
      <c r="F700" t="inlineStr">
        <is>
          <t>Övriga Aktiebolag</t>
        </is>
      </c>
      <c r="G700" t="n">
        <v>3.3</v>
      </c>
      <c r="H700" t="n">
        <v>0</v>
      </c>
      <c r="I700" t="n">
        <v>0</v>
      </c>
      <c r="J700" t="n">
        <v>0</v>
      </c>
      <c r="K700" t="n">
        <v>0</v>
      </c>
      <c r="L700" t="n">
        <v>0</v>
      </c>
      <c r="M700" t="n">
        <v>0</v>
      </c>
      <c r="N700" t="n">
        <v>0</v>
      </c>
      <c r="O700" t="n">
        <v>0</v>
      </c>
      <c r="P700" t="n">
        <v>0</v>
      </c>
      <c r="Q700" t="n">
        <v>0</v>
      </c>
      <c r="R700" s="2" t="inlineStr"/>
    </row>
    <row r="701" ht="15" customHeight="1">
      <c r="A701" t="inlineStr">
        <is>
          <t>A 17084-2025</t>
        </is>
      </c>
      <c r="B701" s="1" t="n">
        <v>45755.64450231481</v>
      </c>
      <c r="C701" s="1" t="n">
        <v>46090</v>
      </c>
      <c r="D701" t="inlineStr">
        <is>
          <t>KALMAR LÄN</t>
        </is>
      </c>
      <c r="E701" t="inlineStr">
        <is>
          <t>VIMMERBY</t>
        </is>
      </c>
      <c r="G701" t="n">
        <v>1.4</v>
      </c>
      <c r="H701" t="n">
        <v>0</v>
      </c>
      <c r="I701" t="n">
        <v>0</v>
      </c>
      <c r="J701" t="n">
        <v>0</v>
      </c>
      <c r="K701" t="n">
        <v>0</v>
      </c>
      <c r="L701" t="n">
        <v>0</v>
      </c>
      <c r="M701" t="n">
        <v>0</v>
      </c>
      <c r="N701" t="n">
        <v>0</v>
      </c>
      <c r="O701" t="n">
        <v>0</v>
      </c>
      <c r="P701" t="n">
        <v>0</v>
      </c>
      <c r="Q701" t="n">
        <v>0</v>
      </c>
      <c r="R701" s="2" t="inlineStr"/>
    </row>
    <row r="702" ht="15" customHeight="1">
      <c r="A702" t="inlineStr">
        <is>
          <t>A 33161-2024</t>
        </is>
      </c>
      <c r="B702" s="1" t="n">
        <v>45518.40657407408</v>
      </c>
      <c r="C702" s="1" t="n">
        <v>46090</v>
      </c>
      <c r="D702" t="inlineStr">
        <is>
          <t>KALMAR LÄN</t>
        </is>
      </c>
      <c r="E702" t="inlineStr">
        <is>
          <t>VIMMERBY</t>
        </is>
      </c>
      <c r="G702" t="n">
        <v>4.7</v>
      </c>
      <c r="H702" t="n">
        <v>0</v>
      </c>
      <c r="I702" t="n">
        <v>0</v>
      </c>
      <c r="J702" t="n">
        <v>0</v>
      </c>
      <c r="K702" t="n">
        <v>0</v>
      </c>
      <c r="L702" t="n">
        <v>0</v>
      </c>
      <c r="M702" t="n">
        <v>0</v>
      </c>
      <c r="N702" t="n">
        <v>0</v>
      </c>
      <c r="O702" t="n">
        <v>0</v>
      </c>
      <c r="P702" t="n">
        <v>0</v>
      </c>
      <c r="Q702" t="n">
        <v>0</v>
      </c>
      <c r="R702" s="2" t="inlineStr"/>
    </row>
    <row r="703" ht="15" customHeight="1">
      <c r="A703" t="inlineStr">
        <is>
          <t>A 14359-2025</t>
        </is>
      </c>
      <c r="B703" s="1" t="n">
        <v>45741.37270833334</v>
      </c>
      <c r="C703" s="1" t="n">
        <v>46090</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55605-2024</t>
        </is>
      </c>
      <c r="B704" s="1" t="n">
        <v>45622</v>
      </c>
      <c r="C704" s="1" t="n">
        <v>46090</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44464-2024</t>
        </is>
      </c>
      <c r="B705" s="1" t="n">
        <v>45574.35809027778</v>
      </c>
      <c r="C705" s="1" t="n">
        <v>46090</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36049-2024</t>
        </is>
      </c>
      <c r="B706" s="1" t="n">
        <v>45533.61996527778</v>
      </c>
      <c r="C706" s="1" t="n">
        <v>46090</v>
      </c>
      <c r="D706" t="inlineStr">
        <is>
          <t>KALMAR LÄN</t>
        </is>
      </c>
      <c r="E706" t="inlineStr">
        <is>
          <t>VIMMERBY</t>
        </is>
      </c>
      <c r="F706" t="inlineStr">
        <is>
          <t>Kommuner</t>
        </is>
      </c>
      <c r="G706" t="n">
        <v>2.6</v>
      </c>
      <c r="H706" t="n">
        <v>0</v>
      </c>
      <c r="I706" t="n">
        <v>0</v>
      </c>
      <c r="J706" t="n">
        <v>0</v>
      </c>
      <c r="K706" t="n">
        <v>0</v>
      </c>
      <c r="L706" t="n">
        <v>0</v>
      </c>
      <c r="M706" t="n">
        <v>0</v>
      </c>
      <c r="N706" t="n">
        <v>0</v>
      </c>
      <c r="O706" t="n">
        <v>0</v>
      </c>
      <c r="P706" t="n">
        <v>0</v>
      </c>
      <c r="Q706" t="n">
        <v>0</v>
      </c>
      <c r="R706" s="2" t="inlineStr"/>
    </row>
    <row r="707" ht="15" customHeight="1">
      <c r="A707" t="inlineStr">
        <is>
          <t>A 4297-2022</t>
        </is>
      </c>
      <c r="B707" s="1" t="n">
        <v>44588</v>
      </c>
      <c r="C707" s="1" t="n">
        <v>46090</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46399-2024</t>
        </is>
      </c>
      <c r="B708" s="1" t="n">
        <v>45582.41200231481</v>
      </c>
      <c r="C708" s="1" t="n">
        <v>46090</v>
      </c>
      <c r="D708" t="inlineStr">
        <is>
          <t>KALMAR LÄN</t>
        </is>
      </c>
      <c r="E708" t="inlineStr">
        <is>
          <t>VIMMERBY</t>
        </is>
      </c>
      <c r="G708" t="n">
        <v>4.6</v>
      </c>
      <c r="H708" t="n">
        <v>0</v>
      </c>
      <c r="I708" t="n">
        <v>0</v>
      </c>
      <c r="J708" t="n">
        <v>0</v>
      </c>
      <c r="K708" t="n">
        <v>0</v>
      </c>
      <c r="L708" t="n">
        <v>0</v>
      </c>
      <c r="M708" t="n">
        <v>0</v>
      </c>
      <c r="N708" t="n">
        <v>0</v>
      </c>
      <c r="O708" t="n">
        <v>0</v>
      </c>
      <c r="P708" t="n">
        <v>0</v>
      </c>
      <c r="Q708" t="n">
        <v>0</v>
      </c>
      <c r="R708" s="2" t="inlineStr"/>
    </row>
    <row r="709" ht="15" customHeight="1">
      <c r="A709" t="inlineStr">
        <is>
          <t>A 13532-2025</t>
        </is>
      </c>
      <c r="B709" s="1" t="n">
        <v>45736.50743055555</v>
      </c>
      <c r="C709" s="1" t="n">
        <v>46090</v>
      </c>
      <c r="D709" t="inlineStr">
        <is>
          <t>KALMAR LÄN</t>
        </is>
      </c>
      <c r="E709" t="inlineStr">
        <is>
          <t>VIMMERBY</t>
        </is>
      </c>
      <c r="G709" t="n">
        <v>3.6</v>
      </c>
      <c r="H709" t="n">
        <v>0</v>
      </c>
      <c r="I709" t="n">
        <v>0</v>
      </c>
      <c r="J709" t="n">
        <v>0</v>
      </c>
      <c r="K709" t="n">
        <v>0</v>
      </c>
      <c r="L709" t="n">
        <v>0</v>
      </c>
      <c r="M709" t="n">
        <v>0</v>
      </c>
      <c r="N709" t="n">
        <v>0</v>
      </c>
      <c r="O709" t="n">
        <v>0</v>
      </c>
      <c r="P709" t="n">
        <v>0</v>
      </c>
      <c r="Q709" t="n">
        <v>0</v>
      </c>
      <c r="R709" s="2" t="inlineStr"/>
    </row>
    <row r="710" ht="15" customHeight="1">
      <c r="A710" t="inlineStr">
        <is>
          <t>A 43038-2022</t>
        </is>
      </c>
      <c r="B710" s="1" t="n">
        <v>44833.60123842592</v>
      </c>
      <c r="C710" s="1" t="n">
        <v>46090</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12596-2021</t>
        </is>
      </c>
      <c r="B711" s="1" t="n">
        <v>44270.39765046296</v>
      </c>
      <c r="C711" s="1" t="n">
        <v>46090</v>
      </c>
      <c r="D711" t="inlineStr">
        <is>
          <t>KALMAR LÄN</t>
        </is>
      </c>
      <c r="E711" t="inlineStr">
        <is>
          <t>VIMMERBY</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57799-2022</t>
        </is>
      </c>
      <c r="B712" s="1" t="n">
        <v>44897</v>
      </c>
      <c r="C712" s="1" t="n">
        <v>46090</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30921-2024</t>
        </is>
      </c>
      <c r="B713" s="1" t="n">
        <v>45498</v>
      </c>
      <c r="C713" s="1" t="n">
        <v>46090</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14137-2023</t>
        </is>
      </c>
      <c r="B714" s="1" t="n">
        <v>45009.4671875</v>
      </c>
      <c r="C714" s="1" t="n">
        <v>46090</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11152-2023</t>
        </is>
      </c>
      <c r="B715" s="1" t="n">
        <v>44992</v>
      </c>
      <c r="C715" s="1" t="n">
        <v>46090</v>
      </c>
      <c r="D715" t="inlineStr">
        <is>
          <t>KALMAR LÄN</t>
        </is>
      </c>
      <c r="E715" t="inlineStr">
        <is>
          <t>VIMMERBY</t>
        </is>
      </c>
      <c r="G715" t="n">
        <v>10.6</v>
      </c>
      <c r="H715" t="n">
        <v>0</v>
      </c>
      <c r="I715" t="n">
        <v>0</v>
      </c>
      <c r="J715" t="n">
        <v>0</v>
      </c>
      <c r="K715" t="n">
        <v>0</v>
      </c>
      <c r="L715" t="n">
        <v>0</v>
      </c>
      <c r="M715" t="n">
        <v>0</v>
      </c>
      <c r="N715" t="n">
        <v>0</v>
      </c>
      <c r="O715" t="n">
        <v>0</v>
      </c>
      <c r="P715" t="n">
        <v>0</v>
      </c>
      <c r="Q715" t="n">
        <v>0</v>
      </c>
      <c r="R715" s="2" t="inlineStr"/>
    </row>
    <row r="716" ht="15" customHeight="1">
      <c r="A716" t="inlineStr">
        <is>
          <t>A 12499-2023</t>
        </is>
      </c>
      <c r="B716" s="1" t="n">
        <v>44999.86172453704</v>
      </c>
      <c r="C716" s="1" t="n">
        <v>46090</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12500-2023</t>
        </is>
      </c>
      <c r="B717" s="1" t="n">
        <v>44999.8625</v>
      </c>
      <c r="C717" s="1" t="n">
        <v>46090</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35846-2023</t>
        </is>
      </c>
      <c r="B718" s="1" t="n">
        <v>45148</v>
      </c>
      <c r="C718" s="1" t="n">
        <v>46090</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49039-2021</t>
        </is>
      </c>
      <c r="B719" s="1" t="n">
        <v>44453.56578703703</v>
      </c>
      <c r="C719" s="1" t="n">
        <v>46090</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46224-2024</t>
        </is>
      </c>
      <c r="B720" s="1" t="n">
        <v>45581.57016203704</v>
      </c>
      <c r="C720" s="1" t="n">
        <v>46090</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46238-2024</t>
        </is>
      </c>
      <c r="B721" s="1" t="n">
        <v>45581.58418981481</v>
      </c>
      <c r="C721" s="1" t="n">
        <v>46090</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30633-2024</t>
        </is>
      </c>
      <c r="B722" s="1" t="n">
        <v>45495</v>
      </c>
      <c r="C722" s="1" t="n">
        <v>46090</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54838-2024</t>
        </is>
      </c>
      <c r="B723" s="1" t="n">
        <v>45618.56787037037</v>
      </c>
      <c r="C723" s="1" t="n">
        <v>46090</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6405-2025</t>
        </is>
      </c>
      <c r="B724" s="1" t="n">
        <v>45699.45392361111</v>
      </c>
      <c r="C724" s="1" t="n">
        <v>46090</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60437-2023</t>
        </is>
      </c>
      <c r="B725" s="1" t="n">
        <v>45259.51916666667</v>
      </c>
      <c r="C725" s="1" t="n">
        <v>46090</v>
      </c>
      <c r="D725" t="inlineStr">
        <is>
          <t>KALMAR LÄN</t>
        </is>
      </c>
      <c r="E725" t="inlineStr">
        <is>
          <t>VIMMERBY</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60438-2023</t>
        </is>
      </c>
      <c r="B726" s="1" t="n">
        <v>45259.52020833334</v>
      </c>
      <c r="C726" s="1" t="n">
        <v>46090</v>
      </c>
      <c r="D726" t="inlineStr">
        <is>
          <t>KALMAR LÄN</t>
        </is>
      </c>
      <c r="E726" t="inlineStr">
        <is>
          <t>VIMMERBY</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42165-2024</t>
        </is>
      </c>
      <c r="B727" s="1" t="n">
        <v>45562.46342592593</v>
      </c>
      <c r="C727" s="1" t="n">
        <v>46090</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25244-2023</t>
        </is>
      </c>
      <c r="B728" s="1" t="n">
        <v>45086</v>
      </c>
      <c r="C728" s="1" t="n">
        <v>46090</v>
      </c>
      <c r="D728" t="inlineStr">
        <is>
          <t>KALMAR LÄN</t>
        </is>
      </c>
      <c r="E728" t="inlineStr">
        <is>
          <t>VIMMERBY</t>
        </is>
      </c>
      <c r="G728" t="n">
        <v>4.7</v>
      </c>
      <c r="H728" t="n">
        <v>0</v>
      </c>
      <c r="I728" t="n">
        <v>0</v>
      </c>
      <c r="J728" t="n">
        <v>0</v>
      </c>
      <c r="K728" t="n">
        <v>0</v>
      </c>
      <c r="L728" t="n">
        <v>0</v>
      </c>
      <c r="M728" t="n">
        <v>0</v>
      </c>
      <c r="N728" t="n">
        <v>0</v>
      </c>
      <c r="O728" t="n">
        <v>0</v>
      </c>
      <c r="P728" t="n">
        <v>0</v>
      </c>
      <c r="Q728" t="n">
        <v>0</v>
      </c>
      <c r="R728" s="2" t="inlineStr"/>
    </row>
    <row r="729" ht="15" customHeight="1">
      <c r="A729" t="inlineStr">
        <is>
          <t>A 66022-2021</t>
        </is>
      </c>
      <c r="B729" s="1" t="n">
        <v>44517</v>
      </c>
      <c r="C729" s="1" t="n">
        <v>46090</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35895-2024</t>
        </is>
      </c>
      <c r="B730" s="1" t="n">
        <v>45533.38870370371</v>
      </c>
      <c r="C730" s="1" t="n">
        <v>46090</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11073-2023</t>
        </is>
      </c>
      <c r="B731" s="1" t="n">
        <v>44992</v>
      </c>
      <c r="C731" s="1" t="n">
        <v>46090</v>
      </c>
      <c r="D731" t="inlineStr">
        <is>
          <t>KALMAR LÄN</t>
        </is>
      </c>
      <c r="E731" t="inlineStr">
        <is>
          <t>VIMMERBY</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17-2025</t>
        </is>
      </c>
      <c r="B732" s="1" t="n">
        <v>45658.78774305555</v>
      </c>
      <c r="C732" s="1" t="n">
        <v>46090</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32655-2023</t>
        </is>
      </c>
      <c r="B733" s="1" t="n">
        <v>45121.61318287037</v>
      </c>
      <c r="C733" s="1" t="n">
        <v>46090</v>
      </c>
      <c r="D733" t="inlineStr">
        <is>
          <t>KALMAR LÄN</t>
        </is>
      </c>
      <c r="E733" t="inlineStr">
        <is>
          <t>VIMMERBY</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63541-2023</t>
        </is>
      </c>
      <c r="B734" s="1" t="n">
        <v>45275.32266203704</v>
      </c>
      <c r="C734" s="1" t="n">
        <v>46090</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28034-2022</t>
        </is>
      </c>
      <c r="B735" s="1" t="n">
        <v>44746.38834490741</v>
      </c>
      <c r="C735" s="1" t="n">
        <v>46090</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5938-2022</t>
        </is>
      </c>
      <c r="B736" s="1" t="n">
        <v>44598</v>
      </c>
      <c r="C736" s="1" t="n">
        <v>46090</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24283-2023</t>
        </is>
      </c>
      <c r="B737" s="1" t="n">
        <v>45079.87827546296</v>
      </c>
      <c r="C737" s="1" t="n">
        <v>46090</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2462-2022</t>
        </is>
      </c>
      <c r="B738" s="1" t="n">
        <v>44579.62225694444</v>
      </c>
      <c r="C738" s="1" t="n">
        <v>46090</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60228-2021</t>
        </is>
      </c>
      <c r="B739" s="1" t="n">
        <v>44495</v>
      </c>
      <c r="C739" s="1" t="n">
        <v>46090</v>
      </c>
      <c r="D739" t="inlineStr">
        <is>
          <t>KALMAR LÄN</t>
        </is>
      </c>
      <c r="E739" t="inlineStr">
        <is>
          <t>VIMMERBY</t>
        </is>
      </c>
      <c r="G739" t="n">
        <v>4.1</v>
      </c>
      <c r="H739" t="n">
        <v>0</v>
      </c>
      <c r="I739" t="n">
        <v>0</v>
      </c>
      <c r="J739" t="n">
        <v>0</v>
      </c>
      <c r="K739" t="n">
        <v>0</v>
      </c>
      <c r="L739" t="n">
        <v>0</v>
      </c>
      <c r="M739" t="n">
        <v>0</v>
      </c>
      <c r="N739" t="n">
        <v>0</v>
      </c>
      <c r="O739" t="n">
        <v>0</v>
      </c>
      <c r="P739" t="n">
        <v>0</v>
      </c>
      <c r="Q739" t="n">
        <v>0</v>
      </c>
      <c r="R739" s="2" t="inlineStr"/>
    </row>
    <row r="740" ht="15" customHeight="1">
      <c r="A740" t="inlineStr">
        <is>
          <t>A 25979-2023</t>
        </is>
      </c>
      <c r="B740" s="1" t="n">
        <v>45090.89653935185</v>
      </c>
      <c r="C740" s="1" t="n">
        <v>46090</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25980-2023</t>
        </is>
      </c>
      <c r="B741" s="1" t="n">
        <v>45090.89880787037</v>
      </c>
      <c r="C741" s="1" t="n">
        <v>46090</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12510-2022</t>
        </is>
      </c>
      <c r="B742" s="1" t="n">
        <v>44638.55256944444</v>
      </c>
      <c r="C742" s="1" t="n">
        <v>46090</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6358-2022</t>
        </is>
      </c>
      <c r="B743" s="1" t="n">
        <v>44600</v>
      </c>
      <c r="C743" s="1" t="n">
        <v>46090</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48373-2021</t>
        </is>
      </c>
      <c r="B744" s="1" t="n">
        <v>44451</v>
      </c>
      <c r="C744" s="1" t="n">
        <v>46090</v>
      </c>
      <c r="D744" t="inlineStr">
        <is>
          <t>KALMAR LÄN</t>
        </is>
      </c>
      <c r="E744" t="inlineStr">
        <is>
          <t>VIMMERBY</t>
        </is>
      </c>
      <c r="G744" t="n">
        <v>2.2</v>
      </c>
      <c r="H744" t="n">
        <v>0</v>
      </c>
      <c r="I744" t="n">
        <v>0</v>
      </c>
      <c r="J744" t="n">
        <v>0</v>
      </c>
      <c r="K744" t="n">
        <v>0</v>
      </c>
      <c r="L744" t="n">
        <v>0</v>
      </c>
      <c r="M744" t="n">
        <v>0</v>
      </c>
      <c r="N744" t="n">
        <v>0</v>
      </c>
      <c r="O744" t="n">
        <v>0</v>
      </c>
      <c r="P744" t="n">
        <v>0</v>
      </c>
      <c r="Q744" t="n">
        <v>0</v>
      </c>
      <c r="R744" s="2" t="inlineStr"/>
    </row>
    <row r="745" ht="15" customHeight="1">
      <c r="A745" t="inlineStr">
        <is>
          <t>A 57256-2023</t>
        </is>
      </c>
      <c r="B745" s="1" t="n">
        <v>45245.5735300926</v>
      </c>
      <c r="C745" s="1" t="n">
        <v>46090</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17482-2024</t>
        </is>
      </c>
      <c r="B746" s="1" t="n">
        <v>45415.47848379629</v>
      </c>
      <c r="C746" s="1" t="n">
        <v>46090</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55123-2024</t>
        </is>
      </c>
      <c r="B747" s="1" t="n">
        <v>45621.46103009259</v>
      </c>
      <c r="C747" s="1" t="n">
        <v>46090</v>
      </c>
      <c r="D747" t="inlineStr">
        <is>
          <t>KALMAR LÄN</t>
        </is>
      </c>
      <c r="E747" t="inlineStr">
        <is>
          <t>VIMMERBY</t>
        </is>
      </c>
      <c r="G747" t="n">
        <v>3.1</v>
      </c>
      <c r="H747" t="n">
        <v>0</v>
      </c>
      <c r="I747" t="n">
        <v>0</v>
      </c>
      <c r="J747" t="n">
        <v>0</v>
      </c>
      <c r="K747" t="n">
        <v>0</v>
      </c>
      <c r="L747" t="n">
        <v>0</v>
      </c>
      <c r="M747" t="n">
        <v>0</v>
      </c>
      <c r="N747" t="n">
        <v>0</v>
      </c>
      <c r="O747" t="n">
        <v>0</v>
      </c>
      <c r="P747" t="n">
        <v>0</v>
      </c>
      <c r="Q747" t="n">
        <v>0</v>
      </c>
      <c r="R747" s="2" t="inlineStr"/>
    </row>
    <row r="748" ht="15" customHeight="1">
      <c r="A748" t="inlineStr">
        <is>
          <t>A 49313-2022</t>
        </is>
      </c>
      <c r="B748" s="1" t="n">
        <v>44861.52505787037</v>
      </c>
      <c r="C748" s="1" t="n">
        <v>46090</v>
      </c>
      <c r="D748" t="inlineStr">
        <is>
          <t>KALMAR LÄN</t>
        </is>
      </c>
      <c r="E748" t="inlineStr">
        <is>
          <t>VIMMERBY</t>
        </is>
      </c>
      <c r="G748" t="n">
        <v>1.9</v>
      </c>
      <c r="H748" t="n">
        <v>0</v>
      </c>
      <c r="I748" t="n">
        <v>0</v>
      </c>
      <c r="J748" t="n">
        <v>0</v>
      </c>
      <c r="K748" t="n">
        <v>0</v>
      </c>
      <c r="L748" t="n">
        <v>0</v>
      </c>
      <c r="M748" t="n">
        <v>0</v>
      </c>
      <c r="N748" t="n">
        <v>0</v>
      </c>
      <c r="O748" t="n">
        <v>0</v>
      </c>
      <c r="P748" t="n">
        <v>0</v>
      </c>
      <c r="Q748" t="n">
        <v>0</v>
      </c>
      <c r="R748" s="2" t="inlineStr"/>
    </row>
    <row r="749" ht="15" customHeight="1">
      <c r="A749" t="inlineStr">
        <is>
          <t>A 1987-2024</t>
        </is>
      </c>
      <c r="B749" s="1" t="n">
        <v>45308.61152777778</v>
      </c>
      <c r="C749" s="1" t="n">
        <v>46090</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21507-2023</t>
        </is>
      </c>
      <c r="B750" s="1" t="n">
        <v>45063.508125</v>
      </c>
      <c r="C750" s="1" t="n">
        <v>46090</v>
      </c>
      <c r="D750" t="inlineStr">
        <is>
          <t>KALMAR LÄN</t>
        </is>
      </c>
      <c r="E750" t="inlineStr">
        <is>
          <t>VIMMERBY</t>
        </is>
      </c>
      <c r="G750" t="n">
        <v>2.8</v>
      </c>
      <c r="H750" t="n">
        <v>0</v>
      </c>
      <c r="I750" t="n">
        <v>0</v>
      </c>
      <c r="J750" t="n">
        <v>0</v>
      </c>
      <c r="K750" t="n">
        <v>0</v>
      </c>
      <c r="L750" t="n">
        <v>0</v>
      </c>
      <c r="M750" t="n">
        <v>0</v>
      </c>
      <c r="N750" t="n">
        <v>0</v>
      </c>
      <c r="O750" t="n">
        <v>0</v>
      </c>
      <c r="P750" t="n">
        <v>0</v>
      </c>
      <c r="Q750" t="n">
        <v>0</v>
      </c>
      <c r="R750" s="2" t="inlineStr"/>
    </row>
    <row r="751" ht="15" customHeight="1">
      <c r="A751" t="inlineStr">
        <is>
          <t>A 57189-2022</t>
        </is>
      </c>
      <c r="B751" s="1" t="n">
        <v>44895.62296296296</v>
      </c>
      <c r="C751" s="1" t="n">
        <v>46090</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48673-2021</t>
        </is>
      </c>
      <c r="B752" s="1" t="n">
        <v>44452</v>
      </c>
      <c r="C752" s="1" t="n">
        <v>46090</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14248-2023</t>
        </is>
      </c>
      <c r="B753" s="1" t="n">
        <v>45009</v>
      </c>
      <c r="C753" s="1" t="n">
        <v>46090</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12480-2024</t>
        </is>
      </c>
      <c r="B754" s="1" t="n">
        <v>45379</v>
      </c>
      <c r="C754" s="1" t="n">
        <v>46090</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46090</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50085-2023</t>
        </is>
      </c>
      <c r="B756" s="1" t="n">
        <v>45215.5959375</v>
      </c>
      <c r="C756" s="1" t="n">
        <v>46090</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50087-2023</t>
        </is>
      </c>
      <c r="B757" s="1" t="n">
        <v>45215.59743055556</v>
      </c>
      <c r="C757" s="1" t="n">
        <v>46090</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8167-2024</t>
        </is>
      </c>
      <c r="B758" s="1" t="n">
        <v>45351.6062962963</v>
      </c>
      <c r="C758" s="1" t="n">
        <v>46090</v>
      </c>
      <c r="D758" t="inlineStr">
        <is>
          <t>KALMAR LÄN</t>
        </is>
      </c>
      <c r="E758" t="inlineStr">
        <is>
          <t>VIMMERBY</t>
        </is>
      </c>
      <c r="G758" t="n">
        <v>3.8</v>
      </c>
      <c r="H758" t="n">
        <v>0</v>
      </c>
      <c r="I758" t="n">
        <v>0</v>
      </c>
      <c r="J758" t="n">
        <v>0</v>
      </c>
      <c r="K758" t="n">
        <v>0</v>
      </c>
      <c r="L758" t="n">
        <v>0</v>
      </c>
      <c r="M758" t="n">
        <v>0</v>
      </c>
      <c r="N758" t="n">
        <v>0</v>
      </c>
      <c r="O758" t="n">
        <v>0</v>
      </c>
      <c r="P758" t="n">
        <v>0</v>
      </c>
      <c r="Q758" t="n">
        <v>0</v>
      </c>
      <c r="R758" s="2" t="inlineStr"/>
    </row>
    <row r="759" ht="15" customHeight="1">
      <c r="A759" t="inlineStr">
        <is>
          <t>A 2604-2025</t>
        </is>
      </c>
      <c r="B759" s="1" t="n">
        <v>45674.74094907408</v>
      </c>
      <c r="C759" s="1" t="n">
        <v>46090</v>
      </c>
      <c r="D759" t="inlineStr">
        <is>
          <t>KALMAR LÄN</t>
        </is>
      </c>
      <c r="E759" t="inlineStr">
        <is>
          <t>VIMMERBY</t>
        </is>
      </c>
      <c r="G759" t="n">
        <v>7.6</v>
      </c>
      <c r="H759" t="n">
        <v>0</v>
      </c>
      <c r="I759" t="n">
        <v>0</v>
      </c>
      <c r="J759" t="n">
        <v>0</v>
      </c>
      <c r="K759" t="n">
        <v>0</v>
      </c>
      <c r="L759" t="n">
        <v>0</v>
      </c>
      <c r="M759" t="n">
        <v>0</v>
      </c>
      <c r="N759" t="n">
        <v>0</v>
      </c>
      <c r="O759" t="n">
        <v>0</v>
      </c>
      <c r="P759" t="n">
        <v>0</v>
      </c>
      <c r="Q759" t="n">
        <v>0</v>
      </c>
      <c r="R759" s="2" t="inlineStr"/>
    </row>
    <row r="760" ht="15" customHeight="1">
      <c r="A760" t="inlineStr">
        <is>
          <t>A 37192-2024</t>
        </is>
      </c>
      <c r="B760" s="1" t="n">
        <v>45539.66027777778</v>
      </c>
      <c r="C760" s="1" t="n">
        <v>46090</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42429-2024</t>
        </is>
      </c>
      <c r="B761" s="1" t="n">
        <v>45565.40657407408</v>
      </c>
      <c r="C761" s="1" t="n">
        <v>46090</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29180-2024</t>
        </is>
      </c>
      <c r="B762" s="1" t="n">
        <v>45482.54108796296</v>
      </c>
      <c r="C762" s="1" t="n">
        <v>46090</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45846-2023</t>
        </is>
      </c>
      <c r="B763" s="1" t="n">
        <v>45195.58452546296</v>
      </c>
      <c r="C763" s="1" t="n">
        <v>46090</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16020-2023</t>
        </is>
      </c>
      <c r="B764" s="1" t="n">
        <v>45026.82216435186</v>
      </c>
      <c r="C764" s="1" t="n">
        <v>46090</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61820-2023</t>
        </is>
      </c>
      <c r="B765" s="1" t="n">
        <v>45266.32614583334</v>
      </c>
      <c r="C765" s="1" t="n">
        <v>46090</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45560-2021</t>
        </is>
      </c>
      <c r="B766" s="1" t="n">
        <v>44440</v>
      </c>
      <c r="C766" s="1" t="n">
        <v>46090</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40256-2024</t>
        </is>
      </c>
      <c r="B767" s="1" t="n">
        <v>45554.62944444444</v>
      </c>
      <c r="C767" s="1" t="n">
        <v>46090</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58104-2024</t>
        </is>
      </c>
      <c r="B768" s="1" t="n">
        <v>45632.37459490741</v>
      </c>
      <c r="C768" s="1" t="n">
        <v>46090</v>
      </c>
      <c r="D768" t="inlineStr">
        <is>
          <t>KALMAR LÄN</t>
        </is>
      </c>
      <c r="E768" t="inlineStr">
        <is>
          <t>VIMMERBY</t>
        </is>
      </c>
      <c r="G768" t="n">
        <v>5</v>
      </c>
      <c r="H768" t="n">
        <v>0</v>
      </c>
      <c r="I768" t="n">
        <v>0</v>
      </c>
      <c r="J768" t="n">
        <v>0</v>
      </c>
      <c r="K768" t="n">
        <v>0</v>
      </c>
      <c r="L768" t="n">
        <v>0</v>
      </c>
      <c r="M768" t="n">
        <v>0</v>
      </c>
      <c r="N768" t="n">
        <v>0</v>
      </c>
      <c r="O768" t="n">
        <v>0</v>
      </c>
      <c r="P768" t="n">
        <v>0</v>
      </c>
      <c r="Q768" t="n">
        <v>0</v>
      </c>
      <c r="R768" s="2" t="inlineStr"/>
    </row>
    <row r="769" ht="15" customHeight="1">
      <c r="A769" t="inlineStr">
        <is>
          <t>A 36259-2022</t>
        </is>
      </c>
      <c r="B769" s="1" t="n">
        <v>44803.59118055556</v>
      </c>
      <c r="C769" s="1" t="n">
        <v>46090</v>
      </c>
      <c r="D769" t="inlineStr">
        <is>
          <t>KALMAR LÄN</t>
        </is>
      </c>
      <c r="E769" t="inlineStr">
        <is>
          <t>VIMMERBY</t>
        </is>
      </c>
      <c r="G769" t="n">
        <v>3.9</v>
      </c>
      <c r="H769" t="n">
        <v>0</v>
      </c>
      <c r="I769" t="n">
        <v>0</v>
      </c>
      <c r="J769" t="n">
        <v>0</v>
      </c>
      <c r="K769" t="n">
        <v>0</v>
      </c>
      <c r="L769" t="n">
        <v>0</v>
      </c>
      <c r="M769" t="n">
        <v>0</v>
      </c>
      <c r="N769" t="n">
        <v>0</v>
      </c>
      <c r="O769" t="n">
        <v>0</v>
      </c>
      <c r="P769" t="n">
        <v>0</v>
      </c>
      <c r="Q769" t="n">
        <v>0</v>
      </c>
      <c r="R769" s="2" t="inlineStr"/>
    </row>
    <row r="770" ht="15" customHeight="1">
      <c r="A770" t="inlineStr">
        <is>
          <t>A 43034-2024</t>
        </is>
      </c>
      <c r="B770" s="1" t="n">
        <v>45567.42011574074</v>
      </c>
      <c r="C770" s="1" t="n">
        <v>46090</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3902-2022</t>
        </is>
      </c>
      <c r="B771" s="1" t="n">
        <v>44587.48847222222</v>
      </c>
      <c r="C771" s="1" t="n">
        <v>46090</v>
      </c>
      <c r="D771" t="inlineStr">
        <is>
          <t>KALMAR LÄN</t>
        </is>
      </c>
      <c r="E771" t="inlineStr">
        <is>
          <t>VIMMERBY</t>
        </is>
      </c>
      <c r="G771" t="n">
        <v>2.6</v>
      </c>
      <c r="H771" t="n">
        <v>0</v>
      </c>
      <c r="I771" t="n">
        <v>0</v>
      </c>
      <c r="J771" t="n">
        <v>0</v>
      </c>
      <c r="K771" t="n">
        <v>0</v>
      </c>
      <c r="L771" t="n">
        <v>0</v>
      </c>
      <c r="M771" t="n">
        <v>0</v>
      </c>
      <c r="N771" t="n">
        <v>0</v>
      </c>
      <c r="O771" t="n">
        <v>0</v>
      </c>
      <c r="P771" t="n">
        <v>0</v>
      </c>
      <c r="Q771" t="n">
        <v>0</v>
      </c>
      <c r="R771" s="2" t="inlineStr"/>
    </row>
    <row r="772" ht="15" customHeight="1">
      <c r="A772" t="inlineStr">
        <is>
          <t>A 30070-2023</t>
        </is>
      </c>
      <c r="B772" s="1" t="n">
        <v>45110.4275</v>
      </c>
      <c r="C772" s="1" t="n">
        <v>46090</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31209-2024</t>
        </is>
      </c>
      <c r="B773" s="1" t="n">
        <v>45503.5658912037</v>
      </c>
      <c r="C773" s="1" t="n">
        <v>46090</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46090</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12586-2021</t>
        </is>
      </c>
      <c r="B775" s="1" t="n">
        <v>44270.38002314815</v>
      </c>
      <c r="C775" s="1" t="n">
        <v>46090</v>
      </c>
      <c r="D775" t="inlineStr">
        <is>
          <t>KALMAR LÄN</t>
        </is>
      </c>
      <c r="E775" t="inlineStr">
        <is>
          <t>VIMMERBY</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5864-2022</t>
        </is>
      </c>
      <c r="B776" s="1" t="n">
        <v>44596</v>
      </c>
      <c r="C776" s="1" t="n">
        <v>46090</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30912-2023</t>
        </is>
      </c>
      <c r="B777" s="1" t="n">
        <v>45113.41633101852</v>
      </c>
      <c r="C777" s="1" t="n">
        <v>46090</v>
      </c>
      <c r="D777" t="inlineStr">
        <is>
          <t>KALMAR LÄN</t>
        </is>
      </c>
      <c r="E777" t="inlineStr">
        <is>
          <t>VIMMERBY</t>
        </is>
      </c>
      <c r="G777" t="n">
        <v>5</v>
      </c>
      <c r="H777" t="n">
        <v>0</v>
      </c>
      <c r="I777" t="n">
        <v>0</v>
      </c>
      <c r="J777" t="n">
        <v>0</v>
      </c>
      <c r="K777" t="n">
        <v>0</v>
      </c>
      <c r="L777" t="n">
        <v>0</v>
      </c>
      <c r="M777" t="n">
        <v>0</v>
      </c>
      <c r="N777" t="n">
        <v>0</v>
      </c>
      <c r="O777" t="n">
        <v>0</v>
      </c>
      <c r="P777" t="n">
        <v>0</v>
      </c>
      <c r="Q777" t="n">
        <v>0</v>
      </c>
      <c r="R777" s="2" t="inlineStr"/>
    </row>
    <row r="778" ht="15" customHeight="1">
      <c r="A778" t="inlineStr">
        <is>
          <t>A 1146-2025</t>
        </is>
      </c>
      <c r="B778" s="1" t="n">
        <v>45666</v>
      </c>
      <c r="C778" s="1" t="n">
        <v>46090</v>
      </c>
      <c r="D778" t="inlineStr">
        <is>
          <t>KALMAR LÄN</t>
        </is>
      </c>
      <c r="E778" t="inlineStr">
        <is>
          <t>VIMMERBY</t>
        </is>
      </c>
      <c r="G778" t="n">
        <v>4</v>
      </c>
      <c r="H778" t="n">
        <v>0</v>
      </c>
      <c r="I778" t="n">
        <v>0</v>
      </c>
      <c r="J778" t="n">
        <v>0</v>
      </c>
      <c r="K778" t="n">
        <v>0</v>
      </c>
      <c r="L778" t="n">
        <v>0</v>
      </c>
      <c r="M778" t="n">
        <v>0</v>
      </c>
      <c r="N778" t="n">
        <v>0</v>
      </c>
      <c r="O778" t="n">
        <v>0</v>
      </c>
      <c r="P778" t="n">
        <v>0</v>
      </c>
      <c r="Q778" t="n">
        <v>0</v>
      </c>
      <c r="R778" s="2" t="inlineStr"/>
    </row>
    <row r="779" ht="15" customHeight="1">
      <c r="A779" t="inlineStr">
        <is>
          <t>A 62023-2022</t>
        </is>
      </c>
      <c r="B779" s="1" t="n">
        <v>44918.50106481482</v>
      </c>
      <c r="C779" s="1" t="n">
        <v>46090</v>
      </c>
      <c r="D779" t="inlineStr">
        <is>
          <t>KALMAR LÄN</t>
        </is>
      </c>
      <c r="E779" t="inlineStr">
        <is>
          <t>VIMMERBY</t>
        </is>
      </c>
      <c r="G779" t="n">
        <v>0.3</v>
      </c>
      <c r="H779" t="n">
        <v>0</v>
      </c>
      <c r="I779" t="n">
        <v>0</v>
      </c>
      <c r="J779" t="n">
        <v>0</v>
      </c>
      <c r="K779" t="n">
        <v>0</v>
      </c>
      <c r="L779" t="n">
        <v>0</v>
      </c>
      <c r="M779" t="n">
        <v>0</v>
      </c>
      <c r="N779" t="n">
        <v>0</v>
      </c>
      <c r="O779" t="n">
        <v>0</v>
      </c>
      <c r="P779" t="n">
        <v>0</v>
      </c>
      <c r="Q779" t="n">
        <v>0</v>
      </c>
      <c r="R779" s="2" t="inlineStr"/>
    </row>
    <row r="780" ht="15" customHeight="1">
      <c r="A780" t="inlineStr">
        <is>
          <t>A 16119-2023</t>
        </is>
      </c>
      <c r="B780" s="1" t="n">
        <v>45027.59450231482</v>
      </c>
      <c r="C780" s="1" t="n">
        <v>46090</v>
      </c>
      <c r="D780" t="inlineStr">
        <is>
          <t>KALMAR LÄN</t>
        </is>
      </c>
      <c r="E780" t="inlineStr">
        <is>
          <t>VIMMERBY</t>
        </is>
      </c>
      <c r="F780" t="inlineStr">
        <is>
          <t>Kommuner</t>
        </is>
      </c>
      <c r="G780" t="n">
        <v>4.4</v>
      </c>
      <c r="H780" t="n">
        <v>0</v>
      </c>
      <c r="I780" t="n">
        <v>0</v>
      </c>
      <c r="J780" t="n">
        <v>0</v>
      </c>
      <c r="K780" t="n">
        <v>0</v>
      </c>
      <c r="L780" t="n">
        <v>0</v>
      </c>
      <c r="M780" t="n">
        <v>0</v>
      </c>
      <c r="N780" t="n">
        <v>0</v>
      </c>
      <c r="O780" t="n">
        <v>0</v>
      </c>
      <c r="P780" t="n">
        <v>0</v>
      </c>
      <c r="Q780" t="n">
        <v>0</v>
      </c>
      <c r="R780" s="2" t="inlineStr"/>
    </row>
    <row r="781" ht="15" customHeight="1">
      <c r="A781" t="inlineStr">
        <is>
          <t>A 52327-2023</t>
        </is>
      </c>
      <c r="B781" s="1" t="n">
        <v>45224.6515162037</v>
      </c>
      <c r="C781" s="1" t="n">
        <v>46090</v>
      </c>
      <c r="D781" t="inlineStr">
        <is>
          <t>KALMAR LÄN</t>
        </is>
      </c>
      <c r="E781" t="inlineStr">
        <is>
          <t>VIMMERBY</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12075-2024</t>
        </is>
      </c>
      <c r="B782" s="1" t="n">
        <v>45377</v>
      </c>
      <c r="C782" s="1" t="n">
        <v>46090</v>
      </c>
      <c r="D782" t="inlineStr">
        <is>
          <t>KALMAR LÄN</t>
        </is>
      </c>
      <c r="E782" t="inlineStr">
        <is>
          <t>VIMMERBY</t>
        </is>
      </c>
      <c r="G782" t="n">
        <v>3.7</v>
      </c>
      <c r="H782" t="n">
        <v>0</v>
      </c>
      <c r="I782" t="n">
        <v>0</v>
      </c>
      <c r="J782" t="n">
        <v>0</v>
      </c>
      <c r="K782" t="n">
        <v>0</v>
      </c>
      <c r="L782" t="n">
        <v>0</v>
      </c>
      <c r="M782" t="n">
        <v>0</v>
      </c>
      <c r="N782" t="n">
        <v>0</v>
      </c>
      <c r="O782" t="n">
        <v>0</v>
      </c>
      <c r="P782" t="n">
        <v>0</v>
      </c>
      <c r="Q782" t="n">
        <v>0</v>
      </c>
      <c r="R782" s="2" t="inlineStr"/>
    </row>
    <row r="783" ht="15" customHeight="1">
      <c r="A783" t="inlineStr">
        <is>
          <t>A 29348-2023</t>
        </is>
      </c>
      <c r="B783" s="1" t="n">
        <v>45106.25025462963</v>
      </c>
      <c r="C783" s="1" t="n">
        <v>46090</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31340-2023</t>
        </is>
      </c>
      <c r="B784" s="1" t="n">
        <v>45114.47895833333</v>
      </c>
      <c r="C784" s="1" t="n">
        <v>46090</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7758-2024</t>
        </is>
      </c>
      <c r="B785" s="1" t="n">
        <v>45349.54434027777</v>
      </c>
      <c r="C785" s="1" t="n">
        <v>46090</v>
      </c>
      <c r="D785" t="inlineStr">
        <is>
          <t>KALMAR LÄN</t>
        </is>
      </c>
      <c r="E785" t="inlineStr">
        <is>
          <t>VIMMERBY</t>
        </is>
      </c>
      <c r="G785" t="n">
        <v>3.5</v>
      </c>
      <c r="H785" t="n">
        <v>0</v>
      </c>
      <c r="I785" t="n">
        <v>0</v>
      </c>
      <c r="J785" t="n">
        <v>0</v>
      </c>
      <c r="K785" t="n">
        <v>0</v>
      </c>
      <c r="L785" t="n">
        <v>0</v>
      </c>
      <c r="M785" t="n">
        <v>0</v>
      </c>
      <c r="N785" t="n">
        <v>0</v>
      </c>
      <c r="O785" t="n">
        <v>0</v>
      </c>
      <c r="P785" t="n">
        <v>0</v>
      </c>
      <c r="Q785" t="n">
        <v>0</v>
      </c>
      <c r="R785" s="2" t="inlineStr"/>
    </row>
    <row r="786" ht="15" customHeight="1">
      <c r="A786" t="inlineStr">
        <is>
          <t>A 5701-2024</t>
        </is>
      </c>
      <c r="B786" s="1" t="n">
        <v>45334.78826388889</v>
      </c>
      <c r="C786" s="1" t="n">
        <v>46090</v>
      </c>
      <c r="D786" t="inlineStr">
        <is>
          <t>KALMAR LÄN</t>
        </is>
      </c>
      <c r="E786" t="inlineStr">
        <is>
          <t>VIMMERBY</t>
        </is>
      </c>
      <c r="G786" t="n">
        <v>2.3</v>
      </c>
      <c r="H786" t="n">
        <v>0</v>
      </c>
      <c r="I786" t="n">
        <v>0</v>
      </c>
      <c r="J786" t="n">
        <v>0</v>
      </c>
      <c r="K786" t="n">
        <v>0</v>
      </c>
      <c r="L786" t="n">
        <v>0</v>
      </c>
      <c r="M786" t="n">
        <v>0</v>
      </c>
      <c r="N786" t="n">
        <v>0</v>
      </c>
      <c r="O786" t="n">
        <v>0</v>
      </c>
      <c r="P786" t="n">
        <v>0</v>
      </c>
      <c r="Q786" t="n">
        <v>0</v>
      </c>
      <c r="R786" s="2" t="inlineStr"/>
    </row>
    <row r="787" ht="15" customHeight="1">
      <c r="A787" t="inlineStr">
        <is>
          <t>A 31405-2023</t>
        </is>
      </c>
      <c r="B787" s="1" t="n">
        <v>45114.58148148148</v>
      </c>
      <c r="C787" s="1" t="n">
        <v>46090</v>
      </c>
      <c r="D787" t="inlineStr">
        <is>
          <t>KALMAR LÄN</t>
        </is>
      </c>
      <c r="E787" t="inlineStr">
        <is>
          <t>VIMMERBY</t>
        </is>
      </c>
      <c r="G787" t="n">
        <v>2.6</v>
      </c>
      <c r="H787" t="n">
        <v>0</v>
      </c>
      <c r="I787" t="n">
        <v>0</v>
      </c>
      <c r="J787" t="n">
        <v>0</v>
      </c>
      <c r="K787" t="n">
        <v>0</v>
      </c>
      <c r="L787" t="n">
        <v>0</v>
      </c>
      <c r="M787" t="n">
        <v>0</v>
      </c>
      <c r="N787" t="n">
        <v>0</v>
      </c>
      <c r="O787" t="n">
        <v>0</v>
      </c>
      <c r="P787" t="n">
        <v>0</v>
      </c>
      <c r="Q787" t="n">
        <v>0</v>
      </c>
      <c r="R787" s="2" t="inlineStr"/>
    </row>
    <row r="788" ht="15" customHeight="1">
      <c r="A788" t="inlineStr">
        <is>
          <t>A 6355-2022</t>
        </is>
      </c>
      <c r="B788" s="1" t="n">
        <v>44600</v>
      </c>
      <c r="C788" s="1" t="n">
        <v>46090</v>
      </c>
      <c r="D788" t="inlineStr">
        <is>
          <t>KALMAR LÄN</t>
        </is>
      </c>
      <c r="E788" t="inlineStr">
        <is>
          <t>VIMMERBY</t>
        </is>
      </c>
      <c r="G788" t="n">
        <v>4.9</v>
      </c>
      <c r="H788" t="n">
        <v>0</v>
      </c>
      <c r="I788" t="n">
        <v>0</v>
      </c>
      <c r="J788" t="n">
        <v>0</v>
      </c>
      <c r="K788" t="n">
        <v>0</v>
      </c>
      <c r="L788" t="n">
        <v>0</v>
      </c>
      <c r="M788" t="n">
        <v>0</v>
      </c>
      <c r="N788" t="n">
        <v>0</v>
      </c>
      <c r="O788" t="n">
        <v>0</v>
      </c>
      <c r="P788" t="n">
        <v>0</v>
      </c>
      <c r="Q788" t="n">
        <v>0</v>
      </c>
      <c r="R788" s="2" t="inlineStr"/>
    </row>
    <row r="789" ht="15" customHeight="1">
      <c r="A789" t="inlineStr">
        <is>
          <t>A 46225-2024</t>
        </is>
      </c>
      <c r="B789" s="1" t="n">
        <v>45581.57333333333</v>
      </c>
      <c r="C789" s="1" t="n">
        <v>46090</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9418-2024</t>
        </is>
      </c>
      <c r="B790" s="1" t="n">
        <v>45359.45038194444</v>
      </c>
      <c r="C790" s="1" t="n">
        <v>46090</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57091-2022</t>
        </is>
      </c>
      <c r="B791" s="1" t="n">
        <v>44895.46524305556</v>
      </c>
      <c r="C791" s="1" t="n">
        <v>46090</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3816-2022</t>
        </is>
      </c>
      <c r="B792" s="1" t="n">
        <v>44587</v>
      </c>
      <c r="C792" s="1" t="n">
        <v>46090</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43606-2024</t>
        </is>
      </c>
      <c r="B793" s="1" t="n">
        <v>45569.45017361111</v>
      </c>
      <c r="C793" s="1" t="n">
        <v>46090</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43617-2024</t>
        </is>
      </c>
      <c r="B794" s="1" t="n">
        <v>45569.47494212963</v>
      </c>
      <c r="C794" s="1" t="n">
        <v>46090</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47859-2024</t>
        </is>
      </c>
      <c r="B795" s="1" t="n">
        <v>45588.67070601852</v>
      </c>
      <c r="C795" s="1" t="n">
        <v>46090</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8540-2024</t>
        </is>
      </c>
      <c r="B796" s="1" t="n">
        <v>45355.54138888889</v>
      </c>
      <c r="C796" s="1" t="n">
        <v>46090</v>
      </c>
      <c r="D796" t="inlineStr">
        <is>
          <t>KALMAR LÄN</t>
        </is>
      </c>
      <c r="E796" t="inlineStr">
        <is>
          <t>VIMMERBY</t>
        </is>
      </c>
      <c r="G796" t="n">
        <v>1.9</v>
      </c>
      <c r="H796" t="n">
        <v>0</v>
      </c>
      <c r="I796" t="n">
        <v>0</v>
      </c>
      <c r="J796" t="n">
        <v>0</v>
      </c>
      <c r="K796" t="n">
        <v>0</v>
      </c>
      <c r="L796" t="n">
        <v>0</v>
      </c>
      <c r="M796" t="n">
        <v>0</v>
      </c>
      <c r="N796" t="n">
        <v>0</v>
      </c>
      <c r="O796" t="n">
        <v>0</v>
      </c>
      <c r="P796" t="n">
        <v>0</v>
      </c>
      <c r="Q796" t="n">
        <v>0</v>
      </c>
      <c r="R796" s="2" t="inlineStr"/>
    </row>
    <row r="797" ht="15" customHeight="1">
      <c r="A797" t="inlineStr">
        <is>
          <t>A 3331-2023</t>
        </is>
      </c>
      <c r="B797" s="1" t="n">
        <v>44949</v>
      </c>
      <c r="C797" s="1" t="n">
        <v>46090</v>
      </c>
      <c r="D797" t="inlineStr">
        <is>
          <t>KALMAR LÄN</t>
        </is>
      </c>
      <c r="E797" t="inlineStr">
        <is>
          <t>VIMMERBY</t>
        </is>
      </c>
      <c r="G797" t="n">
        <v>6.2</v>
      </c>
      <c r="H797" t="n">
        <v>0</v>
      </c>
      <c r="I797" t="n">
        <v>0</v>
      </c>
      <c r="J797" t="n">
        <v>0</v>
      </c>
      <c r="K797" t="n">
        <v>0</v>
      </c>
      <c r="L797" t="n">
        <v>0</v>
      </c>
      <c r="M797" t="n">
        <v>0</v>
      </c>
      <c r="N797" t="n">
        <v>0</v>
      </c>
      <c r="O797" t="n">
        <v>0</v>
      </c>
      <c r="P797" t="n">
        <v>0</v>
      </c>
      <c r="Q797" t="n">
        <v>0</v>
      </c>
      <c r="R797" s="2" t="inlineStr"/>
    </row>
    <row r="798" ht="15" customHeight="1">
      <c r="A798" t="inlineStr">
        <is>
          <t>A 598-2025</t>
        </is>
      </c>
      <c r="B798" s="1" t="n">
        <v>45660</v>
      </c>
      <c r="C798" s="1" t="n">
        <v>46090</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25799-2023</t>
        </is>
      </c>
      <c r="B799" s="1" t="n">
        <v>45090</v>
      </c>
      <c r="C799" s="1" t="n">
        <v>46090</v>
      </c>
      <c r="D799" t="inlineStr">
        <is>
          <t>KALMAR LÄN</t>
        </is>
      </c>
      <c r="E799" t="inlineStr">
        <is>
          <t>VIMMERBY</t>
        </is>
      </c>
      <c r="G799" t="n">
        <v>7.7</v>
      </c>
      <c r="H799" t="n">
        <v>0</v>
      </c>
      <c r="I799" t="n">
        <v>0</v>
      </c>
      <c r="J799" t="n">
        <v>0</v>
      </c>
      <c r="K799" t="n">
        <v>0</v>
      </c>
      <c r="L799" t="n">
        <v>0</v>
      </c>
      <c r="M799" t="n">
        <v>0</v>
      </c>
      <c r="N799" t="n">
        <v>0</v>
      </c>
      <c r="O799" t="n">
        <v>0</v>
      </c>
      <c r="P799" t="n">
        <v>0</v>
      </c>
      <c r="Q799" t="n">
        <v>0</v>
      </c>
      <c r="R799" s="2" t="inlineStr"/>
    </row>
    <row r="800" ht="15" customHeight="1">
      <c r="A800" t="inlineStr">
        <is>
          <t>A 53083-2021</t>
        </is>
      </c>
      <c r="B800" s="1" t="n">
        <v>44467.83386574074</v>
      </c>
      <c r="C800" s="1" t="n">
        <v>46090</v>
      </c>
      <c r="D800" t="inlineStr">
        <is>
          <t>KALMAR LÄN</t>
        </is>
      </c>
      <c r="E800" t="inlineStr">
        <is>
          <t>VIMMERBY</t>
        </is>
      </c>
      <c r="G800" t="n">
        <v>6.8</v>
      </c>
      <c r="H800" t="n">
        <v>0</v>
      </c>
      <c r="I800" t="n">
        <v>0</v>
      </c>
      <c r="J800" t="n">
        <v>0</v>
      </c>
      <c r="K800" t="n">
        <v>0</v>
      </c>
      <c r="L800" t="n">
        <v>0</v>
      </c>
      <c r="M800" t="n">
        <v>0</v>
      </c>
      <c r="N800" t="n">
        <v>0</v>
      </c>
      <c r="O800" t="n">
        <v>0</v>
      </c>
      <c r="P800" t="n">
        <v>0</v>
      </c>
      <c r="Q800" t="n">
        <v>0</v>
      </c>
      <c r="R800" s="2" t="inlineStr"/>
    </row>
    <row r="801" ht="15" customHeight="1">
      <c r="A801" t="inlineStr">
        <is>
          <t>A 24655-2021</t>
        </is>
      </c>
      <c r="B801" s="1" t="n">
        <v>44340</v>
      </c>
      <c r="C801" s="1" t="n">
        <v>46090</v>
      </c>
      <c r="D801" t="inlineStr">
        <is>
          <t>KALMAR LÄN</t>
        </is>
      </c>
      <c r="E801" t="inlineStr">
        <is>
          <t>VIMMERBY</t>
        </is>
      </c>
      <c r="G801" t="n">
        <v>14.9</v>
      </c>
      <c r="H801" t="n">
        <v>0</v>
      </c>
      <c r="I801" t="n">
        <v>0</v>
      </c>
      <c r="J801" t="n">
        <v>0</v>
      </c>
      <c r="K801" t="n">
        <v>0</v>
      </c>
      <c r="L801" t="n">
        <v>0</v>
      </c>
      <c r="M801" t="n">
        <v>0</v>
      </c>
      <c r="N801" t="n">
        <v>0</v>
      </c>
      <c r="O801" t="n">
        <v>0</v>
      </c>
      <c r="P801" t="n">
        <v>0</v>
      </c>
      <c r="Q801" t="n">
        <v>0</v>
      </c>
      <c r="R801" s="2" t="inlineStr"/>
    </row>
    <row r="802" ht="15" customHeight="1">
      <c r="A802" t="inlineStr">
        <is>
          <t>A 33838-2022</t>
        </is>
      </c>
      <c r="B802" s="1" t="n">
        <v>44790.49040509259</v>
      </c>
      <c r="C802" s="1" t="n">
        <v>46090</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32835-2022</t>
        </is>
      </c>
      <c r="B803" s="1" t="n">
        <v>44784.42528935185</v>
      </c>
      <c r="C803" s="1" t="n">
        <v>46090</v>
      </c>
      <c r="D803" t="inlineStr">
        <is>
          <t>KALMAR LÄN</t>
        </is>
      </c>
      <c r="E803" t="inlineStr">
        <is>
          <t>VIMMERBY</t>
        </is>
      </c>
      <c r="G803" t="n">
        <v>1.6</v>
      </c>
      <c r="H803" t="n">
        <v>0</v>
      </c>
      <c r="I803" t="n">
        <v>0</v>
      </c>
      <c r="J803" t="n">
        <v>0</v>
      </c>
      <c r="K803" t="n">
        <v>0</v>
      </c>
      <c r="L803" t="n">
        <v>0</v>
      </c>
      <c r="M803" t="n">
        <v>0</v>
      </c>
      <c r="N803" t="n">
        <v>0</v>
      </c>
      <c r="O803" t="n">
        <v>0</v>
      </c>
      <c r="P803" t="n">
        <v>0</v>
      </c>
      <c r="Q803" t="n">
        <v>0</v>
      </c>
      <c r="R803" s="2" t="inlineStr"/>
    </row>
    <row r="804" ht="15" customHeight="1">
      <c r="A804" t="inlineStr">
        <is>
          <t>A 1081-2023</t>
        </is>
      </c>
      <c r="B804" s="1" t="n">
        <v>44935</v>
      </c>
      <c r="C804" s="1" t="n">
        <v>46090</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47063-2022</t>
        </is>
      </c>
      <c r="B805" s="1" t="n">
        <v>44852</v>
      </c>
      <c r="C805" s="1" t="n">
        <v>46090</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28403-2023</t>
        </is>
      </c>
      <c r="B806" s="1" t="n">
        <v>45100.85270833333</v>
      </c>
      <c r="C806" s="1" t="n">
        <v>46090</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33103-2024</t>
        </is>
      </c>
      <c r="B807" s="1" t="n">
        <v>45517.8162037037</v>
      </c>
      <c r="C807" s="1" t="n">
        <v>46090</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2260-2022</t>
        </is>
      </c>
      <c r="B808" s="1" t="n">
        <v>44578.62943287037</v>
      </c>
      <c r="C808" s="1" t="n">
        <v>46090</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44994.46908564815</v>
      </c>
      <c r="C809" s="1" t="n">
        <v>46090</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58046-2022</t>
        </is>
      </c>
      <c r="B810" s="1" t="n">
        <v>44900.57393518519</v>
      </c>
      <c r="C810" s="1" t="n">
        <v>46090</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45528-2021</t>
        </is>
      </c>
      <c r="B811" s="1" t="n">
        <v>44440.60415509259</v>
      </c>
      <c r="C811" s="1" t="n">
        <v>46090</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46979-2023</t>
        </is>
      </c>
      <c r="B812" s="1" t="n">
        <v>45201</v>
      </c>
      <c r="C812" s="1" t="n">
        <v>46090</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6574-2023</t>
        </is>
      </c>
      <c r="B813" s="1" t="n">
        <v>44966</v>
      </c>
      <c r="C813" s="1" t="n">
        <v>46090</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4058-2024</t>
        </is>
      </c>
      <c r="B814" s="1" t="n">
        <v>45323.53744212963</v>
      </c>
      <c r="C814" s="1" t="n">
        <v>46090</v>
      </c>
      <c r="D814" t="inlineStr">
        <is>
          <t>KALMAR LÄN</t>
        </is>
      </c>
      <c r="E814" t="inlineStr">
        <is>
          <t>VIMMERBY</t>
        </is>
      </c>
      <c r="G814" t="n">
        <v>6.5</v>
      </c>
      <c r="H814" t="n">
        <v>0</v>
      </c>
      <c r="I814" t="n">
        <v>0</v>
      </c>
      <c r="J814" t="n">
        <v>0</v>
      </c>
      <c r="K814" t="n">
        <v>0</v>
      </c>
      <c r="L814" t="n">
        <v>0</v>
      </c>
      <c r="M814" t="n">
        <v>0</v>
      </c>
      <c r="N814" t="n">
        <v>0</v>
      </c>
      <c r="O814" t="n">
        <v>0</v>
      </c>
      <c r="P814" t="n">
        <v>0</v>
      </c>
      <c r="Q814" t="n">
        <v>0</v>
      </c>
      <c r="R814" s="2" t="inlineStr"/>
    </row>
    <row r="815" ht="15" customHeight="1">
      <c r="A815" t="inlineStr">
        <is>
          <t>A 1978-2024</t>
        </is>
      </c>
      <c r="B815" s="1" t="n">
        <v>45308.59001157407</v>
      </c>
      <c r="C815" s="1" t="n">
        <v>46090</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30318-2023</t>
        </is>
      </c>
      <c r="B816" s="1" t="n">
        <v>45111.30824074074</v>
      </c>
      <c r="C816" s="1" t="n">
        <v>46090</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25234-2023</t>
        </is>
      </c>
      <c r="B817" s="1" t="n">
        <v>45086.63194444445</v>
      </c>
      <c r="C817" s="1" t="n">
        <v>46090</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46078-2023</t>
        </is>
      </c>
      <c r="B818" s="1" t="n">
        <v>45196</v>
      </c>
      <c r="C818" s="1" t="n">
        <v>46090</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3609-2024</t>
        </is>
      </c>
      <c r="B819" s="1" t="n">
        <v>45320.89128472222</v>
      </c>
      <c r="C819" s="1" t="n">
        <v>46090</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10424-2023</t>
        </is>
      </c>
      <c r="B820" s="1" t="n">
        <v>44987.54104166666</v>
      </c>
      <c r="C820" s="1" t="n">
        <v>46090</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49382-2023</t>
        </is>
      </c>
      <c r="B821" s="1" t="n">
        <v>45208</v>
      </c>
      <c r="C821" s="1" t="n">
        <v>46090</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12810-2023</t>
        </is>
      </c>
      <c r="B822" s="1" t="n">
        <v>45001.43854166667</v>
      </c>
      <c r="C822" s="1" t="n">
        <v>46090</v>
      </c>
      <c r="D822" t="inlineStr">
        <is>
          <t>KALMAR LÄN</t>
        </is>
      </c>
      <c r="E822" t="inlineStr">
        <is>
          <t>VIMMERBY</t>
        </is>
      </c>
      <c r="G822" t="n">
        <v>1.5</v>
      </c>
      <c r="H822" t="n">
        <v>0</v>
      </c>
      <c r="I822" t="n">
        <v>0</v>
      </c>
      <c r="J822" t="n">
        <v>0</v>
      </c>
      <c r="K822" t="n">
        <v>0</v>
      </c>
      <c r="L822" t="n">
        <v>0</v>
      </c>
      <c r="M822" t="n">
        <v>0</v>
      </c>
      <c r="N822" t="n">
        <v>0</v>
      </c>
      <c r="O822" t="n">
        <v>0</v>
      </c>
      <c r="P822" t="n">
        <v>0</v>
      </c>
      <c r="Q822" t="n">
        <v>0</v>
      </c>
      <c r="R822" s="2" t="inlineStr"/>
    </row>
    <row r="823" ht="15" customHeight="1">
      <c r="A823" t="inlineStr">
        <is>
          <t>A 3425-2022</t>
        </is>
      </c>
      <c r="B823" s="1" t="n">
        <v>44585.51060185185</v>
      </c>
      <c r="C823" s="1" t="n">
        <v>46090</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60675-2023</t>
        </is>
      </c>
      <c r="B824" s="1" t="n">
        <v>45260.4716550926</v>
      </c>
      <c r="C824" s="1" t="n">
        <v>46090</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2536-2023</t>
        </is>
      </c>
      <c r="B825" s="1" t="n">
        <v>44943.62954861111</v>
      </c>
      <c r="C825" s="1" t="n">
        <v>46090</v>
      </c>
      <c r="D825" t="inlineStr">
        <is>
          <t>KALMAR LÄN</t>
        </is>
      </c>
      <c r="E825" t="inlineStr">
        <is>
          <t>VIMMERBY</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11111-2024</t>
        </is>
      </c>
      <c r="B826" s="1" t="n">
        <v>45371.36359953704</v>
      </c>
      <c r="C826" s="1" t="n">
        <v>46090</v>
      </c>
      <c r="D826" t="inlineStr">
        <is>
          <t>KALMAR LÄN</t>
        </is>
      </c>
      <c r="E826" t="inlineStr">
        <is>
          <t>VIMMERBY</t>
        </is>
      </c>
      <c r="G826" t="n">
        <v>1.4</v>
      </c>
      <c r="H826" t="n">
        <v>0</v>
      </c>
      <c r="I826" t="n">
        <v>0</v>
      </c>
      <c r="J826" t="n">
        <v>0</v>
      </c>
      <c r="K826" t="n">
        <v>0</v>
      </c>
      <c r="L826" t="n">
        <v>0</v>
      </c>
      <c r="M826" t="n">
        <v>0</v>
      </c>
      <c r="N826" t="n">
        <v>0</v>
      </c>
      <c r="O826" t="n">
        <v>0</v>
      </c>
      <c r="P826" t="n">
        <v>0</v>
      </c>
      <c r="Q826" t="n">
        <v>0</v>
      </c>
      <c r="R826" s="2" t="inlineStr"/>
    </row>
    <row r="827" ht="15" customHeight="1">
      <c r="A827" t="inlineStr">
        <is>
          <t>A 1687-2023</t>
        </is>
      </c>
      <c r="B827" s="1" t="n">
        <v>44938</v>
      </c>
      <c r="C827" s="1" t="n">
        <v>46090</v>
      </c>
      <c r="D827" t="inlineStr">
        <is>
          <t>KALMAR LÄN</t>
        </is>
      </c>
      <c r="E827" t="inlineStr">
        <is>
          <t>VIMMERBY</t>
        </is>
      </c>
      <c r="F827" t="inlineStr">
        <is>
          <t>Kommuner</t>
        </is>
      </c>
      <c r="G827" t="n">
        <v>2.5</v>
      </c>
      <c r="H827" t="n">
        <v>0</v>
      </c>
      <c r="I827" t="n">
        <v>0</v>
      </c>
      <c r="J827" t="n">
        <v>0</v>
      </c>
      <c r="K827" t="n">
        <v>0</v>
      </c>
      <c r="L827" t="n">
        <v>0</v>
      </c>
      <c r="M827" t="n">
        <v>0</v>
      </c>
      <c r="N827" t="n">
        <v>0</v>
      </c>
      <c r="O827" t="n">
        <v>0</v>
      </c>
      <c r="P827" t="n">
        <v>0</v>
      </c>
      <c r="Q827" t="n">
        <v>0</v>
      </c>
      <c r="R827" s="2" t="inlineStr"/>
    </row>
    <row r="828" ht="15" customHeight="1">
      <c r="A828" t="inlineStr">
        <is>
          <t>A 3494-2023</t>
        </is>
      </c>
      <c r="B828" s="1" t="n">
        <v>44949</v>
      </c>
      <c r="C828" s="1" t="n">
        <v>46090</v>
      </c>
      <c r="D828" t="inlineStr">
        <is>
          <t>KALMAR LÄN</t>
        </is>
      </c>
      <c r="E828" t="inlineStr">
        <is>
          <t>VIMMERBY</t>
        </is>
      </c>
      <c r="F828" t="inlineStr">
        <is>
          <t>Kyrkan</t>
        </is>
      </c>
      <c r="G828" t="n">
        <v>0.8</v>
      </c>
      <c r="H828" t="n">
        <v>0</v>
      </c>
      <c r="I828" t="n">
        <v>0</v>
      </c>
      <c r="J828" t="n">
        <v>0</v>
      </c>
      <c r="K828" t="n">
        <v>0</v>
      </c>
      <c r="L828" t="n">
        <v>0</v>
      </c>
      <c r="M828" t="n">
        <v>0</v>
      </c>
      <c r="N828" t="n">
        <v>0</v>
      </c>
      <c r="O828" t="n">
        <v>0</v>
      </c>
      <c r="P828" t="n">
        <v>0</v>
      </c>
      <c r="Q828" t="n">
        <v>0</v>
      </c>
      <c r="R828" s="2" t="inlineStr"/>
    </row>
    <row r="829" ht="15" customHeight="1">
      <c r="A829" t="inlineStr">
        <is>
          <t>A 15449-2023</t>
        </is>
      </c>
      <c r="B829" s="1" t="n">
        <v>45020</v>
      </c>
      <c r="C829" s="1" t="n">
        <v>46090</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43242-2024</t>
        </is>
      </c>
      <c r="B830" s="1" t="n">
        <v>45568.30189814815</v>
      </c>
      <c r="C830" s="1" t="n">
        <v>46090</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56853-2022</t>
        </is>
      </c>
      <c r="B831" s="1" t="n">
        <v>44894.49538194444</v>
      </c>
      <c r="C831" s="1" t="n">
        <v>46090</v>
      </c>
      <c r="D831" t="inlineStr">
        <is>
          <t>KALMAR LÄN</t>
        </is>
      </c>
      <c r="E831" t="inlineStr">
        <is>
          <t>VIMMERBY</t>
        </is>
      </c>
      <c r="G831" t="n">
        <v>4.3</v>
      </c>
      <c r="H831" t="n">
        <v>0</v>
      </c>
      <c r="I831" t="n">
        <v>0</v>
      </c>
      <c r="J831" t="n">
        <v>0</v>
      </c>
      <c r="K831" t="n">
        <v>0</v>
      </c>
      <c r="L831" t="n">
        <v>0</v>
      </c>
      <c r="M831" t="n">
        <v>0</v>
      </c>
      <c r="N831" t="n">
        <v>0</v>
      </c>
      <c r="O831" t="n">
        <v>0</v>
      </c>
      <c r="P831" t="n">
        <v>0</v>
      </c>
      <c r="Q831" t="n">
        <v>0</v>
      </c>
      <c r="R831" s="2" t="inlineStr"/>
    </row>
    <row r="832" ht="15" customHeight="1">
      <c r="A832" t="inlineStr">
        <is>
          <t>A 33815-2022</t>
        </is>
      </c>
      <c r="B832" s="1" t="n">
        <v>44790.45876157407</v>
      </c>
      <c r="C832" s="1" t="n">
        <v>46090</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33842-2022</t>
        </is>
      </c>
      <c r="B833" s="1" t="n">
        <v>44790.49523148148</v>
      </c>
      <c r="C833" s="1" t="n">
        <v>46090</v>
      </c>
      <c r="D833" t="inlineStr">
        <is>
          <t>KALMAR LÄN</t>
        </is>
      </c>
      <c r="E833" t="inlineStr">
        <is>
          <t>VIMMERBY</t>
        </is>
      </c>
      <c r="G833" t="n">
        <v>1.6</v>
      </c>
      <c r="H833" t="n">
        <v>0</v>
      </c>
      <c r="I833" t="n">
        <v>0</v>
      </c>
      <c r="J833" t="n">
        <v>0</v>
      </c>
      <c r="K833" t="n">
        <v>0</v>
      </c>
      <c r="L833" t="n">
        <v>0</v>
      </c>
      <c r="M833" t="n">
        <v>0</v>
      </c>
      <c r="N833" t="n">
        <v>0</v>
      </c>
      <c r="O833" t="n">
        <v>0</v>
      </c>
      <c r="P833" t="n">
        <v>0</v>
      </c>
      <c r="Q833" t="n">
        <v>0</v>
      </c>
      <c r="R833" s="2" t="inlineStr"/>
    </row>
    <row r="834" ht="15" customHeight="1">
      <c r="A834" t="inlineStr">
        <is>
          <t>A 49408-2023</t>
        </is>
      </c>
      <c r="B834" s="1" t="n">
        <v>45211.43555555555</v>
      </c>
      <c r="C834" s="1" t="n">
        <v>46090</v>
      </c>
      <c r="D834" t="inlineStr">
        <is>
          <t>KALMAR LÄN</t>
        </is>
      </c>
      <c r="E834" t="inlineStr">
        <is>
          <t>VIMMERBY</t>
        </is>
      </c>
      <c r="G834" t="n">
        <v>13.1</v>
      </c>
      <c r="H834" t="n">
        <v>0</v>
      </c>
      <c r="I834" t="n">
        <v>0</v>
      </c>
      <c r="J834" t="n">
        <v>0</v>
      </c>
      <c r="K834" t="n">
        <v>0</v>
      </c>
      <c r="L834" t="n">
        <v>0</v>
      </c>
      <c r="M834" t="n">
        <v>0</v>
      </c>
      <c r="N834" t="n">
        <v>0</v>
      </c>
      <c r="O834" t="n">
        <v>0</v>
      </c>
      <c r="P834" t="n">
        <v>0</v>
      </c>
      <c r="Q834" t="n">
        <v>0</v>
      </c>
      <c r="R834" s="2" t="inlineStr"/>
    </row>
    <row r="835" ht="15" customHeight="1">
      <c r="A835" t="inlineStr">
        <is>
          <t>A 56536-2022</t>
        </is>
      </c>
      <c r="B835" s="1" t="n">
        <v>44893</v>
      </c>
      <c r="C835" s="1" t="n">
        <v>46090</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41199-2023</t>
        </is>
      </c>
      <c r="B836" s="1" t="n">
        <v>45174.40454861111</v>
      </c>
      <c r="C836" s="1" t="n">
        <v>46090</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8945-2025</t>
        </is>
      </c>
      <c r="B837" s="1" t="n">
        <v>45713.45311342592</v>
      </c>
      <c r="C837" s="1" t="n">
        <v>46090</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11619-2023</t>
        </is>
      </c>
      <c r="B838" s="1" t="n">
        <v>44994.42113425926</v>
      </c>
      <c r="C838" s="1" t="n">
        <v>46090</v>
      </c>
      <c r="D838" t="inlineStr">
        <is>
          <t>KALMAR LÄN</t>
        </is>
      </c>
      <c r="E838" t="inlineStr">
        <is>
          <t>VIMMERBY</t>
        </is>
      </c>
      <c r="G838" t="n">
        <v>2.5</v>
      </c>
      <c r="H838" t="n">
        <v>0</v>
      </c>
      <c r="I838" t="n">
        <v>0</v>
      </c>
      <c r="J838" t="n">
        <v>0</v>
      </c>
      <c r="K838" t="n">
        <v>0</v>
      </c>
      <c r="L838" t="n">
        <v>0</v>
      </c>
      <c r="M838" t="n">
        <v>0</v>
      </c>
      <c r="N838" t="n">
        <v>0</v>
      </c>
      <c r="O838" t="n">
        <v>0</v>
      </c>
      <c r="P838" t="n">
        <v>0</v>
      </c>
      <c r="Q838" t="n">
        <v>0</v>
      </c>
      <c r="R838" s="2" t="inlineStr"/>
    </row>
    <row r="839" ht="15" customHeight="1">
      <c r="A839" t="inlineStr">
        <is>
          <t>A 41896-2023</t>
        </is>
      </c>
      <c r="B839" s="1" t="n">
        <v>45176.72427083334</v>
      </c>
      <c r="C839" s="1" t="n">
        <v>46090</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17926-2025</t>
        </is>
      </c>
      <c r="B840" s="1" t="n">
        <v>45759.38987268518</v>
      </c>
      <c r="C840" s="1" t="n">
        <v>46090</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46090</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19445-2021</t>
        </is>
      </c>
      <c r="B842" s="1" t="n">
        <v>44310</v>
      </c>
      <c r="C842" s="1" t="n">
        <v>46090</v>
      </c>
      <c r="D842" t="inlineStr">
        <is>
          <t>KALMAR LÄN</t>
        </is>
      </c>
      <c r="E842" t="inlineStr">
        <is>
          <t>VIMMERBY</t>
        </is>
      </c>
      <c r="G842" t="n">
        <v>6.8</v>
      </c>
      <c r="H842" t="n">
        <v>0</v>
      </c>
      <c r="I842" t="n">
        <v>0</v>
      </c>
      <c r="J842" t="n">
        <v>0</v>
      </c>
      <c r="K842" t="n">
        <v>0</v>
      </c>
      <c r="L842" t="n">
        <v>0</v>
      </c>
      <c r="M842" t="n">
        <v>0</v>
      </c>
      <c r="N842" t="n">
        <v>0</v>
      </c>
      <c r="O842" t="n">
        <v>0</v>
      </c>
      <c r="P842" t="n">
        <v>0</v>
      </c>
      <c r="Q842" t="n">
        <v>0</v>
      </c>
      <c r="R842" s="2" t="inlineStr"/>
    </row>
    <row r="843" ht="15" customHeight="1">
      <c r="A843" t="inlineStr">
        <is>
          <t>A 27122-2023</t>
        </is>
      </c>
      <c r="B843" s="1" t="n">
        <v>45096.45247685185</v>
      </c>
      <c r="C843" s="1" t="n">
        <v>46090</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13813-2024</t>
        </is>
      </c>
      <c r="B844" s="1" t="n">
        <v>45391.41310185185</v>
      </c>
      <c r="C844" s="1" t="n">
        <v>46090</v>
      </c>
      <c r="D844" t="inlineStr">
        <is>
          <t>KALMAR LÄN</t>
        </is>
      </c>
      <c r="E844" t="inlineStr">
        <is>
          <t>VIMMERBY</t>
        </is>
      </c>
      <c r="G844" t="n">
        <v>0.4</v>
      </c>
      <c r="H844" t="n">
        <v>0</v>
      </c>
      <c r="I844" t="n">
        <v>0</v>
      </c>
      <c r="J844" t="n">
        <v>0</v>
      </c>
      <c r="K844" t="n">
        <v>0</v>
      </c>
      <c r="L844" t="n">
        <v>0</v>
      </c>
      <c r="M844" t="n">
        <v>0</v>
      </c>
      <c r="N844" t="n">
        <v>0</v>
      </c>
      <c r="O844" t="n">
        <v>0</v>
      </c>
      <c r="P844" t="n">
        <v>0</v>
      </c>
      <c r="Q844" t="n">
        <v>0</v>
      </c>
      <c r="R844" s="2" t="inlineStr"/>
    </row>
    <row r="845" ht="15" customHeight="1">
      <c r="A845" t="inlineStr">
        <is>
          <t>A 38969-2023</t>
        </is>
      </c>
      <c r="B845" s="1" t="n">
        <v>45163.63621527778</v>
      </c>
      <c r="C845" s="1" t="n">
        <v>46090</v>
      </c>
      <c r="D845" t="inlineStr">
        <is>
          <t>KALMAR LÄN</t>
        </is>
      </c>
      <c r="E845" t="inlineStr">
        <is>
          <t>VIMMERBY</t>
        </is>
      </c>
      <c r="F845" t="inlineStr">
        <is>
          <t>Sveaskog</t>
        </is>
      </c>
      <c r="G845" t="n">
        <v>2.4</v>
      </c>
      <c r="H845" t="n">
        <v>0</v>
      </c>
      <c r="I845" t="n">
        <v>0</v>
      </c>
      <c r="J845" t="n">
        <v>0</v>
      </c>
      <c r="K845" t="n">
        <v>0</v>
      </c>
      <c r="L845" t="n">
        <v>0</v>
      </c>
      <c r="M845" t="n">
        <v>0</v>
      </c>
      <c r="N845" t="n">
        <v>0</v>
      </c>
      <c r="O845" t="n">
        <v>0</v>
      </c>
      <c r="P845" t="n">
        <v>0</v>
      </c>
      <c r="Q845" t="n">
        <v>0</v>
      </c>
      <c r="R845" s="2" t="inlineStr"/>
    </row>
    <row r="846" ht="15" customHeight="1">
      <c r="A846" t="inlineStr">
        <is>
          <t>A 26937-2023</t>
        </is>
      </c>
      <c r="B846" s="1" t="n">
        <v>45093.62777777778</v>
      </c>
      <c r="C846" s="1" t="n">
        <v>46090</v>
      </c>
      <c r="D846" t="inlineStr">
        <is>
          <t>KALMAR LÄN</t>
        </is>
      </c>
      <c r="E846" t="inlineStr">
        <is>
          <t>VIMMERBY</t>
        </is>
      </c>
      <c r="F846" t="inlineStr">
        <is>
          <t>Sveaskog</t>
        </is>
      </c>
      <c r="G846" t="n">
        <v>14.5</v>
      </c>
      <c r="H846" t="n">
        <v>0</v>
      </c>
      <c r="I846" t="n">
        <v>0</v>
      </c>
      <c r="J846" t="n">
        <v>0</v>
      </c>
      <c r="K846" t="n">
        <v>0</v>
      </c>
      <c r="L846" t="n">
        <v>0</v>
      </c>
      <c r="M846" t="n">
        <v>0</v>
      </c>
      <c r="N846" t="n">
        <v>0</v>
      </c>
      <c r="O846" t="n">
        <v>0</v>
      </c>
      <c r="P846" t="n">
        <v>0</v>
      </c>
      <c r="Q846" t="n">
        <v>0</v>
      </c>
      <c r="R846" s="2" t="inlineStr"/>
    </row>
    <row r="847" ht="15" customHeight="1">
      <c r="A847" t="inlineStr">
        <is>
          <t>A 57486-2024</t>
        </is>
      </c>
      <c r="B847" s="1" t="n">
        <v>45630.35827546296</v>
      </c>
      <c r="C847" s="1" t="n">
        <v>46090</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43186-2021</t>
        </is>
      </c>
      <c r="B848" s="1" t="n">
        <v>44431.84840277778</v>
      </c>
      <c r="C848" s="1" t="n">
        <v>46090</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1799-2025</t>
        </is>
      </c>
      <c r="B849" s="1" t="n">
        <v>45671.46746527778</v>
      </c>
      <c r="C849" s="1" t="n">
        <v>46090</v>
      </c>
      <c r="D849" t="inlineStr">
        <is>
          <t>KALMAR LÄN</t>
        </is>
      </c>
      <c r="E849" t="inlineStr">
        <is>
          <t>VIMMERBY</t>
        </is>
      </c>
      <c r="G849" t="n">
        <v>3.3</v>
      </c>
      <c r="H849" t="n">
        <v>0</v>
      </c>
      <c r="I849" t="n">
        <v>0</v>
      </c>
      <c r="J849" t="n">
        <v>0</v>
      </c>
      <c r="K849" t="n">
        <v>0</v>
      </c>
      <c r="L849" t="n">
        <v>0</v>
      </c>
      <c r="M849" t="n">
        <v>0</v>
      </c>
      <c r="N849" t="n">
        <v>0</v>
      </c>
      <c r="O849" t="n">
        <v>0</v>
      </c>
      <c r="P849" t="n">
        <v>0</v>
      </c>
      <c r="Q849" t="n">
        <v>0</v>
      </c>
      <c r="R849" s="2" t="inlineStr"/>
    </row>
    <row r="850" ht="15" customHeight="1">
      <c r="A850" t="inlineStr">
        <is>
          <t>A 30063-2023</t>
        </is>
      </c>
      <c r="B850" s="1" t="n">
        <v>45110.4184375</v>
      </c>
      <c r="C850" s="1" t="n">
        <v>46090</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43068-2023</t>
        </is>
      </c>
      <c r="B851" s="1" t="n">
        <v>45182.78834490741</v>
      </c>
      <c r="C851" s="1" t="n">
        <v>46090</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18020-2025</t>
        </is>
      </c>
      <c r="B852" s="1" t="n">
        <v>45761.4437962963</v>
      </c>
      <c r="C852" s="1" t="n">
        <v>46090</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33424-2023</t>
        </is>
      </c>
      <c r="B853" s="1" t="n">
        <v>45128.9325</v>
      </c>
      <c r="C853" s="1" t="n">
        <v>46090</v>
      </c>
      <c r="D853" t="inlineStr">
        <is>
          <t>KALMAR LÄN</t>
        </is>
      </c>
      <c r="E853" t="inlineStr">
        <is>
          <t>VIMMERBY</t>
        </is>
      </c>
      <c r="G853" t="n">
        <v>2.4</v>
      </c>
      <c r="H853" t="n">
        <v>0</v>
      </c>
      <c r="I853" t="n">
        <v>0</v>
      </c>
      <c r="J853" t="n">
        <v>0</v>
      </c>
      <c r="K853" t="n">
        <v>0</v>
      </c>
      <c r="L853" t="n">
        <v>0</v>
      </c>
      <c r="M853" t="n">
        <v>0</v>
      </c>
      <c r="N853" t="n">
        <v>0</v>
      </c>
      <c r="O853" t="n">
        <v>0</v>
      </c>
      <c r="P853" t="n">
        <v>0</v>
      </c>
      <c r="Q853" t="n">
        <v>0</v>
      </c>
      <c r="R853" s="2" t="inlineStr"/>
    </row>
    <row r="854" ht="15" customHeight="1">
      <c r="A854" t="inlineStr">
        <is>
          <t>A 33425-2023</t>
        </is>
      </c>
      <c r="B854" s="1" t="n">
        <v>45128.93540509259</v>
      </c>
      <c r="C854" s="1" t="n">
        <v>46090</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ht="15" customHeight="1">
      <c r="A855" t="inlineStr">
        <is>
          <t>A 12327-2023</t>
        </is>
      </c>
      <c r="B855" s="1" t="n">
        <v>44999.36081018519</v>
      </c>
      <c r="C855" s="1" t="n">
        <v>46090</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43092-2024</t>
        </is>
      </c>
      <c r="B856" s="1" t="n">
        <v>45567</v>
      </c>
      <c r="C856" s="1" t="n">
        <v>46090</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52435-2021</t>
        </is>
      </c>
      <c r="B857" s="1" t="n">
        <v>44466.34962962963</v>
      </c>
      <c r="C857" s="1" t="n">
        <v>46090</v>
      </c>
      <c r="D857" t="inlineStr">
        <is>
          <t>KALMAR LÄN</t>
        </is>
      </c>
      <c r="E857" t="inlineStr">
        <is>
          <t>VIMMERBY</t>
        </is>
      </c>
      <c r="G857" t="n">
        <v>2.8</v>
      </c>
      <c r="H857" t="n">
        <v>0</v>
      </c>
      <c r="I857" t="n">
        <v>0</v>
      </c>
      <c r="J857" t="n">
        <v>0</v>
      </c>
      <c r="K857" t="n">
        <v>0</v>
      </c>
      <c r="L857" t="n">
        <v>0</v>
      </c>
      <c r="M857" t="n">
        <v>0</v>
      </c>
      <c r="N857" t="n">
        <v>0</v>
      </c>
      <c r="O857" t="n">
        <v>0</v>
      </c>
      <c r="P857" t="n">
        <v>0</v>
      </c>
      <c r="Q857" t="n">
        <v>0</v>
      </c>
      <c r="R857" s="2" t="inlineStr"/>
    </row>
    <row r="858" ht="15" customHeight="1">
      <c r="A858" t="inlineStr">
        <is>
          <t>A 35127-2024</t>
        </is>
      </c>
      <c r="B858" s="1" t="n">
        <v>45530.33202546297</v>
      </c>
      <c r="C858" s="1" t="n">
        <v>46090</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60215-2022</t>
        </is>
      </c>
      <c r="B859" s="1" t="n">
        <v>44910.41346064815</v>
      </c>
      <c r="C859" s="1" t="n">
        <v>46090</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29441-2024</t>
        </is>
      </c>
      <c r="B860" s="1" t="n">
        <v>45483.82834490741</v>
      </c>
      <c r="C860" s="1" t="n">
        <v>46090</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6216-2025</t>
        </is>
      </c>
      <c r="B861" s="1" t="n">
        <v>45698.52806712963</v>
      </c>
      <c r="C861" s="1" t="n">
        <v>46090</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62779-2023</t>
        </is>
      </c>
      <c r="B862" s="1" t="n">
        <v>45271.66576388889</v>
      </c>
      <c r="C862" s="1" t="n">
        <v>46090</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52294-2023</t>
        </is>
      </c>
      <c r="B863" s="1" t="n">
        <v>45224.60075231481</v>
      </c>
      <c r="C863" s="1" t="n">
        <v>46090</v>
      </c>
      <c r="D863" t="inlineStr">
        <is>
          <t>KALMAR LÄN</t>
        </is>
      </c>
      <c r="E863" t="inlineStr">
        <is>
          <t>VIMMERBY</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31013-2023</t>
        </is>
      </c>
      <c r="B864" s="1" t="n">
        <v>45113.56574074074</v>
      </c>
      <c r="C864" s="1" t="n">
        <v>46090</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72067-2021</t>
        </is>
      </c>
      <c r="B865" s="1" t="n">
        <v>44540</v>
      </c>
      <c r="C865" s="1" t="n">
        <v>46090</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61538-2022</t>
        </is>
      </c>
      <c r="B866" s="1" t="n">
        <v>44916.55414351852</v>
      </c>
      <c r="C866" s="1" t="n">
        <v>46090</v>
      </c>
      <c r="D866" t="inlineStr">
        <is>
          <t>KALMAR LÄN</t>
        </is>
      </c>
      <c r="E866" t="inlineStr">
        <is>
          <t>VIMMERBY</t>
        </is>
      </c>
      <c r="G866" t="n">
        <v>1.5</v>
      </c>
      <c r="H866" t="n">
        <v>0</v>
      </c>
      <c r="I866" t="n">
        <v>0</v>
      </c>
      <c r="J866" t="n">
        <v>0</v>
      </c>
      <c r="K866" t="n">
        <v>0</v>
      </c>
      <c r="L866" t="n">
        <v>0</v>
      </c>
      <c r="M866" t="n">
        <v>0</v>
      </c>
      <c r="N866" t="n">
        <v>0</v>
      </c>
      <c r="O866" t="n">
        <v>0</v>
      </c>
      <c r="P866" t="n">
        <v>0</v>
      </c>
      <c r="Q866" t="n">
        <v>0</v>
      </c>
      <c r="R866" s="2" t="inlineStr"/>
    </row>
    <row r="867" ht="15" customHeight="1">
      <c r="A867" t="inlineStr">
        <is>
          <t>A 36155-2023</t>
        </is>
      </c>
      <c r="B867" s="1" t="n">
        <v>45149.60917824074</v>
      </c>
      <c r="C867" s="1" t="n">
        <v>46090</v>
      </c>
      <c r="D867" t="inlineStr">
        <is>
          <t>KALMAR LÄN</t>
        </is>
      </c>
      <c r="E867" t="inlineStr">
        <is>
          <t>VIMMERBY</t>
        </is>
      </c>
      <c r="G867" t="n">
        <v>5</v>
      </c>
      <c r="H867" t="n">
        <v>0</v>
      </c>
      <c r="I867" t="n">
        <v>0</v>
      </c>
      <c r="J867" t="n">
        <v>0</v>
      </c>
      <c r="K867" t="n">
        <v>0</v>
      </c>
      <c r="L867" t="n">
        <v>0</v>
      </c>
      <c r="M867" t="n">
        <v>0</v>
      </c>
      <c r="N867" t="n">
        <v>0</v>
      </c>
      <c r="O867" t="n">
        <v>0</v>
      </c>
      <c r="P867" t="n">
        <v>0</v>
      </c>
      <c r="Q867" t="n">
        <v>0</v>
      </c>
      <c r="R867" s="2" t="inlineStr"/>
    </row>
    <row r="868" ht="15" customHeight="1">
      <c r="A868" t="inlineStr">
        <is>
          <t>A 29173-2024</t>
        </is>
      </c>
      <c r="B868" s="1" t="n">
        <v>45482.52887731481</v>
      </c>
      <c r="C868" s="1" t="n">
        <v>46090</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53542-2022</t>
        </is>
      </c>
      <c r="B869" s="1" t="n">
        <v>44879.62173611111</v>
      </c>
      <c r="C869" s="1" t="n">
        <v>46090</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6807-2025</t>
        </is>
      </c>
      <c r="B870" s="1" t="n">
        <v>45700.68672453704</v>
      </c>
      <c r="C870" s="1" t="n">
        <v>46090</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7047-2022</t>
        </is>
      </c>
      <c r="B871" s="1" t="n">
        <v>44603</v>
      </c>
      <c r="C871" s="1" t="n">
        <v>46090</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35711-2023</t>
        </is>
      </c>
      <c r="B872" s="1" t="n">
        <v>45147.67172453704</v>
      </c>
      <c r="C872" s="1" t="n">
        <v>46090</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5382-2023</t>
        </is>
      </c>
      <c r="B873" s="1" t="n">
        <v>44959.66407407408</v>
      </c>
      <c r="C873" s="1" t="n">
        <v>46090</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40823-2023</t>
        </is>
      </c>
      <c r="B874" s="1" t="n">
        <v>45171.77335648148</v>
      </c>
      <c r="C874" s="1" t="n">
        <v>46090</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6218-2025</t>
        </is>
      </c>
      <c r="B875" s="1" t="n">
        <v>45698.53336805556</v>
      </c>
      <c r="C875" s="1" t="n">
        <v>46090</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30920-2023</t>
        </is>
      </c>
      <c r="B876" s="1" t="n">
        <v>45113.43921296296</v>
      </c>
      <c r="C876" s="1" t="n">
        <v>46090</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6857-2023</t>
        </is>
      </c>
      <c r="B877" s="1" t="n">
        <v>44967.45122685185</v>
      </c>
      <c r="C877" s="1" t="n">
        <v>46090</v>
      </c>
      <c r="D877" t="inlineStr">
        <is>
          <t>KALMAR LÄN</t>
        </is>
      </c>
      <c r="E877" t="inlineStr">
        <is>
          <t>VIMMERBY</t>
        </is>
      </c>
      <c r="G877" t="n">
        <v>2.1</v>
      </c>
      <c r="H877" t="n">
        <v>0</v>
      </c>
      <c r="I877" t="n">
        <v>0</v>
      </c>
      <c r="J877" t="n">
        <v>0</v>
      </c>
      <c r="K877" t="n">
        <v>0</v>
      </c>
      <c r="L877" t="n">
        <v>0</v>
      </c>
      <c r="M877" t="n">
        <v>0</v>
      </c>
      <c r="N877" t="n">
        <v>0</v>
      </c>
      <c r="O877" t="n">
        <v>0</v>
      </c>
      <c r="P877" t="n">
        <v>0</v>
      </c>
      <c r="Q877" t="n">
        <v>0</v>
      </c>
      <c r="R877" s="2" t="inlineStr"/>
    </row>
    <row r="878" ht="15" customHeight="1">
      <c r="A878" t="inlineStr">
        <is>
          <t>A 5792-2023</t>
        </is>
      </c>
      <c r="B878" s="1" t="n">
        <v>44963.44769675926</v>
      </c>
      <c r="C878" s="1" t="n">
        <v>46090</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10303-2025</t>
        </is>
      </c>
      <c r="B879" s="1" t="n">
        <v>45720.44217592593</v>
      </c>
      <c r="C879" s="1" t="n">
        <v>46090</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60110-2022</t>
        </is>
      </c>
      <c r="B880" s="1" t="n">
        <v>44909</v>
      </c>
      <c r="C880" s="1" t="n">
        <v>46090</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15394-2025</t>
        </is>
      </c>
      <c r="B881" s="1" t="n">
        <v>45747.43196759259</v>
      </c>
      <c r="C881" s="1" t="n">
        <v>46090</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15388-2025</t>
        </is>
      </c>
      <c r="B882" s="1" t="n">
        <v>45747.42633101852</v>
      </c>
      <c r="C882" s="1" t="n">
        <v>46090</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15391-2025</t>
        </is>
      </c>
      <c r="B883" s="1" t="n">
        <v>45747.42958333333</v>
      </c>
      <c r="C883" s="1" t="n">
        <v>46090</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6474-2025</t>
        </is>
      </c>
      <c r="B884" s="1" t="n">
        <v>45699.60055555555</v>
      </c>
      <c r="C884" s="1" t="n">
        <v>46090</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32919-2022</t>
        </is>
      </c>
      <c r="B885" s="1" t="n">
        <v>44784.62724537037</v>
      </c>
      <c r="C885" s="1" t="n">
        <v>46090</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56659-2023</t>
        </is>
      </c>
      <c r="B886" s="1" t="n">
        <v>45243.84869212963</v>
      </c>
      <c r="C886" s="1" t="n">
        <v>46090</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13015-2022</t>
        </is>
      </c>
      <c r="B887" s="1" t="n">
        <v>44643</v>
      </c>
      <c r="C887" s="1" t="n">
        <v>46090</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row>
    <row r="888" ht="15" customHeight="1">
      <c r="A888" t="inlineStr">
        <is>
          <t>A 17968-2025</t>
        </is>
      </c>
      <c r="B888" s="1" t="n">
        <v>45761.35990740741</v>
      </c>
      <c r="C888" s="1" t="n">
        <v>46090</v>
      </c>
      <c r="D888" t="inlineStr">
        <is>
          <t>KALMAR LÄN</t>
        </is>
      </c>
      <c r="E888" t="inlineStr">
        <is>
          <t>VIMMERBY</t>
        </is>
      </c>
      <c r="G888" t="n">
        <v>3.3</v>
      </c>
      <c r="H888" t="n">
        <v>0</v>
      </c>
      <c r="I888" t="n">
        <v>0</v>
      </c>
      <c r="J888" t="n">
        <v>0</v>
      </c>
      <c r="K888" t="n">
        <v>0</v>
      </c>
      <c r="L888" t="n">
        <v>0</v>
      </c>
      <c r="M888" t="n">
        <v>0</v>
      </c>
      <c r="N888" t="n">
        <v>0</v>
      </c>
      <c r="O888" t="n">
        <v>0</v>
      </c>
      <c r="P888" t="n">
        <v>0</v>
      </c>
      <c r="Q888" t="n">
        <v>0</v>
      </c>
      <c r="R888" s="2" t="inlineStr"/>
    </row>
    <row r="889" ht="15" customHeight="1">
      <c r="A889" t="inlineStr">
        <is>
          <t>A 6028-2023</t>
        </is>
      </c>
      <c r="B889" s="1" t="n">
        <v>44964.44356481481</v>
      </c>
      <c r="C889" s="1" t="n">
        <v>46090</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55436-2023</t>
        </is>
      </c>
      <c r="B890" s="1" t="n">
        <v>45238.4328587963</v>
      </c>
      <c r="C890" s="1" t="n">
        <v>46090</v>
      </c>
      <c r="D890" t="inlineStr">
        <is>
          <t>KALMAR LÄN</t>
        </is>
      </c>
      <c r="E890" t="inlineStr">
        <is>
          <t>VIMMERBY</t>
        </is>
      </c>
      <c r="G890" t="n">
        <v>5.6</v>
      </c>
      <c r="H890" t="n">
        <v>0</v>
      </c>
      <c r="I890" t="n">
        <v>0</v>
      </c>
      <c r="J890" t="n">
        <v>0</v>
      </c>
      <c r="K890" t="n">
        <v>0</v>
      </c>
      <c r="L890" t="n">
        <v>0</v>
      </c>
      <c r="M890" t="n">
        <v>0</v>
      </c>
      <c r="N890" t="n">
        <v>0</v>
      </c>
      <c r="O890" t="n">
        <v>0</v>
      </c>
      <c r="P890" t="n">
        <v>0</v>
      </c>
      <c r="Q890" t="n">
        <v>0</v>
      </c>
      <c r="R890" s="2" t="inlineStr"/>
    </row>
    <row r="891" ht="15" customHeight="1">
      <c r="A891" t="inlineStr">
        <is>
          <t>A 56582-2022</t>
        </is>
      </c>
      <c r="B891" s="1" t="n">
        <v>44893</v>
      </c>
      <c r="C891" s="1" t="n">
        <v>46090</v>
      </c>
      <c r="D891" t="inlineStr">
        <is>
          <t>KALMAR LÄN</t>
        </is>
      </c>
      <c r="E891" t="inlineStr">
        <is>
          <t>VIMMERBY</t>
        </is>
      </c>
      <c r="G891" t="n">
        <v>2.2</v>
      </c>
      <c r="H891" t="n">
        <v>0</v>
      </c>
      <c r="I891" t="n">
        <v>0</v>
      </c>
      <c r="J891" t="n">
        <v>0</v>
      </c>
      <c r="K891" t="n">
        <v>0</v>
      </c>
      <c r="L891" t="n">
        <v>0</v>
      </c>
      <c r="M891" t="n">
        <v>0</v>
      </c>
      <c r="N891" t="n">
        <v>0</v>
      </c>
      <c r="O891" t="n">
        <v>0</v>
      </c>
      <c r="P891" t="n">
        <v>0</v>
      </c>
      <c r="Q891" t="n">
        <v>0</v>
      </c>
      <c r="R891" s="2" t="inlineStr"/>
    </row>
    <row r="892" ht="15" customHeight="1">
      <c r="A892" t="inlineStr">
        <is>
          <t>A 20-2025</t>
        </is>
      </c>
      <c r="B892" s="1" t="n">
        <v>45658.80232638889</v>
      </c>
      <c r="C892" s="1" t="n">
        <v>46090</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23-2025</t>
        </is>
      </c>
      <c r="B893" s="1" t="n">
        <v>45658.80827546296</v>
      </c>
      <c r="C893" s="1" t="n">
        <v>46090</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43962-2024</t>
        </is>
      </c>
      <c r="B894" s="1" t="n">
        <v>45572.48293981481</v>
      </c>
      <c r="C894" s="1" t="n">
        <v>46090</v>
      </c>
      <c r="D894" t="inlineStr">
        <is>
          <t>KALMAR LÄN</t>
        </is>
      </c>
      <c r="E894" t="inlineStr">
        <is>
          <t>VIMMERBY</t>
        </is>
      </c>
      <c r="G894" t="n">
        <v>0.6</v>
      </c>
      <c r="H894" t="n">
        <v>0</v>
      </c>
      <c r="I894" t="n">
        <v>0</v>
      </c>
      <c r="J894" t="n">
        <v>0</v>
      </c>
      <c r="K894" t="n">
        <v>0</v>
      </c>
      <c r="L894" t="n">
        <v>0</v>
      </c>
      <c r="M894" t="n">
        <v>0</v>
      </c>
      <c r="N894" t="n">
        <v>0</v>
      </c>
      <c r="O894" t="n">
        <v>0</v>
      </c>
      <c r="P894" t="n">
        <v>0</v>
      </c>
      <c r="Q894" t="n">
        <v>0</v>
      </c>
      <c r="R894" s="2" t="inlineStr"/>
    </row>
    <row r="895" ht="15" customHeight="1">
      <c r="A895" t="inlineStr">
        <is>
          <t>A 35713-2023</t>
        </is>
      </c>
      <c r="B895" s="1" t="n">
        <v>45147</v>
      </c>
      <c r="C895" s="1" t="n">
        <v>46090</v>
      </c>
      <c r="D895" t="inlineStr">
        <is>
          <t>KALMAR LÄN</t>
        </is>
      </c>
      <c r="E895" t="inlineStr">
        <is>
          <t>VIMMERBY</t>
        </is>
      </c>
      <c r="G895" t="n">
        <v>1.6</v>
      </c>
      <c r="H895" t="n">
        <v>0</v>
      </c>
      <c r="I895" t="n">
        <v>0</v>
      </c>
      <c r="J895" t="n">
        <v>0</v>
      </c>
      <c r="K895" t="n">
        <v>0</v>
      </c>
      <c r="L895" t="n">
        <v>0</v>
      </c>
      <c r="M895" t="n">
        <v>0</v>
      </c>
      <c r="N895" t="n">
        <v>0</v>
      </c>
      <c r="O895" t="n">
        <v>0</v>
      </c>
      <c r="P895" t="n">
        <v>0</v>
      </c>
      <c r="Q895" t="n">
        <v>0</v>
      </c>
      <c r="R895" s="2" t="inlineStr"/>
    </row>
    <row r="896" ht="15" customHeight="1">
      <c r="A896" t="inlineStr">
        <is>
          <t>A 40147-2023</t>
        </is>
      </c>
      <c r="B896" s="1" t="n">
        <v>45169</v>
      </c>
      <c r="C896" s="1" t="n">
        <v>46090</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50995-2022</t>
        </is>
      </c>
      <c r="B897" s="1" t="n">
        <v>44867</v>
      </c>
      <c r="C897" s="1" t="n">
        <v>46090</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27993-2022</t>
        </is>
      </c>
      <c r="B898" s="1" t="n">
        <v>44745.84396990741</v>
      </c>
      <c r="C898" s="1" t="n">
        <v>46090</v>
      </c>
      <c r="D898" t="inlineStr">
        <is>
          <t>KALMAR LÄN</t>
        </is>
      </c>
      <c r="E898" t="inlineStr">
        <is>
          <t>VIMMERBY</t>
        </is>
      </c>
      <c r="G898" t="n">
        <v>2.8</v>
      </c>
      <c r="H898" t="n">
        <v>0</v>
      </c>
      <c r="I898" t="n">
        <v>0</v>
      </c>
      <c r="J898" t="n">
        <v>0</v>
      </c>
      <c r="K898" t="n">
        <v>0</v>
      </c>
      <c r="L898" t="n">
        <v>0</v>
      </c>
      <c r="M898" t="n">
        <v>0</v>
      </c>
      <c r="N898" t="n">
        <v>0</v>
      </c>
      <c r="O898" t="n">
        <v>0</v>
      </c>
      <c r="P898" t="n">
        <v>0</v>
      </c>
      <c r="Q898" t="n">
        <v>0</v>
      </c>
      <c r="R898" s="2" t="inlineStr"/>
    </row>
    <row r="899" ht="15" customHeight="1">
      <c r="A899" t="inlineStr">
        <is>
          <t>A 57555-2024</t>
        </is>
      </c>
      <c r="B899" s="1" t="n">
        <v>45630.45069444444</v>
      </c>
      <c r="C899" s="1" t="n">
        <v>46090</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36014-2024</t>
        </is>
      </c>
      <c r="B900" s="1" t="n">
        <v>45533.56108796296</v>
      </c>
      <c r="C900" s="1" t="n">
        <v>46090</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36030-2024</t>
        </is>
      </c>
      <c r="B901" s="1" t="n">
        <v>45533.58302083334</v>
      </c>
      <c r="C901" s="1" t="n">
        <v>46090</v>
      </c>
      <c r="D901" t="inlineStr">
        <is>
          <t>KALMAR LÄN</t>
        </is>
      </c>
      <c r="E901" t="inlineStr">
        <is>
          <t>VIMMERBY</t>
        </is>
      </c>
      <c r="F901" t="inlineStr">
        <is>
          <t>Kommuner</t>
        </is>
      </c>
      <c r="G901" t="n">
        <v>4</v>
      </c>
      <c r="H901" t="n">
        <v>0</v>
      </c>
      <c r="I901" t="n">
        <v>0</v>
      </c>
      <c r="J901" t="n">
        <v>0</v>
      </c>
      <c r="K901" t="n">
        <v>0</v>
      </c>
      <c r="L901" t="n">
        <v>0</v>
      </c>
      <c r="M901" t="n">
        <v>0</v>
      </c>
      <c r="N901" t="n">
        <v>0</v>
      </c>
      <c r="O901" t="n">
        <v>0</v>
      </c>
      <c r="P901" t="n">
        <v>0</v>
      </c>
      <c r="Q901" t="n">
        <v>0</v>
      </c>
      <c r="R901" s="2" t="inlineStr"/>
    </row>
    <row r="902" ht="15" customHeight="1">
      <c r="A902" t="inlineStr">
        <is>
          <t>A 32865-2023</t>
        </is>
      </c>
      <c r="B902" s="1" t="n">
        <v>45124</v>
      </c>
      <c r="C902" s="1" t="n">
        <v>46090</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42918-2021</t>
        </is>
      </c>
      <c r="B903" s="1" t="n">
        <v>44431</v>
      </c>
      <c r="C903" s="1" t="n">
        <v>46090</v>
      </c>
      <c r="D903" t="inlineStr">
        <is>
          <t>KALMAR LÄN</t>
        </is>
      </c>
      <c r="E903" t="inlineStr">
        <is>
          <t>VIMMERBY</t>
        </is>
      </c>
      <c r="G903" t="n">
        <v>1.6</v>
      </c>
      <c r="H903" t="n">
        <v>0</v>
      </c>
      <c r="I903" t="n">
        <v>0</v>
      </c>
      <c r="J903" t="n">
        <v>0</v>
      </c>
      <c r="K903" t="n">
        <v>0</v>
      </c>
      <c r="L903" t="n">
        <v>0</v>
      </c>
      <c r="M903" t="n">
        <v>0</v>
      </c>
      <c r="N903" t="n">
        <v>0</v>
      </c>
      <c r="O903" t="n">
        <v>0</v>
      </c>
      <c r="P903" t="n">
        <v>0</v>
      </c>
      <c r="Q903" t="n">
        <v>0</v>
      </c>
      <c r="R903" s="2" t="inlineStr"/>
    </row>
    <row r="904" ht="15" customHeight="1">
      <c r="A904" t="inlineStr">
        <is>
          <t>A 22643-2023</t>
        </is>
      </c>
      <c r="B904" s="1" t="n">
        <v>45071</v>
      </c>
      <c r="C904" s="1" t="n">
        <v>46090</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18669-2025</t>
        </is>
      </c>
      <c r="B905" s="1" t="n">
        <v>45763.59436342592</v>
      </c>
      <c r="C905" s="1" t="n">
        <v>46090</v>
      </c>
      <c r="D905" t="inlineStr">
        <is>
          <t>KALMAR LÄN</t>
        </is>
      </c>
      <c r="E905" t="inlineStr">
        <is>
          <t>VIMMERBY</t>
        </is>
      </c>
      <c r="G905" t="n">
        <v>2.7</v>
      </c>
      <c r="H905" t="n">
        <v>0</v>
      </c>
      <c r="I905" t="n">
        <v>0</v>
      </c>
      <c r="J905" t="n">
        <v>0</v>
      </c>
      <c r="K905" t="n">
        <v>0</v>
      </c>
      <c r="L905" t="n">
        <v>0</v>
      </c>
      <c r="M905" t="n">
        <v>0</v>
      </c>
      <c r="N905" t="n">
        <v>0</v>
      </c>
      <c r="O905" t="n">
        <v>0</v>
      </c>
      <c r="P905" t="n">
        <v>0</v>
      </c>
      <c r="Q905" t="n">
        <v>0</v>
      </c>
      <c r="R905" s="2" t="inlineStr"/>
    </row>
    <row r="906" ht="15" customHeight="1">
      <c r="A906" t="inlineStr">
        <is>
          <t>A 38780-2021</t>
        </is>
      </c>
      <c r="B906" s="1" t="n">
        <v>44410</v>
      </c>
      <c r="C906" s="1" t="n">
        <v>46090</v>
      </c>
      <c r="D906" t="inlineStr">
        <is>
          <t>KALMAR LÄN</t>
        </is>
      </c>
      <c r="E906" t="inlineStr">
        <is>
          <t>VIMMERBY</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29020-2024</t>
        </is>
      </c>
      <c r="B907" s="1" t="n">
        <v>45481.58048611111</v>
      </c>
      <c r="C907" s="1" t="n">
        <v>46090</v>
      </c>
      <c r="D907" t="inlineStr">
        <is>
          <t>KALMAR LÄN</t>
        </is>
      </c>
      <c r="E907" t="inlineStr">
        <is>
          <t>VIMMERBY</t>
        </is>
      </c>
      <c r="G907" t="n">
        <v>2.3</v>
      </c>
      <c r="H907" t="n">
        <v>0</v>
      </c>
      <c r="I907" t="n">
        <v>0</v>
      </c>
      <c r="J907" t="n">
        <v>0</v>
      </c>
      <c r="K907" t="n">
        <v>0</v>
      </c>
      <c r="L907" t="n">
        <v>0</v>
      </c>
      <c r="M907" t="n">
        <v>0</v>
      </c>
      <c r="N907" t="n">
        <v>0</v>
      </c>
      <c r="O907" t="n">
        <v>0</v>
      </c>
      <c r="P907" t="n">
        <v>0</v>
      </c>
      <c r="Q907" t="n">
        <v>0</v>
      </c>
      <c r="R907" s="2" t="inlineStr"/>
    </row>
    <row r="908" ht="15" customHeight="1">
      <c r="A908" t="inlineStr">
        <is>
          <t>A 30406-2023</t>
        </is>
      </c>
      <c r="B908" s="1" t="n">
        <v>45111.48787037037</v>
      </c>
      <c r="C908" s="1" t="n">
        <v>46090</v>
      </c>
      <c r="D908" t="inlineStr">
        <is>
          <t>KALMAR LÄN</t>
        </is>
      </c>
      <c r="E908" t="inlineStr">
        <is>
          <t>VIMMERBY</t>
        </is>
      </c>
      <c r="G908" t="n">
        <v>2.4</v>
      </c>
      <c r="H908" t="n">
        <v>0</v>
      </c>
      <c r="I908" t="n">
        <v>0</v>
      </c>
      <c r="J908" t="n">
        <v>0</v>
      </c>
      <c r="K908" t="n">
        <v>0</v>
      </c>
      <c r="L908" t="n">
        <v>0</v>
      </c>
      <c r="M908" t="n">
        <v>0</v>
      </c>
      <c r="N908" t="n">
        <v>0</v>
      </c>
      <c r="O908" t="n">
        <v>0</v>
      </c>
      <c r="P908" t="n">
        <v>0</v>
      </c>
      <c r="Q908" t="n">
        <v>0</v>
      </c>
      <c r="R908" s="2" t="inlineStr"/>
    </row>
    <row r="909" ht="15" customHeight="1">
      <c r="A909" t="inlineStr">
        <is>
          <t>A 13817-2024</t>
        </is>
      </c>
      <c r="B909" s="1" t="n">
        <v>45391.41976851852</v>
      </c>
      <c r="C909" s="1" t="n">
        <v>46090</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22399-2025</t>
        </is>
      </c>
      <c r="B910" s="1" t="n">
        <v>45786.52996527778</v>
      </c>
      <c r="C910" s="1" t="n">
        <v>46090</v>
      </c>
      <c r="D910" t="inlineStr">
        <is>
          <t>KALMAR LÄN</t>
        </is>
      </c>
      <c r="E910" t="inlineStr">
        <is>
          <t>VIMMERBY</t>
        </is>
      </c>
      <c r="G910" t="n">
        <v>2.1</v>
      </c>
      <c r="H910" t="n">
        <v>0</v>
      </c>
      <c r="I910" t="n">
        <v>0</v>
      </c>
      <c r="J910" t="n">
        <v>0</v>
      </c>
      <c r="K910" t="n">
        <v>0</v>
      </c>
      <c r="L910" t="n">
        <v>0</v>
      </c>
      <c r="M910" t="n">
        <v>0</v>
      </c>
      <c r="N910" t="n">
        <v>0</v>
      </c>
      <c r="O910" t="n">
        <v>0</v>
      </c>
      <c r="P910" t="n">
        <v>0</v>
      </c>
      <c r="Q910" t="n">
        <v>0</v>
      </c>
      <c r="R910" s="2" t="inlineStr"/>
    </row>
    <row r="911" ht="15" customHeight="1">
      <c r="A911" t="inlineStr">
        <is>
          <t>A 22397-2025</t>
        </is>
      </c>
      <c r="B911" s="1" t="n">
        <v>45786.52878472222</v>
      </c>
      <c r="C911" s="1" t="n">
        <v>46090</v>
      </c>
      <c r="D911" t="inlineStr">
        <is>
          <t>KALMAR LÄN</t>
        </is>
      </c>
      <c r="E911" t="inlineStr">
        <is>
          <t>VIMMERBY</t>
        </is>
      </c>
      <c r="G911" t="n">
        <v>0.8</v>
      </c>
      <c r="H911" t="n">
        <v>0</v>
      </c>
      <c r="I911" t="n">
        <v>0</v>
      </c>
      <c r="J911" t="n">
        <v>0</v>
      </c>
      <c r="K911" t="n">
        <v>0</v>
      </c>
      <c r="L911" t="n">
        <v>0</v>
      </c>
      <c r="M911" t="n">
        <v>0</v>
      </c>
      <c r="N911" t="n">
        <v>0</v>
      </c>
      <c r="O911" t="n">
        <v>0</v>
      </c>
      <c r="P911" t="n">
        <v>0</v>
      </c>
      <c r="Q911" t="n">
        <v>0</v>
      </c>
      <c r="R911" s="2" t="inlineStr"/>
    </row>
    <row r="912" ht="15" customHeight="1">
      <c r="A912" t="inlineStr">
        <is>
          <t>A 25582-2024</t>
        </is>
      </c>
      <c r="B912" s="1" t="n">
        <v>45463</v>
      </c>
      <c r="C912" s="1" t="n">
        <v>46090</v>
      </c>
      <c r="D912" t="inlineStr">
        <is>
          <t>KALMAR LÄN</t>
        </is>
      </c>
      <c r="E912" t="inlineStr">
        <is>
          <t>VIMMERBY</t>
        </is>
      </c>
      <c r="G912" t="n">
        <v>1.4</v>
      </c>
      <c r="H912" t="n">
        <v>0</v>
      </c>
      <c r="I912" t="n">
        <v>0</v>
      </c>
      <c r="J912" t="n">
        <v>0</v>
      </c>
      <c r="K912" t="n">
        <v>0</v>
      </c>
      <c r="L912" t="n">
        <v>0</v>
      </c>
      <c r="M912" t="n">
        <v>0</v>
      </c>
      <c r="N912" t="n">
        <v>0</v>
      </c>
      <c r="O912" t="n">
        <v>0</v>
      </c>
      <c r="P912" t="n">
        <v>0</v>
      </c>
      <c r="Q912" t="n">
        <v>0</v>
      </c>
      <c r="R912" s="2" t="inlineStr"/>
    </row>
    <row r="913" ht="15" customHeight="1">
      <c r="A913" t="inlineStr">
        <is>
          <t>A 57578-2024</t>
        </is>
      </c>
      <c r="B913" s="1" t="n">
        <v>45630.47564814815</v>
      </c>
      <c r="C913" s="1" t="n">
        <v>46090</v>
      </c>
      <c r="D913" t="inlineStr">
        <is>
          <t>KALMAR LÄN</t>
        </is>
      </c>
      <c r="E913" t="inlineStr">
        <is>
          <t>VIMMERBY</t>
        </is>
      </c>
      <c r="G913" t="n">
        <v>2.6</v>
      </c>
      <c r="H913" t="n">
        <v>0</v>
      </c>
      <c r="I913" t="n">
        <v>0</v>
      </c>
      <c r="J913" t="n">
        <v>0</v>
      </c>
      <c r="K913" t="n">
        <v>0</v>
      </c>
      <c r="L913" t="n">
        <v>0</v>
      </c>
      <c r="M913" t="n">
        <v>0</v>
      </c>
      <c r="N913" t="n">
        <v>0</v>
      </c>
      <c r="O913" t="n">
        <v>0</v>
      </c>
      <c r="P913" t="n">
        <v>0</v>
      </c>
      <c r="Q913" t="n">
        <v>0</v>
      </c>
      <c r="R913" s="2" t="inlineStr"/>
    </row>
    <row r="914" ht="15" customHeight="1">
      <c r="A914" t="inlineStr">
        <is>
          <t>A 6307-2025</t>
        </is>
      </c>
      <c r="B914" s="1" t="n">
        <v>45698.69016203703</v>
      </c>
      <c r="C914" s="1" t="n">
        <v>46090</v>
      </c>
      <c r="D914" t="inlineStr">
        <is>
          <t>KALMAR LÄN</t>
        </is>
      </c>
      <c r="E914" t="inlineStr">
        <is>
          <t>VIMMERBY</t>
        </is>
      </c>
      <c r="G914" t="n">
        <v>3</v>
      </c>
      <c r="H914" t="n">
        <v>0</v>
      </c>
      <c r="I914" t="n">
        <v>0</v>
      </c>
      <c r="J914" t="n">
        <v>0</v>
      </c>
      <c r="K914" t="n">
        <v>0</v>
      </c>
      <c r="L914" t="n">
        <v>0</v>
      </c>
      <c r="M914" t="n">
        <v>0</v>
      </c>
      <c r="N914" t="n">
        <v>0</v>
      </c>
      <c r="O914" t="n">
        <v>0</v>
      </c>
      <c r="P914" t="n">
        <v>0</v>
      </c>
      <c r="Q914" t="n">
        <v>0</v>
      </c>
      <c r="R914" s="2" t="inlineStr"/>
    </row>
    <row r="915" ht="15" customHeight="1">
      <c r="A915" t="inlineStr">
        <is>
          <t>A 11442-2025</t>
        </is>
      </c>
      <c r="B915" s="1" t="n">
        <v>45726.62721064815</v>
      </c>
      <c r="C915" s="1" t="n">
        <v>46090</v>
      </c>
      <c r="D915" t="inlineStr">
        <is>
          <t>KALMAR LÄN</t>
        </is>
      </c>
      <c r="E915" t="inlineStr">
        <is>
          <t>VIMMERBY</t>
        </is>
      </c>
      <c r="G915" t="n">
        <v>2.6</v>
      </c>
      <c r="H915" t="n">
        <v>0</v>
      </c>
      <c r="I915" t="n">
        <v>0</v>
      </c>
      <c r="J915" t="n">
        <v>0</v>
      </c>
      <c r="K915" t="n">
        <v>0</v>
      </c>
      <c r="L915" t="n">
        <v>0</v>
      </c>
      <c r="M915" t="n">
        <v>0</v>
      </c>
      <c r="N915" t="n">
        <v>0</v>
      </c>
      <c r="O915" t="n">
        <v>0</v>
      </c>
      <c r="P915" t="n">
        <v>0</v>
      </c>
      <c r="Q915" t="n">
        <v>0</v>
      </c>
      <c r="R915" s="2" t="inlineStr"/>
    </row>
    <row r="916">
      <c r="A916" t="inlineStr">
        <is>
          <t>A 23394-2025</t>
        </is>
      </c>
      <c r="B916" s="1" t="n">
        <v>45791.89865740741</v>
      </c>
      <c r="C916" s="1" t="n">
        <v>46090</v>
      </c>
      <c r="D916" t="inlineStr">
        <is>
          <t>KALMAR LÄN</t>
        </is>
      </c>
      <c r="E916" t="inlineStr">
        <is>
          <t>VIMMERBY</t>
        </is>
      </c>
      <c r="G916" t="n">
        <v>3.1</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2026-03-09T11:14:52Z</dcterms:created>
  <dcterms:modified xmlns:dcterms="http://purl.org/dc/terms/" xmlns:xsi="http://www.w3.org/2001/XMLSchema-instance" xsi:type="dcterms:W3CDTF">2026-03-09T11:14:53Z</dcterms:modified>
</cp:coreProperties>
</file>