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45928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45928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45928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45928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45928</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45928</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16954-2025</t>
        </is>
      </c>
      <c r="B9" s="1" t="n">
        <v>45755</v>
      </c>
      <c r="C9" s="1" t="n">
        <v>45928</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1023-2024</t>
        </is>
      </c>
      <c r="B10" s="1" t="n">
        <v>45301.67922453704</v>
      </c>
      <c r="C10" s="1" t="n">
        <v>45928</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32645-2023</t>
        </is>
      </c>
      <c r="B11" s="1" t="n">
        <v>45121.60543981481</v>
      </c>
      <c r="C11" s="1" t="n">
        <v>45928</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45928</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45678.64175925926</v>
      </c>
      <c r="C13" s="1" t="n">
        <v>45928</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45928</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45928</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14584-2025</t>
        </is>
      </c>
      <c r="B16" s="1" t="n">
        <v>45742</v>
      </c>
      <c r="C16" s="1" t="n">
        <v>45928</v>
      </c>
      <c r="D16" t="inlineStr">
        <is>
          <t>KALMAR LÄN</t>
        </is>
      </c>
      <c r="E16" t="inlineStr">
        <is>
          <t>VIMMERBY</t>
        </is>
      </c>
      <c r="G16" t="n">
        <v>7</v>
      </c>
      <c r="H16" t="n">
        <v>2</v>
      </c>
      <c r="I16" t="n">
        <v>1</v>
      </c>
      <c r="J16" t="n">
        <v>1</v>
      </c>
      <c r="K16" t="n">
        <v>1</v>
      </c>
      <c r="L16" t="n">
        <v>0</v>
      </c>
      <c r="M16" t="n">
        <v>0</v>
      </c>
      <c r="N16" t="n">
        <v>0</v>
      </c>
      <c r="O16" t="n">
        <v>2</v>
      </c>
      <c r="P16" t="n">
        <v>1</v>
      </c>
      <c r="Q16" t="n">
        <v>3</v>
      </c>
      <c r="R16" s="2" t="inlineStr">
        <is>
          <t>Knärot
Spillkråka
Blåmossa</t>
        </is>
      </c>
      <c r="S16">
        <f>HYPERLINK("https://klasma.github.io/Logging_0884/artfynd/A 14584-2025 artfynd.xlsx", "A 14584-2025")</f>
        <v/>
      </c>
      <c r="T16">
        <f>HYPERLINK("https://klasma.github.io/Logging_0884/kartor/A 14584-2025 karta.png", "A 14584-2025")</f>
        <v/>
      </c>
      <c r="U16">
        <f>HYPERLINK("https://klasma.github.io/Logging_0884/knärot/A 14584-2025 karta knärot.png", "A 14584-2025")</f>
        <v/>
      </c>
      <c r="V16">
        <f>HYPERLINK("https://klasma.github.io/Logging_0884/klagomål/A 14584-2025 FSC-klagomål.docx", "A 14584-2025")</f>
        <v/>
      </c>
      <c r="W16">
        <f>HYPERLINK("https://klasma.github.io/Logging_0884/klagomålsmail/A 14584-2025 FSC-klagomål mail.docx", "A 14584-2025")</f>
        <v/>
      </c>
      <c r="X16">
        <f>HYPERLINK("https://klasma.github.io/Logging_0884/tillsyn/A 14584-2025 tillsynsbegäran.docx", "A 14584-2025")</f>
        <v/>
      </c>
      <c r="Y16">
        <f>HYPERLINK("https://klasma.github.io/Logging_0884/tillsynsmail/A 14584-2025 tillsynsbegäran mail.docx", "A 14584-2025")</f>
        <v/>
      </c>
      <c r="Z16">
        <f>HYPERLINK("https://klasma.github.io/Logging_0884/fåglar/A 14584-2025 prioriterade fågelarter.docx", "A 14584-2025")</f>
        <v/>
      </c>
    </row>
    <row r="17" ht="15" customHeight="1">
      <c r="A17" t="inlineStr">
        <is>
          <t>A 56985-2024</t>
        </is>
      </c>
      <c r="B17" s="1" t="n">
        <v>45628</v>
      </c>
      <c r="C17" s="1" t="n">
        <v>45928</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37667-2025</t>
        </is>
      </c>
      <c r="B18" s="1" t="n">
        <v>45880.51413194444</v>
      </c>
      <c r="C18" s="1" t="n">
        <v>45928</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15427-2023</t>
        </is>
      </c>
      <c r="B19" s="1" t="n">
        <v>45020</v>
      </c>
      <c r="C19" s="1" t="n">
        <v>45928</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45928</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45928</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45928</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40684-2025</t>
        </is>
      </c>
      <c r="B23" s="1" t="n">
        <v>45896.86820601852</v>
      </c>
      <c r="C23" s="1" t="n">
        <v>45928</v>
      </c>
      <c r="D23" t="inlineStr">
        <is>
          <t>KALMAR LÄN</t>
        </is>
      </c>
      <c r="E23" t="inlineStr">
        <is>
          <t>VIMMERBY</t>
        </is>
      </c>
      <c r="G23" t="n">
        <v>4.4</v>
      </c>
      <c r="H23" t="n">
        <v>2</v>
      </c>
      <c r="I23" t="n">
        <v>0</v>
      </c>
      <c r="J23" t="n">
        <v>1</v>
      </c>
      <c r="K23" t="n">
        <v>0</v>
      </c>
      <c r="L23" t="n">
        <v>0</v>
      </c>
      <c r="M23" t="n">
        <v>0</v>
      </c>
      <c r="N23" t="n">
        <v>0</v>
      </c>
      <c r="O23" t="n">
        <v>1</v>
      </c>
      <c r="P23" t="n">
        <v>0</v>
      </c>
      <c r="Q23" t="n">
        <v>2</v>
      </c>
      <c r="R23" s="2" t="inlineStr">
        <is>
          <t>Talltita
Kungsfågel</t>
        </is>
      </c>
      <c r="S23">
        <f>HYPERLINK("https://klasma.github.io/Logging_0884/artfynd/A 40684-2025 artfynd.xlsx", "A 40684-2025")</f>
        <v/>
      </c>
      <c r="T23">
        <f>HYPERLINK("https://klasma.github.io/Logging_0884/kartor/A 40684-2025 karta.png", "A 40684-2025")</f>
        <v/>
      </c>
      <c r="V23">
        <f>HYPERLINK("https://klasma.github.io/Logging_0884/klagomål/A 40684-2025 FSC-klagomål.docx", "A 40684-2025")</f>
        <v/>
      </c>
      <c r="W23">
        <f>HYPERLINK("https://klasma.github.io/Logging_0884/klagomålsmail/A 40684-2025 FSC-klagomål mail.docx", "A 40684-2025")</f>
        <v/>
      </c>
      <c r="X23">
        <f>HYPERLINK("https://klasma.github.io/Logging_0884/tillsyn/A 40684-2025 tillsynsbegäran.docx", "A 40684-2025")</f>
        <v/>
      </c>
      <c r="Y23">
        <f>HYPERLINK("https://klasma.github.io/Logging_0884/tillsynsmail/A 40684-2025 tillsynsbegäran mail.docx", "A 40684-2025")</f>
        <v/>
      </c>
      <c r="Z23">
        <f>HYPERLINK("https://klasma.github.io/Logging_0884/fåglar/A 40684-2025 prioriterade fågelarter.docx", "A 40684-2025")</f>
        <v/>
      </c>
    </row>
    <row r="24" ht="15" customHeight="1">
      <c r="A24" t="inlineStr">
        <is>
          <t>A 2518-2023</t>
        </is>
      </c>
      <c r="B24" s="1" t="n">
        <v>44943</v>
      </c>
      <c r="C24" s="1" t="n">
        <v>45928</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45928</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42802-2025</t>
        </is>
      </c>
      <c r="B26" s="1" t="n">
        <v>45908</v>
      </c>
      <c r="C26" s="1" t="n">
        <v>45928</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22825-2023</t>
        </is>
      </c>
      <c r="B27" s="1" t="n">
        <v>45072</v>
      </c>
      <c r="C27" s="1" t="n">
        <v>45928</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19158-2023</t>
        </is>
      </c>
      <c r="B28" s="1" t="n">
        <v>45048</v>
      </c>
      <c r="C28" s="1" t="n">
        <v>45928</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22396-2025</t>
        </is>
      </c>
      <c r="B29" s="1" t="n">
        <v>45786.52827546297</v>
      </c>
      <c r="C29" s="1" t="n">
        <v>45928</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c r="Z29">
        <f>HYPERLINK("https://klasma.github.io/Logging_0884/fåglar/A 22396-2025 prioriterade fågelarter.docx", "A 22396-2025")</f>
        <v/>
      </c>
    </row>
    <row r="30" ht="15" customHeight="1">
      <c r="A30" t="inlineStr">
        <is>
          <t>A 14024-2023</t>
        </is>
      </c>
      <c r="B30" s="1" t="n">
        <v>45008.60878472222</v>
      </c>
      <c r="C30" s="1" t="n">
        <v>45928</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32396-2021</t>
        </is>
      </c>
      <c r="B31" s="1" t="n">
        <v>44371</v>
      </c>
      <c r="C31" s="1" t="n">
        <v>45928</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37930-2021</t>
        </is>
      </c>
      <c r="B32" s="1" t="n">
        <v>44403</v>
      </c>
      <c r="C32" s="1" t="n">
        <v>45928</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9067-2025</t>
        </is>
      </c>
      <c r="B33" s="1" t="n">
        <v>45713</v>
      </c>
      <c r="C33" s="1" t="n">
        <v>45928</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40083-2023</t>
        </is>
      </c>
      <c r="B34" s="1" t="n">
        <v>45168</v>
      </c>
      <c r="C34" s="1" t="n">
        <v>45928</v>
      </c>
      <c r="D34" t="inlineStr">
        <is>
          <t>KALMAR LÄN</t>
        </is>
      </c>
      <c r="E34" t="inlineStr">
        <is>
          <t>VIMMERBY</t>
        </is>
      </c>
      <c r="G34" t="n">
        <v>2.2</v>
      </c>
      <c r="H34" t="n">
        <v>1</v>
      </c>
      <c r="I34" t="n">
        <v>0</v>
      </c>
      <c r="J34" t="n">
        <v>0</v>
      </c>
      <c r="K34" t="n">
        <v>0</v>
      </c>
      <c r="L34" t="n">
        <v>0</v>
      </c>
      <c r="M34" t="n">
        <v>0</v>
      </c>
      <c r="N34" t="n">
        <v>0</v>
      </c>
      <c r="O34" t="n">
        <v>0</v>
      </c>
      <c r="P34" t="n">
        <v>0</v>
      </c>
      <c r="Q34" t="n">
        <v>1</v>
      </c>
      <c r="R34" s="2" t="inlineStr">
        <is>
          <t>Revlummer</t>
        </is>
      </c>
      <c r="S34">
        <f>HYPERLINK("https://klasma.github.io/Logging_0884/artfynd/A 40083-2023 artfynd.xlsx", "A 40083-2023")</f>
        <v/>
      </c>
      <c r="T34">
        <f>HYPERLINK("https://klasma.github.io/Logging_0884/kartor/A 40083-2023 karta.png", "A 40083-2023")</f>
        <v/>
      </c>
      <c r="V34">
        <f>HYPERLINK("https://klasma.github.io/Logging_0884/klagomål/A 40083-2023 FSC-klagomål.docx", "A 40083-2023")</f>
        <v/>
      </c>
      <c r="W34">
        <f>HYPERLINK("https://klasma.github.io/Logging_0884/klagomålsmail/A 40083-2023 FSC-klagomål mail.docx", "A 40083-2023")</f>
        <v/>
      </c>
      <c r="X34">
        <f>HYPERLINK("https://klasma.github.io/Logging_0884/tillsyn/A 40083-2023 tillsynsbegäran.docx", "A 40083-2023")</f>
        <v/>
      </c>
      <c r="Y34">
        <f>HYPERLINK("https://klasma.github.io/Logging_0884/tillsynsmail/A 40083-2023 tillsynsbegäran mail.docx", "A 40083-2023")</f>
        <v/>
      </c>
    </row>
    <row r="35" ht="15" customHeight="1">
      <c r="A35" t="inlineStr">
        <is>
          <t>A 40084-2023</t>
        </is>
      </c>
      <c r="B35" s="1" t="n">
        <v>45168</v>
      </c>
      <c r="C35" s="1" t="n">
        <v>45928</v>
      </c>
      <c r="D35" t="inlineStr">
        <is>
          <t>KALMAR LÄN</t>
        </is>
      </c>
      <c r="E35" t="inlineStr">
        <is>
          <t>VIMMERBY</t>
        </is>
      </c>
      <c r="G35" t="n">
        <v>1.3</v>
      </c>
      <c r="H35" t="n">
        <v>1</v>
      </c>
      <c r="I35" t="n">
        <v>0</v>
      </c>
      <c r="J35" t="n">
        <v>1</v>
      </c>
      <c r="K35" t="n">
        <v>0</v>
      </c>
      <c r="L35" t="n">
        <v>0</v>
      </c>
      <c r="M35" t="n">
        <v>0</v>
      </c>
      <c r="N35" t="n">
        <v>0</v>
      </c>
      <c r="O35" t="n">
        <v>1</v>
      </c>
      <c r="P35" t="n">
        <v>0</v>
      </c>
      <c r="Q35" t="n">
        <v>1</v>
      </c>
      <c r="R35" s="2" t="inlineStr">
        <is>
          <t>Entita</t>
        </is>
      </c>
      <c r="S35">
        <f>HYPERLINK("https://klasma.github.io/Logging_0884/artfynd/A 40084-2023 artfynd.xlsx", "A 40084-2023")</f>
        <v/>
      </c>
      <c r="T35">
        <f>HYPERLINK("https://klasma.github.io/Logging_0884/kartor/A 40084-2023 karta.png", "A 40084-2023")</f>
        <v/>
      </c>
      <c r="V35">
        <f>HYPERLINK("https://klasma.github.io/Logging_0884/klagomål/A 40084-2023 FSC-klagomål.docx", "A 40084-2023")</f>
        <v/>
      </c>
      <c r="W35">
        <f>HYPERLINK("https://klasma.github.io/Logging_0884/klagomålsmail/A 40084-2023 FSC-klagomål mail.docx", "A 40084-2023")</f>
        <v/>
      </c>
      <c r="X35">
        <f>HYPERLINK("https://klasma.github.io/Logging_0884/tillsyn/A 40084-2023 tillsynsbegäran.docx", "A 40084-2023")</f>
        <v/>
      </c>
      <c r="Y35">
        <f>HYPERLINK("https://klasma.github.io/Logging_0884/tillsynsmail/A 40084-2023 tillsynsbegäran mail.docx", "A 40084-2023")</f>
        <v/>
      </c>
      <c r="Z35">
        <f>HYPERLINK("https://klasma.github.io/Logging_0884/fåglar/A 40084-2023 prioriterade fågelarter.docx", "A 40084-2023")</f>
        <v/>
      </c>
    </row>
    <row r="36" ht="15" customHeight="1">
      <c r="A36" t="inlineStr">
        <is>
          <t>A 38602-2025</t>
        </is>
      </c>
      <c r="B36" s="1" t="n">
        <v>45884.50331018519</v>
      </c>
      <c r="C36" s="1" t="n">
        <v>45928</v>
      </c>
      <c r="D36" t="inlineStr">
        <is>
          <t>KALMAR LÄN</t>
        </is>
      </c>
      <c r="E36" t="inlineStr">
        <is>
          <t>VIMMERBY</t>
        </is>
      </c>
      <c r="F36" t="inlineStr">
        <is>
          <t>Sveaskog</t>
        </is>
      </c>
      <c r="G36" t="n">
        <v>4.9</v>
      </c>
      <c r="H36" t="n">
        <v>1</v>
      </c>
      <c r="I36" t="n">
        <v>0</v>
      </c>
      <c r="J36" t="n">
        <v>0</v>
      </c>
      <c r="K36" t="n">
        <v>1</v>
      </c>
      <c r="L36" t="n">
        <v>0</v>
      </c>
      <c r="M36" t="n">
        <v>0</v>
      </c>
      <c r="N36" t="n">
        <v>0</v>
      </c>
      <c r="O36" t="n">
        <v>1</v>
      </c>
      <c r="P36" t="n">
        <v>1</v>
      </c>
      <c r="Q36" t="n">
        <v>1</v>
      </c>
      <c r="R36" s="2" t="inlineStr">
        <is>
          <t>Knärot</t>
        </is>
      </c>
      <c r="S36">
        <f>HYPERLINK("https://klasma.github.io/Logging_0884/artfynd/A 38602-2025 artfynd.xlsx", "A 38602-2025")</f>
        <v/>
      </c>
      <c r="T36">
        <f>HYPERLINK("https://klasma.github.io/Logging_0884/kartor/A 38602-2025 karta.png", "A 38602-2025")</f>
        <v/>
      </c>
      <c r="U36">
        <f>HYPERLINK("https://klasma.github.io/Logging_0884/knärot/A 38602-2025 karta knärot.png", "A 38602-2025")</f>
        <v/>
      </c>
      <c r="V36">
        <f>HYPERLINK("https://klasma.github.io/Logging_0884/klagomål/A 38602-2025 FSC-klagomål.docx", "A 38602-2025")</f>
        <v/>
      </c>
      <c r="W36">
        <f>HYPERLINK("https://klasma.github.io/Logging_0884/klagomålsmail/A 38602-2025 FSC-klagomål mail.docx", "A 38602-2025")</f>
        <v/>
      </c>
      <c r="X36">
        <f>HYPERLINK("https://klasma.github.io/Logging_0884/tillsyn/A 38602-2025 tillsynsbegäran.docx", "A 38602-2025")</f>
        <v/>
      </c>
      <c r="Y36">
        <f>HYPERLINK("https://klasma.github.io/Logging_0884/tillsynsmail/A 38602-2025 tillsynsbegäran mail.docx", "A 38602-2025")</f>
        <v/>
      </c>
    </row>
    <row r="37" ht="15" customHeight="1">
      <c r="A37" t="inlineStr">
        <is>
          <t>A 52301-2023</t>
        </is>
      </c>
      <c r="B37" s="1" t="n">
        <v>45224</v>
      </c>
      <c r="C37" s="1" t="n">
        <v>45928</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46824-2025</t>
        </is>
      </c>
      <c r="B38" s="1" t="n">
        <v>45926.90006944445</v>
      </c>
      <c r="C38" s="1" t="n">
        <v>45928</v>
      </c>
      <c r="D38" t="inlineStr">
        <is>
          <t>KALMAR LÄN</t>
        </is>
      </c>
      <c r="E38" t="inlineStr">
        <is>
          <t>VIMMERBY</t>
        </is>
      </c>
      <c r="G38" t="n">
        <v>2.8</v>
      </c>
      <c r="H38" t="n">
        <v>1</v>
      </c>
      <c r="I38" t="n">
        <v>0</v>
      </c>
      <c r="J38" t="n">
        <v>0</v>
      </c>
      <c r="K38" t="n">
        <v>1</v>
      </c>
      <c r="L38" t="n">
        <v>0</v>
      </c>
      <c r="M38" t="n">
        <v>0</v>
      </c>
      <c r="N38" t="n">
        <v>0</v>
      </c>
      <c r="O38" t="n">
        <v>1</v>
      </c>
      <c r="P38" t="n">
        <v>1</v>
      </c>
      <c r="Q38" t="n">
        <v>1</v>
      </c>
      <c r="R38" s="2" t="inlineStr">
        <is>
          <t>Knärot</t>
        </is>
      </c>
      <c r="S38">
        <f>HYPERLINK("https://klasma.github.io/Logging_0884/artfynd/A 46824-2025 artfynd.xlsx", "A 46824-2025")</f>
        <v/>
      </c>
      <c r="T38">
        <f>HYPERLINK("https://klasma.github.io/Logging_0884/kartor/A 46824-2025 karta.png", "A 46824-2025")</f>
        <v/>
      </c>
      <c r="U38">
        <f>HYPERLINK("https://klasma.github.io/Logging_0884/knärot/A 46824-2025 karta knärot.png", "A 46824-2025")</f>
        <v/>
      </c>
      <c r="V38">
        <f>HYPERLINK("https://klasma.github.io/Logging_0884/klagomål/A 46824-2025 FSC-klagomål.docx", "A 46824-2025")</f>
        <v/>
      </c>
      <c r="W38">
        <f>HYPERLINK("https://klasma.github.io/Logging_0884/klagomålsmail/A 46824-2025 FSC-klagomål mail.docx", "A 46824-2025")</f>
        <v/>
      </c>
      <c r="X38">
        <f>HYPERLINK("https://klasma.github.io/Logging_0884/tillsyn/A 46824-2025 tillsynsbegäran.docx", "A 46824-2025")</f>
        <v/>
      </c>
      <c r="Y38">
        <f>HYPERLINK("https://klasma.github.io/Logging_0884/tillsynsmail/A 46824-2025 tillsynsbegäran mail.docx", "A 46824-2025")</f>
        <v/>
      </c>
    </row>
    <row r="39" ht="15" customHeight="1">
      <c r="A39" t="inlineStr">
        <is>
          <t>A 33436-2021</t>
        </is>
      </c>
      <c r="B39" s="1" t="n">
        <v>44377.61104166666</v>
      </c>
      <c r="C39" s="1" t="n">
        <v>45928</v>
      </c>
      <c r="D39" t="inlineStr">
        <is>
          <t>KALMAR LÄN</t>
        </is>
      </c>
      <c r="E39" t="inlineStr">
        <is>
          <t>VIMMERBY</t>
        </is>
      </c>
      <c r="G39" t="n">
        <v>11.8</v>
      </c>
      <c r="H39" t="n">
        <v>1</v>
      </c>
      <c r="I39" t="n">
        <v>0</v>
      </c>
      <c r="J39" t="n">
        <v>0</v>
      </c>
      <c r="K39" t="n">
        <v>1</v>
      </c>
      <c r="L39" t="n">
        <v>0</v>
      </c>
      <c r="M39" t="n">
        <v>0</v>
      </c>
      <c r="N39" t="n">
        <v>0</v>
      </c>
      <c r="O39" t="n">
        <v>1</v>
      </c>
      <c r="P39" t="n">
        <v>1</v>
      </c>
      <c r="Q39" t="n">
        <v>1</v>
      </c>
      <c r="R39" s="2" t="inlineStr">
        <is>
          <t>Knärot</t>
        </is>
      </c>
      <c r="S39">
        <f>HYPERLINK("https://klasma.github.io/Logging_0884/artfynd/A 33436-2021 artfynd.xlsx", "A 33436-2021")</f>
        <v/>
      </c>
      <c r="T39">
        <f>HYPERLINK("https://klasma.github.io/Logging_0884/kartor/A 33436-2021 karta.png", "A 33436-2021")</f>
        <v/>
      </c>
      <c r="U39">
        <f>HYPERLINK("https://klasma.github.io/Logging_0884/knärot/A 33436-2021 karta knärot.png", "A 33436-2021")</f>
        <v/>
      </c>
      <c r="V39">
        <f>HYPERLINK("https://klasma.github.io/Logging_0884/klagomål/A 33436-2021 FSC-klagomål.docx", "A 33436-2021")</f>
        <v/>
      </c>
      <c r="W39">
        <f>HYPERLINK("https://klasma.github.io/Logging_0884/klagomålsmail/A 33436-2021 FSC-klagomål mail.docx", "A 33436-2021")</f>
        <v/>
      </c>
      <c r="X39">
        <f>HYPERLINK("https://klasma.github.io/Logging_0884/tillsyn/A 33436-2021 tillsynsbegäran.docx", "A 33436-2021")</f>
        <v/>
      </c>
      <c r="Y39">
        <f>HYPERLINK("https://klasma.github.io/Logging_0884/tillsynsmail/A 33436-2021 tillsynsbegäran mail.docx", "A 33436-2021")</f>
        <v/>
      </c>
    </row>
    <row r="40" ht="15" customHeight="1">
      <c r="A40" t="inlineStr">
        <is>
          <t>A 23602-2023</t>
        </is>
      </c>
      <c r="B40" s="1" t="n">
        <v>45077</v>
      </c>
      <c r="C40" s="1" t="n">
        <v>45928</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1201-2025</t>
        </is>
      </c>
      <c r="B41" s="1" t="n">
        <v>45667</v>
      </c>
      <c r="C41" s="1" t="n">
        <v>45928</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15122-2024</t>
        </is>
      </c>
      <c r="B42" s="1" t="n">
        <v>45399.71412037037</v>
      </c>
      <c r="C42" s="1" t="n">
        <v>45928</v>
      </c>
      <c r="D42" t="inlineStr">
        <is>
          <t>KALMAR LÄN</t>
        </is>
      </c>
      <c r="E42" t="inlineStr">
        <is>
          <t>VIMMERBY</t>
        </is>
      </c>
      <c r="G42" t="n">
        <v>1.7</v>
      </c>
      <c r="H42" t="n">
        <v>0</v>
      </c>
      <c r="I42" t="n">
        <v>0</v>
      </c>
      <c r="J42" t="n">
        <v>0</v>
      </c>
      <c r="K42" t="n">
        <v>1</v>
      </c>
      <c r="L42" t="n">
        <v>0</v>
      </c>
      <c r="M42" t="n">
        <v>0</v>
      </c>
      <c r="N42" t="n">
        <v>0</v>
      </c>
      <c r="O42" t="n">
        <v>1</v>
      </c>
      <c r="P42" t="n">
        <v>1</v>
      </c>
      <c r="Q42" t="n">
        <v>1</v>
      </c>
      <c r="R42" s="2" t="inlineStr">
        <is>
          <t>Sågfibbla</t>
        </is>
      </c>
      <c r="S42">
        <f>HYPERLINK("https://klasma.github.io/Logging_0884/artfynd/A 15122-2024 artfynd.xlsx", "A 15122-2024")</f>
        <v/>
      </c>
      <c r="T42">
        <f>HYPERLINK("https://klasma.github.io/Logging_0884/kartor/A 15122-2024 karta.png", "A 15122-2024")</f>
        <v/>
      </c>
      <c r="V42">
        <f>HYPERLINK("https://klasma.github.io/Logging_0884/klagomål/A 15122-2024 FSC-klagomål.docx", "A 15122-2024")</f>
        <v/>
      </c>
      <c r="W42">
        <f>HYPERLINK("https://klasma.github.io/Logging_0884/klagomålsmail/A 15122-2024 FSC-klagomål mail.docx", "A 15122-2024")</f>
        <v/>
      </c>
      <c r="X42">
        <f>HYPERLINK("https://klasma.github.io/Logging_0884/tillsyn/A 15122-2024 tillsynsbegäran.docx", "A 15122-2024")</f>
        <v/>
      </c>
      <c r="Y42">
        <f>HYPERLINK("https://klasma.github.io/Logging_0884/tillsynsmail/A 15122-2024 tillsynsbegäran mail.docx", "A 15122-2024")</f>
        <v/>
      </c>
    </row>
    <row r="43" ht="15" customHeight="1">
      <c r="A43" t="inlineStr">
        <is>
          <t>A 32985-2023</t>
        </is>
      </c>
      <c r="B43" s="1" t="n">
        <v>45125</v>
      </c>
      <c r="C43" s="1" t="n">
        <v>45928</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61860-2024</t>
        </is>
      </c>
      <c r="B44" s="1" t="n">
        <v>45649</v>
      </c>
      <c r="C44" s="1" t="n">
        <v>45928</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45928</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28852-2023</t>
        </is>
      </c>
      <c r="B46" s="1" t="n">
        <v>45104</v>
      </c>
      <c r="C46" s="1" t="n">
        <v>45928</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45928</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6841-2021</t>
        </is>
      </c>
      <c r="B48" s="1" t="n">
        <v>44236</v>
      </c>
      <c r="C48" s="1" t="n">
        <v>45928</v>
      </c>
      <c r="D48" t="inlineStr">
        <is>
          <t>KALMAR LÄN</t>
        </is>
      </c>
      <c r="E48" t="inlineStr">
        <is>
          <t>VIMMERBY</t>
        </is>
      </c>
      <c r="G48" t="n">
        <v>25</v>
      </c>
      <c r="H48" t="n">
        <v>0</v>
      </c>
      <c r="I48" t="n">
        <v>0</v>
      </c>
      <c r="J48" t="n">
        <v>1</v>
      </c>
      <c r="K48" t="n">
        <v>0</v>
      </c>
      <c r="L48" t="n">
        <v>0</v>
      </c>
      <c r="M48" t="n">
        <v>0</v>
      </c>
      <c r="N48" t="n">
        <v>0</v>
      </c>
      <c r="O48" t="n">
        <v>1</v>
      </c>
      <c r="P48" t="n">
        <v>0</v>
      </c>
      <c r="Q48" t="n">
        <v>1</v>
      </c>
      <c r="R48" s="2" t="inlineStr">
        <is>
          <t>Bredbrämad bastardsvärmare</t>
        </is>
      </c>
      <c r="S48">
        <f>HYPERLINK("https://klasma.github.io/Logging_0884/artfynd/A 6841-2021 artfynd.xlsx", "A 6841-2021")</f>
        <v/>
      </c>
      <c r="T48">
        <f>HYPERLINK("https://klasma.github.io/Logging_0884/kartor/A 6841-2021 karta.png", "A 6841-2021")</f>
        <v/>
      </c>
      <c r="V48">
        <f>HYPERLINK("https://klasma.github.io/Logging_0884/klagomål/A 6841-2021 FSC-klagomål.docx", "A 6841-2021")</f>
        <v/>
      </c>
      <c r="W48">
        <f>HYPERLINK("https://klasma.github.io/Logging_0884/klagomålsmail/A 6841-2021 FSC-klagomål mail.docx", "A 6841-2021")</f>
        <v/>
      </c>
      <c r="X48">
        <f>HYPERLINK("https://klasma.github.io/Logging_0884/tillsyn/A 6841-2021 tillsynsbegäran.docx", "A 6841-2021")</f>
        <v/>
      </c>
      <c r="Y48">
        <f>HYPERLINK("https://klasma.github.io/Logging_0884/tillsynsmail/A 6841-2021 tillsynsbegäran mail.docx", "A 6841-2021")</f>
        <v/>
      </c>
    </row>
    <row r="49" ht="15" customHeight="1">
      <c r="A49" t="inlineStr">
        <is>
          <t>A 49059-2020</t>
        </is>
      </c>
      <c r="B49" s="1" t="n">
        <v>44102</v>
      </c>
      <c r="C49" s="1" t="n">
        <v>45928</v>
      </c>
      <c r="D49" t="inlineStr">
        <is>
          <t>KALMAR LÄN</t>
        </is>
      </c>
      <c r="E49" t="inlineStr">
        <is>
          <t>VIMMERBY</t>
        </is>
      </c>
      <c r="G49" t="n">
        <v>5.8</v>
      </c>
      <c r="H49" t="n">
        <v>0</v>
      </c>
      <c r="I49" t="n">
        <v>0</v>
      </c>
      <c r="J49" t="n">
        <v>0</v>
      </c>
      <c r="K49" t="n">
        <v>0</v>
      </c>
      <c r="L49" t="n">
        <v>0</v>
      </c>
      <c r="M49" t="n">
        <v>0</v>
      </c>
      <c r="N49" t="n">
        <v>0</v>
      </c>
      <c r="O49" t="n">
        <v>0</v>
      </c>
      <c r="P49" t="n">
        <v>0</v>
      </c>
      <c r="Q49" t="n">
        <v>0</v>
      </c>
      <c r="R49" s="2" t="inlineStr"/>
    </row>
    <row r="50" ht="15" customHeight="1">
      <c r="A50" t="inlineStr">
        <is>
          <t>A 55053-2020</t>
        </is>
      </c>
      <c r="B50" s="1" t="n">
        <v>44130</v>
      </c>
      <c r="C50" s="1" t="n">
        <v>45928</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15092-2021</t>
        </is>
      </c>
      <c r="B51" s="1" t="n">
        <v>44281.79269675926</v>
      </c>
      <c r="C51" s="1" t="n">
        <v>45928</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45928</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45928</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45928</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45928</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45928</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45928</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45928</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45928</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45928</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45928</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45928</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45928</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45928</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49186-2020</t>
        </is>
      </c>
      <c r="B65" s="1" t="n">
        <v>44105</v>
      </c>
      <c r="C65" s="1" t="n">
        <v>45928</v>
      </c>
      <c r="D65" t="inlineStr">
        <is>
          <t>KALMAR LÄN</t>
        </is>
      </c>
      <c r="E65" t="inlineStr">
        <is>
          <t>VIMMERBY</t>
        </is>
      </c>
      <c r="F65" t="inlineStr">
        <is>
          <t>Sveaskog</t>
        </is>
      </c>
      <c r="G65" t="n">
        <v>3.8</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45928</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4762-2021</t>
        </is>
      </c>
      <c r="B67" s="1" t="n">
        <v>44225</v>
      </c>
      <c r="C67" s="1" t="n">
        <v>45928</v>
      </c>
      <c r="D67" t="inlineStr">
        <is>
          <t>KALMAR LÄN</t>
        </is>
      </c>
      <c r="E67" t="inlineStr">
        <is>
          <t>VIMMERBY</t>
        </is>
      </c>
      <c r="G67" t="n">
        <v>5.3</v>
      </c>
      <c r="H67" t="n">
        <v>0</v>
      </c>
      <c r="I67" t="n">
        <v>0</v>
      </c>
      <c r="J67" t="n">
        <v>0</v>
      </c>
      <c r="K67" t="n">
        <v>0</v>
      </c>
      <c r="L67" t="n">
        <v>0</v>
      </c>
      <c r="M67" t="n">
        <v>0</v>
      </c>
      <c r="N67" t="n">
        <v>0</v>
      </c>
      <c r="O67" t="n">
        <v>0</v>
      </c>
      <c r="P67" t="n">
        <v>0</v>
      </c>
      <c r="Q67" t="n">
        <v>0</v>
      </c>
      <c r="R67" s="2" t="inlineStr"/>
    </row>
    <row r="68" ht="15" customHeight="1">
      <c r="A68" t="inlineStr">
        <is>
          <t>A 22637-2021</t>
        </is>
      </c>
      <c r="B68" s="1" t="n">
        <v>44327.47658564815</v>
      </c>
      <c r="C68" s="1" t="n">
        <v>45928</v>
      </c>
      <c r="D68" t="inlineStr">
        <is>
          <t>KALMAR LÄN</t>
        </is>
      </c>
      <c r="E68" t="inlineStr">
        <is>
          <t>VIMMERBY</t>
        </is>
      </c>
      <c r="G68" t="n">
        <v>0.5</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45928</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63926-2021</t>
        </is>
      </c>
      <c r="B70" s="1" t="n">
        <v>44509</v>
      </c>
      <c r="C70" s="1" t="n">
        <v>45928</v>
      </c>
      <c r="D70" t="inlineStr">
        <is>
          <t>KALMAR LÄN</t>
        </is>
      </c>
      <c r="E70" t="inlineStr">
        <is>
          <t>VIMMERBY</t>
        </is>
      </c>
      <c r="G70" t="n">
        <v>0.7</v>
      </c>
      <c r="H70" t="n">
        <v>0</v>
      </c>
      <c r="I70" t="n">
        <v>0</v>
      </c>
      <c r="J70" t="n">
        <v>0</v>
      </c>
      <c r="K70" t="n">
        <v>0</v>
      </c>
      <c r="L70" t="n">
        <v>0</v>
      </c>
      <c r="M70" t="n">
        <v>0</v>
      </c>
      <c r="N70" t="n">
        <v>0</v>
      </c>
      <c r="O70" t="n">
        <v>0</v>
      </c>
      <c r="P70" t="n">
        <v>0</v>
      </c>
      <c r="Q70" t="n">
        <v>0</v>
      </c>
      <c r="R70" s="2" t="inlineStr"/>
    </row>
    <row r="71" ht="15" customHeight="1">
      <c r="A71" t="inlineStr">
        <is>
          <t>A 5689-2021</t>
        </is>
      </c>
      <c r="B71" s="1" t="n">
        <v>44230.58883101852</v>
      </c>
      <c r="C71" s="1" t="n">
        <v>45928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56378-2021</t>
        </is>
      </c>
      <c r="B72" s="1" t="n">
        <v>44480</v>
      </c>
      <c r="C72" s="1" t="n">
        <v>45928</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7515-2021</t>
        </is>
      </c>
      <c r="B73" s="1" t="n">
        <v>44238</v>
      </c>
      <c r="C73" s="1" t="n">
        <v>45928</v>
      </c>
      <c r="D73" t="inlineStr">
        <is>
          <t>KALMAR LÄN</t>
        </is>
      </c>
      <c r="E73" t="inlineStr">
        <is>
          <t>VIMMERBY</t>
        </is>
      </c>
      <c r="G73" t="n">
        <v>20.9</v>
      </c>
      <c r="H73" t="n">
        <v>0</v>
      </c>
      <c r="I73" t="n">
        <v>0</v>
      </c>
      <c r="J73" t="n">
        <v>0</v>
      </c>
      <c r="K73" t="n">
        <v>0</v>
      </c>
      <c r="L73" t="n">
        <v>0</v>
      </c>
      <c r="M73" t="n">
        <v>0</v>
      </c>
      <c r="N73" t="n">
        <v>0</v>
      </c>
      <c r="O73" t="n">
        <v>0</v>
      </c>
      <c r="P73" t="n">
        <v>0</v>
      </c>
      <c r="Q73" t="n">
        <v>0</v>
      </c>
      <c r="R73" s="2" t="inlineStr"/>
    </row>
    <row r="74" ht="15" customHeight="1">
      <c r="A74" t="inlineStr">
        <is>
          <t>A 3426-2022</t>
        </is>
      </c>
      <c r="B74" s="1" t="n">
        <v>44585.51829861111</v>
      </c>
      <c r="C74" s="1" t="n">
        <v>45928</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40728-2022</t>
        </is>
      </c>
      <c r="B75" s="1" t="n">
        <v>44824.53434027778</v>
      </c>
      <c r="C75" s="1" t="n">
        <v>45928</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40073-2021</t>
        </is>
      </c>
      <c r="B76" s="1" t="n">
        <v>44418</v>
      </c>
      <c r="C76" s="1" t="n">
        <v>45928</v>
      </c>
      <c r="D76" t="inlineStr">
        <is>
          <t>KALMAR LÄN</t>
        </is>
      </c>
      <c r="E76" t="inlineStr">
        <is>
          <t>VIMMERBY</t>
        </is>
      </c>
      <c r="G76" t="n">
        <v>1</v>
      </c>
      <c r="H76" t="n">
        <v>0</v>
      </c>
      <c r="I76" t="n">
        <v>0</v>
      </c>
      <c r="J76" t="n">
        <v>0</v>
      </c>
      <c r="K76" t="n">
        <v>0</v>
      </c>
      <c r="L76" t="n">
        <v>0</v>
      </c>
      <c r="M76" t="n">
        <v>0</v>
      </c>
      <c r="N76" t="n">
        <v>0</v>
      </c>
      <c r="O76" t="n">
        <v>0</v>
      </c>
      <c r="P76" t="n">
        <v>0</v>
      </c>
      <c r="Q76" t="n">
        <v>0</v>
      </c>
      <c r="R76" s="2" t="inlineStr"/>
    </row>
    <row r="77" ht="15" customHeight="1">
      <c r="A77" t="inlineStr">
        <is>
          <t>A 33051-2022</t>
        </is>
      </c>
      <c r="B77" s="1" t="n">
        <v>44785.40800925926</v>
      </c>
      <c r="C77" s="1" t="n">
        <v>45928</v>
      </c>
      <c r="D77" t="inlineStr">
        <is>
          <t>KALMAR LÄN</t>
        </is>
      </c>
      <c r="E77" t="inlineStr">
        <is>
          <t>VIMMERBY</t>
        </is>
      </c>
      <c r="G77" t="n">
        <v>0.3</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45928</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2183-2022</t>
        </is>
      </c>
      <c r="B79" s="1" t="n">
        <v>44578.47597222222</v>
      </c>
      <c r="C79" s="1" t="n">
        <v>45928</v>
      </c>
      <c r="D79" t="inlineStr">
        <is>
          <t>KALMAR LÄN</t>
        </is>
      </c>
      <c r="E79" t="inlineStr">
        <is>
          <t>VIMMERBY</t>
        </is>
      </c>
      <c r="G79" t="n">
        <v>4.8</v>
      </c>
      <c r="H79" t="n">
        <v>0</v>
      </c>
      <c r="I79" t="n">
        <v>0</v>
      </c>
      <c r="J79" t="n">
        <v>0</v>
      </c>
      <c r="K79" t="n">
        <v>0</v>
      </c>
      <c r="L79" t="n">
        <v>0</v>
      </c>
      <c r="M79" t="n">
        <v>0</v>
      </c>
      <c r="N79" t="n">
        <v>0</v>
      </c>
      <c r="O79" t="n">
        <v>0</v>
      </c>
      <c r="P79" t="n">
        <v>0</v>
      </c>
      <c r="Q79" t="n">
        <v>0</v>
      </c>
      <c r="R79" s="2" t="inlineStr"/>
    </row>
    <row r="80" ht="15" customHeight="1">
      <c r="A80" t="inlineStr">
        <is>
          <t>A 65670-2021</t>
        </is>
      </c>
      <c r="B80" s="1" t="n">
        <v>44516.59703703703</v>
      </c>
      <c r="C80" s="1" t="n">
        <v>45928</v>
      </c>
      <c r="D80" t="inlineStr">
        <is>
          <t>KALMAR LÄN</t>
        </is>
      </c>
      <c r="E80" t="inlineStr">
        <is>
          <t>VIMMERBY</t>
        </is>
      </c>
      <c r="G80" t="n">
        <v>1.9</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45928</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7049-2022</t>
        </is>
      </c>
      <c r="B82" s="1" t="n">
        <v>44603</v>
      </c>
      <c r="C82" s="1" t="n">
        <v>45928</v>
      </c>
      <c r="D82" t="inlineStr">
        <is>
          <t>KALMAR LÄN</t>
        </is>
      </c>
      <c r="E82" t="inlineStr">
        <is>
          <t>VIMMERBY</t>
        </is>
      </c>
      <c r="G82" t="n">
        <v>2.3</v>
      </c>
      <c r="H82" t="n">
        <v>0</v>
      </c>
      <c r="I82" t="n">
        <v>0</v>
      </c>
      <c r="J82" t="n">
        <v>0</v>
      </c>
      <c r="K82" t="n">
        <v>0</v>
      </c>
      <c r="L82" t="n">
        <v>0</v>
      </c>
      <c r="M82" t="n">
        <v>0</v>
      </c>
      <c r="N82" t="n">
        <v>0</v>
      </c>
      <c r="O82" t="n">
        <v>0</v>
      </c>
      <c r="P82" t="n">
        <v>0</v>
      </c>
      <c r="Q82" t="n">
        <v>0</v>
      </c>
      <c r="R82" s="2" t="inlineStr"/>
    </row>
    <row r="83" ht="15" customHeight="1">
      <c r="A83" t="inlineStr">
        <is>
          <t>A 4296-2022</t>
        </is>
      </c>
      <c r="B83" s="1" t="n">
        <v>44588</v>
      </c>
      <c r="C83" s="1" t="n">
        <v>45928</v>
      </c>
      <c r="D83" t="inlineStr">
        <is>
          <t>KALMAR LÄN</t>
        </is>
      </c>
      <c r="E83" t="inlineStr">
        <is>
          <t>VIMMERBY</t>
        </is>
      </c>
      <c r="G83" t="n">
        <v>1.8</v>
      </c>
      <c r="H83" t="n">
        <v>0</v>
      </c>
      <c r="I83" t="n">
        <v>0</v>
      </c>
      <c r="J83" t="n">
        <v>0</v>
      </c>
      <c r="K83" t="n">
        <v>0</v>
      </c>
      <c r="L83" t="n">
        <v>0</v>
      </c>
      <c r="M83" t="n">
        <v>0</v>
      </c>
      <c r="N83" t="n">
        <v>0</v>
      </c>
      <c r="O83" t="n">
        <v>0</v>
      </c>
      <c r="P83" t="n">
        <v>0</v>
      </c>
      <c r="Q83" t="n">
        <v>0</v>
      </c>
      <c r="R83" s="2" t="inlineStr"/>
    </row>
    <row r="84" ht="15" customHeight="1">
      <c r="A84" t="inlineStr">
        <is>
          <t>A 38086-2021</t>
        </is>
      </c>
      <c r="B84" s="1" t="n">
        <v>44404.87505787037</v>
      </c>
      <c r="C84" s="1" t="n">
        <v>45928</v>
      </c>
      <c r="D84" t="inlineStr">
        <is>
          <t>KALMAR LÄN</t>
        </is>
      </c>
      <c r="E84" t="inlineStr">
        <is>
          <t>VIMMERBY</t>
        </is>
      </c>
      <c r="G84" t="n">
        <v>4.4</v>
      </c>
      <c r="H84" t="n">
        <v>0</v>
      </c>
      <c r="I84" t="n">
        <v>0</v>
      </c>
      <c r="J84" t="n">
        <v>0</v>
      </c>
      <c r="K84" t="n">
        <v>0</v>
      </c>
      <c r="L84" t="n">
        <v>0</v>
      </c>
      <c r="M84" t="n">
        <v>0</v>
      </c>
      <c r="N84" t="n">
        <v>0</v>
      </c>
      <c r="O84" t="n">
        <v>0</v>
      </c>
      <c r="P84" t="n">
        <v>0</v>
      </c>
      <c r="Q84" t="n">
        <v>0</v>
      </c>
      <c r="R84" s="2" t="inlineStr"/>
    </row>
    <row r="85" ht="15" customHeight="1">
      <c r="A85" t="inlineStr">
        <is>
          <t>A 57416-2021</t>
        </is>
      </c>
      <c r="B85" s="1" t="n">
        <v>44483.58295138889</v>
      </c>
      <c r="C85" s="1" t="n">
        <v>45928</v>
      </c>
      <c r="D85" t="inlineStr">
        <is>
          <t>KALMAR LÄN</t>
        </is>
      </c>
      <c r="E85" t="inlineStr">
        <is>
          <t>VIMMERBY</t>
        </is>
      </c>
      <c r="G85" t="n">
        <v>2.9</v>
      </c>
      <c r="H85" t="n">
        <v>0</v>
      </c>
      <c r="I85" t="n">
        <v>0</v>
      </c>
      <c r="J85" t="n">
        <v>0</v>
      </c>
      <c r="K85" t="n">
        <v>0</v>
      </c>
      <c r="L85" t="n">
        <v>0</v>
      </c>
      <c r="M85" t="n">
        <v>0</v>
      </c>
      <c r="N85" t="n">
        <v>0</v>
      </c>
      <c r="O85" t="n">
        <v>0</v>
      </c>
      <c r="P85" t="n">
        <v>0</v>
      </c>
      <c r="Q85" t="n">
        <v>0</v>
      </c>
      <c r="R85" s="2" t="inlineStr"/>
    </row>
    <row r="86" ht="15" customHeight="1">
      <c r="A86" t="inlineStr">
        <is>
          <t>A 59791-2021</t>
        </is>
      </c>
      <c r="B86" s="1" t="n">
        <v>44494</v>
      </c>
      <c r="C86" s="1" t="n">
        <v>45928</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45928</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45928</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64923-2021</t>
        </is>
      </c>
      <c r="B89" s="1" t="n">
        <v>44512.70245370371</v>
      </c>
      <c r="C89" s="1" t="n">
        <v>45928</v>
      </c>
      <c r="D89" t="inlineStr">
        <is>
          <t>KALMAR LÄN</t>
        </is>
      </c>
      <c r="E89" t="inlineStr">
        <is>
          <t>VIMMERBY</t>
        </is>
      </c>
      <c r="G89" t="n">
        <v>1</v>
      </c>
      <c r="H89" t="n">
        <v>0</v>
      </c>
      <c r="I89" t="n">
        <v>0</v>
      </c>
      <c r="J89" t="n">
        <v>0</v>
      </c>
      <c r="K89" t="n">
        <v>0</v>
      </c>
      <c r="L89" t="n">
        <v>0</v>
      </c>
      <c r="M89" t="n">
        <v>0</v>
      </c>
      <c r="N89" t="n">
        <v>0</v>
      </c>
      <c r="O89" t="n">
        <v>0</v>
      </c>
      <c r="P89" t="n">
        <v>0</v>
      </c>
      <c r="Q89" t="n">
        <v>0</v>
      </c>
      <c r="R89" s="2" t="inlineStr"/>
    </row>
    <row r="90" ht="15" customHeight="1">
      <c r="A90" t="inlineStr">
        <is>
          <t>A 3621-2021</t>
        </is>
      </c>
      <c r="B90" s="1" t="n">
        <v>44221.39408564815</v>
      </c>
      <c r="C90" s="1" t="n">
        <v>45928</v>
      </c>
      <c r="D90" t="inlineStr">
        <is>
          <t>KALMAR LÄN</t>
        </is>
      </c>
      <c r="E90" t="inlineStr">
        <is>
          <t>VIMMERBY</t>
        </is>
      </c>
      <c r="G90" t="n">
        <v>0.7</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45928</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11145-2021</t>
        </is>
      </c>
      <c r="B92" s="1" t="n">
        <v>44261</v>
      </c>
      <c r="C92" s="1" t="n">
        <v>45928</v>
      </c>
      <c r="D92" t="inlineStr">
        <is>
          <t>KALMAR LÄN</t>
        </is>
      </c>
      <c r="E92" t="inlineStr">
        <is>
          <t>VIMMERBY</t>
        </is>
      </c>
      <c r="G92" t="n">
        <v>3.5</v>
      </c>
      <c r="H92" t="n">
        <v>0</v>
      </c>
      <c r="I92" t="n">
        <v>0</v>
      </c>
      <c r="J92" t="n">
        <v>0</v>
      </c>
      <c r="K92" t="n">
        <v>0</v>
      </c>
      <c r="L92" t="n">
        <v>0</v>
      </c>
      <c r="M92" t="n">
        <v>0</v>
      </c>
      <c r="N92" t="n">
        <v>0</v>
      </c>
      <c r="O92" t="n">
        <v>0</v>
      </c>
      <c r="P92" t="n">
        <v>0</v>
      </c>
      <c r="Q92" t="n">
        <v>0</v>
      </c>
      <c r="R92" s="2" t="inlineStr"/>
    </row>
    <row r="93" ht="15" customHeight="1">
      <c r="A93" t="inlineStr">
        <is>
          <t>A 68840-2021</t>
        </is>
      </c>
      <c r="B93" s="1" t="n">
        <v>44530.38055555556</v>
      </c>
      <c r="C93" s="1" t="n">
        <v>45928</v>
      </c>
      <c r="D93" t="inlineStr">
        <is>
          <t>KALMAR LÄN</t>
        </is>
      </c>
      <c r="E93" t="inlineStr">
        <is>
          <t>VIMMERBY</t>
        </is>
      </c>
      <c r="G93" t="n">
        <v>1.4</v>
      </c>
      <c r="H93" t="n">
        <v>0</v>
      </c>
      <c r="I93" t="n">
        <v>0</v>
      </c>
      <c r="J93" t="n">
        <v>0</v>
      </c>
      <c r="K93" t="n">
        <v>0</v>
      </c>
      <c r="L93" t="n">
        <v>0</v>
      </c>
      <c r="M93" t="n">
        <v>0</v>
      </c>
      <c r="N93" t="n">
        <v>0</v>
      </c>
      <c r="O93" t="n">
        <v>0</v>
      </c>
      <c r="P93" t="n">
        <v>0</v>
      </c>
      <c r="Q93" t="n">
        <v>0</v>
      </c>
      <c r="R93" s="2" t="inlineStr"/>
    </row>
    <row r="94" ht="15" customHeight="1">
      <c r="A94" t="inlineStr">
        <is>
          <t>A 4118-2022</t>
        </is>
      </c>
      <c r="B94" s="1" t="n">
        <v>44588</v>
      </c>
      <c r="C94" s="1" t="n">
        <v>45928</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4126-2022</t>
        </is>
      </c>
      <c r="B95" s="1" t="n">
        <v>44588</v>
      </c>
      <c r="C95" s="1" t="n">
        <v>45928</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33820-2022</t>
        </is>
      </c>
      <c r="B96" s="1" t="n">
        <v>44790</v>
      </c>
      <c r="C96" s="1" t="n">
        <v>45928</v>
      </c>
      <c r="D96" t="inlineStr">
        <is>
          <t>KALMAR LÄN</t>
        </is>
      </c>
      <c r="E96" t="inlineStr">
        <is>
          <t>VIMMERBY</t>
        </is>
      </c>
      <c r="G96" t="n">
        <v>3</v>
      </c>
      <c r="H96" t="n">
        <v>0</v>
      </c>
      <c r="I96" t="n">
        <v>0</v>
      </c>
      <c r="J96" t="n">
        <v>0</v>
      </c>
      <c r="K96" t="n">
        <v>0</v>
      </c>
      <c r="L96" t="n">
        <v>0</v>
      </c>
      <c r="M96" t="n">
        <v>0</v>
      </c>
      <c r="N96" t="n">
        <v>0</v>
      </c>
      <c r="O96" t="n">
        <v>0</v>
      </c>
      <c r="P96" t="n">
        <v>0</v>
      </c>
      <c r="Q96" t="n">
        <v>0</v>
      </c>
      <c r="R96" s="2" t="inlineStr"/>
    </row>
    <row r="97" ht="15" customHeight="1">
      <c r="A97" t="inlineStr">
        <is>
          <t>A 33824-2022</t>
        </is>
      </c>
      <c r="B97" s="1" t="n">
        <v>44790.47628472222</v>
      </c>
      <c r="C97" s="1" t="n">
        <v>45928</v>
      </c>
      <c r="D97" t="inlineStr">
        <is>
          <t>KALMAR LÄN</t>
        </is>
      </c>
      <c r="E97" t="inlineStr">
        <is>
          <t>VIMMERBY</t>
        </is>
      </c>
      <c r="G97" t="n">
        <v>2.3</v>
      </c>
      <c r="H97" t="n">
        <v>0</v>
      </c>
      <c r="I97" t="n">
        <v>0</v>
      </c>
      <c r="J97" t="n">
        <v>0</v>
      </c>
      <c r="K97" t="n">
        <v>0</v>
      </c>
      <c r="L97" t="n">
        <v>0</v>
      </c>
      <c r="M97" t="n">
        <v>0</v>
      </c>
      <c r="N97" t="n">
        <v>0</v>
      </c>
      <c r="O97" t="n">
        <v>0</v>
      </c>
      <c r="P97" t="n">
        <v>0</v>
      </c>
      <c r="Q97" t="n">
        <v>0</v>
      </c>
      <c r="R97" s="2" t="inlineStr"/>
    </row>
    <row r="98" ht="15" customHeight="1">
      <c r="A98" t="inlineStr">
        <is>
          <t>A 65952-2020</t>
        </is>
      </c>
      <c r="B98" s="1" t="n">
        <v>44175.3815625</v>
      </c>
      <c r="C98" s="1" t="n">
        <v>45928</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65973-2020</t>
        </is>
      </c>
      <c r="B99" s="1" t="n">
        <v>44175.40881944444</v>
      </c>
      <c r="C99" s="1" t="n">
        <v>45928</v>
      </c>
      <c r="D99" t="inlineStr">
        <is>
          <t>KALMAR LÄN</t>
        </is>
      </c>
      <c r="E99" t="inlineStr">
        <is>
          <t>VIMMERBY</t>
        </is>
      </c>
      <c r="G99" t="n">
        <v>0.9</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45928</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45928</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45928</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53711-2020</t>
        </is>
      </c>
      <c r="B103" s="1" t="n">
        <v>44124.59795138889</v>
      </c>
      <c r="C103" s="1" t="n">
        <v>45928</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7072-2021</t>
        </is>
      </c>
      <c r="B104" s="1" t="n">
        <v>44237.8550925926</v>
      </c>
      <c r="C104" s="1" t="n">
        <v>45928</v>
      </c>
      <c r="D104" t="inlineStr">
        <is>
          <t>KALMAR LÄN</t>
        </is>
      </c>
      <c r="E104" t="inlineStr">
        <is>
          <t>VIMMERBY</t>
        </is>
      </c>
      <c r="G104" t="n">
        <v>1.1</v>
      </c>
      <c r="H104" t="n">
        <v>0</v>
      </c>
      <c r="I104" t="n">
        <v>0</v>
      </c>
      <c r="J104" t="n">
        <v>0</v>
      </c>
      <c r="K104" t="n">
        <v>0</v>
      </c>
      <c r="L104" t="n">
        <v>0</v>
      </c>
      <c r="M104" t="n">
        <v>0</v>
      </c>
      <c r="N104" t="n">
        <v>0</v>
      </c>
      <c r="O104" t="n">
        <v>0</v>
      </c>
      <c r="P104" t="n">
        <v>0</v>
      </c>
      <c r="Q104" t="n">
        <v>0</v>
      </c>
      <c r="R104" s="2" t="inlineStr"/>
    </row>
    <row r="105" ht="15" customHeight="1">
      <c r="A105" t="inlineStr">
        <is>
          <t>A 38789-2021</t>
        </is>
      </c>
      <c r="B105" s="1" t="n">
        <v>44410.71038194445</v>
      </c>
      <c r="C105" s="1" t="n">
        <v>45928</v>
      </c>
      <c r="D105" t="inlineStr">
        <is>
          <t>KALMAR LÄN</t>
        </is>
      </c>
      <c r="E105" t="inlineStr">
        <is>
          <t>VIMMERBY</t>
        </is>
      </c>
      <c r="G105" t="n">
        <v>3.7</v>
      </c>
      <c r="H105" t="n">
        <v>0</v>
      </c>
      <c r="I105" t="n">
        <v>0</v>
      </c>
      <c r="J105" t="n">
        <v>0</v>
      </c>
      <c r="K105" t="n">
        <v>0</v>
      </c>
      <c r="L105" t="n">
        <v>0</v>
      </c>
      <c r="M105" t="n">
        <v>0</v>
      </c>
      <c r="N105" t="n">
        <v>0</v>
      </c>
      <c r="O105" t="n">
        <v>0</v>
      </c>
      <c r="P105" t="n">
        <v>0</v>
      </c>
      <c r="Q105" t="n">
        <v>0</v>
      </c>
      <c r="R105" s="2" t="inlineStr"/>
    </row>
    <row r="106" ht="15" customHeight="1">
      <c r="A106" t="inlineStr">
        <is>
          <t>A 14347-2021</t>
        </is>
      </c>
      <c r="B106" s="1" t="n">
        <v>44279.33400462963</v>
      </c>
      <c r="C106" s="1" t="n">
        <v>45928</v>
      </c>
      <c r="D106" t="inlineStr">
        <is>
          <t>KALMAR LÄN</t>
        </is>
      </c>
      <c r="E106" t="inlineStr">
        <is>
          <t>VIMMERBY</t>
        </is>
      </c>
      <c r="G106" t="n">
        <v>6.4</v>
      </c>
      <c r="H106" t="n">
        <v>0</v>
      </c>
      <c r="I106" t="n">
        <v>0</v>
      </c>
      <c r="J106" t="n">
        <v>0</v>
      </c>
      <c r="K106" t="n">
        <v>0</v>
      </c>
      <c r="L106" t="n">
        <v>0</v>
      </c>
      <c r="M106" t="n">
        <v>0</v>
      </c>
      <c r="N106" t="n">
        <v>0</v>
      </c>
      <c r="O106" t="n">
        <v>0</v>
      </c>
      <c r="P106" t="n">
        <v>0</v>
      </c>
      <c r="Q106" t="n">
        <v>0</v>
      </c>
      <c r="R106" s="2" t="inlineStr"/>
    </row>
    <row r="107" ht="15" customHeight="1">
      <c r="A107" t="inlineStr">
        <is>
          <t>A 66913-2020</t>
        </is>
      </c>
      <c r="B107" s="1" t="n">
        <v>44175</v>
      </c>
      <c r="C107" s="1" t="n">
        <v>45928</v>
      </c>
      <c r="D107" t="inlineStr">
        <is>
          <t>KALMAR LÄN</t>
        </is>
      </c>
      <c r="E107" t="inlineStr">
        <is>
          <t>VIMMERBY</t>
        </is>
      </c>
      <c r="G107" t="n">
        <v>5.6</v>
      </c>
      <c r="H107" t="n">
        <v>0</v>
      </c>
      <c r="I107" t="n">
        <v>0</v>
      </c>
      <c r="J107" t="n">
        <v>0</v>
      </c>
      <c r="K107" t="n">
        <v>0</v>
      </c>
      <c r="L107" t="n">
        <v>0</v>
      </c>
      <c r="M107" t="n">
        <v>0</v>
      </c>
      <c r="N107" t="n">
        <v>0</v>
      </c>
      <c r="O107" t="n">
        <v>0</v>
      </c>
      <c r="P107" t="n">
        <v>0</v>
      </c>
      <c r="Q107" t="n">
        <v>0</v>
      </c>
      <c r="R107" s="2" t="inlineStr"/>
    </row>
    <row r="108" ht="15" customHeight="1">
      <c r="A108" t="inlineStr">
        <is>
          <t>A 16290-2022</t>
        </is>
      </c>
      <c r="B108" s="1" t="n">
        <v>44670</v>
      </c>
      <c r="C108" s="1" t="n">
        <v>45928</v>
      </c>
      <c r="D108" t="inlineStr">
        <is>
          <t>KALMAR LÄN</t>
        </is>
      </c>
      <c r="E108" t="inlineStr">
        <is>
          <t>VIMMERBY</t>
        </is>
      </c>
      <c r="G108" t="n">
        <v>1.2</v>
      </c>
      <c r="H108" t="n">
        <v>0</v>
      </c>
      <c r="I108" t="n">
        <v>0</v>
      </c>
      <c r="J108" t="n">
        <v>0</v>
      </c>
      <c r="K108" t="n">
        <v>0</v>
      </c>
      <c r="L108" t="n">
        <v>0</v>
      </c>
      <c r="M108" t="n">
        <v>0</v>
      </c>
      <c r="N108" t="n">
        <v>0</v>
      </c>
      <c r="O108" t="n">
        <v>0</v>
      </c>
      <c r="P108" t="n">
        <v>0</v>
      </c>
      <c r="Q108" t="n">
        <v>0</v>
      </c>
      <c r="R108" s="2" t="inlineStr"/>
    </row>
    <row r="109" ht="15" customHeight="1">
      <c r="A109" t="inlineStr">
        <is>
          <t>A 30682-2021</t>
        </is>
      </c>
      <c r="B109" s="1" t="n">
        <v>44365</v>
      </c>
      <c r="C109" s="1" t="n">
        <v>45928</v>
      </c>
      <c r="D109" t="inlineStr">
        <is>
          <t>KALMAR LÄN</t>
        </is>
      </c>
      <c r="E109" t="inlineStr">
        <is>
          <t>VIMMERBY</t>
        </is>
      </c>
      <c r="F109" t="inlineStr">
        <is>
          <t>Sveaskog</t>
        </is>
      </c>
      <c r="G109" t="n">
        <v>1.1</v>
      </c>
      <c r="H109" t="n">
        <v>0</v>
      </c>
      <c r="I109" t="n">
        <v>0</v>
      </c>
      <c r="J109" t="n">
        <v>0</v>
      </c>
      <c r="K109" t="n">
        <v>0</v>
      </c>
      <c r="L109" t="n">
        <v>0</v>
      </c>
      <c r="M109" t="n">
        <v>0</v>
      </c>
      <c r="N109" t="n">
        <v>0</v>
      </c>
      <c r="O109" t="n">
        <v>0</v>
      </c>
      <c r="P109" t="n">
        <v>0</v>
      </c>
      <c r="Q109" t="n">
        <v>0</v>
      </c>
      <c r="R109" s="2" t="inlineStr"/>
    </row>
    <row r="110" ht="15" customHeight="1">
      <c r="A110" t="inlineStr">
        <is>
          <t>A 64707-2020</t>
        </is>
      </c>
      <c r="B110" s="1" t="n">
        <v>44169</v>
      </c>
      <c r="C110" s="1" t="n">
        <v>45928</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13492-2021</t>
        </is>
      </c>
      <c r="B111" s="1" t="n">
        <v>44273</v>
      </c>
      <c r="C111" s="1" t="n">
        <v>45928</v>
      </c>
      <c r="D111" t="inlineStr">
        <is>
          <t>KALMAR LÄN</t>
        </is>
      </c>
      <c r="E111" t="inlineStr">
        <is>
          <t>VIMMERBY</t>
        </is>
      </c>
      <c r="G111" t="n">
        <v>3.1</v>
      </c>
      <c r="H111" t="n">
        <v>0</v>
      </c>
      <c r="I111" t="n">
        <v>0</v>
      </c>
      <c r="J111" t="n">
        <v>0</v>
      </c>
      <c r="K111" t="n">
        <v>0</v>
      </c>
      <c r="L111" t="n">
        <v>0</v>
      </c>
      <c r="M111" t="n">
        <v>0</v>
      </c>
      <c r="N111" t="n">
        <v>0</v>
      </c>
      <c r="O111" t="n">
        <v>0</v>
      </c>
      <c r="P111" t="n">
        <v>0</v>
      </c>
      <c r="Q111" t="n">
        <v>0</v>
      </c>
      <c r="R111" s="2" t="inlineStr"/>
    </row>
    <row r="112" ht="15" customHeight="1">
      <c r="A112" t="inlineStr">
        <is>
          <t>A 17869-2021</t>
        </is>
      </c>
      <c r="B112" s="1" t="n">
        <v>44301.36048611111</v>
      </c>
      <c r="C112" s="1" t="n">
        <v>45928</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25049-2022</t>
        </is>
      </c>
      <c r="B113" s="1" t="n">
        <v>44729.28226851852</v>
      </c>
      <c r="C113" s="1" t="n">
        <v>45928</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12848-2021</t>
        </is>
      </c>
      <c r="B114" s="1" t="n">
        <v>44271.37226851852</v>
      </c>
      <c r="C114" s="1" t="n">
        <v>45928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24723-2021</t>
        </is>
      </c>
      <c r="B115" s="1" t="n">
        <v>44340.54472222222</v>
      </c>
      <c r="C115" s="1" t="n">
        <v>45928</v>
      </c>
      <c r="D115" t="inlineStr">
        <is>
          <t>KALMAR LÄN</t>
        </is>
      </c>
      <c r="E115" t="inlineStr">
        <is>
          <t>VIMMERBY</t>
        </is>
      </c>
      <c r="G115" t="n">
        <v>3.3</v>
      </c>
      <c r="H115" t="n">
        <v>0</v>
      </c>
      <c r="I115" t="n">
        <v>0</v>
      </c>
      <c r="J115" t="n">
        <v>0</v>
      </c>
      <c r="K115" t="n">
        <v>0</v>
      </c>
      <c r="L115" t="n">
        <v>0</v>
      </c>
      <c r="M115" t="n">
        <v>0</v>
      </c>
      <c r="N115" t="n">
        <v>0</v>
      </c>
      <c r="O115" t="n">
        <v>0</v>
      </c>
      <c r="P115" t="n">
        <v>0</v>
      </c>
      <c r="Q115" t="n">
        <v>0</v>
      </c>
      <c r="R115" s="2" t="inlineStr"/>
    </row>
    <row r="116" ht="15" customHeight="1">
      <c r="A116" t="inlineStr">
        <is>
          <t>A 24752-2021</t>
        </is>
      </c>
      <c r="B116" s="1" t="n">
        <v>44340</v>
      </c>
      <c r="C116" s="1" t="n">
        <v>45928</v>
      </c>
      <c r="D116" t="inlineStr">
        <is>
          <t>KALMAR LÄN</t>
        </is>
      </c>
      <c r="E116" t="inlineStr">
        <is>
          <t>VIMMERBY</t>
        </is>
      </c>
      <c r="G116" t="n">
        <v>4.1</v>
      </c>
      <c r="H116" t="n">
        <v>0</v>
      </c>
      <c r="I116" t="n">
        <v>0</v>
      </c>
      <c r="J116" t="n">
        <v>0</v>
      </c>
      <c r="K116" t="n">
        <v>0</v>
      </c>
      <c r="L116" t="n">
        <v>0</v>
      </c>
      <c r="M116" t="n">
        <v>0</v>
      </c>
      <c r="N116" t="n">
        <v>0</v>
      </c>
      <c r="O116" t="n">
        <v>0</v>
      </c>
      <c r="P116" t="n">
        <v>0</v>
      </c>
      <c r="Q116" t="n">
        <v>0</v>
      </c>
      <c r="R116" s="2" t="inlineStr"/>
    </row>
    <row r="117" ht="15" customHeight="1">
      <c r="A117" t="inlineStr">
        <is>
          <t>A 31533-2022</t>
        </is>
      </c>
      <c r="B117" s="1" t="n">
        <v>44774</v>
      </c>
      <c r="C117" s="1" t="n">
        <v>45928</v>
      </c>
      <c r="D117" t="inlineStr">
        <is>
          <t>KALMAR LÄN</t>
        </is>
      </c>
      <c r="E117" t="inlineStr">
        <is>
          <t>VIMMERBY</t>
        </is>
      </c>
      <c r="G117" t="n">
        <v>2.5</v>
      </c>
      <c r="H117" t="n">
        <v>0</v>
      </c>
      <c r="I117" t="n">
        <v>0</v>
      </c>
      <c r="J117" t="n">
        <v>0</v>
      </c>
      <c r="K117" t="n">
        <v>0</v>
      </c>
      <c r="L117" t="n">
        <v>0</v>
      </c>
      <c r="M117" t="n">
        <v>0</v>
      </c>
      <c r="N117" t="n">
        <v>0</v>
      </c>
      <c r="O117" t="n">
        <v>0</v>
      </c>
      <c r="P117" t="n">
        <v>0</v>
      </c>
      <c r="Q117" t="n">
        <v>0</v>
      </c>
      <c r="R117" s="2" t="inlineStr"/>
    </row>
    <row r="118" ht="15" customHeight="1">
      <c r="A118" t="inlineStr">
        <is>
          <t>A 25859-2022</t>
        </is>
      </c>
      <c r="B118" s="1" t="n">
        <v>44733</v>
      </c>
      <c r="C118" s="1" t="n">
        <v>45928</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25868-2022</t>
        </is>
      </c>
      <c r="B119" s="1" t="n">
        <v>44733</v>
      </c>
      <c r="C119" s="1" t="n">
        <v>45928</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60810-2020</t>
        </is>
      </c>
      <c r="B120" s="1" t="n">
        <v>44154</v>
      </c>
      <c r="C120" s="1" t="n">
        <v>45928</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32386-2021</t>
        </is>
      </c>
      <c r="B121" s="1" t="n">
        <v>44371.62743055556</v>
      </c>
      <c r="C121" s="1" t="n">
        <v>45928</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35633-2021</t>
        </is>
      </c>
      <c r="B122" s="1" t="n">
        <v>44386.40783564815</v>
      </c>
      <c r="C122" s="1" t="n">
        <v>45928</v>
      </c>
      <c r="D122" t="inlineStr">
        <is>
          <t>KALMAR LÄN</t>
        </is>
      </c>
      <c r="E122" t="inlineStr">
        <is>
          <t>VIMMERBY</t>
        </is>
      </c>
      <c r="G122" t="n">
        <v>1.6</v>
      </c>
      <c r="H122" t="n">
        <v>0</v>
      </c>
      <c r="I122" t="n">
        <v>0</v>
      </c>
      <c r="J122" t="n">
        <v>0</v>
      </c>
      <c r="K122" t="n">
        <v>0</v>
      </c>
      <c r="L122" t="n">
        <v>0</v>
      </c>
      <c r="M122" t="n">
        <v>0</v>
      </c>
      <c r="N122" t="n">
        <v>0</v>
      </c>
      <c r="O122" t="n">
        <v>0</v>
      </c>
      <c r="P122" t="n">
        <v>0</v>
      </c>
      <c r="Q122" t="n">
        <v>0</v>
      </c>
      <c r="R122" s="2" t="inlineStr"/>
    </row>
    <row r="123" ht="15" customHeight="1">
      <c r="A123" t="inlineStr">
        <is>
          <t>A 56343-2021</t>
        </is>
      </c>
      <c r="B123" s="1" t="n">
        <v>44480</v>
      </c>
      <c r="C123" s="1" t="n">
        <v>45928</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8415-2021</t>
        </is>
      </c>
      <c r="B124" s="1" t="n">
        <v>44245</v>
      </c>
      <c r="C124" s="1" t="n">
        <v>45928</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24369-2021</t>
        </is>
      </c>
      <c r="B125" s="1" t="n">
        <v>44337</v>
      </c>
      <c r="C125" s="1" t="n">
        <v>45928</v>
      </c>
      <c r="D125" t="inlineStr">
        <is>
          <t>KALMAR LÄN</t>
        </is>
      </c>
      <c r="E125" t="inlineStr">
        <is>
          <t>VIMMERBY</t>
        </is>
      </c>
      <c r="G125" t="n">
        <v>8.800000000000001</v>
      </c>
      <c r="H125" t="n">
        <v>0</v>
      </c>
      <c r="I125" t="n">
        <v>0</v>
      </c>
      <c r="J125" t="n">
        <v>0</v>
      </c>
      <c r="K125" t="n">
        <v>0</v>
      </c>
      <c r="L125" t="n">
        <v>0</v>
      </c>
      <c r="M125" t="n">
        <v>0</v>
      </c>
      <c r="N125" t="n">
        <v>0</v>
      </c>
      <c r="O125" t="n">
        <v>0</v>
      </c>
      <c r="P125" t="n">
        <v>0</v>
      </c>
      <c r="Q125" t="n">
        <v>0</v>
      </c>
      <c r="R125" s="2" t="inlineStr"/>
    </row>
    <row r="126" ht="15" customHeight="1">
      <c r="A126" t="inlineStr">
        <is>
          <t>A 48949-2020</t>
        </is>
      </c>
      <c r="B126" s="1" t="n">
        <v>44102</v>
      </c>
      <c r="C126" s="1" t="n">
        <v>45928</v>
      </c>
      <c r="D126" t="inlineStr">
        <is>
          <t>KALMAR LÄN</t>
        </is>
      </c>
      <c r="E126" t="inlineStr">
        <is>
          <t>VIMMERBY</t>
        </is>
      </c>
      <c r="G126" t="n">
        <v>0.7</v>
      </c>
      <c r="H126" t="n">
        <v>0</v>
      </c>
      <c r="I126" t="n">
        <v>0</v>
      </c>
      <c r="J126" t="n">
        <v>0</v>
      </c>
      <c r="K126" t="n">
        <v>0</v>
      </c>
      <c r="L126" t="n">
        <v>0</v>
      </c>
      <c r="M126" t="n">
        <v>0</v>
      </c>
      <c r="N126" t="n">
        <v>0</v>
      </c>
      <c r="O126" t="n">
        <v>0</v>
      </c>
      <c r="P126" t="n">
        <v>0</v>
      </c>
      <c r="Q126" t="n">
        <v>0</v>
      </c>
      <c r="R126" s="2" t="inlineStr"/>
    </row>
    <row r="127" ht="15" customHeight="1">
      <c r="A127" t="inlineStr">
        <is>
          <t>A 51972-2021</t>
        </is>
      </c>
      <c r="B127" s="1" t="n">
        <v>44463.29439814815</v>
      </c>
      <c r="C127" s="1" t="n">
        <v>45928</v>
      </c>
      <c r="D127" t="inlineStr">
        <is>
          <t>KALMAR LÄN</t>
        </is>
      </c>
      <c r="E127" t="inlineStr">
        <is>
          <t>VIMMERBY</t>
        </is>
      </c>
      <c r="G127" t="n">
        <v>4.5</v>
      </c>
      <c r="H127" t="n">
        <v>0</v>
      </c>
      <c r="I127" t="n">
        <v>0</v>
      </c>
      <c r="J127" t="n">
        <v>0</v>
      </c>
      <c r="K127" t="n">
        <v>0</v>
      </c>
      <c r="L127" t="n">
        <v>0</v>
      </c>
      <c r="M127" t="n">
        <v>0</v>
      </c>
      <c r="N127" t="n">
        <v>0</v>
      </c>
      <c r="O127" t="n">
        <v>0</v>
      </c>
      <c r="P127" t="n">
        <v>0</v>
      </c>
      <c r="Q127" t="n">
        <v>0</v>
      </c>
      <c r="R127" s="2" t="inlineStr"/>
    </row>
    <row r="128" ht="15" customHeight="1">
      <c r="A128" t="inlineStr">
        <is>
          <t>A 4042-2022</t>
        </is>
      </c>
      <c r="B128" s="1" t="n">
        <v>44588</v>
      </c>
      <c r="C128" s="1" t="n">
        <v>45928</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52073-2020</t>
        </is>
      </c>
      <c r="B129" s="1" t="n">
        <v>44117</v>
      </c>
      <c r="C129" s="1" t="n">
        <v>45928</v>
      </c>
      <c r="D129" t="inlineStr">
        <is>
          <t>KALMAR LÄN</t>
        </is>
      </c>
      <c r="E129" t="inlineStr">
        <is>
          <t>VIMMERBY</t>
        </is>
      </c>
      <c r="G129" t="n">
        <v>2.3</v>
      </c>
      <c r="H129" t="n">
        <v>0</v>
      </c>
      <c r="I129" t="n">
        <v>0</v>
      </c>
      <c r="J129" t="n">
        <v>0</v>
      </c>
      <c r="K129" t="n">
        <v>0</v>
      </c>
      <c r="L129" t="n">
        <v>0</v>
      </c>
      <c r="M129" t="n">
        <v>0</v>
      </c>
      <c r="N129" t="n">
        <v>0</v>
      </c>
      <c r="O129" t="n">
        <v>0</v>
      </c>
      <c r="P129" t="n">
        <v>0</v>
      </c>
      <c r="Q129" t="n">
        <v>0</v>
      </c>
      <c r="R129" s="2" t="inlineStr"/>
    </row>
    <row r="130" ht="15" customHeight="1">
      <c r="A130" t="inlineStr">
        <is>
          <t>A 33690-2022</t>
        </is>
      </c>
      <c r="B130" s="1" t="n">
        <v>44789</v>
      </c>
      <c r="C130" s="1" t="n">
        <v>45928</v>
      </c>
      <c r="D130" t="inlineStr">
        <is>
          <t>KALMAR LÄN</t>
        </is>
      </c>
      <c r="E130" t="inlineStr">
        <is>
          <t>VIMMERBY</t>
        </is>
      </c>
      <c r="G130" t="n">
        <v>0.5</v>
      </c>
      <c r="H130" t="n">
        <v>0</v>
      </c>
      <c r="I130" t="n">
        <v>0</v>
      </c>
      <c r="J130" t="n">
        <v>0</v>
      </c>
      <c r="K130" t="n">
        <v>0</v>
      </c>
      <c r="L130" t="n">
        <v>0</v>
      </c>
      <c r="M130" t="n">
        <v>0</v>
      </c>
      <c r="N130" t="n">
        <v>0</v>
      </c>
      <c r="O130" t="n">
        <v>0</v>
      </c>
      <c r="P130" t="n">
        <v>0</v>
      </c>
      <c r="Q130" t="n">
        <v>0</v>
      </c>
      <c r="R130" s="2" t="inlineStr"/>
    </row>
    <row r="131" ht="15" customHeight="1">
      <c r="A131" t="inlineStr">
        <is>
          <t>A 35198-2021</t>
        </is>
      </c>
      <c r="B131" s="1" t="n">
        <v>44377</v>
      </c>
      <c r="C131" s="1" t="n">
        <v>45928</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34036-2021</t>
        </is>
      </c>
      <c r="B132" s="1" t="n">
        <v>44379</v>
      </c>
      <c r="C132" s="1" t="n">
        <v>45928</v>
      </c>
      <c r="D132" t="inlineStr">
        <is>
          <t>KALMAR LÄN</t>
        </is>
      </c>
      <c r="E132" t="inlineStr">
        <is>
          <t>VIMMERBY</t>
        </is>
      </c>
      <c r="F132" t="inlineStr">
        <is>
          <t>Sveaskog</t>
        </is>
      </c>
      <c r="G132" t="n">
        <v>7</v>
      </c>
      <c r="H132" t="n">
        <v>0</v>
      </c>
      <c r="I132" t="n">
        <v>0</v>
      </c>
      <c r="J132" t="n">
        <v>0</v>
      </c>
      <c r="K132" t="n">
        <v>0</v>
      </c>
      <c r="L132" t="n">
        <v>0</v>
      </c>
      <c r="M132" t="n">
        <v>0</v>
      </c>
      <c r="N132" t="n">
        <v>0</v>
      </c>
      <c r="O132" t="n">
        <v>0</v>
      </c>
      <c r="P132" t="n">
        <v>0</v>
      </c>
      <c r="Q132" t="n">
        <v>0</v>
      </c>
      <c r="R132" s="2" t="inlineStr"/>
    </row>
    <row r="133" ht="15" customHeight="1">
      <c r="A133" t="inlineStr">
        <is>
          <t>A 63244-2021</t>
        </is>
      </c>
      <c r="B133" s="1" t="n">
        <v>44508</v>
      </c>
      <c r="C133" s="1" t="n">
        <v>45928</v>
      </c>
      <c r="D133" t="inlineStr">
        <is>
          <t>KALMAR LÄN</t>
        </is>
      </c>
      <c r="E133" t="inlineStr">
        <is>
          <t>VIMMERBY</t>
        </is>
      </c>
      <c r="F133" t="inlineStr">
        <is>
          <t>Övriga statliga verk och myndigheter</t>
        </is>
      </c>
      <c r="G133" t="n">
        <v>0.6</v>
      </c>
      <c r="H133" t="n">
        <v>0</v>
      </c>
      <c r="I133" t="n">
        <v>0</v>
      </c>
      <c r="J133" t="n">
        <v>0</v>
      </c>
      <c r="K133" t="n">
        <v>0</v>
      </c>
      <c r="L133" t="n">
        <v>0</v>
      </c>
      <c r="M133" t="n">
        <v>0</v>
      </c>
      <c r="N133" t="n">
        <v>0</v>
      </c>
      <c r="O133" t="n">
        <v>0</v>
      </c>
      <c r="P133" t="n">
        <v>0</v>
      </c>
      <c r="Q133" t="n">
        <v>0</v>
      </c>
      <c r="R133" s="2" t="inlineStr"/>
    </row>
    <row r="134" ht="15" customHeight="1">
      <c r="A134" t="inlineStr">
        <is>
          <t>A 11814-2022</t>
        </is>
      </c>
      <c r="B134" s="1" t="n">
        <v>44634.69703703704</v>
      </c>
      <c r="C134" s="1" t="n">
        <v>45928</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56385-2021</t>
        </is>
      </c>
      <c r="B135" s="1" t="n">
        <v>44480</v>
      </c>
      <c r="C135" s="1" t="n">
        <v>45928</v>
      </c>
      <c r="D135" t="inlineStr">
        <is>
          <t>KALMAR LÄN</t>
        </is>
      </c>
      <c r="E135" t="inlineStr">
        <is>
          <t>VIMMERBY</t>
        </is>
      </c>
      <c r="G135" t="n">
        <v>1.9</v>
      </c>
      <c r="H135" t="n">
        <v>0</v>
      </c>
      <c r="I135" t="n">
        <v>0</v>
      </c>
      <c r="J135" t="n">
        <v>0</v>
      </c>
      <c r="K135" t="n">
        <v>0</v>
      </c>
      <c r="L135" t="n">
        <v>0</v>
      </c>
      <c r="M135" t="n">
        <v>0</v>
      </c>
      <c r="N135" t="n">
        <v>0</v>
      </c>
      <c r="O135" t="n">
        <v>0</v>
      </c>
      <c r="P135" t="n">
        <v>0</v>
      </c>
      <c r="Q135" t="n">
        <v>0</v>
      </c>
      <c r="R135" s="2" t="inlineStr"/>
    </row>
    <row r="136" ht="15" customHeight="1">
      <c r="A136" t="inlineStr">
        <is>
          <t>A 31053-2022</t>
        </is>
      </c>
      <c r="B136" s="1" t="n">
        <v>44769.45422453704</v>
      </c>
      <c r="C136" s="1" t="n">
        <v>45928</v>
      </c>
      <c r="D136" t="inlineStr">
        <is>
          <t>KALMAR LÄN</t>
        </is>
      </c>
      <c r="E136" t="inlineStr">
        <is>
          <t>VIMMERBY</t>
        </is>
      </c>
      <c r="G136" t="n">
        <v>1.9</v>
      </c>
      <c r="H136" t="n">
        <v>0</v>
      </c>
      <c r="I136" t="n">
        <v>0</v>
      </c>
      <c r="J136" t="n">
        <v>0</v>
      </c>
      <c r="K136" t="n">
        <v>0</v>
      </c>
      <c r="L136" t="n">
        <v>0</v>
      </c>
      <c r="M136" t="n">
        <v>0</v>
      </c>
      <c r="N136" t="n">
        <v>0</v>
      </c>
      <c r="O136" t="n">
        <v>0</v>
      </c>
      <c r="P136" t="n">
        <v>0</v>
      </c>
      <c r="Q136" t="n">
        <v>0</v>
      </c>
      <c r="R136" s="2" t="inlineStr"/>
    </row>
    <row r="137" ht="15" customHeight="1">
      <c r="A137" t="inlineStr">
        <is>
          <t>A 24738-2021</t>
        </is>
      </c>
      <c r="B137" s="1" t="n">
        <v>44340.58002314815</v>
      </c>
      <c r="C137" s="1" t="n">
        <v>45928</v>
      </c>
      <c r="D137" t="inlineStr">
        <is>
          <t>KALMAR LÄN</t>
        </is>
      </c>
      <c r="E137" t="inlineStr">
        <is>
          <t>VIMMERBY</t>
        </is>
      </c>
      <c r="G137" t="n">
        <v>3.5</v>
      </c>
      <c r="H137" t="n">
        <v>0</v>
      </c>
      <c r="I137" t="n">
        <v>0</v>
      </c>
      <c r="J137" t="n">
        <v>0</v>
      </c>
      <c r="K137" t="n">
        <v>0</v>
      </c>
      <c r="L137" t="n">
        <v>0</v>
      </c>
      <c r="M137" t="n">
        <v>0</v>
      </c>
      <c r="N137" t="n">
        <v>0</v>
      </c>
      <c r="O137" t="n">
        <v>0</v>
      </c>
      <c r="P137" t="n">
        <v>0</v>
      </c>
      <c r="Q137" t="n">
        <v>0</v>
      </c>
      <c r="R137" s="2" t="inlineStr"/>
    </row>
    <row r="138" ht="15" customHeight="1">
      <c r="A138" t="inlineStr">
        <is>
          <t>A 8454-2022</t>
        </is>
      </c>
      <c r="B138" s="1" t="n">
        <v>44612.86762731482</v>
      </c>
      <c r="C138" s="1" t="n">
        <v>45928</v>
      </c>
      <c r="D138" t="inlineStr">
        <is>
          <t>KALMAR LÄN</t>
        </is>
      </c>
      <c r="E138" t="inlineStr">
        <is>
          <t>VIMMERBY</t>
        </is>
      </c>
      <c r="G138" t="n">
        <v>0.6</v>
      </c>
      <c r="H138" t="n">
        <v>0</v>
      </c>
      <c r="I138" t="n">
        <v>0</v>
      </c>
      <c r="J138" t="n">
        <v>0</v>
      </c>
      <c r="K138" t="n">
        <v>0</v>
      </c>
      <c r="L138" t="n">
        <v>0</v>
      </c>
      <c r="M138" t="n">
        <v>0</v>
      </c>
      <c r="N138" t="n">
        <v>0</v>
      </c>
      <c r="O138" t="n">
        <v>0</v>
      </c>
      <c r="P138" t="n">
        <v>0</v>
      </c>
      <c r="Q138" t="n">
        <v>0</v>
      </c>
      <c r="R138" s="2" t="inlineStr"/>
    </row>
    <row r="139" ht="15" customHeight="1">
      <c r="A139" t="inlineStr">
        <is>
          <t>A 65887-2021</t>
        </is>
      </c>
      <c r="B139" s="1" t="n">
        <v>44517</v>
      </c>
      <c r="C139" s="1" t="n">
        <v>45928</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39959-2022</t>
        </is>
      </c>
      <c r="B140" s="1" t="n">
        <v>44819</v>
      </c>
      <c r="C140" s="1" t="n">
        <v>45928</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10086-2022</t>
        </is>
      </c>
      <c r="B141" s="1" t="n">
        <v>44621</v>
      </c>
      <c r="C141" s="1" t="n">
        <v>45928</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3330-2021</t>
        </is>
      </c>
      <c r="B142" s="1" t="n">
        <v>44217.79856481482</v>
      </c>
      <c r="C142" s="1" t="n">
        <v>45928</v>
      </c>
      <c r="D142" t="inlineStr">
        <is>
          <t>KALMAR LÄN</t>
        </is>
      </c>
      <c r="E142" t="inlineStr">
        <is>
          <t>VIMMERBY</t>
        </is>
      </c>
      <c r="G142" t="n">
        <v>11.1</v>
      </c>
      <c r="H142" t="n">
        <v>0</v>
      </c>
      <c r="I142" t="n">
        <v>0</v>
      </c>
      <c r="J142" t="n">
        <v>0</v>
      </c>
      <c r="K142" t="n">
        <v>0</v>
      </c>
      <c r="L142" t="n">
        <v>0</v>
      </c>
      <c r="M142" t="n">
        <v>0</v>
      </c>
      <c r="N142" t="n">
        <v>0</v>
      </c>
      <c r="O142" t="n">
        <v>0</v>
      </c>
      <c r="P142" t="n">
        <v>0</v>
      </c>
      <c r="Q142" t="n">
        <v>0</v>
      </c>
      <c r="R142" s="2" t="inlineStr"/>
    </row>
    <row r="143" ht="15" customHeight="1">
      <c r="A143" t="inlineStr">
        <is>
          <t>A 65564-2020</t>
        </is>
      </c>
      <c r="B143" s="1" t="n">
        <v>44172</v>
      </c>
      <c r="C143" s="1" t="n">
        <v>45928</v>
      </c>
      <c r="D143" t="inlineStr">
        <is>
          <t>KALMAR LÄN</t>
        </is>
      </c>
      <c r="E143" t="inlineStr">
        <is>
          <t>VIMMERBY</t>
        </is>
      </c>
      <c r="G143" t="n">
        <v>4.1</v>
      </c>
      <c r="H143" t="n">
        <v>0</v>
      </c>
      <c r="I143" t="n">
        <v>0</v>
      </c>
      <c r="J143" t="n">
        <v>0</v>
      </c>
      <c r="K143" t="n">
        <v>0</v>
      </c>
      <c r="L143" t="n">
        <v>0</v>
      </c>
      <c r="M143" t="n">
        <v>0</v>
      </c>
      <c r="N143" t="n">
        <v>0</v>
      </c>
      <c r="O143" t="n">
        <v>0</v>
      </c>
      <c r="P143" t="n">
        <v>0</v>
      </c>
      <c r="Q143" t="n">
        <v>0</v>
      </c>
      <c r="R143" s="2" t="inlineStr"/>
    </row>
    <row r="144" ht="15" customHeight="1">
      <c r="A144" t="inlineStr">
        <is>
          <t>A 48377-2021</t>
        </is>
      </c>
      <c r="B144" s="1" t="n">
        <v>44451.8375</v>
      </c>
      <c r="C144" s="1" t="n">
        <v>45928</v>
      </c>
      <c r="D144" t="inlineStr">
        <is>
          <t>KALMAR LÄN</t>
        </is>
      </c>
      <c r="E144" t="inlineStr">
        <is>
          <t>VIMMERBY</t>
        </is>
      </c>
      <c r="G144" t="n">
        <v>0.4</v>
      </c>
      <c r="H144" t="n">
        <v>0</v>
      </c>
      <c r="I144" t="n">
        <v>0</v>
      </c>
      <c r="J144" t="n">
        <v>0</v>
      </c>
      <c r="K144" t="n">
        <v>0</v>
      </c>
      <c r="L144" t="n">
        <v>0</v>
      </c>
      <c r="M144" t="n">
        <v>0</v>
      </c>
      <c r="N144" t="n">
        <v>0</v>
      </c>
      <c r="O144" t="n">
        <v>0</v>
      </c>
      <c r="P144" t="n">
        <v>0</v>
      </c>
      <c r="Q144" t="n">
        <v>0</v>
      </c>
      <c r="R144" s="2" t="inlineStr"/>
    </row>
    <row r="145" ht="15" customHeight="1">
      <c r="A145" t="inlineStr">
        <is>
          <t>A 40472-2022</t>
        </is>
      </c>
      <c r="B145" s="1" t="n">
        <v>44823</v>
      </c>
      <c r="C145" s="1" t="n">
        <v>45928</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12661-2021</t>
        </is>
      </c>
      <c r="B146" s="1" t="n">
        <v>44270</v>
      </c>
      <c r="C146" s="1" t="n">
        <v>45928</v>
      </c>
      <c r="D146" t="inlineStr">
        <is>
          <t>KALMAR LÄN</t>
        </is>
      </c>
      <c r="E146" t="inlineStr">
        <is>
          <t>VIMMERBY</t>
        </is>
      </c>
      <c r="G146" t="n">
        <v>1.8</v>
      </c>
      <c r="H146" t="n">
        <v>0</v>
      </c>
      <c r="I146" t="n">
        <v>0</v>
      </c>
      <c r="J146" t="n">
        <v>0</v>
      </c>
      <c r="K146" t="n">
        <v>0</v>
      </c>
      <c r="L146" t="n">
        <v>0</v>
      </c>
      <c r="M146" t="n">
        <v>0</v>
      </c>
      <c r="N146" t="n">
        <v>0</v>
      </c>
      <c r="O146" t="n">
        <v>0</v>
      </c>
      <c r="P146" t="n">
        <v>0</v>
      </c>
      <c r="Q146" t="n">
        <v>0</v>
      </c>
      <c r="R146" s="2" t="inlineStr"/>
    </row>
    <row r="147" ht="15" customHeight="1">
      <c r="A147" t="inlineStr">
        <is>
          <t>A 53145-2022</t>
        </is>
      </c>
      <c r="B147" s="1" t="n">
        <v>44876.48346064815</v>
      </c>
      <c r="C147" s="1" t="n">
        <v>45928</v>
      </c>
      <c r="D147" t="inlineStr">
        <is>
          <t>KALMAR LÄN</t>
        </is>
      </c>
      <c r="E147" t="inlineStr">
        <is>
          <t>VIMMERBY</t>
        </is>
      </c>
      <c r="G147" t="n">
        <v>0.4</v>
      </c>
      <c r="H147" t="n">
        <v>0</v>
      </c>
      <c r="I147" t="n">
        <v>0</v>
      </c>
      <c r="J147" t="n">
        <v>0</v>
      </c>
      <c r="K147" t="n">
        <v>0</v>
      </c>
      <c r="L147" t="n">
        <v>0</v>
      </c>
      <c r="M147" t="n">
        <v>0</v>
      </c>
      <c r="N147" t="n">
        <v>0</v>
      </c>
      <c r="O147" t="n">
        <v>0</v>
      </c>
      <c r="P147" t="n">
        <v>0</v>
      </c>
      <c r="Q147" t="n">
        <v>0</v>
      </c>
      <c r="R147" s="2" t="inlineStr"/>
    </row>
    <row r="148" ht="15" customHeight="1">
      <c r="A148" t="inlineStr">
        <is>
          <t>A 25738-2022</t>
        </is>
      </c>
      <c r="B148" s="1" t="n">
        <v>44733.43092592592</v>
      </c>
      <c r="C148" s="1" t="n">
        <v>45928</v>
      </c>
      <c r="D148" t="inlineStr">
        <is>
          <t>KALMAR LÄN</t>
        </is>
      </c>
      <c r="E148" t="inlineStr">
        <is>
          <t>VIMMERBY</t>
        </is>
      </c>
      <c r="G148" t="n">
        <v>1</v>
      </c>
      <c r="H148" t="n">
        <v>0</v>
      </c>
      <c r="I148" t="n">
        <v>0</v>
      </c>
      <c r="J148" t="n">
        <v>0</v>
      </c>
      <c r="K148" t="n">
        <v>0</v>
      </c>
      <c r="L148" t="n">
        <v>0</v>
      </c>
      <c r="M148" t="n">
        <v>0</v>
      </c>
      <c r="N148" t="n">
        <v>0</v>
      </c>
      <c r="O148" t="n">
        <v>0</v>
      </c>
      <c r="P148" t="n">
        <v>0</v>
      </c>
      <c r="Q148" t="n">
        <v>0</v>
      </c>
      <c r="R148" s="2" t="inlineStr"/>
    </row>
    <row r="149" ht="15" customHeight="1">
      <c r="A149" t="inlineStr">
        <is>
          <t>A 24999-2021</t>
        </is>
      </c>
      <c r="B149" s="1" t="n">
        <v>44341</v>
      </c>
      <c r="C149" s="1" t="n">
        <v>45928</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7917-2022</t>
        </is>
      </c>
      <c r="B150" s="1" t="n">
        <v>44608</v>
      </c>
      <c r="C150" s="1" t="n">
        <v>45928</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47208-2021</t>
        </is>
      </c>
      <c r="B151" s="1" t="n">
        <v>44447.34237268518</v>
      </c>
      <c r="C151" s="1" t="n">
        <v>45928</v>
      </c>
      <c r="D151" t="inlineStr">
        <is>
          <t>KALMAR LÄN</t>
        </is>
      </c>
      <c r="E151" t="inlineStr">
        <is>
          <t>VIMMERBY</t>
        </is>
      </c>
      <c r="G151" t="n">
        <v>1.4</v>
      </c>
      <c r="H151" t="n">
        <v>0</v>
      </c>
      <c r="I151" t="n">
        <v>0</v>
      </c>
      <c r="J151" t="n">
        <v>0</v>
      </c>
      <c r="K151" t="n">
        <v>0</v>
      </c>
      <c r="L151" t="n">
        <v>0</v>
      </c>
      <c r="M151" t="n">
        <v>0</v>
      </c>
      <c r="N151" t="n">
        <v>0</v>
      </c>
      <c r="O151" t="n">
        <v>0</v>
      </c>
      <c r="P151" t="n">
        <v>0</v>
      </c>
      <c r="Q151" t="n">
        <v>0</v>
      </c>
      <c r="R151" s="2" t="inlineStr"/>
    </row>
    <row r="152" ht="15" customHeight="1">
      <c r="A152" t="inlineStr">
        <is>
          <t>A 35316-2021</t>
        </is>
      </c>
      <c r="B152" s="1" t="n">
        <v>44384</v>
      </c>
      <c r="C152" s="1" t="n">
        <v>45928</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33831-2022</t>
        </is>
      </c>
      <c r="B153" s="1" t="n">
        <v>44790.48503472222</v>
      </c>
      <c r="C153" s="1" t="n">
        <v>45928</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47708-2022</t>
        </is>
      </c>
      <c r="B154" s="1" t="n">
        <v>44854.59157407407</v>
      </c>
      <c r="C154" s="1" t="n">
        <v>45928</v>
      </c>
      <c r="D154" t="inlineStr">
        <is>
          <t>KALMAR LÄN</t>
        </is>
      </c>
      <c r="E154" t="inlineStr">
        <is>
          <t>VIMMERBY</t>
        </is>
      </c>
      <c r="G154" t="n">
        <v>0.6</v>
      </c>
      <c r="H154" t="n">
        <v>0</v>
      </c>
      <c r="I154" t="n">
        <v>0</v>
      </c>
      <c r="J154" t="n">
        <v>0</v>
      </c>
      <c r="K154" t="n">
        <v>0</v>
      </c>
      <c r="L154" t="n">
        <v>0</v>
      </c>
      <c r="M154" t="n">
        <v>0</v>
      </c>
      <c r="N154" t="n">
        <v>0</v>
      </c>
      <c r="O154" t="n">
        <v>0</v>
      </c>
      <c r="P154" t="n">
        <v>0</v>
      </c>
      <c r="Q154" t="n">
        <v>0</v>
      </c>
      <c r="R154" s="2" t="inlineStr"/>
    </row>
    <row r="155" ht="15" customHeight="1">
      <c r="A155" t="inlineStr">
        <is>
          <t>A 16705-2021</t>
        </is>
      </c>
      <c r="B155" s="1" t="n">
        <v>44294</v>
      </c>
      <c r="C155" s="1" t="n">
        <v>45928</v>
      </c>
      <c r="D155" t="inlineStr">
        <is>
          <t>KALMAR LÄN</t>
        </is>
      </c>
      <c r="E155" t="inlineStr">
        <is>
          <t>VIMMERBY</t>
        </is>
      </c>
      <c r="G155" t="n">
        <v>2.6</v>
      </c>
      <c r="H155" t="n">
        <v>0</v>
      </c>
      <c r="I155" t="n">
        <v>0</v>
      </c>
      <c r="J155" t="n">
        <v>0</v>
      </c>
      <c r="K155" t="n">
        <v>0</v>
      </c>
      <c r="L155" t="n">
        <v>0</v>
      </c>
      <c r="M155" t="n">
        <v>0</v>
      </c>
      <c r="N155" t="n">
        <v>0</v>
      </c>
      <c r="O155" t="n">
        <v>0</v>
      </c>
      <c r="P155" t="n">
        <v>0</v>
      </c>
      <c r="Q155" t="n">
        <v>0</v>
      </c>
      <c r="R155" s="2" t="inlineStr"/>
    </row>
    <row r="156" ht="15" customHeight="1">
      <c r="A156" t="inlineStr">
        <is>
          <t>A 51977-2020</t>
        </is>
      </c>
      <c r="B156" s="1" t="n">
        <v>44116</v>
      </c>
      <c r="C156" s="1" t="n">
        <v>45928</v>
      </c>
      <c r="D156" t="inlineStr">
        <is>
          <t>KALMAR LÄN</t>
        </is>
      </c>
      <c r="E156" t="inlineStr">
        <is>
          <t>VIMMERBY</t>
        </is>
      </c>
      <c r="G156" t="n">
        <v>1.5</v>
      </c>
      <c r="H156" t="n">
        <v>0</v>
      </c>
      <c r="I156" t="n">
        <v>0</v>
      </c>
      <c r="J156" t="n">
        <v>0</v>
      </c>
      <c r="K156" t="n">
        <v>0</v>
      </c>
      <c r="L156" t="n">
        <v>0</v>
      </c>
      <c r="M156" t="n">
        <v>0</v>
      </c>
      <c r="N156" t="n">
        <v>0</v>
      </c>
      <c r="O156" t="n">
        <v>0</v>
      </c>
      <c r="P156" t="n">
        <v>0</v>
      </c>
      <c r="Q156" t="n">
        <v>0</v>
      </c>
      <c r="R156" s="2" t="inlineStr"/>
    </row>
    <row r="157" ht="15" customHeight="1">
      <c r="A157" t="inlineStr">
        <is>
          <t>A 8194-2022</t>
        </is>
      </c>
      <c r="B157" s="1" t="n">
        <v>44609</v>
      </c>
      <c r="C157" s="1" t="n">
        <v>45928</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15191-2021</t>
        </is>
      </c>
      <c r="B158" s="1" t="n">
        <v>44284.42348379629</v>
      </c>
      <c r="C158" s="1" t="n">
        <v>45928</v>
      </c>
      <c r="D158" t="inlineStr">
        <is>
          <t>KALMAR LÄN</t>
        </is>
      </c>
      <c r="E158" t="inlineStr">
        <is>
          <t>VIMMERBY</t>
        </is>
      </c>
      <c r="G158" t="n">
        <v>1.3</v>
      </c>
      <c r="H158" t="n">
        <v>0</v>
      </c>
      <c r="I158" t="n">
        <v>0</v>
      </c>
      <c r="J158" t="n">
        <v>0</v>
      </c>
      <c r="K158" t="n">
        <v>0</v>
      </c>
      <c r="L158" t="n">
        <v>0</v>
      </c>
      <c r="M158" t="n">
        <v>0</v>
      </c>
      <c r="N158" t="n">
        <v>0</v>
      </c>
      <c r="O158" t="n">
        <v>0</v>
      </c>
      <c r="P158" t="n">
        <v>0</v>
      </c>
      <c r="Q158" t="n">
        <v>0</v>
      </c>
      <c r="R158" s="2" t="inlineStr"/>
    </row>
    <row r="159" ht="15" customHeight="1">
      <c r="A159" t="inlineStr">
        <is>
          <t>A 9918-2022</t>
        </is>
      </c>
      <c r="B159" s="1" t="n">
        <v>44620</v>
      </c>
      <c r="C159" s="1" t="n">
        <v>45928</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40971-2021</t>
        </is>
      </c>
      <c r="B160" s="1" t="n">
        <v>44421</v>
      </c>
      <c r="C160" s="1" t="n">
        <v>45928</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68744-2020</t>
        </is>
      </c>
      <c r="B161" s="1" t="n">
        <v>44186</v>
      </c>
      <c r="C161" s="1" t="n">
        <v>45928</v>
      </c>
      <c r="D161" t="inlineStr">
        <is>
          <t>KALMAR LÄN</t>
        </is>
      </c>
      <c r="E161" t="inlineStr">
        <is>
          <t>VIMMERBY</t>
        </is>
      </c>
      <c r="G161" t="n">
        <v>2.5</v>
      </c>
      <c r="H161" t="n">
        <v>0</v>
      </c>
      <c r="I161" t="n">
        <v>0</v>
      </c>
      <c r="J161" t="n">
        <v>0</v>
      </c>
      <c r="K161" t="n">
        <v>0</v>
      </c>
      <c r="L161" t="n">
        <v>0</v>
      </c>
      <c r="M161" t="n">
        <v>0</v>
      </c>
      <c r="N161" t="n">
        <v>0</v>
      </c>
      <c r="O161" t="n">
        <v>0</v>
      </c>
      <c r="P161" t="n">
        <v>0</v>
      </c>
      <c r="Q161" t="n">
        <v>0</v>
      </c>
      <c r="R161" s="2" t="inlineStr"/>
    </row>
    <row r="162" ht="15" customHeight="1">
      <c r="A162" t="inlineStr">
        <is>
          <t>A 56389-2021</t>
        </is>
      </c>
      <c r="B162" s="1" t="n">
        <v>44480</v>
      </c>
      <c r="C162" s="1" t="n">
        <v>45928</v>
      </c>
      <c r="D162" t="inlineStr">
        <is>
          <t>KALMAR LÄN</t>
        </is>
      </c>
      <c r="E162" t="inlineStr">
        <is>
          <t>VIMMERBY</t>
        </is>
      </c>
      <c r="G162" t="n">
        <v>0.9</v>
      </c>
      <c r="H162" t="n">
        <v>0</v>
      </c>
      <c r="I162" t="n">
        <v>0</v>
      </c>
      <c r="J162" t="n">
        <v>0</v>
      </c>
      <c r="K162" t="n">
        <v>0</v>
      </c>
      <c r="L162" t="n">
        <v>0</v>
      </c>
      <c r="M162" t="n">
        <v>0</v>
      </c>
      <c r="N162" t="n">
        <v>0</v>
      </c>
      <c r="O162" t="n">
        <v>0</v>
      </c>
      <c r="P162" t="n">
        <v>0</v>
      </c>
      <c r="Q162" t="n">
        <v>0</v>
      </c>
      <c r="R162" s="2" t="inlineStr"/>
    </row>
    <row r="163" ht="15" customHeight="1">
      <c r="A163" t="inlineStr">
        <is>
          <t>A 13457-2021</t>
        </is>
      </c>
      <c r="B163" s="1" t="n">
        <v>44273</v>
      </c>
      <c r="C163" s="1" t="n">
        <v>45928</v>
      </c>
      <c r="D163" t="inlineStr">
        <is>
          <t>KALMAR LÄN</t>
        </is>
      </c>
      <c r="E163" t="inlineStr">
        <is>
          <t>VIMMERBY</t>
        </is>
      </c>
      <c r="G163" t="n">
        <v>1.4</v>
      </c>
      <c r="H163" t="n">
        <v>0</v>
      </c>
      <c r="I163" t="n">
        <v>0</v>
      </c>
      <c r="J163" t="n">
        <v>0</v>
      </c>
      <c r="K163" t="n">
        <v>0</v>
      </c>
      <c r="L163" t="n">
        <v>0</v>
      </c>
      <c r="M163" t="n">
        <v>0</v>
      </c>
      <c r="N163" t="n">
        <v>0</v>
      </c>
      <c r="O163" t="n">
        <v>0</v>
      </c>
      <c r="P163" t="n">
        <v>0</v>
      </c>
      <c r="Q163" t="n">
        <v>0</v>
      </c>
      <c r="R163" s="2" t="inlineStr"/>
    </row>
    <row r="164" ht="15" customHeight="1">
      <c r="A164" t="inlineStr">
        <is>
          <t>A 14278-2021</t>
        </is>
      </c>
      <c r="B164" s="1" t="n">
        <v>44278.63479166666</v>
      </c>
      <c r="C164" s="1" t="n">
        <v>45928</v>
      </c>
      <c r="D164" t="inlineStr">
        <is>
          <t>KALMAR LÄN</t>
        </is>
      </c>
      <c r="E164" t="inlineStr">
        <is>
          <t>VIMMERBY</t>
        </is>
      </c>
      <c r="F164" t="inlineStr">
        <is>
          <t>Övriga statliga verk och myndigheter</t>
        </is>
      </c>
      <c r="G164" t="n">
        <v>0.8</v>
      </c>
      <c r="H164" t="n">
        <v>0</v>
      </c>
      <c r="I164" t="n">
        <v>0</v>
      </c>
      <c r="J164" t="n">
        <v>0</v>
      </c>
      <c r="K164" t="n">
        <v>0</v>
      </c>
      <c r="L164" t="n">
        <v>0</v>
      </c>
      <c r="M164" t="n">
        <v>0</v>
      </c>
      <c r="N164" t="n">
        <v>0</v>
      </c>
      <c r="O164" t="n">
        <v>0</v>
      </c>
      <c r="P164" t="n">
        <v>0</v>
      </c>
      <c r="Q164" t="n">
        <v>0</v>
      </c>
      <c r="R164" s="2" t="inlineStr"/>
    </row>
    <row r="165" ht="15" customHeight="1">
      <c r="A165" t="inlineStr">
        <is>
          <t>A 32603-2021</t>
        </is>
      </c>
      <c r="B165" s="1" t="n">
        <v>44375.38789351852</v>
      </c>
      <c r="C165" s="1" t="n">
        <v>45928</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8453-2022</t>
        </is>
      </c>
      <c r="B166" s="1" t="n">
        <v>44612.86554398148</v>
      </c>
      <c r="C166" s="1" t="n">
        <v>45928</v>
      </c>
      <c r="D166" t="inlineStr">
        <is>
          <t>KALMAR LÄN</t>
        </is>
      </c>
      <c r="E166" t="inlineStr">
        <is>
          <t>VIMMERBY</t>
        </is>
      </c>
      <c r="G166" t="n">
        <v>1.7</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44466.34726851852</v>
      </c>
      <c r="C167" s="1" t="n">
        <v>45928</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618-2021</t>
        </is>
      </c>
      <c r="B168" s="1" t="n">
        <v>44203</v>
      </c>
      <c r="C168" s="1" t="n">
        <v>45928</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50621-2022</t>
        </is>
      </c>
      <c r="B169" s="1" t="n">
        <v>44866.81100694444</v>
      </c>
      <c r="C169" s="1" t="n">
        <v>45928</v>
      </c>
      <c r="D169" t="inlineStr">
        <is>
          <t>KALMAR LÄN</t>
        </is>
      </c>
      <c r="E169" t="inlineStr">
        <is>
          <t>VIMMERBY</t>
        </is>
      </c>
      <c r="F169" t="inlineStr">
        <is>
          <t>Övriga Aktiebolag</t>
        </is>
      </c>
      <c r="G169" t="n">
        <v>5.1</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45928</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67952-2021</t>
        </is>
      </c>
      <c r="B171" s="1" t="n">
        <v>44525.63913194444</v>
      </c>
      <c r="C171" s="1" t="n">
        <v>45928</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31824-2022</t>
        </is>
      </c>
      <c r="B172" s="1" t="n">
        <v>44776</v>
      </c>
      <c r="C172" s="1" t="n">
        <v>45928</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14521-2021</t>
        </is>
      </c>
      <c r="B173" s="1" t="n">
        <v>44279.64934027778</v>
      </c>
      <c r="C173" s="1" t="n">
        <v>45928</v>
      </c>
      <c r="D173" t="inlineStr">
        <is>
          <t>KALMAR LÄN</t>
        </is>
      </c>
      <c r="E173" t="inlineStr">
        <is>
          <t>VIMMERBY</t>
        </is>
      </c>
      <c r="F173" t="inlineStr">
        <is>
          <t>Sveaskog</t>
        </is>
      </c>
      <c r="G173" t="n">
        <v>1.8</v>
      </c>
      <c r="H173" t="n">
        <v>0</v>
      </c>
      <c r="I173" t="n">
        <v>0</v>
      </c>
      <c r="J173" t="n">
        <v>0</v>
      </c>
      <c r="K173" t="n">
        <v>0</v>
      </c>
      <c r="L173" t="n">
        <v>0</v>
      </c>
      <c r="M173" t="n">
        <v>0</v>
      </c>
      <c r="N173" t="n">
        <v>0</v>
      </c>
      <c r="O173" t="n">
        <v>0</v>
      </c>
      <c r="P173" t="n">
        <v>0</v>
      </c>
      <c r="Q173" t="n">
        <v>0</v>
      </c>
      <c r="R173" s="2" t="inlineStr"/>
    </row>
    <row r="174" ht="15" customHeight="1">
      <c r="A174" t="inlineStr">
        <is>
          <t>A 36117-2021</t>
        </is>
      </c>
      <c r="B174" s="1" t="n">
        <v>44386</v>
      </c>
      <c r="C174" s="1" t="n">
        <v>45928</v>
      </c>
      <c r="D174" t="inlineStr">
        <is>
          <t>KALMAR LÄN</t>
        </is>
      </c>
      <c r="E174" t="inlineStr">
        <is>
          <t>VIMMERBY</t>
        </is>
      </c>
      <c r="G174" t="n">
        <v>0.7</v>
      </c>
      <c r="H174" t="n">
        <v>0</v>
      </c>
      <c r="I174" t="n">
        <v>0</v>
      </c>
      <c r="J174" t="n">
        <v>0</v>
      </c>
      <c r="K174" t="n">
        <v>0</v>
      </c>
      <c r="L174" t="n">
        <v>0</v>
      </c>
      <c r="M174" t="n">
        <v>0</v>
      </c>
      <c r="N174" t="n">
        <v>0</v>
      </c>
      <c r="O174" t="n">
        <v>0</v>
      </c>
      <c r="P174" t="n">
        <v>0</v>
      </c>
      <c r="Q174" t="n">
        <v>0</v>
      </c>
      <c r="R174" s="2" t="inlineStr"/>
    </row>
    <row r="175" ht="15" customHeight="1">
      <c r="A175" t="inlineStr">
        <is>
          <t>A 42521-2021</t>
        </is>
      </c>
      <c r="B175" s="1" t="n">
        <v>44427</v>
      </c>
      <c r="C175" s="1" t="n">
        <v>45928</v>
      </c>
      <c r="D175" t="inlineStr">
        <is>
          <t>KALMAR LÄN</t>
        </is>
      </c>
      <c r="E175" t="inlineStr">
        <is>
          <t>VIMMERBY</t>
        </is>
      </c>
      <c r="G175" t="n">
        <v>5.4</v>
      </c>
      <c r="H175" t="n">
        <v>0</v>
      </c>
      <c r="I175" t="n">
        <v>0</v>
      </c>
      <c r="J175" t="n">
        <v>0</v>
      </c>
      <c r="K175" t="n">
        <v>0</v>
      </c>
      <c r="L175" t="n">
        <v>0</v>
      </c>
      <c r="M175" t="n">
        <v>0</v>
      </c>
      <c r="N175" t="n">
        <v>0</v>
      </c>
      <c r="O175" t="n">
        <v>0</v>
      </c>
      <c r="P175" t="n">
        <v>0</v>
      </c>
      <c r="Q175" t="n">
        <v>0</v>
      </c>
      <c r="R175" s="2" t="inlineStr"/>
    </row>
    <row r="176" ht="15" customHeight="1">
      <c r="A176" t="inlineStr">
        <is>
          <t>A 15533-2022</t>
        </is>
      </c>
      <c r="B176" s="1" t="n">
        <v>44662</v>
      </c>
      <c r="C176" s="1" t="n">
        <v>45928</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11733-2022</t>
        </is>
      </c>
      <c r="B177" s="1" t="n">
        <v>44634</v>
      </c>
      <c r="C177" s="1" t="n">
        <v>45928</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7804-2022</t>
        </is>
      </c>
      <c r="B178" s="1" t="n">
        <v>44608.50458333334</v>
      </c>
      <c r="C178" s="1" t="n">
        <v>45928</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39042-2022</t>
        </is>
      </c>
      <c r="B179" s="1" t="n">
        <v>44817</v>
      </c>
      <c r="C179" s="1" t="n">
        <v>45928</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12241-2021</t>
        </is>
      </c>
      <c r="B180" s="1" t="n">
        <v>44266.7240625</v>
      </c>
      <c r="C180" s="1" t="n">
        <v>45928</v>
      </c>
      <c r="D180" t="inlineStr">
        <is>
          <t>KALMAR LÄN</t>
        </is>
      </c>
      <c r="E180" t="inlineStr">
        <is>
          <t>VIMMERBY</t>
        </is>
      </c>
      <c r="F180" t="inlineStr">
        <is>
          <t>Sveaskog</t>
        </is>
      </c>
      <c r="G180" t="n">
        <v>1</v>
      </c>
      <c r="H180" t="n">
        <v>0</v>
      </c>
      <c r="I180" t="n">
        <v>0</v>
      </c>
      <c r="J180" t="n">
        <v>0</v>
      </c>
      <c r="K180" t="n">
        <v>0</v>
      </c>
      <c r="L180" t="n">
        <v>0</v>
      </c>
      <c r="M180" t="n">
        <v>0</v>
      </c>
      <c r="N180" t="n">
        <v>0</v>
      </c>
      <c r="O180" t="n">
        <v>0</v>
      </c>
      <c r="P180" t="n">
        <v>0</v>
      </c>
      <c r="Q180" t="n">
        <v>0</v>
      </c>
      <c r="R180" s="2" t="inlineStr"/>
    </row>
    <row r="181" ht="15" customHeight="1">
      <c r="A181" t="inlineStr">
        <is>
          <t>A 16288-2021</t>
        </is>
      </c>
      <c r="B181" s="1" t="n">
        <v>44292</v>
      </c>
      <c r="C181" s="1" t="n">
        <v>45928</v>
      </c>
      <c r="D181" t="inlineStr">
        <is>
          <t>KALMAR LÄN</t>
        </is>
      </c>
      <c r="E181" t="inlineStr">
        <is>
          <t>VIMMERBY</t>
        </is>
      </c>
      <c r="F181" t="inlineStr">
        <is>
          <t>Övriga Aktiebolag</t>
        </is>
      </c>
      <c r="G181" t="n">
        <v>27.6</v>
      </c>
      <c r="H181" t="n">
        <v>0</v>
      </c>
      <c r="I181" t="n">
        <v>0</v>
      </c>
      <c r="J181" t="n">
        <v>0</v>
      </c>
      <c r="K181" t="n">
        <v>0</v>
      </c>
      <c r="L181" t="n">
        <v>0</v>
      </c>
      <c r="M181" t="n">
        <v>0</v>
      </c>
      <c r="N181" t="n">
        <v>0</v>
      </c>
      <c r="O181" t="n">
        <v>0</v>
      </c>
      <c r="P181" t="n">
        <v>0</v>
      </c>
      <c r="Q181" t="n">
        <v>0</v>
      </c>
      <c r="R181" s="2" t="inlineStr"/>
    </row>
    <row r="182" ht="15" customHeight="1">
      <c r="A182" t="inlineStr">
        <is>
          <t>A 29441-2024</t>
        </is>
      </c>
      <c r="B182" s="1" t="n">
        <v>45483.82834490741</v>
      </c>
      <c r="C182" s="1" t="n">
        <v>45928</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25728-2023</t>
        </is>
      </c>
      <c r="B183" s="1" t="n">
        <v>45090.38012731481</v>
      </c>
      <c r="C183" s="1" t="n">
        <v>45928</v>
      </c>
      <c r="D183" t="inlineStr">
        <is>
          <t>KALMAR LÄN</t>
        </is>
      </c>
      <c r="E183" t="inlineStr">
        <is>
          <t>VIMMERBY</t>
        </is>
      </c>
      <c r="G183" t="n">
        <v>1.1</v>
      </c>
      <c r="H183" t="n">
        <v>0</v>
      </c>
      <c r="I183" t="n">
        <v>0</v>
      </c>
      <c r="J183" t="n">
        <v>0</v>
      </c>
      <c r="K183" t="n">
        <v>0</v>
      </c>
      <c r="L183" t="n">
        <v>0</v>
      </c>
      <c r="M183" t="n">
        <v>0</v>
      </c>
      <c r="N183" t="n">
        <v>0</v>
      </c>
      <c r="O183" t="n">
        <v>0</v>
      </c>
      <c r="P183" t="n">
        <v>0</v>
      </c>
      <c r="Q183" t="n">
        <v>0</v>
      </c>
      <c r="R183" s="2" t="inlineStr"/>
    </row>
    <row r="184" ht="15" customHeight="1">
      <c r="A184" t="inlineStr">
        <is>
          <t>A 12662-2021</t>
        </is>
      </c>
      <c r="B184" s="1" t="n">
        <v>44270.49743055556</v>
      </c>
      <c r="C184" s="1" t="n">
        <v>45928</v>
      </c>
      <c r="D184" t="inlineStr">
        <is>
          <t>KALMAR LÄN</t>
        </is>
      </c>
      <c r="E184" t="inlineStr">
        <is>
          <t>VIMMERBY</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165-2022</t>
        </is>
      </c>
      <c r="B185" s="1" t="n">
        <v>44564</v>
      </c>
      <c r="C185" s="1" t="n">
        <v>45928</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46964-2022</t>
        </is>
      </c>
      <c r="B186" s="1" t="n">
        <v>44851.95016203704</v>
      </c>
      <c r="C186" s="1" t="n">
        <v>45928</v>
      </c>
      <c r="D186" t="inlineStr">
        <is>
          <t>KALMAR LÄN</t>
        </is>
      </c>
      <c r="E186" t="inlineStr">
        <is>
          <t>VIMMERBY</t>
        </is>
      </c>
      <c r="G186" t="n">
        <v>0.2</v>
      </c>
      <c r="H186" t="n">
        <v>0</v>
      </c>
      <c r="I186" t="n">
        <v>0</v>
      </c>
      <c r="J186" t="n">
        <v>0</v>
      </c>
      <c r="K186" t="n">
        <v>0</v>
      </c>
      <c r="L186" t="n">
        <v>0</v>
      </c>
      <c r="M186" t="n">
        <v>0</v>
      </c>
      <c r="N186" t="n">
        <v>0</v>
      </c>
      <c r="O186" t="n">
        <v>0</v>
      </c>
      <c r="P186" t="n">
        <v>0</v>
      </c>
      <c r="Q186" t="n">
        <v>0</v>
      </c>
      <c r="R186" s="2" t="inlineStr"/>
    </row>
    <row r="187" ht="15" customHeight="1">
      <c r="A187" t="inlineStr">
        <is>
          <t>A 34040-2021</t>
        </is>
      </c>
      <c r="B187" s="1" t="n">
        <v>44379</v>
      </c>
      <c r="C187" s="1" t="n">
        <v>45928</v>
      </c>
      <c r="D187" t="inlineStr">
        <is>
          <t>KALMAR LÄN</t>
        </is>
      </c>
      <c r="E187" t="inlineStr">
        <is>
          <t>VIMMERBY</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15200-2021</t>
        </is>
      </c>
      <c r="B188" s="1" t="n">
        <v>44284.44574074074</v>
      </c>
      <c r="C188" s="1" t="n">
        <v>45928</v>
      </c>
      <c r="D188" t="inlineStr">
        <is>
          <t>KALMAR LÄN</t>
        </is>
      </c>
      <c r="E188" t="inlineStr">
        <is>
          <t>VIMMERBY</t>
        </is>
      </c>
      <c r="G188" t="n">
        <v>1.2</v>
      </c>
      <c r="H188" t="n">
        <v>0</v>
      </c>
      <c r="I188" t="n">
        <v>0</v>
      </c>
      <c r="J188" t="n">
        <v>0</v>
      </c>
      <c r="K188" t="n">
        <v>0</v>
      </c>
      <c r="L188" t="n">
        <v>0</v>
      </c>
      <c r="M188" t="n">
        <v>0</v>
      </c>
      <c r="N188" t="n">
        <v>0</v>
      </c>
      <c r="O188" t="n">
        <v>0</v>
      </c>
      <c r="P188" t="n">
        <v>0</v>
      </c>
      <c r="Q188" t="n">
        <v>0</v>
      </c>
      <c r="R188" s="2" t="inlineStr"/>
    </row>
    <row r="189" ht="15" customHeight="1">
      <c r="A189" t="inlineStr">
        <is>
          <t>A 12107-2022</t>
        </is>
      </c>
      <c r="B189" s="1" t="n">
        <v>44636</v>
      </c>
      <c r="C189" s="1" t="n">
        <v>45928</v>
      </c>
      <c r="D189" t="inlineStr">
        <is>
          <t>KALMAR LÄN</t>
        </is>
      </c>
      <c r="E189" t="inlineStr">
        <is>
          <t>VIMMERBY</t>
        </is>
      </c>
      <c r="G189" t="n">
        <v>1.8</v>
      </c>
      <c r="H189" t="n">
        <v>0</v>
      </c>
      <c r="I189" t="n">
        <v>0</v>
      </c>
      <c r="J189" t="n">
        <v>0</v>
      </c>
      <c r="K189" t="n">
        <v>0</v>
      </c>
      <c r="L189" t="n">
        <v>0</v>
      </c>
      <c r="M189" t="n">
        <v>0</v>
      </c>
      <c r="N189" t="n">
        <v>0</v>
      </c>
      <c r="O189" t="n">
        <v>0</v>
      </c>
      <c r="P189" t="n">
        <v>0</v>
      </c>
      <c r="Q189" t="n">
        <v>0</v>
      </c>
      <c r="R189" s="2" t="inlineStr"/>
    </row>
    <row r="190" ht="15" customHeight="1">
      <c r="A190" t="inlineStr">
        <is>
          <t>A 23825-2022</t>
        </is>
      </c>
      <c r="B190" s="1" t="n">
        <v>44722.48768518519</v>
      </c>
      <c r="C190" s="1" t="n">
        <v>45928</v>
      </c>
      <c r="D190" t="inlineStr">
        <is>
          <t>KALMAR LÄN</t>
        </is>
      </c>
      <c r="E190" t="inlineStr">
        <is>
          <t>VIMMERBY</t>
        </is>
      </c>
      <c r="G190" t="n">
        <v>0.5</v>
      </c>
      <c r="H190" t="n">
        <v>0</v>
      </c>
      <c r="I190" t="n">
        <v>0</v>
      </c>
      <c r="J190" t="n">
        <v>0</v>
      </c>
      <c r="K190" t="n">
        <v>0</v>
      </c>
      <c r="L190" t="n">
        <v>0</v>
      </c>
      <c r="M190" t="n">
        <v>0</v>
      </c>
      <c r="N190" t="n">
        <v>0</v>
      </c>
      <c r="O190" t="n">
        <v>0</v>
      </c>
      <c r="P190" t="n">
        <v>0</v>
      </c>
      <c r="Q190" t="n">
        <v>0</v>
      </c>
      <c r="R190" s="2" t="inlineStr"/>
    </row>
    <row r="191" ht="15" customHeight="1">
      <c r="A191" t="inlineStr">
        <is>
          <t>A 13180-2022</t>
        </is>
      </c>
      <c r="B191" s="1" t="n">
        <v>44644</v>
      </c>
      <c r="C191" s="1" t="n">
        <v>45928</v>
      </c>
      <c r="D191" t="inlineStr">
        <is>
          <t>KALMAR LÄN</t>
        </is>
      </c>
      <c r="E191" t="inlineStr">
        <is>
          <t>VIMMERBY</t>
        </is>
      </c>
      <c r="G191" t="n">
        <v>0.5</v>
      </c>
      <c r="H191" t="n">
        <v>0</v>
      </c>
      <c r="I191" t="n">
        <v>0</v>
      </c>
      <c r="J191" t="n">
        <v>0</v>
      </c>
      <c r="K191" t="n">
        <v>0</v>
      </c>
      <c r="L191" t="n">
        <v>0</v>
      </c>
      <c r="M191" t="n">
        <v>0</v>
      </c>
      <c r="N191" t="n">
        <v>0</v>
      </c>
      <c r="O191" t="n">
        <v>0</v>
      </c>
      <c r="P191" t="n">
        <v>0</v>
      </c>
      <c r="Q191" t="n">
        <v>0</v>
      </c>
      <c r="R191" s="2" t="inlineStr"/>
    </row>
    <row r="192" ht="15" customHeight="1">
      <c r="A192" t="inlineStr">
        <is>
          <t>A 52435-2021</t>
        </is>
      </c>
      <c r="B192" s="1" t="n">
        <v>44466.34962962963</v>
      </c>
      <c r="C192" s="1" t="n">
        <v>45928</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29093-2023</t>
        </is>
      </c>
      <c r="B193" s="1" t="n">
        <v>45105</v>
      </c>
      <c r="C193" s="1" t="n">
        <v>45928</v>
      </c>
      <c r="D193" t="inlineStr">
        <is>
          <t>KALMAR LÄN</t>
        </is>
      </c>
      <c r="E193" t="inlineStr">
        <is>
          <t>VIMMERBY</t>
        </is>
      </c>
      <c r="G193" t="n">
        <v>2.9</v>
      </c>
      <c r="H193" t="n">
        <v>0</v>
      </c>
      <c r="I193" t="n">
        <v>0</v>
      </c>
      <c r="J193" t="n">
        <v>0</v>
      </c>
      <c r="K193" t="n">
        <v>0</v>
      </c>
      <c r="L193" t="n">
        <v>0</v>
      </c>
      <c r="M193" t="n">
        <v>0</v>
      </c>
      <c r="N193" t="n">
        <v>0</v>
      </c>
      <c r="O193" t="n">
        <v>0</v>
      </c>
      <c r="P193" t="n">
        <v>0</v>
      </c>
      <c r="Q193" t="n">
        <v>0</v>
      </c>
      <c r="R193" s="2" t="inlineStr"/>
    </row>
    <row r="194" ht="15" customHeight="1">
      <c r="A194" t="inlineStr">
        <is>
          <t>A 14220-2021</t>
        </is>
      </c>
      <c r="B194" s="1" t="n">
        <v>44278.54855324074</v>
      </c>
      <c r="C194" s="1" t="n">
        <v>45928</v>
      </c>
      <c r="D194" t="inlineStr">
        <is>
          <t>KALMAR LÄN</t>
        </is>
      </c>
      <c r="E194" t="inlineStr">
        <is>
          <t>VIMMERBY</t>
        </is>
      </c>
      <c r="G194" t="n">
        <v>0.3</v>
      </c>
      <c r="H194" t="n">
        <v>0</v>
      </c>
      <c r="I194" t="n">
        <v>0</v>
      </c>
      <c r="J194" t="n">
        <v>0</v>
      </c>
      <c r="K194" t="n">
        <v>0</v>
      </c>
      <c r="L194" t="n">
        <v>0</v>
      </c>
      <c r="M194" t="n">
        <v>0</v>
      </c>
      <c r="N194" t="n">
        <v>0</v>
      </c>
      <c r="O194" t="n">
        <v>0</v>
      </c>
      <c r="P194" t="n">
        <v>0</v>
      </c>
      <c r="Q194" t="n">
        <v>0</v>
      </c>
      <c r="R194" s="2" t="inlineStr"/>
    </row>
    <row r="195" ht="15" customHeight="1">
      <c r="A195" t="inlineStr">
        <is>
          <t>A 39225-2022</t>
        </is>
      </c>
      <c r="B195" s="1" t="n">
        <v>44817.57988425926</v>
      </c>
      <c r="C195" s="1" t="n">
        <v>45928</v>
      </c>
      <c r="D195" t="inlineStr">
        <is>
          <t>KALMAR LÄN</t>
        </is>
      </c>
      <c r="E195" t="inlineStr">
        <is>
          <t>VIMMERBY</t>
        </is>
      </c>
      <c r="G195" t="n">
        <v>2.2</v>
      </c>
      <c r="H195" t="n">
        <v>0</v>
      </c>
      <c r="I195" t="n">
        <v>0</v>
      </c>
      <c r="J195" t="n">
        <v>0</v>
      </c>
      <c r="K195" t="n">
        <v>0</v>
      </c>
      <c r="L195" t="n">
        <v>0</v>
      </c>
      <c r="M195" t="n">
        <v>0</v>
      </c>
      <c r="N195" t="n">
        <v>0</v>
      </c>
      <c r="O195" t="n">
        <v>0</v>
      </c>
      <c r="P195" t="n">
        <v>0</v>
      </c>
      <c r="Q195" t="n">
        <v>0</v>
      </c>
      <c r="R195" s="2" t="inlineStr"/>
    </row>
    <row r="196" ht="15" customHeight="1">
      <c r="A196" t="inlineStr">
        <is>
          <t>A 33359-2021</t>
        </is>
      </c>
      <c r="B196" s="1" t="n">
        <v>44377.49684027778</v>
      </c>
      <c r="C196" s="1" t="n">
        <v>45928</v>
      </c>
      <c r="D196" t="inlineStr">
        <is>
          <t>KALMAR LÄN</t>
        </is>
      </c>
      <c r="E196" t="inlineStr">
        <is>
          <t>VIMMERBY</t>
        </is>
      </c>
      <c r="F196" t="inlineStr">
        <is>
          <t>Kommuner</t>
        </is>
      </c>
      <c r="G196" t="n">
        <v>8</v>
      </c>
      <c r="H196" t="n">
        <v>0</v>
      </c>
      <c r="I196" t="n">
        <v>0</v>
      </c>
      <c r="J196" t="n">
        <v>0</v>
      </c>
      <c r="K196" t="n">
        <v>0</v>
      </c>
      <c r="L196" t="n">
        <v>0</v>
      </c>
      <c r="M196" t="n">
        <v>0</v>
      </c>
      <c r="N196" t="n">
        <v>0</v>
      </c>
      <c r="O196" t="n">
        <v>0</v>
      </c>
      <c r="P196" t="n">
        <v>0</v>
      </c>
      <c r="Q196" t="n">
        <v>0</v>
      </c>
      <c r="R196" s="2" t="inlineStr"/>
    </row>
    <row r="197" ht="15" customHeight="1">
      <c r="A197" t="inlineStr">
        <is>
          <t>A 43038-2022</t>
        </is>
      </c>
      <c r="B197" s="1" t="n">
        <v>44833.60123842592</v>
      </c>
      <c r="C197" s="1" t="n">
        <v>45928</v>
      </c>
      <c r="D197" t="inlineStr">
        <is>
          <t>KALMAR LÄN</t>
        </is>
      </c>
      <c r="E197" t="inlineStr">
        <is>
          <t>VIMMERBY</t>
        </is>
      </c>
      <c r="G197" t="n">
        <v>4.2</v>
      </c>
      <c r="H197" t="n">
        <v>0</v>
      </c>
      <c r="I197" t="n">
        <v>0</v>
      </c>
      <c r="J197" t="n">
        <v>0</v>
      </c>
      <c r="K197" t="n">
        <v>0</v>
      </c>
      <c r="L197" t="n">
        <v>0</v>
      </c>
      <c r="M197" t="n">
        <v>0</v>
      </c>
      <c r="N197" t="n">
        <v>0</v>
      </c>
      <c r="O197" t="n">
        <v>0</v>
      </c>
      <c r="P197" t="n">
        <v>0</v>
      </c>
      <c r="Q197" t="n">
        <v>0</v>
      </c>
      <c r="R197" s="2" t="inlineStr"/>
    </row>
    <row r="198" ht="15" customHeight="1">
      <c r="A198" t="inlineStr">
        <is>
          <t>A 16602-2021</t>
        </is>
      </c>
      <c r="B198" s="1" t="n">
        <v>44294</v>
      </c>
      <c r="C198" s="1" t="n">
        <v>45928</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16607-2021</t>
        </is>
      </c>
      <c r="B199" s="1" t="n">
        <v>44294</v>
      </c>
      <c r="C199" s="1" t="n">
        <v>45928</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17029-2022</t>
        </is>
      </c>
      <c r="B200" s="1" t="n">
        <v>44676.85248842592</v>
      </c>
      <c r="C200" s="1" t="n">
        <v>45928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50087-2023</t>
        </is>
      </c>
      <c r="B201" s="1" t="n">
        <v>45215.59743055556</v>
      </c>
      <c r="C201" s="1" t="n">
        <v>45928</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33681-2022</t>
        </is>
      </c>
      <c r="B202" s="1" t="n">
        <v>44789</v>
      </c>
      <c r="C202" s="1" t="n">
        <v>45928</v>
      </c>
      <c r="D202" t="inlineStr">
        <is>
          <t>KALMAR LÄN</t>
        </is>
      </c>
      <c r="E202" t="inlineStr">
        <is>
          <t>VIMMERBY</t>
        </is>
      </c>
      <c r="G202" t="n">
        <v>3.2</v>
      </c>
      <c r="H202" t="n">
        <v>0</v>
      </c>
      <c r="I202" t="n">
        <v>0</v>
      </c>
      <c r="J202" t="n">
        <v>0</v>
      </c>
      <c r="K202" t="n">
        <v>0</v>
      </c>
      <c r="L202" t="n">
        <v>0</v>
      </c>
      <c r="M202" t="n">
        <v>0</v>
      </c>
      <c r="N202" t="n">
        <v>0</v>
      </c>
      <c r="O202" t="n">
        <v>0</v>
      </c>
      <c r="P202" t="n">
        <v>0</v>
      </c>
      <c r="Q202" t="n">
        <v>0</v>
      </c>
      <c r="R202" s="2" t="inlineStr"/>
    </row>
    <row r="203" ht="15" customHeight="1">
      <c r="A203" t="inlineStr">
        <is>
          <t>A 7167-2022</t>
        </is>
      </c>
      <c r="B203" s="1" t="n">
        <v>44604</v>
      </c>
      <c r="C203" s="1" t="n">
        <v>45928</v>
      </c>
      <c r="D203" t="inlineStr">
        <is>
          <t>KALMAR LÄN</t>
        </is>
      </c>
      <c r="E203" t="inlineStr">
        <is>
          <t>VIMMERBY</t>
        </is>
      </c>
      <c r="G203" t="n">
        <v>1.7</v>
      </c>
      <c r="H203" t="n">
        <v>0</v>
      </c>
      <c r="I203" t="n">
        <v>0</v>
      </c>
      <c r="J203" t="n">
        <v>0</v>
      </c>
      <c r="K203" t="n">
        <v>0</v>
      </c>
      <c r="L203" t="n">
        <v>0</v>
      </c>
      <c r="M203" t="n">
        <v>0</v>
      </c>
      <c r="N203" t="n">
        <v>0</v>
      </c>
      <c r="O203" t="n">
        <v>0</v>
      </c>
      <c r="P203" t="n">
        <v>0</v>
      </c>
      <c r="Q203" t="n">
        <v>0</v>
      </c>
      <c r="R203" s="2" t="inlineStr"/>
    </row>
    <row r="204" ht="15" customHeight="1">
      <c r="A204" t="inlineStr">
        <is>
          <t>A 16825-2024</t>
        </is>
      </c>
      <c r="B204" s="1" t="n">
        <v>45411.47335648148</v>
      </c>
      <c r="C204" s="1" t="n">
        <v>45928</v>
      </c>
      <c r="D204" t="inlineStr">
        <is>
          <t>KALMAR LÄN</t>
        </is>
      </c>
      <c r="E204" t="inlineStr">
        <is>
          <t>VIMMERBY</t>
        </is>
      </c>
      <c r="G204" t="n">
        <v>1</v>
      </c>
      <c r="H204" t="n">
        <v>0</v>
      </c>
      <c r="I204" t="n">
        <v>0</v>
      </c>
      <c r="J204" t="n">
        <v>0</v>
      </c>
      <c r="K204" t="n">
        <v>0</v>
      </c>
      <c r="L204" t="n">
        <v>0</v>
      </c>
      <c r="M204" t="n">
        <v>0</v>
      </c>
      <c r="N204" t="n">
        <v>0</v>
      </c>
      <c r="O204" t="n">
        <v>0</v>
      </c>
      <c r="P204" t="n">
        <v>0</v>
      </c>
      <c r="Q204" t="n">
        <v>0</v>
      </c>
      <c r="R204" s="2" t="inlineStr"/>
    </row>
    <row r="205" ht="15" customHeight="1">
      <c r="A205" t="inlineStr">
        <is>
          <t>A 18356-2021</t>
        </is>
      </c>
      <c r="B205" s="1" t="n">
        <v>44305</v>
      </c>
      <c r="C205" s="1" t="n">
        <v>45928</v>
      </c>
      <c r="D205" t="inlineStr">
        <is>
          <t>KALMAR LÄN</t>
        </is>
      </c>
      <c r="E205" t="inlineStr">
        <is>
          <t>VIMMERBY</t>
        </is>
      </c>
      <c r="G205" t="n">
        <v>3.4</v>
      </c>
      <c r="H205" t="n">
        <v>0</v>
      </c>
      <c r="I205" t="n">
        <v>0</v>
      </c>
      <c r="J205" t="n">
        <v>0</v>
      </c>
      <c r="K205" t="n">
        <v>0</v>
      </c>
      <c r="L205" t="n">
        <v>0</v>
      </c>
      <c r="M205" t="n">
        <v>0</v>
      </c>
      <c r="N205" t="n">
        <v>0</v>
      </c>
      <c r="O205" t="n">
        <v>0</v>
      </c>
      <c r="P205" t="n">
        <v>0</v>
      </c>
      <c r="Q205" t="n">
        <v>0</v>
      </c>
      <c r="R205" s="2" t="inlineStr"/>
    </row>
    <row r="206" ht="15" customHeight="1">
      <c r="A206" t="inlineStr">
        <is>
          <t>A 12033-2024</t>
        </is>
      </c>
      <c r="B206" s="1" t="n">
        <v>45377.40043981482</v>
      </c>
      <c r="C206" s="1" t="n">
        <v>45928</v>
      </c>
      <c r="D206" t="inlineStr">
        <is>
          <t>KALMAR LÄN</t>
        </is>
      </c>
      <c r="E206" t="inlineStr">
        <is>
          <t>VIMMERBY</t>
        </is>
      </c>
      <c r="G206" t="n">
        <v>1.6</v>
      </c>
      <c r="H206" t="n">
        <v>0</v>
      </c>
      <c r="I206" t="n">
        <v>0</v>
      </c>
      <c r="J206" t="n">
        <v>0</v>
      </c>
      <c r="K206" t="n">
        <v>0</v>
      </c>
      <c r="L206" t="n">
        <v>0</v>
      </c>
      <c r="M206" t="n">
        <v>0</v>
      </c>
      <c r="N206" t="n">
        <v>0</v>
      </c>
      <c r="O206" t="n">
        <v>0</v>
      </c>
      <c r="P206" t="n">
        <v>0</v>
      </c>
      <c r="Q206" t="n">
        <v>0</v>
      </c>
      <c r="R206" s="2" t="inlineStr"/>
    </row>
    <row r="207" ht="15" customHeight="1">
      <c r="A207" t="inlineStr">
        <is>
          <t>A 6214-2025</t>
        </is>
      </c>
      <c r="B207" s="1" t="n">
        <v>45698.51711805556</v>
      </c>
      <c r="C207" s="1" t="n">
        <v>45928</v>
      </c>
      <c r="D207" t="inlineStr">
        <is>
          <t>KALMAR LÄN</t>
        </is>
      </c>
      <c r="E207" t="inlineStr">
        <is>
          <t>VIMMERBY</t>
        </is>
      </c>
      <c r="G207" t="n">
        <v>1.2</v>
      </c>
      <c r="H207" t="n">
        <v>0</v>
      </c>
      <c r="I207" t="n">
        <v>0</v>
      </c>
      <c r="J207" t="n">
        <v>0</v>
      </c>
      <c r="K207" t="n">
        <v>0</v>
      </c>
      <c r="L207" t="n">
        <v>0</v>
      </c>
      <c r="M207" t="n">
        <v>0</v>
      </c>
      <c r="N207" t="n">
        <v>0</v>
      </c>
      <c r="O207" t="n">
        <v>0</v>
      </c>
      <c r="P207" t="n">
        <v>0</v>
      </c>
      <c r="Q207" t="n">
        <v>0</v>
      </c>
      <c r="R207" s="2" t="inlineStr"/>
    </row>
    <row r="208" ht="15" customHeight="1">
      <c r="A208" t="inlineStr">
        <is>
          <t>A 49408-2023</t>
        </is>
      </c>
      <c r="B208" s="1" t="n">
        <v>45211.43555555555</v>
      </c>
      <c r="C208" s="1" t="n">
        <v>45928</v>
      </c>
      <c r="D208" t="inlineStr">
        <is>
          <t>KALMAR LÄN</t>
        </is>
      </c>
      <c r="E208" t="inlineStr">
        <is>
          <t>VIMMERBY</t>
        </is>
      </c>
      <c r="G208" t="n">
        <v>13.1</v>
      </c>
      <c r="H208" t="n">
        <v>0</v>
      </c>
      <c r="I208" t="n">
        <v>0</v>
      </c>
      <c r="J208" t="n">
        <v>0</v>
      </c>
      <c r="K208" t="n">
        <v>0</v>
      </c>
      <c r="L208" t="n">
        <v>0</v>
      </c>
      <c r="M208" t="n">
        <v>0</v>
      </c>
      <c r="N208" t="n">
        <v>0</v>
      </c>
      <c r="O208" t="n">
        <v>0</v>
      </c>
      <c r="P208" t="n">
        <v>0</v>
      </c>
      <c r="Q208" t="n">
        <v>0</v>
      </c>
      <c r="R208" s="2" t="inlineStr"/>
    </row>
    <row r="209" ht="15" customHeight="1">
      <c r="A209" t="inlineStr">
        <is>
          <t>A 27443-2023</t>
        </is>
      </c>
      <c r="B209" s="1" t="n">
        <v>45097.40524305555</v>
      </c>
      <c r="C209" s="1" t="n">
        <v>45928</v>
      </c>
      <c r="D209" t="inlineStr">
        <is>
          <t>KALMAR LÄN</t>
        </is>
      </c>
      <c r="E209" t="inlineStr">
        <is>
          <t>VIMMERBY</t>
        </is>
      </c>
      <c r="F209" t="inlineStr">
        <is>
          <t>Övriga Aktiebolag</t>
        </is>
      </c>
      <c r="G209" t="n">
        <v>2.3</v>
      </c>
      <c r="H209" t="n">
        <v>0</v>
      </c>
      <c r="I209" t="n">
        <v>0</v>
      </c>
      <c r="J209" t="n">
        <v>0</v>
      </c>
      <c r="K209" t="n">
        <v>0</v>
      </c>
      <c r="L209" t="n">
        <v>0</v>
      </c>
      <c r="M209" t="n">
        <v>0</v>
      </c>
      <c r="N209" t="n">
        <v>0</v>
      </c>
      <c r="O209" t="n">
        <v>0</v>
      </c>
      <c r="P209" t="n">
        <v>0</v>
      </c>
      <c r="Q209" t="n">
        <v>0</v>
      </c>
      <c r="R209" s="2" t="inlineStr"/>
    </row>
    <row r="210" ht="15" customHeight="1">
      <c r="A210" t="inlineStr">
        <is>
          <t>A 28395-2023</t>
        </is>
      </c>
      <c r="B210" s="1" t="n">
        <v>45100.4062962963</v>
      </c>
      <c r="C210" s="1" t="n">
        <v>45928</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42850-2022</t>
        </is>
      </c>
      <c r="B211" s="1" t="n">
        <v>44832.67608796297</v>
      </c>
      <c r="C211" s="1" t="n">
        <v>45928</v>
      </c>
      <c r="D211" t="inlineStr">
        <is>
          <t>KALMAR LÄN</t>
        </is>
      </c>
      <c r="E211" t="inlineStr">
        <is>
          <t>VIMMERBY</t>
        </is>
      </c>
      <c r="G211" t="n">
        <v>5.9</v>
      </c>
      <c r="H211" t="n">
        <v>0</v>
      </c>
      <c r="I211" t="n">
        <v>0</v>
      </c>
      <c r="J211" t="n">
        <v>0</v>
      </c>
      <c r="K211" t="n">
        <v>0</v>
      </c>
      <c r="L211" t="n">
        <v>0</v>
      </c>
      <c r="M211" t="n">
        <v>0</v>
      </c>
      <c r="N211" t="n">
        <v>0</v>
      </c>
      <c r="O211" t="n">
        <v>0</v>
      </c>
      <c r="P211" t="n">
        <v>0</v>
      </c>
      <c r="Q211" t="n">
        <v>0</v>
      </c>
      <c r="R211" s="2" t="inlineStr"/>
    </row>
    <row r="212" ht="15" customHeight="1">
      <c r="A212" t="inlineStr">
        <is>
          <t>A 18501-2024</t>
        </is>
      </c>
      <c r="B212" s="1" t="n">
        <v>45425.57538194444</v>
      </c>
      <c r="C212" s="1" t="n">
        <v>45928</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57948-2020</t>
        </is>
      </c>
      <c r="B213" s="1" t="n">
        <v>44142</v>
      </c>
      <c r="C213" s="1" t="n">
        <v>45928</v>
      </c>
      <c r="D213" t="inlineStr">
        <is>
          <t>KALMAR LÄN</t>
        </is>
      </c>
      <c r="E213" t="inlineStr">
        <is>
          <t>VIMMERBY</t>
        </is>
      </c>
      <c r="G213" t="n">
        <v>7.1</v>
      </c>
      <c r="H213" t="n">
        <v>0</v>
      </c>
      <c r="I213" t="n">
        <v>0</v>
      </c>
      <c r="J213" t="n">
        <v>0</v>
      </c>
      <c r="K213" t="n">
        <v>0</v>
      </c>
      <c r="L213" t="n">
        <v>0</v>
      </c>
      <c r="M213" t="n">
        <v>0</v>
      </c>
      <c r="N213" t="n">
        <v>0</v>
      </c>
      <c r="O213" t="n">
        <v>0</v>
      </c>
      <c r="P213" t="n">
        <v>0</v>
      </c>
      <c r="Q213" t="n">
        <v>0</v>
      </c>
      <c r="R213" s="2" t="inlineStr"/>
    </row>
    <row r="214" ht="15" customHeight="1">
      <c r="A214" t="inlineStr">
        <is>
          <t>A 35001-2021</t>
        </is>
      </c>
      <c r="B214" s="1" t="n">
        <v>44383</v>
      </c>
      <c r="C214" s="1" t="n">
        <v>45928</v>
      </c>
      <c r="D214" t="inlineStr">
        <is>
          <t>KALMAR LÄN</t>
        </is>
      </c>
      <c r="E214" t="inlineStr">
        <is>
          <t>VIMMERBY</t>
        </is>
      </c>
      <c r="G214" t="n">
        <v>0.5</v>
      </c>
      <c r="H214" t="n">
        <v>0</v>
      </c>
      <c r="I214" t="n">
        <v>0</v>
      </c>
      <c r="J214" t="n">
        <v>0</v>
      </c>
      <c r="K214" t="n">
        <v>0</v>
      </c>
      <c r="L214" t="n">
        <v>0</v>
      </c>
      <c r="M214" t="n">
        <v>0</v>
      </c>
      <c r="N214" t="n">
        <v>0</v>
      </c>
      <c r="O214" t="n">
        <v>0</v>
      </c>
      <c r="P214" t="n">
        <v>0</v>
      </c>
      <c r="Q214" t="n">
        <v>0</v>
      </c>
      <c r="R214" s="2" t="inlineStr"/>
    </row>
    <row r="215" ht="15" customHeight="1">
      <c r="A215" t="inlineStr">
        <is>
          <t>A 55674-2021</t>
        </is>
      </c>
      <c r="B215" s="1" t="n">
        <v>44476</v>
      </c>
      <c r="C215" s="1" t="n">
        <v>45928</v>
      </c>
      <c r="D215" t="inlineStr">
        <is>
          <t>KALMAR LÄN</t>
        </is>
      </c>
      <c r="E215" t="inlineStr">
        <is>
          <t>VIMMERBY</t>
        </is>
      </c>
      <c r="G215" t="n">
        <v>2.1</v>
      </c>
      <c r="H215" t="n">
        <v>0</v>
      </c>
      <c r="I215" t="n">
        <v>0</v>
      </c>
      <c r="J215" t="n">
        <v>0</v>
      </c>
      <c r="K215" t="n">
        <v>0</v>
      </c>
      <c r="L215" t="n">
        <v>0</v>
      </c>
      <c r="M215" t="n">
        <v>0</v>
      </c>
      <c r="N215" t="n">
        <v>0</v>
      </c>
      <c r="O215" t="n">
        <v>0</v>
      </c>
      <c r="P215" t="n">
        <v>0</v>
      </c>
      <c r="Q215" t="n">
        <v>0</v>
      </c>
      <c r="R215" s="2" t="inlineStr"/>
    </row>
    <row r="216" ht="15" customHeight="1">
      <c r="A216" t="inlineStr">
        <is>
          <t>A 18276-2021</t>
        </is>
      </c>
      <c r="B216" s="1" t="n">
        <v>44305.40046296296</v>
      </c>
      <c r="C216" s="1" t="n">
        <v>45928</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25799-2023</t>
        </is>
      </c>
      <c r="B217" s="1" t="n">
        <v>45090</v>
      </c>
      <c r="C217" s="1" t="n">
        <v>45928</v>
      </c>
      <c r="D217" t="inlineStr">
        <is>
          <t>KALMAR LÄN</t>
        </is>
      </c>
      <c r="E217" t="inlineStr">
        <is>
          <t>VIMMERBY</t>
        </is>
      </c>
      <c r="G217" t="n">
        <v>7.7</v>
      </c>
      <c r="H217" t="n">
        <v>0</v>
      </c>
      <c r="I217" t="n">
        <v>0</v>
      </c>
      <c r="J217" t="n">
        <v>0</v>
      </c>
      <c r="K217" t="n">
        <v>0</v>
      </c>
      <c r="L217" t="n">
        <v>0</v>
      </c>
      <c r="M217" t="n">
        <v>0</v>
      </c>
      <c r="N217" t="n">
        <v>0</v>
      </c>
      <c r="O217" t="n">
        <v>0</v>
      </c>
      <c r="P217" t="n">
        <v>0</v>
      </c>
      <c r="Q217" t="n">
        <v>0</v>
      </c>
      <c r="R217" s="2" t="inlineStr"/>
    </row>
    <row r="218" ht="15" customHeight="1">
      <c r="A218" t="inlineStr">
        <is>
          <t>A 47473-2021</t>
        </is>
      </c>
      <c r="B218" s="1" t="n">
        <v>44447</v>
      </c>
      <c r="C218" s="1" t="n">
        <v>45928</v>
      </c>
      <c r="D218" t="inlineStr">
        <is>
          <t>KALMAR LÄN</t>
        </is>
      </c>
      <c r="E218" t="inlineStr">
        <is>
          <t>VIMMERBY</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40077-2021</t>
        </is>
      </c>
      <c r="B219" s="1" t="n">
        <v>44418</v>
      </c>
      <c r="C219" s="1" t="n">
        <v>45928</v>
      </c>
      <c r="D219" t="inlineStr">
        <is>
          <t>KALMAR LÄN</t>
        </is>
      </c>
      <c r="E219" t="inlineStr">
        <is>
          <t>VIMMERBY</t>
        </is>
      </c>
      <c r="G219" t="n">
        <v>2.9</v>
      </c>
      <c r="H219" t="n">
        <v>0</v>
      </c>
      <c r="I219" t="n">
        <v>0</v>
      </c>
      <c r="J219" t="n">
        <v>0</v>
      </c>
      <c r="K219" t="n">
        <v>0</v>
      </c>
      <c r="L219" t="n">
        <v>0</v>
      </c>
      <c r="M219" t="n">
        <v>0</v>
      </c>
      <c r="N219" t="n">
        <v>0</v>
      </c>
      <c r="O219" t="n">
        <v>0</v>
      </c>
      <c r="P219" t="n">
        <v>0</v>
      </c>
      <c r="Q219" t="n">
        <v>0</v>
      </c>
      <c r="R219" s="2" t="inlineStr"/>
    </row>
    <row r="220" ht="15" customHeight="1">
      <c r="A220" t="inlineStr">
        <is>
          <t>A 47769-2022</t>
        </is>
      </c>
      <c r="B220" s="1" t="n">
        <v>44854</v>
      </c>
      <c r="C220" s="1" t="n">
        <v>45928</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16015-2025</t>
        </is>
      </c>
      <c r="B221" s="1" t="n">
        <v>45749.60487268519</v>
      </c>
      <c r="C221" s="1" t="n">
        <v>45928</v>
      </c>
      <c r="D221" t="inlineStr">
        <is>
          <t>KALMAR LÄN</t>
        </is>
      </c>
      <c r="E221" t="inlineStr">
        <is>
          <t>VIMMERBY</t>
        </is>
      </c>
      <c r="F221" t="inlineStr">
        <is>
          <t>Kyrkan</t>
        </is>
      </c>
      <c r="G221" t="n">
        <v>2.7</v>
      </c>
      <c r="H221" t="n">
        <v>0</v>
      </c>
      <c r="I221" t="n">
        <v>0</v>
      </c>
      <c r="J221" t="n">
        <v>0</v>
      </c>
      <c r="K221" t="n">
        <v>0</v>
      </c>
      <c r="L221" t="n">
        <v>0</v>
      </c>
      <c r="M221" t="n">
        <v>0</v>
      </c>
      <c r="N221" t="n">
        <v>0</v>
      </c>
      <c r="O221" t="n">
        <v>0</v>
      </c>
      <c r="P221" t="n">
        <v>0</v>
      </c>
      <c r="Q221" t="n">
        <v>0</v>
      </c>
      <c r="R221" s="2" t="inlineStr"/>
    </row>
    <row r="222" ht="15" customHeight="1">
      <c r="A222" t="inlineStr">
        <is>
          <t>A 57256-2023</t>
        </is>
      </c>
      <c r="B222" s="1" t="n">
        <v>45245.5735300926</v>
      </c>
      <c r="C222" s="1" t="n">
        <v>45928</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23088-2024</t>
        </is>
      </c>
      <c r="B223" s="1" t="n">
        <v>45450.51092592593</v>
      </c>
      <c r="C223" s="1" t="n">
        <v>45928</v>
      </c>
      <c r="D223" t="inlineStr">
        <is>
          <t>KALMAR LÄN</t>
        </is>
      </c>
      <c r="E223" t="inlineStr">
        <is>
          <t>VIMMERBY</t>
        </is>
      </c>
      <c r="G223" t="n">
        <v>1.9</v>
      </c>
      <c r="H223" t="n">
        <v>0</v>
      </c>
      <c r="I223" t="n">
        <v>0</v>
      </c>
      <c r="J223" t="n">
        <v>0</v>
      </c>
      <c r="K223" t="n">
        <v>0</v>
      </c>
      <c r="L223" t="n">
        <v>0</v>
      </c>
      <c r="M223" t="n">
        <v>0</v>
      </c>
      <c r="N223" t="n">
        <v>0</v>
      </c>
      <c r="O223" t="n">
        <v>0</v>
      </c>
      <c r="P223" t="n">
        <v>0</v>
      </c>
      <c r="Q223" t="n">
        <v>0</v>
      </c>
      <c r="R223" s="2" t="inlineStr"/>
    </row>
    <row r="224" ht="15" customHeight="1">
      <c r="A224" t="inlineStr">
        <is>
          <t>A 41056-2022</t>
        </is>
      </c>
      <c r="B224" s="1" t="n">
        <v>44824</v>
      </c>
      <c r="C224" s="1" t="n">
        <v>45928</v>
      </c>
      <c r="D224" t="inlineStr">
        <is>
          <t>KALMAR LÄN</t>
        </is>
      </c>
      <c r="E224" t="inlineStr">
        <is>
          <t>VIMMERBY</t>
        </is>
      </c>
      <c r="G224" t="n">
        <v>0.8</v>
      </c>
      <c r="H224" t="n">
        <v>0</v>
      </c>
      <c r="I224" t="n">
        <v>0</v>
      </c>
      <c r="J224" t="n">
        <v>0</v>
      </c>
      <c r="K224" t="n">
        <v>0</v>
      </c>
      <c r="L224" t="n">
        <v>0</v>
      </c>
      <c r="M224" t="n">
        <v>0</v>
      </c>
      <c r="N224" t="n">
        <v>0</v>
      </c>
      <c r="O224" t="n">
        <v>0</v>
      </c>
      <c r="P224" t="n">
        <v>0</v>
      </c>
      <c r="Q224" t="n">
        <v>0</v>
      </c>
      <c r="R224" s="2" t="inlineStr"/>
    </row>
    <row r="225" ht="15" customHeight="1">
      <c r="A225" t="inlineStr">
        <is>
          <t>A 31660-2021</t>
        </is>
      </c>
      <c r="B225" s="1" t="n">
        <v>44369</v>
      </c>
      <c r="C225" s="1" t="n">
        <v>45928</v>
      </c>
      <c r="D225" t="inlineStr">
        <is>
          <t>KALMAR LÄN</t>
        </is>
      </c>
      <c r="E225" t="inlineStr">
        <is>
          <t>VIMMERBY</t>
        </is>
      </c>
      <c r="G225" t="n">
        <v>4.2</v>
      </c>
      <c r="H225" t="n">
        <v>0</v>
      </c>
      <c r="I225" t="n">
        <v>0</v>
      </c>
      <c r="J225" t="n">
        <v>0</v>
      </c>
      <c r="K225" t="n">
        <v>0</v>
      </c>
      <c r="L225" t="n">
        <v>0</v>
      </c>
      <c r="M225" t="n">
        <v>0</v>
      </c>
      <c r="N225" t="n">
        <v>0</v>
      </c>
      <c r="O225" t="n">
        <v>0</v>
      </c>
      <c r="P225" t="n">
        <v>0</v>
      </c>
      <c r="Q225" t="n">
        <v>0</v>
      </c>
      <c r="R225" s="2" t="inlineStr"/>
    </row>
    <row r="226" ht="15" customHeight="1">
      <c r="A226" t="inlineStr">
        <is>
          <t>A 27455-2022</t>
        </is>
      </c>
      <c r="B226" s="1" t="n">
        <v>44742</v>
      </c>
      <c r="C226" s="1" t="n">
        <v>45928</v>
      </c>
      <c r="D226" t="inlineStr">
        <is>
          <t>KALMAR LÄN</t>
        </is>
      </c>
      <c r="E226" t="inlineStr">
        <is>
          <t>VIMMERBY</t>
        </is>
      </c>
      <c r="G226" t="n">
        <v>1.6</v>
      </c>
      <c r="H226" t="n">
        <v>0</v>
      </c>
      <c r="I226" t="n">
        <v>0</v>
      </c>
      <c r="J226" t="n">
        <v>0</v>
      </c>
      <c r="K226" t="n">
        <v>0</v>
      </c>
      <c r="L226" t="n">
        <v>0</v>
      </c>
      <c r="M226" t="n">
        <v>0</v>
      </c>
      <c r="N226" t="n">
        <v>0</v>
      </c>
      <c r="O226" t="n">
        <v>0</v>
      </c>
      <c r="P226" t="n">
        <v>0</v>
      </c>
      <c r="Q226" t="n">
        <v>0</v>
      </c>
      <c r="R226" s="2" t="inlineStr"/>
    </row>
    <row r="227" ht="15" customHeight="1">
      <c r="A227" t="inlineStr">
        <is>
          <t>A 57189-2022</t>
        </is>
      </c>
      <c r="B227" s="1" t="n">
        <v>44895.62296296296</v>
      </c>
      <c r="C227" s="1" t="n">
        <v>45928</v>
      </c>
      <c r="D227" t="inlineStr">
        <is>
          <t>KALMAR LÄN</t>
        </is>
      </c>
      <c r="E227" t="inlineStr">
        <is>
          <t>VIMMERBY</t>
        </is>
      </c>
      <c r="G227" t="n">
        <v>0.8</v>
      </c>
      <c r="H227" t="n">
        <v>0</v>
      </c>
      <c r="I227" t="n">
        <v>0</v>
      </c>
      <c r="J227" t="n">
        <v>0</v>
      </c>
      <c r="K227" t="n">
        <v>0</v>
      </c>
      <c r="L227" t="n">
        <v>0</v>
      </c>
      <c r="M227" t="n">
        <v>0</v>
      </c>
      <c r="N227" t="n">
        <v>0</v>
      </c>
      <c r="O227" t="n">
        <v>0</v>
      </c>
      <c r="P227" t="n">
        <v>0</v>
      </c>
      <c r="Q227" t="n">
        <v>0</v>
      </c>
      <c r="R227" s="2" t="inlineStr"/>
    </row>
    <row r="228" ht="15" customHeight="1">
      <c r="A228" t="inlineStr">
        <is>
          <t>A 46522-2022</t>
        </is>
      </c>
      <c r="B228" s="1" t="n">
        <v>44848.59133101852</v>
      </c>
      <c r="C228" s="1" t="n">
        <v>45928</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21109-2024</t>
        </is>
      </c>
      <c r="B229" s="1" t="n">
        <v>45440.28329861111</v>
      </c>
      <c r="C229" s="1" t="n">
        <v>45928</v>
      </c>
      <c r="D229" t="inlineStr">
        <is>
          <t>KALMAR LÄN</t>
        </is>
      </c>
      <c r="E229" t="inlineStr">
        <is>
          <t>VIMMERBY</t>
        </is>
      </c>
      <c r="G229" t="n">
        <v>0.8</v>
      </c>
      <c r="H229" t="n">
        <v>0</v>
      </c>
      <c r="I229" t="n">
        <v>0</v>
      </c>
      <c r="J229" t="n">
        <v>0</v>
      </c>
      <c r="K229" t="n">
        <v>0</v>
      </c>
      <c r="L229" t="n">
        <v>0</v>
      </c>
      <c r="M229" t="n">
        <v>0</v>
      </c>
      <c r="N229" t="n">
        <v>0</v>
      </c>
      <c r="O229" t="n">
        <v>0</v>
      </c>
      <c r="P229" t="n">
        <v>0</v>
      </c>
      <c r="Q229" t="n">
        <v>0</v>
      </c>
      <c r="R229" s="2" t="inlineStr"/>
    </row>
    <row r="230" ht="15" customHeight="1">
      <c r="A230" t="inlineStr">
        <is>
          <t>A 1987-2024</t>
        </is>
      </c>
      <c r="B230" s="1" t="n">
        <v>45308.61152777778</v>
      </c>
      <c r="C230" s="1" t="n">
        <v>45928</v>
      </c>
      <c r="D230" t="inlineStr">
        <is>
          <t>KALMAR LÄN</t>
        </is>
      </c>
      <c r="E230" t="inlineStr">
        <is>
          <t>VIMMERBY</t>
        </is>
      </c>
      <c r="G230" t="n">
        <v>3</v>
      </c>
      <c r="H230" t="n">
        <v>0</v>
      </c>
      <c r="I230" t="n">
        <v>0</v>
      </c>
      <c r="J230" t="n">
        <v>0</v>
      </c>
      <c r="K230" t="n">
        <v>0</v>
      </c>
      <c r="L230" t="n">
        <v>0</v>
      </c>
      <c r="M230" t="n">
        <v>0</v>
      </c>
      <c r="N230" t="n">
        <v>0</v>
      </c>
      <c r="O230" t="n">
        <v>0</v>
      </c>
      <c r="P230" t="n">
        <v>0</v>
      </c>
      <c r="Q230" t="n">
        <v>0</v>
      </c>
      <c r="R230" s="2" t="inlineStr"/>
    </row>
    <row r="231" ht="15" customHeight="1">
      <c r="A231" t="inlineStr">
        <is>
          <t>A 527-2024</t>
        </is>
      </c>
      <c r="B231" s="1" t="n">
        <v>45299.47513888889</v>
      </c>
      <c r="C231" s="1" t="n">
        <v>45928</v>
      </c>
      <c r="D231" t="inlineStr">
        <is>
          <t>KALMAR LÄN</t>
        </is>
      </c>
      <c r="E231" t="inlineStr">
        <is>
          <t>VIMMERBY</t>
        </is>
      </c>
      <c r="G231" t="n">
        <v>2.2</v>
      </c>
      <c r="H231" t="n">
        <v>0</v>
      </c>
      <c r="I231" t="n">
        <v>0</v>
      </c>
      <c r="J231" t="n">
        <v>0</v>
      </c>
      <c r="K231" t="n">
        <v>0</v>
      </c>
      <c r="L231" t="n">
        <v>0</v>
      </c>
      <c r="M231" t="n">
        <v>0</v>
      </c>
      <c r="N231" t="n">
        <v>0</v>
      </c>
      <c r="O231" t="n">
        <v>0</v>
      </c>
      <c r="P231" t="n">
        <v>0</v>
      </c>
      <c r="Q231" t="n">
        <v>0</v>
      </c>
      <c r="R231" s="2" t="inlineStr"/>
    </row>
    <row r="232" ht="15" customHeight="1">
      <c r="A232" t="inlineStr">
        <is>
          <t>A 33815-2022</t>
        </is>
      </c>
      <c r="B232" s="1" t="n">
        <v>44790.45876157407</v>
      </c>
      <c r="C232" s="1" t="n">
        <v>45928</v>
      </c>
      <c r="D232" t="inlineStr">
        <is>
          <t>KALMAR LÄN</t>
        </is>
      </c>
      <c r="E232" t="inlineStr">
        <is>
          <t>VIMMERBY</t>
        </is>
      </c>
      <c r="G232" t="n">
        <v>0.9</v>
      </c>
      <c r="H232" t="n">
        <v>0</v>
      </c>
      <c r="I232" t="n">
        <v>0</v>
      </c>
      <c r="J232" t="n">
        <v>0</v>
      </c>
      <c r="K232" t="n">
        <v>0</v>
      </c>
      <c r="L232" t="n">
        <v>0</v>
      </c>
      <c r="M232" t="n">
        <v>0</v>
      </c>
      <c r="N232" t="n">
        <v>0</v>
      </c>
      <c r="O232" t="n">
        <v>0</v>
      </c>
      <c r="P232" t="n">
        <v>0</v>
      </c>
      <c r="Q232" t="n">
        <v>0</v>
      </c>
      <c r="R232" s="2" t="inlineStr"/>
    </row>
    <row r="233" ht="15" customHeight="1">
      <c r="A233" t="inlineStr">
        <is>
          <t>A 39801-2025</t>
        </is>
      </c>
      <c r="B233" s="1" t="n">
        <v>45891.50216435185</v>
      </c>
      <c r="C233" s="1" t="n">
        <v>45928</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37192-2024</t>
        </is>
      </c>
      <c r="B234" s="1" t="n">
        <v>45539.66027777778</v>
      </c>
      <c r="C234" s="1" t="n">
        <v>45928</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58374-2024</t>
        </is>
      </c>
      <c r="B235" s="1" t="n">
        <v>45632.72635416667</v>
      </c>
      <c r="C235" s="1" t="n">
        <v>45928</v>
      </c>
      <c r="D235" t="inlineStr">
        <is>
          <t>KALMAR LÄN</t>
        </is>
      </c>
      <c r="E235" t="inlineStr">
        <is>
          <t>VIMMERBY</t>
        </is>
      </c>
      <c r="G235" t="n">
        <v>0.8</v>
      </c>
      <c r="H235" t="n">
        <v>0</v>
      </c>
      <c r="I235" t="n">
        <v>0</v>
      </c>
      <c r="J235" t="n">
        <v>0</v>
      </c>
      <c r="K235" t="n">
        <v>0</v>
      </c>
      <c r="L235" t="n">
        <v>0</v>
      </c>
      <c r="M235" t="n">
        <v>0</v>
      </c>
      <c r="N235" t="n">
        <v>0</v>
      </c>
      <c r="O235" t="n">
        <v>0</v>
      </c>
      <c r="P235" t="n">
        <v>0</v>
      </c>
      <c r="Q235" t="n">
        <v>0</v>
      </c>
      <c r="R235" s="2" t="inlineStr"/>
    </row>
    <row r="236" ht="15" customHeight="1">
      <c r="A236" t="inlineStr">
        <is>
          <t>A 49461-2022</t>
        </is>
      </c>
      <c r="B236" s="1" t="n">
        <v>44861</v>
      </c>
      <c r="C236" s="1" t="n">
        <v>45928</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53542-2022</t>
        </is>
      </c>
      <c r="B237" s="1" t="n">
        <v>44879.62173611111</v>
      </c>
      <c r="C237" s="1" t="n">
        <v>45928</v>
      </c>
      <c r="D237" t="inlineStr">
        <is>
          <t>KALMAR LÄN</t>
        </is>
      </c>
      <c r="E237" t="inlineStr">
        <is>
          <t>VIMMERBY</t>
        </is>
      </c>
      <c r="G237" t="n">
        <v>2.6</v>
      </c>
      <c r="H237" t="n">
        <v>0</v>
      </c>
      <c r="I237" t="n">
        <v>0</v>
      </c>
      <c r="J237" t="n">
        <v>0</v>
      </c>
      <c r="K237" t="n">
        <v>0</v>
      </c>
      <c r="L237" t="n">
        <v>0</v>
      </c>
      <c r="M237" t="n">
        <v>0</v>
      </c>
      <c r="N237" t="n">
        <v>0</v>
      </c>
      <c r="O237" t="n">
        <v>0</v>
      </c>
      <c r="P237" t="n">
        <v>0</v>
      </c>
      <c r="Q237" t="n">
        <v>0</v>
      </c>
      <c r="R237" s="2" t="inlineStr"/>
    </row>
    <row r="238" ht="15" customHeight="1">
      <c r="A238" t="inlineStr">
        <is>
          <t>A 35270-2025</t>
        </is>
      </c>
      <c r="B238" s="1" t="n">
        <v>45853.87112268519</v>
      </c>
      <c r="C238" s="1" t="n">
        <v>45928</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35713-2023</t>
        </is>
      </c>
      <c r="B239" s="1" t="n">
        <v>45147</v>
      </c>
      <c r="C239" s="1" t="n">
        <v>45928</v>
      </c>
      <c r="D239" t="inlineStr">
        <is>
          <t>KALMAR LÄN</t>
        </is>
      </c>
      <c r="E239" t="inlineStr">
        <is>
          <t>VIMMERBY</t>
        </is>
      </c>
      <c r="G239" t="n">
        <v>1.6</v>
      </c>
      <c r="H239" t="n">
        <v>0</v>
      </c>
      <c r="I239" t="n">
        <v>0</v>
      </c>
      <c r="J239" t="n">
        <v>0</v>
      </c>
      <c r="K239" t="n">
        <v>0</v>
      </c>
      <c r="L239" t="n">
        <v>0</v>
      </c>
      <c r="M239" t="n">
        <v>0</v>
      </c>
      <c r="N239" t="n">
        <v>0</v>
      </c>
      <c r="O239" t="n">
        <v>0</v>
      </c>
      <c r="P239" t="n">
        <v>0</v>
      </c>
      <c r="Q239" t="n">
        <v>0</v>
      </c>
      <c r="R239" s="2" t="inlineStr"/>
    </row>
    <row r="240" ht="15" customHeight="1">
      <c r="A240" t="inlineStr">
        <is>
          <t>A 55300-2021</t>
        </is>
      </c>
      <c r="B240" s="1" t="n">
        <v>44475</v>
      </c>
      <c r="C240" s="1" t="n">
        <v>45928</v>
      </c>
      <c r="D240" t="inlineStr">
        <is>
          <t>KALMAR LÄN</t>
        </is>
      </c>
      <c r="E240" t="inlineStr">
        <is>
          <t>VIMMERBY</t>
        </is>
      </c>
      <c r="G240" t="n">
        <v>3.4</v>
      </c>
      <c r="H240" t="n">
        <v>0</v>
      </c>
      <c r="I240" t="n">
        <v>0</v>
      </c>
      <c r="J240" t="n">
        <v>0</v>
      </c>
      <c r="K240" t="n">
        <v>0</v>
      </c>
      <c r="L240" t="n">
        <v>0</v>
      </c>
      <c r="M240" t="n">
        <v>0</v>
      </c>
      <c r="N240" t="n">
        <v>0</v>
      </c>
      <c r="O240" t="n">
        <v>0</v>
      </c>
      <c r="P240" t="n">
        <v>0</v>
      </c>
      <c r="Q240" t="n">
        <v>0</v>
      </c>
      <c r="R240" s="2" t="inlineStr"/>
    </row>
    <row r="241" ht="15" customHeight="1">
      <c r="A241" t="inlineStr">
        <is>
          <t>A 10424-2023</t>
        </is>
      </c>
      <c r="B241" s="1" t="n">
        <v>44987.54104166666</v>
      </c>
      <c r="C241" s="1" t="n">
        <v>45928</v>
      </c>
      <c r="D241" t="inlineStr">
        <is>
          <t>KALMAR LÄN</t>
        </is>
      </c>
      <c r="E241" t="inlineStr">
        <is>
          <t>VIMMERBY</t>
        </is>
      </c>
      <c r="G241" t="n">
        <v>0.5</v>
      </c>
      <c r="H241" t="n">
        <v>0</v>
      </c>
      <c r="I241" t="n">
        <v>0</v>
      </c>
      <c r="J241" t="n">
        <v>0</v>
      </c>
      <c r="K241" t="n">
        <v>0</v>
      </c>
      <c r="L241" t="n">
        <v>0</v>
      </c>
      <c r="M241" t="n">
        <v>0</v>
      </c>
      <c r="N241" t="n">
        <v>0</v>
      </c>
      <c r="O241" t="n">
        <v>0</v>
      </c>
      <c r="P241" t="n">
        <v>0</v>
      </c>
      <c r="Q241" t="n">
        <v>0</v>
      </c>
      <c r="R241" s="2" t="inlineStr"/>
    </row>
    <row r="242" ht="15" customHeight="1">
      <c r="A242" t="inlineStr">
        <is>
          <t>A 35271-2025</t>
        </is>
      </c>
      <c r="B242" s="1" t="n">
        <v>45853.87599537037</v>
      </c>
      <c r="C242" s="1" t="n">
        <v>45928</v>
      </c>
      <c r="D242" t="inlineStr">
        <is>
          <t>KALMAR LÄN</t>
        </is>
      </c>
      <c r="E242" t="inlineStr">
        <is>
          <t>VIMMERBY</t>
        </is>
      </c>
      <c r="G242" t="n">
        <v>0.4</v>
      </c>
      <c r="H242" t="n">
        <v>0</v>
      </c>
      <c r="I242" t="n">
        <v>0</v>
      </c>
      <c r="J242" t="n">
        <v>0</v>
      </c>
      <c r="K242" t="n">
        <v>0</v>
      </c>
      <c r="L242" t="n">
        <v>0</v>
      </c>
      <c r="M242" t="n">
        <v>0</v>
      </c>
      <c r="N242" t="n">
        <v>0</v>
      </c>
      <c r="O242" t="n">
        <v>0</v>
      </c>
      <c r="P242" t="n">
        <v>0</v>
      </c>
      <c r="Q242" t="n">
        <v>0</v>
      </c>
      <c r="R242" s="2" t="inlineStr"/>
    </row>
    <row r="243" ht="15" customHeight="1">
      <c r="A243" t="inlineStr">
        <is>
          <t>A 35272-2025</t>
        </is>
      </c>
      <c r="B243" s="1" t="n">
        <v>45853.88070601852</v>
      </c>
      <c r="C243" s="1" t="n">
        <v>45928</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47263-2023</t>
        </is>
      </c>
      <c r="B244" s="1" t="n">
        <v>45202.4209837963</v>
      </c>
      <c r="C244" s="1" t="n">
        <v>45928</v>
      </c>
      <c r="D244" t="inlineStr">
        <is>
          <t>KALMAR LÄN</t>
        </is>
      </c>
      <c r="E244" t="inlineStr">
        <is>
          <t>VIMMERBY</t>
        </is>
      </c>
      <c r="G244" t="n">
        <v>1.8</v>
      </c>
      <c r="H244" t="n">
        <v>0</v>
      </c>
      <c r="I244" t="n">
        <v>0</v>
      </c>
      <c r="J244" t="n">
        <v>0</v>
      </c>
      <c r="K244" t="n">
        <v>0</v>
      </c>
      <c r="L244" t="n">
        <v>0</v>
      </c>
      <c r="M244" t="n">
        <v>0</v>
      </c>
      <c r="N244" t="n">
        <v>0</v>
      </c>
      <c r="O244" t="n">
        <v>0</v>
      </c>
      <c r="P244" t="n">
        <v>0</v>
      </c>
      <c r="Q244" t="n">
        <v>0</v>
      </c>
      <c r="R244" s="2" t="inlineStr"/>
    </row>
    <row r="245" ht="15" customHeight="1">
      <c r="A245" t="inlineStr">
        <is>
          <t>A 16953-2025</t>
        </is>
      </c>
      <c r="B245" s="1" t="n">
        <v>45755.44333333334</v>
      </c>
      <c r="C245" s="1" t="n">
        <v>45928</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39889-2025</t>
        </is>
      </c>
      <c r="B246" s="1" t="n">
        <v>45891</v>
      </c>
      <c r="C246" s="1" t="n">
        <v>45928</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47063-2022</t>
        </is>
      </c>
      <c r="B247" s="1" t="n">
        <v>44852</v>
      </c>
      <c r="C247" s="1" t="n">
        <v>45928</v>
      </c>
      <c r="D247" t="inlineStr">
        <is>
          <t>KALMAR LÄN</t>
        </is>
      </c>
      <c r="E247" t="inlineStr">
        <is>
          <t>VIMMERBY</t>
        </is>
      </c>
      <c r="G247" t="n">
        <v>2.5</v>
      </c>
      <c r="H247" t="n">
        <v>0</v>
      </c>
      <c r="I247" t="n">
        <v>0</v>
      </c>
      <c r="J247" t="n">
        <v>0</v>
      </c>
      <c r="K247" t="n">
        <v>0</v>
      </c>
      <c r="L247" t="n">
        <v>0</v>
      </c>
      <c r="M247" t="n">
        <v>0</v>
      </c>
      <c r="N247" t="n">
        <v>0</v>
      </c>
      <c r="O247" t="n">
        <v>0</v>
      </c>
      <c r="P247" t="n">
        <v>0</v>
      </c>
      <c r="Q247" t="n">
        <v>0</v>
      </c>
      <c r="R247" s="2" t="inlineStr"/>
    </row>
    <row r="248" ht="15" customHeight="1">
      <c r="A248" t="inlineStr">
        <is>
          <t>A 12819-2024</t>
        </is>
      </c>
      <c r="B248" s="1" t="n">
        <v>45384.66917824074</v>
      </c>
      <c r="C248" s="1" t="n">
        <v>45928</v>
      </c>
      <c r="D248" t="inlineStr">
        <is>
          <t>KALMAR LÄN</t>
        </is>
      </c>
      <c r="E248" t="inlineStr">
        <is>
          <t>VIMMERBY</t>
        </is>
      </c>
      <c r="G248" t="n">
        <v>5.1</v>
      </c>
      <c r="H248" t="n">
        <v>0</v>
      </c>
      <c r="I248" t="n">
        <v>0</v>
      </c>
      <c r="J248" t="n">
        <v>0</v>
      </c>
      <c r="K248" t="n">
        <v>0</v>
      </c>
      <c r="L248" t="n">
        <v>0</v>
      </c>
      <c r="M248" t="n">
        <v>0</v>
      </c>
      <c r="N248" t="n">
        <v>0</v>
      </c>
      <c r="O248" t="n">
        <v>0</v>
      </c>
      <c r="P248" t="n">
        <v>0</v>
      </c>
      <c r="Q248" t="n">
        <v>0</v>
      </c>
      <c r="R248" s="2" t="inlineStr"/>
    </row>
    <row r="249" ht="15" customHeight="1">
      <c r="A249" t="inlineStr">
        <is>
          <t>A 2536-2023</t>
        </is>
      </c>
      <c r="B249" s="1" t="n">
        <v>44943.62954861111</v>
      </c>
      <c r="C249" s="1" t="n">
        <v>45928</v>
      </c>
      <c r="D249" t="inlineStr">
        <is>
          <t>KALMAR LÄN</t>
        </is>
      </c>
      <c r="E249" t="inlineStr">
        <is>
          <t>VIMMERBY</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2801-2023</t>
        </is>
      </c>
      <c r="B250" s="1" t="n">
        <v>44944.73487268519</v>
      </c>
      <c r="C250" s="1" t="n">
        <v>45928</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33340-2023</t>
        </is>
      </c>
      <c r="B251" s="1" t="n">
        <v>45128.37305555555</v>
      </c>
      <c r="C251" s="1" t="n">
        <v>45928</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40921-2025</t>
        </is>
      </c>
      <c r="B252" s="1" t="n">
        <v>45897.63520833333</v>
      </c>
      <c r="C252" s="1" t="n">
        <v>45928</v>
      </c>
      <c r="D252" t="inlineStr">
        <is>
          <t>KALMAR LÄN</t>
        </is>
      </c>
      <c r="E252" t="inlineStr">
        <is>
          <t>VIMMERBY</t>
        </is>
      </c>
      <c r="G252" t="n">
        <v>4.2</v>
      </c>
      <c r="H252" t="n">
        <v>0</v>
      </c>
      <c r="I252" t="n">
        <v>0</v>
      </c>
      <c r="J252" t="n">
        <v>0</v>
      </c>
      <c r="K252" t="n">
        <v>0</v>
      </c>
      <c r="L252" t="n">
        <v>0</v>
      </c>
      <c r="M252" t="n">
        <v>0</v>
      </c>
      <c r="N252" t="n">
        <v>0</v>
      </c>
      <c r="O252" t="n">
        <v>0</v>
      </c>
      <c r="P252" t="n">
        <v>0</v>
      </c>
      <c r="Q252" t="n">
        <v>0</v>
      </c>
      <c r="R252" s="2" t="inlineStr"/>
    </row>
    <row r="253" ht="15" customHeight="1">
      <c r="A253" t="inlineStr">
        <is>
          <t>A 29017-2024</t>
        </is>
      </c>
      <c r="B253" s="1" t="n">
        <v>45481.56722222222</v>
      </c>
      <c r="C253" s="1" t="n">
        <v>45928</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31382-2023</t>
        </is>
      </c>
      <c r="B254" s="1" t="n">
        <v>45114.55136574074</v>
      </c>
      <c r="C254" s="1" t="n">
        <v>45928</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58046-2022</t>
        </is>
      </c>
      <c r="B255" s="1" t="n">
        <v>44900.57393518519</v>
      </c>
      <c r="C255" s="1" t="n">
        <v>45928</v>
      </c>
      <c r="D255" t="inlineStr">
        <is>
          <t>KALMAR LÄN</t>
        </is>
      </c>
      <c r="E255" t="inlineStr">
        <is>
          <t>VIMMERBY</t>
        </is>
      </c>
      <c r="G255" t="n">
        <v>2.5</v>
      </c>
      <c r="H255" t="n">
        <v>0</v>
      </c>
      <c r="I255" t="n">
        <v>0</v>
      </c>
      <c r="J255" t="n">
        <v>0</v>
      </c>
      <c r="K255" t="n">
        <v>0</v>
      </c>
      <c r="L255" t="n">
        <v>0</v>
      </c>
      <c r="M255" t="n">
        <v>0</v>
      </c>
      <c r="N255" t="n">
        <v>0</v>
      </c>
      <c r="O255" t="n">
        <v>0</v>
      </c>
      <c r="P255" t="n">
        <v>0</v>
      </c>
      <c r="Q255" t="n">
        <v>0</v>
      </c>
      <c r="R255" s="2" t="inlineStr"/>
    </row>
    <row r="256" ht="15" customHeight="1">
      <c r="A256" t="inlineStr">
        <is>
          <t>A 17968-2025</t>
        </is>
      </c>
      <c r="B256" s="1" t="n">
        <v>45761.35990740741</v>
      </c>
      <c r="C256" s="1" t="n">
        <v>45928</v>
      </c>
      <c r="D256" t="inlineStr">
        <is>
          <t>KALMAR LÄN</t>
        </is>
      </c>
      <c r="E256" t="inlineStr">
        <is>
          <t>VIMMERBY</t>
        </is>
      </c>
      <c r="G256" t="n">
        <v>3.3</v>
      </c>
      <c r="H256" t="n">
        <v>0</v>
      </c>
      <c r="I256" t="n">
        <v>0</v>
      </c>
      <c r="J256" t="n">
        <v>0</v>
      </c>
      <c r="K256" t="n">
        <v>0</v>
      </c>
      <c r="L256" t="n">
        <v>0</v>
      </c>
      <c r="M256" t="n">
        <v>0</v>
      </c>
      <c r="N256" t="n">
        <v>0</v>
      </c>
      <c r="O256" t="n">
        <v>0</v>
      </c>
      <c r="P256" t="n">
        <v>0</v>
      </c>
      <c r="Q256" t="n">
        <v>0</v>
      </c>
      <c r="R256" s="2" t="inlineStr"/>
    </row>
    <row r="257" ht="15" customHeight="1">
      <c r="A257" t="inlineStr">
        <is>
          <t>A 11073-2023</t>
        </is>
      </c>
      <c r="B257" s="1" t="n">
        <v>44992</v>
      </c>
      <c r="C257" s="1" t="n">
        <v>45928</v>
      </c>
      <c r="D257" t="inlineStr">
        <is>
          <t>KALMAR LÄN</t>
        </is>
      </c>
      <c r="E257" t="inlineStr">
        <is>
          <t>VIMMERBY</t>
        </is>
      </c>
      <c r="F257" t="inlineStr">
        <is>
          <t>Sveaskog</t>
        </is>
      </c>
      <c r="G257" t="n">
        <v>1.2</v>
      </c>
      <c r="H257" t="n">
        <v>0</v>
      </c>
      <c r="I257" t="n">
        <v>0</v>
      </c>
      <c r="J257" t="n">
        <v>0</v>
      </c>
      <c r="K257" t="n">
        <v>0</v>
      </c>
      <c r="L257" t="n">
        <v>0</v>
      </c>
      <c r="M257" t="n">
        <v>0</v>
      </c>
      <c r="N257" t="n">
        <v>0</v>
      </c>
      <c r="O257" t="n">
        <v>0</v>
      </c>
      <c r="P257" t="n">
        <v>0</v>
      </c>
      <c r="Q257" t="n">
        <v>0</v>
      </c>
      <c r="R257" s="2" t="inlineStr"/>
    </row>
    <row r="258" ht="15" customHeight="1">
      <c r="A258" t="inlineStr">
        <is>
          <t>A 40971-2025</t>
        </is>
      </c>
      <c r="B258" s="1" t="n">
        <v>45897.88836805556</v>
      </c>
      <c r="C258" s="1" t="n">
        <v>45928</v>
      </c>
      <c r="D258" t="inlineStr">
        <is>
          <t>KALMAR LÄN</t>
        </is>
      </c>
      <c r="E258" t="inlineStr">
        <is>
          <t>VIMMERBY</t>
        </is>
      </c>
      <c r="G258" t="n">
        <v>1.5</v>
      </c>
      <c r="H258" t="n">
        <v>0</v>
      </c>
      <c r="I258" t="n">
        <v>0</v>
      </c>
      <c r="J258" t="n">
        <v>0</v>
      </c>
      <c r="K258" t="n">
        <v>0</v>
      </c>
      <c r="L258" t="n">
        <v>0</v>
      </c>
      <c r="M258" t="n">
        <v>0</v>
      </c>
      <c r="N258" t="n">
        <v>0</v>
      </c>
      <c r="O258" t="n">
        <v>0</v>
      </c>
      <c r="P258" t="n">
        <v>0</v>
      </c>
      <c r="Q258" t="n">
        <v>0</v>
      </c>
      <c r="R258" s="2" t="inlineStr"/>
    </row>
    <row r="259" ht="15" customHeight="1">
      <c r="A259" t="inlineStr">
        <is>
          <t>A 14548-2024</t>
        </is>
      </c>
      <c r="B259" s="1" t="n">
        <v>45394.66887731481</v>
      </c>
      <c r="C259" s="1" t="n">
        <v>45928</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40925-2025</t>
        </is>
      </c>
      <c r="B260" s="1" t="n">
        <v>45897.64208333333</v>
      </c>
      <c r="C260" s="1" t="n">
        <v>45928</v>
      </c>
      <c r="D260" t="inlineStr">
        <is>
          <t>KALMAR LÄN</t>
        </is>
      </c>
      <c r="E260" t="inlineStr">
        <is>
          <t>VIMMERBY</t>
        </is>
      </c>
      <c r="G260" t="n">
        <v>1.9</v>
      </c>
      <c r="H260" t="n">
        <v>0</v>
      </c>
      <c r="I260" t="n">
        <v>0</v>
      </c>
      <c r="J260" t="n">
        <v>0</v>
      </c>
      <c r="K260" t="n">
        <v>0</v>
      </c>
      <c r="L260" t="n">
        <v>0</v>
      </c>
      <c r="M260" t="n">
        <v>0</v>
      </c>
      <c r="N260" t="n">
        <v>0</v>
      </c>
      <c r="O260" t="n">
        <v>0</v>
      </c>
      <c r="P260" t="n">
        <v>0</v>
      </c>
      <c r="Q260" t="n">
        <v>0</v>
      </c>
      <c r="R260" s="2" t="inlineStr"/>
    </row>
    <row r="261" ht="15" customHeight="1">
      <c r="A261" t="inlineStr">
        <is>
          <t>A 59955-2023</t>
        </is>
      </c>
      <c r="B261" s="1" t="n">
        <v>45257.70313657408</v>
      </c>
      <c r="C261" s="1" t="n">
        <v>45928</v>
      </c>
      <c r="D261" t="inlineStr">
        <is>
          <t>KALMAR LÄN</t>
        </is>
      </c>
      <c r="E261" t="inlineStr">
        <is>
          <t>VIMMERBY</t>
        </is>
      </c>
      <c r="G261" t="n">
        <v>13.8</v>
      </c>
      <c r="H261" t="n">
        <v>0</v>
      </c>
      <c r="I261" t="n">
        <v>0</v>
      </c>
      <c r="J261" t="n">
        <v>0</v>
      </c>
      <c r="K261" t="n">
        <v>0</v>
      </c>
      <c r="L261" t="n">
        <v>0</v>
      </c>
      <c r="M261" t="n">
        <v>0</v>
      </c>
      <c r="N261" t="n">
        <v>0</v>
      </c>
      <c r="O261" t="n">
        <v>0</v>
      </c>
      <c r="P261" t="n">
        <v>0</v>
      </c>
      <c r="Q261" t="n">
        <v>0</v>
      </c>
      <c r="R261" s="2" t="inlineStr"/>
    </row>
    <row r="262" ht="15" customHeight="1">
      <c r="A262" t="inlineStr">
        <is>
          <t>A 41224-2025</t>
        </is>
      </c>
      <c r="B262" s="1" t="n">
        <v>45898.58861111111</v>
      </c>
      <c r="C262" s="1" t="n">
        <v>45928</v>
      </c>
      <c r="D262" t="inlineStr">
        <is>
          <t>KALMAR LÄN</t>
        </is>
      </c>
      <c r="E262" t="inlineStr">
        <is>
          <t>VIMMERBY</t>
        </is>
      </c>
      <c r="G262" t="n">
        <v>4.4</v>
      </c>
      <c r="H262" t="n">
        <v>0</v>
      </c>
      <c r="I262" t="n">
        <v>0</v>
      </c>
      <c r="J262" t="n">
        <v>0</v>
      </c>
      <c r="K262" t="n">
        <v>0</v>
      </c>
      <c r="L262" t="n">
        <v>0</v>
      </c>
      <c r="M262" t="n">
        <v>0</v>
      </c>
      <c r="N262" t="n">
        <v>0</v>
      </c>
      <c r="O262" t="n">
        <v>0</v>
      </c>
      <c r="P262" t="n">
        <v>0</v>
      </c>
      <c r="Q262" t="n">
        <v>0</v>
      </c>
      <c r="R262" s="2" t="inlineStr"/>
    </row>
    <row r="263" ht="15" customHeight="1">
      <c r="A263" t="inlineStr">
        <is>
          <t>A 36802-2021</t>
        </is>
      </c>
      <c r="B263" s="1" t="n">
        <v>44392</v>
      </c>
      <c r="C263" s="1" t="n">
        <v>45928</v>
      </c>
      <c r="D263" t="inlineStr">
        <is>
          <t>KALMAR LÄN</t>
        </is>
      </c>
      <c r="E263" t="inlineStr">
        <is>
          <t>VIMMERBY</t>
        </is>
      </c>
      <c r="F263" t="inlineStr">
        <is>
          <t>Sveaskog</t>
        </is>
      </c>
      <c r="G263" t="n">
        <v>4.6</v>
      </c>
      <c r="H263" t="n">
        <v>0</v>
      </c>
      <c r="I263" t="n">
        <v>0</v>
      </c>
      <c r="J263" t="n">
        <v>0</v>
      </c>
      <c r="K263" t="n">
        <v>0</v>
      </c>
      <c r="L263" t="n">
        <v>0</v>
      </c>
      <c r="M263" t="n">
        <v>0</v>
      </c>
      <c r="N263" t="n">
        <v>0</v>
      </c>
      <c r="O263" t="n">
        <v>0</v>
      </c>
      <c r="P263" t="n">
        <v>0</v>
      </c>
      <c r="Q263" t="n">
        <v>0</v>
      </c>
      <c r="R263" s="2" t="inlineStr"/>
    </row>
    <row r="264" ht="15" customHeight="1">
      <c r="A264" t="inlineStr">
        <is>
          <t>A 40973-2025</t>
        </is>
      </c>
      <c r="B264" s="1" t="n">
        <v>45897.89737268518</v>
      </c>
      <c r="C264" s="1" t="n">
        <v>45928</v>
      </c>
      <c r="D264" t="inlineStr">
        <is>
          <t>KALMAR LÄN</t>
        </is>
      </c>
      <c r="E264" t="inlineStr">
        <is>
          <t>VIMMERBY</t>
        </is>
      </c>
      <c r="G264" t="n">
        <v>1.8</v>
      </c>
      <c r="H264" t="n">
        <v>0</v>
      </c>
      <c r="I264" t="n">
        <v>0</v>
      </c>
      <c r="J264" t="n">
        <v>0</v>
      </c>
      <c r="K264" t="n">
        <v>0</v>
      </c>
      <c r="L264" t="n">
        <v>0</v>
      </c>
      <c r="M264" t="n">
        <v>0</v>
      </c>
      <c r="N264" t="n">
        <v>0</v>
      </c>
      <c r="O264" t="n">
        <v>0</v>
      </c>
      <c r="P264" t="n">
        <v>0</v>
      </c>
      <c r="Q264" t="n">
        <v>0</v>
      </c>
      <c r="R264" s="2" t="inlineStr"/>
    </row>
    <row r="265" ht="15" customHeight="1">
      <c r="A265" t="inlineStr">
        <is>
          <t>A 40970-2025</t>
        </is>
      </c>
      <c r="B265" s="1" t="n">
        <v>45897.88706018519</v>
      </c>
      <c r="C265" s="1" t="n">
        <v>45928</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41589-2025</t>
        </is>
      </c>
      <c r="B266" s="1" t="n">
        <v>45901.63219907408</v>
      </c>
      <c r="C266" s="1" t="n">
        <v>45928</v>
      </c>
      <c r="D266" t="inlineStr">
        <is>
          <t>KALMAR LÄN</t>
        </is>
      </c>
      <c r="E266" t="inlineStr">
        <is>
          <t>VIMMERBY</t>
        </is>
      </c>
      <c r="G266" t="n">
        <v>1.7</v>
      </c>
      <c r="H266" t="n">
        <v>0</v>
      </c>
      <c r="I266" t="n">
        <v>0</v>
      </c>
      <c r="J266" t="n">
        <v>0</v>
      </c>
      <c r="K266" t="n">
        <v>0</v>
      </c>
      <c r="L266" t="n">
        <v>0</v>
      </c>
      <c r="M266" t="n">
        <v>0</v>
      </c>
      <c r="N266" t="n">
        <v>0</v>
      </c>
      <c r="O266" t="n">
        <v>0</v>
      </c>
      <c r="P266" t="n">
        <v>0</v>
      </c>
      <c r="Q266" t="n">
        <v>0</v>
      </c>
      <c r="R266" s="2" t="inlineStr"/>
    </row>
    <row r="267" ht="15" customHeight="1">
      <c r="A267" t="inlineStr">
        <is>
          <t>A 41591-2025</t>
        </is>
      </c>
      <c r="B267" s="1" t="n">
        <v>45901.6327662037</v>
      </c>
      <c r="C267" s="1" t="n">
        <v>45928</v>
      </c>
      <c r="D267" t="inlineStr">
        <is>
          <t>KALMAR LÄN</t>
        </is>
      </c>
      <c r="E267" t="inlineStr">
        <is>
          <t>VIMMERBY</t>
        </is>
      </c>
      <c r="G267" t="n">
        <v>0.5</v>
      </c>
      <c r="H267" t="n">
        <v>0</v>
      </c>
      <c r="I267" t="n">
        <v>0</v>
      </c>
      <c r="J267" t="n">
        <v>0</v>
      </c>
      <c r="K267" t="n">
        <v>0</v>
      </c>
      <c r="L267" t="n">
        <v>0</v>
      </c>
      <c r="M267" t="n">
        <v>0</v>
      </c>
      <c r="N267" t="n">
        <v>0</v>
      </c>
      <c r="O267" t="n">
        <v>0</v>
      </c>
      <c r="P267" t="n">
        <v>0</v>
      </c>
      <c r="Q267" t="n">
        <v>0</v>
      </c>
      <c r="R267" s="2" t="inlineStr"/>
    </row>
    <row r="268" ht="15" customHeight="1">
      <c r="A268" t="inlineStr">
        <is>
          <t>A 61820-2023</t>
        </is>
      </c>
      <c r="B268" s="1" t="n">
        <v>45266.32614583334</v>
      </c>
      <c r="C268" s="1" t="n">
        <v>45928</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3269-2024</t>
        </is>
      </c>
      <c r="B269" s="1" t="n">
        <v>45317.40372685185</v>
      </c>
      <c r="C269" s="1" t="n">
        <v>45928</v>
      </c>
      <c r="D269" t="inlineStr">
        <is>
          <t>KALMAR LÄN</t>
        </is>
      </c>
      <c r="E269" t="inlineStr">
        <is>
          <t>VIMMERBY</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35597-2025</t>
        </is>
      </c>
      <c r="B270" s="1" t="n">
        <v>45858.66019675926</v>
      </c>
      <c r="C270" s="1" t="n">
        <v>45928</v>
      </c>
      <c r="D270" t="inlineStr">
        <is>
          <t>KALMAR LÄN</t>
        </is>
      </c>
      <c r="E270" t="inlineStr">
        <is>
          <t>VIMMERBY</t>
        </is>
      </c>
      <c r="G270" t="n">
        <v>6.4</v>
      </c>
      <c r="H270" t="n">
        <v>0</v>
      </c>
      <c r="I270" t="n">
        <v>0</v>
      </c>
      <c r="J270" t="n">
        <v>0</v>
      </c>
      <c r="K270" t="n">
        <v>0</v>
      </c>
      <c r="L270" t="n">
        <v>0</v>
      </c>
      <c r="M270" t="n">
        <v>0</v>
      </c>
      <c r="N270" t="n">
        <v>0</v>
      </c>
      <c r="O270" t="n">
        <v>0</v>
      </c>
      <c r="P270" t="n">
        <v>0</v>
      </c>
      <c r="Q270" t="n">
        <v>0</v>
      </c>
      <c r="R270" s="2" t="inlineStr"/>
    </row>
    <row r="271" ht="15" customHeight="1">
      <c r="A271" t="inlineStr">
        <is>
          <t>A 14451-2024</t>
        </is>
      </c>
      <c r="B271" s="1" t="n">
        <v>45394.50028935185</v>
      </c>
      <c r="C271" s="1" t="n">
        <v>45928</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48120-2022</t>
        </is>
      </c>
      <c r="B272" s="1" t="n">
        <v>44857.65989583333</v>
      </c>
      <c r="C272" s="1" t="n">
        <v>45928</v>
      </c>
      <c r="D272" t="inlineStr">
        <is>
          <t>KALMAR LÄN</t>
        </is>
      </c>
      <c r="E272" t="inlineStr">
        <is>
          <t>VIMMERBY</t>
        </is>
      </c>
      <c r="G272" t="n">
        <v>1.7</v>
      </c>
      <c r="H272" t="n">
        <v>0</v>
      </c>
      <c r="I272" t="n">
        <v>0</v>
      </c>
      <c r="J272" t="n">
        <v>0</v>
      </c>
      <c r="K272" t="n">
        <v>0</v>
      </c>
      <c r="L272" t="n">
        <v>0</v>
      </c>
      <c r="M272" t="n">
        <v>0</v>
      </c>
      <c r="N272" t="n">
        <v>0</v>
      </c>
      <c r="O272" t="n">
        <v>0</v>
      </c>
      <c r="P272" t="n">
        <v>0</v>
      </c>
      <c r="Q272" t="n">
        <v>0</v>
      </c>
      <c r="R272" s="2" t="inlineStr"/>
    </row>
    <row r="273" ht="15" customHeight="1">
      <c r="A273" t="inlineStr">
        <is>
          <t>A 2157-2024</t>
        </is>
      </c>
      <c r="B273" s="1" t="n">
        <v>45309.59487268519</v>
      </c>
      <c r="C273" s="1" t="n">
        <v>45928</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3423-2022</t>
        </is>
      </c>
      <c r="B274" s="1" t="n">
        <v>44585.50431712963</v>
      </c>
      <c r="C274" s="1" t="n">
        <v>45928</v>
      </c>
      <c r="D274" t="inlineStr">
        <is>
          <t>KALMAR LÄN</t>
        </is>
      </c>
      <c r="E274" t="inlineStr">
        <is>
          <t>VIMMERBY</t>
        </is>
      </c>
      <c r="G274" t="n">
        <v>1.7</v>
      </c>
      <c r="H274" t="n">
        <v>0</v>
      </c>
      <c r="I274" t="n">
        <v>0</v>
      </c>
      <c r="J274" t="n">
        <v>0</v>
      </c>
      <c r="K274" t="n">
        <v>0</v>
      </c>
      <c r="L274" t="n">
        <v>0</v>
      </c>
      <c r="M274" t="n">
        <v>0</v>
      </c>
      <c r="N274" t="n">
        <v>0</v>
      </c>
      <c r="O274" t="n">
        <v>0</v>
      </c>
      <c r="P274" t="n">
        <v>0</v>
      </c>
      <c r="Q274" t="n">
        <v>0</v>
      </c>
      <c r="R274" s="2" t="inlineStr"/>
    </row>
    <row r="275" ht="15" customHeight="1">
      <c r="A275" t="inlineStr">
        <is>
          <t>A 11074-2023</t>
        </is>
      </c>
      <c r="B275" s="1" t="n">
        <v>44992.34151620371</v>
      </c>
      <c r="C275" s="1" t="n">
        <v>45928</v>
      </c>
      <c r="D275" t="inlineStr">
        <is>
          <t>KALMAR LÄN</t>
        </is>
      </c>
      <c r="E275" t="inlineStr">
        <is>
          <t>VIMMERBY</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46238-2024</t>
        </is>
      </c>
      <c r="B276" s="1" t="n">
        <v>45581.58418981481</v>
      </c>
      <c r="C276" s="1" t="n">
        <v>45928</v>
      </c>
      <c r="D276" t="inlineStr">
        <is>
          <t>KALMAR LÄN</t>
        </is>
      </c>
      <c r="E276" t="inlineStr">
        <is>
          <t>VIMMERBY</t>
        </is>
      </c>
      <c r="G276" t="n">
        <v>2.1</v>
      </c>
      <c r="H276" t="n">
        <v>0</v>
      </c>
      <c r="I276" t="n">
        <v>0</v>
      </c>
      <c r="J276" t="n">
        <v>0</v>
      </c>
      <c r="K276" t="n">
        <v>0</v>
      </c>
      <c r="L276" t="n">
        <v>0</v>
      </c>
      <c r="M276" t="n">
        <v>0</v>
      </c>
      <c r="N276" t="n">
        <v>0</v>
      </c>
      <c r="O276" t="n">
        <v>0</v>
      </c>
      <c r="P276" t="n">
        <v>0</v>
      </c>
      <c r="Q276" t="n">
        <v>0</v>
      </c>
      <c r="R276" s="2" t="inlineStr"/>
    </row>
    <row r="277" ht="15" customHeight="1">
      <c r="A277" t="inlineStr">
        <is>
          <t>A 9416-2024</t>
        </is>
      </c>
      <c r="B277" s="1" t="n">
        <v>45359.44837962963</v>
      </c>
      <c r="C277" s="1" t="n">
        <v>45928</v>
      </c>
      <c r="D277" t="inlineStr">
        <is>
          <t>KALMAR LÄN</t>
        </is>
      </c>
      <c r="E277" t="inlineStr">
        <is>
          <t>VIMMERBY</t>
        </is>
      </c>
      <c r="G277" t="n">
        <v>3.2</v>
      </c>
      <c r="H277" t="n">
        <v>0</v>
      </c>
      <c r="I277" t="n">
        <v>0</v>
      </c>
      <c r="J277" t="n">
        <v>0</v>
      </c>
      <c r="K277" t="n">
        <v>0</v>
      </c>
      <c r="L277" t="n">
        <v>0</v>
      </c>
      <c r="M277" t="n">
        <v>0</v>
      </c>
      <c r="N277" t="n">
        <v>0</v>
      </c>
      <c r="O277" t="n">
        <v>0</v>
      </c>
      <c r="P277" t="n">
        <v>0</v>
      </c>
      <c r="Q277" t="n">
        <v>0</v>
      </c>
      <c r="R277" s="2" t="inlineStr"/>
    </row>
    <row r="278" ht="15" customHeight="1">
      <c r="A278" t="inlineStr">
        <is>
          <t>A 71631-2021</t>
        </is>
      </c>
      <c r="B278" s="1" t="n">
        <v>44542.90072916666</v>
      </c>
      <c r="C278" s="1" t="n">
        <v>45928</v>
      </c>
      <c r="D278" t="inlineStr">
        <is>
          <t>KALMAR LÄN</t>
        </is>
      </c>
      <c r="E278" t="inlineStr">
        <is>
          <t>VIMMERBY</t>
        </is>
      </c>
      <c r="G278" t="n">
        <v>0.9</v>
      </c>
      <c r="H278" t="n">
        <v>0</v>
      </c>
      <c r="I278" t="n">
        <v>0</v>
      </c>
      <c r="J278" t="n">
        <v>0</v>
      </c>
      <c r="K278" t="n">
        <v>0</v>
      </c>
      <c r="L278" t="n">
        <v>0</v>
      </c>
      <c r="M278" t="n">
        <v>0</v>
      </c>
      <c r="N278" t="n">
        <v>0</v>
      </c>
      <c r="O278" t="n">
        <v>0</v>
      </c>
      <c r="P278" t="n">
        <v>0</v>
      </c>
      <c r="Q278" t="n">
        <v>0</v>
      </c>
      <c r="R278" s="2" t="inlineStr"/>
    </row>
    <row r="279" ht="15" customHeight="1">
      <c r="A279" t="inlineStr">
        <is>
          <t>A 58318-2021</t>
        </is>
      </c>
      <c r="B279" s="1" t="n">
        <v>44488.35878472222</v>
      </c>
      <c r="C279" s="1" t="n">
        <v>45928</v>
      </c>
      <c r="D279" t="inlineStr">
        <is>
          <t>KALMAR LÄN</t>
        </is>
      </c>
      <c r="E279" t="inlineStr">
        <is>
          <t>VIMMERBY</t>
        </is>
      </c>
      <c r="G279" t="n">
        <v>4</v>
      </c>
      <c r="H279" t="n">
        <v>0</v>
      </c>
      <c r="I279" t="n">
        <v>0</v>
      </c>
      <c r="J279" t="n">
        <v>0</v>
      </c>
      <c r="K279" t="n">
        <v>0</v>
      </c>
      <c r="L279" t="n">
        <v>0</v>
      </c>
      <c r="M279" t="n">
        <v>0</v>
      </c>
      <c r="N279" t="n">
        <v>0</v>
      </c>
      <c r="O279" t="n">
        <v>0</v>
      </c>
      <c r="P279" t="n">
        <v>0</v>
      </c>
      <c r="Q279" t="n">
        <v>0</v>
      </c>
      <c r="R279" s="2" t="inlineStr"/>
    </row>
    <row r="280" ht="15" customHeight="1">
      <c r="A280" t="inlineStr">
        <is>
          <t>A 50993-2022</t>
        </is>
      </c>
      <c r="B280" s="1" t="n">
        <v>44867</v>
      </c>
      <c r="C280" s="1" t="n">
        <v>45928</v>
      </c>
      <c r="D280" t="inlineStr">
        <is>
          <t>KALMAR LÄN</t>
        </is>
      </c>
      <c r="E280" t="inlineStr">
        <is>
          <t>VIMMERBY</t>
        </is>
      </c>
      <c r="G280" t="n">
        <v>1.7</v>
      </c>
      <c r="H280" t="n">
        <v>0</v>
      </c>
      <c r="I280" t="n">
        <v>0</v>
      </c>
      <c r="J280" t="n">
        <v>0</v>
      </c>
      <c r="K280" t="n">
        <v>0</v>
      </c>
      <c r="L280" t="n">
        <v>0</v>
      </c>
      <c r="M280" t="n">
        <v>0</v>
      </c>
      <c r="N280" t="n">
        <v>0</v>
      </c>
      <c r="O280" t="n">
        <v>0</v>
      </c>
      <c r="P280" t="n">
        <v>0</v>
      </c>
      <c r="Q280" t="n">
        <v>0</v>
      </c>
      <c r="R280" s="2" t="inlineStr"/>
    </row>
    <row r="281" ht="15" customHeight="1">
      <c r="A281" t="inlineStr">
        <is>
          <t>A 53083-2021</t>
        </is>
      </c>
      <c r="B281" s="1" t="n">
        <v>44467.83386574074</v>
      </c>
      <c r="C281" s="1" t="n">
        <v>45928</v>
      </c>
      <c r="D281" t="inlineStr">
        <is>
          <t>KALMAR LÄN</t>
        </is>
      </c>
      <c r="E281" t="inlineStr">
        <is>
          <t>VIMMERBY</t>
        </is>
      </c>
      <c r="G281" t="n">
        <v>6.8</v>
      </c>
      <c r="H281" t="n">
        <v>0</v>
      </c>
      <c r="I281" t="n">
        <v>0</v>
      </c>
      <c r="J281" t="n">
        <v>0</v>
      </c>
      <c r="K281" t="n">
        <v>0</v>
      </c>
      <c r="L281" t="n">
        <v>0</v>
      </c>
      <c r="M281" t="n">
        <v>0</v>
      </c>
      <c r="N281" t="n">
        <v>0</v>
      </c>
      <c r="O281" t="n">
        <v>0</v>
      </c>
      <c r="P281" t="n">
        <v>0</v>
      </c>
      <c r="Q281" t="n">
        <v>0</v>
      </c>
      <c r="R281" s="2" t="inlineStr"/>
    </row>
    <row r="282" ht="15" customHeight="1">
      <c r="A282" t="inlineStr">
        <is>
          <t>A 46225-2024</t>
        </is>
      </c>
      <c r="B282" s="1" t="n">
        <v>45581.57333333333</v>
      </c>
      <c r="C282" s="1" t="n">
        <v>45928</v>
      </c>
      <c r="D282" t="inlineStr">
        <is>
          <t>KALMAR LÄN</t>
        </is>
      </c>
      <c r="E282" t="inlineStr">
        <is>
          <t>VIMMERBY</t>
        </is>
      </c>
      <c r="G282" t="n">
        <v>1.3</v>
      </c>
      <c r="H282" t="n">
        <v>0</v>
      </c>
      <c r="I282" t="n">
        <v>0</v>
      </c>
      <c r="J282" t="n">
        <v>0</v>
      </c>
      <c r="K282" t="n">
        <v>0</v>
      </c>
      <c r="L282" t="n">
        <v>0</v>
      </c>
      <c r="M282" t="n">
        <v>0</v>
      </c>
      <c r="N282" t="n">
        <v>0</v>
      </c>
      <c r="O282" t="n">
        <v>0</v>
      </c>
      <c r="P282" t="n">
        <v>0</v>
      </c>
      <c r="Q282" t="n">
        <v>0</v>
      </c>
      <c r="R282" s="2" t="inlineStr"/>
    </row>
    <row r="283" ht="15" customHeight="1">
      <c r="A283" t="inlineStr">
        <is>
          <t>A 29173-2024</t>
        </is>
      </c>
      <c r="B283" s="1" t="n">
        <v>45482.52887731481</v>
      </c>
      <c r="C283" s="1" t="n">
        <v>45928</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11111-2024</t>
        </is>
      </c>
      <c r="B284" s="1" t="n">
        <v>45371.36359953704</v>
      </c>
      <c r="C284" s="1" t="n">
        <v>45928</v>
      </c>
      <c r="D284" t="inlineStr">
        <is>
          <t>KALMAR LÄN</t>
        </is>
      </c>
      <c r="E284" t="inlineStr">
        <is>
          <t>VIMMERBY</t>
        </is>
      </c>
      <c r="G284" t="n">
        <v>1.4</v>
      </c>
      <c r="H284" t="n">
        <v>0</v>
      </c>
      <c r="I284" t="n">
        <v>0</v>
      </c>
      <c r="J284" t="n">
        <v>0</v>
      </c>
      <c r="K284" t="n">
        <v>0</v>
      </c>
      <c r="L284" t="n">
        <v>0</v>
      </c>
      <c r="M284" t="n">
        <v>0</v>
      </c>
      <c r="N284" t="n">
        <v>0</v>
      </c>
      <c r="O284" t="n">
        <v>0</v>
      </c>
      <c r="P284" t="n">
        <v>0</v>
      </c>
      <c r="Q284" t="n">
        <v>0</v>
      </c>
      <c r="R284" s="2" t="inlineStr"/>
    </row>
    <row r="285" ht="15" customHeight="1">
      <c r="A285" t="inlineStr">
        <is>
          <t>A 11141-2024</t>
        </is>
      </c>
      <c r="B285" s="1" t="n">
        <v>45371.45865740741</v>
      </c>
      <c r="C285" s="1" t="n">
        <v>45928</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36055-2024</t>
        </is>
      </c>
      <c r="B286" s="1" t="n">
        <v>45533.63056712963</v>
      </c>
      <c r="C286" s="1" t="n">
        <v>45928</v>
      </c>
      <c r="D286" t="inlineStr">
        <is>
          <t>KALMAR LÄN</t>
        </is>
      </c>
      <c r="E286" t="inlineStr">
        <is>
          <t>VIMMERBY</t>
        </is>
      </c>
      <c r="F286" t="inlineStr">
        <is>
          <t>Kommuner</t>
        </is>
      </c>
      <c r="G286" t="n">
        <v>1.9</v>
      </c>
      <c r="H286" t="n">
        <v>0</v>
      </c>
      <c r="I286" t="n">
        <v>0</v>
      </c>
      <c r="J286" t="n">
        <v>0</v>
      </c>
      <c r="K286" t="n">
        <v>0</v>
      </c>
      <c r="L286" t="n">
        <v>0</v>
      </c>
      <c r="M286" t="n">
        <v>0</v>
      </c>
      <c r="N286" t="n">
        <v>0</v>
      </c>
      <c r="O286" t="n">
        <v>0</v>
      </c>
      <c r="P286" t="n">
        <v>0</v>
      </c>
      <c r="Q286" t="n">
        <v>0</v>
      </c>
      <c r="R286" s="2" t="inlineStr"/>
    </row>
    <row r="287" ht="15" customHeight="1">
      <c r="A287" t="inlineStr">
        <is>
          <t>A 35596-2025</t>
        </is>
      </c>
      <c r="B287" s="1" t="n">
        <v>45858.60641203704</v>
      </c>
      <c r="C287" s="1" t="n">
        <v>45928</v>
      </c>
      <c r="D287" t="inlineStr">
        <is>
          <t>KALMAR LÄN</t>
        </is>
      </c>
      <c r="E287" t="inlineStr">
        <is>
          <t>VIMMERBY</t>
        </is>
      </c>
      <c r="G287" t="n">
        <v>2.8</v>
      </c>
      <c r="H287" t="n">
        <v>0</v>
      </c>
      <c r="I287" t="n">
        <v>0</v>
      </c>
      <c r="J287" t="n">
        <v>0</v>
      </c>
      <c r="K287" t="n">
        <v>0</v>
      </c>
      <c r="L287" t="n">
        <v>0</v>
      </c>
      <c r="M287" t="n">
        <v>0</v>
      </c>
      <c r="N287" t="n">
        <v>0</v>
      </c>
      <c r="O287" t="n">
        <v>0</v>
      </c>
      <c r="P287" t="n">
        <v>0</v>
      </c>
      <c r="Q287" t="n">
        <v>0</v>
      </c>
      <c r="R287" s="2" t="inlineStr"/>
    </row>
    <row r="288" ht="15" customHeight="1">
      <c r="A288" t="inlineStr">
        <is>
          <t>A 9418-2024</t>
        </is>
      </c>
      <c r="B288" s="1" t="n">
        <v>45359.45038194444</v>
      </c>
      <c r="C288" s="1" t="n">
        <v>45928</v>
      </c>
      <c r="D288" t="inlineStr">
        <is>
          <t>KALMAR LÄN</t>
        </is>
      </c>
      <c r="E288" t="inlineStr">
        <is>
          <t>VIMMERBY</t>
        </is>
      </c>
      <c r="G288" t="n">
        <v>1.9</v>
      </c>
      <c r="H288" t="n">
        <v>0</v>
      </c>
      <c r="I288" t="n">
        <v>0</v>
      </c>
      <c r="J288" t="n">
        <v>0</v>
      </c>
      <c r="K288" t="n">
        <v>0</v>
      </c>
      <c r="L288" t="n">
        <v>0</v>
      </c>
      <c r="M288" t="n">
        <v>0</v>
      </c>
      <c r="N288" t="n">
        <v>0</v>
      </c>
      <c r="O288" t="n">
        <v>0</v>
      </c>
      <c r="P288" t="n">
        <v>0</v>
      </c>
      <c r="Q288" t="n">
        <v>0</v>
      </c>
      <c r="R288" s="2" t="inlineStr"/>
    </row>
    <row r="289" ht="15" customHeight="1">
      <c r="A289" t="inlineStr">
        <is>
          <t>A 41735-2025</t>
        </is>
      </c>
      <c r="B289" s="1" t="n">
        <v>45902.47164351852</v>
      </c>
      <c r="C289" s="1" t="n">
        <v>45928</v>
      </c>
      <c r="D289" t="inlineStr">
        <is>
          <t>KALMAR LÄN</t>
        </is>
      </c>
      <c r="E289" t="inlineStr">
        <is>
          <t>VIMMERBY</t>
        </is>
      </c>
      <c r="G289" t="n">
        <v>3</v>
      </c>
      <c r="H289" t="n">
        <v>0</v>
      </c>
      <c r="I289" t="n">
        <v>0</v>
      </c>
      <c r="J289" t="n">
        <v>0</v>
      </c>
      <c r="K289" t="n">
        <v>0</v>
      </c>
      <c r="L289" t="n">
        <v>0</v>
      </c>
      <c r="M289" t="n">
        <v>0</v>
      </c>
      <c r="N289" t="n">
        <v>0</v>
      </c>
      <c r="O289" t="n">
        <v>0</v>
      </c>
      <c r="P289" t="n">
        <v>0</v>
      </c>
      <c r="Q289" t="n">
        <v>0</v>
      </c>
      <c r="R289" s="2" t="inlineStr"/>
    </row>
    <row r="290" ht="15" customHeight="1">
      <c r="A290" t="inlineStr">
        <is>
          <t>A 49039-2021</t>
        </is>
      </c>
      <c r="B290" s="1" t="n">
        <v>44453.56578703703</v>
      </c>
      <c r="C290" s="1" t="n">
        <v>45928</v>
      </c>
      <c r="D290" t="inlineStr">
        <is>
          <t>KALMAR LÄN</t>
        </is>
      </c>
      <c r="E290" t="inlineStr">
        <is>
          <t>VIMMERBY</t>
        </is>
      </c>
      <c r="G290" t="n">
        <v>0.6</v>
      </c>
      <c r="H290" t="n">
        <v>0</v>
      </c>
      <c r="I290" t="n">
        <v>0</v>
      </c>
      <c r="J290" t="n">
        <v>0</v>
      </c>
      <c r="K290" t="n">
        <v>0</v>
      </c>
      <c r="L290" t="n">
        <v>0</v>
      </c>
      <c r="M290" t="n">
        <v>0</v>
      </c>
      <c r="N290" t="n">
        <v>0</v>
      </c>
      <c r="O290" t="n">
        <v>0</v>
      </c>
      <c r="P290" t="n">
        <v>0</v>
      </c>
      <c r="Q290" t="n">
        <v>0</v>
      </c>
      <c r="R290" s="2" t="inlineStr"/>
    </row>
    <row r="291" ht="15" customHeight="1">
      <c r="A291" t="inlineStr">
        <is>
          <t>A 47859-2024</t>
        </is>
      </c>
      <c r="B291" s="1" t="n">
        <v>45588.67070601852</v>
      </c>
      <c r="C291" s="1" t="n">
        <v>45928</v>
      </c>
      <c r="D291" t="inlineStr">
        <is>
          <t>KALMAR LÄN</t>
        </is>
      </c>
      <c r="E291" t="inlineStr">
        <is>
          <t>VIMMERBY</t>
        </is>
      </c>
      <c r="G291" t="n">
        <v>1.7</v>
      </c>
      <c r="H291" t="n">
        <v>0</v>
      </c>
      <c r="I291" t="n">
        <v>0</v>
      </c>
      <c r="J291" t="n">
        <v>0</v>
      </c>
      <c r="K291" t="n">
        <v>0</v>
      </c>
      <c r="L291" t="n">
        <v>0</v>
      </c>
      <c r="M291" t="n">
        <v>0</v>
      </c>
      <c r="N291" t="n">
        <v>0</v>
      </c>
      <c r="O291" t="n">
        <v>0</v>
      </c>
      <c r="P291" t="n">
        <v>0</v>
      </c>
      <c r="Q291" t="n">
        <v>0</v>
      </c>
      <c r="R291" s="2" t="inlineStr"/>
    </row>
    <row r="292" ht="15" customHeight="1">
      <c r="A292" t="inlineStr">
        <is>
          <t>A 49313-2022</t>
        </is>
      </c>
      <c r="B292" s="1" t="n">
        <v>44861.52505787037</v>
      </c>
      <c r="C292" s="1" t="n">
        <v>45928</v>
      </c>
      <c r="D292" t="inlineStr">
        <is>
          <t>KALMAR LÄN</t>
        </is>
      </c>
      <c r="E292" t="inlineStr">
        <is>
          <t>VIMMERBY</t>
        </is>
      </c>
      <c r="G292" t="n">
        <v>1.9</v>
      </c>
      <c r="H292" t="n">
        <v>0</v>
      </c>
      <c r="I292" t="n">
        <v>0</v>
      </c>
      <c r="J292" t="n">
        <v>0</v>
      </c>
      <c r="K292" t="n">
        <v>0</v>
      </c>
      <c r="L292" t="n">
        <v>0</v>
      </c>
      <c r="M292" t="n">
        <v>0</v>
      </c>
      <c r="N292" t="n">
        <v>0</v>
      </c>
      <c r="O292" t="n">
        <v>0</v>
      </c>
      <c r="P292" t="n">
        <v>0</v>
      </c>
      <c r="Q292" t="n">
        <v>0</v>
      </c>
      <c r="R292" s="2" t="inlineStr"/>
    </row>
    <row r="293" ht="15" customHeight="1">
      <c r="A293" t="inlineStr">
        <is>
          <t>A 32835-2022</t>
        </is>
      </c>
      <c r="B293" s="1" t="n">
        <v>44784.42528935185</v>
      </c>
      <c r="C293" s="1" t="n">
        <v>45928</v>
      </c>
      <c r="D293" t="inlineStr">
        <is>
          <t>KALMAR LÄN</t>
        </is>
      </c>
      <c r="E293" t="inlineStr">
        <is>
          <t>VIMMERBY</t>
        </is>
      </c>
      <c r="G293" t="n">
        <v>1.6</v>
      </c>
      <c r="H293" t="n">
        <v>0</v>
      </c>
      <c r="I293" t="n">
        <v>0</v>
      </c>
      <c r="J293" t="n">
        <v>0</v>
      </c>
      <c r="K293" t="n">
        <v>0</v>
      </c>
      <c r="L293" t="n">
        <v>0</v>
      </c>
      <c r="M293" t="n">
        <v>0</v>
      </c>
      <c r="N293" t="n">
        <v>0</v>
      </c>
      <c r="O293" t="n">
        <v>0</v>
      </c>
      <c r="P293" t="n">
        <v>0</v>
      </c>
      <c r="Q293" t="n">
        <v>0</v>
      </c>
      <c r="R293" s="2" t="inlineStr"/>
    </row>
    <row r="294" ht="15" customHeight="1">
      <c r="A294" t="inlineStr">
        <is>
          <t>A 35998-2024</t>
        </is>
      </c>
      <c r="B294" s="1" t="n">
        <v>45533.54429398148</v>
      </c>
      <c r="C294" s="1" t="n">
        <v>45928</v>
      </c>
      <c r="D294" t="inlineStr">
        <is>
          <t>KALMAR LÄN</t>
        </is>
      </c>
      <c r="E294" t="inlineStr">
        <is>
          <t>VIMMERBY</t>
        </is>
      </c>
      <c r="G294" t="n">
        <v>8.6</v>
      </c>
      <c r="H294" t="n">
        <v>0</v>
      </c>
      <c r="I294" t="n">
        <v>0</v>
      </c>
      <c r="J294" t="n">
        <v>0</v>
      </c>
      <c r="K294" t="n">
        <v>0</v>
      </c>
      <c r="L294" t="n">
        <v>0</v>
      </c>
      <c r="M294" t="n">
        <v>0</v>
      </c>
      <c r="N294" t="n">
        <v>0</v>
      </c>
      <c r="O294" t="n">
        <v>0</v>
      </c>
      <c r="P294" t="n">
        <v>0</v>
      </c>
      <c r="Q294" t="n">
        <v>0</v>
      </c>
      <c r="R294" s="2" t="inlineStr"/>
    </row>
    <row r="295" ht="15" customHeight="1">
      <c r="A295" t="inlineStr">
        <is>
          <t>A 36040-2024</t>
        </is>
      </c>
      <c r="B295" s="1" t="n">
        <v>45533.60232638889</v>
      </c>
      <c r="C295" s="1" t="n">
        <v>45928</v>
      </c>
      <c r="D295" t="inlineStr">
        <is>
          <t>KALMAR LÄN</t>
        </is>
      </c>
      <c r="E295" t="inlineStr">
        <is>
          <t>VIMMERBY</t>
        </is>
      </c>
      <c r="F295" t="inlineStr">
        <is>
          <t>Kommuner</t>
        </is>
      </c>
      <c r="G295" t="n">
        <v>3.6</v>
      </c>
      <c r="H295" t="n">
        <v>0</v>
      </c>
      <c r="I295" t="n">
        <v>0</v>
      </c>
      <c r="J295" t="n">
        <v>0</v>
      </c>
      <c r="K295" t="n">
        <v>0</v>
      </c>
      <c r="L295" t="n">
        <v>0</v>
      </c>
      <c r="M295" t="n">
        <v>0</v>
      </c>
      <c r="N295" t="n">
        <v>0</v>
      </c>
      <c r="O295" t="n">
        <v>0</v>
      </c>
      <c r="P295" t="n">
        <v>0</v>
      </c>
      <c r="Q295" t="n">
        <v>0</v>
      </c>
      <c r="R295" s="2" t="inlineStr"/>
    </row>
    <row r="296" ht="15" customHeight="1">
      <c r="A296" t="inlineStr">
        <is>
          <t>A 36043-2024</t>
        </is>
      </c>
      <c r="B296" s="1" t="n">
        <v>45533.60770833334</v>
      </c>
      <c r="C296" s="1" t="n">
        <v>45928</v>
      </c>
      <c r="D296" t="inlineStr">
        <is>
          <t>KALMAR LÄN</t>
        </is>
      </c>
      <c r="E296" t="inlineStr">
        <is>
          <t>VIMMERBY</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42918-2021</t>
        </is>
      </c>
      <c r="B297" s="1" t="n">
        <v>44431</v>
      </c>
      <c r="C297" s="1" t="n">
        <v>45928</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529-2022</t>
        </is>
      </c>
      <c r="B298" s="1" t="n">
        <v>44566</v>
      </c>
      <c r="C298" s="1" t="n">
        <v>45928</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41896-2025</t>
        </is>
      </c>
      <c r="B299" s="1" t="n">
        <v>45903.38800925926</v>
      </c>
      <c r="C299" s="1" t="n">
        <v>45928</v>
      </c>
      <c r="D299" t="inlineStr">
        <is>
          <t>KALMAR LÄN</t>
        </is>
      </c>
      <c r="E299" t="inlineStr">
        <is>
          <t>VIMMERBY</t>
        </is>
      </c>
      <c r="G299" t="n">
        <v>2.9</v>
      </c>
      <c r="H299" t="n">
        <v>0</v>
      </c>
      <c r="I299" t="n">
        <v>0</v>
      </c>
      <c r="J299" t="n">
        <v>0</v>
      </c>
      <c r="K299" t="n">
        <v>0</v>
      </c>
      <c r="L299" t="n">
        <v>0</v>
      </c>
      <c r="M299" t="n">
        <v>0</v>
      </c>
      <c r="N299" t="n">
        <v>0</v>
      </c>
      <c r="O299" t="n">
        <v>0</v>
      </c>
      <c r="P299" t="n">
        <v>0</v>
      </c>
      <c r="Q299" t="n">
        <v>0</v>
      </c>
      <c r="R299" s="2" t="inlineStr"/>
    </row>
    <row r="300" ht="15" customHeight="1">
      <c r="A300" t="inlineStr">
        <is>
          <t>A 14855-2025</t>
        </is>
      </c>
      <c r="B300" s="1" t="n">
        <v>45743.41148148148</v>
      </c>
      <c r="C300" s="1" t="n">
        <v>45928</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22197-2024</t>
        </is>
      </c>
      <c r="B301" s="1" t="n">
        <v>45446.36774305555</v>
      </c>
      <c r="C301" s="1" t="n">
        <v>45928</v>
      </c>
      <c r="D301" t="inlineStr">
        <is>
          <t>KALMAR LÄN</t>
        </is>
      </c>
      <c r="E301" t="inlineStr">
        <is>
          <t>VIMMERBY</t>
        </is>
      </c>
      <c r="F301" t="inlineStr">
        <is>
          <t>Sveaskog</t>
        </is>
      </c>
      <c r="G301" t="n">
        <v>3.2</v>
      </c>
      <c r="H301" t="n">
        <v>0</v>
      </c>
      <c r="I301" t="n">
        <v>0</v>
      </c>
      <c r="J301" t="n">
        <v>0</v>
      </c>
      <c r="K301" t="n">
        <v>0</v>
      </c>
      <c r="L301" t="n">
        <v>0</v>
      </c>
      <c r="M301" t="n">
        <v>0</v>
      </c>
      <c r="N301" t="n">
        <v>0</v>
      </c>
      <c r="O301" t="n">
        <v>0</v>
      </c>
      <c r="P301" t="n">
        <v>0</v>
      </c>
      <c r="Q301" t="n">
        <v>0</v>
      </c>
      <c r="R301" s="2" t="inlineStr"/>
    </row>
    <row r="302" ht="15" customHeight="1">
      <c r="A302" t="inlineStr">
        <is>
          <t>A 60951-2023</t>
        </is>
      </c>
      <c r="B302" s="1" t="n">
        <v>45261.44914351852</v>
      </c>
      <c r="C302" s="1" t="n">
        <v>45928</v>
      </c>
      <c r="D302" t="inlineStr">
        <is>
          <t>KALMAR LÄN</t>
        </is>
      </c>
      <c r="E302" t="inlineStr">
        <is>
          <t>VIMMERBY</t>
        </is>
      </c>
      <c r="G302" t="n">
        <v>4.3</v>
      </c>
      <c r="H302" t="n">
        <v>0</v>
      </c>
      <c r="I302" t="n">
        <v>0</v>
      </c>
      <c r="J302" t="n">
        <v>0</v>
      </c>
      <c r="K302" t="n">
        <v>0</v>
      </c>
      <c r="L302" t="n">
        <v>0</v>
      </c>
      <c r="M302" t="n">
        <v>0</v>
      </c>
      <c r="N302" t="n">
        <v>0</v>
      </c>
      <c r="O302" t="n">
        <v>0</v>
      </c>
      <c r="P302" t="n">
        <v>0</v>
      </c>
      <c r="Q302" t="n">
        <v>0</v>
      </c>
      <c r="R302" s="2" t="inlineStr"/>
    </row>
    <row r="303" ht="15" customHeight="1">
      <c r="A303" t="inlineStr">
        <is>
          <t>A 41896-2023</t>
        </is>
      </c>
      <c r="B303" s="1" t="n">
        <v>45176.72427083334</v>
      </c>
      <c r="C303" s="1" t="n">
        <v>45928</v>
      </c>
      <c r="D303" t="inlineStr">
        <is>
          <t>KALMAR LÄN</t>
        </is>
      </c>
      <c r="E303" t="inlineStr">
        <is>
          <t>VIMMERBY</t>
        </is>
      </c>
      <c r="G303" t="n">
        <v>1.3</v>
      </c>
      <c r="H303" t="n">
        <v>0</v>
      </c>
      <c r="I303" t="n">
        <v>0</v>
      </c>
      <c r="J303" t="n">
        <v>0</v>
      </c>
      <c r="K303" t="n">
        <v>0</v>
      </c>
      <c r="L303" t="n">
        <v>0</v>
      </c>
      <c r="M303" t="n">
        <v>0</v>
      </c>
      <c r="N303" t="n">
        <v>0</v>
      </c>
      <c r="O303" t="n">
        <v>0</v>
      </c>
      <c r="P303" t="n">
        <v>0</v>
      </c>
      <c r="Q303" t="n">
        <v>0</v>
      </c>
      <c r="R303" s="2" t="inlineStr"/>
    </row>
    <row r="304" ht="15" customHeight="1">
      <c r="A304" t="inlineStr">
        <is>
          <t>A 19162-2023</t>
        </is>
      </c>
      <c r="B304" s="1" t="n">
        <v>45048.59699074074</v>
      </c>
      <c r="C304" s="1" t="n">
        <v>45928</v>
      </c>
      <c r="D304" t="inlineStr">
        <is>
          <t>KALMAR LÄN</t>
        </is>
      </c>
      <c r="E304" t="inlineStr">
        <is>
          <t>VIMMERBY</t>
        </is>
      </c>
      <c r="G304" t="n">
        <v>0.6</v>
      </c>
      <c r="H304" t="n">
        <v>0</v>
      </c>
      <c r="I304" t="n">
        <v>0</v>
      </c>
      <c r="J304" t="n">
        <v>0</v>
      </c>
      <c r="K304" t="n">
        <v>0</v>
      </c>
      <c r="L304" t="n">
        <v>0</v>
      </c>
      <c r="M304" t="n">
        <v>0</v>
      </c>
      <c r="N304" t="n">
        <v>0</v>
      </c>
      <c r="O304" t="n">
        <v>0</v>
      </c>
      <c r="P304" t="n">
        <v>0</v>
      </c>
      <c r="Q304" t="n">
        <v>0</v>
      </c>
      <c r="R304" s="2" t="inlineStr"/>
    </row>
    <row r="305" ht="15" customHeight="1">
      <c r="A305" t="inlineStr">
        <is>
          <t>A 35710-2023</t>
        </is>
      </c>
      <c r="B305" s="1" t="n">
        <v>45147.67096064815</v>
      </c>
      <c r="C305" s="1" t="n">
        <v>45928</v>
      </c>
      <c r="D305" t="inlineStr">
        <is>
          <t>KALMAR LÄN</t>
        </is>
      </c>
      <c r="E305" t="inlineStr">
        <is>
          <t>VIMMERBY</t>
        </is>
      </c>
      <c r="G305" t="n">
        <v>3.1</v>
      </c>
      <c r="H305" t="n">
        <v>0</v>
      </c>
      <c r="I305" t="n">
        <v>0</v>
      </c>
      <c r="J305" t="n">
        <v>0</v>
      </c>
      <c r="K305" t="n">
        <v>0</v>
      </c>
      <c r="L305" t="n">
        <v>0</v>
      </c>
      <c r="M305" t="n">
        <v>0</v>
      </c>
      <c r="N305" t="n">
        <v>0</v>
      </c>
      <c r="O305" t="n">
        <v>0</v>
      </c>
      <c r="P305" t="n">
        <v>0</v>
      </c>
      <c r="Q305" t="n">
        <v>0</v>
      </c>
      <c r="R305" s="2" t="inlineStr"/>
    </row>
    <row r="306" ht="15" customHeight="1">
      <c r="A306" t="inlineStr">
        <is>
          <t>A 31209-2024</t>
        </is>
      </c>
      <c r="B306" s="1" t="n">
        <v>45503.5658912037</v>
      </c>
      <c r="C306" s="1" t="n">
        <v>45928</v>
      </c>
      <c r="D306" t="inlineStr">
        <is>
          <t>KALMAR LÄN</t>
        </is>
      </c>
      <c r="E306" t="inlineStr">
        <is>
          <t>VIMMERBY</t>
        </is>
      </c>
      <c r="G306" t="n">
        <v>1.7</v>
      </c>
      <c r="H306" t="n">
        <v>0</v>
      </c>
      <c r="I306" t="n">
        <v>0</v>
      </c>
      <c r="J306" t="n">
        <v>0</v>
      </c>
      <c r="K306" t="n">
        <v>0</v>
      </c>
      <c r="L306" t="n">
        <v>0</v>
      </c>
      <c r="M306" t="n">
        <v>0</v>
      </c>
      <c r="N306" t="n">
        <v>0</v>
      </c>
      <c r="O306" t="n">
        <v>0</v>
      </c>
      <c r="P306" t="n">
        <v>0</v>
      </c>
      <c r="Q306" t="n">
        <v>0</v>
      </c>
      <c r="R306" s="2" t="inlineStr"/>
    </row>
    <row r="307" ht="15" customHeight="1">
      <c r="A307" t="inlineStr">
        <is>
          <t>A 35711-2023</t>
        </is>
      </c>
      <c r="B307" s="1" t="n">
        <v>45147.67172453704</v>
      </c>
      <c r="C307" s="1" t="n">
        <v>45928</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43606-2024</t>
        </is>
      </c>
      <c r="B308" s="1" t="n">
        <v>45569.45017361111</v>
      </c>
      <c r="C308" s="1" t="n">
        <v>45928</v>
      </c>
      <c r="D308" t="inlineStr">
        <is>
          <t>KALMAR LÄN</t>
        </is>
      </c>
      <c r="E308" t="inlineStr">
        <is>
          <t>VIMMERBY</t>
        </is>
      </c>
      <c r="G308" t="n">
        <v>1</v>
      </c>
      <c r="H308" t="n">
        <v>0</v>
      </c>
      <c r="I308" t="n">
        <v>0</v>
      </c>
      <c r="J308" t="n">
        <v>0</v>
      </c>
      <c r="K308" t="n">
        <v>0</v>
      </c>
      <c r="L308" t="n">
        <v>0</v>
      </c>
      <c r="M308" t="n">
        <v>0</v>
      </c>
      <c r="N308" t="n">
        <v>0</v>
      </c>
      <c r="O308" t="n">
        <v>0</v>
      </c>
      <c r="P308" t="n">
        <v>0</v>
      </c>
      <c r="Q308" t="n">
        <v>0</v>
      </c>
      <c r="R308" s="2" t="inlineStr"/>
    </row>
    <row r="309" ht="15" customHeight="1">
      <c r="A309" t="inlineStr">
        <is>
          <t>A 12325-2023</t>
        </is>
      </c>
      <c r="B309" s="1" t="n">
        <v>44999.35858796296</v>
      </c>
      <c r="C309" s="1" t="n">
        <v>45928</v>
      </c>
      <c r="D309" t="inlineStr">
        <is>
          <t>KALMAR LÄN</t>
        </is>
      </c>
      <c r="E309" t="inlineStr">
        <is>
          <t>VIMMERBY</t>
        </is>
      </c>
      <c r="G309" t="n">
        <v>3.4</v>
      </c>
      <c r="H309" t="n">
        <v>0</v>
      </c>
      <c r="I309" t="n">
        <v>0</v>
      </c>
      <c r="J309" t="n">
        <v>0</v>
      </c>
      <c r="K309" t="n">
        <v>0</v>
      </c>
      <c r="L309" t="n">
        <v>0</v>
      </c>
      <c r="M309" t="n">
        <v>0</v>
      </c>
      <c r="N309" t="n">
        <v>0</v>
      </c>
      <c r="O309" t="n">
        <v>0</v>
      </c>
      <c r="P309" t="n">
        <v>0</v>
      </c>
      <c r="Q309" t="n">
        <v>0</v>
      </c>
      <c r="R309" s="2" t="inlineStr"/>
    </row>
    <row r="310" ht="15" customHeight="1">
      <c r="A310" t="inlineStr">
        <is>
          <t>A 8945-2025</t>
        </is>
      </c>
      <c r="B310" s="1" t="n">
        <v>45713.45311342592</v>
      </c>
      <c r="C310" s="1" t="n">
        <v>45928</v>
      </c>
      <c r="D310" t="inlineStr">
        <is>
          <t>KALMAR LÄN</t>
        </is>
      </c>
      <c r="E310" t="inlineStr">
        <is>
          <t>VIMMERBY</t>
        </is>
      </c>
      <c r="G310" t="n">
        <v>0.6</v>
      </c>
      <c r="H310" t="n">
        <v>0</v>
      </c>
      <c r="I310" t="n">
        <v>0</v>
      </c>
      <c r="J310" t="n">
        <v>0</v>
      </c>
      <c r="K310" t="n">
        <v>0</v>
      </c>
      <c r="L310" t="n">
        <v>0</v>
      </c>
      <c r="M310" t="n">
        <v>0</v>
      </c>
      <c r="N310" t="n">
        <v>0</v>
      </c>
      <c r="O310" t="n">
        <v>0</v>
      </c>
      <c r="P310" t="n">
        <v>0</v>
      </c>
      <c r="Q310" t="n">
        <v>0</v>
      </c>
      <c r="R310" s="2" t="inlineStr"/>
    </row>
    <row r="311" ht="15" customHeight="1">
      <c r="A311" t="inlineStr">
        <is>
          <t>A 5864-2022</t>
        </is>
      </c>
      <c r="B311" s="1" t="n">
        <v>44596</v>
      </c>
      <c r="C311" s="1" t="n">
        <v>45928</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40665-2023</t>
        </is>
      </c>
      <c r="B312" s="1" t="n">
        <v>45170</v>
      </c>
      <c r="C312" s="1" t="n">
        <v>45928</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13307-2025</t>
        </is>
      </c>
      <c r="B313" s="1" t="n">
        <v>45735.58024305556</v>
      </c>
      <c r="C313" s="1" t="n">
        <v>45928</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3938-2023</t>
        </is>
      </c>
      <c r="B314" s="1" t="n">
        <v>44952.35775462963</v>
      </c>
      <c r="C314" s="1" t="n">
        <v>45928</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42828-2025</t>
        </is>
      </c>
      <c r="B315" s="1" t="n">
        <v>45908.57716435185</v>
      </c>
      <c r="C315" s="1" t="n">
        <v>45928</v>
      </c>
      <c r="D315" t="inlineStr">
        <is>
          <t>KALMAR LÄN</t>
        </is>
      </c>
      <c r="E315" t="inlineStr">
        <is>
          <t>VIMMERBY</t>
        </is>
      </c>
      <c r="G315" t="n">
        <v>5.2</v>
      </c>
      <c r="H315" t="n">
        <v>0</v>
      </c>
      <c r="I315" t="n">
        <v>0</v>
      </c>
      <c r="J315" t="n">
        <v>0</v>
      </c>
      <c r="K315" t="n">
        <v>0</v>
      </c>
      <c r="L315" t="n">
        <v>0</v>
      </c>
      <c r="M315" t="n">
        <v>0</v>
      </c>
      <c r="N315" t="n">
        <v>0</v>
      </c>
      <c r="O315" t="n">
        <v>0</v>
      </c>
      <c r="P315" t="n">
        <v>0</v>
      </c>
      <c r="Q315" t="n">
        <v>0</v>
      </c>
      <c r="R315" s="2" t="inlineStr"/>
    </row>
    <row r="316" ht="15" customHeight="1">
      <c r="A316" t="inlineStr">
        <is>
          <t>A 28034-2022</t>
        </is>
      </c>
      <c r="B316" s="1" t="n">
        <v>44746.38834490741</v>
      </c>
      <c r="C316" s="1" t="n">
        <v>45928</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34588-2024</t>
        </is>
      </c>
      <c r="B317" s="1" t="n">
        <v>45526.3865625</v>
      </c>
      <c r="C317" s="1" t="n">
        <v>45928</v>
      </c>
      <c r="D317" t="inlineStr">
        <is>
          <t>KALMAR LÄN</t>
        </is>
      </c>
      <c r="E317" t="inlineStr">
        <is>
          <t>VIMMERBY</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26937-2023</t>
        </is>
      </c>
      <c r="B318" s="1" t="n">
        <v>45093.62777777778</v>
      </c>
      <c r="C318" s="1" t="n">
        <v>45928</v>
      </c>
      <c r="D318" t="inlineStr">
        <is>
          <t>KALMAR LÄN</t>
        </is>
      </c>
      <c r="E318" t="inlineStr">
        <is>
          <t>VIMMERBY</t>
        </is>
      </c>
      <c r="F318" t="inlineStr">
        <is>
          <t>Sveaskog</t>
        </is>
      </c>
      <c r="G318" t="n">
        <v>14.5</v>
      </c>
      <c r="H318" t="n">
        <v>0</v>
      </c>
      <c r="I318" t="n">
        <v>0</v>
      </c>
      <c r="J318" t="n">
        <v>0</v>
      </c>
      <c r="K318" t="n">
        <v>0</v>
      </c>
      <c r="L318" t="n">
        <v>0</v>
      </c>
      <c r="M318" t="n">
        <v>0</v>
      </c>
      <c r="N318" t="n">
        <v>0</v>
      </c>
      <c r="O318" t="n">
        <v>0</v>
      </c>
      <c r="P318" t="n">
        <v>0</v>
      </c>
      <c r="Q318" t="n">
        <v>0</v>
      </c>
      <c r="R318" s="2" t="inlineStr"/>
    </row>
    <row r="319" ht="15" customHeight="1">
      <c r="A319" t="inlineStr">
        <is>
          <t>A 19502-2025</t>
        </is>
      </c>
      <c r="B319" s="1" t="n">
        <v>45769</v>
      </c>
      <c r="C319" s="1" t="n">
        <v>45928</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50085-2023</t>
        </is>
      </c>
      <c r="B320" s="1" t="n">
        <v>45215.5959375</v>
      </c>
      <c r="C320" s="1" t="n">
        <v>45928</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56659-2023</t>
        </is>
      </c>
      <c r="B321" s="1" t="n">
        <v>45243.84869212963</v>
      </c>
      <c r="C321" s="1" t="n">
        <v>45928</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55605-2024</t>
        </is>
      </c>
      <c r="B322" s="1" t="n">
        <v>45622</v>
      </c>
      <c r="C322" s="1" t="n">
        <v>45928</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42165-2024</t>
        </is>
      </c>
      <c r="B323" s="1" t="n">
        <v>45562.46342592593</v>
      </c>
      <c r="C323" s="1" t="n">
        <v>45928</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11219-2023</t>
        </is>
      </c>
      <c r="B324" s="1" t="n">
        <v>44992.62498842592</v>
      </c>
      <c r="C324" s="1" t="n">
        <v>45928</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20129-2024</t>
        </is>
      </c>
      <c r="B325" s="1" t="n">
        <v>45434.55831018519</v>
      </c>
      <c r="C325" s="1" t="n">
        <v>45928</v>
      </c>
      <c r="D325" t="inlineStr">
        <is>
          <t>KALMAR LÄN</t>
        </is>
      </c>
      <c r="E325" t="inlineStr">
        <is>
          <t>VIMMERBY</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20137-2024</t>
        </is>
      </c>
      <c r="B326" s="1" t="n">
        <v>45434.56398148148</v>
      </c>
      <c r="C326" s="1" t="n">
        <v>45928</v>
      </c>
      <c r="D326" t="inlineStr">
        <is>
          <t>KALMAR LÄN</t>
        </is>
      </c>
      <c r="E326" t="inlineStr">
        <is>
          <t>VIMMERBY</t>
        </is>
      </c>
      <c r="F326" t="inlineStr">
        <is>
          <t>Sveaskog</t>
        </is>
      </c>
      <c r="G326" t="n">
        <v>1.7</v>
      </c>
      <c r="H326" t="n">
        <v>0</v>
      </c>
      <c r="I326" t="n">
        <v>0</v>
      </c>
      <c r="J326" t="n">
        <v>0</v>
      </c>
      <c r="K326" t="n">
        <v>0</v>
      </c>
      <c r="L326" t="n">
        <v>0</v>
      </c>
      <c r="M326" t="n">
        <v>0</v>
      </c>
      <c r="N326" t="n">
        <v>0</v>
      </c>
      <c r="O326" t="n">
        <v>0</v>
      </c>
      <c r="P326" t="n">
        <v>0</v>
      </c>
      <c r="Q326" t="n">
        <v>0</v>
      </c>
      <c r="R326" s="2" t="inlineStr"/>
    </row>
    <row r="327" ht="15" customHeight="1">
      <c r="A327" t="inlineStr">
        <is>
          <t>A 23095-2023</t>
        </is>
      </c>
      <c r="B327" s="1" t="n">
        <v>45075.43059027778</v>
      </c>
      <c r="C327" s="1" t="n">
        <v>45928</v>
      </c>
      <c r="D327" t="inlineStr">
        <is>
          <t>KALMAR LÄN</t>
        </is>
      </c>
      <c r="E327" t="inlineStr">
        <is>
          <t>VIMMERBY</t>
        </is>
      </c>
      <c r="G327" t="n">
        <v>1</v>
      </c>
      <c r="H327" t="n">
        <v>0</v>
      </c>
      <c r="I327" t="n">
        <v>0</v>
      </c>
      <c r="J327" t="n">
        <v>0</v>
      </c>
      <c r="K327" t="n">
        <v>0</v>
      </c>
      <c r="L327" t="n">
        <v>0</v>
      </c>
      <c r="M327" t="n">
        <v>0</v>
      </c>
      <c r="N327" t="n">
        <v>0</v>
      </c>
      <c r="O327" t="n">
        <v>0</v>
      </c>
      <c r="P327" t="n">
        <v>0</v>
      </c>
      <c r="Q327" t="n">
        <v>0</v>
      </c>
      <c r="R327" s="2" t="inlineStr"/>
    </row>
    <row r="328" ht="15" customHeight="1">
      <c r="A328" t="inlineStr">
        <is>
          <t>A 36273-2025</t>
        </is>
      </c>
      <c r="B328" s="1" t="n">
        <v>45867.63094907408</v>
      </c>
      <c r="C328" s="1" t="n">
        <v>45928</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36299-2025</t>
        </is>
      </c>
      <c r="B329" s="1" t="n">
        <v>45867.69346064814</v>
      </c>
      <c r="C329" s="1" t="n">
        <v>45928</v>
      </c>
      <c r="D329" t="inlineStr">
        <is>
          <t>KALMAR LÄN</t>
        </is>
      </c>
      <c r="E329" t="inlineStr">
        <is>
          <t>VIMMERBY</t>
        </is>
      </c>
      <c r="G329" t="n">
        <v>7.6</v>
      </c>
      <c r="H329" t="n">
        <v>0</v>
      </c>
      <c r="I329" t="n">
        <v>0</v>
      </c>
      <c r="J329" t="n">
        <v>0</v>
      </c>
      <c r="K329" t="n">
        <v>0</v>
      </c>
      <c r="L329" t="n">
        <v>0</v>
      </c>
      <c r="M329" t="n">
        <v>0</v>
      </c>
      <c r="N329" t="n">
        <v>0</v>
      </c>
      <c r="O329" t="n">
        <v>0</v>
      </c>
      <c r="P329" t="n">
        <v>0</v>
      </c>
      <c r="Q329" t="n">
        <v>0</v>
      </c>
      <c r="R329" s="2" t="inlineStr"/>
    </row>
    <row r="330" ht="15" customHeight="1">
      <c r="A330" t="inlineStr">
        <is>
          <t>A 32919-2022</t>
        </is>
      </c>
      <c r="B330" s="1" t="n">
        <v>44784.62724537037</v>
      </c>
      <c r="C330" s="1" t="n">
        <v>45928</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36221-2025</t>
        </is>
      </c>
      <c r="B331" s="1" t="n">
        <v>45867.50792824074</v>
      </c>
      <c r="C331" s="1" t="n">
        <v>45928</v>
      </c>
      <c r="D331" t="inlineStr">
        <is>
          <t>KALMAR LÄN</t>
        </is>
      </c>
      <c r="E331" t="inlineStr">
        <is>
          <t>VIMMERBY</t>
        </is>
      </c>
      <c r="G331" t="n">
        <v>2.5</v>
      </c>
      <c r="H331" t="n">
        <v>0</v>
      </c>
      <c r="I331" t="n">
        <v>0</v>
      </c>
      <c r="J331" t="n">
        <v>0</v>
      </c>
      <c r="K331" t="n">
        <v>0</v>
      </c>
      <c r="L331" t="n">
        <v>0</v>
      </c>
      <c r="M331" t="n">
        <v>0</v>
      </c>
      <c r="N331" t="n">
        <v>0</v>
      </c>
      <c r="O331" t="n">
        <v>0</v>
      </c>
      <c r="P331" t="n">
        <v>0</v>
      </c>
      <c r="Q331" t="n">
        <v>0</v>
      </c>
      <c r="R331" s="2" t="inlineStr"/>
    </row>
    <row r="332" ht="15" customHeight="1">
      <c r="A332" t="inlineStr">
        <is>
          <t>A 36226-2025</t>
        </is>
      </c>
      <c r="B332" s="1" t="n">
        <v>45867.51630787037</v>
      </c>
      <c r="C332" s="1" t="n">
        <v>45928</v>
      </c>
      <c r="D332" t="inlineStr">
        <is>
          <t>KALMAR LÄN</t>
        </is>
      </c>
      <c r="E332" t="inlineStr">
        <is>
          <t>VIMMERBY</t>
        </is>
      </c>
      <c r="G332" t="n">
        <v>3.1</v>
      </c>
      <c r="H332" t="n">
        <v>0</v>
      </c>
      <c r="I332" t="n">
        <v>0</v>
      </c>
      <c r="J332" t="n">
        <v>0</v>
      </c>
      <c r="K332" t="n">
        <v>0</v>
      </c>
      <c r="L332" t="n">
        <v>0</v>
      </c>
      <c r="M332" t="n">
        <v>0</v>
      </c>
      <c r="N332" t="n">
        <v>0</v>
      </c>
      <c r="O332" t="n">
        <v>0</v>
      </c>
      <c r="P332" t="n">
        <v>0</v>
      </c>
      <c r="Q332" t="n">
        <v>0</v>
      </c>
      <c r="R332" s="2" t="inlineStr"/>
    </row>
    <row r="333" ht="15" customHeight="1">
      <c r="A333" t="inlineStr">
        <is>
          <t>A 36297-2025</t>
        </is>
      </c>
      <c r="B333" s="1" t="n">
        <v>45867.68625</v>
      </c>
      <c r="C333" s="1" t="n">
        <v>45928</v>
      </c>
      <c r="D333" t="inlineStr">
        <is>
          <t>KALMAR LÄN</t>
        </is>
      </c>
      <c r="E333" t="inlineStr">
        <is>
          <t>VIMMERBY</t>
        </is>
      </c>
      <c r="G333" t="n">
        <v>4.9</v>
      </c>
      <c r="H333" t="n">
        <v>0</v>
      </c>
      <c r="I333" t="n">
        <v>0</v>
      </c>
      <c r="J333" t="n">
        <v>0</v>
      </c>
      <c r="K333" t="n">
        <v>0</v>
      </c>
      <c r="L333" t="n">
        <v>0</v>
      </c>
      <c r="M333" t="n">
        <v>0</v>
      </c>
      <c r="N333" t="n">
        <v>0</v>
      </c>
      <c r="O333" t="n">
        <v>0</v>
      </c>
      <c r="P333" t="n">
        <v>0</v>
      </c>
      <c r="Q333" t="n">
        <v>0</v>
      </c>
      <c r="R333" s="2" t="inlineStr"/>
    </row>
    <row r="334" ht="15" customHeight="1">
      <c r="A334" t="inlineStr">
        <is>
          <t>A 36246-2025</t>
        </is>
      </c>
      <c r="B334" s="1" t="n">
        <v>45867.56320601852</v>
      </c>
      <c r="C334" s="1" t="n">
        <v>45928</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36282-2025</t>
        </is>
      </c>
      <c r="B335" s="1" t="n">
        <v>45867.64663194444</v>
      </c>
      <c r="C335" s="1" t="n">
        <v>45928</v>
      </c>
      <c r="D335" t="inlineStr">
        <is>
          <t>KALMAR LÄN</t>
        </is>
      </c>
      <c r="E335" t="inlineStr">
        <is>
          <t>VIMMERBY</t>
        </is>
      </c>
      <c r="G335" t="n">
        <v>1.4</v>
      </c>
      <c r="H335" t="n">
        <v>0</v>
      </c>
      <c r="I335" t="n">
        <v>0</v>
      </c>
      <c r="J335" t="n">
        <v>0</v>
      </c>
      <c r="K335" t="n">
        <v>0</v>
      </c>
      <c r="L335" t="n">
        <v>0</v>
      </c>
      <c r="M335" t="n">
        <v>0</v>
      </c>
      <c r="N335" t="n">
        <v>0</v>
      </c>
      <c r="O335" t="n">
        <v>0</v>
      </c>
      <c r="P335" t="n">
        <v>0</v>
      </c>
      <c r="Q335" t="n">
        <v>0</v>
      </c>
      <c r="R335" s="2" t="inlineStr"/>
    </row>
    <row r="336" ht="15" customHeight="1">
      <c r="A336" t="inlineStr">
        <is>
          <t>A 6850-2023</t>
        </is>
      </c>
      <c r="B336" s="1" t="n">
        <v>44967.44255787037</v>
      </c>
      <c r="C336" s="1" t="n">
        <v>45928</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3331-2023</t>
        </is>
      </c>
      <c r="B337" s="1" t="n">
        <v>44949</v>
      </c>
      <c r="C337" s="1" t="n">
        <v>45928</v>
      </c>
      <c r="D337" t="inlineStr">
        <is>
          <t>KALMAR LÄN</t>
        </is>
      </c>
      <c r="E337" t="inlineStr">
        <is>
          <t>VIMMERBY</t>
        </is>
      </c>
      <c r="G337" t="n">
        <v>6.2</v>
      </c>
      <c r="H337" t="n">
        <v>0</v>
      </c>
      <c r="I337" t="n">
        <v>0</v>
      </c>
      <c r="J337" t="n">
        <v>0</v>
      </c>
      <c r="K337" t="n">
        <v>0</v>
      </c>
      <c r="L337" t="n">
        <v>0</v>
      </c>
      <c r="M337" t="n">
        <v>0</v>
      </c>
      <c r="N337" t="n">
        <v>0</v>
      </c>
      <c r="O337" t="n">
        <v>0</v>
      </c>
      <c r="P337" t="n">
        <v>0</v>
      </c>
      <c r="Q337" t="n">
        <v>0</v>
      </c>
      <c r="R337" s="2" t="inlineStr"/>
    </row>
    <row r="338" ht="15" customHeight="1">
      <c r="A338" t="inlineStr">
        <is>
          <t>A 6358-2022</t>
        </is>
      </c>
      <c r="B338" s="1" t="n">
        <v>44600</v>
      </c>
      <c r="C338" s="1" t="n">
        <v>45928</v>
      </c>
      <c r="D338" t="inlineStr">
        <is>
          <t>KALMAR LÄN</t>
        </is>
      </c>
      <c r="E338" t="inlineStr">
        <is>
          <t>VIMMERBY</t>
        </is>
      </c>
      <c r="G338" t="n">
        <v>1.7</v>
      </c>
      <c r="H338" t="n">
        <v>0</v>
      </c>
      <c r="I338" t="n">
        <v>0</v>
      </c>
      <c r="J338" t="n">
        <v>0</v>
      </c>
      <c r="K338" t="n">
        <v>0</v>
      </c>
      <c r="L338" t="n">
        <v>0</v>
      </c>
      <c r="M338" t="n">
        <v>0</v>
      </c>
      <c r="N338" t="n">
        <v>0</v>
      </c>
      <c r="O338" t="n">
        <v>0</v>
      </c>
      <c r="P338" t="n">
        <v>0</v>
      </c>
      <c r="Q338" t="n">
        <v>0</v>
      </c>
      <c r="R338" s="2" t="inlineStr"/>
    </row>
    <row r="339" ht="15" customHeight="1">
      <c r="A339" t="inlineStr">
        <is>
          <t>A 43853-2023</t>
        </is>
      </c>
      <c r="B339" s="1" t="n">
        <v>45187.60813657408</v>
      </c>
      <c r="C339" s="1" t="n">
        <v>45928</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42794-2025</t>
        </is>
      </c>
      <c r="B340" s="1" t="n">
        <v>45908</v>
      </c>
      <c r="C340" s="1" t="n">
        <v>45928</v>
      </c>
      <c r="D340" t="inlineStr">
        <is>
          <t>KALMAR LÄN</t>
        </is>
      </c>
      <c r="E340" t="inlineStr">
        <is>
          <t>VIMMERBY</t>
        </is>
      </c>
      <c r="G340" t="n">
        <v>0.9</v>
      </c>
      <c r="H340" t="n">
        <v>0</v>
      </c>
      <c r="I340" t="n">
        <v>0</v>
      </c>
      <c r="J340" t="n">
        <v>0</v>
      </c>
      <c r="K340" t="n">
        <v>0</v>
      </c>
      <c r="L340" t="n">
        <v>0</v>
      </c>
      <c r="M340" t="n">
        <v>0</v>
      </c>
      <c r="N340" t="n">
        <v>0</v>
      </c>
      <c r="O340" t="n">
        <v>0</v>
      </c>
      <c r="P340" t="n">
        <v>0</v>
      </c>
      <c r="Q340" t="n">
        <v>0</v>
      </c>
      <c r="R340" s="2" t="inlineStr"/>
    </row>
    <row r="341" ht="15" customHeight="1">
      <c r="A341" t="inlineStr">
        <is>
          <t>A 7075-2021</t>
        </is>
      </c>
      <c r="B341" s="1" t="n">
        <v>44237</v>
      </c>
      <c r="C341" s="1" t="n">
        <v>45928</v>
      </c>
      <c r="D341" t="inlineStr">
        <is>
          <t>KALMAR LÄN</t>
        </is>
      </c>
      <c r="E341" t="inlineStr">
        <is>
          <t>VIMMERBY</t>
        </is>
      </c>
      <c r="G341" t="n">
        <v>3.6</v>
      </c>
      <c r="H341" t="n">
        <v>0</v>
      </c>
      <c r="I341" t="n">
        <v>0</v>
      </c>
      <c r="J341" t="n">
        <v>0</v>
      </c>
      <c r="K341" t="n">
        <v>0</v>
      </c>
      <c r="L341" t="n">
        <v>0</v>
      </c>
      <c r="M341" t="n">
        <v>0</v>
      </c>
      <c r="N341" t="n">
        <v>0</v>
      </c>
      <c r="O341" t="n">
        <v>0</v>
      </c>
      <c r="P341" t="n">
        <v>0</v>
      </c>
      <c r="Q341" t="n">
        <v>0</v>
      </c>
      <c r="R341" s="2" t="inlineStr"/>
    </row>
    <row r="342" ht="15" customHeight="1">
      <c r="A342" t="inlineStr">
        <is>
          <t>A 40828-2023</t>
        </is>
      </c>
      <c r="B342" s="1" t="n">
        <v>45171.96248842592</v>
      </c>
      <c r="C342" s="1" t="n">
        <v>45928</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36538-2025</t>
        </is>
      </c>
      <c r="B343" s="1" t="n">
        <v>45869.62276620371</v>
      </c>
      <c r="C343" s="1" t="n">
        <v>45928</v>
      </c>
      <c r="D343" t="inlineStr">
        <is>
          <t>KALMAR LÄN</t>
        </is>
      </c>
      <c r="E343" t="inlineStr">
        <is>
          <t>VIMMERBY</t>
        </is>
      </c>
      <c r="G343" t="n">
        <v>2.6</v>
      </c>
      <c r="H343" t="n">
        <v>0</v>
      </c>
      <c r="I343" t="n">
        <v>0</v>
      </c>
      <c r="J343" t="n">
        <v>0</v>
      </c>
      <c r="K343" t="n">
        <v>0</v>
      </c>
      <c r="L343" t="n">
        <v>0</v>
      </c>
      <c r="M343" t="n">
        <v>0</v>
      </c>
      <c r="N343" t="n">
        <v>0</v>
      </c>
      <c r="O343" t="n">
        <v>0</v>
      </c>
      <c r="P343" t="n">
        <v>0</v>
      </c>
      <c r="Q343" t="n">
        <v>0</v>
      </c>
      <c r="R343" s="2" t="inlineStr"/>
    </row>
    <row r="344" ht="15" customHeight="1">
      <c r="A344" t="inlineStr">
        <is>
          <t>A 7068-2024</t>
        </is>
      </c>
      <c r="B344" s="1" t="n">
        <v>45343.68038194445</v>
      </c>
      <c r="C344" s="1" t="n">
        <v>45928</v>
      </c>
      <c r="D344" t="inlineStr">
        <is>
          <t>KALMAR LÄN</t>
        </is>
      </c>
      <c r="E344" t="inlineStr">
        <is>
          <t>VIMMERBY</t>
        </is>
      </c>
      <c r="G344" t="n">
        <v>2.5</v>
      </c>
      <c r="H344" t="n">
        <v>0</v>
      </c>
      <c r="I344" t="n">
        <v>0</v>
      </c>
      <c r="J344" t="n">
        <v>0</v>
      </c>
      <c r="K344" t="n">
        <v>0</v>
      </c>
      <c r="L344" t="n">
        <v>0</v>
      </c>
      <c r="M344" t="n">
        <v>0</v>
      </c>
      <c r="N344" t="n">
        <v>0</v>
      </c>
      <c r="O344" t="n">
        <v>0</v>
      </c>
      <c r="P344" t="n">
        <v>0</v>
      </c>
      <c r="Q344" t="n">
        <v>0</v>
      </c>
      <c r="R344" s="2" t="inlineStr"/>
    </row>
    <row r="345" ht="15" customHeight="1">
      <c r="A345" t="inlineStr">
        <is>
          <t>A 48673-2021</t>
        </is>
      </c>
      <c r="B345" s="1" t="n">
        <v>44452</v>
      </c>
      <c r="C345" s="1" t="n">
        <v>45928</v>
      </c>
      <c r="D345" t="inlineStr">
        <is>
          <t>KALMAR LÄN</t>
        </is>
      </c>
      <c r="E345" t="inlineStr">
        <is>
          <t>VIMMERBY</t>
        </is>
      </c>
      <c r="G345" t="n">
        <v>1.3</v>
      </c>
      <c r="H345" t="n">
        <v>0</v>
      </c>
      <c r="I345" t="n">
        <v>0</v>
      </c>
      <c r="J345" t="n">
        <v>0</v>
      </c>
      <c r="K345" t="n">
        <v>0</v>
      </c>
      <c r="L345" t="n">
        <v>0</v>
      </c>
      <c r="M345" t="n">
        <v>0</v>
      </c>
      <c r="N345" t="n">
        <v>0</v>
      </c>
      <c r="O345" t="n">
        <v>0</v>
      </c>
      <c r="P345" t="n">
        <v>0</v>
      </c>
      <c r="Q345" t="n">
        <v>0</v>
      </c>
      <c r="R345" s="2" t="inlineStr"/>
    </row>
    <row r="346" ht="15" customHeight="1">
      <c r="A346" t="inlineStr">
        <is>
          <t>A 42820-2025</t>
        </is>
      </c>
      <c r="B346" s="1" t="n">
        <v>45908</v>
      </c>
      <c r="C346" s="1" t="n">
        <v>45928</v>
      </c>
      <c r="D346" t="inlineStr">
        <is>
          <t>KALMAR LÄN</t>
        </is>
      </c>
      <c r="E346" t="inlineStr">
        <is>
          <t>VIMMERBY</t>
        </is>
      </c>
      <c r="G346" t="n">
        <v>1.2</v>
      </c>
      <c r="H346" t="n">
        <v>0</v>
      </c>
      <c r="I346" t="n">
        <v>0</v>
      </c>
      <c r="J346" t="n">
        <v>0</v>
      </c>
      <c r="K346" t="n">
        <v>0</v>
      </c>
      <c r="L346" t="n">
        <v>0</v>
      </c>
      <c r="M346" t="n">
        <v>0</v>
      </c>
      <c r="N346" t="n">
        <v>0</v>
      </c>
      <c r="O346" t="n">
        <v>0</v>
      </c>
      <c r="P346" t="n">
        <v>0</v>
      </c>
      <c r="Q346" t="n">
        <v>0</v>
      </c>
      <c r="R346" s="2" t="inlineStr"/>
    </row>
    <row r="347" ht="15" customHeight="1">
      <c r="A347" t="inlineStr">
        <is>
          <t>A 14137-2023</t>
        </is>
      </c>
      <c r="B347" s="1" t="n">
        <v>45009.4671875</v>
      </c>
      <c r="C347" s="1" t="n">
        <v>45928</v>
      </c>
      <c r="D347" t="inlineStr">
        <is>
          <t>KALMAR LÄN</t>
        </is>
      </c>
      <c r="E347" t="inlineStr">
        <is>
          <t>VIMMERBY</t>
        </is>
      </c>
      <c r="G347" t="n">
        <v>1.3</v>
      </c>
      <c r="H347" t="n">
        <v>0</v>
      </c>
      <c r="I347" t="n">
        <v>0</v>
      </c>
      <c r="J347" t="n">
        <v>0</v>
      </c>
      <c r="K347" t="n">
        <v>0</v>
      </c>
      <c r="L347" t="n">
        <v>0</v>
      </c>
      <c r="M347" t="n">
        <v>0</v>
      </c>
      <c r="N347" t="n">
        <v>0</v>
      </c>
      <c r="O347" t="n">
        <v>0</v>
      </c>
      <c r="P347" t="n">
        <v>0</v>
      </c>
      <c r="Q347" t="n">
        <v>0</v>
      </c>
      <c r="R347" s="2" t="inlineStr"/>
    </row>
    <row r="348" ht="15" customHeight="1">
      <c r="A348" t="inlineStr">
        <is>
          <t>A 7630-2025</t>
        </is>
      </c>
      <c r="B348" s="1" t="n">
        <v>45705.74418981482</v>
      </c>
      <c r="C348" s="1" t="n">
        <v>45928</v>
      </c>
      <c r="D348" t="inlineStr">
        <is>
          <t>KALMAR LÄN</t>
        </is>
      </c>
      <c r="E348" t="inlineStr">
        <is>
          <t>VIMMERBY</t>
        </is>
      </c>
      <c r="G348" t="n">
        <v>2.5</v>
      </c>
      <c r="H348" t="n">
        <v>0</v>
      </c>
      <c r="I348" t="n">
        <v>0</v>
      </c>
      <c r="J348" t="n">
        <v>0</v>
      </c>
      <c r="K348" t="n">
        <v>0</v>
      </c>
      <c r="L348" t="n">
        <v>0</v>
      </c>
      <c r="M348" t="n">
        <v>0</v>
      </c>
      <c r="N348" t="n">
        <v>0</v>
      </c>
      <c r="O348" t="n">
        <v>0</v>
      </c>
      <c r="P348" t="n">
        <v>0</v>
      </c>
      <c r="Q348" t="n">
        <v>0</v>
      </c>
      <c r="R348" s="2" t="inlineStr"/>
    </row>
    <row r="349" ht="15" customHeight="1">
      <c r="A349" t="inlineStr">
        <is>
          <t>A 12596-2021</t>
        </is>
      </c>
      <c r="B349" s="1" t="n">
        <v>44270.39765046296</v>
      </c>
      <c r="C349" s="1" t="n">
        <v>45928</v>
      </c>
      <c r="D349" t="inlineStr">
        <is>
          <t>KALMAR LÄN</t>
        </is>
      </c>
      <c r="E349" t="inlineStr">
        <is>
          <t>VIMMERBY</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16734-2023</t>
        </is>
      </c>
      <c r="B350" s="1" t="n">
        <v>45030.71012731481</v>
      </c>
      <c r="C350" s="1" t="n">
        <v>45928</v>
      </c>
      <c r="D350" t="inlineStr">
        <is>
          <t>KALMAR LÄN</t>
        </is>
      </c>
      <c r="E350" t="inlineStr">
        <is>
          <t>VIMMERBY</t>
        </is>
      </c>
      <c r="G350" t="n">
        <v>0.7</v>
      </c>
      <c r="H350" t="n">
        <v>0</v>
      </c>
      <c r="I350" t="n">
        <v>0</v>
      </c>
      <c r="J350" t="n">
        <v>0</v>
      </c>
      <c r="K350" t="n">
        <v>0</v>
      </c>
      <c r="L350" t="n">
        <v>0</v>
      </c>
      <c r="M350" t="n">
        <v>0</v>
      </c>
      <c r="N350" t="n">
        <v>0</v>
      </c>
      <c r="O350" t="n">
        <v>0</v>
      </c>
      <c r="P350" t="n">
        <v>0</v>
      </c>
      <c r="Q350" t="n">
        <v>0</v>
      </c>
      <c r="R350" s="2" t="inlineStr"/>
    </row>
    <row r="351" ht="15" customHeight="1">
      <c r="A351" t="inlineStr">
        <is>
          <t>A 43465-2025</t>
        </is>
      </c>
      <c r="B351" s="1" t="n">
        <v>45911.47138888889</v>
      </c>
      <c r="C351" s="1" t="n">
        <v>45928</v>
      </c>
      <c r="D351" t="inlineStr">
        <is>
          <t>KALMAR LÄN</t>
        </is>
      </c>
      <c r="E351" t="inlineStr">
        <is>
          <t>VIMMERBY</t>
        </is>
      </c>
      <c r="G351" t="n">
        <v>0.7</v>
      </c>
      <c r="H351" t="n">
        <v>0</v>
      </c>
      <c r="I351" t="n">
        <v>0</v>
      </c>
      <c r="J351" t="n">
        <v>0</v>
      </c>
      <c r="K351" t="n">
        <v>0</v>
      </c>
      <c r="L351" t="n">
        <v>0</v>
      </c>
      <c r="M351" t="n">
        <v>0</v>
      </c>
      <c r="N351" t="n">
        <v>0</v>
      </c>
      <c r="O351" t="n">
        <v>0</v>
      </c>
      <c r="P351" t="n">
        <v>0</v>
      </c>
      <c r="Q351" t="n">
        <v>0</v>
      </c>
      <c r="R351" s="2" t="inlineStr"/>
    </row>
    <row r="352" ht="15" customHeight="1">
      <c r="A352" t="inlineStr">
        <is>
          <t>A 36598-2025</t>
        </is>
      </c>
      <c r="B352" s="1" t="n">
        <v>45870.51708333333</v>
      </c>
      <c r="C352" s="1" t="n">
        <v>45928</v>
      </c>
      <c r="D352" t="inlineStr">
        <is>
          <t>KALMAR LÄN</t>
        </is>
      </c>
      <c r="E352" t="inlineStr">
        <is>
          <t>VIMMERBY</t>
        </is>
      </c>
      <c r="G352" t="n">
        <v>3.7</v>
      </c>
      <c r="H352" t="n">
        <v>0</v>
      </c>
      <c r="I352" t="n">
        <v>0</v>
      </c>
      <c r="J352" t="n">
        <v>0</v>
      </c>
      <c r="K352" t="n">
        <v>0</v>
      </c>
      <c r="L352" t="n">
        <v>0</v>
      </c>
      <c r="M352" t="n">
        <v>0</v>
      </c>
      <c r="N352" t="n">
        <v>0</v>
      </c>
      <c r="O352" t="n">
        <v>0</v>
      </c>
      <c r="P352" t="n">
        <v>0</v>
      </c>
      <c r="Q352" t="n">
        <v>0</v>
      </c>
      <c r="R352" s="2" t="inlineStr"/>
    </row>
    <row r="353" ht="15" customHeight="1">
      <c r="A353" t="inlineStr">
        <is>
          <t>A 36602-2025</t>
        </is>
      </c>
      <c r="B353" s="1" t="n">
        <v>45870.52111111111</v>
      </c>
      <c r="C353" s="1" t="n">
        <v>45928</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32655-2023</t>
        </is>
      </c>
      <c r="B354" s="1" t="n">
        <v>45121.61318287037</v>
      </c>
      <c r="C354" s="1" t="n">
        <v>45928</v>
      </c>
      <c r="D354" t="inlineStr">
        <is>
          <t>KALMAR LÄN</t>
        </is>
      </c>
      <c r="E354" t="inlineStr">
        <is>
          <t>VIMMERBY</t>
        </is>
      </c>
      <c r="F354" t="inlineStr">
        <is>
          <t>Sveaskog</t>
        </is>
      </c>
      <c r="G354" t="n">
        <v>2</v>
      </c>
      <c r="H354" t="n">
        <v>0</v>
      </c>
      <c r="I354" t="n">
        <v>0</v>
      </c>
      <c r="J354" t="n">
        <v>0</v>
      </c>
      <c r="K354" t="n">
        <v>0</v>
      </c>
      <c r="L354" t="n">
        <v>0</v>
      </c>
      <c r="M354" t="n">
        <v>0</v>
      </c>
      <c r="N354" t="n">
        <v>0</v>
      </c>
      <c r="O354" t="n">
        <v>0</v>
      </c>
      <c r="P354" t="n">
        <v>0</v>
      </c>
      <c r="Q354" t="n">
        <v>0</v>
      </c>
      <c r="R354" s="2" t="inlineStr"/>
    </row>
    <row r="355" ht="15" customHeight="1">
      <c r="A355" t="inlineStr">
        <is>
          <t>A 64143-2021</t>
        </is>
      </c>
      <c r="B355" s="1" t="n">
        <v>44510.52157407408</v>
      </c>
      <c r="C355" s="1" t="n">
        <v>45928</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9720-2023</t>
        </is>
      </c>
      <c r="B356" s="1" t="n">
        <v>44984</v>
      </c>
      <c r="C356" s="1" t="n">
        <v>45928</v>
      </c>
      <c r="D356" t="inlineStr">
        <is>
          <t>KALMAR LÄN</t>
        </is>
      </c>
      <c r="E356" t="inlineStr">
        <is>
          <t>VIMMERBY</t>
        </is>
      </c>
      <c r="G356" t="n">
        <v>4.4</v>
      </c>
      <c r="H356" t="n">
        <v>0</v>
      </c>
      <c r="I356" t="n">
        <v>0</v>
      </c>
      <c r="J356" t="n">
        <v>0</v>
      </c>
      <c r="K356" t="n">
        <v>0</v>
      </c>
      <c r="L356" t="n">
        <v>0</v>
      </c>
      <c r="M356" t="n">
        <v>0</v>
      </c>
      <c r="N356" t="n">
        <v>0</v>
      </c>
      <c r="O356" t="n">
        <v>0</v>
      </c>
      <c r="P356" t="n">
        <v>0</v>
      </c>
      <c r="Q356" t="n">
        <v>0</v>
      </c>
      <c r="R356" s="2" t="inlineStr"/>
    </row>
    <row r="357" ht="15" customHeight="1">
      <c r="A357" t="inlineStr">
        <is>
          <t>A 5938-2022</t>
        </is>
      </c>
      <c r="B357" s="1" t="n">
        <v>44598</v>
      </c>
      <c r="C357" s="1" t="n">
        <v>45928</v>
      </c>
      <c r="D357" t="inlineStr">
        <is>
          <t>KALMAR LÄN</t>
        </is>
      </c>
      <c r="E357" t="inlineStr">
        <is>
          <t>VIMMERBY</t>
        </is>
      </c>
      <c r="G357" t="n">
        <v>2.4</v>
      </c>
      <c r="H357" t="n">
        <v>0</v>
      </c>
      <c r="I357" t="n">
        <v>0</v>
      </c>
      <c r="J357" t="n">
        <v>0</v>
      </c>
      <c r="K357" t="n">
        <v>0</v>
      </c>
      <c r="L357" t="n">
        <v>0</v>
      </c>
      <c r="M357" t="n">
        <v>0</v>
      </c>
      <c r="N357" t="n">
        <v>0</v>
      </c>
      <c r="O357" t="n">
        <v>0</v>
      </c>
      <c r="P357" t="n">
        <v>0</v>
      </c>
      <c r="Q357" t="n">
        <v>0</v>
      </c>
      <c r="R357" s="2" t="inlineStr"/>
    </row>
    <row r="358" ht="15" customHeight="1">
      <c r="A358" t="inlineStr">
        <is>
          <t>A 1687-2023</t>
        </is>
      </c>
      <c r="B358" s="1" t="n">
        <v>44938</v>
      </c>
      <c r="C358" s="1" t="n">
        <v>45928</v>
      </c>
      <c r="D358" t="inlineStr">
        <is>
          <t>KALMAR LÄN</t>
        </is>
      </c>
      <c r="E358" t="inlineStr">
        <is>
          <t>VIMMERBY</t>
        </is>
      </c>
      <c r="F358" t="inlineStr">
        <is>
          <t>Kommuner</t>
        </is>
      </c>
      <c r="G358" t="n">
        <v>2.5</v>
      </c>
      <c r="H358" t="n">
        <v>0</v>
      </c>
      <c r="I358" t="n">
        <v>0</v>
      </c>
      <c r="J358" t="n">
        <v>0</v>
      </c>
      <c r="K358" t="n">
        <v>0</v>
      </c>
      <c r="L358" t="n">
        <v>0</v>
      </c>
      <c r="M358" t="n">
        <v>0</v>
      </c>
      <c r="N358" t="n">
        <v>0</v>
      </c>
      <c r="O358" t="n">
        <v>0</v>
      </c>
      <c r="P358" t="n">
        <v>0</v>
      </c>
      <c r="Q358" t="n">
        <v>0</v>
      </c>
      <c r="R358" s="2" t="inlineStr"/>
    </row>
    <row r="359" ht="15" customHeight="1">
      <c r="A359" t="inlineStr">
        <is>
          <t>A 29440-2024</t>
        </is>
      </c>
      <c r="B359" s="1" t="n">
        <v>45483.82479166667</v>
      </c>
      <c r="C359" s="1" t="n">
        <v>45928</v>
      </c>
      <c r="D359" t="inlineStr">
        <is>
          <t>KALMAR LÄN</t>
        </is>
      </c>
      <c r="E359" t="inlineStr">
        <is>
          <t>VIMMERBY</t>
        </is>
      </c>
      <c r="G359" t="n">
        <v>4.5</v>
      </c>
      <c r="H359" t="n">
        <v>0</v>
      </c>
      <c r="I359" t="n">
        <v>0</v>
      </c>
      <c r="J359" t="n">
        <v>0</v>
      </c>
      <c r="K359" t="n">
        <v>0</v>
      </c>
      <c r="L359" t="n">
        <v>0</v>
      </c>
      <c r="M359" t="n">
        <v>0</v>
      </c>
      <c r="N359" t="n">
        <v>0</v>
      </c>
      <c r="O359" t="n">
        <v>0</v>
      </c>
      <c r="P359" t="n">
        <v>0</v>
      </c>
      <c r="Q359" t="n">
        <v>0</v>
      </c>
      <c r="R359" s="2" t="inlineStr"/>
    </row>
    <row r="360" ht="15" customHeight="1">
      <c r="A360" t="inlineStr">
        <is>
          <t>A 30921-2024</t>
        </is>
      </c>
      <c r="B360" s="1" t="n">
        <v>45498</v>
      </c>
      <c r="C360" s="1" t="n">
        <v>45928</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53482-2022</t>
        </is>
      </c>
      <c r="B361" s="1" t="n">
        <v>44879</v>
      </c>
      <c r="C361" s="1" t="n">
        <v>45928</v>
      </c>
      <c r="D361" t="inlineStr">
        <is>
          <t>KALMAR LÄN</t>
        </is>
      </c>
      <c r="E361" t="inlineStr">
        <is>
          <t>VIMMERBY</t>
        </is>
      </c>
      <c r="G361" t="n">
        <v>10.1</v>
      </c>
      <c r="H361" t="n">
        <v>0</v>
      </c>
      <c r="I361" t="n">
        <v>0</v>
      </c>
      <c r="J361" t="n">
        <v>0</v>
      </c>
      <c r="K361" t="n">
        <v>0</v>
      </c>
      <c r="L361" t="n">
        <v>0</v>
      </c>
      <c r="M361" t="n">
        <v>0</v>
      </c>
      <c r="N361" t="n">
        <v>0</v>
      </c>
      <c r="O361" t="n">
        <v>0</v>
      </c>
      <c r="P361" t="n">
        <v>0</v>
      </c>
      <c r="Q361" t="n">
        <v>0</v>
      </c>
      <c r="R361" s="2" t="inlineStr"/>
    </row>
    <row r="362" ht="15" customHeight="1">
      <c r="A362" t="inlineStr">
        <is>
          <t>A 54409-2024</t>
        </is>
      </c>
      <c r="B362" s="1" t="n">
        <v>45617.47570601852</v>
      </c>
      <c r="C362" s="1" t="n">
        <v>45928</v>
      </c>
      <c r="D362" t="inlineStr">
        <is>
          <t>KALMAR LÄN</t>
        </is>
      </c>
      <c r="E362" t="inlineStr">
        <is>
          <t>VIMMERBY</t>
        </is>
      </c>
      <c r="G362" t="n">
        <v>4.3</v>
      </c>
      <c r="H362" t="n">
        <v>0</v>
      </c>
      <c r="I362" t="n">
        <v>0</v>
      </c>
      <c r="J362" t="n">
        <v>0</v>
      </c>
      <c r="K362" t="n">
        <v>0</v>
      </c>
      <c r="L362" t="n">
        <v>0</v>
      </c>
      <c r="M362" t="n">
        <v>0</v>
      </c>
      <c r="N362" t="n">
        <v>0</v>
      </c>
      <c r="O362" t="n">
        <v>0</v>
      </c>
      <c r="P362" t="n">
        <v>0</v>
      </c>
      <c r="Q362" t="n">
        <v>0</v>
      </c>
      <c r="R362" s="2" t="inlineStr"/>
    </row>
    <row r="363" ht="15" customHeight="1">
      <c r="A363" t="inlineStr">
        <is>
          <t>A 43617-2025</t>
        </is>
      </c>
      <c r="B363" s="1" t="n">
        <v>45911.67798611111</v>
      </c>
      <c r="C363" s="1" t="n">
        <v>45928</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29180-2024</t>
        </is>
      </c>
      <c r="B364" s="1" t="n">
        <v>45482.54108796296</v>
      </c>
      <c r="C364" s="1" t="n">
        <v>45928</v>
      </c>
      <c r="D364" t="inlineStr">
        <is>
          <t>KALMAR LÄN</t>
        </is>
      </c>
      <c r="E364" t="inlineStr">
        <is>
          <t>VIMMERBY</t>
        </is>
      </c>
      <c r="G364" t="n">
        <v>3.8</v>
      </c>
      <c r="H364" t="n">
        <v>0</v>
      </c>
      <c r="I364" t="n">
        <v>0</v>
      </c>
      <c r="J364" t="n">
        <v>0</v>
      </c>
      <c r="K364" t="n">
        <v>0</v>
      </c>
      <c r="L364" t="n">
        <v>0</v>
      </c>
      <c r="M364" t="n">
        <v>0</v>
      </c>
      <c r="N364" t="n">
        <v>0</v>
      </c>
      <c r="O364" t="n">
        <v>0</v>
      </c>
      <c r="P364" t="n">
        <v>0</v>
      </c>
      <c r="Q364" t="n">
        <v>0</v>
      </c>
      <c r="R364" s="2" t="inlineStr"/>
    </row>
    <row r="365" ht="15" customHeight="1">
      <c r="A365" t="inlineStr">
        <is>
          <t>A 38780-2021</t>
        </is>
      </c>
      <c r="B365" s="1" t="n">
        <v>44410</v>
      </c>
      <c r="C365" s="1" t="n">
        <v>45928</v>
      </c>
      <c r="D365" t="inlineStr">
        <is>
          <t>KALMAR LÄN</t>
        </is>
      </c>
      <c r="E365" t="inlineStr">
        <is>
          <t>VIMMERBY</t>
        </is>
      </c>
      <c r="G365" t="n">
        <v>9.699999999999999</v>
      </c>
      <c r="H365" t="n">
        <v>0</v>
      </c>
      <c r="I365" t="n">
        <v>0</v>
      </c>
      <c r="J365" t="n">
        <v>0</v>
      </c>
      <c r="K365" t="n">
        <v>0</v>
      </c>
      <c r="L365" t="n">
        <v>0</v>
      </c>
      <c r="M365" t="n">
        <v>0</v>
      </c>
      <c r="N365" t="n">
        <v>0</v>
      </c>
      <c r="O365" t="n">
        <v>0</v>
      </c>
      <c r="P365" t="n">
        <v>0</v>
      </c>
      <c r="Q365" t="n">
        <v>0</v>
      </c>
      <c r="R365" s="2" t="inlineStr"/>
    </row>
    <row r="366" ht="15" customHeight="1">
      <c r="A366" t="inlineStr">
        <is>
          <t>A 30503-2023</t>
        </is>
      </c>
      <c r="B366" s="1" t="n">
        <v>45111</v>
      </c>
      <c r="C366" s="1" t="n">
        <v>45928</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34090-2025</t>
        </is>
      </c>
      <c r="B367" s="1" t="n">
        <v>45845</v>
      </c>
      <c r="C367" s="1" t="n">
        <v>45928</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29783-2024</t>
        </is>
      </c>
      <c r="B368" s="1" t="n">
        <v>45485.45778935185</v>
      </c>
      <c r="C368" s="1" t="n">
        <v>45928</v>
      </c>
      <c r="D368" t="inlineStr">
        <is>
          <t>KALMAR LÄN</t>
        </is>
      </c>
      <c r="E368" t="inlineStr">
        <is>
          <t>VIMMERBY</t>
        </is>
      </c>
      <c r="G368" t="n">
        <v>3.1</v>
      </c>
      <c r="H368" t="n">
        <v>0</v>
      </c>
      <c r="I368" t="n">
        <v>0</v>
      </c>
      <c r="J368" t="n">
        <v>0</v>
      </c>
      <c r="K368" t="n">
        <v>0</v>
      </c>
      <c r="L368" t="n">
        <v>0</v>
      </c>
      <c r="M368" t="n">
        <v>0</v>
      </c>
      <c r="N368" t="n">
        <v>0</v>
      </c>
      <c r="O368" t="n">
        <v>0</v>
      </c>
      <c r="P368" t="n">
        <v>0</v>
      </c>
      <c r="Q368" t="n">
        <v>0</v>
      </c>
      <c r="R368" s="2" t="inlineStr"/>
    </row>
    <row r="369" ht="15" customHeight="1">
      <c r="A369" t="inlineStr">
        <is>
          <t>A 36600-2025</t>
        </is>
      </c>
      <c r="B369" s="1" t="n">
        <v>45870.51958333333</v>
      </c>
      <c r="C369" s="1" t="n">
        <v>45928</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36601-2025</t>
        </is>
      </c>
      <c r="B370" s="1" t="n">
        <v>45870.52005787037</v>
      </c>
      <c r="C370" s="1" t="n">
        <v>45928</v>
      </c>
      <c r="D370" t="inlineStr">
        <is>
          <t>KALMAR LÄN</t>
        </is>
      </c>
      <c r="E370" t="inlineStr">
        <is>
          <t>VIMMERBY</t>
        </is>
      </c>
      <c r="G370" t="n">
        <v>0.5</v>
      </c>
      <c r="H370" t="n">
        <v>0</v>
      </c>
      <c r="I370" t="n">
        <v>0</v>
      </c>
      <c r="J370" t="n">
        <v>0</v>
      </c>
      <c r="K370" t="n">
        <v>0</v>
      </c>
      <c r="L370" t="n">
        <v>0</v>
      </c>
      <c r="M370" t="n">
        <v>0</v>
      </c>
      <c r="N370" t="n">
        <v>0</v>
      </c>
      <c r="O370" t="n">
        <v>0</v>
      </c>
      <c r="P370" t="n">
        <v>0</v>
      </c>
      <c r="Q370" t="n">
        <v>0</v>
      </c>
      <c r="R370" s="2" t="inlineStr"/>
    </row>
    <row r="371" ht="15" customHeight="1">
      <c r="A371" t="inlineStr">
        <is>
          <t>A 36603-2025</t>
        </is>
      </c>
      <c r="B371" s="1" t="n">
        <v>45870.52142361111</v>
      </c>
      <c r="C371" s="1" t="n">
        <v>45928</v>
      </c>
      <c r="D371" t="inlineStr">
        <is>
          <t>KALMAR LÄN</t>
        </is>
      </c>
      <c r="E371" t="inlineStr">
        <is>
          <t>VIMMERBY</t>
        </is>
      </c>
      <c r="G371" t="n">
        <v>1.6</v>
      </c>
      <c r="H371" t="n">
        <v>0</v>
      </c>
      <c r="I371" t="n">
        <v>0</v>
      </c>
      <c r="J371" t="n">
        <v>0</v>
      </c>
      <c r="K371" t="n">
        <v>0</v>
      </c>
      <c r="L371" t="n">
        <v>0</v>
      </c>
      <c r="M371" t="n">
        <v>0</v>
      </c>
      <c r="N371" t="n">
        <v>0</v>
      </c>
      <c r="O371" t="n">
        <v>0</v>
      </c>
      <c r="P371" t="n">
        <v>0</v>
      </c>
      <c r="Q371" t="n">
        <v>0</v>
      </c>
      <c r="R371" s="2" t="inlineStr"/>
    </row>
    <row r="372" ht="15" customHeight="1">
      <c r="A372" t="inlineStr">
        <is>
          <t>A 54838-2024</t>
        </is>
      </c>
      <c r="B372" s="1" t="n">
        <v>45618.56787037037</v>
      </c>
      <c r="C372" s="1" t="n">
        <v>45928</v>
      </c>
      <c r="D372" t="inlineStr">
        <is>
          <t>KALMAR LÄN</t>
        </is>
      </c>
      <c r="E372" t="inlineStr">
        <is>
          <t>VIMMERBY</t>
        </is>
      </c>
      <c r="G372" t="n">
        <v>3.3</v>
      </c>
      <c r="H372" t="n">
        <v>0</v>
      </c>
      <c r="I372" t="n">
        <v>0</v>
      </c>
      <c r="J372" t="n">
        <v>0</v>
      </c>
      <c r="K372" t="n">
        <v>0</v>
      </c>
      <c r="L372" t="n">
        <v>0</v>
      </c>
      <c r="M372" t="n">
        <v>0</v>
      </c>
      <c r="N372" t="n">
        <v>0</v>
      </c>
      <c r="O372" t="n">
        <v>0</v>
      </c>
      <c r="P372" t="n">
        <v>0</v>
      </c>
      <c r="Q372" t="n">
        <v>0</v>
      </c>
      <c r="R372" s="2" t="inlineStr"/>
    </row>
    <row r="373" ht="15" customHeight="1">
      <c r="A373" t="inlineStr">
        <is>
          <t>A 25987-2024</t>
        </is>
      </c>
      <c r="B373" s="1" t="n">
        <v>45467.74417824074</v>
      </c>
      <c r="C373" s="1" t="n">
        <v>45928</v>
      </c>
      <c r="D373" t="inlineStr">
        <is>
          <t>KALMAR LÄN</t>
        </is>
      </c>
      <c r="E373" t="inlineStr">
        <is>
          <t>VIMMERBY</t>
        </is>
      </c>
      <c r="G373" t="n">
        <v>0.8</v>
      </c>
      <c r="H373" t="n">
        <v>0</v>
      </c>
      <c r="I373" t="n">
        <v>0</v>
      </c>
      <c r="J373" t="n">
        <v>0</v>
      </c>
      <c r="K373" t="n">
        <v>0</v>
      </c>
      <c r="L373" t="n">
        <v>0</v>
      </c>
      <c r="M373" t="n">
        <v>0</v>
      </c>
      <c r="N373" t="n">
        <v>0</v>
      </c>
      <c r="O373" t="n">
        <v>0</v>
      </c>
      <c r="P373" t="n">
        <v>0</v>
      </c>
      <c r="Q373" t="n">
        <v>0</v>
      </c>
      <c r="R373" s="2" t="inlineStr"/>
    </row>
    <row r="374" ht="15" customHeight="1">
      <c r="A374" t="inlineStr">
        <is>
          <t>A 60110-2022</t>
        </is>
      </c>
      <c r="B374" s="1" t="n">
        <v>44909</v>
      </c>
      <c r="C374" s="1" t="n">
        <v>45928</v>
      </c>
      <c r="D374" t="inlineStr">
        <is>
          <t>KALMAR LÄN</t>
        </is>
      </c>
      <c r="E374" t="inlineStr">
        <is>
          <t>VIMMERBY</t>
        </is>
      </c>
      <c r="G374" t="n">
        <v>1.7</v>
      </c>
      <c r="H374" t="n">
        <v>0</v>
      </c>
      <c r="I374" t="n">
        <v>0</v>
      </c>
      <c r="J374" t="n">
        <v>0</v>
      </c>
      <c r="K374" t="n">
        <v>0</v>
      </c>
      <c r="L374" t="n">
        <v>0</v>
      </c>
      <c r="M374" t="n">
        <v>0</v>
      </c>
      <c r="N374" t="n">
        <v>0</v>
      </c>
      <c r="O374" t="n">
        <v>0</v>
      </c>
      <c r="P374" t="n">
        <v>0</v>
      </c>
      <c r="Q374" t="n">
        <v>0</v>
      </c>
      <c r="R374" s="2" t="inlineStr"/>
    </row>
    <row r="375" ht="15" customHeight="1">
      <c r="A375" t="inlineStr">
        <is>
          <t>A 25109-2023</t>
        </is>
      </c>
      <c r="B375" s="1" t="n">
        <v>45086</v>
      </c>
      <c r="C375" s="1" t="n">
        <v>45928</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61878-2020</t>
        </is>
      </c>
      <c r="B376" s="1" t="n">
        <v>44159</v>
      </c>
      <c r="C376" s="1" t="n">
        <v>45928</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59300-2024</t>
        </is>
      </c>
      <c r="B377" s="1" t="n">
        <v>45637.66542824074</v>
      </c>
      <c r="C377" s="1" t="n">
        <v>45928</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62023-2022</t>
        </is>
      </c>
      <c r="B378" s="1" t="n">
        <v>44918.50106481482</v>
      </c>
      <c r="C378" s="1" t="n">
        <v>45928</v>
      </c>
      <c r="D378" t="inlineStr">
        <is>
          <t>KALMAR LÄN</t>
        </is>
      </c>
      <c r="E378" t="inlineStr">
        <is>
          <t>VIMMERBY</t>
        </is>
      </c>
      <c r="G378" t="n">
        <v>0.3</v>
      </c>
      <c r="H378" t="n">
        <v>0</v>
      </c>
      <c r="I378" t="n">
        <v>0</v>
      </c>
      <c r="J378" t="n">
        <v>0</v>
      </c>
      <c r="K378" t="n">
        <v>0</v>
      </c>
      <c r="L378" t="n">
        <v>0</v>
      </c>
      <c r="M378" t="n">
        <v>0</v>
      </c>
      <c r="N378" t="n">
        <v>0</v>
      </c>
      <c r="O378" t="n">
        <v>0</v>
      </c>
      <c r="P378" t="n">
        <v>0</v>
      </c>
      <c r="Q378" t="n">
        <v>0</v>
      </c>
      <c r="R378" s="2" t="inlineStr"/>
    </row>
    <row r="379" ht="15" customHeight="1">
      <c r="A379" t="inlineStr">
        <is>
          <t>A 9475-2023</t>
        </is>
      </c>
      <c r="B379" s="1" t="n">
        <v>44981.58834490741</v>
      </c>
      <c r="C379" s="1" t="n">
        <v>45928</v>
      </c>
      <c r="D379" t="inlineStr">
        <is>
          <t>KALMAR LÄN</t>
        </is>
      </c>
      <c r="E379" t="inlineStr">
        <is>
          <t>VIMMERBY</t>
        </is>
      </c>
      <c r="G379" t="n">
        <v>2</v>
      </c>
      <c r="H379" t="n">
        <v>0</v>
      </c>
      <c r="I379" t="n">
        <v>0</v>
      </c>
      <c r="J379" t="n">
        <v>0</v>
      </c>
      <c r="K379" t="n">
        <v>0</v>
      </c>
      <c r="L379" t="n">
        <v>0</v>
      </c>
      <c r="M379" t="n">
        <v>0</v>
      </c>
      <c r="N379" t="n">
        <v>0</v>
      </c>
      <c r="O379" t="n">
        <v>0</v>
      </c>
      <c r="P379" t="n">
        <v>0</v>
      </c>
      <c r="Q379" t="n">
        <v>0</v>
      </c>
      <c r="R379" s="2" t="inlineStr"/>
    </row>
    <row r="380" ht="15" customHeight="1">
      <c r="A380" t="inlineStr">
        <is>
          <t>A 58104-2024</t>
        </is>
      </c>
      <c r="B380" s="1" t="n">
        <v>45632.37459490741</v>
      </c>
      <c r="C380" s="1" t="n">
        <v>45928</v>
      </c>
      <c r="D380" t="inlineStr">
        <is>
          <t>KALMAR LÄN</t>
        </is>
      </c>
      <c r="E380" t="inlineStr">
        <is>
          <t>VIMMERBY</t>
        </is>
      </c>
      <c r="G380" t="n">
        <v>5</v>
      </c>
      <c r="H380" t="n">
        <v>0</v>
      </c>
      <c r="I380" t="n">
        <v>0</v>
      </c>
      <c r="J380" t="n">
        <v>0</v>
      </c>
      <c r="K380" t="n">
        <v>0</v>
      </c>
      <c r="L380" t="n">
        <v>0</v>
      </c>
      <c r="M380" t="n">
        <v>0</v>
      </c>
      <c r="N380" t="n">
        <v>0</v>
      </c>
      <c r="O380" t="n">
        <v>0</v>
      </c>
      <c r="P380" t="n">
        <v>0</v>
      </c>
      <c r="Q380" t="n">
        <v>0</v>
      </c>
      <c r="R380" s="2" t="inlineStr"/>
    </row>
    <row r="381" ht="15" customHeight="1">
      <c r="A381" t="inlineStr">
        <is>
          <t>A 12215-2024</t>
        </is>
      </c>
      <c r="B381" s="1" t="n">
        <v>45378.32185185186</v>
      </c>
      <c r="C381" s="1" t="n">
        <v>45928</v>
      </c>
      <c r="D381" t="inlineStr">
        <is>
          <t>KALMAR LÄN</t>
        </is>
      </c>
      <c r="E381" t="inlineStr">
        <is>
          <t>VIMMERBY</t>
        </is>
      </c>
      <c r="G381" t="n">
        <v>1.6</v>
      </c>
      <c r="H381" t="n">
        <v>0</v>
      </c>
      <c r="I381" t="n">
        <v>0</v>
      </c>
      <c r="J381" t="n">
        <v>0</v>
      </c>
      <c r="K381" t="n">
        <v>0</v>
      </c>
      <c r="L381" t="n">
        <v>0</v>
      </c>
      <c r="M381" t="n">
        <v>0</v>
      </c>
      <c r="N381" t="n">
        <v>0</v>
      </c>
      <c r="O381" t="n">
        <v>0</v>
      </c>
      <c r="P381" t="n">
        <v>0</v>
      </c>
      <c r="Q381" t="n">
        <v>0</v>
      </c>
      <c r="R381" s="2" t="inlineStr"/>
    </row>
    <row r="382" ht="15" customHeight="1">
      <c r="A382" t="inlineStr">
        <is>
          <t>A 19445-2021</t>
        </is>
      </c>
      <c r="B382" s="1" t="n">
        <v>44310</v>
      </c>
      <c r="C382" s="1" t="n">
        <v>45928</v>
      </c>
      <c r="D382" t="inlineStr">
        <is>
          <t>KALMAR LÄN</t>
        </is>
      </c>
      <c r="E382" t="inlineStr">
        <is>
          <t>VIMMERBY</t>
        </is>
      </c>
      <c r="G382" t="n">
        <v>6.8</v>
      </c>
      <c r="H382" t="n">
        <v>0</v>
      </c>
      <c r="I382" t="n">
        <v>0</v>
      </c>
      <c r="J382" t="n">
        <v>0</v>
      </c>
      <c r="K382" t="n">
        <v>0</v>
      </c>
      <c r="L382" t="n">
        <v>0</v>
      </c>
      <c r="M382" t="n">
        <v>0</v>
      </c>
      <c r="N382" t="n">
        <v>0</v>
      </c>
      <c r="O382" t="n">
        <v>0</v>
      </c>
      <c r="P382" t="n">
        <v>0</v>
      </c>
      <c r="Q382" t="n">
        <v>0</v>
      </c>
      <c r="R382" s="2" t="inlineStr"/>
    </row>
    <row r="383" ht="15" customHeight="1">
      <c r="A383" t="inlineStr">
        <is>
          <t>A 30920-2024</t>
        </is>
      </c>
      <c r="B383" s="1" t="n">
        <v>45498.673125</v>
      </c>
      <c r="C383" s="1" t="n">
        <v>45928</v>
      </c>
      <c r="D383" t="inlineStr">
        <is>
          <t>KALMAR LÄN</t>
        </is>
      </c>
      <c r="E383" t="inlineStr">
        <is>
          <t>VIMMERBY</t>
        </is>
      </c>
      <c r="G383" t="n">
        <v>1.3</v>
      </c>
      <c r="H383" t="n">
        <v>0</v>
      </c>
      <c r="I383" t="n">
        <v>0</v>
      </c>
      <c r="J383" t="n">
        <v>0</v>
      </c>
      <c r="K383" t="n">
        <v>0</v>
      </c>
      <c r="L383" t="n">
        <v>0</v>
      </c>
      <c r="M383" t="n">
        <v>0</v>
      </c>
      <c r="N383" t="n">
        <v>0</v>
      </c>
      <c r="O383" t="n">
        <v>0</v>
      </c>
      <c r="P383" t="n">
        <v>0</v>
      </c>
      <c r="Q383" t="n">
        <v>0</v>
      </c>
      <c r="R383" s="2" t="inlineStr"/>
    </row>
    <row r="384" ht="15" customHeight="1">
      <c r="A384" t="inlineStr">
        <is>
          <t>A 56536-2022</t>
        </is>
      </c>
      <c r="B384" s="1" t="n">
        <v>44893</v>
      </c>
      <c r="C384" s="1" t="n">
        <v>45928</v>
      </c>
      <c r="D384" t="inlineStr">
        <is>
          <t>KALMAR LÄN</t>
        </is>
      </c>
      <c r="E384" t="inlineStr">
        <is>
          <t>VIMMERBY</t>
        </is>
      </c>
      <c r="G384" t="n">
        <v>3.2</v>
      </c>
      <c r="H384" t="n">
        <v>0</v>
      </c>
      <c r="I384" t="n">
        <v>0</v>
      </c>
      <c r="J384" t="n">
        <v>0</v>
      </c>
      <c r="K384" t="n">
        <v>0</v>
      </c>
      <c r="L384" t="n">
        <v>0</v>
      </c>
      <c r="M384" t="n">
        <v>0</v>
      </c>
      <c r="N384" t="n">
        <v>0</v>
      </c>
      <c r="O384" t="n">
        <v>0</v>
      </c>
      <c r="P384" t="n">
        <v>0</v>
      </c>
      <c r="Q384" t="n">
        <v>0</v>
      </c>
      <c r="R384" s="2" t="inlineStr"/>
    </row>
    <row r="385" ht="15" customHeight="1">
      <c r="A385" t="inlineStr">
        <is>
          <t>A 63541-2023</t>
        </is>
      </c>
      <c r="B385" s="1" t="n">
        <v>45275.32266203704</v>
      </c>
      <c r="C385" s="1" t="n">
        <v>45928</v>
      </c>
      <c r="D385" t="inlineStr">
        <is>
          <t>KALMAR LÄN</t>
        </is>
      </c>
      <c r="E385" t="inlineStr">
        <is>
          <t>VIMMERBY</t>
        </is>
      </c>
      <c r="G385" t="n">
        <v>1.1</v>
      </c>
      <c r="H385" t="n">
        <v>0</v>
      </c>
      <c r="I385" t="n">
        <v>0</v>
      </c>
      <c r="J385" t="n">
        <v>0</v>
      </c>
      <c r="K385" t="n">
        <v>0</v>
      </c>
      <c r="L385" t="n">
        <v>0</v>
      </c>
      <c r="M385" t="n">
        <v>0</v>
      </c>
      <c r="N385" t="n">
        <v>0</v>
      </c>
      <c r="O385" t="n">
        <v>0</v>
      </c>
      <c r="P385" t="n">
        <v>0</v>
      </c>
      <c r="Q385" t="n">
        <v>0</v>
      </c>
      <c r="R385" s="2" t="inlineStr"/>
    </row>
    <row r="386" ht="15" customHeight="1">
      <c r="A386" t="inlineStr">
        <is>
          <t>A 37323-2024</t>
        </is>
      </c>
      <c r="B386" s="1" t="n">
        <v>45540.50098379629</v>
      </c>
      <c r="C386" s="1" t="n">
        <v>45928</v>
      </c>
      <c r="D386" t="inlineStr">
        <is>
          <t>KALMAR LÄN</t>
        </is>
      </c>
      <c r="E386" t="inlineStr">
        <is>
          <t>VIMMERBY</t>
        </is>
      </c>
      <c r="G386" t="n">
        <v>1.2</v>
      </c>
      <c r="H386" t="n">
        <v>0</v>
      </c>
      <c r="I386" t="n">
        <v>0</v>
      </c>
      <c r="J386" t="n">
        <v>0</v>
      </c>
      <c r="K386" t="n">
        <v>0</v>
      </c>
      <c r="L386" t="n">
        <v>0</v>
      </c>
      <c r="M386" t="n">
        <v>0</v>
      </c>
      <c r="N386" t="n">
        <v>0</v>
      </c>
      <c r="O386" t="n">
        <v>0</v>
      </c>
      <c r="P386" t="n">
        <v>0</v>
      </c>
      <c r="Q386" t="n">
        <v>0</v>
      </c>
      <c r="R386" s="2" t="inlineStr"/>
    </row>
    <row r="387" ht="15" customHeight="1">
      <c r="A387" t="inlineStr">
        <is>
          <t>A 18329-2023</t>
        </is>
      </c>
      <c r="B387" s="1" t="n">
        <v>45041.63380787037</v>
      </c>
      <c r="C387" s="1" t="n">
        <v>45928</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44329-2025</t>
        </is>
      </c>
      <c r="B388" s="1" t="n">
        <v>45916.41019675926</v>
      </c>
      <c r="C388" s="1" t="n">
        <v>45928</v>
      </c>
      <c r="D388" t="inlineStr">
        <is>
          <t>KALMAR LÄN</t>
        </is>
      </c>
      <c r="E388" t="inlineStr">
        <is>
          <t>VIMMERBY</t>
        </is>
      </c>
      <c r="G388" t="n">
        <v>4.3</v>
      </c>
      <c r="H388" t="n">
        <v>0</v>
      </c>
      <c r="I388" t="n">
        <v>0</v>
      </c>
      <c r="J388" t="n">
        <v>0</v>
      </c>
      <c r="K388" t="n">
        <v>0</v>
      </c>
      <c r="L388" t="n">
        <v>0</v>
      </c>
      <c r="M388" t="n">
        <v>0</v>
      </c>
      <c r="N388" t="n">
        <v>0</v>
      </c>
      <c r="O388" t="n">
        <v>0</v>
      </c>
      <c r="P388" t="n">
        <v>0</v>
      </c>
      <c r="Q388" t="n">
        <v>0</v>
      </c>
      <c r="R388" s="2" t="inlineStr"/>
    </row>
    <row r="389" ht="15" customHeight="1">
      <c r="A389" t="inlineStr">
        <is>
          <t>A 5720-2023</t>
        </is>
      </c>
      <c r="B389" s="1" t="n">
        <v>44961</v>
      </c>
      <c r="C389" s="1" t="n">
        <v>45928</v>
      </c>
      <c r="D389" t="inlineStr">
        <is>
          <t>KALMAR LÄN</t>
        </is>
      </c>
      <c r="E389" t="inlineStr">
        <is>
          <t>VIMMERBY</t>
        </is>
      </c>
      <c r="G389" t="n">
        <v>1.4</v>
      </c>
      <c r="H389" t="n">
        <v>0</v>
      </c>
      <c r="I389" t="n">
        <v>0</v>
      </c>
      <c r="J389" t="n">
        <v>0</v>
      </c>
      <c r="K389" t="n">
        <v>0</v>
      </c>
      <c r="L389" t="n">
        <v>0</v>
      </c>
      <c r="M389" t="n">
        <v>0</v>
      </c>
      <c r="N389" t="n">
        <v>0</v>
      </c>
      <c r="O389" t="n">
        <v>0</v>
      </c>
      <c r="P389" t="n">
        <v>0</v>
      </c>
      <c r="Q389" t="n">
        <v>0</v>
      </c>
      <c r="R389" s="2" t="inlineStr"/>
    </row>
    <row r="390" ht="15" customHeight="1">
      <c r="A390" t="inlineStr">
        <is>
          <t>A 61538-2022</t>
        </is>
      </c>
      <c r="B390" s="1" t="n">
        <v>44916.55414351852</v>
      </c>
      <c r="C390" s="1" t="n">
        <v>45928</v>
      </c>
      <c r="D390" t="inlineStr">
        <is>
          <t>KALMAR LÄN</t>
        </is>
      </c>
      <c r="E390" t="inlineStr">
        <is>
          <t>VIMMERBY</t>
        </is>
      </c>
      <c r="G390" t="n">
        <v>1.5</v>
      </c>
      <c r="H390" t="n">
        <v>0</v>
      </c>
      <c r="I390" t="n">
        <v>0</v>
      </c>
      <c r="J390" t="n">
        <v>0</v>
      </c>
      <c r="K390" t="n">
        <v>0</v>
      </c>
      <c r="L390" t="n">
        <v>0</v>
      </c>
      <c r="M390" t="n">
        <v>0</v>
      </c>
      <c r="N390" t="n">
        <v>0</v>
      </c>
      <c r="O390" t="n">
        <v>0</v>
      </c>
      <c r="P390" t="n">
        <v>0</v>
      </c>
      <c r="Q390" t="n">
        <v>0</v>
      </c>
      <c r="R390" s="2" t="inlineStr"/>
    </row>
    <row r="391" ht="15" customHeight="1">
      <c r="A391" t="inlineStr">
        <is>
          <t>A 44517-2025</t>
        </is>
      </c>
      <c r="B391" s="1" t="n">
        <v>45916.7103587963</v>
      </c>
      <c r="C391" s="1" t="n">
        <v>45928</v>
      </c>
      <c r="D391" t="inlineStr">
        <is>
          <t>KALMAR LÄN</t>
        </is>
      </c>
      <c r="E391" t="inlineStr">
        <is>
          <t>VIMMERBY</t>
        </is>
      </c>
      <c r="G391" t="n">
        <v>0.9</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45928</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694-2024</t>
        </is>
      </c>
      <c r="B393" s="1" t="n">
        <v>45300.3794212963</v>
      </c>
      <c r="C393" s="1" t="n">
        <v>45928</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57114-2023</t>
        </is>
      </c>
      <c r="B394" s="1" t="n">
        <v>45245.36174768519</v>
      </c>
      <c r="C394" s="1" t="n">
        <v>45928</v>
      </c>
      <c r="D394" t="inlineStr">
        <is>
          <t>KALMAR LÄN</t>
        </is>
      </c>
      <c r="E394" t="inlineStr">
        <is>
          <t>VIMMERBY</t>
        </is>
      </c>
      <c r="G394" t="n">
        <v>1.5</v>
      </c>
      <c r="H394" t="n">
        <v>0</v>
      </c>
      <c r="I394" t="n">
        <v>0</v>
      </c>
      <c r="J394" t="n">
        <v>0</v>
      </c>
      <c r="K394" t="n">
        <v>0</v>
      </c>
      <c r="L394" t="n">
        <v>0</v>
      </c>
      <c r="M394" t="n">
        <v>0</v>
      </c>
      <c r="N394" t="n">
        <v>0</v>
      </c>
      <c r="O394" t="n">
        <v>0</v>
      </c>
      <c r="P394" t="n">
        <v>0</v>
      </c>
      <c r="Q394" t="n">
        <v>0</v>
      </c>
      <c r="R394" s="2" t="inlineStr"/>
    </row>
    <row r="395" ht="15" customHeight="1">
      <c r="A395" t="inlineStr">
        <is>
          <t>A 43092-2024</t>
        </is>
      </c>
      <c r="B395" s="1" t="n">
        <v>45567</v>
      </c>
      <c r="C395" s="1" t="n">
        <v>45928</v>
      </c>
      <c r="D395" t="inlineStr">
        <is>
          <t>KALMAR LÄN</t>
        </is>
      </c>
      <c r="E395" t="inlineStr">
        <is>
          <t>VIMMERBY</t>
        </is>
      </c>
      <c r="G395" t="n">
        <v>2.7</v>
      </c>
      <c r="H395" t="n">
        <v>0</v>
      </c>
      <c r="I395" t="n">
        <v>0</v>
      </c>
      <c r="J395" t="n">
        <v>0</v>
      </c>
      <c r="K395" t="n">
        <v>0</v>
      </c>
      <c r="L395" t="n">
        <v>0</v>
      </c>
      <c r="M395" t="n">
        <v>0</v>
      </c>
      <c r="N395" t="n">
        <v>0</v>
      </c>
      <c r="O395" t="n">
        <v>0</v>
      </c>
      <c r="P395" t="n">
        <v>0</v>
      </c>
      <c r="Q395" t="n">
        <v>0</v>
      </c>
      <c r="R395" s="2" t="inlineStr"/>
    </row>
    <row r="396" ht="15" customHeight="1">
      <c r="A396" t="inlineStr">
        <is>
          <t>A 36934-2025</t>
        </is>
      </c>
      <c r="B396" s="1" t="n">
        <v>45874.57109953704</v>
      </c>
      <c r="C396" s="1" t="n">
        <v>45928</v>
      </c>
      <c r="D396" t="inlineStr">
        <is>
          <t>KALMAR LÄN</t>
        </is>
      </c>
      <c r="E396" t="inlineStr">
        <is>
          <t>VIMMERBY</t>
        </is>
      </c>
      <c r="G396" t="n">
        <v>4.2</v>
      </c>
      <c r="H396" t="n">
        <v>0</v>
      </c>
      <c r="I396" t="n">
        <v>0</v>
      </c>
      <c r="J396" t="n">
        <v>0</v>
      </c>
      <c r="K396" t="n">
        <v>0</v>
      </c>
      <c r="L396" t="n">
        <v>0</v>
      </c>
      <c r="M396" t="n">
        <v>0</v>
      </c>
      <c r="N396" t="n">
        <v>0</v>
      </c>
      <c r="O396" t="n">
        <v>0</v>
      </c>
      <c r="P396" t="n">
        <v>0</v>
      </c>
      <c r="Q396" t="n">
        <v>0</v>
      </c>
      <c r="R396" s="2" t="inlineStr"/>
    </row>
    <row r="397" ht="15" customHeight="1">
      <c r="A397" t="inlineStr">
        <is>
          <t>A 44091-2025</t>
        </is>
      </c>
      <c r="B397" s="1" t="n">
        <v>45915.55950231481</v>
      </c>
      <c r="C397" s="1" t="n">
        <v>45928</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44095-2025</t>
        </is>
      </c>
      <c r="B398" s="1" t="n">
        <v>45915.56430555556</v>
      </c>
      <c r="C398" s="1" t="n">
        <v>45928</v>
      </c>
      <c r="D398" t="inlineStr">
        <is>
          <t>KALMAR LÄN</t>
        </is>
      </c>
      <c r="E398" t="inlineStr">
        <is>
          <t>VIMMERBY</t>
        </is>
      </c>
      <c r="G398" t="n">
        <v>2.4</v>
      </c>
      <c r="H398" t="n">
        <v>0</v>
      </c>
      <c r="I398" t="n">
        <v>0</v>
      </c>
      <c r="J398" t="n">
        <v>0</v>
      </c>
      <c r="K398" t="n">
        <v>0</v>
      </c>
      <c r="L398" t="n">
        <v>0</v>
      </c>
      <c r="M398" t="n">
        <v>0</v>
      </c>
      <c r="N398" t="n">
        <v>0</v>
      </c>
      <c r="O398" t="n">
        <v>0</v>
      </c>
      <c r="P398" t="n">
        <v>0</v>
      </c>
      <c r="Q398" t="n">
        <v>0</v>
      </c>
      <c r="R398" s="2" t="inlineStr"/>
    </row>
    <row r="399" ht="15" customHeight="1">
      <c r="A399" t="inlineStr">
        <is>
          <t>A 11619-2023</t>
        </is>
      </c>
      <c r="B399" s="1" t="n">
        <v>44994.42113425926</v>
      </c>
      <c r="C399" s="1" t="n">
        <v>45928</v>
      </c>
      <c r="D399" t="inlineStr">
        <is>
          <t>KALMAR LÄN</t>
        </is>
      </c>
      <c r="E399" t="inlineStr">
        <is>
          <t>VIMMERBY</t>
        </is>
      </c>
      <c r="G399" t="n">
        <v>2.5</v>
      </c>
      <c r="H399" t="n">
        <v>0</v>
      </c>
      <c r="I399" t="n">
        <v>0</v>
      </c>
      <c r="J399" t="n">
        <v>0</v>
      </c>
      <c r="K399" t="n">
        <v>0</v>
      </c>
      <c r="L399" t="n">
        <v>0</v>
      </c>
      <c r="M399" t="n">
        <v>0</v>
      </c>
      <c r="N399" t="n">
        <v>0</v>
      </c>
      <c r="O399" t="n">
        <v>0</v>
      </c>
      <c r="P399" t="n">
        <v>0</v>
      </c>
      <c r="Q399" t="n">
        <v>0</v>
      </c>
      <c r="R399" s="2" t="inlineStr"/>
    </row>
    <row r="400" ht="15" customHeight="1">
      <c r="A400" t="inlineStr">
        <is>
          <t>A 12327-2023</t>
        </is>
      </c>
      <c r="B400" s="1" t="n">
        <v>44999.36081018519</v>
      </c>
      <c r="C400" s="1" t="n">
        <v>45928</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5074-2023</t>
        </is>
      </c>
      <c r="B401" s="1" t="n">
        <v>44958.61047453704</v>
      </c>
      <c r="C401" s="1" t="n">
        <v>45928</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11429-2022</t>
        </is>
      </c>
      <c r="B402" s="1" t="n">
        <v>44630</v>
      </c>
      <c r="C402" s="1" t="n">
        <v>45928</v>
      </c>
      <c r="D402" t="inlineStr">
        <is>
          <t>KALMAR LÄN</t>
        </is>
      </c>
      <c r="E402" t="inlineStr">
        <is>
          <t>VIMMERBY</t>
        </is>
      </c>
      <c r="G402" t="n">
        <v>2.6</v>
      </c>
      <c r="H402" t="n">
        <v>0</v>
      </c>
      <c r="I402" t="n">
        <v>0</v>
      </c>
      <c r="J402" t="n">
        <v>0</v>
      </c>
      <c r="K402" t="n">
        <v>0</v>
      </c>
      <c r="L402" t="n">
        <v>0</v>
      </c>
      <c r="M402" t="n">
        <v>0</v>
      </c>
      <c r="N402" t="n">
        <v>0</v>
      </c>
      <c r="O402" t="n">
        <v>0</v>
      </c>
      <c r="P402" t="n">
        <v>0</v>
      </c>
      <c r="Q402" t="n">
        <v>0</v>
      </c>
      <c r="R402" s="2" t="inlineStr"/>
    </row>
    <row r="403" ht="15" customHeight="1">
      <c r="A403" t="inlineStr">
        <is>
          <t>A 6368-2023</t>
        </is>
      </c>
      <c r="B403" s="1" t="n">
        <v>44965</v>
      </c>
      <c r="C403" s="1" t="n">
        <v>45928</v>
      </c>
      <c r="D403" t="inlineStr">
        <is>
          <t>KALMAR LÄN</t>
        </is>
      </c>
      <c r="E403" t="inlineStr">
        <is>
          <t>VIMMERBY</t>
        </is>
      </c>
      <c r="G403" t="n">
        <v>1.3</v>
      </c>
      <c r="H403" t="n">
        <v>0</v>
      </c>
      <c r="I403" t="n">
        <v>0</v>
      </c>
      <c r="J403" t="n">
        <v>0</v>
      </c>
      <c r="K403" t="n">
        <v>0</v>
      </c>
      <c r="L403" t="n">
        <v>0</v>
      </c>
      <c r="M403" t="n">
        <v>0</v>
      </c>
      <c r="N403" t="n">
        <v>0</v>
      </c>
      <c r="O403" t="n">
        <v>0</v>
      </c>
      <c r="P403" t="n">
        <v>0</v>
      </c>
      <c r="Q403" t="n">
        <v>0</v>
      </c>
      <c r="R403" s="2" t="inlineStr"/>
    </row>
    <row r="404" ht="15" customHeight="1">
      <c r="A404" t="inlineStr">
        <is>
          <t>A 56582-2022</t>
        </is>
      </c>
      <c r="B404" s="1" t="n">
        <v>44893</v>
      </c>
      <c r="C404" s="1" t="n">
        <v>45928</v>
      </c>
      <c r="D404" t="inlineStr">
        <is>
          <t>KALMAR LÄN</t>
        </is>
      </c>
      <c r="E404" t="inlineStr">
        <is>
          <t>VIMMERBY</t>
        </is>
      </c>
      <c r="G404" t="n">
        <v>2.2</v>
      </c>
      <c r="H404" t="n">
        <v>0</v>
      </c>
      <c r="I404" t="n">
        <v>0</v>
      </c>
      <c r="J404" t="n">
        <v>0</v>
      </c>
      <c r="K404" t="n">
        <v>0</v>
      </c>
      <c r="L404" t="n">
        <v>0</v>
      </c>
      <c r="M404" t="n">
        <v>0</v>
      </c>
      <c r="N404" t="n">
        <v>0</v>
      </c>
      <c r="O404" t="n">
        <v>0</v>
      </c>
      <c r="P404" t="n">
        <v>0</v>
      </c>
      <c r="Q404" t="n">
        <v>0</v>
      </c>
      <c r="R404" s="2" t="inlineStr"/>
    </row>
    <row r="405" ht="15" customHeight="1">
      <c r="A405" t="inlineStr">
        <is>
          <t>A 5701-2024</t>
        </is>
      </c>
      <c r="B405" s="1" t="n">
        <v>45334.78826388889</v>
      </c>
      <c r="C405" s="1" t="n">
        <v>45928</v>
      </c>
      <c r="D405" t="inlineStr">
        <is>
          <t>KALMAR LÄN</t>
        </is>
      </c>
      <c r="E405" t="inlineStr">
        <is>
          <t>VIMMERBY</t>
        </is>
      </c>
      <c r="G405" t="n">
        <v>2.3</v>
      </c>
      <c r="H405" t="n">
        <v>0</v>
      </c>
      <c r="I405" t="n">
        <v>0</v>
      </c>
      <c r="J405" t="n">
        <v>0</v>
      </c>
      <c r="K405" t="n">
        <v>0</v>
      </c>
      <c r="L405" t="n">
        <v>0</v>
      </c>
      <c r="M405" t="n">
        <v>0</v>
      </c>
      <c r="N405" t="n">
        <v>0</v>
      </c>
      <c r="O405" t="n">
        <v>0</v>
      </c>
      <c r="P405" t="n">
        <v>0</v>
      </c>
      <c r="Q405" t="n">
        <v>0</v>
      </c>
      <c r="R405" s="2" t="inlineStr"/>
    </row>
    <row r="406" ht="15" customHeight="1">
      <c r="A406" t="inlineStr">
        <is>
          <t>A 37088-2025</t>
        </is>
      </c>
      <c r="B406" s="1" t="n">
        <v>45875.45716435185</v>
      </c>
      <c r="C406" s="1" t="n">
        <v>45928</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37102-2025</t>
        </is>
      </c>
      <c r="B407" s="1" t="n">
        <v>45875.47454861111</v>
      </c>
      <c r="C407" s="1" t="n">
        <v>45928</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30633-2024</t>
        </is>
      </c>
      <c r="B408" s="1" t="n">
        <v>45495</v>
      </c>
      <c r="C408" s="1" t="n">
        <v>45928</v>
      </c>
      <c r="D408" t="inlineStr">
        <is>
          <t>KALMAR LÄN</t>
        </is>
      </c>
      <c r="E408" t="inlineStr">
        <is>
          <t>VIMMERBY</t>
        </is>
      </c>
      <c r="G408" t="n">
        <v>0.5</v>
      </c>
      <c r="H408" t="n">
        <v>0</v>
      </c>
      <c r="I408" t="n">
        <v>0</v>
      </c>
      <c r="J408" t="n">
        <v>0</v>
      </c>
      <c r="K408" t="n">
        <v>0</v>
      </c>
      <c r="L408" t="n">
        <v>0</v>
      </c>
      <c r="M408" t="n">
        <v>0</v>
      </c>
      <c r="N408" t="n">
        <v>0</v>
      </c>
      <c r="O408" t="n">
        <v>0</v>
      </c>
      <c r="P408" t="n">
        <v>0</v>
      </c>
      <c r="Q408" t="n">
        <v>0</v>
      </c>
      <c r="R408" s="2" t="inlineStr"/>
    </row>
    <row r="409" ht="15" customHeight="1">
      <c r="A409" t="inlineStr">
        <is>
          <t>A 33424-2023</t>
        </is>
      </c>
      <c r="B409" s="1" t="n">
        <v>45128.9325</v>
      </c>
      <c r="C409" s="1" t="n">
        <v>45928</v>
      </c>
      <c r="D409" t="inlineStr">
        <is>
          <t>KALMAR LÄN</t>
        </is>
      </c>
      <c r="E409" t="inlineStr">
        <is>
          <t>VIMMERBY</t>
        </is>
      </c>
      <c r="G409" t="n">
        <v>2.4</v>
      </c>
      <c r="H409" t="n">
        <v>0</v>
      </c>
      <c r="I409" t="n">
        <v>0</v>
      </c>
      <c r="J409" t="n">
        <v>0</v>
      </c>
      <c r="K409" t="n">
        <v>0</v>
      </c>
      <c r="L409" t="n">
        <v>0</v>
      </c>
      <c r="M409" t="n">
        <v>0</v>
      </c>
      <c r="N409" t="n">
        <v>0</v>
      </c>
      <c r="O409" t="n">
        <v>0</v>
      </c>
      <c r="P409" t="n">
        <v>0</v>
      </c>
      <c r="Q409" t="n">
        <v>0</v>
      </c>
      <c r="R409" s="2" t="inlineStr"/>
    </row>
    <row r="410" ht="15" customHeight="1">
      <c r="A410" t="inlineStr">
        <is>
          <t>A 33425-2023</t>
        </is>
      </c>
      <c r="B410" s="1" t="n">
        <v>45128.93540509259</v>
      </c>
      <c r="C410" s="1" t="n">
        <v>45928</v>
      </c>
      <c r="D410" t="inlineStr">
        <is>
          <t>KALMAR LÄN</t>
        </is>
      </c>
      <c r="E410" t="inlineStr">
        <is>
          <t>VIMMERBY</t>
        </is>
      </c>
      <c r="G410" t="n">
        <v>1.4</v>
      </c>
      <c r="H410" t="n">
        <v>0</v>
      </c>
      <c r="I410" t="n">
        <v>0</v>
      </c>
      <c r="J410" t="n">
        <v>0</v>
      </c>
      <c r="K410" t="n">
        <v>0</v>
      </c>
      <c r="L410" t="n">
        <v>0</v>
      </c>
      <c r="M410" t="n">
        <v>0</v>
      </c>
      <c r="N410" t="n">
        <v>0</v>
      </c>
      <c r="O410" t="n">
        <v>0</v>
      </c>
      <c r="P410" t="n">
        <v>0</v>
      </c>
      <c r="Q410" t="n">
        <v>0</v>
      </c>
      <c r="R410" s="2" t="inlineStr"/>
    </row>
    <row r="411" ht="15" customHeight="1">
      <c r="A411" t="inlineStr">
        <is>
          <t>A 3609-2024</t>
        </is>
      </c>
      <c r="B411" s="1" t="n">
        <v>45320.89128472222</v>
      </c>
      <c r="C411" s="1" t="n">
        <v>45928</v>
      </c>
      <c r="D411" t="inlineStr">
        <is>
          <t>KALMAR LÄN</t>
        </is>
      </c>
      <c r="E411" t="inlineStr">
        <is>
          <t>VIMMERBY</t>
        </is>
      </c>
      <c r="G411" t="n">
        <v>1.7</v>
      </c>
      <c r="H411" t="n">
        <v>0</v>
      </c>
      <c r="I411" t="n">
        <v>0</v>
      </c>
      <c r="J411" t="n">
        <v>0</v>
      </c>
      <c r="K411" t="n">
        <v>0</v>
      </c>
      <c r="L411" t="n">
        <v>0</v>
      </c>
      <c r="M411" t="n">
        <v>0</v>
      </c>
      <c r="N411" t="n">
        <v>0</v>
      </c>
      <c r="O411" t="n">
        <v>0</v>
      </c>
      <c r="P411" t="n">
        <v>0</v>
      </c>
      <c r="Q411" t="n">
        <v>0</v>
      </c>
      <c r="R411" s="2" t="inlineStr"/>
    </row>
    <row r="412" ht="15" customHeight="1">
      <c r="A412" t="inlineStr">
        <is>
          <t>A 6408-2025</t>
        </is>
      </c>
      <c r="B412" s="1" t="n">
        <v>45699.45671296296</v>
      </c>
      <c r="C412" s="1" t="n">
        <v>45928</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7797-2023</t>
        </is>
      </c>
      <c r="B413" s="1" t="n">
        <v>44973.43075231482</v>
      </c>
      <c r="C413" s="1" t="n">
        <v>45928</v>
      </c>
      <c r="D413" t="inlineStr">
        <is>
          <t>KALMAR LÄN</t>
        </is>
      </c>
      <c r="E413" t="inlineStr">
        <is>
          <t>VIMMERBY</t>
        </is>
      </c>
      <c r="G413" t="n">
        <v>0.6</v>
      </c>
      <c r="H413" t="n">
        <v>0</v>
      </c>
      <c r="I413" t="n">
        <v>0</v>
      </c>
      <c r="J413" t="n">
        <v>0</v>
      </c>
      <c r="K413" t="n">
        <v>0</v>
      </c>
      <c r="L413" t="n">
        <v>0</v>
      </c>
      <c r="M413" t="n">
        <v>0</v>
      </c>
      <c r="N413" t="n">
        <v>0</v>
      </c>
      <c r="O413" t="n">
        <v>0</v>
      </c>
      <c r="P413" t="n">
        <v>0</v>
      </c>
      <c r="Q413" t="n">
        <v>0</v>
      </c>
      <c r="R413" s="2" t="inlineStr"/>
    </row>
    <row r="414" ht="15" customHeight="1">
      <c r="A414" t="inlineStr">
        <is>
          <t>A 24655-2021</t>
        </is>
      </c>
      <c r="B414" s="1" t="n">
        <v>44340</v>
      </c>
      <c r="C414" s="1" t="n">
        <v>45928</v>
      </c>
      <c r="D414" t="inlineStr">
        <is>
          <t>KALMAR LÄN</t>
        </is>
      </c>
      <c r="E414" t="inlineStr">
        <is>
          <t>VIMMERBY</t>
        </is>
      </c>
      <c r="G414" t="n">
        <v>14.9</v>
      </c>
      <c r="H414" t="n">
        <v>0</v>
      </c>
      <c r="I414" t="n">
        <v>0</v>
      </c>
      <c r="J414" t="n">
        <v>0</v>
      </c>
      <c r="K414" t="n">
        <v>0</v>
      </c>
      <c r="L414" t="n">
        <v>0</v>
      </c>
      <c r="M414" t="n">
        <v>0</v>
      </c>
      <c r="N414" t="n">
        <v>0</v>
      </c>
      <c r="O414" t="n">
        <v>0</v>
      </c>
      <c r="P414" t="n">
        <v>0</v>
      </c>
      <c r="Q414" t="n">
        <v>0</v>
      </c>
      <c r="R414" s="2" t="inlineStr"/>
    </row>
    <row r="415" ht="15" customHeight="1">
      <c r="A415" t="inlineStr">
        <is>
          <t>A 11609-2023</t>
        </is>
      </c>
      <c r="B415" s="1" t="n">
        <v>44994.40635416667</v>
      </c>
      <c r="C415" s="1" t="n">
        <v>45928</v>
      </c>
      <c r="D415" t="inlineStr">
        <is>
          <t>KALMAR LÄN</t>
        </is>
      </c>
      <c r="E415" t="inlineStr">
        <is>
          <t>VIMMERBY</t>
        </is>
      </c>
      <c r="G415" t="n">
        <v>4.9</v>
      </c>
      <c r="H415" t="n">
        <v>0</v>
      </c>
      <c r="I415" t="n">
        <v>0</v>
      </c>
      <c r="J415" t="n">
        <v>0</v>
      </c>
      <c r="K415" t="n">
        <v>0</v>
      </c>
      <c r="L415" t="n">
        <v>0</v>
      </c>
      <c r="M415" t="n">
        <v>0</v>
      </c>
      <c r="N415" t="n">
        <v>0</v>
      </c>
      <c r="O415" t="n">
        <v>0</v>
      </c>
      <c r="P415" t="n">
        <v>0</v>
      </c>
      <c r="Q415" t="n">
        <v>0</v>
      </c>
      <c r="R415" s="2" t="inlineStr"/>
    </row>
    <row r="416" ht="15" customHeight="1">
      <c r="A416" t="inlineStr">
        <is>
          <t>A 37079-2025</t>
        </is>
      </c>
      <c r="B416" s="1" t="n">
        <v>45875.42716435185</v>
      </c>
      <c r="C416" s="1" t="n">
        <v>45928</v>
      </c>
      <c r="D416" t="inlineStr">
        <is>
          <t>KALMAR LÄN</t>
        </is>
      </c>
      <c r="E416" t="inlineStr">
        <is>
          <t>VIMMERBY</t>
        </is>
      </c>
      <c r="G416" t="n">
        <v>0.8</v>
      </c>
      <c r="H416" t="n">
        <v>0</v>
      </c>
      <c r="I416" t="n">
        <v>0</v>
      </c>
      <c r="J416" t="n">
        <v>0</v>
      </c>
      <c r="K416" t="n">
        <v>0</v>
      </c>
      <c r="L416" t="n">
        <v>0</v>
      </c>
      <c r="M416" t="n">
        <v>0</v>
      </c>
      <c r="N416" t="n">
        <v>0</v>
      </c>
      <c r="O416" t="n">
        <v>0</v>
      </c>
      <c r="P416" t="n">
        <v>0</v>
      </c>
      <c r="Q416" t="n">
        <v>0</v>
      </c>
      <c r="R416" s="2" t="inlineStr"/>
    </row>
    <row r="417" ht="15" customHeight="1">
      <c r="A417" t="inlineStr">
        <is>
          <t>A 44464-2024</t>
        </is>
      </c>
      <c r="B417" s="1" t="n">
        <v>45574.35809027778</v>
      </c>
      <c r="C417" s="1" t="n">
        <v>45928</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44742-2025</t>
        </is>
      </c>
      <c r="B418" s="1" t="n">
        <v>45917.67054398148</v>
      </c>
      <c r="C418" s="1" t="n">
        <v>45928</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8410-2023</t>
        </is>
      </c>
      <c r="B419" s="1" t="n">
        <v>44977</v>
      </c>
      <c r="C419" s="1" t="n">
        <v>45928</v>
      </c>
      <c r="D419" t="inlineStr">
        <is>
          <t>KALMAR LÄN</t>
        </is>
      </c>
      <c r="E419" t="inlineStr">
        <is>
          <t>VIMMERBY</t>
        </is>
      </c>
      <c r="G419" t="n">
        <v>0.9</v>
      </c>
      <c r="H419" t="n">
        <v>0</v>
      </c>
      <c r="I419" t="n">
        <v>0</v>
      </c>
      <c r="J419" t="n">
        <v>0</v>
      </c>
      <c r="K419" t="n">
        <v>0</v>
      </c>
      <c r="L419" t="n">
        <v>0</v>
      </c>
      <c r="M419" t="n">
        <v>0</v>
      </c>
      <c r="N419" t="n">
        <v>0</v>
      </c>
      <c r="O419" t="n">
        <v>0</v>
      </c>
      <c r="P419" t="n">
        <v>0</v>
      </c>
      <c r="Q419" t="n">
        <v>0</v>
      </c>
      <c r="R419" s="2" t="inlineStr"/>
    </row>
    <row r="420" ht="15" customHeight="1">
      <c r="A420" t="inlineStr">
        <is>
          <t>A 45114-2025</t>
        </is>
      </c>
      <c r="B420" s="1" t="n">
        <v>45919.42387731482</v>
      </c>
      <c r="C420" s="1" t="n">
        <v>45928</v>
      </c>
      <c r="D420" t="inlineStr">
        <is>
          <t>KALMAR LÄN</t>
        </is>
      </c>
      <c r="E420" t="inlineStr">
        <is>
          <t>VIMMERBY</t>
        </is>
      </c>
      <c r="G420" t="n">
        <v>2.7</v>
      </c>
      <c r="H420" t="n">
        <v>0</v>
      </c>
      <c r="I420" t="n">
        <v>0</v>
      </c>
      <c r="J420" t="n">
        <v>0</v>
      </c>
      <c r="K420" t="n">
        <v>0</v>
      </c>
      <c r="L420" t="n">
        <v>0</v>
      </c>
      <c r="M420" t="n">
        <v>0</v>
      </c>
      <c r="N420" t="n">
        <v>0</v>
      </c>
      <c r="O420" t="n">
        <v>0</v>
      </c>
      <c r="P420" t="n">
        <v>0</v>
      </c>
      <c r="Q420" t="n">
        <v>0</v>
      </c>
      <c r="R420" s="2" t="inlineStr"/>
    </row>
    <row r="421" ht="15" customHeight="1">
      <c r="A421" t="inlineStr">
        <is>
          <t>A 45320-2025</t>
        </is>
      </c>
      <c r="B421" s="1" t="n">
        <v>45921.96395833333</v>
      </c>
      <c r="C421" s="1" t="n">
        <v>45928</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41066-2024</t>
        </is>
      </c>
      <c r="B422" s="1" t="n">
        <v>45559.38876157408</v>
      </c>
      <c r="C422" s="1" t="n">
        <v>45928</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37668-2025</t>
        </is>
      </c>
      <c r="B423" s="1" t="n">
        <v>45880.51550925926</v>
      </c>
      <c r="C423" s="1" t="n">
        <v>45928</v>
      </c>
      <c r="D423" t="inlineStr">
        <is>
          <t>KALMAR LÄN</t>
        </is>
      </c>
      <c r="E423" t="inlineStr">
        <is>
          <t>VIMMERBY</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6028-2023</t>
        </is>
      </c>
      <c r="B424" s="1" t="n">
        <v>44964.44356481481</v>
      </c>
      <c r="C424" s="1" t="n">
        <v>45928</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8650-2022</t>
        </is>
      </c>
      <c r="B425" s="1" t="n">
        <v>44613</v>
      </c>
      <c r="C425" s="1" t="n">
        <v>45928</v>
      </c>
      <c r="D425" t="inlineStr">
        <is>
          <t>KALMAR LÄN</t>
        </is>
      </c>
      <c r="E425" t="inlineStr">
        <is>
          <t>VIMMERBY</t>
        </is>
      </c>
      <c r="G425" t="n">
        <v>1.4</v>
      </c>
      <c r="H425" t="n">
        <v>0</v>
      </c>
      <c r="I425" t="n">
        <v>0</v>
      </c>
      <c r="J425" t="n">
        <v>0</v>
      </c>
      <c r="K425" t="n">
        <v>0</v>
      </c>
      <c r="L425" t="n">
        <v>0</v>
      </c>
      <c r="M425" t="n">
        <v>0</v>
      </c>
      <c r="N425" t="n">
        <v>0</v>
      </c>
      <c r="O425" t="n">
        <v>0</v>
      </c>
      <c r="P425" t="n">
        <v>0</v>
      </c>
      <c r="Q425" t="n">
        <v>0</v>
      </c>
      <c r="R425" s="2" t="inlineStr"/>
    </row>
    <row r="426" ht="15" customHeight="1">
      <c r="A426" t="inlineStr">
        <is>
          <t>A 37578-2025</t>
        </is>
      </c>
      <c r="B426" s="1" t="n">
        <v>45880.38380787037</v>
      </c>
      <c r="C426" s="1" t="n">
        <v>45928</v>
      </c>
      <c r="D426" t="inlineStr">
        <is>
          <t>KALMAR LÄN</t>
        </is>
      </c>
      <c r="E426" t="inlineStr">
        <is>
          <t>VIMMERBY</t>
        </is>
      </c>
      <c r="G426" t="n">
        <v>0.7</v>
      </c>
      <c r="H426" t="n">
        <v>0</v>
      </c>
      <c r="I426" t="n">
        <v>0</v>
      </c>
      <c r="J426" t="n">
        <v>0</v>
      </c>
      <c r="K426" t="n">
        <v>0</v>
      </c>
      <c r="L426" t="n">
        <v>0</v>
      </c>
      <c r="M426" t="n">
        <v>0</v>
      </c>
      <c r="N426" t="n">
        <v>0</v>
      </c>
      <c r="O426" t="n">
        <v>0</v>
      </c>
      <c r="P426" t="n">
        <v>0</v>
      </c>
      <c r="Q426" t="n">
        <v>0</v>
      </c>
      <c r="R426" s="2" t="inlineStr"/>
    </row>
    <row r="427" ht="15" customHeight="1">
      <c r="A427" t="inlineStr">
        <is>
          <t>A 52823-2024</t>
        </is>
      </c>
      <c r="B427" s="1" t="n">
        <v>45610.59094907407</v>
      </c>
      <c r="C427" s="1" t="n">
        <v>45928</v>
      </c>
      <c r="D427" t="inlineStr">
        <is>
          <t>KALMAR LÄN</t>
        </is>
      </c>
      <c r="E427" t="inlineStr">
        <is>
          <t>VIMMERBY</t>
        </is>
      </c>
      <c r="G427" t="n">
        <v>0.6</v>
      </c>
      <c r="H427" t="n">
        <v>0</v>
      </c>
      <c r="I427" t="n">
        <v>0</v>
      </c>
      <c r="J427" t="n">
        <v>0</v>
      </c>
      <c r="K427" t="n">
        <v>0</v>
      </c>
      <c r="L427" t="n">
        <v>0</v>
      </c>
      <c r="M427" t="n">
        <v>0</v>
      </c>
      <c r="N427" t="n">
        <v>0</v>
      </c>
      <c r="O427" t="n">
        <v>0</v>
      </c>
      <c r="P427" t="n">
        <v>0</v>
      </c>
      <c r="Q427" t="n">
        <v>0</v>
      </c>
      <c r="R427" s="2" t="inlineStr"/>
    </row>
    <row r="428" ht="15" customHeight="1">
      <c r="A428" t="inlineStr">
        <is>
          <t>A 3816-2022</t>
        </is>
      </c>
      <c r="B428" s="1" t="n">
        <v>44587</v>
      </c>
      <c r="C428" s="1" t="n">
        <v>45928</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56853-2022</t>
        </is>
      </c>
      <c r="B429" s="1" t="n">
        <v>44894.49538194444</v>
      </c>
      <c r="C429" s="1" t="n">
        <v>45928</v>
      </c>
      <c r="D429" t="inlineStr">
        <is>
          <t>KALMAR LÄN</t>
        </is>
      </c>
      <c r="E429" t="inlineStr">
        <is>
          <t>VIMMERBY</t>
        </is>
      </c>
      <c r="G429" t="n">
        <v>4.3</v>
      </c>
      <c r="H429" t="n">
        <v>0</v>
      </c>
      <c r="I429" t="n">
        <v>0</v>
      </c>
      <c r="J429" t="n">
        <v>0</v>
      </c>
      <c r="K429" t="n">
        <v>0</v>
      </c>
      <c r="L429" t="n">
        <v>0</v>
      </c>
      <c r="M429" t="n">
        <v>0</v>
      </c>
      <c r="N429" t="n">
        <v>0</v>
      </c>
      <c r="O429" t="n">
        <v>0</v>
      </c>
      <c r="P429" t="n">
        <v>0</v>
      </c>
      <c r="Q429" t="n">
        <v>0</v>
      </c>
      <c r="R429" s="2" t="inlineStr"/>
    </row>
    <row r="430" ht="15" customHeight="1">
      <c r="A430" t="inlineStr">
        <is>
          <t>A 11152-2023</t>
        </is>
      </c>
      <c r="B430" s="1" t="n">
        <v>44992</v>
      </c>
      <c r="C430" s="1" t="n">
        <v>45928</v>
      </c>
      <c r="D430" t="inlineStr">
        <is>
          <t>KALMAR LÄN</t>
        </is>
      </c>
      <c r="E430" t="inlineStr">
        <is>
          <t>VIMMERBY</t>
        </is>
      </c>
      <c r="G430" t="n">
        <v>10.6</v>
      </c>
      <c r="H430" t="n">
        <v>0</v>
      </c>
      <c r="I430" t="n">
        <v>0</v>
      </c>
      <c r="J430" t="n">
        <v>0</v>
      </c>
      <c r="K430" t="n">
        <v>0</v>
      </c>
      <c r="L430" t="n">
        <v>0</v>
      </c>
      <c r="M430" t="n">
        <v>0</v>
      </c>
      <c r="N430" t="n">
        <v>0</v>
      </c>
      <c r="O430" t="n">
        <v>0</v>
      </c>
      <c r="P430" t="n">
        <v>0</v>
      </c>
      <c r="Q430" t="n">
        <v>0</v>
      </c>
      <c r="R430" s="2" t="inlineStr"/>
    </row>
    <row r="431" ht="15" customHeight="1">
      <c r="A431" t="inlineStr">
        <is>
          <t>A 15550-2023</t>
        </is>
      </c>
      <c r="B431" s="1" t="n">
        <v>45020</v>
      </c>
      <c r="C431" s="1" t="n">
        <v>45928</v>
      </c>
      <c r="D431" t="inlineStr">
        <is>
          <t>KALMAR LÄN</t>
        </is>
      </c>
      <c r="E431" t="inlineStr">
        <is>
          <t>VIMMERBY</t>
        </is>
      </c>
      <c r="G431" t="n">
        <v>0.5</v>
      </c>
      <c r="H431" t="n">
        <v>0</v>
      </c>
      <c r="I431" t="n">
        <v>0</v>
      </c>
      <c r="J431" t="n">
        <v>0</v>
      </c>
      <c r="K431" t="n">
        <v>0</v>
      </c>
      <c r="L431" t="n">
        <v>0</v>
      </c>
      <c r="M431" t="n">
        <v>0</v>
      </c>
      <c r="N431" t="n">
        <v>0</v>
      </c>
      <c r="O431" t="n">
        <v>0</v>
      </c>
      <c r="P431" t="n">
        <v>0</v>
      </c>
      <c r="Q431" t="n">
        <v>0</v>
      </c>
      <c r="R431" s="2" t="inlineStr"/>
    </row>
    <row r="432" ht="15" customHeight="1">
      <c r="A432" t="inlineStr">
        <is>
          <t>A 11147-2023</t>
        </is>
      </c>
      <c r="B432" s="1" t="n">
        <v>44992</v>
      </c>
      <c r="C432" s="1" t="n">
        <v>45928</v>
      </c>
      <c r="D432" t="inlineStr">
        <is>
          <t>KALMAR LÄN</t>
        </is>
      </c>
      <c r="E432" t="inlineStr">
        <is>
          <t>VIMMERBY</t>
        </is>
      </c>
      <c r="G432" t="n">
        <v>0.8</v>
      </c>
      <c r="H432" t="n">
        <v>0</v>
      </c>
      <c r="I432" t="n">
        <v>0</v>
      </c>
      <c r="J432" t="n">
        <v>0</v>
      </c>
      <c r="K432" t="n">
        <v>0</v>
      </c>
      <c r="L432" t="n">
        <v>0</v>
      </c>
      <c r="M432" t="n">
        <v>0</v>
      </c>
      <c r="N432" t="n">
        <v>0</v>
      </c>
      <c r="O432" t="n">
        <v>0</v>
      </c>
      <c r="P432" t="n">
        <v>0</v>
      </c>
      <c r="Q432" t="n">
        <v>0</v>
      </c>
      <c r="R432" s="2" t="inlineStr"/>
    </row>
    <row r="433" ht="15" customHeight="1">
      <c r="A433" t="inlineStr">
        <is>
          <t>A 45319-2025</t>
        </is>
      </c>
      <c r="B433" s="1" t="n">
        <v>45921.95611111111</v>
      </c>
      <c r="C433" s="1" t="n">
        <v>45928</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1081-2023</t>
        </is>
      </c>
      <c r="B434" s="1" t="n">
        <v>44935</v>
      </c>
      <c r="C434" s="1" t="n">
        <v>45928</v>
      </c>
      <c r="D434" t="inlineStr">
        <is>
          <t>KALMAR LÄN</t>
        </is>
      </c>
      <c r="E434" t="inlineStr">
        <is>
          <t>VIMMERBY</t>
        </is>
      </c>
      <c r="G434" t="n">
        <v>1.3</v>
      </c>
      <c r="H434" t="n">
        <v>0</v>
      </c>
      <c r="I434" t="n">
        <v>0</v>
      </c>
      <c r="J434" t="n">
        <v>0</v>
      </c>
      <c r="K434" t="n">
        <v>0</v>
      </c>
      <c r="L434" t="n">
        <v>0</v>
      </c>
      <c r="M434" t="n">
        <v>0</v>
      </c>
      <c r="N434" t="n">
        <v>0</v>
      </c>
      <c r="O434" t="n">
        <v>0</v>
      </c>
      <c r="P434" t="n">
        <v>0</v>
      </c>
      <c r="Q434" t="n">
        <v>0</v>
      </c>
      <c r="R434" s="2" t="inlineStr"/>
    </row>
    <row r="435" ht="15" customHeight="1">
      <c r="A435" t="inlineStr">
        <is>
          <t>A 7047-2022</t>
        </is>
      </c>
      <c r="B435" s="1" t="n">
        <v>44603</v>
      </c>
      <c r="C435" s="1" t="n">
        <v>45928</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12499-2023</t>
        </is>
      </c>
      <c r="B436" s="1" t="n">
        <v>44999.86172453704</v>
      </c>
      <c r="C436" s="1" t="n">
        <v>45928</v>
      </c>
      <c r="D436" t="inlineStr">
        <is>
          <t>KALMAR LÄN</t>
        </is>
      </c>
      <c r="E436" t="inlineStr">
        <is>
          <t>VIMMERBY</t>
        </is>
      </c>
      <c r="G436" t="n">
        <v>0.8</v>
      </c>
      <c r="H436" t="n">
        <v>0</v>
      </c>
      <c r="I436" t="n">
        <v>0</v>
      </c>
      <c r="J436" t="n">
        <v>0</v>
      </c>
      <c r="K436" t="n">
        <v>0</v>
      </c>
      <c r="L436" t="n">
        <v>0</v>
      </c>
      <c r="M436" t="n">
        <v>0</v>
      </c>
      <c r="N436" t="n">
        <v>0</v>
      </c>
      <c r="O436" t="n">
        <v>0</v>
      </c>
      <c r="P436" t="n">
        <v>0</v>
      </c>
      <c r="Q436" t="n">
        <v>0</v>
      </c>
      <c r="R436" s="2" t="inlineStr"/>
    </row>
    <row r="437" ht="15" customHeight="1">
      <c r="A437" t="inlineStr">
        <is>
          <t>A 12500-2023</t>
        </is>
      </c>
      <c r="B437" s="1" t="n">
        <v>44999.8625</v>
      </c>
      <c r="C437" s="1" t="n">
        <v>45928</v>
      </c>
      <c r="D437" t="inlineStr">
        <is>
          <t>KALMAR LÄN</t>
        </is>
      </c>
      <c r="E437" t="inlineStr">
        <is>
          <t>VIMMERBY</t>
        </is>
      </c>
      <c r="G437" t="n">
        <v>0.5</v>
      </c>
      <c r="H437" t="n">
        <v>0</v>
      </c>
      <c r="I437" t="n">
        <v>0</v>
      </c>
      <c r="J437" t="n">
        <v>0</v>
      </c>
      <c r="K437" t="n">
        <v>0</v>
      </c>
      <c r="L437" t="n">
        <v>0</v>
      </c>
      <c r="M437" t="n">
        <v>0</v>
      </c>
      <c r="N437" t="n">
        <v>0</v>
      </c>
      <c r="O437" t="n">
        <v>0</v>
      </c>
      <c r="P437" t="n">
        <v>0</v>
      </c>
      <c r="Q437" t="n">
        <v>0</v>
      </c>
      <c r="R437" s="2" t="inlineStr"/>
    </row>
    <row r="438" ht="15" customHeight="1">
      <c r="A438" t="inlineStr">
        <is>
          <t>A 31355-2023</t>
        </is>
      </c>
      <c r="B438" s="1" t="n">
        <v>45114.49505787037</v>
      </c>
      <c r="C438" s="1" t="n">
        <v>45928</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18330-2023</t>
        </is>
      </c>
      <c r="B439" s="1" t="n">
        <v>45041</v>
      </c>
      <c r="C439" s="1" t="n">
        <v>45928</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16676-2023</t>
        </is>
      </c>
      <c r="B440" s="1" t="n">
        <v>45028</v>
      </c>
      <c r="C440" s="1" t="n">
        <v>45928</v>
      </c>
      <c r="D440" t="inlineStr">
        <is>
          <t>KALMAR LÄN</t>
        </is>
      </c>
      <c r="E440" t="inlineStr">
        <is>
          <t>VIMMERBY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6066-2023</t>
        </is>
      </c>
      <c r="B441" s="1" t="n">
        <v>44964.50894675926</v>
      </c>
      <c r="C441" s="1" t="n">
        <v>45928</v>
      </c>
      <c r="D441" t="inlineStr">
        <is>
          <t>KALMAR LÄN</t>
        </is>
      </c>
      <c r="E441" t="inlineStr">
        <is>
          <t>VIMMERBY</t>
        </is>
      </c>
      <c r="G441" t="n">
        <v>2.8</v>
      </c>
      <c r="H441" t="n">
        <v>0</v>
      </c>
      <c r="I441" t="n">
        <v>0</v>
      </c>
      <c r="J441" t="n">
        <v>0</v>
      </c>
      <c r="K441" t="n">
        <v>0</v>
      </c>
      <c r="L441" t="n">
        <v>0</v>
      </c>
      <c r="M441" t="n">
        <v>0</v>
      </c>
      <c r="N441" t="n">
        <v>0</v>
      </c>
      <c r="O441" t="n">
        <v>0</v>
      </c>
      <c r="P441" t="n">
        <v>0</v>
      </c>
      <c r="Q441" t="n">
        <v>0</v>
      </c>
      <c r="R441" s="2" t="inlineStr"/>
    </row>
    <row r="442" ht="15" customHeight="1">
      <c r="A442" t="inlineStr">
        <is>
          <t>A 58100-2024</t>
        </is>
      </c>
      <c r="B442" s="1" t="n">
        <v>45632.36706018518</v>
      </c>
      <c r="C442" s="1" t="n">
        <v>45928</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23263-2024</t>
        </is>
      </c>
      <c r="B443" s="1" t="n">
        <v>45453.36854166666</v>
      </c>
      <c r="C443" s="1" t="n">
        <v>45928</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27993-2022</t>
        </is>
      </c>
      <c r="B444" s="1" t="n">
        <v>44745.84396990741</v>
      </c>
      <c r="C444" s="1" t="n">
        <v>45928</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33103-2024</t>
        </is>
      </c>
      <c r="B445" s="1" t="n">
        <v>45517.8162037037</v>
      </c>
      <c r="C445" s="1" t="n">
        <v>45928</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33161-2024</t>
        </is>
      </c>
      <c r="B446" s="1" t="n">
        <v>45518.40657407408</v>
      </c>
      <c r="C446" s="1" t="n">
        <v>45928</v>
      </c>
      <c r="D446" t="inlineStr">
        <is>
          <t>KALMAR LÄN</t>
        </is>
      </c>
      <c r="E446" t="inlineStr">
        <is>
          <t>VIMMERBY</t>
        </is>
      </c>
      <c r="G446" t="n">
        <v>4.7</v>
      </c>
      <c r="H446" t="n">
        <v>0</v>
      </c>
      <c r="I446" t="n">
        <v>0</v>
      </c>
      <c r="J446" t="n">
        <v>0</v>
      </c>
      <c r="K446" t="n">
        <v>0</v>
      </c>
      <c r="L446" t="n">
        <v>0</v>
      </c>
      <c r="M446" t="n">
        <v>0</v>
      </c>
      <c r="N446" t="n">
        <v>0</v>
      </c>
      <c r="O446" t="n">
        <v>0</v>
      </c>
      <c r="P446" t="n">
        <v>0</v>
      </c>
      <c r="Q446" t="n">
        <v>0</v>
      </c>
      <c r="R446" s="2" t="inlineStr"/>
    </row>
    <row r="447" ht="15" customHeight="1">
      <c r="A447" t="inlineStr">
        <is>
          <t>A 12510-2022</t>
        </is>
      </c>
      <c r="B447" s="1" t="n">
        <v>44638.55256944444</v>
      </c>
      <c r="C447" s="1" t="n">
        <v>45928</v>
      </c>
      <c r="D447" t="inlineStr">
        <is>
          <t>KALMAR LÄN</t>
        </is>
      </c>
      <c r="E447" t="inlineStr">
        <is>
          <t>VIMMERBY</t>
        </is>
      </c>
      <c r="G447" t="n">
        <v>2.4</v>
      </c>
      <c r="H447" t="n">
        <v>0</v>
      </c>
      <c r="I447" t="n">
        <v>0</v>
      </c>
      <c r="J447" t="n">
        <v>0</v>
      </c>
      <c r="K447" t="n">
        <v>0</v>
      </c>
      <c r="L447" t="n">
        <v>0</v>
      </c>
      <c r="M447" t="n">
        <v>0</v>
      </c>
      <c r="N447" t="n">
        <v>0</v>
      </c>
      <c r="O447" t="n">
        <v>0</v>
      </c>
      <c r="P447" t="n">
        <v>0</v>
      </c>
      <c r="Q447" t="n">
        <v>0</v>
      </c>
      <c r="R447" s="2" t="inlineStr"/>
    </row>
    <row r="448" ht="15" customHeight="1">
      <c r="A448" t="inlineStr">
        <is>
          <t>A 38969-2023</t>
        </is>
      </c>
      <c r="B448" s="1" t="n">
        <v>45163.63621527778</v>
      </c>
      <c r="C448" s="1" t="n">
        <v>45928</v>
      </c>
      <c r="D448" t="inlineStr">
        <is>
          <t>KALMAR LÄN</t>
        </is>
      </c>
      <c r="E448" t="inlineStr">
        <is>
          <t>VIMMERBY</t>
        </is>
      </c>
      <c r="F448" t="inlineStr">
        <is>
          <t>Sveaskog</t>
        </is>
      </c>
      <c r="G448" t="n">
        <v>2.4</v>
      </c>
      <c r="H448" t="n">
        <v>0</v>
      </c>
      <c r="I448" t="n">
        <v>0</v>
      </c>
      <c r="J448" t="n">
        <v>0</v>
      </c>
      <c r="K448" t="n">
        <v>0</v>
      </c>
      <c r="L448" t="n">
        <v>0</v>
      </c>
      <c r="M448" t="n">
        <v>0</v>
      </c>
      <c r="N448" t="n">
        <v>0</v>
      </c>
      <c r="O448" t="n">
        <v>0</v>
      </c>
      <c r="P448" t="n">
        <v>0</v>
      </c>
      <c r="Q448" t="n">
        <v>0</v>
      </c>
      <c r="R448" s="2" t="inlineStr"/>
    </row>
    <row r="449" ht="15" customHeight="1">
      <c r="A449" t="inlineStr">
        <is>
          <t>A 46118-2025</t>
        </is>
      </c>
      <c r="B449" s="1" t="n">
        <v>45924.57697916667</v>
      </c>
      <c r="C449" s="1" t="n">
        <v>45928</v>
      </c>
      <c r="D449" t="inlineStr">
        <is>
          <t>KALMAR LÄN</t>
        </is>
      </c>
      <c r="E449" t="inlineStr">
        <is>
          <t>VIMMERBY</t>
        </is>
      </c>
      <c r="G449" t="n">
        <v>2.9</v>
      </c>
      <c r="H449" t="n">
        <v>0</v>
      </c>
      <c r="I449" t="n">
        <v>0</v>
      </c>
      <c r="J449" t="n">
        <v>0</v>
      </c>
      <c r="K449" t="n">
        <v>0</v>
      </c>
      <c r="L449" t="n">
        <v>0</v>
      </c>
      <c r="M449" t="n">
        <v>0</v>
      </c>
      <c r="N449" t="n">
        <v>0</v>
      </c>
      <c r="O449" t="n">
        <v>0</v>
      </c>
      <c r="P449" t="n">
        <v>0</v>
      </c>
      <c r="Q449" t="n">
        <v>0</v>
      </c>
      <c r="R449" s="2" t="inlineStr"/>
    </row>
    <row r="450" ht="15" customHeight="1">
      <c r="A450" t="inlineStr">
        <is>
          <t>A 49488-2023</t>
        </is>
      </c>
      <c r="B450" s="1" t="n">
        <v>45211.55472222222</v>
      </c>
      <c r="C450" s="1" t="n">
        <v>45928</v>
      </c>
      <c r="D450" t="inlineStr">
        <is>
          <t>KALMAR LÄN</t>
        </is>
      </c>
      <c r="E450" t="inlineStr">
        <is>
          <t>VIMMERBY</t>
        </is>
      </c>
      <c r="F450" t="inlineStr">
        <is>
          <t>Sveaskog</t>
        </is>
      </c>
      <c r="G450" t="n">
        <v>6.2</v>
      </c>
      <c r="H450" t="n">
        <v>0</v>
      </c>
      <c r="I450" t="n">
        <v>0</v>
      </c>
      <c r="J450" t="n">
        <v>0</v>
      </c>
      <c r="K450" t="n">
        <v>0</v>
      </c>
      <c r="L450" t="n">
        <v>0</v>
      </c>
      <c r="M450" t="n">
        <v>0</v>
      </c>
      <c r="N450" t="n">
        <v>0</v>
      </c>
      <c r="O450" t="n">
        <v>0</v>
      </c>
      <c r="P450" t="n">
        <v>0</v>
      </c>
      <c r="Q450" t="n">
        <v>0</v>
      </c>
      <c r="R450" s="2" t="inlineStr"/>
    </row>
    <row r="451" ht="15" customHeight="1">
      <c r="A451" t="inlineStr">
        <is>
          <t>A 59768-2024</t>
        </is>
      </c>
      <c r="B451" s="1" t="n">
        <v>45639.56185185185</v>
      </c>
      <c r="C451" s="1" t="n">
        <v>45928</v>
      </c>
      <c r="D451" t="inlineStr">
        <is>
          <t>KALMAR LÄN</t>
        </is>
      </c>
      <c r="E451" t="inlineStr">
        <is>
          <t>VIMMERBY</t>
        </is>
      </c>
      <c r="G451" t="n">
        <v>5.9</v>
      </c>
      <c r="H451" t="n">
        <v>0</v>
      </c>
      <c r="I451" t="n">
        <v>0</v>
      </c>
      <c r="J451" t="n">
        <v>0</v>
      </c>
      <c r="K451" t="n">
        <v>0</v>
      </c>
      <c r="L451" t="n">
        <v>0</v>
      </c>
      <c r="M451" t="n">
        <v>0</v>
      </c>
      <c r="N451" t="n">
        <v>0</v>
      </c>
      <c r="O451" t="n">
        <v>0</v>
      </c>
      <c r="P451" t="n">
        <v>0</v>
      </c>
      <c r="Q451" t="n">
        <v>0</v>
      </c>
      <c r="R451" s="2" t="inlineStr"/>
    </row>
    <row r="452" ht="15" customHeight="1">
      <c r="A452" t="inlineStr">
        <is>
          <t>A 37866-2025</t>
        </is>
      </c>
      <c r="B452" s="1" t="n">
        <v>45881</v>
      </c>
      <c r="C452" s="1" t="n">
        <v>45928</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72067-2021</t>
        </is>
      </c>
      <c r="B453" s="1" t="n">
        <v>44540</v>
      </c>
      <c r="C453" s="1" t="n">
        <v>45928</v>
      </c>
      <c r="D453" t="inlineStr">
        <is>
          <t>KALMAR LÄN</t>
        </is>
      </c>
      <c r="E453" t="inlineStr">
        <is>
          <t>VIMMERBY</t>
        </is>
      </c>
      <c r="G453" t="n">
        <v>1.6</v>
      </c>
      <c r="H453" t="n">
        <v>0</v>
      </c>
      <c r="I453" t="n">
        <v>0</v>
      </c>
      <c r="J453" t="n">
        <v>0</v>
      </c>
      <c r="K453" t="n">
        <v>0</v>
      </c>
      <c r="L453" t="n">
        <v>0</v>
      </c>
      <c r="M453" t="n">
        <v>0</v>
      </c>
      <c r="N453" t="n">
        <v>0</v>
      </c>
      <c r="O453" t="n">
        <v>0</v>
      </c>
      <c r="P453" t="n">
        <v>0</v>
      </c>
      <c r="Q453" t="n">
        <v>0</v>
      </c>
      <c r="R453" s="2" t="inlineStr"/>
    </row>
    <row r="454" ht="15" customHeight="1">
      <c r="A454" t="inlineStr">
        <is>
          <t>A 41158-2023</t>
        </is>
      </c>
      <c r="B454" s="1" t="n">
        <v>45174.31395833333</v>
      </c>
      <c r="C454" s="1" t="n">
        <v>45928</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1146-2025</t>
        </is>
      </c>
      <c r="B455" s="1" t="n">
        <v>45666</v>
      </c>
      <c r="C455" s="1" t="n">
        <v>45928</v>
      </c>
      <c r="D455" t="inlineStr">
        <is>
          <t>KALMAR LÄN</t>
        </is>
      </c>
      <c r="E455" t="inlineStr">
        <is>
          <t>VIMMERBY</t>
        </is>
      </c>
      <c r="G455" t="n">
        <v>4</v>
      </c>
      <c r="H455" t="n">
        <v>0</v>
      </c>
      <c r="I455" t="n">
        <v>0</v>
      </c>
      <c r="J455" t="n">
        <v>0</v>
      </c>
      <c r="K455" t="n">
        <v>0</v>
      </c>
      <c r="L455" t="n">
        <v>0</v>
      </c>
      <c r="M455" t="n">
        <v>0</v>
      </c>
      <c r="N455" t="n">
        <v>0</v>
      </c>
      <c r="O455" t="n">
        <v>0</v>
      </c>
      <c r="P455" t="n">
        <v>0</v>
      </c>
      <c r="Q455" t="n">
        <v>0</v>
      </c>
      <c r="R455" s="2" t="inlineStr"/>
    </row>
    <row r="456" ht="15" customHeight="1">
      <c r="A456" t="inlineStr">
        <is>
          <t>A 37939-2025</t>
        </is>
      </c>
      <c r="B456" s="1" t="n">
        <v>45881.59877314815</v>
      </c>
      <c r="C456" s="1" t="n">
        <v>45928</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22198-2024</t>
        </is>
      </c>
      <c r="B457" s="1" t="n">
        <v>45446.36865740741</v>
      </c>
      <c r="C457" s="1" t="n">
        <v>45928</v>
      </c>
      <c r="D457" t="inlineStr">
        <is>
          <t>KALMAR LÄN</t>
        </is>
      </c>
      <c r="E457" t="inlineStr">
        <is>
          <t>VIMMERBY</t>
        </is>
      </c>
      <c r="F457" t="inlineStr">
        <is>
          <t>Sveaskog</t>
        </is>
      </c>
      <c r="G457" t="n">
        <v>2.3</v>
      </c>
      <c r="H457" t="n">
        <v>0</v>
      </c>
      <c r="I457" t="n">
        <v>0</v>
      </c>
      <c r="J457" t="n">
        <v>0</v>
      </c>
      <c r="K457" t="n">
        <v>0</v>
      </c>
      <c r="L457" t="n">
        <v>0</v>
      </c>
      <c r="M457" t="n">
        <v>0</v>
      </c>
      <c r="N457" t="n">
        <v>0</v>
      </c>
      <c r="O457" t="n">
        <v>0</v>
      </c>
      <c r="P457" t="n">
        <v>0</v>
      </c>
      <c r="Q457" t="n">
        <v>0</v>
      </c>
      <c r="R457" s="2" t="inlineStr"/>
    </row>
    <row r="458" ht="15" customHeight="1">
      <c r="A458" t="inlineStr">
        <is>
          <t>A 9511-2023</t>
        </is>
      </c>
      <c r="B458" s="1" t="n">
        <v>44981.64725694444</v>
      </c>
      <c r="C458" s="1" t="n">
        <v>45928</v>
      </c>
      <c r="D458" t="inlineStr">
        <is>
          <t>KALMAR LÄN</t>
        </is>
      </c>
      <c r="E458" t="inlineStr">
        <is>
          <t>VIMMERBY</t>
        </is>
      </c>
      <c r="G458" t="n">
        <v>3.5</v>
      </c>
      <c r="H458" t="n">
        <v>0</v>
      </c>
      <c r="I458" t="n">
        <v>0</v>
      </c>
      <c r="J458" t="n">
        <v>0</v>
      </c>
      <c r="K458" t="n">
        <v>0</v>
      </c>
      <c r="L458" t="n">
        <v>0</v>
      </c>
      <c r="M458" t="n">
        <v>0</v>
      </c>
      <c r="N458" t="n">
        <v>0</v>
      </c>
      <c r="O458" t="n">
        <v>0</v>
      </c>
      <c r="P458" t="n">
        <v>0</v>
      </c>
      <c r="Q458" t="n">
        <v>0</v>
      </c>
      <c r="R458" s="2" t="inlineStr"/>
    </row>
    <row r="459" ht="15" customHeight="1">
      <c r="A459" t="inlineStr">
        <is>
          <t>A 53752-2024</t>
        </is>
      </c>
      <c r="B459" s="1" t="n">
        <v>45615.48927083334</v>
      </c>
      <c r="C459" s="1" t="n">
        <v>45928</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12890-2023</t>
        </is>
      </c>
      <c r="B460" s="1" t="n">
        <v>45001.59209490741</v>
      </c>
      <c r="C460" s="1" t="n">
        <v>45928</v>
      </c>
      <c r="D460" t="inlineStr">
        <is>
          <t>KALMAR LÄN</t>
        </is>
      </c>
      <c r="E460" t="inlineStr">
        <is>
          <t>VIMMERBY</t>
        </is>
      </c>
      <c r="G460" t="n">
        <v>2.8</v>
      </c>
      <c r="H460" t="n">
        <v>0</v>
      </c>
      <c r="I460" t="n">
        <v>0</v>
      </c>
      <c r="J460" t="n">
        <v>0</v>
      </c>
      <c r="K460" t="n">
        <v>0</v>
      </c>
      <c r="L460" t="n">
        <v>0</v>
      </c>
      <c r="M460" t="n">
        <v>0</v>
      </c>
      <c r="N460" t="n">
        <v>0</v>
      </c>
      <c r="O460" t="n">
        <v>0</v>
      </c>
      <c r="P460" t="n">
        <v>0</v>
      </c>
      <c r="Q460" t="n">
        <v>0</v>
      </c>
      <c r="R460" s="2" t="inlineStr"/>
    </row>
    <row r="461" ht="15" customHeight="1">
      <c r="A461" t="inlineStr">
        <is>
          <t>A 3902-2022</t>
        </is>
      </c>
      <c r="B461" s="1" t="n">
        <v>44587.48847222222</v>
      </c>
      <c r="C461" s="1" t="n">
        <v>45928</v>
      </c>
      <c r="D461" t="inlineStr">
        <is>
          <t>KALMAR LÄN</t>
        </is>
      </c>
      <c r="E461" t="inlineStr">
        <is>
          <t>VIMMERBY</t>
        </is>
      </c>
      <c r="G461" t="n">
        <v>2.6</v>
      </c>
      <c r="H461" t="n">
        <v>0</v>
      </c>
      <c r="I461" t="n">
        <v>0</v>
      </c>
      <c r="J461" t="n">
        <v>0</v>
      </c>
      <c r="K461" t="n">
        <v>0</v>
      </c>
      <c r="L461" t="n">
        <v>0</v>
      </c>
      <c r="M461" t="n">
        <v>0</v>
      </c>
      <c r="N461" t="n">
        <v>0</v>
      </c>
      <c r="O461" t="n">
        <v>0</v>
      </c>
      <c r="P461" t="n">
        <v>0</v>
      </c>
      <c r="Q461" t="n">
        <v>0</v>
      </c>
      <c r="R461" s="2" t="inlineStr"/>
    </row>
    <row r="462" ht="15" customHeight="1">
      <c r="A462" t="inlineStr">
        <is>
          <t>A 89-2023</t>
        </is>
      </c>
      <c r="B462" s="1" t="n">
        <v>44918</v>
      </c>
      <c r="C462" s="1" t="n">
        <v>45928</v>
      </c>
      <c r="D462" t="inlineStr">
        <is>
          <t>KALMAR LÄN</t>
        </is>
      </c>
      <c r="E462" t="inlineStr">
        <is>
          <t>VIMMERBY</t>
        </is>
      </c>
      <c r="G462" t="n">
        <v>16.1</v>
      </c>
      <c r="H462" t="n">
        <v>0</v>
      </c>
      <c r="I462" t="n">
        <v>0</v>
      </c>
      <c r="J462" t="n">
        <v>0</v>
      </c>
      <c r="K462" t="n">
        <v>0</v>
      </c>
      <c r="L462" t="n">
        <v>0</v>
      </c>
      <c r="M462" t="n">
        <v>0</v>
      </c>
      <c r="N462" t="n">
        <v>0</v>
      </c>
      <c r="O462" t="n">
        <v>0</v>
      </c>
      <c r="P462" t="n">
        <v>0</v>
      </c>
      <c r="Q462" t="n">
        <v>0</v>
      </c>
      <c r="R462" s="2" t="inlineStr"/>
    </row>
    <row r="463" ht="15" customHeight="1">
      <c r="A463" t="inlineStr">
        <is>
          <t>A 5382-2023</t>
        </is>
      </c>
      <c r="B463" s="1" t="n">
        <v>44959.66407407408</v>
      </c>
      <c r="C463" s="1" t="n">
        <v>45928</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6668-2023</t>
        </is>
      </c>
      <c r="B464" s="1" t="n">
        <v>44966</v>
      </c>
      <c r="C464" s="1" t="n">
        <v>45928</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172-2022</t>
        </is>
      </c>
      <c r="B465" s="1" t="n">
        <v>44564.62598379629</v>
      </c>
      <c r="C465" s="1" t="n">
        <v>45928</v>
      </c>
      <c r="D465" t="inlineStr">
        <is>
          <t>KALMAR LÄN</t>
        </is>
      </c>
      <c r="E465" t="inlineStr">
        <is>
          <t>VIMMERBY</t>
        </is>
      </c>
      <c r="G465" t="n">
        <v>2.1</v>
      </c>
      <c r="H465" t="n">
        <v>0</v>
      </c>
      <c r="I465" t="n">
        <v>0</v>
      </c>
      <c r="J465" t="n">
        <v>0</v>
      </c>
      <c r="K465" t="n">
        <v>0</v>
      </c>
      <c r="L465" t="n">
        <v>0</v>
      </c>
      <c r="M465" t="n">
        <v>0</v>
      </c>
      <c r="N465" t="n">
        <v>0</v>
      </c>
      <c r="O465" t="n">
        <v>0</v>
      </c>
      <c r="P465" t="n">
        <v>0</v>
      </c>
      <c r="Q465" t="n">
        <v>0</v>
      </c>
      <c r="R465" s="2" t="inlineStr"/>
    </row>
    <row r="466" ht="15" customHeight="1">
      <c r="A466" t="inlineStr">
        <is>
          <t>A 34205-2023</t>
        </is>
      </c>
      <c r="B466" s="1" t="n">
        <v>45138</v>
      </c>
      <c r="C466" s="1" t="n">
        <v>45928</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58728-2024</t>
        </is>
      </c>
      <c r="B467" s="1" t="n">
        <v>45635.66695601852</v>
      </c>
      <c r="C467" s="1" t="n">
        <v>45928</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30634-2024</t>
        </is>
      </c>
      <c r="B468" s="1" t="n">
        <v>45495</v>
      </c>
      <c r="C468" s="1" t="n">
        <v>45928</v>
      </c>
      <c r="D468" t="inlineStr">
        <is>
          <t>KALMAR LÄN</t>
        </is>
      </c>
      <c r="E468" t="inlineStr">
        <is>
          <t>VIMMERBY</t>
        </is>
      </c>
      <c r="G468" t="n">
        <v>1.2</v>
      </c>
      <c r="H468" t="n">
        <v>0</v>
      </c>
      <c r="I468" t="n">
        <v>0</v>
      </c>
      <c r="J468" t="n">
        <v>0</v>
      </c>
      <c r="K468" t="n">
        <v>0</v>
      </c>
      <c r="L468" t="n">
        <v>0</v>
      </c>
      <c r="M468" t="n">
        <v>0</v>
      </c>
      <c r="N468" t="n">
        <v>0</v>
      </c>
      <c r="O468" t="n">
        <v>0</v>
      </c>
      <c r="P468" t="n">
        <v>0</v>
      </c>
      <c r="Q468" t="n">
        <v>0</v>
      </c>
      <c r="R468" s="2" t="inlineStr"/>
    </row>
    <row r="469" ht="15" customHeight="1">
      <c r="A469" t="inlineStr">
        <is>
          <t>A 6355-2022</t>
        </is>
      </c>
      <c r="B469" s="1" t="n">
        <v>44600</v>
      </c>
      <c r="C469" s="1" t="n">
        <v>45928</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43242-2024</t>
        </is>
      </c>
      <c r="B470" s="1" t="n">
        <v>45568.30189814815</v>
      </c>
      <c r="C470" s="1" t="n">
        <v>45928</v>
      </c>
      <c r="D470" t="inlineStr">
        <is>
          <t>KALMAR LÄN</t>
        </is>
      </c>
      <c r="E470" t="inlineStr">
        <is>
          <t>VIMMERBY</t>
        </is>
      </c>
      <c r="G470" t="n">
        <v>2.6</v>
      </c>
      <c r="H470" t="n">
        <v>0</v>
      </c>
      <c r="I470" t="n">
        <v>0</v>
      </c>
      <c r="J470" t="n">
        <v>0</v>
      </c>
      <c r="K470" t="n">
        <v>0</v>
      </c>
      <c r="L470" t="n">
        <v>0</v>
      </c>
      <c r="M470" t="n">
        <v>0</v>
      </c>
      <c r="N470" t="n">
        <v>0</v>
      </c>
      <c r="O470" t="n">
        <v>0</v>
      </c>
      <c r="P470" t="n">
        <v>0</v>
      </c>
      <c r="Q470" t="n">
        <v>0</v>
      </c>
      <c r="R470" s="2" t="inlineStr"/>
    </row>
    <row r="471" ht="15" customHeight="1">
      <c r="A471" t="inlineStr">
        <is>
          <t>A 16983-2023</t>
        </is>
      </c>
      <c r="B471" s="1" t="n">
        <v>45033.76043981482</v>
      </c>
      <c r="C471" s="1" t="n">
        <v>45928</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57091-2022</t>
        </is>
      </c>
      <c r="B472" s="1" t="n">
        <v>44895.46524305556</v>
      </c>
      <c r="C472" s="1" t="n">
        <v>45928</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6405-2025</t>
        </is>
      </c>
      <c r="B473" s="1" t="n">
        <v>45699.45392361111</v>
      </c>
      <c r="C473" s="1" t="n">
        <v>45928</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36843-2023</t>
        </is>
      </c>
      <c r="B474" s="1" t="n">
        <v>45154.49831018518</v>
      </c>
      <c r="C474" s="1" t="n">
        <v>45928</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16020-2023</t>
        </is>
      </c>
      <c r="B475" s="1" t="n">
        <v>45026.82216435186</v>
      </c>
      <c r="C475" s="1" t="n">
        <v>45928</v>
      </c>
      <c r="D475" t="inlineStr">
        <is>
          <t>KALMAR LÄN</t>
        </is>
      </c>
      <c r="E475" t="inlineStr">
        <is>
          <t>VIMMERBY</t>
        </is>
      </c>
      <c r="G475" t="n">
        <v>1.1</v>
      </c>
      <c r="H475" t="n">
        <v>0</v>
      </c>
      <c r="I475" t="n">
        <v>0</v>
      </c>
      <c r="J475" t="n">
        <v>0</v>
      </c>
      <c r="K475" t="n">
        <v>0</v>
      </c>
      <c r="L475" t="n">
        <v>0</v>
      </c>
      <c r="M475" t="n">
        <v>0</v>
      </c>
      <c r="N475" t="n">
        <v>0</v>
      </c>
      <c r="O475" t="n">
        <v>0</v>
      </c>
      <c r="P475" t="n">
        <v>0</v>
      </c>
      <c r="Q475" t="n">
        <v>0</v>
      </c>
      <c r="R475" s="2" t="inlineStr"/>
    </row>
    <row r="476" ht="15" customHeight="1">
      <c r="A476" t="inlineStr">
        <is>
          <t>A 2604-2025</t>
        </is>
      </c>
      <c r="B476" s="1" t="n">
        <v>45674.74094907408</v>
      </c>
      <c r="C476" s="1" t="n">
        <v>45928</v>
      </c>
      <c r="D476" t="inlineStr">
        <is>
          <t>KALMAR LÄN</t>
        </is>
      </c>
      <c r="E476" t="inlineStr">
        <is>
          <t>VIMMERBY</t>
        </is>
      </c>
      <c r="G476" t="n">
        <v>7.6</v>
      </c>
      <c r="H476" t="n">
        <v>0</v>
      </c>
      <c r="I476" t="n">
        <v>0</v>
      </c>
      <c r="J476" t="n">
        <v>0</v>
      </c>
      <c r="K476" t="n">
        <v>0</v>
      </c>
      <c r="L476" t="n">
        <v>0</v>
      </c>
      <c r="M476" t="n">
        <v>0</v>
      </c>
      <c r="N476" t="n">
        <v>0</v>
      </c>
      <c r="O476" t="n">
        <v>0</v>
      </c>
      <c r="P476" t="n">
        <v>0</v>
      </c>
      <c r="Q476" t="n">
        <v>0</v>
      </c>
      <c r="R476" s="2" t="inlineStr"/>
    </row>
    <row r="477" ht="15" customHeight="1">
      <c r="A477" t="inlineStr">
        <is>
          <t>A 6807-2025</t>
        </is>
      </c>
      <c r="B477" s="1" t="n">
        <v>45700.68672453704</v>
      </c>
      <c r="C477" s="1" t="n">
        <v>45928</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57486-2024</t>
        </is>
      </c>
      <c r="B478" s="1" t="n">
        <v>45630.35827546296</v>
      </c>
      <c r="C478" s="1" t="n">
        <v>45928</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38851-2023</t>
        </is>
      </c>
      <c r="B479" s="1" t="n">
        <v>45163</v>
      </c>
      <c r="C479" s="1" t="n">
        <v>45928</v>
      </c>
      <c r="D479" t="inlineStr">
        <is>
          <t>KALMAR LÄN</t>
        </is>
      </c>
      <c r="E479" t="inlineStr">
        <is>
          <t>VIMMERBY</t>
        </is>
      </c>
      <c r="G479" t="n">
        <v>4.3</v>
      </c>
      <c r="H479" t="n">
        <v>0</v>
      </c>
      <c r="I479" t="n">
        <v>0</v>
      </c>
      <c r="J479" t="n">
        <v>0</v>
      </c>
      <c r="K479" t="n">
        <v>0</v>
      </c>
      <c r="L479" t="n">
        <v>0</v>
      </c>
      <c r="M479" t="n">
        <v>0</v>
      </c>
      <c r="N479" t="n">
        <v>0</v>
      </c>
      <c r="O479" t="n">
        <v>0</v>
      </c>
      <c r="P479" t="n">
        <v>0</v>
      </c>
      <c r="Q479" t="n">
        <v>0</v>
      </c>
      <c r="R479" s="2" t="inlineStr"/>
    </row>
    <row r="480" ht="15" customHeight="1">
      <c r="A480" t="inlineStr">
        <is>
          <t>A 60292-2022</t>
        </is>
      </c>
      <c r="B480" s="1" t="n">
        <v>44910.54231481482</v>
      </c>
      <c r="C480" s="1" t="n">
        <v>45928</v>
      </c>
      <c r="D480" t="inlineStr">
        <is>
          <t>KALMAR LÄN</t>
        </is>
      </c>
      <c r="E480" t="inlineStr">
        <is>
          <t>VIMMERBY</t>
        </is>
      </c>
      <c r="G480" t="n">
        <v>4.4</v>
      </c>
      <c r="H480" t="n">
        <v>0</v>
      </c>
      <c r="I480" t="n">
        <v>0</v>
      </c>
      <c r="J480" t="n">
        <v>0</v>
      </c>
      <c r="K480" t="n">
        <v>0</v>
      </c>
      <c r="L480" t="n">
        <v>0</v>
      </c>
      <c r="M480" t="n">
        <v>0</v>
      </c>
      <c r="N480" t="n">
        <v>0</v>
      </c>
      <c r="O480" t="n">
        <v>0</v>
      </c>
      <c r="P480" t="n">
        <v>0</v>
      </c>
      <c r="Q480" t="n">
        <v>0</v>
      </c>
      <c r="R480" s="2" t="inlineStr"/>
    </row>
    <row r="481" ht="15" customHeight="1">
      <c r="A481" t="inlineStr">
        <is>
          <t>A 66295-2020</t>
        </is>
      </c>
      <c r="B481" s="1" t="n">
        <v>44176</v>
      </c>
      <c r="C481" s="1" t="n">
        <v>45928</v>
      </c>
      <c r="D481" t="inlineStr">
        <is>
          <t>KALMAR LÄN</t>
        </is>
      </c>
      <c r="E481" t="inlineStr">
        <is>
          <t>VIMMERBY</t>
        </is>
      </c>
      <c r="G481" t="n">
        <v>4.1</v>
      </c>
      <c r="H481" t="n">
        <v>0</v>
      </c>
      <c r="I481" t="n">
        <v>0</v>
      </c>
      <c r="J481" t="n">
        <v>0</v>
      </c>
      <c r="K481" t="n">
        <v>0</v>
      </c>
      <c r="L481" t="n">
        <v>0</v>
      </c>
      <c r="M481" t="n">
        <v>0</v>
      </c>
      <c r="N481" t="n">
        <v>0</v>
      </c>
      <c r="O481" t="n">
        <v>0</v>
      </c>
      <c r="P481" t="n">
        <v>0</v>
      </c>
      <c r="Q481" t="n">
        <v>0</v>
      </c>
      <c r="R481" s="2" t="inlineStr"/>
    </row>
    <row r="482" ht="15" customHeight="1">
      <c r="A482" t="inlineStr">
        <is>
          <t>A 43034-2024</t>
        </is>
      </c>
      <c r="B482" s="1" t="n">
        <v>45567.42011574074</v>
      </c>
      <c r="C482" s="1" t="n">
        <v>45928</v>
      </c>
      <c r="D482" t="inlineStr">
        <is>
          <t>KALMAR LÄN</t>
        </is>
      </c>
      <c r="E482" t="inlineStr">
        <is>
          <t>VIMMERBY</t>
        </is>
      </c>
      <c r="G482" t="n">
        <v>1.8</v>
      </c>
      <c r="H482" t="n">
        <v>0</v>
      </c>
      <c r="I482" t="n">
        <v>0</v>
      </c>
      <c r="J482" t="n">
        <v>0</v>
      </c>
      <c r="K482" t="n">
        <v>0</v>
      </c>
      <c r="L482" t="n">
        <v>0</v>
      </c>
      <c r="M482" t="n">
        <v>0</v>
      </c>
      <c r="N482" t="n">
        <v>0</v>
      </c>
      <c r="O482" t="n">
        <v>0</v>
      </c>
      <c r="P482" t="n">
        <v>0</v>
      </c>
      <c r="Q482" t="n">
        <v>0</v>
      </c>
      <c r="R482" s="2" t="inlineStr"/>
    </row>
    <row r="483" ht="15" customHeight="1">
      <c r="A483" t="inlineStr">
        <is>
          <t>A 40256-2024</t>
        </is>
      </c>
      <c r="B483" s="1" t="n">
        <v>45554.62944444444</v>
      </c>
      <c r="C483" s="1" t="n">
        <v>45928</v>
      </c>
      <c r="D483" t="inlineStr">
        <is>
          <t>KALMAR LÄN</t>
        </is>
      </c>
      <c r="E483" t="inlineStr">
        <is>
          <t>VIMMERBY</t>
        </is>
      </c>
      <c r="G483" t="n">
        <v>0.9</v>
      </c>
      <c r="H483" t="n">
        <v>0</v>
      </c>
      <c r="I483" t="n">
        <v>0</v>
      </c>
      <c r="J483" t="n">
        <v>0</v>
      </c>
      <c r="K483" t="n">
        <v>0</v>
      </c>
      <c r="L483" t="n">
        <v>0</v>
      </c>
      <c r="M483" t="n">
        <v>0</v>
      </c>
      <c r="N483" t="n">
        <v>0</v>
      </c>
      <c r="O483" t="n">
        <v>0</v>
      </c>
      <c r="P483" t="n">
        <v>0</v>
      </c>
      <c r="Q483" t="n">
        <v>0</v>
      </c>
      <c r="R483" s="2" t="inlineStr"/>
    </row>
    <row r="484" ht="15" customHeight="1">
      <c r="A484" t="inlineStr">
        <is>
          <t>A 23252-2024</t>
        </is>
      </c>
      <c r="B484" s="1" t="n">
        <v>45453.36067129629</v>
      </c>
      <c r="C484" s="1" t="n">
        <v>45928</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5792-2023</t>
        </is>
      </c>
      <c r="B485" s="1" t="n">
        <v>44963.44769675926</v>
      </c>
      <c r="C485" s="1" t="n">
        <v>45928</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2797-2023</t>
        </is>
      </c>
      <c r="B486" s="1" t="n">
        <v>44944.71386574074</v>
      </c>
      <c r="C486" s="1" t="n">
        <v>45928</v>
      </c>
      <c r="D486" t="inlineStr">
        <is>
          <t>KALMAR LÄN</t>
        </is>
      </c>
      <c r="E486" t="inlineStr">
        <is>
          <t>VIMMERBY</t>
        </is>
      </c>
      <c r="G486" t="n">
        <v>3.4</v>
      </c>
      <c r="H486" t="n">
        <v>0</v>
      </c>
      <c r="I486" t="n">
        <v>0</v>
      </c>
      <c r="J486" t="n">
        <v>0</v>
      </c>
      <c r="K486" t="n">
        <v>0</v>
      </c>
      <c r="L486" t="n">
        <v>0</v>
      </c>
      <c r="M486" t="n">
        <v>0</v>
      </c>
      <c r="N486" t="n">
        <v>0</v>
      </c>
      <c r="O486" t="n">
        <v>0</v>
      </c>
      <c r="P486" t="n">
        <v>0</v>
      </c>
      <c r="Q486" t="n">
        <v>0</v>
      </c>
      <c r="R486" s="2" t="inlineStr"/>
    </row>
    <row r="487" ht="15" customHeight="1">
      <c r="A487" t="inlineStr">
        <is>
          <t>A 2799-2023</t>
        </is>
      </c>
      <c r="B487" s="1" t="n">
        <v>44944.72100694444</v>
      </c>
      <c r="C487" s="1" t="n">
        <v>45928</v>
      </c>
      <c r="D487" t="inlineStr">
        <is>
          <t>KALMAR LÄN</t>
        </is>
      </c>
      <c r="E487" t="inlineStr">
        <is>
          <t>VIMMERBY</t>
        </is>
      </c>
      <c r="G487" t="n">
        <v>1.3</v>
      </c>
      <c r="H487" t="n">
        <v>0</v>
      </c>
      <c r="I487" t="n">
        <v>0</v>
      </c>
      <c r="J487" t="n">
        <v>0</v>
      </c>
      <c r="K487" t="n">
        <v>0</v>
      </c>
      <c r="L487" t="n">
        <v>0</v>
      </c>
      <c r="M487" t="n">
        <v>0</v>
      </c>
      <c r="N487" t="n">
        <v>0</v>
      </c>
      <c r="O487" t="n">
        <v>0</v>
      </c>
      <c r="P487" t="n">
        <v>0</v>
      </c>
      <c r="Q487" t="n">
        <v>0</v>
      </c>
      <c r="R487" s="2" t="inlineStr"/>
    </row>
    <row r="488" ht="15" customHeight="1">
      <c r="A488" t="inlineStr">
        <is>
          <t>A 6220-2025</t>
        </is>
      </c>
      <c r="B488" s="1" t="n">
        <v>45698.53725694444</v>
      </c>
      <c r="C488" s="1" t="n">
        <v>45928</v>
      </c>
      <c r="D488" t="inlineStr">
        <is>
          <t>KALMAR LÄN</t>
        </is>
      </c>
      <c r="E488" t="inlineStr">
        <is>
          <t>VIMMERBY</t>
        </is>
      </c>
      <c r="G488" t="n">
        <v>0.6</v>
      </c>
      <c r="H488" t="n">
        <v>0</v>
      </c>
      <c r="I488" t="n">
        <v>0</v>
      </c>
      <c r="J488" t="n">
        <v>0</v>
      </c>
      <c r="K488" t="n">
        <v>0</v>
      </c>
      <c r="L488" t="n">
        <v>0</v>
      </c>
      <c r="M488" t="n">
        <v>0</v>
      </c>
      <c r="N488" t="n">
        <v>0</v>
      </c>
      <c r="O488" t="n">
        <v>0</v>
      </c>
      <c r="P488" t="n">
        <v>0</v>
      </c>
      <c r="Q488" t="n">
        <v>0</v>
      </c>
      <c r="R488" s="2" t="inlineStr"/>
    </row>
    <row r="489" ht="15" customHeight="1">
      <c r="A489" t="inlineStr">
        <is>
          <t>A 44423-2023</t>
        </is>
      </c>
      <c r="B489" s="1" t="n">
        <v>45189</v>
      </c>
      <c r="C489" s="1" t="n">
        <v>45928</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20-2025</t>
        </is>
      </c>
      <c r="B490" s="1" t="n">
        <v>45658.80232638889</v>
      </c>
      <c r="C490" s="1" t="n">
        <v>45928</v>
      </c>
      <c r="D490" t="inlineStr">
        <is>
          <t>KALMAR LÄN</t>
        </is>
      </c>
      <c r="E490" t="inlineStr">
        <is>
          <t>VIMMERBY</t>
        </is>
      </c>
      <c r="G490" t="n">
        <v>1.3</v>
      </c>
      <c r="H490" t="n">
        <v>0</v>
      </c>
      <c r="I490" t="n">
        <v>0</v>
      </c>
      <c r="J490" t="n">
        <v>0</v>
      </c>
      <c r="K490" t="n">
        <v>0</v>
      </c>
      <c r="L490" t="n">
        <v>0</v>
      </c>
      <c r="M490" t="n">
        <v>0</v>
      </c>
      <c r="N490" t="n">
        <v>0</v>
      </c>
      <c r="O490" t="n">
        <v>0</v>
      </c>
      <c r="P490" t="n">
        <v>0</v>
      </c>
      <c r="Q490" t="n">
        <v>0</v>
      </c>
      <c r="R490" s="2" t="inlineStr"/>
    </row>
    <row r="491" ht="15" customHeight="1">
      <c r="A491" t="inlineStr">
        <is>
          <t>A 23-2025</t>
        </is>
      </c>
      <c r="B491" s="1" t="n">
        <v>45658.80827546296</v>
      </c>
      <c r="C491" s="1" t="n">
        <v>45928</v>
      </c>
      <c r="D491" t="inlineStr">
        <is>
          <t>KALMAR LÄN</t>
        </is>
      </c>
      <c r="E491" t="inlineStr">
        <is>
          <t>VIMMERBY</t>
        </is>
      </c>
      <c r="G491" t="n">
        <v>1.8</v>
      </c>
      <c r="H491" t="n">
        <v>0</v>
      </c>
      <c r="I491" t="n">
        <v>0</v>
      </c>
      <c r="J491" t="n">
        <v>0</v>
      </c>
      <c r="K491" t="n">
        <v>0</v>
      </c>
      <c r="L491" t="n">
        <v>0</v>
      </c>
      <c r="M491" t="n">
        <v>0</v>
      </c>
      <c r="N491" t="n">
        <v>0</v>
      </c>
      <c r="O491" t="n">
        <v>0</v>
      </c>
      <c r="P491" t="n">
        <v>0</v>
      </c>
      <c r="Q491" t="n">
        <v>0</v>
      </c>
      <c r="R491" s="2" t="inlineStr"/>
    </row>
    <row r="492" ht="15" customHeight="1">
      <c r="A492" t="inlineStr">
        <is>
          <t>A 21496-2023</t>
        </is>
      </c>
      <c r="B492" s="1" t="n">
        <v>45063.49936342592</v>
      </c>
      <c r="C492" s="1" t="n">
        <v>45928</v>
      </c>
      <c r="D492" t="inlineStr">
        <is>
          <t>KALMAR LÄN</t>
        </is>
      </c>
      <c r="E492" t="inlineStr">
        <is>
          <t>VIMMERBY</t>
        </is>
      </c>
      <c r="G492" t="n">
        <v>1.1</v>
      </c>
      <c r="H492" t="n">
        <v>0</v>
      </c>
      <c r="I492" t="n">
        <v>0</v>
      </c>
      <c r="J492" t="n">
        <v>0</v>
      </c>
      <c r="K492" t="n">
        <v>0</v>
      </c>
      <c r="L492" t="n">
        <v>0</v>
      </c>
      <c r="M492" t="n">
        <v>0</v>
      </c>
      <c r="N492" t="n">
        <v>0</v>
      </c>
      <c r="O492" t="n">
        <v>0</v>
      </c>
      <c r="P492" t="n">
        <v>0</v>
      </c>
      <c r="Q492" t="n">
        <v>0</v>
      </c>
      <c r="R492" s="2" t="inlineStr"/>
    </row>
    <row r="493" ht="15" customHeight="1">
      <c r="A493" t="inlineStr">
        <is>
          <t>A 31056-2022</t>
        </is>
      </c>
      <c r="B493" s="1" t="n">
        <v>44769.45805555556</v>
      </c>
      <c r="C493" s="1" t="n">
        <v>45928</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58278-2023</t>
        </is>
      </c>
      <c r="B494" s="1" t="n">
        <v>45250.5278587963</v>
      </c>
      <c r="C494" s="1" t="n">
        <v>45928</v>
      </c>
      <c r="D494" t="inlineStr">
        <is>
          <t>KALMAR LÄN</t>
        </is>
      </c>
      <c r="E494" t="inlineStr">
        <is>
          <t>VIMMERBY</t>
        </is>
      </c>
      <c r="G494" t="n">
        <v>1.8</v>
      </c>
      <c r="H494" t="n">
        <v>0</v>
      </c>
      <c r="I494" t="n">
        <v>0</v>
      </c>
      <c r="J494" t="n">
        <v>0</v>
      </c>
      <c r="K494" t="n">
        <v>0</v>
      </c>
      <c r="L494" t="n">
        <v>0</v>
      </c>
      <c r="M494" t="n">
        <v>0</v>
      </c>
      <c r="N494" t="n">
        <v>0</v>
      </c>
      <c r="O494" t="n">
        <v>0</v>
      </c>
      <c r="P494" t="n">
        <v>0</v>
      </c>
      <c r="Q494" t="n">
        <v>0</v>
      </c>
      <c r="R494" s="2" t="inlineStr"/>
    </row>
    <row r="495" ht="15" customHeight="1">
      <c r="A495" t="inlineStr">
        <is>
          <t>A 36259-2022</t>
        </is>
      </c>
      <c r="B495" s="1" t="n">
        <v>44803.59118055556</v>
      </c>
      <c r="C495" s="1" t="n">
        <v>45928</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36526-2023</t>
        </is>
      </c>
      <c r="B496" s="1" t="n">
        <v>45153.32778935185</v>
      </c>
      <c r="C496" s="1" t="n">
        <v>45928</v>
      </c>
      <c r="D496" t="inlineStr">
        <is>
          <t>KALMAR LÄN</t>
        </is>
      </c>
      <c r="E496" t="inlineStr">
        <is>
          <t>VIMMERBY</t>
        </is>
      </c>
      <c r="G496" t="n">
        <v>2.7</v>
      </c>
      <c r="H496" t="n">
        <v>0</v>
      </c>
      <c r="I496" t="n">
        <v>0</v>
      </c>
      <c r="J496" t="n">
        <v>0</v>
      </c>
      <c r="K496" t="n">
        <v>0</v>
      </c>
      <c r="L496" t="n">
        <v>0</v>
      </c>
      <c r="M496" t="n">
        <v>0</v>
      </c>
      <c r="N496" t="n">
        <v>0</v>
      </c>
      <c r="O496" t="n">
        <v>0</v>
      </c>
      <c r="P496" t="n">
        <v>0</v>
      </c>
      <c r="Q496" t="n">
        <v>0</v>
      </c>
      <c r="R496" s="2" t="inlineStr"/>
    </row>
    <row r="497" ht="15" customHeight="1">
      <c r="A497" t="inlineStr">
        <is>
          <t>A 17988-2025</t>
        </is>
      </c>
      <c r="B497" s="1" t="n">
        <v>45761.39600694444</v>
      </c>
      <c r="C497" s="1" t="n">
        <v>45928</v>
      </c>
      <c r="D497" t="inlineStr">
        <is>
          <t>KALMAR LÄN</t>
        </is>
      </c>
      <c r="E497" t="inlineStr">
        <is>
          <t>VIMMERBY</t>
        </is>
      </c>
      <c r="G497" t="n">
        <v>2.8</v>
      </c>
      <c r="H497" t="n">
        <v>0</v>
      </c>
      <c r="I497" t="n">
        <v>0</v>
      </c>
      <c r="J497" t="n">
        <v>0</v>
      </c>
      <c r="K497" t="n">
        <v>0</v>
      </c>
      <c r="L497" t="n">
        <v>0</v>
      </c>
      <c r="M497" t="n">
        <v>0</v>
      </c>
      <c r="N497" t="n">
        <v>0</v>
      </c>
      <c r="O497" t="n">
        <v>0</v>
      </c>
      <c r="P497" t="n">
        <v>0</v>
      </c>
      <c r="Q497" t="n">
        <v>0</v>
      </c>
      <c r="R497" s="2" t="inlineStr"/>
    </row>
    <row r="498" ht="15" customHeight="1">
      <c r="A498" t="inlineStr">
        <is>
          <t>A 72701-2021</t>
        </is>
      </c>
      <c r="B498" s="1" t="n">
        <v>44546</v>
      </c>
      <c r="C498" s="1" t="n">
        <v>45928</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43093-2024</t>
        </is>
      </c>
      <c r="B499" s="1" t="n">
        <v>45567</v>
      </c>
      <c r="C499" s="1" t="n">
        <v>45928</v>
      </c>
      <c r="D499" t="inlineStr">
        <is>
          <t>KALMAR LÄN</t>
        </is>
      </c>
      <c r="E499" t="inlineStr">
        <is>
          <t>VIMMERBY</t>
        </is>
      </c>
      <c r="G499" t="n">
        <v>0.7</v>
      </c>
      <c r="H499" t="n">
        <v>0</v>
      </c>
      <c r="I499" t="n">
        <v>0</v>
      </c>
      <c r="J499" t="n">
        <v>0</v>
      </c>
      <c r="K499" t="n">
        <v>0</v>
      </c>
      <c r="L499" t="n">
        <v>0</v>
      </c>
      <c r="M499" t="n">
        <v>0</v>
      </c>
      <c r="N499" t="n">
        <v>0</v>
      </c>
      <c r="O499" t="n">
        <v>0</v>
      </c>
      <c r="P499" t="n">
        <v>0</v>
      </c>
      <c r="Q499" t="n">
        <v>0</v>
      </c>
      <c r="R499" s="2" t="inlineStr"/>
    </row>
    <row r="500" ht="15" customHeight="1">
      <c r="A500" t="inlineStr">
        <is>
          <t>A 52294-2023</t>
        </is>
      </c>
      <c r="B500" s="1" t="n">
        <v>45224.60075231481</v>
      </c>
      <c r="C500" s="1" t="n">
        <v>45928</v>
      </c>
      <c r="D500" t="inlineStr">
        <is>
          <t>KALMAR LÄN</t>
        </is>
      </c>
      <c r="E500" t="inlineStr">
        <is>
          <t>VIMMERBY</t>
        </is>
      </c>
      <c r="F500" t="inlineStr">
        <is>
          <t>Sveaskog</t>
        </is>
      </c>
      <c r="G500" t="n">
        <v>2.5</v>
      </c>
      <c r="H500" t="n">
        <v>0</v>
      </c>
      <c r="I500" t="n">
        <v>0</v>
      </c>
      <c r="J500" t="n">
        <v>0</v>
      </c>
      <c r="K500" t="n">
        <v>0</v>
      </c>
      <c r="L500" t="n">
        <v>0</v>
      </c>
      <c r="M500" t="n">
        <v>0</v>
      </c>
      <c r="N500" t="n">
        <v>0</v>
      </c>
      <c r="O500" t="n">
        <v>0</v>
      </c>
      <c r="P500" t="n">
        <v>0</v>
      </c>
      <c r="Q500" t="n">
        <v>0</v>
      </c>
      <c r="R500" s="2" t="inlineStr"/>
    </row>
    <row r="501" ht="15" customHeight="1">
      <c r="A501" t="inlineStr">
        <is>
          <t>A 61355-2024</t>
        </is>
      </c>
      <c r="B501" s="1" t="n">
        <v>45646.38200231481</v>
      </c>
      <c r="C501" s="1" t="n">
        <v>45928</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29350-2023</t>
        </is>
      </c>
      <c r="B502" s="1" t="n">
        <v>45106</v>
      </c>
      <c r="C502" s="1" t="n">
        <v>45928</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29351-2023</t>
        </is>
      </c>
      <c r="B503" s="1" t="n">
        <v>45106.2610300926</v>
      </c>
      <c r="C503" s="1" t="n">
        <v>45928</v>
      </c>
      <c r="D503" t="inlineStr">
        <is>
          <t>KALMAR LÄN</t>
        </is>
      </c>
      <c r="E503" t="inlineStr">
        <is>
          <t>VIMMERBY</t>
        </is>
      </c>
      <c r="G503" t="n">
        <v>0.4</v>
      </c>
      <c r="H503" t="n">
        <v>0</v>
      </c>
      <c r="I503" t="n">
        <v>0</v>
      </c>
      <c r="J503" t="n">
        <v>0</v>
      </c>
      <c r="K503" t="n">
        <v>0</v>
      </c>
      <c r="L503" t="n">
        <v>0</v>
      </c>
      <c r="M503" t="n">
        <v>0</v>
      </c>
      <c r="N503" t="n">
        <v>0</v>
      </c>
      <c r="O503" t="n">
        <v>0</v>
      </c>
      <c r="P503" t="n">
        <v>0</v>
      </c>
      <c r="Q503" t="n">
        <v>0</v>
      </c>
      <c r="R503" s="2" t="inlineStr"/>
    </row>
    <row r="504" ht="15" customHeight="1">
      <c r="A504" t="inlineStr">
        <is>
          <t>A 6474-2025</t>
        </is>
      </c>
      <c r="B504" s="1" t="n">
        <v>45699.60055555555</v>
      </c>
      <c r="C504" s="1" t="n">
        <v>45928</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35198-2023</t>
        </is>
      </c>
      <c r="B505" s="1" t="n">
        <v>45145</v>
      </c>
      <c r="C505" s="1" t="n">
        <v>45928</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33374-2021</t>
        </is>
      </c>
      <c r="B506" s="1" t="n">
        <v>44377</v>
      </c>
      <c r="C506" s="1" t="n">
        <v>45928</v>
      </c>
      <c r="D506" t="inlineStr">
        <is>
          <t>KALMAR LÄN</t>
        </is>
      </c>
      <c r="E506" t="inlineStr">
        <is>
          <t>VIMMERBY</t>
        </is>
      </c>
      <c r="G506" t="n">
        <v>3.3</v>
      </c>
      <c r="H506" t="n">
        <v>0</v>
      </c>
      <c r="I506" t="n">
        <v>0</v>
      </c>
      <c r="J506" t="n">
        <v>0</v>
      </c>
      <c r="K506" t="n">
        <v>0</v>
      </c>
      <c r="L506" t="n">
        <v>0</v>
      </c>
      <c r="M506" t="n">
        <v>0</v>
      </c>
      <c r="N506" t="n">
        <v>0</v>
      </c>
      <c r="O506" t="n">
        <v>0</v>
      </c>
      <c r="P506" t="n">
        <v>0</v>
      </c>
      <c r="Q506" t="n">
        <v>0</v>
      </c>
      <c r="R506" s="2" t="inlineStr"/>
    </row>
    <row r="507" ht="15" customHeight="1">
      <c r="A507" t="inlineStr">
        <is>
          <t>A 10759-2023</t>
        </is>
      </c>
      <c r="B507" s="1" t="n">
        <v>44988</v>
      </c>
      <c r="C507" s="1" t="n">
        <v>45928</v>
      </c>
      <c r="D507" t="inlineStr">
        <is>
          <t>KALMAR LÄN</t>
        </is>
      </c>
      <c r="E507" t="inlineStr">
        <is>
          <t>VIMMERBY</t>
        </is>
      </c>
      <c r="G507" t="n">
        <v>0.4</v>
      </c>
      <c r="H507" t="n">
        <v>0</v>
      </c>
      <c r="I507" t="n">
        <v>0</v>
      </c>
      <c r="J507" t="n">
        <v>0</v>
      </c>
      <c r="K507" t="n">
        <v>0</v>
      </c>
      <c r="L507" t="n">
        <v>0</v>
      </c>
      <c r="M507" t="n">
        <v>0</v>
      </c>
      <c r="N507" t="n">
        <v>0</v>
      </c>
      <c r="O507" t="n">
        <v>0</v>
      </c>
      <c r="P507" t="n">
        <v>0</v>
      </c>
      <c r="Q507" t="n">
        <v>0</v>
      </c>
      <c r="R507" s="2" t="inlineStr"/>
    </row>
    <row r="508" ht="15" customHeight="1">
      <c r="A508" t="inlineStr">
        <is>
          <t>A 18899-2025</t>
        </is>
      </c>
      <c r="B508" s="1" t="n">
        <v>45764.44931712963</v>
      </c>
      <c r="C508" s="1" t="n">
        <v>45928</v>
      </c>
      <c r="D508" t="inlineStr">
        <is>
          <t>KALMAR LÄN</t>
        </is>
      </c>
      <c r="E508" t="inlineStr">
        <is>
          <t>VIMMERBY</t>
        </is>
      </c>
      <c r="F508" t="inlineStr">
        <is>
          <t>Kommuner</t>
        </is>
      </c>
      <c r="G508" t="n">
        <v>4</v>
      </c>
      <c r="H508" t="n">
        <v>0</v>
      </c>
      <c r="I508" t="n">
        <v>0</v>
      </c>
      <c r="J508" t="n">
        <v>0</v>
      </c>
      <c r="K508" t="n">
        <v>0</v>
      </c>
      <c r="L508" t="n">
        <v>0</v>
      </c>
      <c r="M508" t="n">
        <v>0</v>
      </c>
      <c r="N508" t="n">
        <v>0</v>
      </c>
      <c r="O508" t="n">
        <v>0</v>
      </c>
      <c r="P508" t="n">
        <v>0</v>
      </c>
      <c r="Q508" t="n">
        <v>0</v>
      </c>
      <c r="R508" s="2" t="inlineStr"/>
    </row>
    <row r="509" ht="15" customHeight="1">
      <c r="A509" t="inlineStr">
        <is>
          <t>A 17-2025</t>
        </is>
      </c>
      <c r="B509" s="1" t="n">
        <v>45658.78774305555</v>
      </c>
      <c r="C509" s="1" t="n">
        <v>45928</v>
      </c>
      <c r="D509" t="inlineStr">
        <is>
          <t>KALMAR LÄN</t>
        </is>
      </c>
      <c r="E509" t="inlineStr">
        <is>
          <t>VIMMERBY</t>
        </is>
      </c>
      <c r="G509" t="n">
        <v>4.4</v>
      </c>
      <c r="H509" t="n">
        <v>0</v>
      </c>
      <c r="I509" t="n">
        <v>0</v>
      </c>
      <c r="J509" t="n">
        <v>0</v>
      </c>
      <c r="K509" t="n">
        <v>0</v>
      </c>
      <c r="L509" t="n">
        <v>0</v>
      </c>
      <c r="M509" t="n">
        <v>0</v>
      </c>
      <c r="N509" t="n">
        <v>0</v>
      </c>
      <c r="O509" t="n">
        <v>0</v>
      </c>
      <c r="P509" t="n">
        <v>0</v>
      </c>
      <c r="Q509" t="n">
        <v>0</v>
      </c>
      <c r="R509" s="2" t="inlineStr"/>
    </row>
    <row r="510" ht="15" customHeight="1">
      <c r="A510" t="inlineStr">
        <is>
          <t>A 57555-2024</t>
        </is>
      </c>
      <c r="B510" s="1" t="n">
        <v>45630.45069444444</v>
      </c>
      <c r="C510" s="1" t="n">
        <v>45928</v>
      </c>
      <c r="D510" t="inlineStr">
        <is>
          <t>KALMAR LÄN</t>
        </is>
      </c>
      <c r="E510" t="inlineStr">
        <is>
          <t>VIMMERBY</t>
        </is>
      </c>
      <c r="G510" t="n">
        <v>1.1</v>
      </c>
      <c r="H510" t="n">
        <v>0</v>
      </c>
      <c r="I510" t="n">
        <v>0</v>
      </c>
      <c r="J510" t="n">
        <v>0</v>
      </c>
      <c r="K510" t="n">
        <v>0</v>
      </c>
      <c r="L510" t="n">
        <v>0</v>
      </c>
      <c r="M510" t="n">
        <v>0</v>
      </c>
      <c r="N510" t="n">
        <v>0</v>
      </c>
      <c r="O510" t="n">
        <v>0</v>
      </c>
      <c r="P510" t="n">
        <v>0</v>
      </c>
      <c r="Q510" t="n">
        <v>0</v>
      </c>
      <c r="R510" s="2" t="inlineStr"/>
    </row>
    <row r="511" ht="15" customHeight="1">
      <c r="A511" t="inlineStr">
        <is>
          <t>A 18411-2021</t>
        </is>
      </c>
      <c r="B511" s="1" t="n">
        <v>44302</v>
      </c>
      <c r="C511" s="1" t="n">
        <v>45928</v>
      </c>
      <c r="D511" t="inlineStr">
        <is>
          <t>KALMAR LÄN</t>
        </is>
      </c>
      <c r="E511" t="inlineStr">
        <is>
          <t>VIMMERBY</t>
        </is>
      </c>
      <c r="G511" t="n">
        <v>0.7</v>
      </c>
      <c r="H511" t="n">
        <v>0</v>
      </c>
      <c r="I511" t="n">
        <v>0</v>
      </c>
      <c r="J511" t="n">
        <v>0</v>
      </c>
      <c r="K511" t="n">
        <v>0</v>
      </c>
      <c r="L511" t="n">
        <v>0</v>
      </c>
      <c r="M511" t="n">
        <v>0</v>
      </c>
      <c r="N511" t="n">
        <v>0</v>
      </c>
      <c r="O511" t="n">
        <v>0</v>
      </c>
      <c r="P511" t="n">
        <v>0</v>
      </c>
      <c r="Q511" t="n">
        <v>0</v>
      </c>
      <c r="R511" s="2" t="inlineStr"/>
    </row>
    <row r="512" ht="15" customHeight="1">
      <c r="A512" t="inlineStr">
        <is>
          <t>A 12586-2021</t>
        </is>
      </c>
      <c r="B512" s="1" t="n">
        <v>44270.38002314815</v>
      </c>
      <c r="C512" s="1" t="n">
        <v>45928</v>
      </c>
      <c r="D512" t="inlineStr">
        <is>
          <t>KALMAR LÄN</t>
        </is>
      </c>
      <c r="E512" t="inlineStr">
        <is>
          <t>VIMMERBY</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52279-2023</t>
        </is>
      </c>
      <c r="B513" s="1" t="n">
        <v>45224</v>
      </c>
      <c r="C513" s="1" t="n">
        <v>45928</v>
      </c>
      <c r="D513" t="inlineStr">
        <is>
          <t>KALMAR LÄN</t>
        </is>
      </c>
      <c r="E513" t="inlineStr">
        <is>
          <t>VIMMERBY</t>
        </is>
      </c>
      <c r="G513" t="n">
        <v>1.8</v>
      </c>
      <c r="H513" t="n">
        <v>0</v>
      </c>
      <c r="I513" t="n">
        <v>0</v>
      </c>
      <c r="J513" t="n">
        <v>0</v>
      </c>
      <c r="K513" t="n">
        <v>0</v>
      </c>
      <c r="L513" t="n">
        <v>0</v>
      </c>
      <c r="M513" t="n">
        <v>0</v>
      </c>
      <c r="N513" t="n">
        <v>0</v>
      </c>
      <c r="O513" t="n">
        <v>0</v>
      </c>
      <c r="P513" t="n">
        <v>0</v>
      </c>
      <c r="Q513" t="n">
        <v>0</v>
      </c>
      <c r="R513" s="2" t="inlineStr"/>
    </row>
    <row r="514" ht="15" customHeight="1">
      <c r="A514" t="inlineStr">
        <is>
          <t>A 52324-2023</t>
        </is>
      </c>
      <c r="B514" s="1" t="n">
        <v>45224.64659722222</v>
      </c>
      <c r="C514" s="1" t="n">
        <v>45928</v>
      </c>
      <c r="D514" t="inlineStr">
        <is>
          <t>KALMAR LÄN</t>
        </is>
      </c>
      <c r="E514" t="inlineStr">
        <is>
          <t>VIMMERBY</t>
        </is>
      </c>
      <c r="F514" t="inlineStr">
        <is>
          <t>Sveaskog</t>
        </is>
      </c>
      <c r="G514" t="n">
        <v>2.9</v>
      </c>
      <c r="H514" t="n">
        <v>0</v>
      </c>
      <c r="I514" t="n">
        <v>0</v>
      </c>
      <c r="J514" t="n">
        <v>0</v>
      </c>
      <c r="K514" t="n">
        <v>0</v>
      </c>
      <c r="L514" t="n">
        <v>0</v>
      </c>
      <c r="M514" t="n">
        <v>0</v>
      </c>
      <c r="N514" t="n">
        <v>0</v>
      </c>
      <c r="O514" t="n">
        <v>0</v>
      </c>
      <c r="P514" t="n">
        <v>0</v>
      </c>
      <c r="Q514" t="n">
        <v>0</v>
      </c>
      <c r="R514" s="2" t="inlineStr"/>
    </row>
    <row r="515" ht="15" customHeight="1">
      <c r="A515" t="inlineStr">
        <is>
          <t>A 46361-2025</t>
        </is>
      </c>
      <c r="B515" s="1" t="n">
        <v>45925.49670138889</v>
      </c>
      <c r="C515" s="1" t="n">
        <v>45928</v>
      </c>
      <c r="D515" t="inlineStr">
        <is>
          <t>KALMAR LÄN</t>
        </is>
      </c>
      <c r="E515" t="inlineStr">
        <is>
          <t>VIMMERBY</t>
        </is>
      </c>
      <c r="G515" t="n">
        <v>4.2</v>
      </c>
      <c r="H515" t="n">
        <v>0</v>
      </c>
      <c r="I515" t="n">
        <v>0</v>
      </c>
      <c r="J515" t="n">
        <v>0</v>
      </c>
      <c r="K515" t="n">
        <v>0</v>
      </c>
      <c r="L515" t="n">
        <v>0</v>
      </c>
      <c r="M515" t="n">
        <v>0</v>
      </c>
      <c r="N515" t="n">
        <v>0</v>
      </c>
      <c r="O515" t="n">
        <v>0</v>
      </c>
      <c r="P515" t="n">
        <v>0</v>
      </c>
      <c r="Q515" t="n">
        <v>0</v>
      </c>
      <c r="R515" s="2" t="inlineStr"/>
    </row>
    <row r="516" ht="15" customHeight="1">
      <c r="A516" t="inlineStr">
        <is>
          <t>A 32614-2023</t>
        </is>
      </c>
      <c r="B516" s="1" t="n">
        <v>45121</v>
      </c>
      <c r="C516" s="1" t="n">
        <v>45928</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61939-2021</t>
        </is>
      </c>
      <c r="B517" s="1" t="n">
        <v>44502</v>
      </c>
      <c r="C517" s="1" t="n">
        <v>45928</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32639-2023</t>
        </is>
      </c>
      <c r="B518" s="1" t="n">
        <v>45121.5965162037</v>
      </c>
      <c r="C518" s="1" t="n">
        <v>45928</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32642-2023</t>
        </is>
      </c>
      <c r="B519" s="1" t="n">
        <v>45121.59954861111</v>
      </c>
      <c r="C519" s="1" t="n">
        <v>45928</v>
      </c>
      <c r="D519" t="inlineStr">
        <is>
          <t>KALMAR LÄN</t>
        </is>
      </c>
      <c r="E519" t="inlineStr">
        <is>
          <t>VIMMERBY</t>
        </is>
      </c>
      <c r="F519" t="inlineStr">
        <is>
          <t>Sveaskog</t>
        </is>
      </c>
      <c r="G519" t="n">
        <v>2.1</v>
      </c>
      <c r="H519" t="n">
        <v>0</v>
      </c>
      <c r="I519" t="n">
        <v>0</v>
      </c>
      <c r="J519" t="n">
        <v>0</v>
      </c>
      <c r="K519" t="n">
        <v>0</v>
      </c>
      <c r="L519" t="n">
        <v>0</v>
      </c>
      <c r="M519" t="n">
        <v>0</v>
      </c>
      <c r="N519" t="n">
        <v>0</v>
      </c>
      <c r="O519" t="n">
        <v>0</v>
      </c>
      <c r="P519" t="n">
        <v>0</v>
      </c>
      <c r="Q519" t="n">
        <v>0</v>
      </c>
      <c r="R519" s="2" t="inlineStr"/>
    </row>
    <row r="520" ht="15" customHeight="1">
      <c r="A520" t="inlineStr">
        <is>
          <t>A 32651-2023</t>
        </is>
      </c>
      <c r="B520" s="1" t="n">
        <v>45121.6096875</v>
      </c>
      <c r="C520" s="1" t="n">
        <v>45928</v>
      </c>
      <c r="D520" t="inlineStr">
        <is>
          <t>KALMAR LÄN</t>
        </is>
      </c>
      <c r="E520" t="inlineStr">
        <is>
          <t>VIMMERBY</t>
        </is>
      </c>
      <c r="F520" t="inlineStr">
        <is>
          <t>Sveaskog</t>
        </is>
      </c>
      <c r="G520" t="n">
        <v>1.4</v>
      </c>
      <c r="H520" t="n">
        <v>0</v>
      </c>
      <c r="I520" t="n">
        <v>0</v>
      </c>
      <c r="J520" t="n">
        <v>0</v>
      </c>
      <c r="K520" t="n">
        <v>0</v>
      </c>
      <c r="L520" t="n">
        <v>0</v>
      </c>
      <c r="M520" t="n">
        <v>0</v>
      </c>
      <c r="N520" t="n">
        <v>0</v>
      </c>
      <c r="O520" t="n">
        <v>0</v>
      </c>
      <c r="P520" t="n">
        <v>0</v>
      </c>
      <c r="Q520" t="n">
        <v>0</v>
      </c>
      <c r="R520" s="2" t="inlineStr"/>
    </row>
    <row r="521" ht="15" customHeight="1">
      <c r="A521" t="inlineStr">
        <is>
          <t>A 40730-2024</t>
        </is>
      </c>
      <c r="B521" s="1" t="n">
        <v>45558.44914351852</v>
      </c>
      <c r="C521" s="1" t="n">
        <v>45928</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9643-2023</t>
        </is>
      </c>
      <c r="B522" s="1" t="n">
        <v>44984</v>
      </c>
      <c r="C522" s="1" t="n">
        <v>45928</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56213-2024</t>
        </is>
      </c>
      <c r="B523" s="1" t="n">
        <v>45624.60141203704</v>
      </c>
      <c r="C523" s="1" t="n">
        <v>45928</v>
      </c>
      <c r="D523" t="inlineStr">
        <is>
          <t>KALMAR LÄN</t>
        </is>
      </c>
      <c r="E523" t="inlineStr">
        <is>
          <t>VIMMERBY</t>
        </is>
      </c>
      <c r="G523" t="n">
        <v>1</v>
      </c>
      <c r="H523" t="n">
        <v>0</v>
      </c>
      <c r="I523" t="n">
        <v>0</v>
      </c>
      <c r="J523" t="n">
        <v>0</v>
      </c>
      <c r="K523" t="n">
        <v>0</v>
      </c>
      <c r="L523" t="n">
        <v>0</v>
      </c>
      <c r="M523" t="n">
        <v>0</v>
      </c>
      <c r="N523" t="n">
        <v>0</v>
      </c>
      <c r="O523" t="n">
        <v>0</v>
      </c>
      <c r="P523" t="n">
        <v>0</v>
      </c>
      <c r="Q523" t="n">
        <v>0</v>
      </c>
      <c r="R523" s="2" t="inlineStr"/>
    </row>
    <row r="524" ht="15" customHeight="1">
      <c r="A524" t="inlineStr">
        <is>
          <t>A 20126-2024</t>
        </is>
      </c>
      <c r="B524" s="1" t="n">
        <v>45434.55471064815</v>
      </c>
      <c r="C524" s="1" t="n">
        <v>45928</v>
      </c>
      <c r="D524" t="inlineStr">
        <is>
          <t>KALMAR LÄN</t>
        </is>
      </c>
      <c r="E524" t="inlineStr">
        <is>
          <t>VIMMERBY</t>
        </is>
      </c>
      <c r="F524" t="inlineStr">
        <is>
          <t>Sveaskog</t>
        </is>
      </c>
      <c r="G524" t="n">
        <v>1.6</v>
      </c>
      <c r="H524" t="n">
        <v>0</v>
      </c>
      <c r="I524" t="n">
        <v>0</v>
      </c>
      <c r="J524" t="n">
        <v>0</v>
      </c>
      <c r="K524" t="n">
        <v>0</v>
      </c>
      <c r="L524" t="n">
        <v>0</v>
      </c>
      <c r="M524" t="n">
        <v>0</v>
      </c>
      <c r="N524" t="n">
        <v>0</v>
      </c>
      <c r="O524" t="n">
        <v>0</v>
      </c>
      <c r="P524" t="n">
        <v>0</v>
      </c>
      <c r="Q524" t="n">
        <v>0</v>
      </c>
      <c r="R524" s="2" t="inlineStr"/>
    </row>
    <row r="525" ht="15" customHeight="1">
      <c r="A525" t="inlineStr">
        <is>
          <t>A 19865-2021</t>
        </is>
      </c>
      <c r="B525" s="1" t="n">
        <v>44312</v>
      </c>
      <c r="C525" s="1" t="n">
        <v>45928</v>
      </c>
      <c r="D525" t="inlineStr">
        <is>
          <t>KALMAR LÄN</t>
        </is>
      </c>
      <c r="E525" t="inlineStr">
        <is>
          <t>VIMMERBY</t>
        </is>
      </c>
      <c r="G525" t="n">
        <v>8.6</v>
      </c>
      <c r="H525" t="n">
        <v>0</v>
      </c>
      <c r="I525" t="n">
        <v>0</v>
      </c>
      <c r="J525" t="n">
        <v>0</v>
      </c>
      <c r="K525" t="n">
        <v>0</v>
      </c>
      <c r="L525" t="n">
        <v>0</v>
      </c>
      <c r="M525" t="n">
        <v>0</v>
      </c>
      <c r="N525" t="n">
        <v>0</v>
      </c>
      <c r="O525" t="n">
        <v>0</v>
      </c>
      <c r="P525" t="n">
        <v>0</v>
      </c>
      <c r="Q525" t="n">
        <v>0</v>
      </c>
      <c r="R525" s="2" t="inlineStr"/>
    </row>
    <row r="526" ht="15" customHeight="1">
      <c r="A526" t="inlineStr">
        <is>
          <t>A 9694-2023</t>
        </is>
      </c>
      <c r="B526" s="1" t="n">
        <v>44984.45895833334</v>
      </c>
      <c r="C526" s="1" t="n">
        <v>45928</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9710-2023</t>
        </is>
      </c>
      <c r="B527" s="1" t="n">
        <v>44984</v>
      </c>
      <c r="C527" s="1" t="n">
        <v>45928</v>
      </c>
      <c r="D527" t="inlineStr">
        <is>
          <t>KALMAR LÄN</t>
        </is>
      </c>
      <c r="E527" t="inlineStr">
        <is>
          <t>VIMMERBY</t>
        </is>
      </c>
      <c r="G527" t="n">
        <v>3.7</v>
      </c>
      <c r="H527" t="n">
        <v>0</v>
      </c>
      <c r="I527" t="n">
        <v>0</v>
      </c>
      <c r="J527" t="n">
        <v>0</v>
      </c>
      <c r="K527" t="n">
        <v>0</v>
      </c>
      <c r="L527" t="n">
        <v>0</v>
      </c>
      <c r="M527" t="n">
        <v>0</v>
      </c>
      <c r="N527" t="n">
        <v>0</v>
      </c>
      <c r="O527" t="n">
        <v>0</v>
      </c>
      <c r="P527" t="n">
        <v>0</v>
      </c>
      <c r="Q527" t="n">
        <v>0</v>
      </c>
      <c r="R527" s="2" t="inlineStr"/>
    </row>
    <row r="528" ht="15" customHeight="1">
      <c r="A528" t="inlineStr">
        <is>
          <t>A 6216-2025</t>
        </is>
      </c>
      <c r="B528" s="1" t="n">
        <v>45698.52806712963</v>
      </c>
      <c r="C528" s="1" t="n">
        <v>45928</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46365-2025</t>
        </is>
      </c>
      <c r="B529" s="1" t="n">
        <v>45925.50075231482</v>
      </c>
      <c r="C529" s="1" t="n">
        <v>45928</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38604-2025</t>
        </is>
      </c>
      <c r="B530" s="1" t="n">
        <v>45884.50613425926</v>
      </c>
      <c r="C530" s="1" t="n">
        <v>45928</v>
      </c>
      <c r="D530" t="inlineStr">
        <is>
          <t>KALMAR LÄN</t>
        </is>
      </c>
      <c r="E530" t="inlineStr">
        <is>
          <t>VIMMERBY</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45856-2025</t>
        </is>
      </c>
      <c r="B531" s="1" t="n">
        <v>45923</v>
      </c>
      <c r="C531" s="1" t="n">
        <v>45928</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45854-2025</t>
        </is>
      </c>
      <c r="B532" s="1" t="n">
        <v>45923</v>
      </c>
      <c r="C532" s="1" t="n">
        <v>45928</v>
      </c>
      <c r="D532" t="inlineStr">
        <is>
          <t>KALMAR LÄN</t>
        </is>
      </c>
      <c r="E532" t="inlineStr">
        <is>
          <t>VIMMERBY</t>
        </is>
      </c>
      <c r="G532" t="n">
        <v>2.2</v>
      </c>
      <c r="H532" t="n">
        <v>0</v>
      </c>
      <c r="I532" t="n">
        <v>0</v>
      </c>
      <c r="J532" t="n">
        <v>0</v>
      </c>
      <c r="K532" t="n">
        <v>0</v>
      </c>
      <c r="L532" t="n">
        <v>0</v>
      </c>
      <c r="M532" t="n">
        <v>0</v>
      </c>
      <c r="N532" t="n">
        <v>0</v>
      </c>
      <c r="O532" t="n">
        <v>0</v>
      </c>
      <c r="P532" t="n">
        <v>0</v>
      </c>
      <c r="Q532" t="n">
        <v>0</v>
      </c>
      <c r="R532" s="2" t="inlineStr"/>
    </row>
    <row r="533" ht="15" customHeight="1">
      <c r="A533" t="inlineStr">
        <is>
          <t>A 45855-2025</t>
        </is>
      </c>
      <c r="B533" s="1" t="n">
        <v>45923</v>
      </c>
      <c r="C533" s="1" t="n">
        <v>45928</v>
      </c>
      <c r="D533" t="inlineStr">
        <is>
          <t>KALMAR LÄN</t>
        </is>
      </c>
      <c r="E533" t="inlineStr">
        <is>
          <t>VIMMERBY</t>
        </is>
      </c>
      <c r="G533" t="n">
        <v>1.4</v>
      </c>
      <c r="H533" t="n">
        <v>0</v>
      </c>
      <c r="I533" t="n">
        <v>0</v>
      </c>
      <c r="J533" t="n">
        <v>0</v>
      </c>
      <c r="K533" t="n">
        <v>0</v>
      </c>
      <c r="L533" t="n">
        <v>0</v>
      </c>
      <c r="M533" t="n">
        <v>0</v>
      </c>
      <c r="N533" t="n">
        <v>0</v>
      </c>
      <c r="O533" t="n">
        <v>0</v>
      </c>
      <c r="P533" t="n">
        <v>0</v>
      </c>
      <c r="Q533" t="n">
        <v>0</v>
      </c>
      <c r="R533" s="2" t="inlineStr"/>
    </row>
    <row r="534" ht="15" customHeight="1">
      <c r="A534" t="inlineStr">
        <is>
          <t>A 6218-2025</t>
        </is>
      </c>
      <c r="B534" s="1" t="n">
        <v>45698.53336805556</v>
      </c>
      <c r="C534" s="1" t="n">
        <v>45928</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40076-2021</t>
        </is>
      </c>
      <c r="B535" s="1" t="n">
        <v>44418</v>
      </c>
      <c r="C535" s="1" t="n">
        <v>45928</v>
      </c>
      <c r="D535" t="inlineStr">
        <is>
          <t>KALMAR LÄN</t>
        </is>
      </c>
      <c r="E535" t="inlineStr">
        <is>
          <t>VIMMERBY</t>
        </is>
      </c>
      <c r="G535" t="n">
        <v>2</v>
      </c>
      <c r="H535" t="n">
        <v>0</v>
      </c>
      <c r="I535" t="n">
        <v>0</v>
      </c>
      <c r="J535" t="n">
        <v>0</v>
      </c>
      <c r="K535" t="n">
        <v>0</v>
      </c>
      <c r="L535" t="n">
        <v>0</v>
      </c>
      <c r="M535" t="n">
        <v>0</v>
      </c>
      <c r="N535" t="n">
        <v>0</v>
      </c>
      <c r="O535" t="n">
        <v>0</v>
      </c>
      <c r="P535" t="n">
        <v>0</v>
      </c>
      <c r="Q535" t="n">
        <v>0</v>
      </c>
      <c r="R535" s="2" t="inlineStr"/>
    </row>
    <row r="536" ht="15" customHeight="1">
      <c r="A536" t="inlineStr">
        <is>
          <t>A 7944-2024</t>
        </is>
      </c>
      <c r="B536" s="1" t="n">
        <v>45350.53306712963</v>
      </c>
      <c r="C536" s="1" t="n">
        <v>45928</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15976-2025</t>
        </is>
      </c>
      <c r="B537" s="1" t="n">
        <v>45749.56196759259</v>
      </c>
      <c r="C537" s="1" t="n">
        <v>45928</v>
      </c>
      <c r="D537" t="inlineStr">
        <is>
          <t>KALMAR LÄN</t>
        </is>
      </c>
      <c r="E537" t="inlineStr">
        <is>
          <t>VIMMERBY</t>
        </is>
      </c>
      <c r="F537" t="inlineStr">
        <is>
          <t>Kommuner</t>
        </is>
      </c>
      <c r="G537" t="n">
        <v>2.5</v>
      </c>
      <c r="H537" t="n">
        <v>0</v>
      </c>
      <c r="I537" t="n">
        <v>0</v>
      </c>
      <c r="J537" t="n">
        <v>0</v>
      </c>
      <c r="K537" t="n">
        <v>0</v>
      </c>
      <c r="L537" t="n">
        <v>0</v>
      </c>
      <c r="M537" t="n">
        <v>0</v>
      </c>
      <c r="N537" t="n">
        <v>0</v>
      </c>
      <c r="O537" t="n">
        <v>0</v>
      </c>
      <c r="P537" t="n">
        <v>0</v>
      </c>
      <c r="Q537" t="n">
        <v>0</v>
      </c>
      <c r="R537" s="2" t="inlineStr"/>
    </row>
    <row r="538" ht="15" customHeight="1">
      <c r="A538" t="inlineStr">
        <is>
          <t>A 598-2025</t>
        </is>
      </c>
      <c r="B538" s="1" t="n">
        <v>45660</v>
      </c>
      <c r="C538" s="1" t="n">
        <v>45928</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10674-2021</t>
        </is>
      </c>
      <c r="B539" s="1" t="n">
        <v>44258</v>
      </c>
      <c r="C539" s="1" t="n">
        <v>45928</v>
      </c>
      <c r="D539" t="inlineStr">
        <is>
          <t>KALMAR LÄN</t>
        </is>
      </c>
      <c r="E539" t="inlineStr">
        <is>
          <t>VIMMERBY</t>
        </is>
      </c>
      <c r="G539" t="n">
        <v>8.4</v>
      </c>
      <c r="H539" t="n">
        <v>0</v>
      </c>
      <c r="I539" t="n">
        <v>0</v>
      </c>
      <c r="J539" t="n">
        <v>0</v>
      </c>
      <c r="K539" t="n">
        <v>0</v>
      </c>
      <c r="L539" t="n">
        <v>0</v>
      </c>
      <c r="M539" t="n">
        <v>0</v>
      </c>
      <c r="N539" t="n">
        <v>0</v>
      </c>
      <c r="O539" t="n">
        <v>0</v>
      </c>
      <c r="P539" t="n">
        <v>0</v>
      </c>
      <c r="Q539" t="n">
        <v>0</v>
      </c>
      <c r="R539" s="2" t="inlineStr"/>
    </row>
    <row r="540" ht="15" customHeight="1">
      <c r="A540" t="inlineStr">
        <is>
          <t>A 10807-2024</t>
        </is>
      </c>
      <c r="B540" s="1" t="n">
        <v>45369.62780092593</v>
      </c>
      <c r="C540" s="1" t="n">
        <v>45928</v>
      </c>
      <c r="D540" t="inlineStr">
        <is>
          <t>KALMAR LÄN</t>
        </is>
      </c>
      <c r="E540" t="inlineStr">
        <is>
          <t>VIMMERBY</t>
        </is>
      </c>
      <c r="G540" t="n">
        <v>0.7</v>
      </c>
      <c r="H540" t="n">
        <v>0</v>
      </c>
      <c r="I540" t="n">
        <v>0</v>
      </c>
      <c r="J540" t="n">
        <v>0</v>
      </c>
      <c r="K540" t="n">
        <v>0</v>
      </c>
      <c r="L540" t="n">
        <v>0</v>
      </c>
      <c r="M540" t="n">
        <v>0</v>
      </c>
      <c r="N540" t="n">
        <v>0</v>
      </c>
      <c r="O540" t="n">
        <v>0</v>
      </c>
      <c r="P540" t="n">
        <v>0</v>
      </c>
      <c r="Q540" t="n">
        <v>0</v>
      </c>
      <c r="R540" s="2" t="inlineStr"/>
    </row>
    <row r="541" ht="15" customHeight="1">
      <c r="A541" t="inlineStr">
        <is>
          <t>A 40260-2024</t>
        </is>
      </c>
      <c r="B541" s="1" t="n">
        <v>45554.63225694445</v>
      </c>
      <c r="C541" s="1" t="n">
        <v>45928</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10787-2025</t>
        </is>
      </c>
      <c r="B542" s="1" t="n">
        <v>45722.48915509259</v>
      </c>
      <c r="C542" s="1" t="n">
        <v>45928</v>
      </c>
      <c r="D542" t="inlineStr">
        <is>
          <t>KALMAR LÄN</t>
        </is>
      </c>
      <c r="E542" t="inlineStr">
        <is>
          <t>VIMMERBY</t>
        </is>
      </c>
      <c r="G542" t="n">
        <v>0.5</v>
      </c>
      <c r="H542" t="n">
        <v>0</v>
      </c>
      <c r="I542" t="n">
        <v>0</v>
      </c>
      <c r="J542" t="n">
        <v>0</v>
      </c>
      <c r="K542" t="n">
        <v>0</v>
      </c>
      <c r="L542" t="n">
        <v>0</v>
      </c>
      <c r="M542" t="n">
        <v>0</v>
      </c>
      <c r="N542" t="n">
        <v>0</v>
      </c>
      <c r="O542" t="n">
        <v>0</v>
      </c>
      <c r="P542" t="n">
        <v>0</v>
      </c>
      <c r="Q542" t="n">
        <v>0</v>
      </c>
      <c r="R542" s="2" t="inlineStr"/>
    </row>
    <row r="543" ht="15" customHeight="1">
      <c r="A543" t="inlineStr">
        <is>
          <t>A 12588-2025</t>
        </is>
      </c>
      <c r="B543" s="1" t="n">
        <v>45732.76936342593</v>
      </c>
      <c r="C543" s="1" t="n">
        <v>45928</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25979-2023</t>
        </is>
      </c>
      <c r="B544" s="1" t="n">
        <v>45090.89653935185</v>
      </c>
      <c r="C544" s="1" t="n">
        <v>45928</v>
      </c>
      <c r="D544" t="inlineStr">
        <is>
          <t>KALMAR LÄN</t>
        </is>
      </c>
      <c r="E544" t="inlineStr">
        <is>
          <t>VIMMERBY</t>
        </is>
      </c>
      <c r="G544" t="n">
        <v>2</v>
      </c>
      <c r="H544" t="n">
        <v>0</v>
      </c>
      <c r="I544" t="n">
        <v>0</v>
      </c>
      <c r="J544" t="n">
        <v>0</v>
      </c>
      <c r="K544" t="n">
        <v>0</v>
      </c>
      <c r="L544" t="n">
        <v>0</v>
      </c>
      <c r="M544" t="n">
        <v>0</v>
      </c>
      <c r="N544" t="n">
        <v>0</v>
      </c>
      <c r="O544" t="n">
        <v>0</v>
      </c>
      <c r="P544" t="n">
        <v>0</v>
      </c>
      <c r="Q544" t="n">
        <v>0</v>
      </c>
      <c r="R544" s="2" t="inlineStr"/>
    </row>
    <row r="545" ht="15" customHeight="1">
      <c r="A545" t="inlineStr">
        <is>
          <t>A 25980-2023</t>
        </is>
      </c>
      <c r="B545" s="1" t="n">
        <v>45090.89880787037</v>
      </c>
      <c r="C545" s="1" t="n">
        <v>45928</v>
      </c>
      <c r="D545" t="inlineStr">
        <is>
          <t>KALMAR LÄN</t>
        </is>
      </c>
      <c r="E545" t="inlineStr">
        <is>
          <t>VIMMERBY</t>
        </is>
      </c>
      <c r="G545" t="n">
        <v>0.7</v>
      </c>
      <c r="H545" t="n">
        <v>0</v>
      </c>
      <c r="I545" t="n">
        <v>0</v>
      </c>
      <c r="J545" t="n">
        <v>0</v>
      </c>
      <c r="K545" t="n">
        <v>0</v>
      </c>
      <c r="L545" t="n">
        <v>0</v>
      </c>
      <c r="M545" t="n">
        <v>0</v>
      </c>
      <c r="N545" t="n">
        <v>0</v>
      </c>
      <c r="O545" t="n">
        <v>0</v>
      </c>
      <c r="P545" t="n">
        <v>0</v>
      </c>
      <c r="Q545" t="n">
        <v>0</v>
      </c>
      <c r="R545" s="2" t="inlineStr"/>
    </row>
    <row r="546" ht="15" customHeight="1">
      <c r="A546" t="inlineStr">
        <is>
          <t>A 58577-2024</t>
        </is>
      </c>
      <c r="B546" s="1" t="n">
        <v>45635.4874537037</v>
      </c>
      <c r="C546" s="1" t="n">
        <v>45928</v>
      </c>
      <c r="D546" t="inlineStr">
        <is>
          <t>KALMAR LÄN</t>
        </is>
      </c>
      <c r="E546" t="inlineStr">
        <is>
          <t>VIMMERBY</t>
        </is>
      </c>
      <c r="G546" t="n">
        <v>1.1</v>
      </c>
      <c r="H546" t="n">
        <v>0</v>
      </c>
      <c r="I546" t="n">
        <v>0</v>
      </c>
      <c r="J546" t="n">
        <v>0</v>
      </c>
      <c r="K546" t="n">
        <v>0</v>
      </c>
      <c r="L546" t="n">
        <v>0</v>
      </c>
      <c r="M546" t="n">
        <v>0</v>
      </c>
      <c r="N546" t="n">
        <v>0</v>
      </c>
      <c r="O546" t="n">
        <v>0</v>
      </c>
      <c r="P546" t="n">
        <v>0</v>
      </c>
      <c r="Q546" t="n">
        <v>0</v>
      </c>
      <c r="R546" s="2" t="inlineStr"/>
    </row>
    <row r="547" ht="15" customHeight="1">
      <c r="A547" t="inlineStr">
        <is>
          <t>A 38198-2024</t>
        </is>
      </c>
      <c r="B547" s="1" t="n">
        <v>45545.49508101852</v>
      </c>
      <c r="C547" s="1" t="n">
        <v>45928</v>
      </c>
      <c r="D547" t="inlineStr">
        <is>
          <t>KALMAR LÄN</t>
        </is>
      </c>
      <c r="E547" t="inlineStr">
        <is>
          <t>VIMMERBY</t>
        </is>
      </c>
      <c r="G547" t="n">
        <v>7.9</v>
      </c>
      <c r="H547" t="n">
        <v>0</v>
      </c>
      <c r="I547" t="n">
        <v>0</v>
      </c>
      <c r="J547" t="n">
        <v>0</v>
      </c>
      <c r="K547" t="n">
        <v>0</v>
      </c>
      <c r="L547" t="n">
        <v>0</v>
      </c>
      <c r="M547" t="n">
        <v>0</v>
      </c>
      <c r="N547" t="n">
        <v>0</v>
      </c>
      <c r="O547" t="n">
        <v>0</v>
      </c>
      <c r="P547" t="n">
        <v>0</v>
      </c>
      <c r="Q547" t="n">
        <v>0</v>
      </c>
      <c r="R547" s="2" t="inlineStr"/>
    </row>
    <row r="548" ht="15" customHeight="1">
      <c r="A548" t="inlineStr">
        <is>
          <t>A 43617-2024</t>
        </is>
      </c>
      <c r="B548" s="1" t="n">
        <v>45569.47494212963</v>
      </c>
      <c r="C548" s="1" t="n">
        <v>45928</v>
      </c>
      <c r="D548" t="inlineStr">
        <is>
          <t>KALMAR LÄN</t>
        </is>
      </c>
      <c r="E548" t="inlineStr">
        <is>
          <t>VIMMERBY</t>
        </is>
      </c>
      <c r="G548" t="n">
        <v>2.7</v>
      </c>
      <c r="H548" t="n">
        <v>0</v>
      </c>
      <c r="I548" t="n">
        <v>0</v>
      </c>
      <c r="J548" t="n">
        <v>0</v>
      </c>
      <c r="K548" t="n">
        <v>0</v>
      </c>
      <c r="L548" t="n">
        <v>0</v>
      </c>
      <c r="M548" t="n">
        <v>0</v>
      </c>
      <c r="N548" t="n">
        <v>0</v>
      </c>
      <c r="O548" t="n">
        <v>0</v>
      </c>
      <c r="P548" t="n">
        <v>0</v>
      </c>
      <c r="Q548" t="n">
        <v>0</v>
      </c>
      <c r="R548" s="2" t="inlineStr"/>
    </row>
    <row r="549" ht="15" customHeight="1">
      <c r="A549" t="inlineStr">
        <is>
          <t>A 46921-2023</t>
        </is>
      </c>
      <c r="B549" s="1" t="n">
        <v>45201.39996527778</v>
      </c>
      <c r="C549" s="1" t="n">
        <v>45928</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10837-2023</t>
        </is>
      </c>
      <c r="B550" s="1" t="n">
        <v>44991.30547453704</v>
      </c>
      <c r="C550" s="1" t="n">
        <v>45928</v>
      </c>
      <c r="D550" t="inlineStr">
        <is>
          <t>KALMAR LÄN</t>
        </is>
      </c>
      <c r="E550" t="inlineStr">
        <is>
          <t>VIMMERBY</t>
        </is>
      </c>
      <c r="G550" t="n">
        <v>7.3</v>
      </c>
      <c r="H550" t="n">
        <v>0</v>
      </c>
      <c r="I550" t="n">
        <v>0</v>
      </c>
      <c r="J550" t="n">
        <v>0</v>
      </c>
      <c r="K550" t="n">
        <v>0</v>
      </c>
      <c r="L550" t="n">
        <v>0</v>
      </c>
      <c r="M550" t="n">
        <v>0</v>
      </c>
      <c r="N550" t="n">
        <v>0</v>
      </c>
      <c r="O550" t="n">
        <v>0</v>
      </c>
      <c r="P550" t="n">
        <v>0</v>
      </c>
      <c r="Q550" t="n">
        <v>0</v>
      </c>
      <c r="R550" s="2" t="inlineStr"/>
    </row>
    <row r="551" ht="15" customHeight="1">
      <c r="A551" t="inlineStr">
        <is>
          <t>A 10838-2023</t>
        </is>
      </c>
      <c r="B551" s="1" t="n">
        <v>44991</v>
      </c>
      <c r="C551" s="1" t="n">
        <v>45928</v>
      </c>
      <c r="D551" t="inlineStr">
        <is>
          <t>KALMAR LÄN</t>
        </is>
      </c>
      <c r="E551" t="inlineStr">
        <is>
          <t>VIMMERBY</t>
        </is>
      </c>
      <c r="G551" t="n">
        <v>5.1</v>
      </c>
      <c r="H551" t="n">
        <v>0</v>
      </c>
      <c r="I551" t="n">
        <v>0</v>
      </c>
      <c r="J551" t="n">
        <v>0</v>
      </c>
      <c r="K551" t="n">
        <v>0</v>
      </c>
      <c r="L551" t="n">
        <v>0</v>
      </c>
      <c r="M551" t="n">
        <v>0</v>
      </c>
      <c r="N551" t="n">
        <v>0</v>
      </c>
      <c r="O551" t="n">
        <v>0</v>
      </c>
      <c r="P551" t="n">
        <v>0</v>
      </c>
      <c r="Q551" t="n">
        <v>0</v>
      </c>
      <c r="R551" s="2" t="inlineStr"/>
    </row>
    <row r="552" ht="15" customHeight="1">
      <c r="A552" t="inlineStr">
        <is>
          <t>A 30912-2023</t>
        </is>
      </c>
      <c r="B552" s="1" t="n">
        <v>45113.41633101852</v>
      </c>
      <c r="C552" s="1" t="n">
        <v>45928</v>
      </c>
      <c r="D552" t="inlineStr">
        <is>
          <t>KALMAR LÄN</t>
        </is>
      </c>
      <c r="E552" t="inlineStr">
        <is>
          <t>VIMMERBY</t>
        </is>
      </c>
      <c r="G552" t="n">
        <v>5</v>
      </c>
      <c r="H552" t="n">
        <v>0</v>
      </c>
      <c r="I552" t="n">
        <v>0</v>
      </c>
      <c r="J552" t="n">
        <v>0</v>
      </c>
      <c r="K552" t="n">
        <v>0</v>
      </c>
      <c r="L552" t="n">
        <v>0</v>
      </c>
      <c r="M552" t="n">
        <v>0</v>
      </c>
      <c r="N552" t="n">
        <v>0</v>
      </c>
      <c r="O552" t="n">
        <v>0</v>
      </c>
      <c r="P552" t="n">
        <v>0</v>
      </c>
      <c r="Q552" t="n">
        <v>0</v>
      </c>
      <c r="R552" s="2" t="inlineStr"/>
    </row>
    <row r="553" ht="15" customHeight="1">
      <c r="A553" t="inlineStr">
        <is>
          <t>A 55436-2023</t>
        </is>
      </c>
      <c r="B553" s="1" t="n">
        <v>45238.4328587963</v>
      </c>
      <c r="C553" s="1" t="n">
        <v>45928</v>
      </c>
      <c r="D553" t="inlineStr">
        <is>
          <t>KALMAR LÄN</t>
        </is>
      </c>
      <c r="E553" t="inlineStr">
        <is>
          <t>VIMMERBY</t>
        </is>
      </c>
      <c r="G553" t="n">
        <v>5.6</v>
      </c>
      <c r="H553" t="n">
        <v>0</v>
      </c>
      <c r="I553" t="n">
        <v>0</v>
      </c>
      <c r="J553" t="n">
        <v>0</v>
      </c>
      <c r="K553" t="n">
        <v>0</v>
      </c>
      <c r="L553" t="n">
        <v>0</v>
      </c>
      <c r="M553" t="n">
        <v>0</v>
      </c>
      <c r="N553" t="n">
        <v>0</v>
      </c>
      <c r="O553" t="n">
        <v>0</v>
      </c>
      <c r="P553" t="n">
        <v>0</v>
      </c>
      <c r="Q553" t="n">
        <v>0</v>
      </c>
      <c r="R553" s="2" t="inlineStr"/>
    </row>
    <row r="554" ht="15" customHeight="1">
      <c r="A554" t="inlineStr">
        <is>
          <t>A 22264-2023</t>
        </is>
      </c>
      <c r="B554" s="1" t="n">
        <v>45070.3665625</v>
      </c>
      <c r="C554" s="1" t="n">
        <v>45928</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22266-2023</t>
        </is>
      </c>
      <c r="B555" s="1" t="n">
        <v>45070</v>
      </c>
      <c r="C555" s="1" t="n">
        <v>45928</v>
      </c>
      <c r="D555" t="inlineStr">
        <is>
          <t>KALMAR LÄN</t>
        </is>
      </c>
      <c r="E555" t="inlineStr">
        <is>
          <t>VIMMERBY</t>
        </is>
      </c>
      <c r="G555" t="n">
        <v>0.5</v>
      </c>
      <c r="H555" t="n">
        <v>0</v>
      </c>
      <c r="I555" t="n">
        <v>0</v>
      </c>
      <c r="J555" t="n">
        <v>0</v>
      </c>
      <c r="K555" t="n">
        <v>0</v>
      </c>
      <c r="L555" t="n">
        <v>0</v>
      </c>
      <c r="M555" t="n">
        <v>0</v>
      </c>
      <c r="N555" t="n">
        <v>0</v>
      </c>
      <c r="O555" t="n">
        <v>0</v>
      </c>
      <c r="P555" t="n">
        <v>0</v>
      </c>
      <c r="Q555" t="n">
        <v>0</v>
      </c>
      <c r="R555" s="2" t="inlineStr"/>
    </row>
    <row r="556" ht="15" customHeight="1">
      <c r="A556" t="inlineStr">
        <is>
          <t>A 50091-2023</t>
        </is>
      </c>
      <c r="B556" s="1" t="n">
        <v>45215.60199074074</v>
      </c>
      <c r="C556" s="1" t="n">
        <v>45928</v>
      </c>
      <c r="D556" t="inlineStr">
        <is>
          <t>KALMAR LÄN</t>
        </is>
      </c>
      <c r="E556" t="inlineStr">
        <is>
          <t>VIMMERBY</t>
        </is>
      </c>
      <c r="G556" t="n">
        <v>1.7</v>
      </c>
      <c r="H556" t="n">
        <v>0</v>
      </c>
      <c r="I556" t="n">
        <v>0</v>
      </c>
      <c r="J556" t="n">
        <v>0</v>
      </c>
      <c r="K556" t="n">
        <v>0</v>
      </c>
      <c r="L556" t="n">
        <v>0</v>
      </c>
      <c r="M556" t="n">
        <v>0</v>
      </c>
      <c r="N556" t="n">
        <v>0</v>
      </c>
      <c r="O556" t="n">
        <v>0</v>
      </c>
      <c r="P556" t="n">
        <v>0</v>
      </c>
      <c r="Q556" t="n">
        <v>0</v>
      </c>
      <c r="R556" s="2" t="inlineStr"/>
    </row>
    <row r="557" ht="15" customHeight="1">
      <c r="A557" t="inlineStr">
        <is>
          <t>A 10303-2025</t>
        </is>
      </c>
      <c r="B557" s="1" t="n">
        <v>45720.44217592593</v>
      </c>
      <c r="C557" s="1" t="n">
        <v>45928</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11027-2023</t>
        </is>
      </c>
      <c r="B558" s="1" t="n">
        <v>44991.89657407408</v>
      </c>
      <c r="C558" s="1" t="n">
        <v>45928</v>
      </c>
      <c r="D558" t="inlineStr">
        <is>
          <t>KALMAR LÄN</t>
        </is>
      </c>
      <c r="E558" t="inlineStr">
        <is>
          <t>VIMMERBY</t>
        </is>
      </c>
      <c r="G558" t="n">
        <v>0.8</v>
      </c>
      <c r="H558" t="n">
        <v>0</v>
      </c>
      <c r="I558" t="n">
        <v>0</v>
      </c>
      <c r="J558" t="n">
        <v>0</v>
      </c>
      <c r="K558" t="n">
        <v>0</v>
      </c>
      <c r="L558" t="n">
        <v>0</v>
      </c>
      <c r="M558" t="n">
        <v>0</v>
      </c>
      <c r="N558" t="n">
        <v>0</v>
      </c>
      <c r="O558" t="n">
        <v>0</v>
      </c>
      <c r="P558" t="n">
        <v>0</v>
      </c>
      <c r="Q558" t="n">
        <v>0</v>
      </c>
      <c r="R558" s="2" t="inlineStr"/>
    </row>
    <row r="559" ht="15" customHeight="1">
      <c r="A559" t="inlineStr">
        <is>
          <t>A 21507-2023</t>
        </is>
      </c>
      <c r="B559" s="1" t="n">
        <v>45063.508125</v>
      </c>
      <c r="C559" s="1" t="n">
        <v>45928</v>
      </c>
      <c r="D559" t="inlineStr">
        <is>
          <t>KALMAR LÄN</t>
        </is>
      </c>
      <c r="E559" t="inlineStr">
        <is>
          <t>VIMMERBY</t>
        </is>
      </c>
      <c r="G559" t="n">
        <v>2.8</v>
      </c>
      <c r="H559" t="n">
        <v>0</v>
      </c>
      <c r="I559" t="n">
        <v>0</v>
      </c>
      <c r="J559" t="n">
        <v>0</v>
      </c>
      <c r="K559" t="n">
        <v>0</v>
      </c>
      <c r="L559" t="n">
        <v>0</v>
      </c>
      <c r="M559" t="n">
        <v>0</v>
      </c>
      <c r="N559" t="n">
        <v>0</v>
      </c>
      <c r="O559" t="n">
        <v>0</v>
      </c>
      <c r="P559" t="n">
        <v>0</v>
      </c>
      <c r="Q559" t="n">
        <v>0</v>
      </c>
      <c r="R559" s="2" t="inlineStr"/>
    </row>
    <row r="560" ht="15" customHeight="1">
      <c r="A560" t="inlineStr">
        <is>
          <t>A 51187-2023</t>
        </is>
      </c>
      <c r="B560" s="1" t="n">
        <v>45219.40528935185</v>
      </c>
      <c r="C560" s="1" t="n">
        <v>45928</v>
      </c>
      <c r="D560" t="inlineStr">
        <is>
          <t>KALMAR LÄN</t>
        </is>
      </c>
      <c r="E560" t="inlineStr">
        <is>
          <t>VIMMERBY</t>
        </is>
      </c>
      <c r="G560" t="n">
        <v>0.6</v>
      </c>
      <c r="H560" t="n">
        <v>0</v>
      </c>
      <c r="I560" t="n">
        <v>0</v>
      </c>
      <c r="J560" t="n">
        <v>0</v>
      </c>
      <c r="K560" t="n">
        <v>0</v>
      </c>
      <c r="L560" t="n">
        <v>0</v>
      </c>
      <c r="M560" t="n">
        <v>0</v>
      </c>
      <c r="N560" t="n">
        <v>0</v>
      </c>
      <c r="O560" t="n">
        <v>0</v>
      </c>
      <c r="P560" t="n">
        <v>0</v>
      </c>
      <c r="Q560" t="n">
        <v>0</v>
      </c>
      <c r="R560" s="2" t="inlineStr"/>
    </row>
    <row r="561" ht="15" customHeight="1">
      <c r="A561" t="inlineStr">
        <is>
          <t>A 13290-2025</t>
        </is>
      </c>
      <c r="B561" s="1" t="n">
        <v>45735.56751157407</v>
      </c>
      <c r="C561" s="1" t="n">
        <v>45928</v>
      </c>
      <c r="D561" t="inlineStr">
        <is>
          <t>KALMAR LÄN</t>
        </is>
      </c>
      <c r="E561" t="inlineStr">
        <is>
          <t>VIMMERBY</t>
        </is>
      </c>
      <c r="G561" t="n">
        <v>0.8</v>
      </c>
      <c r="H561" t="n">
        <v>0</v>
      </c>
      <c r="I561" t="n">
        <v>0</v>
      </c>
      <c r="J561" t="n">
        <v>0</v>
      </c>
      <c r="K561" t="n">
        <v>0</v>
      </c>
      <c r="L561" t="n">
        <v>0</v>
      </c>
      <c r="M561" t="n">
        <v>0</v>
      </c>
      <c r="N561" t="n">
        <v>0</v>
      </c>
      <c r="O561" t="n">
        <v>0</v>
      </c>
      <c r="P561" t="n">
        <v>0</v>
      </c>
      <c r="Q561" t="n">
        <v>0</v>
      </c>
      <c r="R561" s="2" t="inlineStr"/>
    </row>
    <row r="562" ht="15" customHeight="1">
      <c r="A562" t="inlineStr">
        <is>
          <t>A 45560-2021</t>
        </is>
      </c>
      <c r="B562" s="1" t="n">
        <v>44440</v>
      </c>
      <c r="C562" s="1" t="n">
        <v>45928</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11661-2023</t>
        </is>
      </c>
      <c r="B563" s="1" t="n">
        <v>44994.46908564815</v>
      </c>
      <c r="C563" s="1" t="n">
        <v>45928</v>
      </c>
      <c r="D563" t="inlineStr">
        <is>
          <t>KALMAR LÄN</t>
        </is>
      </c>
      <c r="E563" t="inlineStr">
        <is>
          <t>VIMMERBY</t>
        </is>
      </c>
      <c r="G563" t="n">
        <v>2.7</v>
      </c>
      <c r="H563" t="n">
        <v>0</v>
      </c>
      <c r="I563" t="n">
        <v>0</v>
      </c>
      <c r="J563" t="n">
        <v>0</v>
      </c>
      <c r="K563" t="n">
        <v>0</v>
      </c>
      <c r="L563" t="n">
        <v>0</v>
      </c>
      <c r="M563" t="n">
        <v>0</v>
      </c>
      <c r="N563" t="n">
        <v>0</v>
      </c>
      <c r="O563" t="n">
        <v>0</v>
      </c>
      <c r="P563" t="n">
        <v>0</v>
      </c>
      <c r="Q563" t="n">
        <v>0</v>
      </c>
      <c r="R563" s="2" t="inlineStr"/>
    </row>
    <row r="564" ht="15" customHeight="1">
      <c r="A564" t="inlineStr">
        <is>
          <t>A 36155-2023</t>
        </is>
      </c>
      <c r="B564" s="1" t="n">
        <v>45149.60917824074</v>
      </c>
      <c r="C564" s="1" t="n">
        <v>45928</v>
      </c>
      <c r="D564" t="inlineStr">
        <is>
          <t>KALMAR LÄN</t>
        </is>
      </c>
      <c r="E564" t="inlineStr">
        <is>
          <t>VIMMERBY</t>
        </is>
      </c>
      <c r="G564" t="n">
        <v>5</v>
      </c>
      <c r="H564" t="n">
        <v>0</v>
      </c>
      <c r="I564" t="n">
        <v>0</v>
      </c>
      <c r="J564" t="n">
        <v>0</v>
      </c>
      <c r="K564" t="n">
        <v>0</v>
      </c>
      <c r="L564" t="n">
        <v>0</v>
      </c>
      <c r="M564" t="n">
        <v>0</v>
      </c>
      <c r="N564" t="n">
        <v>0</v>
      </c>
      <c r="O564" t="n">
        <v>0</v>
      </c>
      <c r="P564" t="n">
        <v>0</v>
      </c>
      <c r="Q564" t="n">
        <v>0</v>
      </c>
      <c r="R564" s="2" t="inlineStr"/>
    </row>
    <row r="565" ht="15" customHeight="1">
      <c r="A565" t="inlineStr">
        <is>
          <t>A 40147-2023</t>
        </is>
      </c>
      <c r="B565" s="1" t="n">
        <v>45169</v>
      </c>
      <c r="C565" s="1" t="n">
        <v>45928</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63950-2023</t>
        </is>
      </c>
      <c r="B566" s="1" t="n">
        <v>45278</v>
      </c>
      <c r="C566" s="1" t="n">
        <v>45928</v>
      </c>
      <c r="D566" t="inlineStr">
        <is>
          <t>KALMAR LÄN</t>
        </is>
      </c>
      <c r="E566" t="inlineStr">
        <is>
          <t>VIMMERBY</t>
        </is>
      </c>
      <c r="F566" t="inlineStr">
        <is>
          <t>Kyrkan</t>
        </is>
      </c>
      <c r="G566" t="n">
        <v>2.7</v>
      </c>
      <c r="H566" t="n">
        <v>0</v>
      </c>
      <c r="I566" t="n">
        <v>0</v>
      </c>
      <c r="J566" t="n">
        <v>0</v>
      </c>
      <c r="K566" t="n">
        <v>0</v>
      </c>
      <c r="L566" t="n">
        <v>0</v>
      </c>
      <c r="M566" t="n">
        <v>0</v>
      </c>
      <c r="N566" t="n">
        <v>0</v>
      </c>
      <c r="O566" t="n">
        <v>0</v>
      </c>
      <c r="P566" t="n">
        <v>0</v>
      </c>
      <c r="Q566" t="n">
        <v>0</v>
      </c>
      <c r="R566" s="2" t="inlineStr"/>
    </row>
    <row r="567" ht="15" customHeight="1">
      <c r="A567" t="inlineStr">
        <is>
          <t>A 16622-2025</t>
        </is>
      </c>
      <c r="B567" s="1" t="n">
        <v>45754.33641203704</v>
      </c>
      <c r="C567" s="1" t="n">
        <v>45928</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24096-2024</t>
        </is>
      </c>
      <c r="B568" s="1" t="n">
        <v>45456.59289351852</v>
      </c>
      <c r="C568" s="1" t="n">
        <v>45928</v>
      </c>
      <c r="D568" t="inlineStr">
        <is>
          <t>KALMAR LÄN</t>
        </is>
      </c>
      <c r="E568" t="inlineStr">
        <is>
          <t>VIMMERBY</t>
        </is>
      </c>
      <c r="G568" t="n">
        <v>2.3</v>
      </c>
      <c r="H568" t="n">
        <v>0</v>
      </c>
      <c r="I568" t="n">
        <v>0</v>
      </c>
      <c r="J568" t="n">
        <v>0</v>
      </c>
      <c r="K568" t="n">
        <v>0</v>
      </c>
      <c r="L568" t="n">
        <v>0</v>
      </c>
      <c r="M568" t="n">
        <v>0</v>
      </c>
      <c r="N568" t="n">
        <v>0</v>
      </c>
      <c r="O568" t="n">
        <v>0</v>
      </c>
      <c r="P568" t="n">
        <v>0</v>
      </c>
      <c r="Q568" t="n">
        <v>0</v>
      </c>
      <c r="R568" s="2" t="inlineStr"/>
    </row>
    <row r="569" ht="15" customHeight="1">
      <c r="A569" t="inlineStr">
        <is>
          <t>A 13015-2023</t>
        </is>
      </c>
      <c r="B569" s="1" t="n">
        <v>45002</v>
      </c>
      <c r="C569" s="1" t="n">
        <v>45928</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41199-2023</t>
        </is>
      </c>
      <c r="B570" s="1" t="n">
        <v>45174.40454861111</v>
      </c>
      <c r="C570" s="1" t="n">
        <v>45928</v>
      </c>
      <c r="D570" t="inlineStr">
        <is>
          <t>KALMAR LÄN</t>
        </is>
      </c>
      <c r="E570" t="inlineStr">
        <is>
          <t>VIMMERBY</t>
        </is>
      </c>
      <c r="G570" t="n">
        <v>1.3</v>
      </c>
      <c r="H570" t="n">
        <v>0</v>
      </c>
      <c r="I570" t="n">
        <v>0</v>
      </c>
      <c r="J570" t="n">
        <v>0</v>
      </c>
      <c r="K570" t="n">
        <v>0</v>
      </c>
      <c r="L570" t="n">
        <v>0</v>
      </c>
      <c r="M570" t="n">
        <v>0</v>
      </c>
      <c r="N570" t="n">
        <v>0</v>
      </c>
      <c r="O570" t="n">
        <v>0</v>
      </c>
      <c r="P570" t="n">
        <v>0</v>
      </c>
      <c r="Q570" t="n">
        <v>0</v>
      </c>
      <c r="R570" s="2" t="inlineStr"/>
    </row>
    <row r="571" ht="15" customHeight="1">
      <c r="A571" t="inlineStr">
        <is>
          <t>A 31340-2023</t>
        </is>
      </c>
      <c r="B571" s="1" t="n">
        <v>45114.47895833333</v>
      </c>
      <c r="C571" s="1" t="n">
        <v>45928</v>
      </c>
      <c r="D571" t="inlineStr">
        <is>
          <t>KALMAR LÄN</t>
        </is>
      </c>
      <c r="E571" t="inlineStr">
        <is>
          <t>VIMMERBY</t>
        </is>
      </c>
      <c r="G571" t="n">
        <v>1.8</v>
      </c>
      <c r="H571" t="n">
        <v>0</v>
      </c>
      <c r="I571" t="n">
        <v>0</v>
      </c>
      <c r="J571" t="n">
        <v>0</v>
      </c>
      <c r="K571" t="n">
        <v>0</v>
      </c>
      <c r="L571" t="n">
        <v>0</v>
      </c>
      <c r="M571" t="n">
        <v>0</v>
      </c>
      <c r="N571" t="n">
        <v>0</v>
      </c>
      <c r="O571" t="n">
        <v>0</v>
      </c>
      <c r="P571" t="n">
        <v>0</v>
      </c>
      <c r="Q571" t="n">
        <v>0</v>
      </c>
      <c r="R571" s="2" t="inlineStr"/>
    </row>
    <row r="572" ht="15" customHeight="1">
      <c r="A572" t="inlineStr">
        <is>
          <t>A 36014-2024</t>
        </is>
      </c>
      <c r="B572" s="1" t="n">
        <v>45533.56108796296</v>
      </c>
      <c r="C572" s="1" t="n">
        <v>45928</v>
      </c>
      <c r="D572" t="inlineStr">
        <is>
          <t>KALMAR LÄN</t>
        </is>
      </c>
      <c r="E572" t="inlineStr">
        <is>
          <t>VIMMERBY</t>
        </is>
      </c>
      <c r="G572" t="n">
        <v>2.3</v>
      </c>
      <c r="H572" t="n">
        <v>0</v>
      </c>
      <c r="I572" t="n">
        <v>0</v>
      </c>
      <c r="J572" t="n">
        <v>0</v>
      </c>
      <c r="K572" t="n">
        <v>0</v>
      </c>
      <c r="L572" t="n">
        <v>0</v>
      </c>
      <c r="M572" t="n">
        <v>0</v>
      </c>
      <c r="N572" t="n">
        <v>0</v>
      </c>
      <c r="O572" t="n">
        <v>0</v>
      </c>
      <c r="P572" t="n">
        <v>0</v>
      </c>
      <c r="Q572" t="n">
        <v>0</v>
      </c>
      <c r="R572" s="2" t="inlineStr"/>
    </row>
    <row r="573" ht="15" customHeight="1">
      <c r="A573" t="inlineStr">
        <is>
          <t>A 36030-2024</t>
        </is>
      </c>
      <c r="B573" s="1" t="n">
        <v>45533.58302083334</v>
      </c>
      <c r="C573" s="1" t="n">
        <v>45928</v>
      </c>
      <c r="D573" t="inlineStr">
        <is>
          <t>KALMAR LÄN</t>
        </is>
      </c>
      <c r="E573" t="inlineStr">
        <is>
          <t>VIMMERBY</t>
        </is>
      </c>
      <c r="F573" t="inlineStr">
        <is>
          <t>Kommuner</t>
        </is>
      </c>
      <c r="G573" t="n">
        <v>4</v>
      </c>
      <c r="H573" t="n">
        <v>0</v>
      </c>
      <c r="I573" t="n">
        <v>0</v>
      </c>
      <c r="J573" t="n">
        <v>0</v>
      </c>
      <c r="K573" t="n">
        <v>0</v>
      </c>
      <c r="L573" t="n">
        <v>0</v>
      </c>
      <c r="M573" t="n">
        <v>0</v>
      </c>
      <c r="N573" t="n">
        <v>0</v>
      </c>
      <c r="O573" t="n">
        <v>0</v>
      </c>
      <c r="P573" t="n">
        <v>0</v>
      </c>
      <c r="Q573" t="n">
        <v>0</v>
      </c>
      <c r="R573" s="2" t="inlineStr"/>
    </row>
    <row r="574" ht="15" customHeight="1">
      <c r="A574" t="inlineStr">
        <is>
          <t>A 29168-2024</t>
        </is>
      </c>
      <c r="B574" s="1" t="n">
        <v>45482.49870370371</v>
      </c>
      <c r="C574" s="1" t="n">
        <v>45928</v>
      </c>
      <c r="D574" t="inlineStr">
        <is>
          <t>KALMAR LÄN</t>
        </is>
      </c>
      <c r="E574" t="inlineStr">
        <is>
          <t>VIMMERBY</t>
        </is>
      </c>
      <c r="G574" t="n">
        <v>1.4</v>
      </c>
      <c r="H574" t="n">
        <v>0</v>
      </c>
      <c r="I574" t="n">
        <v>0</v>
      </c>
      <c r="J574" t="n">
        <v>0</v>
      </c>
      <c r="K574" t="n">
        <v>0</v>
      </c>
      <c r="L574" t="n">
        <v>0</v>
      </c>
      <c r="M574" t="n">
        <v>0</v>
      </c>
      <c r="N574" t="n">
        <v>0</v>
      </c>
      <c r="O574" t="n">
        <v>0</v>
      </c>
      <c r="P574" t="n">
        <v>0</v>
      </c>
      <c r="Q574" t="n">
        <v>0</v>
      </c>
      <c r="R574" s="2" t="inlineStr"/>
    </row>
    <row r="575" ht="15" customHeight="1">
      <c r="A575" t="inlineStr">
        <is>
          <t>A 29186-2024</t>
        </is>
      </c>
      <c r="B575" s="1" t="n">
        <v>45482.54844907407</v>
      </c>
      <c r="C575" s="1" t="n">
        <v>45928</v>
      </c>
      <c r="D575" t="inlineStr">
        <is>
          <t>KALMAR LÄN</t>
        </is>
      </c>
      <c r="E575" t="inlineStr">
        <is>
          <t>VIMMERBY</t>
        </is>
      </c>
      <c r="G575" t="n">
        <v>2.6</v>
      </c>
      <c r="H575" t="n">
        <v>0</v>
      </c>
      <c r="I575" t="n">
        <v>0</v>
      </c>
      <c r="J575" t="n">
        <v>0</v>
      </c>
      <c r="K575" t="n">
        <v>0</v>
      </c>
      <c r="L575" t="n">
        <v>0</v>
      </c>
      <c r="M575" t="n">
        <v>0</v>
      </c>
      <c r="N575" t="n">
        <v>0</v>
      </c>
      <c r="O575" t="n">
        <v>0</v>
      </c>
      <c r="P575" t="n">
        <v>0</v>
      </c>
      <c r="Q575" t="n">
        <v>0</v>
      </c>
      <c r="R575" s="2" t="inlineStr"/>
    </row>
    <row r="576" ht="15" customHeight="1">
      <c r="A576" t="inlineStr">
        <is>
          <t>A 35895-2024</t>
        </is>
      </c>
      <c r="B576" s="1" t="n">
        <v>45533.38870370371</v>
      </c>
      <c r="C576" s="1" t="n">
        <v>45928</v>
      </c>
      <c r="D576" t="inlineStr">
        <is>
          <t>KALMAR LÄN</t>
        </is>
      </c>
      <c r="E576" t="inlineStr">
        <is>
          <t>VIMMERBY</t>
        </is>
      </c>
      <c r="G576" t="n">
        <v>1.4</v>
      </c>
      <c r="H576" t="n">
        <v>0</v>
      </c>
      <c r="I576" t="n">
        <v>0</v>
      </c>
      <c r="J576" t="n">
        <v>0</v>
      </c>
      <c r="K576" t="n">
        <v>0</v>
      </c>
      <c r="L576" t="n">
        <v>0</v>
      </c>
      <c r="M576" t="n">
        <v>0</v>
      </c>
      <c r="N576" t="n">
        <v>0</v>
      </c>
      <c r="O576" t="n">
        <v>0</v>
      </c>
      <c r="P576" t="n">
        <v>0</v>
      </c>
      <c r="Q576" t="n">
        <v>0</v>
      </c>
      <c r="R576" s="2" t="inlineStr"/>
    </row>
    <row r="577" ht="15" customHeight="1">
      <c r="A577" t="inlineStr">
        <is>
          <t>A 12590-2025</t>
        </is>
      </c>
      <c r="B577" s="1" t="n">
        <v>45732.79925925926</v>
      </c>
      <c r="C577" s="1" t="n">
        <v>45928</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30318-2023</t>
        </is>
      </c>
      <c r="B578" s="1" t="n">
        <v>45111.30824074074</v>
      </c>
      <c r="C578" s="1" t="n">
        <v>45928</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7627-2025</t>
        </is>
      </c>
      <c r="B579" s="1" t="n">
        <v>45705.73300925926</v>
      </c>
      <c r="C579" s="1" t="n">
        <v>45928</v>
      </c>
      <c r="D579" t="inlineStr">
        <is>
          <t>KALMAR LÄN</t>
        </is>
      </c>
      <c r="E579" t="inlineStr">
        <is>
          <t>VIMMERBY</t>
        </is>
      </c>
      <c r="G579" t="n">
        <v>2.1</v>
      </c>
      <c r="H579" t="n">
        <v>0</v>
      </c>
      <c r="I579" t="n">
        <v>0</v>
      </c>
      <c r="J579" t="n">
        <v>0</v>
      </c>
      <c r="K579" t="n">
        <v>0</v>
      </c>
      <c r="L579" t="n">
        <v>0</v>
      </c>
      <c r="M579" t="n">
        <v>0</v>
      </c>
      <c r="N579" t="n">
        <v>0</v>
      </c>
      <c r="O579" t="n">
        <v>0</v>
      </c>
      <c r="P579" t="n">
        <v>0</v>
      </c>
      <c r="Q579" t="n">
        <v>0</v>
      </c>
      <c r="R579" s="2" t="inlineStr"/>
    </row>
    <row r="580" ht="15" customHeight="1">
      <c r="A580" t="inlineStr">
        <is>
          <t>A 6321-2023</t>
        </is>
      </c>
      <c r="B580" s="1" t="n">
        <v>44965.4815162037</v>
      </c>
      <c r="C580" s="1" t="n">
        <v>45928</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43186-2021</t>
        </is>
      </c>
      <c r="B581" s="1" t="n">
        <v>44431.84840277778</v>
      </c>
      <c r="C581" s="1" t="n">
        <v>45928</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60215-2022</t>
        </is>
      </c>
      <c r="B582" s="1" t="n">
        <v>44910.41346064815</v>
      </c>
      <c r="C582" s="1" t="n">
        <v>45928</v>
      </c>
      <c r="D582" t="inlineStr">
        <is>
          <t>KALMAR LÄN</t>
        </is>
      </c>
      <c r="E582" t="inlineStr">
        <is>
          <t>VIMMERBY</t>
        </is>
      </c>
      <c r="G582" t="n">
        <v>1.1</v>
      </c>
      <c r="H582" t="n">
        <v>0</v>
      </c>
      <c r="I582" t="n">
        <v>0</v>
      </c>
      <c r="J582" t="n">
        <v>0</v>
      </c>
      <c r="K582" t="n">
        <v>0</v>
      </c>
      <c r="L582" t="n">
        <v>0</v>
      </c>
      <c r="M582" t="n">
        <v>0</v>
      </c>
      <c r="N582" t="n">
        <v>0</v>
      </c>
      <c r="O582" t="n">
        <v>0</v>
      </c>
      <c r="P582" t="n">
        <v>0</v>
      </c>
      <c r="Q582" t="n">
        <v>0</v>
      </c>
      <c r="R582" s="2" t="inlineStr"/>
    </row>
    <row r="583" ht="15" customHeight="1">
      <c r="A583" t="inlineStr">
        <is>
          <t>A 60230-2022</t>
        </is>
      </c>
      <c r="B583" s="1" t="n">
        <v>44910</v>
      </c>
      <c r="C583" s="1" t="n">
        <v>45928</v>
      </c>
      <c r="D583" t="inlineStr">
        <is>
          <t>KALMAR LÄN</t>
        </is>
      </c>
      <c r="E583" t="inlineStr">
        <is>
          <t>VIMMERBY</t>
        </is>
      </c>
      <c r="G583" t="n">
        <v>11.3</v>
      </c>
      <c r="H583" t="n">
        <v>0</v>
      </c>
      <c r="I583" t="n">
        <v>0</v>
      </c>
      <c r="J583" t="n">
        <v>0</v>
      </c>
      <c r="K583" t="n">
        <v>0</v>
      </c>
      <c r="L583" t="n">
        <v>0</v>
      </c>
      <c r="M583" t="n">
        <v>0</v>
      </c>
      <c r="N583" t="n">
        <v>0</v>
      </c>
      <c r="O583" t="n">
        <v>0</v>
      </c>
      <c r="P583" t="n">
        <v>0</v>
      </c>
      <c r="Q583" t="n">
        <v>0</v>
      </c>
      <c r="R583" s="2" t="inlineStr"/>
    </row>
    <row r="584" ht="15" customHeight="1">
      <c r="A584" t="inlineStr">
        <is>
          <t>A 5925-2022</t>
        </is>
      </c>
      <c r="B584" s="1" t="n">
        <v>44598.7384837963</v>
      </c>
      <c r="C584" s="1" t="n">
        <v>45928</v>
      </c>
      <c r="D584" t="inlineStr">
        <is>
          <t>KALMAR LÄN</t>
        </is>
      </c>
      <c r="E584" t="inlineStr">
        <is>
          <t>VIMMERBY</t>
        </is>
      </c>
      <c r="G584" t="n">
        <v>2.1</v>
      </c>
      <c r="H584" t="n">
        <v>0</v>
      </c>
      <c r="I584" t="n">
        <v>0</v>
      </c>
      <c r="J584" t="n">
        <v>0</v>
      </c>
      <c r="K584" t="n">
        <v>0</v>
      </c>
      <c r="L584" t="n">
        <v>0</v>
      </c>
      <c r="M584" t="n">
        <v>0</v>
      </c>
      <c r="N584" t="n">
        <v>0</v>
      </c>
      <c r="O584" t="n">
        <v>0</v>
      </c>
      <c r="P584" t="n">
        <v>0</v>
      </c>
      <c r="Q584" t="n">
        <v>0</v>
      </c>
      <c r="R584" s="2" t="inlineStr"/>
    </row>
    <row r="585" ht="15" customHeight="1">
      <c r="A585" t="inlineStr">
        <is>
          <t>A 845-2023</t>
        </is>
      </c>
      <c r="B585" s="1" t="n">
        <v>44931</v>
      </c>
      <c r="C585" s="1" t="n">
        <v>45928</v>
      </c>
      <c r="D585" t="inlineStr">
        <is>
          <t>KALMAR LÄN</t>
        </is>
      </c>
      <c r="E585" t="inlineStr">
        <is>
          <t>VIMMERBY</t>
        </is>
      </c>
      <c r="F585" t="inlineStr">
        <is>
          <t>Övriga Aktiebolag</t>
        </is>
      </c>
      <c r="G585" t="n">
        <v>19</v>
      </c>
      <c r="H585" t="n">
        <v>0</v>
      </c>
      <c r="I585" t="n">
        <v>0</v>
      </c>
      <c r="J585" t="n">
        <v>0</v>
      </c>
      <c r="K585" t="n">
        <v>0</v>
      </c>
      <c r="L585" t="n">
        <v>0</v>
      </c>
      <c r="M585" t="n">
        <v>0</v>
      </c>
      <c r="N585" t="n">
        <v>0</v>
      </c>
      <c r="O585" t="n">
        <v>0</v>
      </c>
      <c r="P585" t="n">
        <v>0</v>
      </c>
      <c r="Q585" t="n">
        <v>0</v>
      </c>
      <c r="R585" s="2" t="inlineStr"/>
    </row>
    <row r="586" ht="15" customHeight="1">
      <c r="A586" t="inlineStr">
        <is>
          <t>A 16119-2023</t>
        </is>
      </c>
      <c r="B586" s="1" t="n">
        <v>45027.59450231482</v>
      </c>
      <c r="C586" s="1" t="n">
        <v>45928</v>
      </c>
      <c r="D586" t="inlineStr">
        <is>
          <t>KALMAR LÄN</t>
        </is>
      </c>
      <c r="E586" t="inlineStr">
        <is>
          <t>VIMMERBY</t>
        </is>
      </c>
      <c r="F586" t="inlineStr">
        <is>
          <t>Kommuner</t>
        </is>
      </c>
      <c r="G586" t="n">
        <v>4.4</v>
      </c>
      <c r="H586" t="n">
        <v>0</v>
      </c>
      <c r="I586" t="n">
        <v>0</v>
      </c>
      <c r="J586" t="n">
        <v>0</v>
      </c>
      <c r="K586" t="n">
        <v>0</v>
      </c>
      <c r="L586" t="n">
        <v>0</v>
      </c>
      <c r="M586" t="n">
        <v>0</v>
      </c>
      <c r="N586" t="n">
        <v>0</v>
      </c>
      <c r="O586" t="n">
        <v>0</v>
      </c>
      <c r="P586" t="n">
        <v>0</v>
      </c>
      <c r="Q586" t="n">
        <v>0</v>
      </c>
      <c r="R586" s="2" t="inlineStr"/>
    </row>
    <row r="587" ht="15" customHeight="1">
      <c r="A587" t="inlineStr">
        <is>
          <t>A 30588-2023</t>
        </is>
      </c>
      <c r="B587" s="1" t="n">
        <v>45112.33599537037</v>
      </c>
      <c r="C587" s="1" t="n">
        <v>45928</v>
      </c>
      <c r="D587" t="inlineStr">
        <is>
          <t>KALMAR LÄN</t>
        </is>
      </c>
      <c r="E587" t="inlineStr">
        <is>
          <t>VIMMERBY</t>
        </is>
      </c>
      <c r="G587" t="n">
        <v>2.7</v>
      </c>
      <c r="H587" t="n">
        <v>0</v>
      </c>
      <c r="I587" t="n">
        <v>0</v>
      </c>
      <c r="J587" t="n">
        <v>0</v>
      </c>
      <c r="K587" t="n">
        <v>0</v>
      </c>
      <c r="L587" t="n">
        <v>0</v>
      </c>
      <c r="M587" t="n">
        <v>0</v>
      </c>
      <c r="N587" t="n">
        <v>0</v>
      </c>
      <c r="O587" t="n">
        <v>0</v>
      </c>
      <c r="P587" t="n">
        <v>0</v>
      </c>
      <c r="Q587" t="n">
        <v>0</v>
      </c>
      <c r="R587" s="2" t="inlineStr"/>
    </row>
    <row r="588" ht="15" customHeight="1">
      <c r="A588" t="inlineStr">
        <is>
          <t>A 52755-2022</t>
        </is>
      </c>
      <c r="B588" s="1" t="n">
        <v>44875.27736111111</v>
      </c>
      <c r="C588" s="1" t="n">
        <v>45928</v>
      </c>
      <c r="D588" t="inlineStr">
        <is>
          <t>KALMAR LÄN</t>
        </is>
      </c>
      <c r="E588" t="inlineStr">
        <is>
          <t>VIMMERBY</t>
        </is>
      </c>
      <c r="G588" t="n">
        <v>1.1</v>
      </c>
      <c r="H588" t="n">
        <v>0</v>
      </c>
      <c r="I588" t="n">
        <v>0</v>
      </c>
      <c r="J588" t="n">
        <v>0</v>
      </c>
      <c r="K588" t="n">
        <v>0</v>
      </c>
      <c r="L588" t="n">
        <v>0</v>
      </c>
      <c r="M588" t="n">
        <v>0</v>
      </c>
      <c r="N588" t="n">
        <v>0</v>
      </c>
      <c r="O588" t="n">
        <v>0</v>
      </c>
      <c r="P588" t="n">
        <v>0</v>
      </c>
      <c r="Q588" t="n">
        <v>0</v>
      </c>
      <c r="R588" s="2" t="inlineStr"/>
    </row>
    <row r="589" ht="15" customHeight="1">
      <c r="A589" t="inlineStr">
        <is>
          <t>A 50764-2020</t>
        </is>
      </c>
      <c r="B589" s="1" t="n">
        <v>44111</v>
      </c>
      <c r="C589" s="1" t="n">
        <v>45928</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45528-2021</t>
        </is>
      </c>
      <c r="B590" s="1" t="n">
        <v>44440.60415509259</v>
      </c>
      <c r="C590" s="1" t="n">
        <v>45928</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40823-2023</t>
        </is>
      </c>
      <c r="B591" s="1" t="n">
        <v>45171.77335648148</v>
      </c>
      <c r="C591" s="1" t="n">
        <v>45928</v>
      </c>
      <c r="D591" t="inlineStr">
        <is>
          <t>KALMAR LÄN</t>
        </is>
      </c>
      <c r="E591" t="inlineStr">
        <is>
          <t>VIMMERBY</t>
        </is>
      </c>
      <c r="G591" t="n">
        <v>2.7</v>
      </c>
      <c r="H591" t="n">
        <v>0</v>
      </c>
      <c r="I591" t="n">
        <v>0</v>
      </c>
      <c r="J591" t="n">
        <v>0</v>
      </c>
      <c r="K591" t="n">
        <v>0</v>
      </c>
      <c r="L591" t="n">
        <v>0</v>
      </c>
      <c r="M591" t="n">
        <v>0</v>
      </c>
      <c r="N591" t="n">
        <v>0</v>
      </c>
      <c r="O591" t="n">
        <v>0</v>
      </c>
      <c r="P591" t="n">
        <v>0</v>
      </c>
      <c r="Q591" t="n">
        <v>0</v>
      </c>
      <c r="R591" s="2" t="inlineStr"/>
    </row>
    <row r="592" ht="15" customHeight="1">
      <c r="A592" t="inlineStr">
        <is>
          <t>A 27761-2024</t>
        </is>
      </c>
      <c r="B592" s="1" t="n">
        <v>45475.49018518518</v>
      </c>
      <c r="C592" s="1" t="n">
        <v>45928</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21028-2023</t>
        </is>
      </c>
      <c r="B593" s="1" t="n">
        <v>45061</v>
      </c>
      <c r="C593" s="1" t="n">
        <v>45928</v>
      </c>
      <c r="D593" t="inlineStr">
        <is>
          <t>KALMAR LÄN</t>
        </is>
      </c>
      <c r="E593" t="inlineStr">
        <is>
          <t>VIMMERBY</t>
        </is>
      </c>
      <c r="F593" t="inlineStr">
        <is>
          <t>Övriga Aktiebolag</t>
        </is>
      </c>
      <c r="G593" t="n">
        <v>0.7</v>
      </c>
      <c r="H593" t="n">
        <v>0</v>
      </c>
      <c r="I593" t="n">
        <v>0</v>
      </c>
      <c r="J593" t="n">
        <v>0</v>
      </c>
      <c r="K593" t="n">
        <v>0</v>
      </c>
      <c r="L593" t="n">
        <v>0</v>
      </c>
      <c r="M593" t="n">
        <v>0</v>
      </c>
      <c r="N593" t="n">
        <v>0</v>
      </c>
      <c r="O593" t="n">
        <v>0</v>
      </c>
      <c r="P593" t="n">
        <v>0</v>
      </c>
      <c r="Q593" t="n">
        <v>0</v>
      </c>
      <c r="R593" s="2" t="inlineStr"/>
    </row>
    <row r="594" ht="15" customHeight="1">
      <c r="A594" t="inlineStr">
        <is>
          <t>A 64203-2021</t>
        </is>
      </c>
      <c r="B594" s="1" t="n">
        <v>44510.60921296296</v>
      </c>
      <c r="C594" s="1" t="n">
        <v>45928</v>
      </c>
      <c r="D594" t="inlineStr">
        <is>
          <t>KALMAR LÄN</t>
        </is>
      </c>
      <c r="E594" t="inlineStr">
        <is>
          <t>VIMMERBY</t>
        </is>
      </c>
      <c r="F594" t="inlineStr">
        <is>
          <t>Övriga Aktiebolag</t>
        </is>
      </c>
      <c r="G594" t="n">
        <v>5.4</v>
      </c>
      <c r="H594" t="n">
        <v>0</v>
      </c>
      <c r="I594" t="n">
        <v>0</v>
      </c>
      <c r="J594" t="n">
        <v>0</v>
      </c>
      <c r="K594" t="n">
        <v>0</v>
      </c>
      <c r="L594" t="n">
        <v>0</v>
      </c>
      <c r="M594" t="n">
        <v>0</v>
      </c>
      <c r="N594" t="n">
        <v>0</v>
      </c>
      <c r="O594" t="n">
        <v>0</v>
      </c>
      <c r="P594" t="n">
        <v>0</v>
      </c>
      <c r="Q594" t="n">
        <v>0</v>
      </c>
      <c r="R594" s="2" t="inlineStr"/>
    </row>
    <row r="595" ht="15" customHeight="1">
      <c r="A595" t="inlineStr">
        <is>
          <t>A 16516-2023</t>
        </is>
      </c>
      <c r="B595" s="1" t="n">
        <v>45029</v>
      </c>
      <c r="C595" s="1" t="n">
        <v>45928</v>
      </c>
      <c r="D595" t="inlineStr">
        <is>
          <t>KALMAR LÄN</t>
        </is>
      </c>
      <c r="E595" t="inlineStr">
        <is>
          <t>VIMMERBY</t>
        </is>
      </c>
      <c r="G595" t="n">
        <v>4.3</v>
      </c>
      <c r="H595" t="n">
        <v>0</v>
      </c>
      <c r="I595" t="n">
        <v>0</v>
      </c>
      <c r="J595" t="n">
        <v>0</v>
      </c>
      <c r="K595" t="n">
        <v>0</v>
      </c>
      <c r="L595" t="n">
        <v>0</v>
      </c>
      <c r="M595" t="n">
        <v>0</v>
      </c>
      <c r="N595" t="n">
        <v>0</v>
      </c>
      <c r="O595" t="n">
        <v>0</v>
      </c>
      <c r="P595" t="n">
        <v>0</v>
      </c>
      <c r="Q595" t="n">
        <v>0</v>
      </c>
      <c r="R595" s="2" t="inlineStr"/>
    </row>
    <row r="596" ht="15" customHeight="1">
      <c r="A596" t="inlineStr">
        <is>
          <t>A 2510-2023</t>
        </is>
      </c>
      <c r="B596" s="1" t="n">
        <v>44943.57309027778</v>
      </c>
      <c r="C596" s="1" t="n">
        <v>45928</v>
      </c>
      <c r="D596" t="inlineStr">
        <is>
          <t>KALMAR LÄN</t>
        </is>
      </c>
      <c r="E596" t="inlineStr">
        <is>
          <t>VIMMERBY</t>
        </is>
      </c>
      <c r="G596" t="n">
        <v>8.6</v>
      </c>
      <c r="H596" t="n">
        <v>0</v>
      </c>
      <c r="I596" t="n">
        <v>0</v>
      </c>
      <c r="J596" t="n">
        <v>0</v>
      </c>
      <c r="K596" t="n">
        <v>0</v>
      </c>
      <c r="L596" t="n">
        <v>0</v>
      </c>
      <c r="M596" t="n">
        <v>0</v>
      </c>
      <c r="N596" t="n">
        <v>0</v>
      </c>
      <c r="O596" t="n">
        <v>0</v>
      </c>
      <c r="P596" t="n">
        <v>0</v>
      </c>
      <c r="Q596" t="n">
        <v>0</v>
      </c>
      <c r="R596" s="2" t="inlineStr"/>
    </row>
    <row r="597" ht="15" customHeight="1">
      <c r="A597" t="inlineStr">
        <is>
          <t>A 1016-2024</t>
        </is>
      </c>
      <c r="B597" s="1" t="n">
        <v>45301</v>
      </c>
      <c r="C597" s="1" t="n">
        <v>45928</v>
      </c>
      <c r="D597" t="inlineStr">
        <is>
          <t>KALMAR LÄN</t>
        </is>
      </c>
      <c r="E597" t="inlineStr">
        <is>
          <t>VIMMERBY</t>
        </is>
      </c>
      <c r="G597" t="n">
        <v>1</v>
      </c>
      <c r="H597" t="n">
        <v>0</v>
      </c>
      <c r="I597" t="n">
        <v>0</v>
      </c>
      <c r="J597" t="n">
        <v>0</v>
      </c>
      <c r="K597" t="n">
        <v>0</v>
      </c>
      <c r="L597" t="n">
        <v>0</v>
      </c>
      <c r="M597" t="n">
        <v>0</v>
      </c>
      <c r="N597" t="n">
        <v>0</v>
      </c>
      <c r="O597" t="n">
        <v>0</v>
      </c>
      <c r="P597" t="n">
        <v>0</v>
      </c>
      <c r="Q597" t="n">
        <v>0</v>
      </c>
      <c r="R597" s="2" t="inlineStr"/>
    </row>
    <row r="598" ht="15" customHeight="1">
      <c r="A598" t="inlineStr">
        <is>
          <t>A 1024-2024</t>
        </is>
      </c>
      <c r="B598" s="1" t="n">
        <v>45301.68237268519</v>
      </c>
      <c r="C598" s="1" t="n">
        <v>45928</v>
      </c>
      <c r="D598" t="inlineStr">
        <is>
          <t>KALMAR LÄN</t>
        </is>
      </c>
      <c r="E598" t="inlineStr">
        <is>
          <t>VIMMERBY</t>
        </is>
      </c>
      <c r="G598" t="n">
        <v>13</v>
      </c>
      <c r="H598" t="n">
        <v>0</v>
      </c>
      <c r="I598" t="n">
        <v>0</v>
      </c>
      <c r="J598" t="n">
        <v>0</v>
      </c>
      <c r="K598" t="n">
        <v>0</v>
      </c>
      <c r="L598" t="n">
        <v>0</v>
      </c>
      <c r="M598" t="n">
        <v>0</v>
      </c>
      <c r="N598" t="n">
        <v>0</v>
      </c>
      <c r="O598" t="n">
        <v>0</v>
      </c>
      <c r="P598" t="n">
        <v>0</v>
      </c>
      <c r="Q598" t="n">
        <v>0</v>
      </c>
      <c r="R598" s="2" t="inlineStr"/>
    </row>
    <row r="599" ht="15" customHeight="1">
      <c r="A599" t="inlineStr">
        <is>
          <t>A 27758-2024</t>
        </is>
      </c>
      <c r="B599" s="1" t="n">
        <v>45475.48303240741</v>
      </c>
      <c r="C599" s="1" t="n">
        <v>45928</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32865-2023</t>
        </is>
      </c>
      <c r="B600" s="1" t="n">
        <v>45124</v>
      </c>
      <c r="C600" s="1" t="n">
        <v>45928</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48373-2021</t>
        </is>
      </c>
      <c r="B601" s="1" t="n">
        <v>44451</v>
      </c>
      <c r="C601" s="1" t="n">
        <v>45928</v>
      </c>
      <c r="D601" t="inlineStr">
        <is>
          <t>KALMAR LÄN</t>
        </is>
      </c>
      <c r="E601" t="inlineStr">
        <is>
          <t>VIMMERBY</t>
        </is>
      </c>
      <c r="G601" t="n">
        <v>2.2</v>
      </c>
      <c r="H601" t="n">
        <v>0</v>
      </c>
      <c r="I601" t="n">
        <v>0</v>
      </c>
      <c r="J601" t="n">
        <v>0</v>
      </c>
      <c r="K601" t="n">
        <v>0</v>
      </c>
      <c r="L601" t="n">
        <v>0</v>
      </c>
      <c r="M601" t="n">
        <v>0</v>
      </c>
      <c r="N601" t="n">
        <v>0</v>
      </c>
      <c r="O601" t="n">
        <v>0</v>
      </c>
      <c r="P601" t="n">
        <v>0</v>
      </c>
      <c r="Q601" t="n">
        <v>0</v>
      </c>
      <c r="R601" s="2" t="inlineStr"/>
    </row>
    <row r="602" ht="15" customHeight="1">
      <c r="A602" t="inlineStr">
        <is>
          <t>A 22194-2024</t>
        </is>
      </c>
      <c r="B602" s="1" t="n">
        <v>45446.36482638889</v>
      </c>
      <c r="C602" s="1" t="n">
        <v>45928</v>
      </c>
      <c r="D602" t="inlineStr">
        <is>
          <t>KALMAR LÄN</t>
        </is>
      </c>
      <c r="E602" t="inlineStr">
        <is>
          <t>VIMMERBY</t>
        </is>
      </c>
      <c r="F602" t="inlineStr">
        <is>
          <t>Sveaskog</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17926-2025</t>
        </is>
      </c>
      <c r="B603" s="1" t="n">
        <v>45759.38987268518</v>
      </c>
      <c r="C603" s="1" t="n">
        <v>45928</v>
      </c>
      <c r="D603" t="inlineStr">
        <is>
          <t>KALMAR LÄN</t>
        </is>
      </c>
      <c r="E603" t="inlineStr">
        <is>
          <t>VIMMERBY</t>
        </is>
      </c>
      <c r="G603" t="n">
        <v>1</v>
      </c>
      <c r="H603" t="n">
        <v>0</v>
      </c>
      <c r="I603" t="n">
        <v>0</v>
      </c>
      <c r="J603" t="n">
        <v>0</v>
      </c>
      <c r="K603" t="n">
        <v>0</v>
      </c>
      <c r="L603" t="n">
        <v>0</v>
      </c>
      <c r="M603" t="n">
        <v>0</v>
      </c>
      <c r="N603" t="n">
        <v>0</v>
      </c>
      <c r="O603" t="n">
        <v>0</v>
      </c>
      <c r="P603" t="n">
        <v>0</v>
      </c>
      <c r="Q603" t="n">
        <v>0</v>
      </c>
      <c r="R603" s="2" t="inlineStr"/>
    </row>
    <row r="604" ht="15" customHeight="1">
      <c r="A604" t="inlineStr">
        <is>
          <t>A 35127-2024</t>
        </is>
      </c>
      <c r="B604" s="1" t="n">
        <v>45530.33202546297</v>
      </c>
      <c r="C604" s="1" t="n">
        <v>45928</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7485-2024</t>
        </is>
      </c>
      <c r="B605" s="1" t="n">
        <v>45346.67184027778</v>
      </c>
      <c r="C605" s="1" t="n">
        <v>45928</v>
      </c>
      <c r="D605" t="inlineStr">
        <is>
          <t>KALMAR LÄN</t>
        </is>
      </c>
      <c r="E605" t="inlineStr">
        <is>
          <t>VIMMERBY</t>
        </is>
      </c>
      <c r="G605" t="n">
        <v>1.9</v>
      </c>
      <c r="H605" t="n">
        <v>0</v>
      </c>
      <c r="I605" t="n">
        <v>0</v>
      </c>
      <c r="J605" t="n">
        <v>0</v>
      </c>
      <c r="K605" t="n">
        <v>0</v>
      </c>
      <c r="L605" t="n">
        <v>0</v>
      </c>
      <c r="M605" t="n">
        <v>0</v>
      </c>
      <c r="N605" t="n">
        <v>0</v>
      </c>
      <c r="O605" t="n">
        <v>0</v>
      </c>
      <c r="P605" t="n">
        <v>0</v>
      </c>
      <c r="Q605" t="n">
        <v>0</v>
      </c>
      <c r="R605" s="2" t="inlineStr"/>
    </row>
    <row r="606" ht="15" customHeight="1">
      <c r="A606" t="inlineStr">
        <is>
          <t>A 33383-2023</t>
        </is>
      </c>
      <c r="B606" s="1" t="n">
        <v>45128.58414351852</v>
      </c>
      <c r="C606" s="1" t="n">
        <v>45928</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6574-2023</t>
        </is>
      </c>
      <c r="B607" s="1" t="n">
        <v>44966</v>
      </c>
      <c r="C607" s="1" t="n">
        <v>45928</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4297-2022</t>
        </is>
      </c>
      <c r="B608" s="1" t="n">
        <v>44588</v>
      </c>
      <c r="C608" s="1" t="n">
        <v>45928</v>
      </c>
      <c r="D608" t="inlineStr">
        <is>
          <t>KALMAR LÄN</t>
        </is>
      </c>
      <c r="E608" t="inlineStr">
        <is>
          <t>VIMMERBY</t>
        </is>
      </c>
      <c r="G608" t="n">
        <v>1</v>
      </c>
      <c r="H608" t="n">
        <v>0</v>
      </c>
      <c r="I608" t="n">
        <v>0</v>
      </c>
      <c r="J608" t="n">
        <v>0</v>
      </c>
      <c r="K608" t="n">
        <v>0</v>
      </c>
      <c r="L608" t="n">
        <v>0</v>
      </c>
      <c r="M608" t="n">
        <v>0</v>
      </c>
      <c r="N608" t="n">
        <v>0</v>
      </c>
      <c r="O608" t="n">
        <v>0</v>
      </c>
      <c r="P608" t="n">
        <v>0</v>
      </c>
      <c r="Q608" t="n">
        <v>0</v>
      </c>
      <c r="R608" s="2" t="inlineStr"/>
    </row>
    <row r="609" ht="15" customHeight="1">
      <c r="A609" t="inlineStr">
        <is>
          <t>A 20054-2023</t>
        </is>
      </c>
      <c r="B609" s="1" t="n">
        <v>45054.6750462963</v>
      </c>
      <c r="C609" s="1" t="n">
        <v>45928</v>
      </c>
      <c r="D609" t="inlineStr">
        <is>
          <t>KALMAR LÄN</t>
        </is>
      </c>
      <c r="E609" t="inlineStr">
        <is>
          <t>VIMMERBY</t>
        </is>
      </c>
      <c r="G609" t="n">
        <v>2.4</v>
      </c>
      <c r="H609" t="n">
        <v>0</v>
      </c>
      <c r="I609" t="n">
        <v>0</v>
      </c>
      <c r="J609" t="n">
        <v>0</v>
      </c>
      <c r="K609" t="n">
        <v>0</v>
      </c>
      <c r="L609" t="n">
        <v>0</v>
      </c>
      <c r="M609" t="n">
        <v>0</v>
      </c>
      <c r="N609" t="n">
        <v>0</v>
      </c>
      <c r="O609" t="n">
        <v>0</v>
      </c>
      <c r="P609" t="n">
        <v>0</v>
      </c>
      <c r="Q609" t="n">
        <v>0</v>
      </c>
      <c r="R609" s="2" t="inlineStr"/>
    </row>
    <row r="610" ht="15" customHeight="1">
      <c r="A610" t="inlineStr">
        <is>
          <t>A 58750-2022</t>
        </is>
      </c>
      <c r="B610" s="1" t="n">
        <v>44903.33363425926</v>
      </c>
      <c r="C610" s="1" t="n">
        <v>45928</v>
      </c>
      <c r="D610" t="inlineStr">
        <is>
          <t>KALMAR LÄN</t>
        </is>
      </c>
      <c r="E610" t="inlineStr">
        <is>
          <t>VIMMERBY</t>
        </is>
      </c>
      <c r="G610" t="n">
        <v>3.3</v>
      </c>
      <c r="H610" t="n">
        <v>0</v>
      </c>
      <c r="I610" t="n">
        <v>0</v>
      </c>
      <c r="J610" t="n">
        <v>0</v>
      </c>
      <c r="K610" t="n">
        <v>0</v>
      </c>
      <c r="L610" t="n">
        <v>0</v>
      </c>
      <c r="M610" t="n">
        <v>0</v>
      </c>
      <c r="N610" t="n">
        <v>0</v>
      </c>
      <c r="O610" t="n">
        <v>0</v>
      </c>
      <c r="P610" t="n">
        <v>0</v>
      </c>
      <c r="Q610" t="n">
        <v>0</v>
      </c>
      <c r="R610" s="2" t="inlineStr"/>
    </row>
    <row r="611" ht="15" customHeight="1">
      <c r="A611" t="inlineStr">
        <is>
          <t>A 55716-2023</t>
        </is>
      </c>
      <c r="B611" s="1" t="n">
        <v>45232</v>
      </c>
      <c r="C611" s="1" t="n">
        <v>45928</v>
      </c>
      <c r="D611" t="inlineStr">
        <is>
          <t>KALMAR LÄN</t>
        </is>
      </c>
      <c r="E611" t="inlineStr">
        <is>
          <t>VIMMERBY</t>
        </is>
      </c>
      <c r="G611" t="n">
        <v>2.3</v>
      </c>
      <c r="H611" t="n">
        <v>0</v>
      </c>
      <c r="I611" t="n">
        <v>0</v>
      </c>
      <c r="J611" t="n">
        <v>0</v>
      </c>
      <c r="K611" t="n">
        <v>0</v>
      </c>
      <c r="L611" t="n">
        <v>0</v>
      </c>
      <c r="M611" t="n">
        <v>0</v>
      </c>
      <c r="N611" t="n">
        <v>0</v>
      </c>
      <c r="O611" t="n">
        <v>0</v>
      </c>
      <c r="P611" t="n">
        <v>0</v>
      </c>
      <c r="Q611" t="n">
        <v>0</v>
      </c>
      <c r="R611" s="2" t="inlineStr"/>
    </row>
    <row r="612" ht="15" customHeight="1">
      <c r="A612" t="inlineStr">
        <is>
          <t>A 34386-2024</t>
        </is>
      </c>
      <c r="B612" s="1" t="n">
        <v>45525.41762731481</v>
      </c>
      <c r="C612" s="1" t="n">
        <v>45928</v>
      </c>
      <c r="D612" t="inlineStr">
        <is>
          <t>KALMAR LÄN</t>
        </is>
      </c>
      <c r="E612" t="inlineStr">
        <is>
          <t>VIMMERBY</t>
        </is>
      </c>
      <c r="G612" t="n">
        <v>0.3</v>
      </c>
      <c r="H612" t="n">
        <v>0</v>
      </c>
      <c r="I612" t="n">
        <v>0</v>
      </c>
      <c r="J612" t="n">
        <v>0</v>
      </c>
      <c r="K612" t="n">
        <v>0</v>
      </c>
      <c r="L612" t="n">
        <v>0</v>
      </c>
      <c r="M612" t="n">
        <v>0</v>
      </c>
      <c r="N612" t="n">
        <v>0</v>
      </c>
      <c r="O612" t="n">
        <v>0</v>
      </c>
      <c r="P612" t="n">
        <v>0</v>
      </c>
      <c r="Q612" t="n">
        <v>0</v>
      </c>
      <c r="R612" s="2" t="inlineStr"/>
    </row>
    <row r="613" ht="15" customHeight="1">
      <c r="A613" t="inlineStr">
        <is>
          <t>A 2260-2022</t>
        </is>
      </c>
      <c r="B613" s="1" t="n">
        <v>44578.62943287037</v>
      </c>
      <c r="C613" s="1" t="n">
        <v>45928</v>
      </c>
      <c r="D613" t="inlineStr">
        <is>
          <t>KALMAR LÄN</t>
        </is>
      </c>
      <c r="E613" t="inlineStr">
        <is>
          <t>VIMMERBY</t>
        </is>
      </c>
      <c r="G613" t="n">
        <v>1.4</v>
      </c>
      <c r="H613" t="n">
        <v>0</v>
      </c>
      <c r="I613" t="n">
        <v>0</v>
      </c>
      <c r="J613" t="n">
        <v>0</v>
      </c>
      <c r="K613" t="n">
        <v>0</v>
      </c>
      <c r="L613" t="n">
        <v>0</v>
      </c>
      <c r="M613" t="n">
        <v>0</v>
      </c>
      <c r="N613" t="n">
        <v>0</v>
      </c>
      <c r="O613" t="n">
        <v>0</v>
      </c>
      <c r="P613" t="n">
        <v>0</v>
      </c>
      <c r="Q613" t="n">
        <v>0</v>
      </c>
      <c r="R613" s="2" t="inlineStr"/>
    </row>
    <row r="614" ht="15" customHeight="1">
      <c r="A614" t="inlineStr">
        <is>
          <t>A 42429-2024</t>
        </is>
      </c>
      <c r="B614" s="1" t="n">
        <v>45565.40657407408</v>
      </c>
      <c r="C614" s="1" t="n">
        <v>45928</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11946-2025</t>
        </is>
      </c>
      <c r="B615" s="1" t="n">
        <v>45728.54832175926</v>
      </c>
      <c r="C615" s="1" t="n">
        <v>45928</v>
      </c>
      <c r="D615" t="inlineStr">
        <is>
          <t>KALMAR LÄN</t>
        </is>
      </c>
      <c r="E615" t="inlineStr">
        <is>
          <t>VIMMERBY</t>
        </is>
      </c>
      <c r="G615" t="n">
        <v>0.4</v>
      </c>
      <c r="H615" t="n">
        <v>0</v>
      </c>
      <c r="I615" t="n">
        <v>0</v>
      </c>
      <c r="J615" t="n">
        <v>0</v>
      </c>
      <c r="K615" t="n">
        <v>0</v>
      </c>
      <c r="L615" t="n">
        <v>0</v>
      </c>
      <c r="M615" t="n">
        <v>0</v>
      </c>
      <c r="N615" t="n">
        <v>0</v>
      </c>
      <c r="O615" t="n">
        <v>0</v>
      </c>
      <c r="P615" t="n">
        <v>0</v>
      </c>
      <c r="Q615" t="n">
        <v>0</v>
      </c>
      <c r="R615" s="2" t="inlineStr"/>
    </row>
    <row r="616" ht="15" customHeight="1">
      <c r="A616" t="inlineStr">
        <is>
          <t>A 50860-2022</t>
        </is>
      </c>
      <c r="B616" s="1" t="n">
        <v>44867</v>
      </c>
      <c r="C616" s="1" t="n">
        <v>45928</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53483-2022</t>
        </is>
      </c>
      <c r="B617" s="1" t="n">
        <v>44879.55940972222</v>
      </c>
      <c r="C617" s="1" t="n">
        <v>45928</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59943-2023</t>
        </is>
      </c>
      <c r="B618" s="1" t="n">
        <v>45257.67958333333</v>
      </c>
      <c r="C618" s="1" t="n">
        <v>45928</v>
      </c>
      <c r="D618" t="inlineStr">
        <is>
          <t>KALMAR LÄN</t>
        </is>
      </c>
      <c r="E618" t="inlineStr">
        <is>
          <t>VIMMERBY</t>
        </is>
      </c>
      <c r="G618" t="n">
        <v>6.4</v>
      </c>
      <c r="H618" t="n">
        <v>0</v>
      </c>
      <c r="I618" t="n">
        <v>0</v>
      </c>
      <c r="J618" t="n">
        <v>0</v>
      </c>
      <c r="K618" t="n">
        <v>0</v>
      </c>
      <c r="L618" t="n">
        <v>0</v>
      </c>
      <c r="M618" t="n">
        <v>0</v>
      </c>
      <c r="N618" t="n">
        <v>0</v>
      </c>
      <c r="O618" t="n">
        <v>0</v>
      </c>
      <c r="P618" t="n">
        <v>0</v>
      </c>
      <c r="Q618" t="n">
        <v>0</v>
      </c>
      <c r="R618" s="2" t="inlineStr"/>
    </row>
    <row r="619" ht="15" customHeight="1">
      <c r="A619" t="inlineStr">
        <is>
          <t>A 15493-2023</t>
        </is>
      </c>
      <c r="B619" s="1" t="n">
        <v>45018</v>
      </c>
      <c r="C619" s="1" t="n">
        <v>45928</v>
      </c>
      <c r="D619" t="inlineStr">
        <is>
          <t>KALMAR LÄN</t>
        </is>
      </c>
      <c r="E619" t="inlineStr">
        <is>
          <t>VIMMERBY</t>
        </is>
      </c>
      <c r="G619" t="n">
        <v>1</v>
      </c>
      <c r="H619" t="n">
        <v>0</v>
      </c>
      <c r="I619" t="n">
        <v>0</v>
      </c>
      <c r="J619" t="n">
        <v>0</v>
      </c>
      <c r="K619" t="n">
        <v>0</v>
      </c>
      <c r="L619" t="n">
        <v>0</v>
      </c>
      <c r="M619" t="n">
        <v>0</v>
      </c>
      <c r="N619" t="n">
        <v>0</v>
      </c>
      <c r="O619" t="n">
        <v>0</v>
      </c>
      <c r="P619" t="n">
        <v>0</v>
      </c>
      <c r="Q619" t="n">
        <v>0</v>
      </c>
      <c r="R619" s="2" t="inlineStr"/>
    </row>
    <row r="620" ht="15" customHeight="1">
      <c r="A620" t="inlineStr">
        <is>
          <t>A 51881-2024</t>
        </is>
      </c>
      <c r="B620" s="1" t="n">
        <v>45607.56773148148</v>
      </c>
      <c r="C620" s="1" t="n">
        <v>45928</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1021-2024</t>
        </is>
      </c>
      <c r="B621" s="1" t="n">
        <v>45301.67736111111</v>
      </c>
      <c r="C621" s="1" t="n">
        <v>45928</v>
      </c>
      <c r="D621" t="inlineStr">
        <is>
          <t>KALMAR LÄN</t>
        </is>
      </c>
      <c r="E621" t="inlineStr">
        <is>
          <t>VIMMERBY</t>
        </is>
      </c>
      <c r="G621" t="n">
        <v>1</v>
      </c>
      <c r="H621" t="n">
        <v>0</v>
      </c>
      <c r="I621" t="n">
        <v>0</v>
      </c>
      <c r="J621" t="n">
        <v>0</v>
      </c>
      <c r="K621" t="n">
        <v>0</v>
      </c>
      <c r="L621" t="n">
        <v>0</v>
      </c>
      <c r="M621" t="n">
        <v>0</v>
      </c>
      <c r="N621" t="n">
        <v>0</v>
      </c>
      <c r="O621" t="n">
        <v>0</v>
      </c>
      <c r="P621" t="n">
        <v>0</v>
      </c>
      <c r="Q621" t="n">
        <v>0</v>
      </c>
      <c r="R621" s="2" t="inlineStr"/>
    </row>
    <row r="622" ht="15" customHeight="1">
      <c r="A622" t="inlineStr">
        <is>
          <t>A 32569-2024</t>
        </is>
      </c>
      <c r="B622" s="1" t="n">
        <v>45513.55840277778</v>
      </c>
      <c r="C622" s="1" t="n">
        <v>45928</v>
      </c>
      <c r="D622" t="inlineStr">
        <is>
          <t>KALMAR LÄN</t>
        </is>
      </c>
      <c r="E622" t="inlineStr">
        <is>
          <t>VIMMERBY</t>
        </is>
      </c>
      <c r="G622" t="n">
        <v>3.7</v>
      </c>
      <c r="H622" t="n">
        <v>0</v>
      </c>
      <c r="I622" t="n">
        <v>0</v>
      </c>
      <c r="J622" t="n">
        <v>0</v>
      </c>
      <c r="K622" t="n">
        <v>0</v>
      </c>
      <c r="L622" t="n">
        <v>0</v>
      </c>
      <c r="M622" t="n">
        <v>0</v>
      </c>
      <c r="N622" t="n">
        <v>0</v>
      </c>
      <c r="O622" t="n">
        <v>0</v>
      </c>
      <c r="P622" t="n">
        <v>0</v>
      </c>
      <c r="Q622" t="n">
        <v>0</v>
      </c>
      <c r="R622" s="2" t="inlineStr"/>
    </row>
    <row r="623" ht="15" customHeight="1">
      <c r="A623" t="inlineStr">
        <is>
          <t>A 32575-2024</t>
        </is>
      </c>
      <c r="B623" s="1" t="n">
        <v>45513.56527777778</v>
      </c>
      <c r="C623" s="1" t="n">
        <v>45928</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30063-2023</t>
        </is>
      </c>
      <c r="B624" s="1" t="n">
        <v>45110.4184375</v>
      </c>
      <c r="C624" s="1" t="n">
        <v>45928</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17482-2024</t>
        </is>
      </c>
      <c r="B625" s="1" t="n">
        <v>45415.47848379629</v>
      </c>
      <c r="C625" s="1" t="n">
        <v>45928</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13817-2024</t>
        </is>
      </c>
      <c r="B626" s="1" t="n">
        <v>45391.41976851852</v>
      </c>
      <c r="C626" s="1" t="n">
        <v>45928</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30406-2023</t>
        </is>
      </c>
      <c r="B627" s="1" t="n">
        <v>45111.48787037037</v>
      </c>
      <c r="C627" s="1" t="n">
        <v>45928</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29020-2024</t>
        </is>
      </c>
      <c r="B628" s="1" t="n">
        <v>45481.58048611111</v>
      </c>
      <c r="C628" s="1" t="n">
        <v>45928</v>
      </c>
      <c r="D628" t="inlineStr">
        <is>
          <t>KALMAR LÄN</t>
        </is>
      </c>
      <c r="E628" t="inlineStr">
        <is>
          <t>VIMMERBY</t>
        </is>
      </c>
      <c r="G628" t="n">
        <v>2.3</v>
      </c>
      <c r="H628" t="n">
        <v>0</v>
      </c>
      <c r="I628" t="n">
        <v>0</v>
      </c>
      <c r="J628" t="n">
        <v>0</v>
      </c>
      <c r="K628" t="n">
        <v>0</v>
      </c>
      <c r="L628" t="n">
        <v>0</v>
      </c>
      <c r="M628" t="n">
        <v>0</v>
      </c>
      <c r="N628" t="n">
        <v>0</v>
      </c>
      <c r="O628" t="n">
        <v>0</v>
      </c>
      <c r="P628" t="n">
        <v>0</v>
      </c>
      <c r="Q628" t="n">
        <v>0</v>
      </c>
      <c r="R628" s="2" t="inlineStr"/>
    </row>
    <row r="629" ht="15" customHeight="1">
      <c r="A629" t="inlineStr">
        <is>
          <t>A 58962-2022</t>
        </is>
      </c>
      <c r="B629" s="1" t="n">
        <v>44903</v>
      </c>
      <c r="C629" s="1" t="n">
        <v>45928</v>
      </c>
      <c r="D629" t="inlineStr">
        <is>
          <t>KALMAR LÄN</t>
        </is>
      </c>
      <c r="E629" t="inlineStr">
        <is>
          <t>VIMMERBY</t>
        </is>
      </c>
      <c r="G629" t="n">
        <v>1.1</v>
      </c>
      <c r="H629" t="n">
        <v>0</v>
      </c>
      <c r="I629" t="n">
        <v>0</v>
      </c>
      <c r="J629" t="n">
        <v>0</v>
      </c>
      <c r="K629" t="n">
        <v>0</v>
      </c>
      <c r="L629" t="n">
        <v>0</v>
      </c>
      <c r="M629" t="n">
        <v>0</v>
      </c>
      <c r="N629" t="n">
        <v>0</v>
      </c>
      <c r="O629" t="n">
        <v>0</v>
      </c>
      <c r="P629" t="n">
        <v>0</v>
      </c>
      <c r="Q629" t="n">
        <v>0</v>
      </c>
      <c r="R629" s="2" t="inlineStr"/>
    </row>
    <row r="630" ht="15" customHeight="1">
      <c r="A630" t="inlineStr">
        <is>
          <t>A 58967-2022</t>
        </is>
      </c>
      <c r="B630" s="1" t="n">
        <v>44896</v>
      </c>
      <c r="C630" s="1" t="n">
        <v>45928</v>
      </c>
      <c r="D630" t="inlineStr">
        <is>
          <t>KALMAR LÄN</t>
        </is>
      </c>
      <c r="E630" t="inlineStr">
        <is>
          <t>VIMMERBY</t>
        </is>
      </c>
      <c r="G630" t="n">
        <v>5</v>
      </c>
      <c r="H630" t="n">
        <v>0</v>
      </c>
      <c r="I630" t="n">
        <v>0</v>
      </c>
      <c r="J630" t="n">
        <v>0</v>
      </c>
      <c r="K630" t="n">
        <v>0</v>
      </c>
      <c r="L630" t="n">
        <v>0</v>
      </c>
      <c r="M630" t="n">
        <v>0</v>
      </c>
      <c r="N630" t="n">
        <v>0</v>
      </c>
      <c r="O630" t="n">
        <v>0</v>
      </c>
      <c r="P630" t="n">
        <v>0</v>
      </c>
      <c r="Q630" t="n">
        <v>0</v>
      </c>
      <c r="R630" s="2" t="inlineStr"/>
    </row>
    <row r="631" ht="15" customHeight="1">
      <c r="A631" t="inlineStr">
        <is>
          <t>A 57682-2022</t>
        </is>
      </c>
      <c r="B631" s="1" t="n">
        <v>44890</v>
      </c>
      <c r="C631" s="1" t="n">
        <v>45928</v>
      </c>
      <c r="D631" t="inlineStr">
        <is>
          <t>KALMAR LÄN</t>
        </is>
      </c>
      <c r="E631" t="inlineStr">
        <is>
          <t>VIMMERBY</t>
        </is>
      </c>
      <c r="G631" t="n">
        <v>1.5</v>
      </c>
      <c r="H631" t="n">
        <v>0</v>
      </c>
      <c r="I631" t="n">
        <v>0</v>
      </c>
      <c r="J631" t="n">
        <v>0</v>
      </c>
      <c r="K631" t="n">
        <v>0</v>
      </c>
      <c r="L631" t="n">
        <v>0</v>
      </c>
      <c r="M631" t="n">
        <v>0</v>
      </c>
      <c r="N631" t="n">
        <v>0</v>
      </c>
      <c r="O631" t="n">
        <v>0</v>
      </c>
      <c r="P631" t="n">
        <v>0</v>
      </c>
      <c r="Q631" t="n">
        <v>0</v>
      </c>
      <c r="R631" s="2" t="inlineStr"/>
    </row>
    <row r="632" ht="15" customHeight="1">
      <c r="A632" t="inlineStr">
        <is>
          <t>A 4076-2022</t>
        </is>
      </c>
      <c r="B632" s="1" t="n">
        <v>44588.37998842593</v>
      </c>
      <c r="C632" s="1" t="n">
        <v>45928</v>
      </c>
      <c r="D632" t="inlineStr">
        <is>
          <t>KALMAR LÄN</t>
        </is>
      </c>
      <c r="E632" t="inlineStr">
        <is>
          <t>VIMMERBY</t>
        </is>
      </c>
      <c r="G632" t="n">
        <v>3</v>
      </c>
      <c r="H632" t="n">
        <v>0</v>
      </c>
      <c r="I632" t="n">
        <v>0</v>
      </c>
      <c r="J632" t="n">
        <v>0</v>
      </c>
      <c r="K632" t="n">
        <v>0</v>
      </c>
      <c r="L632" t="n">
        <v>0</v>
      </c>
      <c r="M632" t="n">
        <v>0</v>
      </c>
      <c r="N632" t="n">
        <v>0</v>
      </c>
      <c r="O632" t="n">
        <v>0</v>
      </c>
      <c r="P632" t="n">
        <v>0</v>
      </c>
      <c r="Q632" t="n">
        <v>0</v>
      </c>
      <c r="R632" s="2" t="inlineStr"/>
    </row>
    <row r="633" ht="15" customHeight="1">
      <c r="A633" t="inlineStr">
        <is>
          <t>A 4122-2022</t>
        </is>
      </c>
      <c r="B633" s="1" t="n">
        <v>44588</v>
      </c>
      <c r="C633" s="1" t="n">
        <v>45928</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65961-2020</t>
        </is>
      </c>
      <c r="B634" s="1" t="n">
        <v>44175.39748842592</v>
      </c>
      <c r="C634" s="1" t="n">
        <v>45928</v>
      </c>
      <c r="D634" t="inlineStr">
        <is>
          <t>KALMAR LÄN</t>
        </is>
      </c>
      <c r="E634" t="inlineStr">
        <is>
          <t>VIMMERBY</t>
        </is>
      </c>
      <c r="G634" t="n">
        <v>2.6</v>
      </c>
      <c r="H634" t="n">
        <v>0</v>
      </c>
      <c r="I634" t="n">
        <v>0</v>
      </c>
      <c r="J634" t="n">
        <v>0</v>
      </c>
      <c r="K634" t="n">
        <v>0</v>
      </c>
      <c r="L634" t="n">
        <v>0</v>
      </c>
      <c r="M634" t="n">
        <v>0</v>
      </c>
      <c r="N634" t="n">
        <v>0</v>
      </c>
      <c r="O634" t="n">
        <v>0</v>
      </c>
      <c r="P634" t="n">
        <v>0</v>
      </c>
      <c r="Q634" t="n">
        <v>0</v>
      </c>
      <c r="R634" s="2" t="inlineStr"/>
    </row>
    <row r="635" ht="15" customHeight="1">
      <c r="A635" t="inlineStr">
        <is>
          <t>A 25582-2024</t>
        </is>
      </c>
      <c r="B635" s="1" t="n">
        <v>45463</v>
      </c>
      <c r="C635" s="1" t="n">
        <v>45928</v>
      </c>
      <c r="D635" t="inlineStr">
        <is>
          <t>KALMAR LÄN</t>
        </is>
      </c>
      <c r="E635" t="inlineStr">
        <is>
          <t>VIMMERBY</t>
        </is>
      </c>
      <c r="G635" t="n">
        <v>1.4</v>
      </c>
      <c r="H635" t="n">
        <v>0</v>
      </c>
      <c r="I635" t="n">
        <v>0</v>
      </c>
      <c r="J635" t="n">
        <v>0</v>
      </c>
      <c r="K635" t="n">
        <v>0</v>
      </c>
      <c r="L635" t="n">
        <v>0</v>
      </c>
      <c r="M635" t="n">
        <v>0</v>
      </c>
      <c r="N635" t="n">
        <v>0</v>
      </c>
      <c r="O635" t="n">
        <v>0</v>
      </c>
      <c r="P635" t="n">
        <v>0</v>
      </c>
      <c r="Q635" t="n">
        <v>0</v>
      </c>
      <c r="R635" s="2" t="inlineStr"/>
    </row>
    <row r="636" ht="15" customHeight="1">
      <c r="A636" t="inlineStr">
        <is>
          <t>A 57578-2024</t>
        </is>
      </c>
      <c r="B636" s="1" t="n">
        <v>45630.47564814815</v>
      </c>
      <c r="C636" s="1" t="n">
        <v>45928</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9624-2024</t>
        </is>
      </c>
      <c r="B637" s="1" t="n">
        <v>45361.90282407407</v>
      </c>
      <c r="C637" s="1" t="n">
        <v>45928</v>
      </c>
      <c r="D637" t="inlineStr">
        <is>
          <t>KALMAR LÄN</t>
        </is>
      </c>
      <c r="E637" t="inlineStr">
        <is>
          <t>VIMMERBY</t>
        </is>
      </c>
      <c r="G637" t="n">
        <v>3.8</v>
      </c>
      <c r="H637" t="n">
        <v>0</v>
      </c>
      <c r="I637" t="n">
        <v>0</v>
      </c>
      <c r="J637" t="n">
        <v>0</v>
      </c>
      <c r="K637" t="n">
        <v>0</v>
      </c>
      <c r="L637" t="n">
        <v>0</v>
      </c>
      <c r="M637" t="n">
        <v>0</v>
      </c>
      <c r="N637" t="n">
        <v>0</v>
      </c>
      <c r="O637" t="n">
        <v>0</v>
      </c>
      <c r="P637" t="n">
        <v>0</v>
      </c>
      <c r="Q637" t="n">
        <v>0</v>
      </c>
      <c r="R637" s="2" t="inlineStr"/>
    </row>
    <row r="638" ht="15" customHeight="1">
      <c r="A638" t="inlineStr">
        <is>
          <t>A 52327-2023</t>
        </is>
      </c>
      <c r="B638" s="1" t="n">
        <v>45224.6515162037</v>
      </c>
      <c r="C638" s="1" t="n">
        <v>45928</v>
      </c>
      <c r="D638" t="inlineStr">
        <is>
          <t>KALMAR LÄN</t>
        </is>
      </c>
      <c r="E638" t="inlineStr">
        <is>
          <t>VIMMERBY</t>
        </is>
      </c>
      <c r="F638" t="inlineStr">
        <is>
          <t>Sveaskog</t>
        </is>
      </c>
      <c r="G638" t="n">
        <v>1.1</v>
      </c>
      <c r="H638" t="n">
        <v>0</v>
      </c>
      <c r="I638" t="n">
        <v>0</v>
      </c>
      <c r="J638" t="n">
        <v>0</v>
      </c>
      <c r="K638" t="n">
        <v>0</v>
      </c>
      <c r="L638" t="n">
        <v>0</v>
      </c>
      <c r="M638" t="n">
        <v>0</v>
      </c>
      <c r="N638" t="n">
        <v>0</v>
      </c>
      <c r="O638" t="n">
        <v>0</v>
      </c>
      <c r="P638" t="n">
        <v>0</v>
      </c>
      <c r="Q638" t="n">
        <v>0</v>
      </c>
      <c r="R638" s="2" t="inlineStr"/>
    </row>
    <row r="639" ht="15" customHeight="1">
      <c r="A639" t="inlineStr">
        <is>
          <t>A 29616-2022</t>
        </is>
      </c>
      <c r="B639" s="1" t="n">
        <v>44754</v>
      </c>
      <c r="C639" s="1" t="n">
        <v>45928</v>
      </c>
      <c r="D639" t="inlineStr">
        <is>
          <t>KALMAR LÄN</t>
        </is>
      </c>
      <c r="E639" t="inlineStr">
        <is>
          <t>VIMMERBY</t>
        </is>
      </c>
      <c r="G639" t="n">
        <v>1.1</v>
      </c>
      <c r="H639" t="n">
        <v>0</v>
      </c>
      <c r="I639" t="n">
        <v>0</v>
      </c>
      <c r="J639" t="n">
        <v>0</v>
      </c>
      <c r="K639" t="n">
        <v>0</v>
      </c>
      <c r="L639" t="n">
        <v>0</v>
      </c>
      <c r="M639" t="n">
        <v>0</v>
      </c>
      <c r="N639" t="n">
        <v>0</v>
      </c>
      <c r="O639" t="n">
        <v>0</v>
      </c>
      <c r="P639" t="n">
        <v>0</v>
      </c>
      <c r="Q639" t="n">
        <v>0</v>
      </c>
      <c r="R639" s="2" t="inlineStr"/>
    </row>
    <row r="640" ht="15" customHeight="1">
      <c r="A640" t="inlineStr">
        <is>
          <t>A 29348-2023</t>
        </is>
      </c>
      <c r="B640" s="1" t="n">
        <v>45106.25025462963</v>
      </c>
      <c r="C640" s="1" t="n">
        <v>45928</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28403-2023</t>
        </is>
      </c>
      <c r="B641" s="1" t="n">
        <v>45100.85270833333</v>
      </c>
      <c r="C641" s="1" t="n">
        <v>45928</v>
      </c>
      <c r="D641" t="inlineStr">
        <is>
          <t>KALMAR LÄN</t>
        </is>
      </c>
      <c r="E641" t="inlineStr">
        <is>
          <t>VIMMERBY</t>
        </is>
      </c>
      <c r="G641" t="n">
        <v>1.8</v>
      </c>
      <c r="H641" t="n">
        <v>0</v>
      </c>
      <c r="I641" t="n">
        <v>0</v>
      </c>
      <c r="J641" t="n">
        <v>0</v>
      </c>
      <c r="K641" t="n">
        <v>0</v>
      </c>
      <c r="L641" t="n">
        <v>0</v>
      </c>
      <c r="M641" t="n">
        <v>0</v>
      </c>
      <c r="N641" t="n">
        <v>0</v>
      </c>
      <c r="O641" t="n">
        <v>0</v>
      </c>
      <c r="P641" t="n">
        <v>0</v>
      </c>
      <c r="Q641" t="n">
        <v>0</v>
      </c>
      <c r="R641" s="2" t="inlineStr"/>
    </row>
    <row r="642" ht="15" customHeight="1">
      <c r="A642" t="inlineStr">
        <is>
          <t>A 17511-2024</t>
        </is>
      </c>
      <c r="B642" s="1" t="n">
        <v>45415.57682870371</v>
      </c>
      <c r="C642" s="1" t="n">
        <v>45928</v>
      </c>
      <c r="D642" t="inlineStr">
        <is>
          <t>KALMAR LÄN</t>
        </is>
      </c>
      <c r="E642" t="inlineStr">
        <is>
          <t>VIMMERBY</t>
        </is>
      </c>
      <c r="G642" t="n">
        <v>5.3</v>
      </c>
      <c r="H642" t="n">
        <v>0</v>
      </c>
      <c r="I642" t="n">
        <v>0</v>
      </c>
      <c r="J642" t="n">
        <v>0</v>
      </c>
      <c r="K642" t="n">
        <v>0</v>
      </c>
      <c r="L642" t="n">
        <v>0</v>
      </c>
      <c r="M642" t="n">
        <v>0</v>
      </c>
      <c r="N642" t="n">
        <v>0</v>
      </c>
      <c r="O642" t="n">
        <v>0</v>
      </c>
      <c r="P642" t="n">
        <v>0</v>
      </c>
      <c r="Q642" t="n">
        <v>0</v>
      </c>
      <c r="R642" s="2" t="inlineStr"/>
    </row>
    <row r="643" ht="15" customHeight="1">
      <c r="A643" t="inlineStr">
        <is>
          <t>A 66022-2021</t>
        </is>
      </c>
      <c r="B643" s="1" t="n">
        <v>44517</v>
      </c>
      <c r="C643" s="1" t="n">
        <v>45928</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22399-2025</t>
        </is>
      </c>
      <c r="B644" s="1" t="n">
        <v>45786.52996527778</v>
      </c>
      <c r="C644" s="1" t="n">
        <v>45928</v>
      </c>
      <c r="D644" t="inlineStr">
        <is>
          <t>KALMAR LÄN</t>
        </is>
      </c>
      <c r="E644" t="inlineStr">
        <is>
          <t>VIMMERBY</t>
        </is>
      </c>
      <c r="G644" t="n">
        <v>2.1</v>
      </c>
      <c r="H644" t="n">
        <v>0</v>
      </c>
      <c r="I644" t="n">
        <v>0</v>
      </c>
      <c r="J644" t="n">
        <v>0</v>
      </c>
      <c r="K644" t="n">
        <v>0</v>
      </c>
      <c r="L644" t="n">
        <v>0</v>
      </c>
      <c r="M644" t="n">
        <v>0</v>
      </c>
      <c r="N644" t="n">
        <v>0</v>
      </c>
      <c r="O644" t="n">
        <v>0</v>
      </c>
      <c r="P644" t="n">
        <v>0</v>
      </c>
      <c r="Q644" t="n">
        <v>0</v>
      </c>
      <c r="R644" s="2" t="inlineStr"/>
    </row>
    <row r="645" ht="15" customHeight="1">
      <c r="A645" t="inlineStr">
        <is>
          <t>A 29973-2023</t>
        </is>
      </c>
      <c r="B645" s="1" t="n">
        <v>45108.703125</v>
      </c>
      <c r="C645" s="1" t="n">
        <v>45928</v>
      </c>
      <c r="D645" t="inlineStr">
        <is>
          <t>KALMAR LÄN</t>
        </is>
      </c>
      <c r="E645" t="inlineStr">
        <is>
          <t>VIMMERBY</t>
        </is>
      </c>
      <c r="G645" t="n">
        <v>4</v>
      </c>
      <c r="H645" t="n">
        <v>0</v>
      </c>
      <c r="I645" t="n">
        <v>0</v>
      </c>
      <c r="J645" t="n">
        <v>0</v>
      </c>
      <c r="K645" t="n">
        <v>0</v>
      </c>
      <c r="L645" t="n">
        <v>0</v>
      </c>
      <c r="M645" t="n">
        <v>0</v>
      </c>
      <c r="N645" t="n">
        <v>0</v>
      </c>
      <c r="O645" t="n">
        <v>0</v>
      </c>
      <c r="P645" t="n">
        <v>0</v>
      </c>
      <c r="Q645" t="n">
        <v>0</v>
      </c>
      <c r="R645" s="2" t="inlineStr"/>
    </row>
    <row r="646" ht="15" customHeight="1">
      <c r="A646" t="inlineStr">
        <is>
          <t>A 30070-2023</t>
        </is>
      </c>
      <c r="B646" s="1" t="n">
        <v>45110.4275</v>
      </c>
      <c r="C646" s="1" t="n">
        <v>45928</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46078-2023</t>
        </is>
      </c>
      <c r="B647" s="1" t="n">
        <v>45196</v>
      </c>
      <c r="C647" s="1" t="n">
        <v>45928</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7643-2022</t>
        </is>
      </c>
      <c r="B648" s="1" t="n">
        <v>44607</v>
      </c>
      <c r="C648" s="1" t="n">
        <v>45928</v>
      </c>
      <c r="D648" t="inlineStr">
        <is>
          <t>KALMAR LÄN</t>
        </is>
      </c>
      <c r="E648" t="inlineStr">
        <is>
          <t>VIMMERBY</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22397-2025</t>
        </is>
      </c>
      <c r="B649" s="1" t="n">
        <v>45786.52878472222</v>
      </c>
      <c r="C649" s="1" t="n">
        <v>45928</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3494-2023</t>
        </is>
      </c>
      <c r="B650" s="1" t="n">
        <v>44949</v>
      </c>
      <c r="C650" s="1" t="n">
        <v>45928</v>
      </c>
      <c r="D650" t="inlineStr">
        <is>
          <t>KALMAR LÄN</t>
        </is>
      </c>
      <c r="E650" t="inlineStr">
        <is>
          <t>VIMMERBY</t>
        </is>
      </c>
      <c r="F650" t="inlineStr">
        <is>
          <t>Kyrkan</t>
        </is>
      </c>
      <c r="G650" t="n">
        <v>0.8</v>
      </c>
      <c r="H650" t="n">
        <v>0</v>
      </c>
      <c r="I650" t="n">
        <v>0</v>
      </c>
      <c r="J650" t="n">
        <v>0</v>
      </c>
      <c r="K650" t="n">
        <v>0</v>
      </c>
      <c r="L650" t="n">
        <v>0</v>
      </c>
      <c r="M650" t="n">
        <v>0</v>
      </c>
      <c r="N650" t="n">
        <v>0</v>
      </c>
      <c r="O650" t="n">
        <v>0</v>
      </c>
      <c r="P650" t="n">
        <v>0</v>
      </c>
      <c r="Q650" t="n">
        <v>0</v>
      </c>
      <c r="R650" s="2" t="inlineStr"/>
    </row>
    <row r="651" ht="15" customHeight="1">
      <c r="A651" t="inlineStr">
        <is>
          <t>A 32633-2023</t>
        </is>
      </c>
      <c r="B651" s="1" t="n">
        <v>45121.58699074074</v>
      </c>
      <c r="C651" s="1" t="n">
        <v>45928</v>
      </c>
      <c r="D651" t="inlineStr">
        <is>
          <t>KALMAR LÄN</t>
        </is>
      </c>
      <c r="E651" t="inlineStr">
        <is>
          <t>VIMMERBY</t>
        </is>
      </c>
      <c r="F651" t="inlineStr">
        <is>
          <t>Sveaskog</t>
        </is>
      </c>
      <c r="G651" t="n">
        <v>0.8</v>
      </c>
      <c r="H651" t="n">
        <v>0</v>
      </c>
      <c r="I651" t="n">
        <v>0</v>
      </c>
      <c r="J651" t="n">
        <v>0</v>
      </c>
      <c r="K651" t="n">
        <v>0</v>
      </c>
      <c r="L651" t="n">
        <v>0</v>
      </c>
      <c r="M651" t="n">
        <v>0</v>
      </c>
      <c r="N651" t="n">
        <v>0</v>
      </c>
      <c r="O651" t="n">
        <v>0</v>
      </c>
      <c r="P651" t="n">
        <v>0</v>
      </c>
      <c r="Q651" t="n">
        <v>0</v>
      </c>
      <c r="R651" s="2" t="inlineStr"/>
    </row>
    <row r="652" ht="15" customHeight="1">
      <c r="A652" t="inlineStr">
        <is>
          <t>A 43601-2024</t>
        </is>
      </c>
      <c r="B652" s="1" t="n">
        <v>45569.44684027778</v>
      </c>
      <c r="C652" s="1" t="n">
        <v>45928</v>
      </c>
      <c r="D652" t="inlineStr">
        <is>
          <t>KALMAR LÄN</t>
        </is>
      </c>
      <c r="E652" t="inlineStr">
        <is>
          <t>VIMMERBY</t>
        </is>
      </c>
      <c r="G652" t="n">
        <v>0.5</v>
      </c>
      <c r="H652" t="n">
        <v>0</v>
      </c>
      <c r="I652" t="n">
        <v>0</v>
      </c>
      <c r="J652" t="n">
        <v>0</v>
      </c>
      <c r="K652" t="n">
        <v>0</v>
      </c>
      <c r="L652" t="n">
        <v>0</v>
      </c>
      <c r="M652" t="n">
        <v>0</v>
      </c>
      <c r="N652" t="n">
        <v>0</v>
      </c>
      <c r="O652" t="n">
        <v>0</v>
      </c>
      <c r="P652" t="n">
        <v>0</v>
      </c>
      <c r="Q652" t="n">
        <v>0</v>
      </c>
      <c r="R652" s="2" t="inlineStr"/>
    </row>
    <row r="653" ht="15" customHeight="1">
      <c r="A653" t="inlineStr">
        <is>
          <t>A 11442-2025</t>
        </is>
      </c>
      <c r="B653" s="1" t="n">
        <v>45726.62721064815</v>
      </c>
      <c r="C653" s="1" t="n">
        <v>45928</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13813-2024</t>
        </is>
      </c>
      <c r="B654" s="1" t="n">
        <v>45391.41310185185</v>
      </c>
      <c r="C654" s="1" t="n">
        <v>45928</v>
      </c>
      <c r="D654" t="inlineStr">
        <is>
          <t>KALMAR LÄN</t>
        </is>
      </c>
      <c r="E654" t="inlineStr">
        <is>
          <t>VIMMERBY</t>
        </is>
      </c>
      <c r="G654" t="n">
        <v>0.4</v>
      </c>
      <c r="H654" t="n">
        <v>0</v>
      </c>
      <c r="I654" t="n">
        <v>0</v>
      </c>
      <c r="J654" t="n">
        <v>0</v>
      </c>
      <c r="K654" t="n">
        <v>0</v>
      </c>
      <c r="L654" t="n">
        <v>0</v>
      </c>
      <c r="M654" t="n">
        <v>0</v>
      </c>
      <c r="N654" t="n">
        <v>0</v>
      </c>
      <c r="O654" t="n">
        <v>0</v>
      </c>
      <c r="P654" t="n">
        <v>0</v>
      </c>
      <c r="Q654" t="n">
        <v>0</v>
      </c>
      <c r="R654" s="2" t="inlineStr"/>
    </row>
    <row r="655" ht="15" customHeight="1">
      <c r="A655" t="inlineStr">
        <is>
          <t>A 6307-2025</t>
        </is>
      </c>
      <c r="B655" s="1" t="n">
        <v>45698.69016203703</v>
      </c>
      <c r="C655" s="1" t="n">
        <v>45928</v>
      </c>
      <c r="D655" t="inlineStr">
        <is>
          <t>KALMAR LÄN</t>
        </is>
      </c>
      <c r="E655" t="inlineStr">
        <is>
          <t>VIMMERBY</t>
        </is>
      </c>
      <c r="G655" t="n">
        <v>3</v>
      </c>
      <c r="H655" t="n">
        <v>0</v>
      </c>
      <c r="I655" t="n">
        <v>0</v>
      </c>
      <c r="J655" t="n">
        <v>0</v>
      </c>
      <c r="K655" t="n">
        <v>0</v>
      </c>
      <c r="L655" t="n">
        <v>0</v>
      </c>
      <c r="M655" t="n">
        <v>0</v>
      </c>
      <c r="N655" t="n">
        <v>0</v>
      </c>
      <c r="O655" t="n">
        <v>0</v>
      </c>
      <c r="P655" t="n">
        <v>0</v>
      </c>
      <c r="Q655" t="n">
        <v>0</v>
      </c>
      <c r="R655" s="2" t="inlineStr"/>
    </row>
    <row r="656" ht="15" customHeight="1">
      <c r="A656" t="inlineStr">
        <is>
          <t>A 25234-2023</t>
        </is>
      </c>
      <c r="B656" s="1" t="n">
        <v>45086.63194444445</v>
      </c>
      <c r="C656" s="1" t="n">
        <v>45928</v>
      </c>
      <c r="D656" t="inlineStr">
        <is>
          <t>KALMAR LÄN</t>
        </is>
      </c>
      <c r="E656" t="inlineStr">
        <is>
          <t>VIMMERBY</t>
        </is>
      </c>
      <c r="G656" t="n">
        <v>2.1</v>
      </c>
      <c r="H656" t="n">
        <v>0</v>
      </c>
      <c r="I656" t="n">
        <v>0</v>
      </c>
      <c r="J656" t="n">
        <v>0</v>
      </c>
      <c r="K656" t="n">
        <v>0</v>
      </c>
      <c r="L656" t="n">
        <v>0</v>
      </c>
      <c r="M656" t="n">
        <v>0</v>
      </c>
      <c r="N656" t="n">
        <v>0</v>
      </c>
      <c r="O656" t="n">
        <v>0</v>
      </c>
      <c r="P656" t="n">
        <v>0</v>
      </c>
      <c r="Q656" t="n">
        <v>0</v>
      </c>
      <c r="R656" s="2" t="inlineStr"/>
    </row>
    <row r="657" ht="15" customHeight="1">
      <c r="A657" t="inlineStr">
        <is>
          <t>A 25236-2023</t>
        </is>
      </c>
      <c r="B657" s="1" t="n">
        <v>45086.63334490741</v>
      </c>
      <c r="C657" s="1" t="n">
        <v>45928</v>
      </c>
      <c r="D657" t="inlineStr">
        <is>
          <t>KALMAR LÄN</t>
        </is>
      </c>
      <c r="E657" t="inlineStr">
        <is>
          <t>VIMMERBY</t>
        </is>
      </c>
      <c r="G657" t="n">
        <v>0.9</v>
      </c>
      <c r="H657" t="n">
        <v>0</v>
      </c>
      <c r="I657" t="n">
        <v>0</v>
      </c>
      <c r="J657" t="n">
        <v>0</v>
      </c>
      <c r="K657" t="n">
        <v>0</v>
      </c>
      <c r="L657" t="n">
        <v>0</v>
      </c>
      <c r="M657" t="n">
        <v>0</v>
      </c>
      <c r="N657" t="n">
        <v>0</v>
      </c>
      <c r="O657" t="n">
        <v>0</v>
      </c>
      <c r="P657" t="n">
        <v>0</v>
      </c>
      <c r="Q657" t="n">
        <v>0</v>
      </c>
      <c r="R657" s="2" t="inlineStr"/>
    </row>
    <row r="658" ht="15" customHeight="1">
      <c r="A658" t="inlineStr">
        <is>
          <t>A 25244-2023</t>
        </is>
      </c>
      <c r="B658" s="1" t="n">
        <v>45086</v>
      </c>
      <c r="C658" s="1" t="n">
        <v>45928</v>
      </c>
      <c r="D658" t="inlineStr">
        <is>
          <t>KALMAR LÄN</t>
        </is>
      </c>
      <c r="E658" t="inlineStr">
        <is>
          <t>VIMMERBY</t>
        </is>
      </c>
      <c r="G658" t="n">
        <v>4.7</v>
      </c>
      <c r="H658" t="n">
        <v>0</v>
      </c>
      <c r="I658" t="n">
        <v>0</v>
      </c>
      <c r="J658" t="n">
        <v>0</v>
      </c>
      <c r="K658" t="n">
        <v>0</v>
      </c>
      <c r="L658" t="n">
        <v>0</v>
      </c>
      <c r="M658" t="n">
        <v>0</v>
      </c>
      <c r="N658" t="n">
        <v>0</v>
      </c>
      <c r="O658" t="n">
        <v>0</v>
      </c>
      <c r="P658" t="n">
        <v>0</v>
      </c>
      <c r="Q658" t="n">
        <v>0</v>
      </c>
      <c r="R658" s="2" t="inlineStr"/>
    </row>
    <row r="659" ht="15" customHeight="1">
      <c r="A659" t="inlineStr">
        <is>
          <t>A 23341-2022</t>
        </is>
      </c>
      <c r="B659" s="1" t="n">
        <v>44720.53898148148</v>
      </c>
      <c r="C659" s="1" t="n">
        <v>45928</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8086-2021</t>
        </is>
      </c>
      <c r="B660" s="1" t="n">
        <v>44243</v>
      </c>
      <c r="C660" s="1" t="n">
        <v>45928</v>
      </c>
      <c r="D660" t="inlineStr">
        <is>
          <t>KALMAR LÄN</t>
        </is>
      </c>
      <c r="E660" t="inlineStr">
        <is>
          <t>VIMMERBY</t>
        </is>
      </c>
      <c r="G660" t="n">
        <v>4.1</v>
      </c>
      <c r="H660" t="n">
        <v>0</v>
      </c>
      <c r="I660" t="n">
        <v>0</v>
      </c>
      <c r="J660" t="n">
        <v>0</v>
      </c>
      <c r="K660" t="n">
        <v>0</v>
      </c>
      <c r="L660" t="n">
        <v>0</v>
      </c>
      <c r="M660" t="n">
        <v>0</v>
      </c>
      <c r="N660" t="n">
        <v>0</v>
      </c>
      <c r="O660" t="n">
        <v>0</v>
      </c>
      <c r="P660" t="n">
        <v>0</v>
      </c>
      <c r="Q660" t="n">
        <v>0</v>
      </c>
      <c r="R660" s="2" t="inlineStr"/>
    </row>
    <row r="661" ht="15" customHeight="1">
      <c r="A661" t="inlineStr">
        <is>
          <t>A 23394-2025</t>
        </is>
      </c>
      <c r="B661" s="1" t="n">
        <v>45791.89865740741</v>
      </c>
      <c r="C661" s="1" t="n">
        <v>45928</v>
      </c>
      <c r="D661" t="inlineStr">
        <is>
          <t>KALMAR LÄN</t>
        </is>
      </c>
      <c r="E661" t="inlineStr">
        <is>
          <t>VIMMERBY</t>
        </is>
      </c>
      <c r="G661" t="n">
        <v>3.1</v>
      </c>
      <c r="H661" t="n">
        <v>0</v>
      </c>
      <c r="I661" t="n">
        <v>0</v>
      </c>
      <c r="J661" t="n">
        <v>0</v>
      </c>
      <c r="K661" t="n">
        <v>0</v>
      </c>
      <c r="L661" t="n">
        <v>0</v>
      </c>
      <c r="M661" t="n">
        <v>0</v>
      </c>
      <c r="N661" t="n">
        <v>0</v>
      </c>
      <c r="O661" t="n">
        <v>0</v>
      </c>
      <c r="P661" t="n">
        <v>0</v>
      </c>
      <c r="Q661" t="n">
        <v>0</v>
      </c>
      <c r="R661" s="2" t="inlineStr"/>
    </row>
    <row r="662" ht="15" customHeight="1">
      <c r="A662" t="inlineStr">
        <is>
          <t>A 71793-2021</t>
        </is>
      </c>
      <c r="B662" s="1" t="n">
        <v>44539</v>
      </c>
      <c r="C662" s="1" t="n">
        <v>45928</v>
      </c>
      <c r="D662" t="inlineStr">
        <is>
          <t>KALMAR LÄN</t>
        </is>
      </c>
      <c r="E662" t="inlineStr">
        <is>
          <t>VIMMERBY</t>
        </is>
      </c>
      <c r="G662" t="n">
        <v>2.7</v>
      </c>
      <c r="H662" t="n">
        <v>0</v>
      </c>
      <c r="I662" t="n">
        <v>0</v>
      </c>
      <c r="J662" t="n">
        <v>0</v>
      </c>
      <c r="K662" t="n">
        <v>0</v>
      </c>
      <c r="L662" t="n">
        <v>0</v>
      </c>
      <c r="M662" t="n">
        <v>0</v>
      </c>
      <c r="N662" t="n">
        <v>0</v>
      </c>
      <c r="O662" t="n">
        <v>0</v>
      </c>
      <c r="P662" t="n">
        <v>0</v>
      </c>
      <c r="Q662" t="n">
        <v>0</v>
      </c>
      <c r="R662" s="2" t="inlineStr"/>
    </row>
    <row r="663" ht="15" customHeight="1">
      <c r="A663" t="inlineStr">
        <is>
          <t>A 73938-2021</t>
        </is>
      </c>
      <c r="B663" s="1" t="n">
        <v>44553</v>
      </c>
      <c r="C663" s="1" t="n">
        <v>45928</v>
      </c>
      <c r="D663" t="inlineStr">
        <is>
          <t>KALMAR LÄN</t>
        </is>
      </c>
      <c r="E663" t="inlineStr">
        <is>
          <t>VIMMERBY</t>
        </is>
      </c>
      <c r="G663" t="n">
        <v>3.2</v>
      </c>
      <c r="H663" t="n">
        <v>0</v>
      </c>
      <c r="I663" t="n">
        <v>0</v>
      </c>
      <c r="J663" t="n">
        <v>0</v>
      </c>
      <c r="K663" t="n">
        <v>0</v>
      </c>
      <c r="L663" t="n">
        <v>0</v>
      </c>
      <c r="M663" t="n">
        <v>0</v>
      </c>
      <c r="N663" t="n">
        <v>0</v>
      </c>
      <c r="O663" t="n">
        <v>0</v>
      </c>
      <c r="P663" t="n">
        <v>0</v>
      </c>
      <c r="Q663" t="n">
        <v>0</v>
      </c>
      <c r="R663" s="2" t="inlineStr"/>
    </row>
    <row r="664" ht="15" customHeight="1">
      <c r="A664" t="inlineStr">
        <is>
          <t>A 6069-2023</t>
        </is>
      </c>
      <c r="B664" s="1" t="n">
        <v>44964.5115162037</v>
      </c>
      <c r="C664" s="1" t="n">
        <v>45928</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50995-2022</t>
        </is>
      </c>
      <c r="B665" s="1" t="n">
        <v>44867</v>
      </c>
      <c r="C665" s="1" t="n">
        <v>45928</v>
      </c>
      <c r="D665" t="inlineStr">
        <is>
          <t>KALMAR LÄN</t>
        </is>
      </c>
      <c r="E665" t="inlineStr">
        <is>
          <t>VIMMERBY</t>
        </is>
      </c>
      <c r="G665" t="n">
        <v>2.4</v>
      </c>
      <c r="H665" t="n">
        <v>0</v>
      </c>
      <c r="I665" t="n">
        <v>0</v>
      </c>
      <c r="J665" t="n">
        <v>0</v>
      </c>
      <c r="K665" t="n">
        <v>0</v>
      </c>
      <c r="L665" t="n">
        <v>0</v>
      </c>
      <c r="M665" t="n">
        <v>0</v>
      </c>
      <c r="N665" t="n">
        <v>0</v>
      </c>
      <c r="O665" t="n">
        <v>0</v>
      </c>
      <c r="P665" t="n">
        <v>0</v>
      </c>
      <c r="Q665" t="n">
        <v>0</v>
      </c>
      <c r="R665" s="2" t="inlineStr"/>
    </row>
    <row r="666" ht="15" customHeight="1">
      <c r="A666" t="inlineStr">
        <is>
          <t>A 27122-2023</t>
        </is>
      </c>
      <c r="B666" s="1" t="n">
        <v>45096.45247685185</v>
      </c>
      <c r="C666" s="1" t="n">
        <v>45928</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30402-2023</t>
        </is>
      </c>
      <c r="B667" s="1" t="n">
        <v>45111.48395833333</v>
      </c>
      <c r="C667" s="1" t="n">
        <v>45928</v>
      </c>
      <c r="D667" t="inlineStr">
        <is>
          <t>KALMAR LÄN</t>
        </is>
      </c>
      <c r="E667" t="inlineStr">
        <is>
          <t>VIMMERBY</t>
        </is>
      </c>
      <c r="G667" t="n">
        <v>0.7</v>
      </c>
      <c r="H667" t="n">
        <v>0</v>
      </c>
      <c r="I667" t="n">
        <v>0</v>
      </c>
      <c r="J667" t="n">
        <v>0</v>
      </c>
      <c r="K667" t="n">
        <v>0</v>
      </c>
      <c r="L667" t="n">
        <v>0</v>
      </c>
      <c r="M667" t="n">
        <v>0</v>
      </c>
      <c r="N667" t="n">
        <v>0</v>
      </c>
      <c r="O667" t="n">
        <v>0</v>
      </c>
      <c r="P667" t="n">
        <v>0</v>
      </c>
      <c r="Q667" t="n">
        <v>0</v>
      </c>
      <c r="R667" s="2" t="inlineStr"/>
    </row>
    <row r="668" ht="15" customHeight="1">
      <c r="A668" t="inlineStr">
        <is>
          <t>A 23984-2025</t>
        </is>
      </c>
      <c r="B668" s="1" t="n">
        <v>45796</v>
      </c>
      <c r="C668" s="1" t="n">
        <v>45928</v>
      </c>
      <c r="D668" t="inlineStr">
        <is>
          <t>KALMAR LÄN</t>
        </is>
      </c>
      <c r="E668" t="inlineStr">
        <is>
          <t>VIMMERBY</t>
        </is>
      </c>
      <c r="G668" t="n">
        <v>1.4</v>
      </c>
      <c r="H668" t="n">
        <v>0</v>
      </c>
      <c r="I668" t="n">
        <v>0</v>
      </c>
      <c r="J668" t="n">
        <v>0</v>
      </c>
      <c r="K668" t="n">
        <v>0</v>
      </c>
      <c r="L668" t="n">
        <v>0</v>
      </c>
      <c r="M668" t="n">
        <v>0</v>
      </c>
      <c r="N668" t="n">
        <v>0</v>
      </c>
      <c r="O668" t="n">
        <v>0</v>
      </c>
      <c r="P668" t="n">
        <v>0</v>
      </c>
      <c r="Q668" t="n">
        <v>0</v>
      </c>
      <c r="R668" s="2" t="inlineStr"/>
    </row>
    <row r="669" ht="15" customHeight="1">
      <c r="A669" t="inlineStr">
        <is>
          <t>A 47842-2024</t>
        </is>
      </c>
      <c r="B669" s="1" t="n">
        <v>45588.65545138889</v>
      </c>
      <c r="C669" s="1" t="n">
        <v>45928</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6857-2023</t>
        </is>
      </c>
      <c r="B670" s="1" t="n">
        <v>44967.45122685185</v>
      </c>
      <c r="C670" s="1" t="n">
        <v>45928</v>
      </c>
      <c r="D670" t="inlineStr">
        <is>
          <t>KALMAR LÄN</t>
        </is>
      </c>
      <c r="E670" t="inlineStr">
        <is>
          <t>VIMMERBY</t>
        </is>
      </c>
      <c r="G670" t="n">
        <v>2.1</v>
      </c>
      <c r="H670" t="n">
        <v>0</v>
      </c>
      <c r="I670" t="n">
        <v>0</v>
      </c>
      <c r="J670" t="n">
        <v>0</v>
      </c>
      <c r="K670" t="n">
        <v>0</v>
      </c>
      <c r="L670" t="n">
        <v>0</v>
      </c>
      <c r="M670" t="n">
        <v>0</v>
      </c>
      <c r="N670" t="n">
        <v>0</v>
      </c>
      <c r="O670" t="n">
        <v>0</v>
      </c>
      <c r="P670" t="n">
        <v>0</v>
      </c>
      <c r="Q670" t="n">
        <v>0</v>
      </c>
      <c r="R670" s="2" t="inlineStr"/>
    </row>
    <row r="671" ht="15" customHeight="1">
      <c r="A671" t="inlineStr">
        <is>
          <t>A 46224-2024</t>
        </is>
      </c>
      <c r="B671" s="1" t="n">
        <v>45581.57016203704</v>
      </c>
      <c r="C671" s="1" t="n">
        <v>45928</v>
      </c>
      <c r="D671" t="inlineStr">
        <is>
          <t>KALMAR LÄN</t>
        </is>
      </c>
      <c r="E671" t="inlineStr">
        <is>
          <t>VIMMERBY</t>
        </is>
      </c>
      <c r="G671" t="n">
        <v>3.1</v>
      </c>
      <c r="H671" t="n">
        <v>0</v>
      </c>
      <c r="I671" t="n">
        <v>0</v>
      </c>
      <c r="J671" t="n">
        <v>0</v>
      </c>
      <c r="K671" t="n">
        <v>0</v>
      </c>
      <c r="L671" t="n">
        <v>0</v>
      </c>
      <c r="M671" t="n">
        <v>0</v>
      </c>
      <c r="N671" t="n">
        <v>0</v>
      </c>
      <c r="O671" t="n">
        <v>0</v>
      </c>
      <c r="P671" t="n">
        <v>0</v>
      </c>
      <c r="Q671" t="n">
        <v>0</v>
      </c>
      <c r="R671" s="2" t="inlineStr"/>
    </row>
    <row r="672" ht="15" customHeight="1">
      <c r="A672" t="inlineStr">
        <is>
          <t>A 29013-2024</t>
        </is>
      </c>
      <c r="B672" s="1" t="n">
        <v>45481.55984953704</v>
      </c>
      <c r="C672" s="1" t="n">
        <v>45928</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37028-2024</t>
        </is>
      </c>
      <c r="B673" s="1" t="n">
        <v>45539.38744212963</v>
      </c>
      <c r="C673" s="1" t="n">
        <v>45928</v>
      </c>
      <c r="D673" t="inlineStr">
        <is>
          <t>KALMAR LÄN</t>
        </is>
      </c>
      <c r="E673" t="inlineStr">
        <is>
          <t>VIMMERBY</t>
        </is>
      </c>
      <c r="G673" t="n">
        <v>5.2</v>
      </c>
      <c r="H673" t="n">
        <v>0</v>
      </c>
      <c r="I673" t="n">
        <v>0</v>
      </c>
      <c r="J673" t="n">
        <v>0</v>
      </c>
      <c r="K673" t="n">
        <v>0</v>
      </c>
      <c r="L673" t="n">
        <v>0</v>
      </c>
      <c r="M673" t="n">
        <v>0</v>
      </c>
      <c r="N673" t="n">
        <v>0</v>
      </c>
      <c r="O673" t="n">
        <v>0</v>
      </c>
      <c r="P673" t="n">
        <v>0</v>
      </c>
      <c r="Q673" t="n">
        <v>0</v>
      </c>
      <c r="R673" s="2" t="inlineStr"/>
    </row>
    <row r="674" ht="15" customHeight="1">
      <c r="A674" t="inlineStr">
        <is>
          <t>A 37187-2024</t>
        </is>
      </c>
      <c r="B674" s="1" t="n">
        <v>45539.65212962963</v>
      </c>
      <c r="C674" s="1" t="n">
        <v>45928</v>
      </c>
      <c r="D674" t="inlineStr">
        <is>
          <t>KALMAR LÄN</t>
        </is>
      </c>
      <c r="E674" t="inlineStr">
        <is>
          <t>VIMMERBY</t>
        </is>
      </c>
      <c r="G674" t="n">
        <v>2.7</v>
      </c>
      <c r="H674" t="n">
        <v>0</v>
      </c>
      <c r="I674" t="n">
        <v>0</v>
      </c>
      <c r="J674" t="n">
        <v>0</v>
      </c>
      <c r="K674" t="n">
        <v>0</v>
      </c>
      <c r="L674" t="n">
        <v>0</v>
      </c>
      <c r="M674" t="n">
        <v>0</v>
      </c>
      <c r="N674" t="n">
        <v>0</v>
      </c>
      <c r="O674" t="n">
        <v>0</v>
      </c>
      <c r="P674" t="n">
        <v>0</v>
      </c>
      <c r="Q674" t="n">
        <v>0</v>
      </c>
      <c r="R674" s="2" t="inlineStr"/>
    </row>
    <row r="675" ht="15" customHeight="1">
      <c r="A675" t="inlineStr">
        <is>
          <t>A 51278-2024</t>
        </is>
      </c>
      <c r="B675" s="1" t="n">
        <v>45603.74959490741</v>
      </c>
      <c r="C675" s="1" t="n">
        <v>45928</v>
      </c>
      <c r="D675" t="inlineStr">
        <is>
          <t>KALMAR LÄN</t>
        </is>
      </c>
      <c r="E675" t="inlineStr">
        <is>
          <t>VIMMERBY</t>
        </is>
      </c>
      <c r="G675" t="n">
        <v>3.4</v>
      </c>
      <c r="H675" t="n">
        <v>0</v>
      </c>
      <c r="I675" t="n">
        <v>0</v>
      </c>
      <c r="J675" t="n">
        <v>0</v>
      </c>
      <c r="K675" t="n">
        <v>0</v>
      </c>
      <c r="L675" t="n">
        <v>0</v>
      </c>
      <c r="M675" t="n">
        <v>0</v>
      </c>
      <c r="N675" t="n">
        <v>0</v>
      </c>
      <c r="O675" t="n">
        <v>0</v>
      </c>
      <c r="P675" t="n">
        <v>0</v>
      </c>
      <c r="Q675" t="n">
        <v>0</v>
      </c>
      <c r="R675" s="2" t="inlineStr"/>
    </row>
    <row r="676" ht="15" customHeight="1">
      <c r="A676" t="inlineStr">
        <is>
          <t>A 35082-2024</t>
        </is>
      </c>
      <c r="B676" s="1" t="n">
        <v>45527.68784722222</v>
      </c>
      <c r="C676" s="1" t="n">
        <v>45928</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44582-2024</t>
        </is>
      </c>
      <c r="B677" s="1" t="n">
        <v>45574.49298611111</v>
      </c>
      <c r="C677" s="1" t="n">
        <v>45928</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9456-2025</t>
        </is>
      </c>
      <c r="B678" s="1" t="n">
        <v>45715.44159722222</v>
      </c>
      <c r="C678" s="1" t="n">
        <v>45928</v>
      </c>
      <c r="D678" t="inlineStr">
        <is>
          <t>KALMAR LÄN</t>
        </is>
      </c>
      <c r="E678" t="inlineStr">
        <is>
          <t>VIMMERBY</t>
        </is>
      </c>
      <c r="G678" t="n">
        <v>1.5</v>
      </c>
      <c r="H678" t="n">
        <v>0</v>
      </c>
      <c r="I678" t="n">
        <v>0</v>
      </c>
      <c r="J678" t="n">
        <v>0</v>
      </c>
      <c r="K678" t="n">
        <v>0</v>
      </c>
      <c r="L678" t="n">
        <v>0</v>
      </c>
      <c r="M678" t="n">
        <v>0</v>
      </c>
      <c r="N678" t="n">
        <v>0</v>
      </c>
      <c r="O678" t="n">
        <v>0</v>
      </c>
      <c r="P678" t="n">
        <v>0</v>
      </c>
      <c r="Q678" t="n">
        <v>0</v>
      </c>
      <c r="R678" s="2" t="inlineStr"/>
    </row>
    <row r="679" ht="15" customHeight="1">
      <c r="A679" t="inlineStr">
        <is>
          <t>A 11111-2023</t>
        </is>
      </c>
      <c r="B679" s="1" t="n">
        <v>44992.4255787037</v>
      </c>
      <c r="C679" s="1" t="n">
        <v>45928</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58724-2024</t>
        </is>
      </c>
      <c r="B680" s="1" t="n">
        <v>45635.66409722222</v>
      </c>
      <c r="C680" s="1" t="n">
        <v>45928</v>
      </c>
      <c r="D680" t="inlineStr">
        <is>
          <t>KALMAR LÄN</t>
        </is>
      </c>
      <c r="E680" t="inlineStr">
        <is>
          <t>VIMMERBY</t>
        </is>
      </c>
      <c r="G680" t="n">
        <v>1</v>
      </c>
      <c r="H680" t="n">
        <v>0</v>
      </c>
      <c r="I680" t="n">
        <v>0</v>
      </c>
      <c r="J680" t="n">
        <v>0</v>
      </c>
      <c r="K680" t="n">
        <v>0</v>
      </c>
      <c r="L680" t="n">
        <v>0</v>
      </c>
      <c r="M680" t="n">
        <v>0</v>
      </c>
      <c r="N680" t="n">
        <v>0</v>
      </c>
      <c r="O680" t="n">
        <v>0</v>
      </c>
      <c r="P680" t="n">
        <v>0</v>
      </c>
      <c r="Q680" t="n">
        <v>0</v>
      </c>
      <c r="R680" s="2" t="inlineStr"/>
    </row>
    <row r="681" ht="15" customHeight="1">
      <c r="A681" t="inlineStr">
        <is>
          <t>A 15494-2024</t>
        </is>
      </c>
      <c r="B681" s="1" t="n">
        <v>45401.53033564815</v>
      </c>
      <c r="C681" s="1" t="n">
        <v>45928</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26039-2025</t>
        </is>
      </c>
      <c r="B682" s="1" t="n">
        <v>45804.6953587963</v>
      </c>
      <c r="C682" s="1" t="n">
        <v>45928</v>
      </c>
      <c r="D682" t="inlineStr">
        <is>
          <t>KALMAR LÄN</t>
        </is>
      </c>
      <c r="E682" t="inlineStr">
        <is>
          <t>VIMMERBY</t>
        </is>
      </c>
      <c r="F682" t="inlineStr">
        <is>
          <t>Sveaskog</t>
        </is>
      </c>
      <c r="G682" t="n">
        <v>5.2</v>
      </c>
      <c r="H682" t="n">
        <v>0</v>
      </c>
      <c r="I682" t="n">
        <v>0</v>
      </c>
      <c r="J682" t="n">
        <v>0</v>
      </c>
      <c r="K682" t="n">
        <v>0</v>
      </c>
      <c r="L682" t="n">
        <v>0</v>
      </c>
      <c r="M682" t="n">
        <v>0</v>
      </c>
      <c r="N682" t="n">
        <v>0</v>
      </c>
      <c r="O682" t="n">
        <v>0</v>
      </c>
      <c r="P682" t="n">
        <v>0</v>
      </c>
      <c r="Q682" t="n">
        <v>0</v>
      </c>
      <c r="R682" s="2" t="inlineStr"/>
    </row>
    <row r="683" ht="15" customHeight="1">
      <c r="A683" t="inlineStr">
        <is>
          <t>A 26046-2025</t>
        </is>
      </c>
      <c r="B683" s="1" t="n">
        <v>45804.708125</v>
      </c>
      <c r="C683" s="1" t="n">
        <v>45928</v>
      </c>
      <c r="D683" t="inlineStr">
        <is>
          <t>KALMAR LÄN</t>
        </is>
      </c>
      <c r="E683" t="inlineStr">
        <is>
          <t>VIMMERBY</t>
        </is>
      </c>
      <c r="F683" t="inlineStr">
        <is>
          <t>Sveaskog</t>
        </is>
      </c>
      <c r="G683" t="n">
        <v>5.1</v>
      </c>
      <c r="H683" t="n">
        <v>0</v>
      </c>
      <c r="I683" t="n">
        <v>0</v>
      </c>
      <c r="J683" t="n">
        <v>0</v>
      </c>
      <c r="K683" t="n">
        <v>0</v>
      </c>
      <c r="L683" t="n">
        <v>0</v>
      </c>
      <c r="M683" t="n">
        <v>0</v>
      </c>
      <c r="N683" t="n">
        <v>0</v>
      </c>
      <c r="O683" t="n">
        <v>0</v>
      </c>
      <c r="P683" t="n">
        <v>0</v>
      </c>
      <c r="Q683" t="n">
        <v>0</v>
      </c>
      <c r="R683" s="2" t="inlineStr"/>
    </row>
    <row r="684" ht="15" customHeight="1">
      <c r="A684" t="inlineStr">
        <is>
          <t>A 25792-2025</t>
        </is>
      </c>
      <c r="B684" s="1" t="n">
        <v>45804.39141203704</v>
      </c>
      <c r="C684" s="1" t="n">
        <v>45928</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25830-2025</t>
        </is>
      </c>
      <c r="B685" s="1" t="n">
        <v>45804.44519675926</v>
      </c>
      <c r="C685" s="1" t="n">
        <v>45928</v>
      </c>
      <c r="D685" t="inlineStr">
        <is>
          <t>KALMAR LÄN</t>
        </is>
      </c>
      <c r="E685" t="inlineStr">
        <is>
          <t>VIMMERBY</t>
        </is>
      </c>
      <c r="G685" t="n">
        <v>4.9</v>
      </c>
      <c r="H685" t="n">
        <v>0</v>
      </c>
      <c r="I685" t="n">
        <v>0</v>
      </c>
      <c r="J685" t="n">
        <v>0</v>
      </c>
      <c r="K685" t="n">
        <v>0</v>
      </c>
      <c r="L685" t="n">
        <v>0</v>
      </c>
      <c r="M685" t="n">
        <v>0</v>
      </c>
      <c r="N685" t="n">
        <v>0</v>
      </c>
      <c r="O685" t="n">
        <v>0</v>
      </c>
      <c r="P685" t="n">
        <v>0</v>
      </c>
      <c r="Q685" t="n">
        <v>0</v>
      </c>
      <c r="R685" s="2" t="inlineStr"/>
    </row>
    <row r="686" ht="15" customHeight="1">
      <c r="A686" t="inlineStr">
        <is>
          <t>A 26124-2025</t>
        </is>
      </c>
      <c r="B686" s="1" t="n">
        <v>45805.39247685186</v>
      </c>
      <c r="C686" s="1" t="n">
        <v>45928</v>
      </c>
      <c r="D686" t="inlineStr">
        <is>
          <t>KALMAR LÄN</t>
        </is>
      </c>
      <c r="E686" t="inlineStr">
        <is>
          <t>VIMMERBY</t>
        </is>
      </c>
      <c r="G686" t="n">
        <v>6.6</v>
      </c>
      <c r="H686" t="n">
        <v>0</v>
      </c>
      <c r="I686" t="n">
        <v>0</v>
      </c>
      <c r="J686" t="n">
        <v>0</v>
      </c>
      <c r="K686" t="n">
        <v>0</v>
      </c>
      <c r="L686" t="n">
        <v>0</v>
      </c>
      <c r="M686" t="n">
        <v>0</v>
      </c>
      <c r="N686" t="n">
        <v>0</v>
      </c>
      <c r="O686" t="n">
        <v>0</v>
      </c>
      <c r="P686" t="n">
        <v>0</v>
      </c>
      <c r="Q686" t="n">
        <v>0</v>
      </c>
      <c r="R686" s="2" t="inlineStr"/>
    </row>
    <row r="687" ht="15" customHeight="1">
      <c r="A687" t="inlineStr">
        <is>
          <t>A 26254-2025</t>
        </is>
      </c>
      <c r="B687" s="1" t="n">
        <v>45805</v>
      </c>
      <c r="C687" s="1" t="n">
        <v>45928</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12630-2023</t>
        </is>
      </c>
      <c r="B688" s="1" t="n">
        <v>45000.47998842593</v>
      </c>
      <c r="C688" s="1" t="n">
        <v>45928</v>
      </c>
      <c r="D688" t="inlineStr">
        <is>
          <t>KALMAR LÄN</t>
        </is>
      </c>
      <c r="E688" t="inlineStr">
        <is>
          <t>VIMMERBY</t>
        </is>
      </c>
      <c r="G688" t="n">
        <v>2.1</v>
      </c>
      <c r="H688" t="n">
        <v>0</v>
      </c>
      <c r="I688" t="n">
        <v>0</v>
      </c>
      <c r="J688" t="n">
        <v>0</v>
      </c>
      <c r="K688" t="n">
        <v>0</v>
      </c>
      <c r="L688" t="n">
        <v>0</v>
      </c>
      <c r="M688" t="n">
        <v>0</v>
      </c>
      <c r="N688" t="n">
        <v>0</v>
      </c>
      <c r="O688" t="n">
        <v>0</v>
      </c>
      <c r="P688" t="n">
        <v>0</v>
      </c>
      <c r="Q688" t="n">
        <v>0</v>
      </c>
      <c r="R688" s="2" t="inlineStr"/>
    </row>
    <row r="689" ht="15" customHeight="1">
      <c r="A689" t="inlineStr">
        <is>
          <t>A 39584-2024</t>
        </is>
      </c>
      <c r="B689" s="1" t="n">
        <v>45552.36759259259</v>
      </c>
      <c r="C689" s="1" t="n">
        <v>45928</v>
      </c>
      <c r="D689" t="inlineStr">
        <is>
          <t>KALMAR LÄN</t>
        </is>
      </c>
      <c r="E689" t="inlineStr">
        <is>
          <t>VIMMERBY</t>
        </is>
      </c>
      <c r="G689" t="n">
        <v>1.9</v>
      </c>
      <c r="H689" t="n">
        <v>0</v>
      </c>
      <c r="I689" t="n">
        <v>0</v>
      </c>
      <c r="J689" t="n">
        <v>0</v>
      </c>
      <c r="K689" t="n">
        <v>0</v>
      </c>
      <c r="L689" t="n">
        <v>0</v>
      </c>
      <c r="M689" t="n">
        <v>0</v>
      </c>
      <c r="N689" t="n">
        <v>0</v>
      </c>
      <c r="O689" t="n">
        <v>0</v>
      </c>
      <c r="P689" t="n">
        <v>0</v>
      </c>
      <c r="Q689" t="n">
        <v>0</v>
      </c>
      <c r="R689" s="2" t="inlineStr"/>
    </row>
    <row r="690" ht="15" customHeight="1">
      <c r="A690" t="inlineStr">
        <is>
          <t>A 26207-2025</t>
        </is>
      </c>
      <c r="B690" s="1" t="n">
        <v>45805.52983796296</v>
      </c>
      <c r="C690" s="1" t="n">
        <v>45928</v>
      </c>
      <c r="D690" t="inlineStr">
        <is>
          <t>KALMAR LÄN</t>
        </is>
      </c>
      <c r="E690" t="inlineStr">
        <is>
          <t>VIMMERBY</t>
        </is>
      </c>
      <c r="G690" t="n">
        <v>0.7</v>
      </c>
      <c r="H690" t="n">
        <v>0</v>
      </c>
      <c r="I690" t="n">
        <v>0</v>
      </c>
      <c r="J690" t="n">
        <v>0</v>
      </c>
      <c r="K690" t="n">
        <v>0</v>
      </c>
      <c r="L690" t="n">
        <v>0</v>
      </c>
      <c r="M690" t="n">
        <v>0</v>
      </c>
      <c r="N690" t="n">
        <v>0</v>
      </c>
      <c r="O690" t="n">
        <v>0</v>
      </c>
      <c r="P690" t="n">
        <v>0</v>
      </c>
      <c r="Q690" t="n">
        <v>0</v>
      </c>
      <c r="R690" s="2" t="inlineStr"/>
    </row>
    <row r="691" ht="15" customHeight="1">
      <c r="A691" t="inlineStr">
        <is>
          <t>A 27705-2023</t>
        </is>
      </c>
      <c r="B691" s="1" t="n">
        <v>45098.30535879629</v>
      </c>
      <c r="C691" s="1" t="n">
        <v>45928</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31013-2023</t>
        </is>
      </c>
      <c r="B692" s="1" t="n">
        <v>45113.56574074074</v>
      </c>
      <c r="C692" s="1" t="n">
        <v>45928</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15388-2025</t>
        </is>
      </c>
      <c r="B693" s="1" t="n">
        <v>45747.42633101852</v>
      </c>
      <c r="C693" s="1" t="n">
        <v>45928</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15391-2025</t>
        </is>
      </c>
      <c r="B694" s="1" t="n">
        <v>45747.42958333333</v>
      </c>
      <c r="C694" s="1" t="n">
        <v>45928</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11303-2025</t>
        </is>
      </c>
      <c r="B695" s="1" t="n">
        <v>45726.44471064815</v>
      </c>
      <c r="C695" s="1" t="n">
        <v>45928</v>
      </c>
      <c r="D695" t="inlineStr">
        <is>
          <t>KALMAR LÄN</t>
        </is>
      </c>
      <c r="E695" t="inlineStr">
        <is>
          <t>VIMMERBY</t>
        </is>
      </c>
      <c r="G695" t="n">
        <v>2.1</v>
      </c>
      <c r="H695" t="n">
        <v>0</v>
      </c>
      <c r="I695" t="n">
        <v>0</v>
      </c>
      <c r="J695" t="n">
        <v>0</v>
      </c>
      <c r="K695" t="n">
        <v>0</v>
      </c>
      <c r="L695" t="n">
        <v>0</v>
      </c>
      <c r="M695" t="n">
        <v>0</v>
      </c>
      <c r="N695" t="n">
        <v>0</v>
      </c>
      <c r="O695" t="n">
        <v>0</v>
      </c>
      <c r="P695" t="n">
        <v>0</v>
      </c>
      <c r="Q695" t="n">
        <v>0</v>
      </c>
      <c r="R695" s="2" t="inlineStr"/>
    </row>
    <row r="696" ht="15" customHeight="1">
      <c r="A696" t="inlineStr">
        <is>
          <t>A 33352-2022</t>
        </is>
      </c>
      <c r="B696" s="1" t="n">
        <v>44788</v>
      </c>
      <c r="C696" s="1" t="n">
        <v>45928</v>
      </c>
      <c r="D696" t="inlineStr">
        <is>
          <t>KALMAR LÄN</t>
        </is>
      </c>
      <c r="E696" t="inlineStr">
        <is>
          <t>VIMMERBY</t>
        </is>
      </c>
      <c r="G696" t="n">
        <v>0.8</v>
      </c>
      <c r="H696" t="n">
        <v>0</v>
      </c>
      <c r="I696" t="n">
        <v>0</v>
      </c>
      <c r="J696" t="n">
        <v>0</v>
      </c>
      <c r="K696" t="n">
        <v>0</v>
      </c>
      <c r="L696" t="n">
        <v>0</v>
      </c>
      <c r="M696" t="n">
        <v>0</v>
      </c>
      <c r="N696" t="n">
        <v>0</v>
      </c>
      <c r="O696" t="n">
        <v>0</v>
      </c>
      <c r="P696" t="n">
        <v>0</v>
      </c>
      <c r="Q696" t="n">
        <v>0</v>
      </c>
      <c r="R696" s="2" t="inlineStr"/>
    </row>
    <row r="697" ht="15" customHeight="1">
      <c r="A697" t="inlineStr">
        <is>
          <t>A 46234-2024</t>
        </is>
      </c>
      <c r="B697" s="1" t="n">
        <v>45581.57958333333</v>
      </c>
      <c r="C697" s="1" t="n">
        <v>45928</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39053-2024</t>
        </is>
      </c>
      <c r="B698" s="1" t="n">
        <v>45548</v>
      </c>
      <c r="C698" s="1" t="n">
        <v>45928</v>
      </c>
      <c r="D698" t="inlineStr">
        <is>
          <t>KALMAR LÄN</t>
        </is>
      </c>
      <c r="E698" t="inlineStr">
        <is>
          <t>VIMMERBY</t>
        </is>
      </c>
      <c r="G698" t="n">
        <v>5</v>
      </c>
      <c r="H698" t="n">
        <v>0</v>
      </c>
      <c r="I698" t="n">
        <v>0</v>
      </c>
      <c r="J698" t="n">
        <v>0</v>
      </c>
      <c r="K698" t="n">
        <v>0</v>
      </c>
      <c r="L698" t="n">
        <v>0</v>
      </c>
      <c r="M698" t="n">
        <v>0</v>
      </c>
      <c r="N698" t="n">
        <v>0</v>
      </c>
      <c r="O698" t="n">
        <v>0</v>
      </c>
      <c r="P698" t="n">
        <v>0</v>
      </c>
      <c r="Q698" t="n">
        <v>0</v>
      </c>
      <c r="R698" s="2" t="inlineStr"/>
    </row>
    <row r="699" ht="15" customHeight="1">
      <c r="A699" t="inlineStr">
        <is>
          <t>A 15449-2023</t>
        </is>
      </c>
      <c r="B699" s="1" t="n">
        <v>45020</v>
      </c>
      <c r="C699" s="1" t="n">
        <v>45928</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43594-2024</t>
        </is>
      </c>
      <c r="B700" s="1" t="n">
        <v>45569.44295138889</v>
      </c>
      <c r="C700" s="1" t="n">
        <v>45928</v>
      </c>
      <c r="D700" t="inlineStr">
        <is>
          <t>KALMAR LÄN</t>
        </is>
      </c>
      <c r="E700" t="inlineStr">
        <is>
          <t>VIMMERBY</t>
        </is>
      </c>
      <c r="G700" t="n">
        <v>3.9</v>
      </c>
      <c r="H700" t="n">
        <v>0</v>
      </c>
      <c r="I700" t="n">
        <v>0</v>
      </c>
      <c r="J700" t="n">
        <v>0</v>
      </c>
      <c r="K700" t="n">
        <v>0</v>
      </c>
      <c r="L700" t="n">
        <v>0</v>
      </c>
      <c r="M700" t="n">
        <v>0</v>
      </c>
      <c r="N700" t="n">
        <v>0</v>
      </c>
      <c r="O700" t="n">
        <v>0</v>
      </c>
      <c r="P700" t="n">
        <v>0</v>
      </c>
      <c r="Q700" t="n">
        <v>0</v>
      </c>
      <c r="R700" s="2" t="inlineStr"/>
    </row>
    <row r="701" ht="15" customHeight="1">
      <c r="A701" t="inlineStr">
        <is>
          <t>A 17486-2024</t>
        </is>
      </c>
      <c r="B701" s="1" t="n">
        <v>45415.48979166667</v>
      </c>
      <c r="C701" s="1" t="n">
        <v>45928</v>
      </c>
      <c r="D701" t="inlineStr">
        <is>
          <t>KALMAR LÄN</t>
        </is>
      </c>
      <c r="E701" t="inlineStr">
        <is>
          <t>VIMMERBY</t>
        </is>
      </c>
      <c r="G701" t="n">
        <v>2.6</v>
      </c>
      <c r="H701" t="n">
        <v>0</v>
      </c>
      <c r="I701" t="n">
        <v>0</v>
      </c>
      <c r="J701" t="n">
        <v>0</v>
      </c>
      <c r="K701" t="n">
        <v>0</v>
      </c>
      <c r="L701" t="n">
        <v>0</v>
      </c>
      <c r="M701" t="n">
        <v>0</v>
      </c>
      <c r="N701" t="n">
        <v>0</v>
      </c>
      <c r="O701" t="n">
        <v>0</v>
      </c>
      <c r="P701" t="n">
        <v>0</v>
      </c>
      <c r="Q701" t="n">
        <v>0</v>
      </c>
      <c r="R701" s="2" t="inlineStr"/>
    </row>
    <row r="702" ht="15" customHeight="1">
      <c r="A702" t="inlineStr">
        <is>
          <t>A 14248-2023</t>
        </is>
      </c>
      <c r="B702" s="1" t="n">
        <v>45009</v>
      </c>
      <c r="C702" s="1" t="n">
        <v>45928</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30400-2023</t>
        </is>
      </c>
      <c r="B703" s="1" t="n">
        <v>45111.48225694444</v>
      </c>
      <c r="C703" s="1" t="n">
        <v>45928</v>
      </c>
      <c r="D703" t="inlineStr">
        <is>
          <t>KALMAR LÄN</t>
        </is>
      </c>
      <c r="E703" t="inlineStr">
        <is>
          <t>VIMMERBY</t>
        </is>
      </c>
      <c r="G703" t="n">
        <v>2.7</v>
      </c>
      <c r="H703" t="n">
        <v>0</v>
      </c>
      <c r="I703" t="n">
        <v>0</v>
      </c>
      <c r="J703" t="n">
        <v>0</v>
      </c>
      <c r="K703" t="n">
        <v>0</v>
      </c>
      <c r="L703" t="n">
        <v>0</v>
      </c>
      <c r="M703" t="n">
        <v>0</v>
      </c>
      <c r="N703" t="n">
        <v>0</v>
      </c>
      <c r="O703" t="n">
        <v>0</v>
      </c>
      <c r="P703" t="n">
        <v>0</v>
      </c>
      <c r="Q703" t="n">
        <v>0</v>
      </c>
      <c r="R703" s="2" t="inlineStr"/>
    </row>
    <row r="704" ht="15" customHeight="1">
      <c r="A704" t="inlineStr">
        <is>
          <t>A 30404-2023</t>
        </is>
      </c>
      <c r="B704" s="1" t="n">
        <v>45111.48636574074</v>
      </c>
      <c r="C704" s="1" t="n">
        <v>45928</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55123-2024</t>
        </is>
      </c>
      <c r="B705" s="1" t="n">
        <v>45621.46103009259</v>
      </c>
      <c r="C705" s="1" t="n">
        <v>45928</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31405-2023</t>
        </is>
      </c>
      <c r="B706" s="1" t="n">
        <v>45114.58148148148</v>
      </c>
      <c r="C706" s="1" t="n">
        <v>45928</v>
      </c>
      <c r="D706" t="inlineStr">
        <is>
          <t>KALMAR LÄN</t>
        </is>
      </c>
      <c r="E706" t="inlineStr">
        <is>
          <t>VIMMERBY</t>
        </is>
      </c>
      <c r="G706" t="n">
        <v>2.6</v>
      </c>
      <c r="H706" t="n">
        <v>0</v>
      </c>
      <c r="I706" t="n">
        <v>0</v>
      </c>
      <c r="J706" t="n">
        <v>0</v>
      </c>
      <c r="K706" t="n">
        <v>0</v>
      </c>
      <c r="L706" t="n">
        <v>0</v>
      </c>
      <c r="M706" t="n">
        <v>0</v>
      </c>
      <c r="N706" t="n">
        <v>0</v>
      </c>
      <c r="O706" t="n">
        <v>0</v>
      </c>
      <c r="P706" t="n">
        <v>0</v>
      </c>
      <c r="Q706" t="n">
        <v>0</v>
      </c>
      <c r="R706" s="2" t="inlineStr"/>
    </row>
    <row r="707" ht="15" customHeight="1">
      <c r="A707" t="inlineStr">
        <is>
          <t>A 24707-2024</t>
        </is>
      </c>
      <c r="B707" s="1" t="n">
        <v>45460.62172453704</v>
      </c>
      <c r="C707" s="1" t="n">
        <v>45928</v>
      </c>
      <c r="D707" t="inlineStr">
        <is>
          <t>KALMAR LÄN</t>
        </is>
      </c>
      <c r="E707" t="inlineStr">
        <is>
          <t>VIMMERBY</t>
        </is>
      </c>
      <c r="G707" t="n">
        <v>1.7</v>
      </c>
      <c r="H707" t="n">
        <v>0</v>
      </c>
      <c r="I707" t="n">
        <v>0</v>
      </c>
      <c r="J707" t="n">
        <v>0</v>
      </c>
      <c r="K707" t="n">
        <v>0</v>
      </c>
      <c r="L707" t="n">
        <v>0</v>
      </c>
      <c r="M707" t="n">
        <v>0</v>
      </c>
      <c r="N707" t="n">
        <v>0</v>
      </c>
      <c r="O707" t="n">
        <v>0</v>
      </c>
      <c r="P707" t="n">
        <v>0</v>
      </c>
      <c r="Q707" t="n">
        <v>0</v>
      </c>
      <c r="R707" s="2" t="inlineStr"/>
    </row>
    <row r="708" ht="15" customHeight="1">
      <c r="A708" t="inlineStr">
        <is>
          <t>A 27719-2025</t>
        </is>
      </c>
      <c r="B708" s="1" t="n">
        <v>45814.3865625</v>
      </c>
      <c r="C708" s="1" t="n">
        <v>45928</v>
      </c>
      <c r="D708" t="inlineStr">
        <is>
          <t>KALMAR LÄN</t>
        </is>
      </c>
      <c r="E708" t="inlineStr">
        <is>
          <t>VIMMERBY</t>
        </is>
      </c>
      <c r="G708" t="n">
        <v>2</v>
      </c>
      <c r="H708" t="n">
        <v>0</v>
      </c>
      <c r="I708" t="n">
        <v>0</v>
      </c>
      <c r="J708" t="n">
        <v>0</v>
      </c>
      <c r="K708" t="n">
        <v>0</v>
      </c>
      <c r="L708" t="n">
        <v>0</v>
      </c>
      <c r="M708" t="n">
        <v>0</v>
      </c>
      <c r="N708" t="n">
        <v>0</v>
      </c>
      <c r="O708" t="n">
        <v>0</v>
      </c>
      <c r="P708" t="n">
        <v>0</v>
      </c>
      <c r="Q708" t="n">
        <v>0</v>
      </c>
      <c r="R708" s="2" t="inlineStr"/>
    </row>
    <row r="709" ht="15" customHeight="1">
      <c r="A709" t="inlineStr">
        <is>
          <t>A 27718-2025</t>
        </is>
      </c>
      <c r="B709" s="1" t="n">
        <v>45814.38221064815</v>
      </c>
      <c r="C709" s="1" t="n">
        <v>45928</v>
      </c>
      <c r="D709" t="inlineStr">
        <is>
          <t>KALMAR LÄN</t>
        </is>
      </c>
      <c r="E709" t="inlineStr">
        <is>
          <t>VIMMERBY</t>
        </is>
      </c>
      <c r="G709" t="n">
        <v>0.9</v>
      </c>
      <c r="H709" t="n">
        <v>0</v>
      </c>
      <c r="I709" t="n">
        <v>0</v>
      </c>
      <c r="J709" t="n">
        <v>0</v>
      </c>
      <c r="K709" t="n">
        <v>0</v>
      </c>
      <c r="L709" t="n">
        <v>0</v>
      </c>
      <c r="M709" t="n">
        <v>0</v>
      </c>
      <c r="N709" t="n">
        <v>0</v>
      </c>
      <c r="O709" t="n">
        <v>0</v>
      </c>
      <c r="P709" t="n">
        <v>0</v>
      </c>
      <c r="Q709" t="n">
        <v>0</v>
      </c>
      <c r="R709" s="2" t="inlineStr"/>
    </row>
    <row r="710" ht="15" customHeight="1">
      <c r="A710" t="inlineStr">
        <is>
          <t>A 36049-2024</t>
        </is>
      </c>
      <c r="B710" s="1" t="n">
        <v>45533.61996527778</v>
      </c>
      <c r="C710" s="1" t="n">
        <v>45928</v>
      </c>
      <c r="D710" t="inlineStr">
        <is>
          <t>KALMAR LÄN</t>
        </is>
      </c>
      <c r="E710" t="inlineStr">
        <is>
          <t>VIMMERBY</t>
        </is>
      </c>
      <c r="F710" t="inlineStr">
        <is>
          <t>Kommuner</t>
        </is>
      </c>
      <c r="G710" t="n">
        <v>2.6</v>
      </c>
      <c r="H710" t="n">
        <v>0</v>
      </c>
      <c r="I710" t="n">
        <v>0</v>
      </c>
      <c r="J710" t="n">
        <v>0</v>
      </c>
      <c r="K710" t="n">
        <v>0</v>
      </c>
      <c r="L710" t="n">
        <v>0</v>
      </c>
      <c r="M710" t="n">
        <v>0</v>
      </c>
      <c r="N710" t="n">
        <v>0</v>
      </c>
      <c r="O710" t="n">
        <v>0</v>
      </c>
      <c r="P710" t="n">
        <v>0</v>
      </c>
      <c r="Q710" t="n">
        <v>0</v>
      </c>
      <c r="R710" s="2" t="inlineStr"/>
    </row>
    <row r="711" ht="15" customHeight="1">
      <c r="A711" t="inlineStr">
        <is>
          <t>A 28290-2025</t>
        </is>
      </c>
      <c r="B711" s="1" t="n">
        <v>45818.59261574074</v>
      </c>
      <c r="C711" s="1" t="n">
        <v>45928</v>
      </c>
      <c r="D711" t="inlineStr">
        <is>
          <t>KALMAR LÄN</t>
        </is>
      </c>
      <c r="E711" t="inlineStr">
        <is>
          <t>VIMMERBY</t>
        </is>
      </c>
      <c r="F711" t="inlineStr">
        <is>
          <t>Sveaskog</t>
        </is>
      </c>
      <c r="G711" t="n">
        <v>1.6</v>
      </c>
      <c r="H711" t="n">
        <v>0</v>
      </c>
      <c r="I711" t="n">
        <v>0</v>
      </c>
      <c r="J711" t="n">
        <v>0</v>
      </c>
      <c r="K711" t="n">
        <v>0</v>
      </c>
      <c r="L711" t="n">
        <v>0</v>
      </c>
      <c r="M711" t="n">
        <v>0</v>
      </c>
      <c r="N711" t="n">
        <v>0</v>
      </c>
      <c r="O711" t="n">
        <v>0</v>
      </c>
      <c r="P711" t="n">
        <v>0</v>
      </c>
      <c r="Q711" t="n">
        <v>0</v>
      </c>
      <c r="R711" s="2" t="inlineStr"/>
    </row>
    <row r="712" ht="15" customHeight="1">
      <c r="A712" t="inlineStr">
        <is>
          <t>A 28280-2025</t>
        </is>
      </c>
      <c r="B712" s="1" t="n">
        <v>45818.5862037037</v>
      </c>
      <c r="C712" s="1" t="n">
        <v>45928</v>
      </c>
      <c r="D712" t="inlineStr">
        <is>
          <t>KALMAR LÄN</t>
        </is>
      </c>
      <c r="E712" t="inlineStr">
        <is>
          <t>VIMMERBY</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28286-2025</t>
        </is>
      </c>
      <c r="B713" s="1" t="n">
        <v>45818.58993055556</v>
      </c>
      <c r="C713" s="1" t="n">
        <v>45928</v>
      </c>
      <c r="D713" t="inlineStr">
        <is>
          <t>KALMAR LÄN</t>
        </is>
      </c>
      <c r="E713" t="inlineStr">
        <is>
          <t>VIMMERBY</t>
        </is>
      </c>
      <c r="F713" t="inlineStr">
        <is>
          <t>Sveaskog</t>
        </is>
      </c>
      <c r="G713" t="n">
        <v>8</v>
      </c>
      <c r="H713" t="n">
        <v>0</v>
      </c>
      <c r="I713" t="n">
        <v>0</v>
      </c>
      <c r="J713" t="n">
        <v>0</v>
      </c>
      <c r="K713" t="n">
        <v>0</v>
      </c>
      <c r="L713" t="n">
        <v>0</v>
      </c>
      <c r="M713" t="n">
        <v>0</v>
      </c>
      <c r="N713" t="n">
        <v>0</v>
      </c>
      <c r="O713" t="n">
        <v>0</v>
      </c>
      <c r="P713" t="n">
        <v>0</v>
      </c>
      <c r="Q713" t="n">
        <v>0</v>
      </c>
      <c r="R713" s="2" t="inlineStr"/>
    </row>
    <row r="714" ht="15" customHeight="1">
      <c r="A714" t="inlineStr">
        <is>
          <t>A 58159-2024</t>
        </is>
      </c>
      <c r="B714" s="1" t="n">
        <v>45632.44886574074</v>
      </c>
      <c r="C714" s="1" t="n">
        <v>45928</v>
      </c>
      <c r="D714" t="inlineStr">
        <is>
          <t>KALMAR LÄN</t>
        </is>
      </c>
      <c r="E714" t="inlineStr">
        <is>
          <t>VIMMERBY</t>
        </is>
      </c>
      <c r="G714" t="n">
        <v>7.5</v>
      </c>
      <c r="H714" t="n">
        <v>0</v>
      </c>
      <c r="I714" t="n">
        <v>0</v>
      </c>
      <c r="J714" t="n">
        <v>0</v>
      </c>
      <c r="K714" t="n">
        <v>0</v>
      </c>
      <c r="L714" t="n">
        <v>0</v>
      </c>
      <c r="M714" t="n">
        <v>0</v>
      </c>
      <c r="N714" t="n">
        <v>0</v>
      </c>
      <c r="O714" t="n">
        <v>0</v>
      </c>
      <c r="P714" t="n">
        <v>0</v>
      </c>
      <c r="Q714" t="n">
        <v>0</v>
      </c>
      <c r="R714" s="2" t="inlineStr"/>
    </row>
    <row r="715" ht="15" customHeight="1">
      <c r="A715" t="inlineStr">
        <is>
          <t>A 14359-2025</t>
        </is>
      </c>
      <c r="B715" s="1" t="n">
        <v>45741.37270833334</v>
      </c>
      <c r="C715" s="1" t="n">
        <v>45928</v>
      </c>
      <c r="D715" t="inlineStr">
        <is>
          <t>KALMAR LÄN</t>
        </is>
      </c>
      <c r="E715" t="inlineStr">
        <is>
          <t>VIMMERBY</t>
        </is>
      </c>
      <c r="G715" t="n">
        <v>2</v>
      </c>
      <c r="H715" t="n">
        <v>0</v>
      </c>
      <c r="I715" t="n">
        <v>0</v>
      </c>
      <c r="J715" t="n">
        <v>0</v>
      </c>
      <c r="K715" t="n">
        <v>0</v>
      </c>
      <c r="L715" t="n">
        <v>0</v>
      </c>
      <c r="M715" t="n">
        <v>0</v>
      </c>
      <c r="N715" t="n">
        <v>0</v>
      </c>
      <c r="O715" t="n">
        <v>0</v>
      </c>
      <c r="P715" t="n">
        <v>0</v>
      </c>
      <c r="Q715" t="n">
        <v>0</v>
      </c>
      <c r="R715" s="2" t="inlineStr"/>
    </row>
    <row r="716" ht="15" customHeight="1">
      <c r="A716" t="inlineStr">
        <is>
          <t>A 28282-2025</t>
        </is>
      </c>
      <c r="B716" s="1" t="n">
        <v>45818.58769675926</v>
      </c>
      <c r="C716" s="1" t="n">
        <v>45928</v>
      </c>
      <c r="D716" t="inlineStr">
        <is>
          <t>KALMAR LÄN</t>
        </is>
      </c>
      <c r="E716" t="inlineStr">
        <is>
          <t>VIMMERBY</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28294-2025</t>
        </is>
      </c>
      <c r="B717" s="1" t="n">
        <v>45818.595625</v>
      </c>
      <c r="C717" s="1" t="n">
        <v>45928</v>
      </c>
      <c r="D717" t="inlineStr">
        <is>
          <t>KALMAR LÄN</t>
        </is>
      </c>
      <c r="E717" t="inlineStr">
        <is>
          <t>VIMMERBY</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28713-2025</t>
        </is>
      </c>
      <c r="B718" s="1" t="n">
        <v>45820.33930555556</v>
      </c>
      <c r="C718" s="1" t="n">
        <v>45928</v>
      </c>
      <c r="D718" t="inlineStr">
        <is>
          <t>KALMAR LÄN</t>
        </is>
      </c>
      <c r="E718" t="inlineStr">
        <is>
          <t>VIMMERBY</t>
        </is>
      </c>
      <c r="G718" t="n">
        <v>2.3</v>
      </c>
      <c r="H718" t="n">
        <v>0</v>
      </c>
      <c r="I718" t="n">
        <v>0</v>
      </c>
      <c r="J718" t="n">
        <v>0</v>
      </c>
      <c r="K718" t="n">
        <v>0</v>
      </c>
      <c r="L718" t="n">
        <v>0</v>
      </c>
      <c r="M718" t="n">
        <v>0</v>
      </c>
      <c r="N718" t="n">
        <v>0</v>
      </c>
      <c r="O718" t="n">
        <v>0</v>
      </c>
      <c r="P718" t="n">
        <v>0</v>
      </c>
      <c r="Q718" t="n">
        <v>0</v>
      </c>
      <c r="R718" s="2" t="inlineStr"/>
    </row>
    <row r="719" ht="15" customHeight="1">
      <c r="A719" t="inlineStr">
        <is>
          <t>A 28712-2025</t>
        </is>
      </c>
      <c r="B719" s="1" t="n">
        <v>45820.33708333333</v>
      </c>
      <c r="C719" s="1" t="n">
        <v>45928</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28714-2025</t>
        </is>
      </c>
      <c r="B720" s="1" t="n">
        <v>45820.34128472222</v>
      </c>
      <c r="C720" s="1" t="n">
        <v>45928</v>
      </c>
      <c r="D720" t="inlineStr">
        <is>
          <t>KALMAR LÄN</t>
        </is>
      </c>
      <c r="E720" t="inlineStr">
        <is>
          <t>VIMMERBY</t>
        </is>
      </c>
      <c r="G720" t="n">
        <v>1.8</v>
      </c>
      <c r="H720" t="n">
        <v>0</v>
      </c>
      <c r="I720" t="n">
        <v>0</v>
      </c>
      <c r="J720" t="n">
        <v>0</v>
      </c>
      <c r="K720" t="n">
        <v>0</v>
      </c>
      <c r="L720" t="n">
        <v>0</v>
      </c>
      <c r="M720" t="n">
        <v>0</v>
      </c>
      <c r="N720" t="n">
        <v>0</v>
      </c>
      <c r="O720" t="n">
        <v>0</v>
      </c>
      <c r="P720" t="n">
        <v>0</v>
      </c>
      <c r="Q720" t="n">
        <v>0</v>
      </c>
      <c r="R720" s="2" t="inlineStr"/>
    </row>
    <row r="721" ht="15" customHeight="1">
      <c r="A721" t="inlineStr">
        <is>
          <t>A 28620-2025</t>
        </is>
      </c>
      <c r="B721" s="1" t="n">
        <v>45819.61060185185</v>
      </c>
      <c r="C721" s="1" t="n">
        <v>45928</v>
      </c>
      <c r="D721" t="inlineStr">
        <is>
          <t>KALMAR LÄN</t>
        </is>
      </c>
      <c r="E721" t="inlineStr">
        <is>
          <t>VIMMERBY</t>
        </is>
      </c>
      <c r="G721" t="n">
        <v>5.6</v>
      </c>
      <c r="H721" t="n">
        <v>0</v>
      </c>
      <c r="I721" t="n">
        <v>0</v>
      </c>
      <c r="J721" t="n">
        <v>0</v>
      </c>
      <c r="K721" t="n">
        <v>0</v>
      </c>
      <c r="L721" t="n">
        <v>0</v>
      </c>
      <c r="M721" t="n">
        <v>0</v>
      </c>
      <c r="N721" t="n">
        <v>0</v>
      </c>
      <c r="O721" t="n">
        <v>0</v>
      </c>
      <c r="P721" t="n">
        <v>0</v>
      </c>
      <c r="Q721" t="n">
        <v>0</v>
      </c>
      <c r="R721" s="2" t="inlineStr"/>
    </row>
    <row r="722" ht="15" customHeight="1">
      <c r="A722" t="inlineStr">
        <is>
          <t>A 39578-2024</t>
        </is>
      </c>
      <c r="B722" s="1" t="n">
        <v>45552.36484953704</v>
      </c>
      <c r="C722" s="1" t="n">
        <v>45928</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29727-2025</t>
        </is>
      </c>
      <c r="B723" s="1" t="n">
        <v>45825.5796875</v>
      </c>
      <c r="C723" s="1" t="n">
        <v>45928</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29737-2025</t>
        </is>
      </c>
      <c r="B724" s="1" t="n">
        <v>45825.58672453704</v>
      </c>
      <c r="C724" s="1" t="n">
        <v>45928</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62779-2023</t>
        </is>
      </c>
      <c r="B725" s="1" t="n">
        <v>45271.66576388889</v>
      </c>
      <c r="C725" s="1" t="n">
        <v>45928</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29726-2025</t>
        </is>
      </c>
      <c r="B726" s="1" t="n">
        <v>45825.57805555555</v>
      </c>
      <c r="C726" s="1" t="n">
        <v>45928</v>
      </c>
      <c r="D726" t="inlineStr">
        <is>
          <t>KALMAR LÄN</t>
        </is>
      </c>
      <c r="E726" t="inlineStr">
        <is>
          <t>VIMMERBY</t>
        </is>
      </c>
      <c r="G726" t="n">
        <v>2</v>
      </c>
      <c r="H726" t="n">
        <v>0</v>
      </c>
      <c r="I726" t="n">
        <v>0</v>
      </c>
      <c r="J726" t="n">
        <v>0</v>
      </c>
      <c r="K726" t="n">
        <v>0</v>
      </c>
      <c r="L726" t="n">
        <v>0</v>
      </c>
      <c r="M726" t="n">
        <v>0</v>
      </c>
      <c r="N726" t="n">
        <v>0</v>
      </c>
      <c r="O726" t="n">
        <v>0</v>
      </c>
      <c r="P726" t="n">
        <v>0</v>
      </c>
      <c r="Q726" t="n">
        <v>0</v>
      </c>
      <c r="R726" s="2" t="inlineStr"/>
    </row>
    <row r="727" ht="15" customHeight="1">
      <c r="A727" t="inlineStr">
        <is>
          <t>A 29724-2025</t>
        </is>
      </c>
      <c r="B727" s="1" t="n">
        <v>45825.57680555555</v>
      </c>
      <c r="C727" s="1" t="n">
        <v>45928</v>
      </c>
      <c r="D727" t="inlineStr">
        <is>
          <t>KALMAR LÄN</t>
        </is>
      </c>
      <c r="E727" t="inlineStr">
        <is>
          <t>VIMMERBY</t>
        </is>
      </c>
      <c r="G727" t="n">
        <v>1.3</v>
      </c>
      <c r="H727" t="n">
        <v>0</v>
      </c>
      <c r="I727" t="n">
        <v>0</v>
      </c>
      <c r="J727" t="n">
        <v>0</v>
      </c>
      <c r="K727" t="n">
        <v>0</v>
      </c>
      <c r="L727" t="n">
        <v>0</v>
      </c>
      <c r="M727" t="n">
        <v>0</v>
      </c>
      <c r="N727" t="n">
        <v>0</v>
      </c>
      <c r="O727" t="n">
        <v>0</v>
      </c>
      <c r="P727" t="n">
        <v>0</v>
      </c>
      <c r="Q727" t="n">
        <v>0</v>
      </c>
      <c r="R727" s="2" t="inlineStr"/>
    </row>
    <row r="728" ht="15" customHeight="1">
      <c r="A728" t="inlineStr">
        <is>
          <t>A 30293-2025</t>
        </is>
      </c>
      <c r="B728" s="1" t="n">
        <v>45827</v>
      </c>
      <c r="C728" s="1" t="n">
        <v>45928</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46399-2024</t>
        </is>
      </c>
      <c r="B729" s="1" t="n">
        <v>45582.41200231481</v>
      </c>
      <c r="C729" s="1" t="n">
        <v>45928</v>
      </c>
      <c r="D729" t="inlineStr">
        <is>
          <t>KALMAR LÄN</t>
        </is>
      </c>
      <c r="E729" t="inlineStr">
        <is>
          <t>VIMMERBY</t>
        </is>
      </c>
      <c r="G729" t="n">
        <v>4.6</v>
      </c>
      <c r="H729" t="n">
        <v>0</v>
      </c>
      <c r="I729" t="n">
        <v>0</v>
      </c>
      <c r="J729" t="n">
        <v>0</v>
      </c>
      <c r="K729" t="n">
        <v>0</v>
      </c>
      <c r="L729" t="n">
        <v>0</v>
      </c>
      <c r="M729" t="n">
        <v>0</v>
      </c>
      <c r="N729" t="n">
        <v>0</v>
      </c>
      <c r="O729" t="n">
        <v>0</v>
      </c>
      <c r="P729" t="n">
        <v>0</v>
      </c>
      <c r="Q729" t="n">
        <v>0</v>
      </c>
      <c r="R729" s="2" t="inlineStr"/>
    </row>
    <row r="730" ht="15" customHeight="1">
      <c r="A730" t="inlineStr">
        <is>
          <t>A 3425-2022</t>
        </is>
      </c>
      <c r="B730" s="1" t="n">
        <v>44585.51060185185</v>
      </c>
      <c r="C730" s="1" t="n">
        <v>45928</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43962-2024</t>
        </is>
      </c>
      <c r="B731" s="1" t="n">
        <v>45572.48293981481</v>
      </c>
      <c r="C731" s="1" t="n">
        <v>45928</v>
      </c>
      <c r="D731" t="inlineStr">
        <is>
          <t>KALMAR LÄN</t>
        </is>
      </c>
      <c r="E731" t="inlineStr">
        <is>
          <t>VIMMERBY</t>
        </is>
      </c>
      <c r="G731" t="n">
        <v>0.6</v>
      </c>
      <c r="H731" t="n">
        <v>0</v>
      </c>
      <c r="I731" t="n">
        <v>0</v>
      </c>
      <c r="J731" t="n">
        <v>0</v>
      </c>
      <c r="K731" t="n">
        <v>0</v>
      </c>
      <c r="L731" t="n">
        <v>0</v>
      </c>
      <c r="M731" t="n">
        <v>0</v>
      </c>
      <c r="N731" t="n">
        <v>0</v>
      </c>
      <c r="O731" t="n">
        <v>0</v>
      </c>
      <c r="P731" t="n">
        <v>0</v>
      </c>
      <c r="Q731" t="n">
        <v>0</v>
      </c>
      <c r="R731" s="2" t="inlineStr"/>
    </row>
    <row r="732" ht="15" customHeight="1">
      <c r="A732" t="inlineStr">
        <is>
          <t>A 30290-2025</t>
        </is>
      </c>
      <c r="B732" s="1" t="n">
        <v>45827</v>
      </c>
      <c r="C732" s="1" t="n">
        <v>45928</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12810-2023</t>
        </is>
      </c>
      <c r="B733" s="1" t="n">
        <v>45001.43854166667</v>
      </c>
      <c r="C733" s="1" t="n">
        <v>45928</v>
      </c>
      <c r="D733" t="inlineStr">
        <is>
          <t>KALMAR LÄN</t>
        </is>
      </c>
      <c r="E733" t="inlineStr">
        <is>
          <t>VIMMERBY</t>
        </is>
      </c>
      <c r="G733" t="n">
        <v>1.5</v>
      </c>
      <c r="H733" t="n">
        <v>0</v>
      </c>
      <c r="I733" t="n">
        <v>0</v>
      </c>
      <c r="J733" t="n">
        <v>0</v>
      </c>
      <c r="K733" t="n">
        <v>0</v>
      </c>
      <c r="L733" t="n">
        <v>0</v>
      </c>
      <c r="M733" t="n">
        <v>0</v>
      </c>
      <c r="N733" t="n">
        <v>0</v>
      </c>
      <c r="O733" t="n">
        <v>0</v>
      </c>
      <c r="P733" t="n">
        <v>0</v>
      </c>
      <c r="Q733" t="n">
        <v>0</v>
      </c>
      <c r="R733" s="2" t="inlineStr"/>
    </row>
    <row r="734" ht="15" customHeight="1">
      <c r="A734" t="inlineStr">
        <is>
          <t>A 43068-2023</t>
        </is>
      </c>
      <c r="B734" s="1" t="n">
        <v>45182.78834490741</v>
      </c>
      <c r="C734" s="1" t="n">
        <v>45928</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30850-2025</t>
        </is>
      </c>
      <c r="B735" s="1" t="n">
        <v>45831</v>
      </c>
      <c r="C735" s="1" t="n">
        <v>45928</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30882-2025</t>
        </is>
      </c>
      <c r="B736" s="1" t="n">
        <v>45832.34540509259</v>
      </c>
      <c r="C736" s="1" t="n">
        <v>45928</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30971-2025</t>
        </is>
      </c>
      <c r="B737" s="1" t="n">
        <v>45832.46146990741</v>
      </c>
      <c r="C737" s="1" t="n">
        <v>45928</v>
      </c>
      <c r="D737" t="inlineStr">
        <is>
          <t>KALMAR LÄN</t>
        </is>
      </c>
      <c r="E737" t="inlineStr">
        <is>
          <t>VIMMERBY</t>
        </is>
      </c>
      <c r="G737" t="n">
        <v>1.2</v>
      </c>
      <c r="H737" t="n">
        <v>0</v>
      </c>
      <c r="I737" t="n">
        <v>0</v>
      </c>
      <c r="J737" t="n">
        <v>0</v>
      </c>
      <c r="K737" t="n">
        <v>0</v>
      </c>
      <c r="L737" t="n">
        <v>0</v>
      </c>
      <c r="M737" t="n">
        <v>0</v>
      </c>
      <c r="N737" t="n">
        <v>0</v>
      </c>
      <c r="O737" t="n">
        <v>0</v>
      </c>
      <c r="P737" t="n">
        <v>0</v>
      </c>
      <c r="Q737" t="n">
        <v>0</v>
      </c>
      <c r="R737" s="2" t="inlineStr"/>
    </row>
    <row r="738" ht="15" customHeight="1">
      <c r="A738" t="inlineStr">
        <is>
          <t>A 12075-2024</t>
        </is>
      </c>
      <c r="B738" s="1" t="n">
        <v>45377</v>
      </c>
      <c r="C738" s="1" t="n">
        <v>45928</v>
      </c>
      <c r="D738" t="inlineStr">
        <is>
          <t>KALMAR LÄN</t>
        </is>
      </c>
      <c r="E738" t="inlineStr">
        <is>
          <t>VIMMERBY</t>
        </is>
      </c>
      <c r="G738" t="n">
        <v>3.7</v>
      </c>
      <c r="H738" t="n">
        <v>0</v>
      </c>
      <c r="I738" t="n">
        <v>0</v>
      </c>
      <c r="J738" t="n">
        <v>0</v>
      </c>
      <c r="K738" t="n">
        <v>0</v>
      </c>
      <c r="L738" t="n">
        <v>0</v>
      </c>
      <c r="M738" t="n">
        <v>0</v>
      </c>
      <c r="N738" t="n">
        <v>0</v>
      </c>
      <c r="O738" t="n">
        <v>0</v>
      </c>
      <c r="P738" t="n">
        <v>0</v>
      </c>
      <c r="Q738" t="n">
        <v>0</v>
      </c>
      <c r="R738" s="2" t="inlineStr"/>
    </row>
    <row r="739" ht="15" customHeight="1">
      <c r="A739" t="inlineStr">
        <is>
          <t>A 31552-2025</t>
        </is>
      </c>
      <c r="B739" s="1" t="n">
        <v>45833.64563657407</v>
      </c>
      <c r="C739" s="1" t="n">
        <v>45928</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31555-2025</t>
        </is>
      </c>
      <c r="B740" s="1" t="n">
        <v>45833.64814814815</v>
      </c>
      <c r="C740" s="1" t="n">
        <v>45928</v>
      </c>
      <c r="D740" t="inlineStr">
        <is>
          <t>KALMAR LÄN</t>
        </is>
      </c>
      <c r="E740" t="inlineStr">
        <is>
          <t>VIMMERBY</t>
        </is>
      </c>
      <c r="G740" t="n">
        <v>1.8</v>
      </c>
      <c r="H740" t="n">
        <v>0</v>
      </c>
      <c r="I740" t="n">
        <v>0</v>
      </c>
      <c r="J740" t="n">
        <v>0</v>
      </c>
      <c r="K740" t="n">
        <v>0</v>
      </c>
      <c r="L740" t="n">
        <v>0</v>
      </c>
      <c r="M740" t="n">
        <v>0</v>
      </c>
      <c r="N740" t="n">
        <v>0</v>
      </c>
      <c r="O740" t="n">
        <v>0</v>
      </c>
      <c r="P740" t="n">
        <v>0</v>
      </c>
      <c r="Q740" t="n">
        <v>0</v>
      </c>
      <c r="R740" s="2" t="inlineStr"/>
    </row>
    <row r="741" ht="15" customHeight="1">
      <c r="A741" t="inlineStr">
        <is>
          <t>A 1799-2025</t>
        </is>
      </c>
      <c r="B741" s="1" t="n">
        <v>45671.46746527778</v>
      </c>
      <c r="C741" s="1" t="n">
        <v>45928</v>
      </c>
      <c r="D741" t="inlineStr">
        <is>
          <t>KALMAR LÄN</t>
        </is>
      </c>
      <c r="E741" t="inlineStr">
        <is>
          <t>VIMMERBY</t>
        </is>
      </c>
      <c r="G741" t="n">
        <v>3.3</v>
      </c>
      <c r="H741" t="n">
        <v>0</v>
      </c>
      <c r="I741" t="n">
        <v>0</v>
      </c>
      <c r="J741" t="n">
        <v>0</v>
      </c>
      <c r="K741" t="n">
        <v>0</v>
      </c>
      <c r="L741" t="n">
        <v>0</v>
      </c>
      <c r="M741" t="n">
        <v>0</v>
      </c>
      <c r="N741" t="n">
        <v>0</v>
      </c>
      <c r="O741" t="n">
        <v>0</v>
      </c>
      <c r="P741" t="n">
        <v>0</v>
      </c>
      <c r="Q741" t="n">
        <v>0</v>
      </c>
      <c r="R741" s="2" t="inlineStr"/>
    </row>
    <row r="742" ht="15" customHeight="1">
      <c r="A742" t="inlineStr">
        <is>
          <t>A 31870-2025</t>
        </is>
      </c>
      <c r="B742" s="1" t="n">
        <v>45834.64667824074</v>
      </c>
      <c r="C742" s="1" t="n">
        <v>45928</v>
      </c>
      <c r="D742" t="inlineStr">
        <is>
          <t>KALMAR LÄN</t>
        </is>
      </c>
      <c r="E742" t="inlineStr">
        <is>
          <t>VIMMERBY</t>
        </is>
      </c>
      <c r="F742" t="inlineStr">
        <is>
          <t>Sveaskog</t>
        </is>
      </c>
      <c r="G742" t="n">
        <v>3.5</v>
      </c>
      <c r="H742" t="n">
        <v>0</v>
      </c>
      <c r="I742" t="n">
        <v>0</v>
      </c>
      <c r="J742" t="n">
        <v>0</v>
      </c>
      <c r="K742" t="n">
        <v>0</v>
      </c>
      <c r="L742" t="n">
        <v>0</v>
      </c>
      <c r="M742" t="n">
        <v>0</v>
      </c>
      <c r="N742" t="n">
        <v>0</v>
      </c>
      <c r="O742" t="n">
        <v>0</v>
      </c>
      <c r="P742" t="n">
        <v>0</v>
      </c>
      <c r="Q742" t="n">
        <v>0</v>
      </c>
      <c r="R742" s="2" t="inlineStr"/>
    </row>
    <row r="743" ht="15" customHeight="1">
      <c r="A743" t="inlineStr">
        <is>
          <t>A 8559-2025</t>
        </is>
      </c>
      <c r="B743" s="1" t="n">
        <v>45709.62280092593</v>
      </c>
      <c r="C743" s="1" t="n">
        <v>45928</v>
      </c>
      <c r="D743" t="inlineStr">
        <is>
          <t>KALMAR LÄN</t>
        </is>
      </c>
      <c r="E743" t="inlineStr">
        <is>
          <t>VIMMERBY</t>
        </is>
      </c>
      <c r="G743" t="n">
        <v>8.9</v>
      </c>
      <c r="H743" t="n">
        <v>0</v>
      </c>
      <c r="I743" t="n">
        <v>0</v>
      </c>
      <c r="J743" t="n">
        <v>0</v>
      </c>
      <c r="K743" t="n">
        <v>0</v>
      </c>
      <c r="L743" t="n">
        <v>0</v>
      </c>
      <c r="M743" t="n">
        <v>0</v>
      </c>
      <c r="N743" t="n">
        <v>0</v>
      </c>
      <c r="O743" t="n">
        <v>0</v>
      </c>
      <c r="P743" t="n">
        <v>0</v>
      </c>
      <c r="Q743" t="n">
        <v>0</v>
      </c>
      <c r="R743" s="2" t="inlineStr"/>
    </row>
    <row r="744" ht="15" customHeight="1">
      <c r="A744" t="inlineStr">
        <is>
          <t>A 31872-2025</t>
        </is>
      </c>
      <c r="B744" s="1" t="n">
        <v>45834.65040509259</v>
      </c>
      <c r="C744" s="1" t="n">
        <v>45928</v>
      </c>
      <c r="D744" t="inlineStr">
        <is>
          <t>KALMAR LÄN</t>
        </is>
      </c>
      <c r="E744" t="inlineStr">
        <is>
          <t>VIMMERBY</t>
        </is>
      </c>
      <c r="F744" t="inlineStr">
        <is>
          <t>Sveaskog</t>
        </is>
      </c>
      <c r="G744" t="n">
        <v>9.199999999999999</v>
      </c>
      <c r="H744" t="n">
        <v>0</v>
      </c>
      <c r="I744" t="n">
        <v>0</v>
      </c>
      <c r="J744" t="n">
        <v>0</v>
      </c>
      <c r="K744" t="n">
        <v>0</v>
      </c>
      <c r="L744" t="n">
        <v>0</v>
      </c>
      <c r="M744" t="n">
        <v>0</v>
      </c>
      <c r="N744" t="n">
        <v>0</v>
      </c>
      <c r="O744" t="n">
        <v>0</v>
      </c>
      <c r="P744" t="n">
        <v>0</v>
      </c>
      <c r="Q744" t="n">
        <v>0</v>
      </c>
      <c r="R744" s="2" t="inlineStr"/>
    </row>
    <row r="745" ht="15" customHeight="1">
      <c r="A745" t="inlineStr">
        <is>
          <t>A 31876-2025</t>
        </is>
      </c>
      <c r="B745" s="1" t="n">
        <v>45834.65197916667</v>
      </c>
      <c r="C745" s="1" t="n">
        <v>45928</v>
      </c>
      <c r="D745" t="inlineStr">
        <is>
          <t>KALMAR LÄN</t>
        </is>
      </c>
      <c r="E745" t="inlineStr">
        <is>
          <t>VIMMERBY</t>
        </is>
      </c>
      <c r="F745" t="inlineStr">
        <is>
          <t>Sveaskog</t>
        </is>
      </c>
      <c r="G745" t="n">
        <v>3.3</v>
      </c>
      <c r="H745" t="n">
        <v>0</v>
      </c>
      <c r="I745" t="n">
        <v>0</v>
      </c>
      <c r="J745" t="n">
        <v>0</v>
      </c>
      <c r="K745" t="n">
        <v>0</v>
      </c>
      <c r="L745" t="n">
        <v>0</v>
      </c>
      <c r="M745" t="n">
        <v>0</v>
      </c>
      <c r="N745" t="n">
        <v>0</v>
      </c>
      <c r="O745" t="n">
        <v>0</v>
      </c>
      <c r="P745" t="n">
        <v>0</v>
      </c>
      <c r="Q745" t="n">
        <v>0</v>
      </c>
      <c r="R745" s="2" t="inlineStr"/>
    </row>
    <row r="746" ht="15" customHeight="1">
      <c r="A746" t="inlineStr">
        <is>
          <t>A 2462-2022</t>
        </is>
      </c>
      <c r="B746" s="1" t="n">
        <v>44579.62225694444</v>
      </c>
      <c r="C746" s="1" t="n">
        <v>45928</v>
      </c>
      <c r="D746" t="inlineStr">
        <is>
          <t>KALMAR LÄN</t>
        </is>
      </c>
      <c r="E746" t="inlineStr">
        <is>
          <t>VIMMERBY</t>
        </is>
      </c>
      <c r="G746" t="n">
        <v>1.1</v>
      </c>
      <c r="H746" t="n">
        <v>0</v>
      </c>
      <c r="I746" t="n">
        <v>0</v>
      </c>
      <c r="J746" t="n">
        <v>0</v>
      </c>
      <c r="K746" t="n">
        <v>0</v>
      </c>
      <c r="L746" t="n">
        <v>0</v>
      </c>
      <c r="M746" t="n">
        <v>0</v>
      </c>
      <c r="N746" t="n">
        <v>0</v>
      </c>
      <c r="O746" t="n">
        <v>0</v>
      </c>
      <c r="P746" t="n">
        <v>0</v>
      </c>
      <c r="Q746" t="n">
        <v>0</v>
      </c>
      <c r="R746" s="2" t="inlineStr"/>
    </row>
    <row r="747" ht="15" customHeight="1">
      <c r="A747" t="inlineStr">
        <is>
          <t>A 31551-2025</t>
        </is>
      </c>
      <c r="B747" s="1" t="n">
        <v>45833.64237268519</v>
      </c>
      <c r="C747" s="1" t="n">
        <v>45928</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31987-2025</t>
        </is>
      </c>
      <c r="B748" s="1" t="n">
        <v>45835.36229166666</v>
      </c>
      <c r="C748" s="1" t="n">
        <v>45928</v>
      </c>
      <c r="D748" t="inlineStr">
        <is>
          <t>KALMAR LÄN</t>
        </is>
      </c>
      <c r="E748" t="inlineStr">
        <is>
          <t>VIMMERBY</t>
        </is>
      </c>
      <c r="F748" t="inlineStr">
        <is>
          <t>Kyrkan</t>
        </is>
      </c>
      <c r="G748" t="n">
        <v>1.2</v>
      </c>
      <c r="H748" t="n">
        <v>0</v>
      </c>
      <c r="I748" t="n">
        <v>0</v>
      </c>
      <c r="J748" t="n">
        <v>0</v>
      </c>
      <c r="K748" t="n">
        <v>0</v>
      </c>
      <c r="L748" t="n">
        <v>0</v>
      </c>
      <c r="M748" t="n">
        <v>0</v>
      </c>
      <c r="N748" t="n">
        <v>0</v>
      </c>
      <c r="O748" t="n">
        <v>0</v>
      </c>
      <c r="P748" t="n">
        <v>0</v>
      </c>
      <c r="Q748" t="n">
        <v>0</v>
      </c>
      <c r="R748" s="2" t="inlineStr"/>
    </row>
    <row r="749" ht="15" customHeight="1">
      <c r="A749" t="inlineStr">
        <is>
          <t>A 32120-2025</t>
        </is>
      </c>
      <c r="B749" s="1" t="n">
        <v>45835.4924537037</v>
      </c>
      <c r="C749" s="1" t="n">
        <v>45928</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32116-2025</t>
        </is>
      </c>
      <c r="B750" s="1" t="n">
        <v>45835.48862268519</v>
      </c>
      <c r="C750" s="1" t="n">
        <v>45928</v>
      </c>
      <c r="D750" t="inlineStr">
        <is>
          <t>KALMAR LÄN</t>
        </is>
      </c>
      <c r="E750" t="inlineStr">
        <is>
          <t>VIMMERBY</t>
        </is>
      </c>
      <c r="G750" t="n">
        <v>0.9</v>
      </c>
      <c r="H750" t="n">
        <v>0</v>
      </c>
      <c r="I750" t="n">
        <v>0</v>
      </c>
      <c r="J750" t="n">
        <v>0</v>
      </c>
      <c r="K750" t="n">
        <v>0</v>
      </c>
      <c r="L750" t="n">
        <v>0</v>
      </c>
      <c r="M750" t="n">
        <v>0</v>
      </c>
      <c r="N750" t="n">
        <v>0</v>
      </c>
      <c r="O750" t="n">
        <v>0</v>
      </c>
      <c r="P750" t="n">
        <v>0</v>
      </c>
      <c r="Q750" t="n">
        <v>0</v>
      </c>
      <c r="R750" s="2" t="inlineStr"/>
    </row>
    <row r="751" ht="15" customHeight="1">
      <c r="A751" t="inlineStr">
        <is>
          <t>A 13015-2022</t>
        </is>
      </c>
      <c r="B751" s="1" t="n">
        <v>44643</v>
      </c>
      <c r="C751" s="1" t="n">
        <v>45928</v>
      </c>
      <c r="D751" t="inlineStr">
        <is>
          <t>KALMAR LÄN</t>
        </is>
      </c>
      <c r="E751" t="inlineStr">
        <is>
          <t>VIMMERBY</t>
        </is>
      </c>
      <c r="G751" t="n">
        <v>2.4</v>
      </c>
      <c r="H751" t="n">
        <v>0</v>
      </c>
      <c r="I751" t="n">
        <v>0</v>
      </c>
      <c r="J751" t="n">
        <v>0</v>
      </c>
      <c r="K751" t="n">
        <v>0</v>
      </c>
      <c r="L751" t="n">
        <v>0</v>
      </c>
      <c r="M751" t="n">
        <v>0</v>
      </c>
      <c r="N751" t="n">
        <v>0</v>
      </c>
      <c r="O751" t="n">
        <v>0</v>
      </c>
      <c r="P751" t="n">
        <v>0</v>
      </c>
      <c r="Q751" t="n">
        <v>0</v>
      </c>
      <c r="R751" s="2" t="inlineStr"/>
    </row>
    <row r="752" ht="15" customHeight="1">
      <c r="A752" t="inlineStr">
        <is>
          <t>A 32380-2025</t>
        </is>
      </c>
      <c r="B752" s="1" t="n">
        <v>45837.77701388889</v>
      </c>
      <c r="C752" s="1" t="n">
        <v>45928</v>
      </c>
      <c r="D752" t="inlineStr">
        <is>
          <t>KALMAR LÄN</t>
        </is>
      </c>
      <c r="E752" t="inlineStr">
        <is>
          <t>VIMMERBY</t>
        </is>
      </c>
      <c r="G752" t="n">
        <v>3.1</v>
      </c>
      <c r="H752" t="n">
        <v>0</v>
      </c>
      <c r="I752" t="n">
        <v>0</v>
      </c>
      <c r="J752" t="n">
        <v>0</v>
      </c>
      <c r="K752" t="n">
        <v>0</v>
      </c>
      <c r="L752" t="n">
        <v>0</v>
      </c>
      <c r="M752" t="n">
        <v>0</v>
      </c>
      <c r="N752" t="n">
        <v>0</v>
      </c>
      <c r="O752" t="n">
        <v>0</v>
      </c>
      <c r="P752" t="n">
        <v>0</v>
      </c>
      <c r="Q752" t="n">
        <v>0</v>
      </c>
      <c r="R752" s="2" t="inlineStr"/>
    </row>
    <row r="753" ht="15" customHeight="1">
      <c r="A753" t="inlineStr">
        <is>
          <t>A 4624-2024</t>
        </is>
      </c>
      <c r="B753" s="1" t="n">
        <v>45328.38755787037</v>
      </c>
      <c r="C753" s="1" t="n">
        <v>45928</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9129-2025</t>
        </is>
      </c>
      <c r="B754" s="1" t="n">
        <v>45713.92412037037</v>
      </c>
      <c r="C754" s="1" t="n">
        <v>45928</v>
      </c>
      <c r="D754" t="inlineStr">
        <is>
          <t>KALMAR LÄN</t>
        </is>
      </c>
      <c r="E754" t="inlineStr">
        <is>
          <t>VIMMERBY</t>
        </is>
      </c>
      <c r="G754" t="n">
        <v>2.8</v>
      </c>
      <c r="H754" t="n">
        <v>0</v>
      </c>
      <c r="I754" t="n">
        <v>0</v>
      </c>
      <c r="J754" t="n">
        <v>0</v>
      </c>
      <c r="K754" t="n">
        <v>0</v>
      </c>
      <c r="L754" t="n">
        <v>0</v>
      </c>
      <c r="M754" t="n">
        <v>0</v>
      </c>
      <c r="N754" t="n">
        <v>0</v>
      </c>
      <c r="O754" t="n">
        <v>0</v>
      </c>
      <c r="P754" t="n">
        <v>0</v>
      </c>
      <c r="Q754" t="n">
        <v>0</v>
      </c>
      <c r="R754" s="2" t="inlineStr"/>
    </row>
    <row r="755" ht="15" customHeight="1">
      <c r="A755" t="inlineStr">
        <is>
          <t>A 32109-2025</t>
        </is>
      </c>
      <c r="B755" s="1" t="n">
        <v>45835.48267361111</v>
      </c>
      <c r="C755" s="1" t="n">
        <v>45928</v>
      </c>
      <c r="D755" t="inlineStr">
        <is>
          <t>KALMAR LÄN</t>
        </is>
      </c>
      <c r="E755" t="inlineStr">
        <is>
          <t>VIMMERBY</t>
        </is>
      </c>
      <c r="G755" t="n">
        <v>2.5</v>
      </c>
      <c r="H755" t="n">
        <v>0</v>
      </c>
      <c r="I755" t="n">
        <v>0</v>
      </c>
      <c r="J755" t="n">
        <v>0</v>
      </c>
      <c r="K755" t="n">
        <v>0</v>
      </c>
      <c r="L755" t="n">
        <v>0</v>
      </c>
      <c r="M755" t="n">
        <v>0</v>
      </c>
      <c r="N755" t="n">
        <v>0</v>
      </c>
      <c r="O755" t="n">
        <v>0</v>
      </c>
      <c r="P755" t="n">
        <v>0</v>
      </c>
      <c r="Q755" t="n">
        <v>0</v>
      </c>
      <c r="R755" s="2" t="inlineStr"/>
    </row>
    <row r="756" ht="15" customHeight="1">
      <c r="A756" t="inlineStr">
        <is>
          <t>A 32113-2025</t>
        </is>
      </c>
      <c r="B756" s="1" t="n">
        <v>45835.48445601852</v>
      </c>
      <c r="C756" s="1" t="n">
        <v>45928</v>
      </c>
      <c r="D756" t="inlineStr">
        <is>
          <t>KALMAR LÄN</t>
        </is>
      </c>
      <c r="E756" t="inlineStr">
        <is>
          <t>VIMMERBY</t>
        </is>
      </c>
      <c r="G756" t="n">
        <v>3.5</v>
      </c>
      <c r="H756" t="n">
        <v>0</v>
      </c>
      <c r="I756" t="n">
        <v>0</v>
      </c>
      <c r="J756" t="n">
        <v>0</v>
      </c>
      <c r="K756" t="n">
        <v>0</v>
      </c>
      <c r="L756" t="n">
        <v>0</v>
      </c>
      <c r="M756" t="n">
        <v>0</v>
      </c>
      <c r="N756" t="n">
        <v>0</v>
      </c>
      <c r="O756" t="n">
        <v>0</v>
      </c>
      <c r="P756" t="n">
        <v>0</v>
      </c>
      <c r="Q756" t="n">
        <v>0</v>
      </c>
      <c r="R756" s="2" t="inlineStr"/>
    </row>
    <row r="757" ht="15" customHeight="1">
      <c r="A757" t="inlineStr">
        <is>
          <t>A 32077-2025</t>
        </is>
      </c>
      <c r="B757" s="1" t="n">
        <v>45835.45099537037</v>
      </c>
      <c r="C757" s="1" t="n">
        <v>45928</v>
      </c>
      <c r="D757" t="inlineStr">
        <is>
          <t>KALMAR LÄN</t>
        </is>
      </c>
      <c r="E757" t="inlineStr">
        <is>
          <t>VIMMERBY</t>
        </is>
      </c>
      <c r="G757" t="n">
        <v>1.8</v>
      </c>
      <c r="H757" t="n">
        <v>0</v>
      </c>
      <c r="I757" t="n">
        <v>0</v>
      </c>
      <c r="J757" t="n">
        <v>0</v>
      </c>
      <c r="K757" t="n">
        <v>0</v>
      </c>
      <c r="L757" t="n">
        <v>0</v>
      </c>
      <c r="M757" t="n">
        <v>0</v>
      </c>
      <c r="N757" t="n">
        <v>0</v>
      </c>
      <c r="O757" t="n">
        <v>0</v>
      </c>
      <c r="P757" t="n">
        <v>0</v>
      </c>
      <c r="Q757" t="n">
        <v>0</v>
      </c>
      <c r="R757" s="2" t="inlineStr"/>
    </row>
    <row r="758" ht="15" customHeight="1">
      <c r="A758" t="inlineStr">
        <is>
          <t>A 32064-2025</t>
        </is>
      </c>
      <c r="B758" s="1" t="n">
        <v>45835.44709490741</v>
      </c>
      <c r="C758" s="1" t="n">
        <v>45928</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32065-2025</t>
        </is>
      </c>
      <c r="B759" s="1" t="n">
        <v>45835.44732638889</v>
      </c>
      <c r="C759" s="1" t="n">
        <v>45928</v>
      </c>
      <c r="D759" t="inlineStr">
        <is>
          <t>KALMAR LÄN</t>
        </is>
      </c>
      <c r="E759" t="inlineStr">
        <is>
          <t>VIMMERBY</t>
        </is>
      </c>
      <c r="G759" t="n">
        <v>1</v>
      </c>
      <c r="H759" t="n">
        <v>0</v>
      </c>
      <c r="I759" t="n">
        <v>0</v>
      </c>
      <c r="J759" t="n">
        <v>0</v>
      </c>
      <c r="K759" t="n">
        <v>0</v>
      </c>
      <c r="L759" t="n">
        <v>0</v>
      </c>
      <c r="M759" t="n">
        <v>0</v>
      </c>
      <c r="N759" t="n">
        <v>0</v>
      </c>
      <c r="O759" t="n">
        <v>0</v>
      </c>
      <c r="P759" t="n">
        <v>0</v>
      </c>
      <c r="Q759" t="n">
        <v>0</v>
      </c>
      <c r="R759" s="2" t="inlineStr"/>
    </row>
    <row r="760" ht="15" customHeight="1">
      <c r="A760" t="inlineStr">
        <is>
          <t>A 33186-2025</t>
        </is>
      </c>
      <c r="B760" s="1" t="n">
        <v>45840.59474537037</v>
      </c>
      <c r="C760" s="1" t="n">
        <v>45928</v>
      </c>
      <c r="D760" t="inlineStr">
        <is>
          <t>KALMAR LÄN</t>
        </is>
      </c>
      <c r="E760" t="inlineStr">
        <is>
          <t>VIMMERBY</t>
        </is>
      </c>
      <c r="G760" t="n">
        <v>2.6</v>
      </c>
      <c r="H760" t="n">
        <v>0</v>
      </c>
      <c r="I760" t="n">
        <v>0</v>
      </c>
      <c r="J760" t="n">
        <v>0</v>
      </c>
      <c r="K760" t="n">
        <v>0</v>
      </c>
      <c r="L760" t="n">
        <v>0</v>
      </c>
      <c r="M760" t="n">
        <v>0</v>
      </c>
      <c r="N760" t="n">
        <v>0</v>
      </c>
      <c r="O760" t="n">
        <v>0</v>
      </c>
      <c r="P760" t="n">
        <v>0</v>
      </c>
      <c r="Q760" t="n">
        <v>0</v>
      </c>
      <c r="R760" s="2" t="inlineStr"/>
    </row>
    <row r="761" ht="15" customHeight="1">
      <c r="A761" t="inlineStr">
        <is>
          <t>A 30977-2025</t>
        </is>
      </c>
      <c r="B761" s="1" t="n">
        <v>45832.46649305556</v>
      </c>
      <c r="C761" s="1" t="n">
        <v>45928</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33695-2025</t>
        </is>
      </c>
      <c r="B762" s="1" t="n">
        <v>45841.70569444444</v>
      </c>
      <c r="C762" s="1" t="n">
        <v>45928</v>
      </c>
      <c r="D762" t="inlineStr">
        <is>
          <t>KALMAR LÄN</t>
        </is>
      </c>
      <c r="E762" t="inlineStr">
        <is>
          <t>VIMMERBY</t>
        </is>
      </c>
      <c r="G762" t="n">
        <v>2.7</v>
      </c>
      <c r="H762" t="n">
        <v>0</v>
      </c>
      <c r="I762" t="n">
        <v>0</v>
      </c>
      <c r="J762" t="n">
        <v>0</v>
      </c>
      <c r="K762" t="n">
        <v>0</v>
      </c>
      <c r="L762" t="n">
        <v>0</v>
      </c>
      <c r="M762" t="n">
        <v>0</v>
      </c>
      <c r="N762" t="n">
        <v>0</v>
      </c>
      <c r="O762" t="n">
        <v>0</v>
      </c>
      <c r="P762" t="n">
        <v>0</v>
      </c>
      <c r="Q762" t="n">
        <v>0</v>
      </c>
      <c r="R762" s="2" t="inlineStr"/>
    </row>
    <row r="763" ht="15" customHeight="1">
      <c r="A763" t="inlineStr">
        <is>
          <t>A 33698-2025</t>
        </is>
      </c>
      <c r="B763" s="1" t="n">
        <v>45841.70868055556</v>
      </c>
      <c r="C763" s="1" t="n">
        <v>45928</v>
      </c>
      <c r="D763" t="inlineStr">
        <is>
          <t>KALMAR LÄN</t>
        </is>
      </c>
      <c r="E763" t="inlineStr">
        <is>
          <t>VIMMERBY</t>
        </is>
      </c>
      <c r="G763" t="n">
        <v>3.7</v>
      </c>
      <c r="H763" t="n">
        <v>0</v>
      </c>
      <c r="I763" t="n">
        <v>0</v>
      </c>
      <c r="J763" t="n">
        <v>0</v>
      </c>
      <c r="K763" t="n">
        <v>0</v>
      </c>
      <c r="L763" t="n">
        <v>0</v>
      </c>
      <c r="M763" t="n">
        <v>0</v>
      </c>
      <c r="N763" t="n">
        <v>0</v>
      </c>
      <c r="O763" t="n">
        <v>0</v>
      </c>
      <c r="P763" t="n">
        <v>0</v>
      </c>
      <c r="Q763" t="n">
        <v>0</v>
      </c>
      <c r="R763" s="2" t="inlineStr"/>
    </row>
    <row r="764" ht="15" customHeight="1">
      <c r="A764" t="inlineStr">
        <is>
          <t>A 33696-2025</t>
        </is>
      </c>
      <c r="B764" s="1" t="n">
        <v>45841.7072337963</v>
      </c>
      <c r="C764" s="1" t="n">
        <v>45928</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22643-2023</t>
        </is>
      </c>
      <c r="B765" s="1" t="n">
        <v>45071</v>
      </c>
      <c r="C765" s="1" t="n">
        <v>45928</v>
      </c>
      <c r="D765" t="inlineStr">
        <is>
          <t>KALMAR LÄN</t>
        </is>
      </c>
      <c r="E765" t="inlineStr">
        <is>
          <t>VIMMERBY</t>
        </is>
      </c>
      <c r="G765" t="n">
        <v>3.9</v>
      </c>
      <c r="H765" t="n">
        <v>0</v>
      </c>
      <c r="I765" t="n">
        <v>0</v>
      </c>
      <c r="J765" t="n">
        <v>0</v>
      </c>
      <c r="K765" t="n">
        <v>0</v>
      </c>
      <c r="L765" t="n">
        <v>0</v>
      </c>
      <c r="M765" t="n">
        <v>0</v>
      </c>
      <c r="N765" t="n">
        <v>0</v>
      </c>
      <c r="O765" t="n">
        <v>0</v>
      </c>
      <c r="P765" t="n">
        <v>0</v>
      </c>
      <c r="Q765" t="n">
        <v>0</v>
      </c>
      <c r="R765" s="2" t="inlineStr"/>
    </row>
    <row r="766" ht="15" customHeight="1">
      <c r="A766" t="inlineStr">
        <is>
          <t>A 28702-2025</t>
        </is>
      </c>
      <c r="B766" s="1" t="n">
        <v>45820.03976851852</v>
      </c>
      <c r="C766" s="1" t="n">
        <v>45928</v>
      </c>
      <c r="D766" t="inlineStr">
        <is>
          <t>KALMAR LÄN</t>
        </is>
      </c>
      <c r="E766" t="inlineStr">
        <is>
          <t>VIMMERBY</t>
        </is>
      </c>
      <c r="G766" t="n">
        <v>2.1</v>
      </c>
      <c r="H766" t="n">
        <v>0</v>
      </c>
      <c r="I766" t="n">
        <v>0</v>
      </c>
      <c r="J766" t="n">
        <v>0</v>
      </c>
      <c r="K766" t="n">
        <v>0</v>
      </c>
      <c r="L766" t="n">
        <v>0</v>
      </c>
      <c r="M766" t="n">
        <v>0</v>
      </c>
      <c r="N766" t="n">
        <v>0</v>
      </c>
      <c r="O766" t="n">
        <v>0</v>
      </c>
      <c r="P766" t="n">
        <v>0</v>
      </c>
      <c r="Q766" t="n">
        <v>0</v>
      </c>
      <c r="R766" s="2" t="inlineStr"/>
    </row>
    <row r="767" ht="15" customHeight="1">
      <c r="A767" t="inlineStr">
        <is>
          <t>A 38964-2025</t>
        </is>
      </c>
      <c r="B767" s="1" t="n">
        <v>45887.68759259259</v>
      </c>
      <c r="C767" s="1" t="n">
        <v>45928</v>
      </c>
      <c r="D767" t="inlineStr">
        <is>
          <t>KALMAR LÄN</t>
        </is>
      </c>
      <c r="E767" t="inlineStr">
        <is>
          <t>VIMMERBY</t>
        </is>
      </c>
      <c r="G767" t="n">
        <v>7.5</v>
      </c>
      <c r="H767" t="n">
        <v>0</v>
      </c>
      <c r="I767" t="n">
        <v>0</v>
      </c>
      <c r="J767" t="n">
        <v>0</v>
      </c>
      <c r="K767" t="n">
        <v>0</v>
      </c>
      <c r="L767" t="n">
        <v>0</v>
      </c>
      <c r="M767" t="n">
        <v>0</v>
      </c>
      <c r="N767" t="n">
        <v>0</v>
      </c>
      <c r="O767" t="n">
        <v>0</v>
      </c>
      <c r="P767" t="n">
        <v>0</v>
      </c>
      <c r="Q767" t="n">
        <v>0</v>
      </c>
      <c r="R767" s="2" t="inlineStr"/>
    </row>
    <row r="768" ht="15" customHeight="1">
      <c r="A768" t="inlineStr">
        <is>
          <t>A 34060-2025</t>
        </is>
      </c>
      <c r="B768" s="1" t="n">
        <v>45845.42015046296</v>
      </c>
      <c r="C768" s="1" t="n">
        <v>45928</v>
      </c>
      <c r="D768" t="inlineStr">
        <is>
          <t>KALMAR LÄN</t>
        </is>
      </c>
      <c r="E768" t="inlineStr">
        <is>
          <t>VIMMERBY</t>
        </is>
      </c>
      <c r="G768" t="n">
        <v>5.7</v>
      </c>
      <c r="H768" t="n">
        <v>0</v>
      </c>
      <c r="I768" t="n">
        <v>0</v>
      </c>
      <c r="J768" t="n">
        <v>0</v>
      </c>
      <c r="K768" t="n">
        <v>0</v>
      </c>
      <c r="L768" t="n">
        <v>0</v>
      </c>
      <c r="M768" t="n">
        <v>0</v>
      </c>
      <c r="N768" t="n">
        <v>0</v>
      </c>
      <c r="O768" t="n">
        <v>0</v>
      </c>
      <c r="P768" t="n">
        <v>0</v>
      </c>
      <c r="Q768" t="n">
        <v>0</v>
      </c>
      <c r="R768" s="2" t="inlineStr"/>
    </row>
    <row r="769" ht="15" customHeight="1">
      <c r="A769" t="inlineStr">
        <is>
          <t>A 34071-2025</t>
        </is>
      </c>
      <c r="B769" s="1" t="n">
        <v>45845.43803240741</v>
      </c>
      <c r="C769" s="1" t="n">
        <v>45928</v>
      </c>
      <c r="D769" t="inlineStr">
        <is>
          <t>KALMAR LÄN</t>
        </is>
      </c>
      <c r="E769" t="inlineStr">
        <is>
          <t>VIMMERBY</t>
        </is>
      </c>
      <c r="G769" t="n">
        <v>6.8</v>
      </c>
      <c r="H769" t="n">
        <v>0</v>
      </c>
      <c r="I769" t="n">
        <v>0</v>
      </c>
      <c r="J769" t="n">
        <v>0</v>
      </c>
      <c r="K769" t="n">
        <v>0</v>
      </c>
      <c r="L769" t="n">
        <v>0</v>
      </c>
      <c r="M769" t="n">
        <v>0</v>
      </c>
      <c r="N769" t="n">
        <v>0</v>
      </c>
      <c r="O769" t="n">
        <v>0</v>
      </c>
      <c r="P769" t="n">
        <v>0</v>
      </c>
      <c r="Q769" t="n">
        <v>0</v>
      </c>
      <c r="R769" s="2" t="inlineStr"/>
    </row>
    <row r="770" ht="15" customHeight="1">
      <c r="A770" t="inlineStr">
        <is>
          <t>A 34597-2022</t>
        </is>
      </c>
      <c r="B770" s="1" t="n">
        <v>44795</v>
      </c>
      <c r="C770" s="1" t="n">
        <v>45928</v>
      </c>
      <c r="D770" t="inlineStr">
        <is>
          <t>KALMAR LÄN</t>
        </is>
      </c>
      <c r="E770" t="inlineStr">
        <is>
          <t>VIMMERBY</t>
        </is>
      </c>
      <c r="G770" t="n">
        <v>2.2</v>
      </c>
      <c r="H770" t="n">
        <v>0</v>
      </c>
      <c r="I770" t="n">
        <v>0</v>
      </c>
      <c r="J770" t="n">
        <v>0</v>
      </c>
      <c r="K770" t="n">
        <v>0</v>
      </c>
      <c r="L770" t="n">
        <v>0</v>
      </c>
      <c r="M770" t="n">
        <v>0</v>
      </c>
      <c r="N770" t="n">
        <v>0</v>
      </c>
      <c r="O770" t="n">
        <v>0</v>
      </c>
      <c r="P770" t="n">
        <v>0</v>
      </c>
      <c r="Q770" t="n">
        <v>0</v>
      </c>
      <c r="R770" s="2" t="inlineStr"/>
    </row>
    <row r="771" ht="15" customHeight="1">
      <c r="A771" t="inlineStr">
        <is>
          <t>A 34106-2025</t>
        </is>
      </c>
      <c r="B771" s="1" t="n">
        <v>45845.49414351852</v>
      </c>
      <c r="C771" s="1" t="n">
        <v>45928</v>
      </c>
      <c r="D771" t="inlineStr">
        <is>
          <t>KALMAR LÄN</t>
        </is>
      </c>
      <c r="E771" t="inlineStr">
        <is>
          <t>VIMMERBY</t>
        </is>
      </c>
      <c r="G771" t="n">
        <v>6</v>
      </c>
      <c r="H771" t="n">
        <v>0</v>
      </c>
      <c r="I771" t="n">
        <v>0</v>
      </c>
      <c r="J771" t="n">
        <v>0</v>
      </c>
      <c r="K771" t="n">
        <v>0</v>
      </c>
      <c r="L771" t="n">
        <v>0</v>
      </c>
      <c r="M771" t="n">
        <v>0</v>
      </c>
      <c r="N771" t="n">
        <v>0</v>
      </c>
      <c r="O771" t="n">
        <v>0</v>
      </c>
      <c r="P771" t="n">
        <v>0</v>
      </c>
      <c r="Q771" t="n">
        <v>0</v>
      </c>
      <c r="R771" s="2" t="inlineStr"/>
    </row>
    <row r="772" ht="15" customHeight="1">
      <c r="A772" t="inlineStr">
        <is>
          <t>A 40079-2023</t>
        </is>
      </c>
      <c r="B772" s="1" t="n">
        <v>45168.89298611111</v>
      </c>
      <c r="C772" s="1" t="n">
        <v>45928</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19833-2023</t>
        </is>
      </c>
      <c r="B773" s="1" t="n">
        <v>45052</v>
      </c>
      <c r="C773" s="1" t="n">
        <v>45928</v>
      </c>
      <c r="D773" t="inlineStr">
        <is>
          <t>KALMAR LÄN</t>
        </is>
      </c>
      <c r="E773" t="inlineStr">
        <is>
          <t>VIMMERBY</t>
        </is>
      </c>
      <c r="G773" t="n">
        <v>6.7</v>
      </c>
      <c r="H773" t="n">
        <v>0</v>
      </c>
      <c r="I773" t="n">
        <v>0</v>
      </c>
      <c r="J773" t="n">
        <v>0</v>
      </c>
      <c r="K773" t="n">
        <v>0</v>
      </c>
      <c r="L773" t="n">
        <v>0</v>
      </c>
      <c r="M773" t="n">
        <v>0</v>
      </c>
      <c r="N773" t="n">
        <v>0</v>
      </c>
      <c r="O773" t="n">
        <v>0</v>
      </c>
      <c r="P773" t="n">
        <v>0</v>
      </c>
      <c r="Q773" t="n">
        <v>0</v>
      </c>
      <c r="R773" s="2" t="inlineStr"/>
    </row>
    <row r="774" ht="15" customHeight="1">
      <c r="A774" t="inlineStr">
        <is>
          <t>A 26956-2025</t>
        </is>
      </c>
      <c r="B774" s="1" t="n">
        <v>45811.45460648148</v>
      </c>
      <c r="C774" s="1" t="n">
        <v>45928</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34628-2025</t>
        </is>
      </c>
      <c r="B775" s="1" t="n">
        <v>45847.91280092593</v>
      </c>
      <c r="C775" s="1" t="n">
        <v>45928</v>
      </c>
      <c r="D775" t="inlineStr">
        <is>
          <t>KALMAR LÄN</t>
        </is>
      </c>
      <c r="E775" t="inlineStr">
        <is>
          <t>VIMMERBY</t>
        </is>
      </c>
      <c r="G775" t="n">
        <v>4.2</v>
      </c>
      <c r="H775" t="n">
        <v>0</v>
      </c>
      <c r="I775" t="n">
        <v>0</v>
      </c>
      <c r="J775" t="n">
        <v>0</v>
      </c>
      <c r="K775" t="n">
        <v>0</v>
      </c>
      <c r="L775" t="n">
        <v>0</v>
      </c>
      <c r="M775" t="n">
        <v>0</v>
      </c>
      <c r="N775" t="n">
        <v>0</v>
      </c>
      <c r="O775" t="n">
        <v>0</v>
      </c>
      <c r="P775" t="n">
        <v>0</v>
      </c>
      <c r="Q775" t="n">
        <v>0</v>
      </c>
      <c r="R775" s="2" t="inlineStr"/>
    </row>
    <row r="776" ht="15" customHeight="1">
      <c r="A776" t="inlineStr">
        <is>
          <t>A 17084-2025</t>
        </is>
      </c>
      <c r="B776" s="1" t="n">
        <v>45755.64450231481</v>
      </c>
      <c r="C776" s="1" t="n">
        <v>45928</v>
      </c>
      <c r="D776" t="inlineStr">
        <is>
          <t>KALMAR LÄN</t>
        </is>
      </c>
      <c r="E776" t="inlineStr">
        <is>
          <t>VIMMERBY</t>
        </is>
      </c>
      <c r="G776" t="n">
        <v>1.4</v>
      </c>
      <c r="H776" t="n">
        <v>0</v>
      </c>
      <c r="I776" t="n">
        <v>0</v>
      </c>
      <c r="J776" t="n">
        <v>0</v>
      </c>
      <c r="K776" t="n">
        <v>0</v>
      </c>
      <c r="L776" t="n">
        <v>0</v>
      </c>
      <c r="M776" t="n">
        <v>0</v>
      </c>
      <c r="N776" t="n">
        <v>0</v>
      </c>
      <c r="O776" t="n">
        <v>0</v>
      </c>
      <c r="P776" t="n">
        <v>0</v>
      </c>
      <c r="Q776" t="n">
        <v>0</v>
      </c>
      <c r="R776" s="2" t="inlineStr"/>
    </row>
    <row r="777" ht="15" customHeight="1">
      <c r="A777" t="inlineStr">
        <is>
          <t>A 56022-2024</t>
        </is>
      </c>
      <c r="B777" s="1" t="n">
        <v>45623.95947916667</v>
      </c>
      <c r="C777" s="1" t="n">
        <v>45928</v>
      </c>
      <c r="D777" t="inlineStr">
        <is>
          <t>KALMAR LÄN</t>
        </is>
      </c>
      <c r="E777" t="inlineStr">
        <is>
          <t>VIMMERBY</t>
        </is>
      </c>
      <c r="G777" t="n">
        <v>0.3</v>
      </c>
      <c r="H777" t="n">
        <v>0</v>
      </c>
      <c r="I777" t="n">
        <v>0</v>
      </c>
      <c r="J777" t="n">
        <v>0</v>
      </c>
      <c r="K777" t="n">
        <v>0</v>
      </c>
      <c r="L777" t="n">
        <v>0</v>
      </c>
      <c r="M777" t="n">
        <v>0</v>
      </c>
      <c r="N777" t="n">
        <v>0</v>
      </c>
      <c r="O777" t="n">
        <v>0</v>
      </c>
      <c r="P777" t="n">
        <v>0</v>
      </c>
      <c r="Q777" t="n">
        <v>0</v>
      </c>
      <c r="R777" s="2" t="inlineStr"/>
    </row>
    <row r="778" ht="15" customHeight="1">
      <c r="A778" t="inlineStr">
        <is>
          <t>A 11928-2022</t>
        </is>
      </c>
      <c r="B778" s="1" t="n">
        <v>44635</v>
      </c>
      <c r="C778" s="1" t="n">
        <v>45928</v>
      </c>
      <c r="D778" t="inlineStr">
        <is>
          <t>KALMAR LÄN</t>
        </is>
      </c>
      <c r="E778" t="inlineStr">
        <is>
          <t>VIMMERBY</t>
        </is>
      </c>
      <c r="G778" t="n">
        <v>2.8</v>
      </c>
      <c r="H778" t="n">
        <v>0</v>
      </c>
      <c r="I778" t="n">
        <v>0</v>
      </c>
      <c r="J778" t="n">
        <v>0</v>
      </c>
      <c r="K778" t="n">
        <v>0</v>
      </c>
      <c r="L778" t="n">
        <v>0</v>
      </c>
      <c r="M778" t="n">
        <v>0</v>
      </c>
      <c r="N778" t="n">
        <v>0</v>
      </c>
      <c r="O778" t="n">
        <v>0</v>
      </c>
      <c r="P778" t="n">
        <v>0</v>
      </c>
      <c r="Q778" t="n">
        <v>0</v>
      </c>
      <c r="R778" s="2" t="inlineStr"/>
    </row>
    <row r="779" ht="15" customHeight="1">
      <c r="A779" t="inlineStr">
        <is>
          <t>A 5527-2022</t>
        </is>
      </c>
      <c r="B779" s="1" t="n">
        <v>44595.583125</v>
      </c>
      <c r="C779" s="1" t="n">
        <v>45928</v>
      </c>
      <c r="D779" t="inlineStr">
        <is>
          <t>KALMAR LÄN</t>
        </is>
      </c>
      <c r="E779" t="inlineStr">
        <is>
          <t>VIMMERBY</t>
        </is>
      </c>
      <c r="G779" t="n">
        <v>3.6</v>
      </c>
      <c r="H779" t="n">
        <v>0</v>
      </c>
      <c r="I779" t="n">
        <v>0</v>
      </c>
      <c r="J779" t="n">
        <v>0</v>
      </c>
      <c r="K779" t="n">
        <v>0</v>
      </c>
      <c r="L779" t="n">
        <v>0</v>
      </c>
      <c r="M779" t="n">
        <v>0</v>
      </c>
      <c r="N779" t="n">
        <v>0</v>
      </c>
      <c r="O779" t="n">
        <v>0</v>
      </c>
      <c r="P779" t="n">
        <v>0</v>
      </c>
      <c r="Q779" t="n">
        <v>0</v>
      </c>
      <c r="R779" s="2" t="inlineStr"/>
    </row>
    <row r="780" ht="15" customHeight="1">
      <c r="A780" t="inlineStr">
        <is>
          <t>A 39736-2025</t>
        </is>
      </c>
      <c r="B780" s="1" t="n">
        <v>45891</v>
      </c>
      <c r="C780" s="1" t="n">
        <v>45928</v>
      </c>
      <c r="D780" t="inlineStr">
        <is>
          <t>KALMAR LÄN</t>
        </is>
      </c>
      <c r="E780" t="inlineStr">
        <is>
          <t>VIMMERBY</t>
        </is>
      </c>
      <c r="G780" t="n">
        <v>12.8</v>
      </c>
      <c r="H780" t="n">
        <v>0</v>
      </c>
      <c r="I780" t="n">
        <v>0</v>
      </c>
      <c r="J780" t="n">
        <v>0</v>
      </c>
      <c r="K780" t="n">
        <v>0</v>
      </c>
      <c r="L780" t="n">
        <v>0</v>
      </c>
      <c r="M780" t="n">
        <v>0</v>
      </c>
      <c r="N780" t="n">
        <v>0</v>
      </c>
      <c r="O780" t="n">
        <v>0</v>
      </c>
      <c r="P780" t="n">
        <v>0</v>
      </c>
      <c r="Q780" t="n">
        <v>0</v>
      </c>
      <c r="R780" s="2" t="inlineStr"/>
    </row>
    <row r="781" ht="15" customHeight="1">
      <c r="A781" t="inlineStr">
        <is>
          <t>A 39803-2025</t>
        </is>
      </c>
      <c r="B781" s="1" t="n">
        <v>45891.50525462963</v>
      </c>
      <c r="C781" s="1" t="n">
        <v>45928</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39807-2025</t>
        </is>
      </c>
      <c r="B782" s="1" t="n">
        <v>45891.50986111111</v>
      </c>
      <c r="C782" s="1" t="n">
        <v>45928</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49461-2023</t>
        </is>
      </c>
      <c r="B783" s="1" t="n">
        <v>45211.52642361111</v>
      </c>
      <c r="C783" s="1" t="n">
        <v>45928</v>
      </c>
      <c r="D783" t="inlineStr">
        <is>
          <t>KALMAR LÄN</t>
        </is>
      </c>
      <c r="E783" t="inlineStr">
        <is>
          <t>VIMMERBY</t>
        </is>
      </c>
      <c r="G783" t="n">
        <v>1.5</v>
      </c>
      <c r="H783" t="n">
        <v>0</v>
      </c>
      <c r="I783" t="n">
        <v>0</v>
      </c>
      <c r="J783" t="n">
        <v>0</v>
      </c>
      <c r="K783" t="n">
        <v>0</v>
      </c>
      <c r="L783" t="n">
        <v>0</v>
      </c>
      <c r="M783" t="n">
        <v>0</v>
      </c>
      <c r="N783" t="n">
        <v>0</v>
      </c>
      <c r="O783" t="n">
        <v>0</v>
      </c>
      <c r="P783" t="n">
        <v>0</v>
      </c>
      <c r="Q783" t="n">
        <v>0</v>
      </c>
      <c r="R783" s="2" t="inlineStr"/>
    </row>
    <row r="784" ht="15" customHeight="1">
      <c r="A784" t="inlineStr">
        <is>
          <t>A 49474-2023</t>
        </is>
      </c>
      <c r="B784" s="1" t="n">
        <v>45211.541875</v>
      </c>
      <c r="C784" s="1" t="n">
        <v>45928</v>
      </c>
      <c r="D784" t="inlineStr">
        <is>
          <t>KALMAR LÄN</t>
        </is>
      </c>
      <c r="E784" t="inlineStr">
        <is>
          <t>VIMMERBY</t>
        </is>
      </c>
      <c r="G784" t="n">
        <v>3.6</v>
      </c>
      <c r="H784" t="n">
        <v>0</v>
      </c>
      <c r="I784" t="n">
        <v>0</v>
      </c>
      <c r="J784" t="n">
        <v>0</v>
      </c>
      <c r="K784" t="n">
        <v>0</v>
      </c>
      <c r="L784" t="n">
        <v>0</v>
      </c>
      <c r="M784" t="n">
        <v>0</v>
      </c>
      <c r="N784" t="n">
        <v>0</v>
      </c>
      <c r="O784" t="n">
        <v>0</v>
      </c>
      <c r="P784" t="n">
        <v>0</v>
      </c>
      <c r="Q784" t="n">
        <v>0</v>
      </c>
      <c r="R784" s="2" t="inlineStr"/>
    </row>
    <row r="785" ht="15" customHeight="1">
      <c r="A785" t="inlineStr">
        <is>
          <t>A 61861-2024</t>
        </is>
      </c>
      <c r="B785" s="1" t="n">
        <v>45650.37370370371</v>
      </c>
      <c r="C785" s="1" t="n">
        <v>45928</v>
      </c>
      <c r="D785" t="inlineStr">
        <is>
          <t>KALMAR LÄN</t>
        </is>
      </c>
      <c r="E785" t="inlineStr">
        <is>
          <t>VIMMERBY</t>
        </is>
      </c>
      <c r="G785" t="n">
        <v>1</v>
      </c>
      <c r="H785" t="n">
        <v>0</v>
      </c>
      <c r="I785" t="n">
        <v>0</v>
      </c>
      <c r="J785" t="n">
        <v>0</v>
      </c>
      <c r="K785" t="n">
        <v>0</v>
      </c>
      <c r="L785" t="n">
        <v>0</v>
      </c>
      <c r="M785" t="n">
        <v>0</v>
      </c>
      <c r="N785" t="n">
        <v>0</v>
      </c>
      <c r="O785" t="n">
        <v>0</v>
      </c>
      <c r="P785" t="n">
        <v>0</v>
      </c>
      <c r="Q785" t="n">
        <v>0</v>
      </c>
      <c r="R785" s="2" t="inlineStr"/>
    </row>
    <row r="786" ht="15" customHeight="1">
      <c r="A786" t="inlineStr">
        <is>
          <t>A 45846-2023</t>
        </is>
      </c>
      <c r="B786" s="1" t="n">
        <v>45195.58452546296</v>
      </c>
      <c r="C786" s="1" t="n">
        <v>45928</v>
      </c>
      <c r="D786" t="inlineStr">
        <is>
          <t>KALMAR LÄN</t>
        </is>
      </c>
      <c r="E786" t="inlineStr">
        <is>
          <t>VIMMERBY</t>
        </is>
      </c>
      <c r="G786" t="n">
        <v>0.7</v>
      </c>
      <c r="H786" t="n">
        <v>0</v>
      </c>
      <c r="I786" t="n">
        <v>0</v>
      </c>
      <c r="J786" t="n">
        <v>0</v>
      </c>
      <c r="K786" t="n">
        <v>0</v>
      </c>
      <c r="L786" t="n">
        <v>0</v>
      </c>
      <c r="M786" t="n">
        <v>0</v>
      </c>
      <c r="N786" t="n">
        <v>0</v>
      </c>
      <c r="O786" t="n">
        <v>0</v>
      </c>
      <c r="P786" t="n">
        <v>0</v>
      </c>
      <c r="Q786" t="n">
        <v>0</v>
      </c>
      <c r="R786" s="2" t="inlineStr"/>
    </row>
    <row r="787" ht="15" customHeight="1">
      <c r="A787" t="inlineStr">
        <is>
          <t>A 8167-2024</t>
        </is>
      </c>
      <c r="B787" s="1" t="n">
        <v>45351.6062962963</v>
      </c>
      <c r="C787" s="1" t="n">
        <v>45928</v>
      </c>
      <c r="D787" t="inlineStr">
        <is>
          <t>KALMAR LÄN</t>
        </is>
      </c>
      <c r="E787" t="inlineStr">
        <is>
          <t>VIMMERBY</t>
        </is>
      </c>
      <c r="G787" t="n">
        <v>3.8</v>
      </c>
      <c r="H787" t="n">
        <v>0</v>
      </c>
      <c r="I787" t="n">
        <v>0</v>
      </c>
      <c r="J787" t="n">
        <v>0</v>
      </c>
      <c r="K787" t="n">
        <v>0</v>
      </c>
      <c r="L787" t="n">
        <v>0</v>
      </c>
      <c r="M787" t="n">
        <v>0</v>
      </c>
      <c r="N787" t="n">
        <v>0</v>
      </c>
      <c r="O787" t="n">
        <v>0</v>
      </c>
      <c r="P787" t="n">
        <v>0</v>
      </c>
      <c r="Q787" t="n">
        <v>0</v>
      </c>
      <c r="R787" s="2" t="inlineStr"/>
    </row>
    <row r="788" ht="15" customHeight="1">
      <c r="A788" t="inlineStr">
        <is>
          <t>A 49382-2023</t>
        </is>
      </c>
      <c r="B788" s="1" t="n">
        <v>45208</v>
      </c>
      <c r="C788" s="1" t="n">
        <v>45928</v>
      </c>
      <c r="D788" t="inlineStr">
        <is>
          <t>KALMAR LÄN</t>
        </is>
      </c>
      <c r="E788" t="inlineStr">
        <is>
          <t>VIMMERBY</t>
        </is>
      </c>
      <c r="G788" t="n">
        <v>2.2</v>
      </c>
      <c r="H788" t="n">
        <v>0</v>
      </c>
      <c r="I788" t="n">
        <v>0</v>
      </c>
      <c r="J788" t="n">
        <v>0</v>
      </c>
      <c r="K788" t="n">
        <v>0</v>
      </c>
      <c r="L788" t="n">
        <v>0</v>
      </c>
      <c r="M788" t="n">
        <v>0</v>
      </c>
      <c r="N788" t="n">
        <v>0</v>
      </c>
      <c r="O788" t="n">
        <v>0</v>
      </c>
      <c r="P788" t="n">
        <v>0</v>
      </c>
      <c r="Q788" t="n">
        <v>0</v>
      </c>
      <c r="R788" s="2" t="inlineStr"/>
    </row>
    <row r="789" ht="15" customHeight="1">
      <c r="A789" t="inlineStr">
        <is>
          <t>A 12121-2025</t>
        </is>
      </c>
      <c r="B789" s="1" t="n">
        <v>45729.36868055556</v>
      </c>
      <c r="C789" s="1" t="n">
        <v>45928</v>
      </c>
      <c r="D789" t="inlineStr">
        <is>
          <t>KALMAR LÄN</t>
        </is>
      </c>
      <c r="E789" t="inlineStr">
        <is>
          <t>VIMMERBY</t>
        </is>
      </c>
      <c r="G789" t="n">
        <v>4.3</v>
      </c>
      <c r="H789" t="n">
        <v>0</v>
      </c>
      <c r="I789" t="n">
        <v>0</v>
      </c>
      <c r="J789" t="n">
        <v>0</v>
      </c>
      <c r="K789" t="n">
        <v>0</v>
      </c>
      <c r="L789" t="n">
        <v>0</v>
      </c>
      <c r="M789" t="n">
        <v>0</v>
      </c>
      <c r="N789" t="n">
        <v>0</v>
      </c>
      <c r="O789" t="n">
        <v>0</v>
      </c>
      <c r="P789" t="n">
        <v>0</v>
      </c>
      <c r="Q789" t="n">
        <v>0</v>
      </c>
      <c r="R789" s="2" t="inlineStr"/>
    </row>
    <row r="790" ht="15" customHeight="1">
      <c r="A790" t="inlineStr">
        <is>
          <t>A 35846-2023</t>
        </is>
      </c>
      <c r="B790" s="1" t="n">
        <v>45148</v>
      </c>
      <c r="C790" s="1" t="n">
        <v>45928</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35913-2023</t>
        </is>
      </c>
      <c r="B791" s="1" t="n">
        <v>45148</v>
      </c>
      <c r="C791" s="1" t="n">
        <v>45928</v>
      </c>
      <c r="D791" t="inlineStr">
        <is>
          <t>KALMAR LÄN</t>
        </is>
      </c>
      <c r="E791" t="inlineStr">
        <is>
          <t>VIMMERBY</t>
        </is>
      </c>
      <c r="G791" t="n">
        <v>6.9</v>
      </c>
      <c r="H791" t="n">
        <v>0</v>
      </c>
      <c r="I791" t="n">
        <v>0</v>
      </c>
      <c r="J791" t="n">
        <v>0</v>
      </c>
      <c r="K791" t="n">
        <v>0</v>
      </c>
      <c r="L791" t="n">
        <v>0</v>
      </c>
      <c r="M791" t="n">
        <v>0</v>
      </c>
      <c r="N791" t="n">
        <v>0</v>
      </c>
      <c r="O791" t="n">
        <v>0</v>
      </c>
      <c r="P791" t="n">
        <v>0</v>
      </c>
      <c r="Q791" t="n">
        <v>0</v>
      </c>
      <c r="R791" s="2" t="inlineStr"/>
    </row>
    <row r="792" ht="15" customHeight="1">
      <c r="A792" t="inlineStr">
        <is>
          <t>A 38757-2023</t>
        </is>
      </c>
      <c r="B792" s="1" t="n">
        <v>45163.41376157408</v>
      </c>
      <c r="C792" s="1" t="n">
        <v>45928</v>
      </c>
      <c r="D792" t="inlineStr">
        <is>
          <t>KALMAR LÄN</t>
        </is>
      </c>
      <c r="E792" t="inlineStr">
        <is>
          <t>VIMMERBY</t>
        </is>
      </c>
      <c r="G792" t="n">
        <v>2.5</v>
      </c>
      <c r="H792" t="n">
        <v>0</v>
      </c>
      <c r="I792" t="n">
        <v>0</v>
      </c>
      <c r="J792" t="n">
        <v>0</v>
      </c>
      <c r="K792" t="n">
        <v>0</v>
      </c>
      <c r="L792" t="n">
        <v>0</v>
      </c>
      <c r="M792" t="n">
        <v>0</v>
      </c>
      <c r="N792" t="n">
        <v>0</v>
      </c>
      <c r="O792" t="n">
        <v>0</v>
      </c>
      <c r="P792" t="n">
        <v>0</v>
      </c>
      <c r="Q792" t="n">
        <v>0</v>
      </c>
      <c r="R792" s="2" t="inlineStr"/>
    </row>
    <row r="793" ht="15" customHeight="1">
      <c r="A793" t="inlineStr">
        <is>
          <t>A 20136-2024</t>
        </is>
      </c>
      <c r="B793" s="1" t="n">
        <v>45434.56291666667</v>
      </c>
      <c r="C793" s="1" t="n">
        <v>45928</v>
      </c>
      <c r="D793" t="inlineStr">
        <is>
          <t>KALMAR LÄN</t>
        </is>
      </c>
      <c r="E793" t="inlineStr">
        <is>
          <t>VIMMERBY</t>
        </is>
      </c>
      <c r="F793" t="inlineStr">
        <is>
          <t>Sveaskog</t>
        </is>
      </c>
      <c r="G793" t="n">
        <v>8.4</v>
      </c>
      <c r="H793" t="n">
        <v>0</v>
      </c>
      <c r="I793" t="n">
        <v>0</v>
      </c>
      <c r="J793" t="n">
        <v>0</v>
      </c>
      <c r="K793" t="n">
        <v>0</v>
      </c>
      <c r="L793" t="n">
        <v>0</v>
      </c>
      <c r="M793" t="n">
        <v>0</v>
      </c>
      <c r="N793" t="n">
        <v>0</v>
      </c>
      <c r="O793" t="n">
        <v>0</v>
      </c>
      <c r="P793" t="n">
        <v>0</v>
      </c>
      <c r="Q793" t="n">
        <v>0</v>
      </c>
      <c r="R793" s="2" t="inlineStr"/>
    </row>
    <row r="794" ht="15" customHeight="1">
      <c r="A794" t="inlineStr">
        <is>
          <t>A 24283-2023</t>
        </is>
      </c>
      <c r="B794" s="1" t="n">
        <v>45079.87827546296</v>
      </c>
      <c r="C794" s="1" t="n">
        <v>45928</v>
      </c>
      <c r="D794" t="inlineStr">
        <is>
          <t>KALMAR LÄN</t>
        </is>
      </c>
      <c r="E794" t="inlineStr">
        <is>
          <t>VIMMERBY</t>
        </is>
      </c>
      <c r="G794" t="n">
        <v>2</v>
      </c>
      <c r="H794" t="n">
        <v>0</v>
      </c>
      <c r="I794" t="n">
        <v>0</v>
      </c>
      <c r="J794" t="n">
        <v>0</v>
      </c>
      <c r="K794" t="n">
        <v>0</v>
      </c>
      <c r="L794" t="n">
        <v>0</v>
      </c>
      <c r="M794" t="n">
        <v>0</v>
      </c>
      <c r="N794" t="n">
        <v>0</v>
      </c>
      <c r="O794" t="n">
        <v>0</v>
      </c>
      <c r="P794" t="n">
        <v>0</v>
      </c>
      <c r="Q794" t="n">
        <v>0</v>
      </c>
      <c r="R794" s="2" t="inlineStr"/>
    </row>
    <row r="795" ht="15" customHeight="1">
      <c r="A795" t="inlineStr">
        <is>
          <t>A 59598-2023</t>
        </is>
      </c>
      <c r="B795" s="1" t="n">
        <v>45254.62489583333</v>
      </c>
      <c r="C795" s="1" t="n">
        <v>45928</v>
      </c>
      <c r="D795" t="inlineStr">
        <is>
          <t>KALMAR LÄN</t>
        </is>
      </c>
      <c r="E795" t="inlineStr">
        <is>
          <t>VIMMERBY</t>
        </is>
      </c>
      <c r="F795" t="inlineStr">
        <is>
          <t>Övriga Aktiebolag</t>
        </is>
      </c>
      <c r="G795" t="n">
        <v>4</v>
      </c>
      <c r="H795" t="n">
        <v>0</v>
      </c>
      <c r="I795" t="n">
        <v>0</v>
      </c>
      <c r="J795" t="n">
        <v>0</v>
      </c>
      <c r="K795" t="n">
        <v>0</v>
      </c>
      <c r="L795" t="n">
        <v>0</v>
      </c>
      <c r="M795" t="n">
        <v>0</v>
      </c>
      <c r="N795" t="n">
        <v>0</v>
      </c>
      <c r="O795" t="n">
        <v>0</v>
      </c>
      <c r="P795" t="n">
        <v>0</v>
      </c>
      <c r="Q795" t="n">
        <v>0</v>
      </c>
      <c r="R795" s="2" t="inlineStr"/>
    </row>
    <row r="796" ht="15" customHeight="1">
      <c r="A796" t="inlineStr">
        <is>
          <t>A 30920-2023</t>
        </is>
      </c>
      <c r="B796" s="1" t="n">
        <v>45113.43921296296</v>
      </c>
      <c r="C796" s="1" t="n">
        <v>45928</v>
      </c>
      <c r="D796" t="inlineStr">
        <is>
          <t>KALMAR LÄN</t>
        </is>
      </c>
      <c r="E796" t="inlineStr">
        <is>
          <t>VIMMERBY</t>
        </is>
      </c>
      <c r="G796" t="n">
        <v>3.1</v>
      </c>
      <c r="H796" t="n">
        <v>0</v>
      </c>
      <c r="I796" t="n">
        <v>0</v>
      </c>
      <c r="J796" t="n">
        <v>0</v>
      </c>
      <c r="K796" t="n">
        <v>0</v>
      </c>
      <c r="L796" t="n">
        <v>0</v>
      </c>
      <c r="M796" t="n">
        <v>0</v>
      </c>
      <c r="N796" t="n">
        <v>0</v>
      </c>
      <c r="O796" t="n">
        <v>0</v>
      </c>
      <c r="P796" t="n">
        <v>0</v>
      </c>
      <c r="Q796" t="n">
        <v>0</v>
      </c>
      <c r="R796" s="2" t="inlineStr"/>
    </row>
    <row r="797" ht="15" customHeight="1">
      <c r="A797" t="inlineStr">
        <is>
          <t>A 40929-2022</t>
        </is>
      </c>
      <c r="B797" s="1" t="n">
        <v>44825.4336574074</v>
      </c>
      <c r="C797" s="1" t="n">
        <v>45928</v>
      </c>
      <c r="D797" t="inlineStr">
        <is>
          <t>KALMAR LÄN</t>
        </is>
      </c>
      <c r="E797" t="inlineStr">
        <is>
          <t>VIMMERBY</t>
        </is>
      </c>
      <c r="G797" t="n">
        <v>2.5</v>
      </c>
      <c r="H797" t="n">
        <v>0</v>
      </c>
      <c r="I797" t="n">
        <v>0</v>
      </c>
      <c r="J797" t="n">
        <v>0</v>
      </c>
      <c r="K797" t="n">
        <v>0</v>
      </c>
      <c r="L797" t="n">
        <v>0</v>
      </c>
      <c r="M797" t="n">
        <v>0</v>
      </c>
      <c r="N797" t="n">
        <v>0</v>
      </c>
      <c r="O797" t="n">
        <v>0</v>
      </c>
      <c r="P797" t="n">
        <v>0</v>
      </c>
      <c r="Q797" t="n">
        <v>0</v>
      </c>
      <c r="R797" s="2" t="inlineStr"/>
    </row>
    <row r="798" ht="15" customHeight="1">
      <c r="A798" t="inlineStr">
        <is>
          <t>A 33380-2023</t>
        </is>
      </c>
      <c r="B798" s="1" t="n">
        <v>45128</v>
      </c>
      <c r="C798" s="1" t="n">
        <v>45928</v>
      </c>
      <c r="D798" t="inlineStr">
        <is>
          <t>KALMAR LÄN</t>
        </is>
      </c>
      <c r="E798" t="inlineStr">
        <is>
          <t>VIMMERBY</t>
        </is>
      </c>
      <c r="G798" t="n">
        <v>5.2</v>
      </c>
      <c r="H798" t="n">
        <v>0</v>
      </c>
      <c r="I798" t="n">
        <v>0</v>
      </c>
      <c r="J798" t="n">
        <v>0</v>
      </c>
      <c r="K798" t="n">
        <v>0</v>
      </c>
      <c r="L798" t="n">
        <v>0</v>
      </c>
      <c r="M798" t="n">
        <v>0</v>
      </c>
      <c r="N798" t="n">
        <v>0</v>
      </c>
      <c r="O798" t="n">
        <v>0</v>
      </c>
      <c r="P798" t="n">
        <v>0</v>
      </c>
      <c r="Q798" t="n">
        <v>0</v>
      </c>
      <c r="R798" s="2" t="inlineStr"/>
    </row>
    <row r="799" ht="15" customHeight="1">
      <c r="A799" t="inlineStr">
        <is>
          <t>A 46144-2023</t>
        </is>
      </c>
      <c r="B799" s="1" t="n">
        <v>45196.57247685185</v>
      </c>
      <c r="C799" s="1" t="n">
        <v>45928</v>
      </c>
      <c r="D799" t="inlineStr">
        <is>
          <t>KALMAR LÄN</t>
        </is>
      </c>
      <c r="E799" t="inlineStr">
        <is>
          <t>VIMMERBY</t>
        </is>
      </c>
      <c r="G799" t="n">
        <v>6.5</v>
      </c>
      <c r="H799" t="n">
        <v>0</v>
      </c>
      <c r="I799" t="n">
        <v>0</v>
      </c>
      <c r="J799" t="n">
        <v>0</v>
      </c>
      <c r="K799" t="n">
        <v>0</v>
      </c>
      <c r="L799" t="n">
        <v>0</v>
      </c>
      <c r="M799" t="n">
        <v>0</v>
      </c>
      <c r="N799" t="n">
        <v>0</v>
      </c>
      <c r="O799" t="n">
        <v>0</v>
      </c>
      <c r="P799" t="n">
        <v>0</v>
      </c>
      <c r="Q799" t="n">
        <v>0</v>
      </c>
      <c r="R799" s="2" t="inlineStr"/>
    </row>
    <row r="800" ht="15" customHeight="1">
      <c r="A800" t="inlineStr">
        <is>
          <t>A 54787-2023</t>
        </is>
      </c>
      <c r="B800" s="1" t="n">
        <v>45236</v>
      </c>
      <c r="C800" s="1" t="n">
        <v>45928</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15715-2022</t>
        </is>
      </c>
      <c r="B801" s="1" t="n">
        <v>44663</v>
      </c>
      <c r="C801" s="1" t="n">
        <v>45928</v>
      </c>
      <c r="D801" t="inlineStr">
        <is>
          <t>KALMAR LÄN</t>
        </is>
      </c>
      <c r="E801" t="inlineStr">
        <is>
          <t>VIMMERBY</t>
        </is>
      </c>
      <c r="G801" t="n">
        <v>2.3</v>
      </c>
      <c r="H801" t="n">
        <v>0</v>
      </c>
      <c r="I801" t="n">
        <v>0</v>
      </c>
      <c r="J801" t="n">
        <v>0</v>
      </c>
      <c r="K801" t="n">
        <v>0</v>
      </c>
      <c r="L801" t="n">
        <v>0</v>
      </c>
      <c r="M801" t="n">
        <v>0</v>
      </c>
      <c r="N801" t="n">
        <v>0</v>
      </c>
      <c r="O801" t="n">
        <v>0</v>
      </c>
      <c r="P801" t="n">
        <v>0</v>
      </c>
      <c r="Q801" t="n">
        <v>0</v>
      </c>
      <c r="R801" s="2" t="inlineStr"/>
    </row>
    <row r="802" ht="15" customHeight="1">
      <c r="A802" t="inlineStr">
        <is>
          <t>A 43774-2023</t>
        </is>
      </c>
      <c r="B802" s="1" t="n">
        <v>45187</v>
      </c>
      <c r="C802" s="1" t="n">
        <v>45928</v>
      </c>
      <c r="D802" t="inlineStr">
        <is>
          <t>KALMAR LÄN</t>
        </is>
      </c>
      <c r="E802" t="inlineStr">
        <is>
          <t>VIMMERBY</t>
        </is>
      </c>
      <c r="G802" t="n">
        <v>3.4</v>
      </c>
      <c r="H802" t="n">
        <v>0</v>
      </c>
      <c r="I802" t="n">
        <v>0</v>
      </c>
      <c r="J802" t="n">
        <v>0</v>
      </c>
      <c r="K802" t="n">
        <v>0</v>
      </c>
      <c r="L802" t="n">
        <v>0</v>
      </c>
      <c r="M802" t="n">
        <v>0</v>
      </c>
      <c r="N802" t="n">
        <v>0</v>
      </c>
      <c r="O802" t="n">
        <v>0</v>
      </c>
      <c r="P802" t="n">
        <v>0</v>
      </c>
      <c r="Q802" t="n">
        <v>0</v>
      </c>
      <c r="R802" s="2" t="inlineStr"/>
    </row>
    <row r="803" ht="15" customHeight="1">
      <c r="A803" t="inlineStr">
        <is>
          <t>A 43705-2023</t>
        </is>
      </c>
      <c r="B803" s="1" t="n">
        <v>45187.42854166667</v>
      </c>
      <c r="C803" s="1" t="n">
        <v>45928</v>
      </c>
      <c r="D803" t="inlineStr">
        <is>
          <t>KALMAR LÄN</t>
        </is>
      </c>
      <c r="E803" t="inlineStr">
        <is>
          <t>VIMMERBY</t>
        </is>
      </c>
      <c r="G803" t="n">
        <v>1.2</v>
      </c>
      <c r="H803" t="n">
        <v>0</v>
      </c>
      <c r="I803" t="n">
        <v>0</v>
      </c>
      <c r="J803" t="n">
        <v>0</v>
      </c>
      <c r="K803" t="n">
        <v>0</v>
      </c>
      <c r="L803" t="n">
        <v>0</v>
      </c>
      <c r="M803" t="n">
        <v>0</v>
      </c>
      <c r="N803" t="n">
        <v>0</v>
      </c>
      <c r="O803" t="n">
        <v>0</v>
      </c>
      <c r="P803" t="n">
        <v>0</v>
      </c>
      <c r="Q803" t="n">
        <v>0</v>
      </c>
      <c r="R803" s="2" t="inlineStr"/>
    </row>
    <row r="804" ht="15" customHeight="1">
      <c r="A804" t="inlineStr">
        <is>
          <t>A 7932-2025</t>
        </is>
      </c>
      <c r="B804" s="1" t="n">
        <v>45707.3793287037</v>
      </c>
      <c r="C804" s="1" t="n">
        <v>45928</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13532-2025</t>
        </is>
      </c>
      <c r="B805" s="1" t="n">
        <v>45736.50743055555</v>
      </c>
      <c r="C805" s="1" t="n">
        <v>45928</v>
      </c>
      <c r="D805" t="inlineStr">
        <is>
          <t>KALMAR LÄN</t>
        </is>
      </c>
      <c r="E805" t="inlineStr">
        <is>
          <t>VIMMERBY</t>
        </is>
      </c>
      <c r="G805" t="n">
        <v>3.6</v>
      </c>
      <c r="H805" t="n">
        <v>0</v>
      </c>
      <c r="I805" t="n">
        <v>0</v>
      </c>
      <c r="J805" t="n">
        <v>0</v>
      </c>
      <c r="K805" t="n">
        <v>0</v>
      </c>
      <c r="L805" t="n">
        <v>0</v>
      </c>
      <c r="M805" t="n">
        <v>0</v>
      </c>
      <c r="N805" t="n">
        <v>0</v>
      </c>
      <c r="O805" t="n">
        <v>0</v>
      </c>
      <c r="P805" t="n">
        <v>0</v>
      </c>
      <c r="Q805" t="n">
        <v>0</v>
      </c>
      <c r="R805" s="2" t="inlineStr"/>
    </row>
    <row r="806" ht="15" customHeight="1">
      <c r="A806" t="inlineStr">
        <is>
          <t>A 65049-2020</t>
        </is>
      </c>
      <c r="B806" s="1" t="n">
        <v>44172</v>
      </c>
      <c r="C806" s="1" t="n">
        <v>45928</v>
      </c>
      <c r="D806" t="inlineStr">
        <is>
          <t>KALMAR LÄN</t>
        </is>
      </c>
      <c r="E806" t="inlineStr">
        <is>
          <t>VIMMERBY</t>
        </is>
      </c>
      <c r="G806" t="n">
        <v>2.3</v>
      </c>
      <c r="H806" t="n">
        <v>0</v>
      </c>
      <c r="I806" t="n">
        <v>0</v>
      </c>
      <c r="J806" t="n">
        <v>0</v>
      </c>
      <c r="K806" t="n">
        <v>0</v>
      </c>
      <c r="L806" t="n">
        <v>0</v>
      </c>
      <c r="M806" t="n">
        <v>0</v>
      </c>
      <c r="N806" t="n">
        <v>0</v>
      </c>
      <c r="O806" t="n">
        <v>0</v>
      </c>
      <c r="P806" t="n">
        <v>0</v>
      </c>
      <c r="Q806" t="n">
        <v>0</v>
      </c>
      <c r="R806" s="2" t="inlineStr"/>
    </row>
    <row r="807" ht="15" customHeight="1">
      <c r="A807" t="inlineStr">
        <is>
          <t>A 1978-2024</t>
        </is>
      </c>
      <c r="B807" s="1" t="n">
        <v>45308.59001157407</v>
      </c>
      <c r="C807" s="1" t="n">
        <v>45928</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6399-2025</t>
        </is>
      </c>
      <c r="B808" s="1" t="n">
        <v>45699.44291666667</v>
      </c>
      <c r="C808" s="1" t="n">
        <v>45928</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41311-2023</t>
        </is>
      </c>
      <c r="B809" s="1" t="n">
        <v>45174</v>
      </c>
      <c r="C809" s="1" t="n">
        <v>45928</v>
      </c>
      <c r="D809" t="inlineStr">
        <is>
          <t>KALMAR LÄN</t>
        </is>
      </c>
      <c r="E809" t="inlineStr">
        <is>
          <t>VIMMERBY</t>
        </is>
      </c>
      <c r="G809" t="n">
        <v>0.7</v>
      </c>
      <c r="H809" t="n">
        <v>0</v>
      </c>
      <c r="I809" t="n">
        <v>0</v>
      </c>
      <c r="J809" t="n">
        <v>0</v>
      </c>
      <c r="K809" t="n">
        <v>0</v>
      </c>
      <c r="L809" t="n">
        <v>0</v>
      </c>
      <c r="M809" t="n">
        <v>0</v>
      </c>
      <c r="N809" t="n">
        <v>0</v>
      </c>
      <c r="O809" t="n">
        <v>0</v>
      </c>
      <c r="P809" t="n">
        <v>0</v>
      </c>
      <c r="Q809" t="n">
        <v>0</v>
      </c>
      <c r="R809" s="2" t="inlineStr"/>
    </row>
    <row r="810" ht="15" customHeight="1">
      <c r="A810" t="inlineStr">
        <is>
          <t>A 10785-2025</t>
        </is>
      </c>
      <c r="B810" s="1" t="n">
        <v>45722.48634259259</v>
      </c>
      <c r="C810" s="1" t="n">
        <v>45928</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10211-2025</t>
        </is>
      </c>
      <c r="B811" s="1" t="n">
        <v>45719.84378472222</v>
      </c>
      <c r="C811" s="1" t="n">
        <v>45928</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18020-2025</t>
        </is>
      </c>
      <c r="B812" s="1" t="n">
        <v>45761.4437962963</v>
      </c>
      <c r="C812" s="1" t="n">
        <v>45928</v>
      </c>
      <c r="D812" t="inlineStr">
        <is>
          <t>KALMAR LÄN</t>
        </is>
      </c>
      <c r="E812" t="inlineStr">
        <is>
          <t>VIMMERBY</t>
        </is>
      </c>
      <c r="G812" t="n">
        <v>0.6</v>
      </c>
      <c r="H812" t="n">
        <v>0</v>
      </c>
      <c r="I812" t="n">
        <v>0</v>
      </c>
      <c r="J812" t="n">
        <v>0</v>
      </c>
      <c r="K812" t="n">
        <v>0</v>
      </c>
      <c r="L812" t="n">
        <v>0</v>
      </c>
      <c r="M812" t="n">
        <v>0</v>
      </c>
      <c r="N812" t="n">
        <v>0</v>
      </c>
      <c r="O812" t="n">
        <v>0</v>
      </c>
      <c r="P812" t="n">
        <v>0</v>
      </c>
      <c r="Q812" t="n">
        <v>0</v>
      </c>
      <c r="R812" s="2" t="inlineStr"/>
    </row>
    <row r="813" ht="15" customHeight="1">
      <c r="A813" t="inlineStr">
        <is>
          <t>A 585-2024</t>
        </is>
      </c>
      <c r="B813" s="1" t="n">
        <v>45299.62576388889</v>
      </c>
      <c r="C813" s="1" t="n">
        <v>45928</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6802-2025</t>
        </is>
      </c>
      <c r="B814" s="1" t="n">
        <v>45700.68289351852</v>
      </c>
      <c r="C814" s="1" t="n">
        <v>45928</v>
      </c>
      <c r="D814" t="inlineStr">
        <is>
          <t>KALMAR LÄN</t>
        </is>
      </c>
      <c r="E814" t="inlineStr">
        <is>
          <t>VIMMERBY</t>
        </is>
      </c>
      <c r="G814" t="n">
        <v>1.3</v>
      </c>
      <c r="H814" t="n">
        <v>0</v>
      </c>
      <c r="I814" t="n">
        <v>0</v>
      </c>
      <c r="J814" t="n">
        <v>0</v>
      </c>
      <c r="K814" t="n">
        <v>0</v>
      </c>
      <c r="L814" t="n">
        <v>0</v>
      </c>
      <c r="M814" t="n">
        <v>0</v>
      </c>
      <c r="N814" t="n">
        <v>0</v>
      </c>
      <c r="O814" t="n">
        <v>0</v>
      </c>
      <c r="P814" t="n">
        <v>0</v>
      </c>
      <c r="Q814" t="n">
        <v>0</v>
      </c>
      <c r="R814" s="2" t="inlineStr"/>
    </row>
    <row r="815" ht="15" customHeight="1">
      <c r="A815" t="inlineStr">
        <is>
          <t>A 56020-2024</t>
        </is>
      </c>
      <c r="B815" s="1" t="n">
        <v>45623.9525462963</v>
      </c>
      <c r="C815" s="1" t="n">
        <v>45928</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33842-2022</t>
        </is>
      </c>
      <c r="B816" s="1" t="n">
        <v>44790.49523148148</v>
      </c>
      <c r="C816" s="1" t="n">
        <v>45928</v>
      </c>
      <c r="D816" t="inlineStr">
        <is>
          <t>KALMAR LÄN</t>
        </is>
      </c>
      <c r="E816" t="inlineStr">
        <is>
          <t>VIMMERBY</t>
        </is>
      </c>
      <c r="G816" t="n">
        <v>1.6</v>
      </c>
      <c r="H816" t="n">
        <v>0</v>
      </c>
      <c r="I816" t="n">
        <v>0</v>
      </c>
      <c r="J816" t="n">
        <v>0</v>
      </c>
      <c r="K816" t="n">
        <v>0</v>
      </c>
      <c r="L816" t="n">
        <v>0</v>
      </c>
      <c r="M816" t="n">
        <v>0</v>
      </c>
      <c r="N816" t="n">
        <v>0</v>
      </c>
      <c r="O816" t="n">
        <v>0</v>
      </c>
      <c r="P816" t="n">
        <v>0</v>
      </c>
      <c r="Q816" t="n">
        <v>0</v>
      </c>
      <c r="R816" s="2" t="inlineStr"/>
    </row>
    <row r="817" ht="15" customHeight="1">
      <c r="A817" t="inlineStr">
        <is>
          <t>A 60675-2023</t>
        </is>
      </c>
      <c r="B817" s="1" t="n">
        <v>45260.4716550926</v>
      </c>
      <c r="C817" s="1" t="n">
        <v>45928</v>
      </c>
      <c r="D817" t="inlineStr">
        <is>
          <t>KALMAR LÄN</t>
        </is>
      </c>
      <c r="E817" t="inlineStr">
        <is>
          <t>VIMMERBY</t>
        </is>
      </c>
      <c r="G817" t="n">
        <v>1.2</v>
      </c>
      <c r="H817" t="n">
        <v>0</v>
      </c>
      <c r="I817" t="n">
        <v>0</v>
      </c>
      <c r="J817" t="n">
        <v>0</v>
      </c>
      <c r="K817" t="n">
        <v>0</v>
      </c>
      <c r="L817" t="n">
        <v>0</v>
      </c>
      <c r="M817" t="n">
        <v>0</v>
      </c>
      <c r="N817" t="n">
        <v>0</v>
      </c>
      <c r="O817" t="n">
        <v>0</v>
      </c>
      <c r="P817" t="n">
        <v>0</v>
      </c>
      <c r="Q817" t="n">
        <v>0</v>
      </c>
      <c r="R817" s="2" t="inlineStr"/>
    </row>
    <row r="818" ht="15" customHeight="1">
      <c r="A818" t="inlineStr">
        <is>
          <t>A 40095-2022</t>
        </is>
      </c>
      <c r="B818" s="1" t="n">
        <v>44820</v>
      </c>
      <c r="C818" s="1" t="n">
        <v>45928</v>
      </c>
      <c r="D818" t="inlineStr">
        <is>
          <t>KALMAR LÄN</t>
        </is>
      </c>
      <c r="E818" t="inlineStr">
        <is>
          <t>VIMMERBY</t>
        </is>
      </c>
      <c r="G818" t="n">
        <v>2.4</v>
      </c>
      <c r="H818" t="n">
        <v>0</v>
      </c>
      <c r="I818" t="n">
        <v>0</v>
      </c>
      <c r="J818" t="n">
        <v>0</v>
      </c>
      <c r="K818" t="n">
        <v>0</v>
      </c>
      <c r="L818" t="n">
        <v>0</v>
      </c>
      <c r="M818" t="n">
        <v>0</v>
      </c>
      <c r="N818" t="n">
        <v>0</v>
      </c>
      <c r="O818" t="n">
        <v>0</v>
      </c>
      <c r="P818" t="n">
        <v>0</v>
      </c>
      <c r="Q818" t="n">
        <v>0</v>
      </c>
      <c r="R818" s="2" t="inlineStr"/>
    </row>
    <row r="819" ht="15" customHeight="1">
      <c r="A819" t="inlineStr">
        <is>
          <t>A 19537-2022</t>
        </is>
      </c>
      <c r="B819" s="1" t="n">
        <v>44693.62822916666</v>
      </c>
      <c r="C819" s="1" t="n">
        <v>45928</v>
      </c>
      <c r="D819" t="inlineStr">
        <is>
          <t>KALMAR LÄN</t>
        </is>
      </c>
      <c r="E819" t="inlineStr">
        <is>
          <t>VIMMERBY</t>
        </is>
      </c>
      <c r="F819" t="inlineStr">
        <is>
          <t>Sveaskog</t>
        </is>
      </c>
      <c r="G819" t="n">
        <v>1.7</v>
      </c>
      <c r="H819" t="n">
        <v>0</v>
      </c>
      <c r="I819" t="n">
        <v>0</v>
      </c>
      <c r="J819" t="n">
        <v>0</v>
      </c>
      <c r="K819" t="n">
        <v>0</v>
      </c>
      <c r="L819" t="n">
        <v>0</v>
      </c>
      <c r="M819" t="n">
        <v>0</v>
      </c>
      <c r="N819" t="n">
        <v>0</v>
      </c>
      <c r="O819" t="n">
        <v>0</v>
      </c>
      <c r="P819" t="n">
        <v>0</v>
      </c>
      <c r="Q819" t="n">
        <v>0</v>
      </c>
      <c r="R819" s="2" t="inlineStr"/>
    </row>
    <row r="820" ht="15" customHeight="1">
      <c r="A820" t="inlineStr">
        <is>
          <t>A 57311-2023</t>
        </is>
      </c>
      <c r="B820" s="1" t="n">
        <v>45245.63574074074</v>
      </c>
      <c r="C820" s="1" t="n">
        <v>45928</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64428-2023</t>
        </is>
      </c>
      <c r="B821" s="1" t="n">
        <v>45280.66769675926</v>
      </c>
      <c r="C821" s="1" t="n">
        <v>45928</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4527-2023</t>
        </is>
      </c>
      <c r="B822" s="1" t="n">
        <v>44956</v>
      </c>
      <c r="C822" s="1" t="n">
        <v>45928</v>
      </c>
      <c r="D822" t="inlineStr">
        <is>
          <t>KALMAR LÄN</t>
        </is>
      </c>
      <c r="E822" t="inlineStr">
        <is>
          <t>VIMMERBY</t>
        </is>
      </c>
      <c r="F822" t="inlineStr">
        <is>
          <t>Kommuner</t>
        </is>
      </c>
      <c r="G822" t="n">
        <v>8.5</v>
      </c>
      <c r="H822" t="n">
        <v>0</v>
      </c>
      <c r="I822" t="n">
        <v>0</v>
      </c>
      <c r="J822" t="n">
        <v>0</v>
      </c>
      <c r="K822" t="n">
        <v>0</v>
      </c>
      <c r="L822" t="n">
        <v>0</v>
      </c>
      <c r="M822" t="n">
        <v>0</v>
      </c>
      <c r="N822" t="n">
        <v>0</v>
      </c>
      <c r="O822" t="n">
        <v>0</v>
      </c>
      <c r="P822" t="n">
        <v>0</v>
      </c>
      <c r="Q822" t="n">
        <v>0</v>
      </c>
      <c r="R822" s="2" t="inlineStr"/>
    </row>
    <row r="823" ht="15" customHeight="1">
      <c r="A823" t="inlineStr">
        <is>
          <t>A 3268-2024</t>
        </is>
      </c>
      <c r="B823" s="1" t="n">
        <v>45317</v>
      </c>
      <c r="C823" s="1" t="n">
        <v>45928</v>
      </c>
      <c r="D823" t="inlineStr">
        <is>
          <t>KALMAR LÄN</t>
        </is>
      </c>
      <c r="E823" t="inlineStr">
        <is>
          <t>VIMMERBY</t>
        </is>
      </c>
      <c r="F823" t="inlineStr">
        <is>
          <t>Övriga Aktiebolag</t>
        </is>
      </c>
      <c r="G823" t="n">
        <v>8.199999999999999</v>
      </c>
      <c r="H823" t="n">
        <v>0</v>
      </c>
      <c r="I823" t="n">
        <v>0</v>
      </c>
      <c r="J823" t="n">
        <v>0</v>
      </c>
      <c r="K823" t="n">
        <v>0</v>
      </c>
      <c r="L823" t="n">
        <v>0</v>
      </c>
      <c r="M823" t="n">
        <v>0</v>
      </c>
      <c r="N823" t="n">
        <v>0</v>
      </c>
      <c r="O823" t="n">
        <v>0</v>
      </c>
      <c r="P823" t="n">
        <v>0</v>
      </c>
      <c r="Q823" t="n">
        <v>0</v>
      </c>
      <c r="R823" s="2" t="inlineStr"/>
    </row>
    <row r="824" ht="15" customHeight="1">
      <c r="A824" t="inlineStr">
        <is>
          <t>A 51408-2023</t>
        </is>
      </c>
      <c r="B824" s="1" t="n">
        <v>45219.69356481481</v>
      </c>
      <c r="C824" s="1" t="n">
        <v>45928</v>
      </c>
      <c r="D824" t="inlineStr">
        <is>
          <t>KALMAR LÄN</t>
        </is>
      </c>
      <c r="E824" t="inlineStr">
        <is>
          <t>VIMMERBY</t>
        </is>
      </c>
      <c r="G824" t="n">
        <v>0.7</v>
      </c>
      <c r="H824" t="n">
        <v>0</v>
      </c>
      <c r="I824" t="n">
        <v>0</v>
      </c>
      <c r="J824" t="n">
        <v>0</v>
      </c>
      <c r="K824" t="n">
        <v>0</v>
      </c>
      <c r="L824" t="n">
        <v>0</v>
      </c>
      <c r="M824" t="n">
        <v>0</v>
      </c>
      <c r="N824" t="n">
        <v>0</v>
      </c>
      <c r="O824" t="n">
        <v>0</v>
      </c>
      <c r="P824" t="n">
        <v>0</v>
      </c>
      <c r="Q824" t="n">
        <v>0</v>
      </c>
      <c r="R824" s="2" t="inlineStr"/>
    </row>
    <row r="825" ht="15" customHeight="1">
      <c r="A825" t="inlineStr">
        <is>
          <t>A 12480-2024</t>
        </is>
      </c>
      <c r="B825" s="1" t="n">
        <v>45379</v>
      </c>
      <c r="C825" s="1" t="n">
        <v>45928</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52588-2023</t>
        </is>
      </c>
      <c r="B826" s="1" t="n">
        <v>45225.60192129629</v>
      </c>
      <c r="C826" s="1" t="n">
        <v>45928</v>
      </c>
      <c r="D826" t="inlineStr">
        <is>
          <t>KALMAR LÄN</t>
        </is>
      </c>
      <c r="E826" t="inlineStr">
        <is>
          <t>VIMMERBY</t>
        </is>
      </c>
      <c r="G826" t="n">
        <v>2.9</v>
      </c>
      <c r="H826" t="n">
        <v>0</v>
      </c>
      <c r="I826" t="n">
        <v>0</v>
      </c>
      <c r="J826" t="n">
        <v>0</v>
      </c>
      <c r="K826" t="n">
        <v>0</v>
      </c>
      <c r="L826" t="n">
        <v>0</v>
      </c>
      <c r="M826" t="n">
        <v>0</v>
      </c>
      <c r="N826" t="n">
        <v>0</v>
      </c>
      <c r="O826" t="n">
        <v>0</v>
      </c>
      <c r="P826" t="n">
        <v>0</v>
      </c>
      <c r="Q826" t="n">
        <v>0</v>
      </c>
      <c r="R826" s="2" t="inlineStr"/>
    </row>
    <row r="827" ht="15" customHeight="1">
      <c r="A827" t="inlineStr">
        <is>
          <t>A 55236-2023</t>
        </is>
      </c>
      <c r="B827" s="1" t="n">
        <v>45237.63225694445</v>
      </c>
      <c r="C827" s="1" t="n">
        <v>45928</v>
      </c>
      <c r="D827" t="inlineStr">
        <is>
          <t>KALMAR LÄN</t>
        </is>
      </c>
      <c r="E827" t="inlineStr">
        <is>
          <t>VIMMERBY</t>
        </is>
      </c>
      <c r="G827" t="n">
        <v>1.1</v>
      </c>
      <c r="H827" t="n">
        <v>0</v>
      </c>
      <c r="I827" t="n">
        <v>0</v>
      </c>
      <c r="J827" t="n">
        <v>0</v>
      </c>
      <c r="K827" t="n">
        <v>0</v>
      </c>
      <c r="L827" t="n">
        <v>0</v>
      </c>
      <c r="M827" t="n">
        <v>0</v>
      </c>
      <c r="N827" t="n">
        <v>0</v>
      </c>
      <c r="O827" t="n">
        <v>0</v>
      </c>
      <c r="P827" t="n">
        <v>0</v>
      </c>
      <c r="Q827" t="n">
        <v>0</v>
      </c>
      <c r="R827" s="2" t="inlineStr"/>
    </row>
    <row r="828" ht="15" customHeight="1">
      <c r="A828" t="inlineStr">
        <is>
          <t>A 55245-2023</t>
        </is>
      </c>
      <c r="B828" s="1" t="n">
        <v>45237.64408564815</v>
      </c>
      <c r="C828" s="1" t="n">
        <v>45928</v>
      </c>
      <c r="D828" t="inlineStr">
        <is>
          <t>KALMAR LÄN</t>
        </is>
      </c>
      <c r="E828" t="inlineStr">
        <is>
          <t>VIMMERBY</t>
        </is>
      </c>
      <c r="G828" t="n">
        <v>1.3</v>
      </c>
      <c r="H828" t="n">
        <v>0</v>
      </c>
      <c r="I828" t="n">
        <v>0</v>
      </c>
      <c r="J828" t="n">
        <v>0</v>
      </c>
      <c r="K828" t="n">
        <v>0</v>
      </c>
      <c r="L828" t="n">
        <v>0</v>
      </c>
      <c r="M828" t="n">
        <v>0</v>
      </c>
      <c r="N828" t="n">
        <v>0</v>
      </c>
      <c r="O828" t="n">
        <v>0</v>
      </c>
      <c r="P828" t="n">
        <v>0</v>
      </c>
      <c r="Q828" t="n">
        <v>0</v>
      </c>
      <c r="R828" s="2" t="inlineStr"/>
    </row>
    <row r="829" ht="15" customHeight="1">
      <c r="A829" t="inlineStr">
        <is>
          <t>A 19111-2025</t>
        </is>
      </c>
      <c r="B829" s="1" t="n">
        <v>45768.65611111111</v>
      </c>
      <c r="C829" s="1" t="n">
        <v>45928</v>
      </c>
      <c r="D829" t="inlineStr">
        <is>
          <t>KALMAR LÄN</t>
        </is>
      </c>
      <c r="E829" t="inlineStr">
        <is>
          <t>VIMMERBY</t>
        </is>
      </c>
      <c r="G829" t="n">
        <v>6.2</v>
      </c>
      <c r="H829" t="n">
        <v>0</v>
      </c>
      <c r="I829" t="n">
        <v>0</v>
      </c>
      <c r="J829" t="n">
        <v>0</v>
      </c>
      <c r="K829" t="n">
        <v>0</v>
      </c>
      <c r="L829" t="n">
        <v>0</v>
      </c>
      <c r="M829" t="n">
        <v>0</v>
      </c>
      <c r="N829" t="n">
        <v>0</v>
      </c>
      <c r="O829" t="n">
        <v>0</v>
      </c>
      <c r="P829" t="n">
        <v>0</v>
      </c>
      <c r="Q829" t="n">
        <v>0</v>
      </c>
      <c r="R829" s="2" t="inlineStr"/>
    </row>
    <row r="830" ht="15" customHeight="1">
      <c r="A830" t="inlineStr">
        <is>
          <t>A 25370-2022</t>
        </is>
      </c>
      <c r="B830" s="1" t="n">
        <v>44732.3659837963</v>
      </c>
      <c r="C830" s="1" t="n">
        <v>45928</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33838-2022</t>
        </is>
      </c>
      <c r="B831" s="1" t="n">
        <v>44790.49040509259</v>
      </c>
      <c r="C831" s="1" t="n">
        <v>45928</v>
      </c>
      <c r="D831" t="inlineStr">
        <is>
          <t>KALMAR LÄN</t>
        </is>
      </c>
      <c r="E831" t="inlineStr">
        <is>
          <t>VIMMERBY</t>
        </is>
      </c>
      <c r="G831" t="n">
        <v>0.7</v>
      </c>
      <c r="H831" t="n">
        <v>0</v>
      </c>
      <c r="I831" t="n">
        <v>0</v>
      </c>
      <c r="J831" t="n">
        <v>0</v>
      </c>
      <c r="K831" t="n">
        <v>0</v>
      </c>
      <c r="L831" t="n">
        <v>0</v>
      </c>
      <c r="M831" t="n">
        <v>0</v>
      </c>
      <c r="N831" t="n">
        <v>0</v>
      </c>
      <c r="O831" t="n">
        <v>0</v>
      </c>
      <c r="P831" t="n">
        <v>0</v>
      </c>
      <c r="Q831" t="n">
        <v>0</v>
      </c>
      <c r="R831" s="2" t="inlineStr"/>
    </row>
    <row r="832" ht="15" customHeight="1">
      <c r="A832" t="inlineStr">
        <is>
          <t>A 4058-2024</t>
        </is>
      </c>
      <c r="B832" s="1" t="n">
        <v>45323.53744212963</v>
      </c>
      <c r="C832" s="1" t="n">
        <v>45928</v>
      </c>
      <c r="D832" t="inlineStr">
        <is>
          <t>KALMAR LÄN</t>
        </is>
      </c>
      <c r="E832" t="inlineStr">
        <is>
          <t>VIMMERBY</t>
        </is>
      </c>
      <c r="G832" t="n">
        <v>6.5</v>
      </c>
      <c r="H832" t="n">
        <v>0</v>
      </c>
      <c r="I832" t="n">
        <v>0</v>
      </c>
      <c r="J832" t="n">
        <v>0</v>
      </c>
      <c r="K832" t="n">
        <v>0</v>
      </c>
      <c r="L832" t="n">
        <v>0</v>
      </c>
      <c r="M832" t="n">
        <v>0</v>
      </c>
      <c r="N832" t="n">
        <v>0</v>
      </c>
      <c r="O832" t="n">
        <v>0</v>
      </c>
      <c r="P832" t="n">
        <v>0</v>
      </c>
      <c r="Q832" t="n">
        <v>0</v>
      </c>
      <c r="R832" s="2" t="inlineStr"/>
    </row>
    <row r="833" ht="15" customHeight="1">
      <c r="A833" t="inlineStr">
        <is>
          <t>A 36008-2024</t>
        </is>
      </c>
      <c r="B833" s="1" t="n">
        <v>45533.55362268518</v>
      </c>
      <c r="C833" s="1" t="n">
        <v>45928</v>
      </c>
      <c r="D833" t="inlineStr">
        <is>
          <t>KALMAR LÄN</t>
        </is>
      </c>
      <c r="E833" t="inlineStr">
        <is>
          <t>VIMMERBY</t>
        </is>
      </c>
      <c r="G833" t="n">
        <v>3.7</v>
      </c>
      <c r="H833" t="n">
        <v>0</v>
      </c>
      <c r="I833" t="n">
        <v>0</v>
      </c>
      <c r="J833" t="n">
        <v>0</v>
      </c>
      <c r="K833" t="n">
        <v>0</v>
      </c>
      <c r="L833" t="n">
        <v>0</v>
      </c>
      <c r="M833" t="n">
        <v>0</v>
      </c>
      <c r="N833" t="n">
        <v>0</v>
      </c>
      <c r="O833" t="n">
        <v>0</v>
      </c>
      <c r="P833" t="n">
        <v>0</v>
      </c>
      <c r="Q833" t="n">
        <v>0</v>
      </c>
      <c r="R833" s="2" t="inlineStr"/>
    </row>
    <row r="834" ht="15" customHeight="1">
      <c r="A834" t="inlineStr">
        <is>
          <t>A 18669-2025</t>
        </is>
      </c>
      <c r="B834" s="1" t="n">
        <v>45763.59436342592</v>
      </c>
      <c r="C834" s="1" t="n">
        <v>45928</v>
      </c>
      <c r="D834" t="inlineStr">
        <is>
          <t>KALMAR LÄN</t>
        </is>
      </c>
      <c r="E834" t="inlineStr">
        <is>
          <t>VIMMERBY</t>
        </is>
      </c>
      <c r="G834" t="n">
        <v>2.7</v>
      </c>
      <c r="H834" t="n">
        <v>0</v>
      </c>
      <c r="I834" t="n">
        <v>0</v>
      </c>
      <c r="J834" t="n">
        <v>0</v>
      </c>
      <c r="K834" t="n">
        <v>0</v>
      </c>
      <c r="L834" t="n">
        <v>0</v>
      </c>
      <c r="M834" t="n">
        <v>0</v>
      </c>
      <c r="N834" t="n">
        <v>0</v>
      </c>
      <c r="O834" t="n">
        <v>0</v>
      </c>
      <c r="P834" t="n">
        <v>0</v>
      </c>
      <c r="Q834" t="n">
        <v>0</v>
      </c>
      <c r="R834" s="2" t="inlineStr"/>
    </row>
    <row r="835" ht="15" customHeight="1">
      <c r="A835" t="inlineStr">
        <is>
          <t>A 8540-2024</t>
        </is>
      </c>
      <c r="B835" s="1" t="n">
        <v>45355.54138888889</v>
      </c>
      <c r="C835" s="1" t="n">
        <v>45928</v>
      </c>
      <c r="D835" t="inlineStr">
        <is>
          <t>KALMAR LÄN</t>
        </is>
      </c>
      <c r="E835" t="inlineStr">
        <is>
          <t>VIMMERBY</t>
        </is>
      </c>
      <c r="G835" t="n">
        <v>1.9</v>
      </c>
      <c r="H835" t="n">
        <v>0</v>
      </c>
      <c r="I835" t="n">
        <v>0</v>
      </c>
      <c r="J835" t="n">
        <v>0</v>
      </c>
      <c r="K835" t="n">
        <v>0</v>
      </c>
      <c r="L835" t="n">
        <v>0</v>
      </c>
      <c r="M835" t="n">
        <v>0</v>
      </c>
      <c r="N835" t="n">
        <v>0</v>
      </c>
      <c r="O835" t="n">
        <v>0</v>
      </c>
      <c r="P835" t="n">
        <v>0</v>
      </c>
      <c r="Q835" t="n">
        <v>0</v>
      </c>
      <c r="R835" s="2" t="inlineStr"/>
    </row>
    <row r="836" ht="15" customHeight="1">
      <c r="A836" t="inlineStr">
        <is>
          <t>A 9623-2024</t>
        </is>
      </c>
      <c r="B836" s="1" t="n">
        <v>45361.87975694444</v>
      </c>
      <c r="C836" s="1" t="n">
        <v>45928</v>
      </c>
      <c r="D836" t="inlineStr">
        <is>
          <t>KALMAR LÄN</t>
        </is>
      </c>
      <c r="E836" t="inlineStr">
        <is>
          <t>VIMMERBY</t>
        </is>
      </c>
      <c r="G836" t="n">
        <v>1.6</v>
      </c>
      <c r="H836" t="n">
        <v>0</v>
      </c>
      <c r="I836" t="n">
        <v>0</v>
      </c>
      <c r="J836" t="n">
        <v>0</v>
      </c>
      <c r="K836" t="n">
        <v>0</v>
      </c>
      <c r="L836" t="n">
        <v>0</v>
      </c>
      <c r="M836" t="n">
        <v>0</v>
      </c>
      <c r="N836" t="n">
        <v>0</v>
      </c>
      <c r="O836" t="n">
        <v>0</v>
      </c>
      <c r="P836" t="n">
        <v>0</v>
      </c>
      <c r="Q836" t="n">
        <v>0</v>
      </c>
      <c r="R836" s="2" t="inlineStr"/>
    </row>
    <row r="837" ht="15" customHeight="1">
      <c r="A837" t="inlineStr">
        <is>
          <t>A 5146-2024</t>
        </is>
      </c>
      <c r="B837" s="1" t="n">
        <v>45330</v>
      </c>
      <c r="C837" s="1" t="n">
        <v>45928</v>
      </c>
      <c r="D837" t="inlineStr">
        <is>
          <t>KALMAR LÄN</t>
        </is>
      </c>
      <c r="E837" t="inlineStr">
        <is>
          <t>VIMMERBY</t>
        </is>
      </c>
      <c r="G837" t="n">
        <v>5.3</v>
      </c>
      <c r="H837" t="n">
        <v>0</v>
      </c>
      <c r="I837" t="n">
        <v>0</v>
      </c>
      <c r="J837" t="n">
        <v>0</v>
      </c>
      <c r="K837" t="n">
        <v>0</v>
      </c>
      <c r="L837" t="n">
        <v>0</v>
      </c>
      <c r="M837" t="n">
        <v>0</v>
      </c>
      <c r="N837" t="n">
        <v>0</v>
      </c>
      <c r="O837" t="n">
        <v>0</v>
      </c>
      <c r="P837" t="n">
        <v>0</v>
      </c>
      <c r="Q837" t="n">
        <v>0</v>
      </c>
      <c r="R837" s="2" t="inlineStr"/>
    </row>
    <row r="838" ht="15" customHeight="1">
      <c r="A838" t="inlineStr">
        <is>
          <t>A 5148-2024</t>
        </is>
      </c>
      <c r="B838" s="1" t="n">
        <v>45330</v>
      </c>
      <c r="C838" s="1" t="n">
        <v>45928</v>
      </c>
      <c r="D838" t="inlineStr">
        <is>
          <t>KALMAR LÄN</t>
        </is>
      </c>
      <c r="E838" t="inlineStr">
        <is>
          <t>VIMMERBY</t>
        </is>
      </c>
      <c r="G838" t="n">
        <v>5.6</v>
      </c>
      <c r="H838" t="n">
        <v>0</v>
      </c>
      <c r="I838" t="n">
        <v>0</v>
      </c>
      <c r="J838" t="n">
        <v>0</v>
      </c>
      <c r="K838" t="n">
        <v>0</v>
      </c>
      <c r="L838" t="n">
        <v>0</v>
      </c>
      <c r="M838" t="n">
        <v>0</v>
      </c>
      <c r="N838" t="n">
        <v>0</v>
      </c>
      <c r="O838" t="n">
        <v>0</v>
      </c>
      <c r="P838" t="n">
        <v>0</v>
      </c>
      <c r="Q838" t="n">
        <v>0</v>
      </c>
      <c r="R838" s="2" t="inlineStr"/>
    </row>
    <row r="839" ht="15" customHeight="1">
      <c r="A839" t="inlineStr">
        <is>
          <t>A 44179-2022</t>
        </is>
      </c>
      <c r="B839" s="1" t="n">
        <v>44839.4528125</v>
      </c>
      <c r="C839" s="1" t="n">
        <v>45928</v>
      </c>
      <c r="D839" t="inlineStr">
        <is>
          <t>KALMAR LÄN</t>
        </is>
      </c>
      <c r="E839" t="inlineStr">
        <is>
          <t>VIMMERBY</t>
        </is>
      </c>
      <c r="G839" t="n">
        <v>2.8</v>
      </c>
      <c r="H839" t="n">
        <v>0</v>
      </c>
      <c r="I839" t="n">
        <v>0</v>
      </c>
      <c r="J839" t="n">
        <v>0</v>
      </c>
      <c r="K839" t="n">
        <v>0</v>
      </c>
      <c r="L839" t="n">
        <v>0</v>
      </c>
      <c r="M839" t="n">
        <v>0</v>
      </c>
      <c r="N839" t="n">
        <v>0</v>
      </c>
      <c r="O839" t="n">
        <v>0</v>
      </c>
      <c r="P839" t="n">
        <v>0</v>
      </c>
      <c r="Q839" t="n">
        <v>0</v>
      </c>
      <c r="R839" s="2" t="inlineStr"/>
    </row>
    <row r="840" ht="15" customHeight="1">
      <c r="A840" t="inlineStr">
        <is>
          <t>A 50648-2023</t>
        </is>
      </c>
      <c r="B840" s="1" t="n">
        <v>45217.47834490741</v>
      </c>
      <c r="C840" s="1" t="n">
        <v>45928</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2121-2022</t>
        </is>
      </c>
      <c r="B841" s="1" t="n">
        <v>44578.32717592592</v>
      </c>
      <c r="C841" s="1" t="n">
        <v>45928</v>
      </c>
      <c r="D841" t="inlineStr">
        <is>
          <t>KALMAR LÄN</t>
        </is>
      </c>
      <c r="E841" t="inlineStr">
        <is>
          <t>VIMMERBY</t>
        </is>
      </c>
      <c r="G841" t="n">
        <v>2</v>
      </c>
      <c r="H841" t="n">
        <v>0</v>
      </c>
      <c r="I841" t="n">
        <v>0</v>
      </c>
      <c r="J841" t="n">
        <v>0</v>
      </c>
      <c r="K841" t="n">
        <v>0</v>
      </c>
      <c r="L841" t="n">
        <v>0</v>
      </c>
      <c r="M841" t="n">
        <v>0</v>
      </c>
      <c r="N841" t="n">
        <v>0</v>
      </c>
      <c r="O841" t="n">
        <v>0</v>
      </c>
      <c r="P841" t="n">
        <v>0</v>
      </c>
      <c r="Q841" t="n">
        <v>0</v>
      </c>
      <c r="R841" s="2" t="inlineStr"/>
    </row>
    <row r="842" ht="15" customHeight="1">
      <c r="A842" t="inlineStr">
        <is>
          <t>A 57799-2022</t>
        </is>
      </c>
      <c r="B842" s="1" t="n">
        <v>44897</v>
      </c>
      <c r="C842" s="1" t="n">
        <v>45928</v>
      </c>
      <c r="D842" t="inlineStr">
        <is>
          <t>KALMAR LÄN</t>
        </is>
      </c>
      <c r="E842" t="inlineStr">
        <is>
          <t>VIMMERBY</t>
        </is>
      </c>
      <c r="G842" t="n">
        <v>1.4</v>
      </c>
      <c r="H842" t="n">
        <v>0</v>
      </c>
      <c r="I842" t="n">
        <v>0</v>
      </c>
      <c r="J842" t="n">
        <v>0</v>
      </c>
      <c r="K842" t="n">
        <v>0</v>
      </c>
      <c r="L842" t="n">
        <v>0</v>
      </c>
      <c r="M842" t="n">
        <v>0</v>
      </c>
      <c r="N842" t="n">
        <v>0</v>
      </c>
      <c r="O842" t="n">
        <v>0</v>
      </c>
      <c r="P842" t="n">
        <v>0</v>
      </c>
      <c r="Q842" t="n">
        <v>0</v>
      </c>
      <c r="R842" s="2" t="inlineStr"/>
    </row>
    <row r="843" ht="15" customHeight="1">
      <c r="A843" t="inlineStr">
        <is>
          <t>A 15394-2025</t>
        </is>
      </c>
      <c r="B843" s="1" t="n">
        <v>45747.43196759259</v>
      </c>
      <c r="C843" s="1" t="n">
        <v>45928</v>
      </c>
      <c r="D843" t="inlineStr">
        <is>
          <t>KALMAR LÄN</t>
        </is>
      </c>
      <c r="E843" t="inlineStr">
        <is>
          <t>VIMMERBY</t>
        </is>
      </c>
      <c r="G843" t="n">
        <v>0.8</v>
      </c>
      <c r="H843" t="n">
        <v>0</v>
      </c>
      <c r="I843" t="n">
        <v>0</v>
      </c>
      <c r="J843" t="n">
        <v>0</v>
      </c>
      <c r="K843" t="n">
        <v>0</v>
      </c>
      <c r="L843" t="n">
        <v>0</v>
      </c>
      <c r="M843" t="n">
        <v>0</v>
      </c>
      <c r="N843" t="n">
        <v>0</v>
      </c>
      <c r="O843" t="n">
        <v>0</v>
      </c>
      <c r="P843" t="n">
        <v>0</v>
      </c>
      <c r="Q843" t="n">
        <v>0</v>
      </c>
      <c r="R843" s="2" t="inlineStr"/>
    </row>
    <row r="844" ht="15" customHeight="1">
      <c r="A844" t="inlineStr">
        <is>
          <t>A 26318-2023</t>
        </is>
      </c>
      <c r="B844" s="1" t="n">
        <v>45091.67936342592</v>
      </c>
      <c r="C844" s="1" t="n">
        <v>45928</v>
      </c>
      <c r="D844" t="inlineStr">
        <is>
          <t>KALMAR LÄN</t>
        </is>
      </c>
      <c r="E844" t="inlineStr">
        <is>
          <t>VIMMERBY</t>
        </is>
      </c>
      <c r="G844" t="n">
        <v>3.8</v>
      </c>
      <c r="H844" t="n">
        <v>0</v>
      </c>
      <c r="I844" t="n">
        <v>0</v>
      </c>
      <c r="J844" t="n">
        <v>0</v>
      </c>
      <c r="K844" t="n">
        <v>0</v>
      </c>
      <c r="L844" t="n">
        <v>0</v>
      </c>
      <c r="M844" t="n">
        <v>0</v>
      </c>
      <c r="N844" t="n">
        <v>0</v>
      </c>
      <c r="O844" t="n">
        <v>0</v>
      </c>
      <c r="P844" t="n">
        <v>0</v>
      </c>
      <c r="Q844" t="n">
        <v>0</v>
      </c>
      <c r="R844" s="2" t="inlineStr"/>
    </row>
    <row r="845" ht="15" customHeight="1">
      <c r="A845" t="inlineStr">
        <is>
          <t>A 60437-2023</t>
        </is>
      </c>
      <c r="B845" s="1" t="n">
        <v>45259.51916666667</v>
      </c>
      <c r="C845" s="1" t="n">
        <v>45928</v>
      </c>
      <c r="D845" t="inlineStr">
        <is>
          <t>KALMAR LÄN</t>
        </is>
      </c>
      <c r="E845" t="inlineStr">
        <is>
          <t>VIMMERBY</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60438-2023</t>
        </is>
      </c>
      <c r="B846" s="1" t="n">
        <v>45259.52020833334</v>
      </c>
      <c r="C846" s="1" t="n">
        <v>45928</v>
      </c>
      <c r="D846" t="inlineStr">
        <is>
          <t>KALMAR LÄN</t>
        </is>
      </c>
      <c r="E846" t="inlineStr">
        <is>
          <t>VIMMERBY</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13076-2025</t>
        </is>
      </c>
      <c r="B847" s="1" t="n">
        <v>45734.62017361111</v>
      </c>
      <c r="C847" s="1" t="n">
        <v>45928</v>
      </c>
      <c r="D847" t="inlineStr">
        <is>
          <t>KALMAR LÄN</t>
        </is>
      </c>
      <c r="E847" t="inlineStr">
        <is>
          <t>VIMMERBY</t>
        </is>
      </c>
      <c r="G847" t="n">
        <v>1.2</v>
      </c>
      <c r="H847" t="n">
        <v>0</v>
      </c>
      <c r="I847" t="n">
        <v>0</v>
      </c>
      <c r="J847" t="n">
        <v>0</v>
      </c>
      <c r="K847" t="n">
        <v>0</v>
      </c>
      <c r="L847" t="n">
        <v>0</v>
      </c>
      <c r="M847" t="n">
        <v>0</v>
      </c>
      <c r="N847" t="n">
        <v>0</v>
      </c>
      <c r="O847" t="n">
        <v>0</v>
      </c>
      <c r="P847" t="n">
        <v>0</v>
      </c>
      <c r="Q847" t="n">
        <v>0</v>
      </c>
      <c r="R847" s="2" t="inlineStr"/>
    </row>
    <row r="848" ht="15" customHeight="1">
      <c r="A848" t="inlineStr">
        <is>
          <t>A 7758-2024</t>
        </is>
      </c>
      <c r="B848" s="1" t="n">
        <v>45349.54434027777</v>
      </c>
      <c r="C848" s="1" t="n">
        <v>45928</v>
      </c>
      <c r="D848" t="inlineStr">
        <is>
          <t>KALMAR LÄN</t>
        </is>
      </c>
      <c r="E848" t="inlineStr">
        <is>
          <t>VIMMERBY</t>
        </is>
      </c>
      <c r="G848" t="n">
        <v>3.5</v>
      </c>
      <c r="H848" t="n">
        <v>0</v>
      </c>
      <c r="I848" t="n">
        <v>0</v>
      </c>
      <c r="J848" t="n">
        <v>0</v>
      </c>
      <c r="K848" t="n">
        <v>0</v>
      </c>
      <c r="L848" t="n">
        <v>0</v>
      </c>
      <c r="M848" t="n">
        <v>0</v>
      </c>
      <c r="N848" t="n">
        <v>0</v>
      </c>
      <c r="O848" t="n">
        <v>0</v>
      </c>
      <c r="P848" t="n">
        <v>0</v>
      </c>
      <c r="Q848" t="n">
        <v>0</v>
      </c>
      <c r="R848" s="2" t="inlineStr"/>
    </row>
    <row r="849" ht="15" customHeight="1">
      <c r="A849" t="inlineStr">
        <is>
          <t>A 7456-2024</t>
        </is>
      </c>
      <c r="B849" s="1" t="n">
        <v>45345.83557870371</v>
      </c>
      <c r="C849" s="1" t="n">
        <v>45928</v>
      </c>
      <c r="D849" t="inlineStr">
        <is>
          <t>KALMAR LÄN</t>
        </is>
      </c>
      <c r="E849" t="inlineStr">
        <is>
          <t>VIMMERBY</t>
        </is>
      </c>
      <c r="G849" t="n">
        <v>4.1</v>
      </c>
      <c r="H849" t="n">
        <v>0</v>
      </c>
      <c r="I849" t="n">
        <v>0</v>
      </c>
      <c r="J849" t="n">
        <v>0</v>
      </c>
      <c r="K849" t="n">
        <v>0</v>
      </c>
      <c r="L849" t="n">
        <v>0</v>
      </c>
      <c r="M849" t="n">
        <v>0</v>
      </c>
      <c r="N849" t="n">
        <v>0</v>
      </c>
      <c r="O849" t="n">
        <v>0</v>
      </c>
      <c r="P849" t="n">
        <v>0</v>
      </c>
      <c r="Q849" t="n">
        <v>0</v>
      </c>
      <c r="R849" s="2" t="inlineStr"/>
    </row>
    <row r="850" ht="15" customHeight="1">
      <c r="A850" t="inlineStr">
        <is>
          <t>A 6082-2022</t>
        </is>
      </c>
      <c r="B850" s="1" t="n">
        <v>44599</v>
      </c>
      <c r="C850" s="1" t="n">
        <v>45928</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46979-2023</t>
        </is>
      </c>
      <c r="B851" s="1" t="n">
        <v>45201</v>
      </c>
      <c r="C851" s="1" t="n">
        <v>45928</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2596-2025</t>
        </is>
      </c>
      <c r="B852" s="1" t="n">
        <v>45674.71810185185</v>
      </c>
      <c r="C852" s="1" t="n">
        <v>45928</v>
      </c>
      <c r="D852" t="inlineStr">
        <is>
          <t>KALMAR LÄN</t>
        </is>
      </c>
      <c r="E852" t="inlineStr">
        <is>
          <t>VIMMERBY</t>
        </is>
      </c>
      <c r="G852" t="n">
        <v>9</v>
      </c>
      <c r="H852" t="n">
        <v>0</v>
      </c>
      <c r="I852" t="n">
        <v>0</v>
      </c>
      <c r="J852" t="n">
        <v>0</v>
      </c>
      <c r="K852" t="n">
        <v>0</v>
      </c>
      <c r="L852" t="n">
        <v>0</v>
      </c>
      <c r="M852" t="n">
        <v>0</v>
      </c>
      <c r="N852" t="n">
        <v>0</v>
      </c>
      <c r="O852" t="n">
        <v>0</v>
      </c>
      <c r="P852" t="n">
        <v>0</v>
      </c>
      <c r="Q852" t="n">
        <v>0</v>
      </c>
      <c r="R852" s="2" t="inlineStr"/>
    </row>
    <row r="853" ht="15" customHeight="1">
      <c r="A853" t="inlineStr">
        <is>
          <t>A 47855-2024</t>
        </is>
      </c>
      <c r="B853" s="1" t="n">
        <v>45588.66457175926</v>
      </c>
      <c r="C853" s="1" t="n">
        <v>45928</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63583-2023</t>
        </is>
      </c>
      <c r="B854" s="1" t="n">
        <v>45275.41833333333</v>
      </c>
      <c r="C854" s="1" t="n">
        <v>45928</v>
      </c>
      <c r="D854" t="inlineStr">
        <is>
          <t>KALMAR LÄN</t>
        </is>
      </c>
      <c r="E854" t="inlineStr">
        <is>
          <t>VIMMERBY</t>
        </is>
      </c>
      <c r="G854" t="n">
        <v>1.4</v>
      </c>
      <c r="H854" t="n">
        <v>0</v>
      </c>
      <c r="I854" t="n">
        <v>0</v>
      </c>
      <c r="J854" t="n">
        <v>0</v>
      </c>
      <c r="K854" t="n">
        <v>0</v>
      </c>
      <c r="L854" t="n">
        <v>0</v>
      </c>
      <c r="M854" t="n">
        <v>0</v>
      </c>
      <c r="N854" t="n">
        <v>0</v>
      </c>
      <c r="O854" t="n">
        <v>0</v>
      </c>
      <c r="P854" t="n">
        <v>0</v>
      </c>
      <c r="Q854" t="n">
        <v>0</v>
      </c>
      <c r="R854" s="2" t="inlineStr"/>
    </row>
    <row r="855">
      <c r="A855" t="inlineStr">
        <is>
          <t>A 60228-2021</t>
        </is>
      </c>
      <c r="B855" s="1" t="n">
        <v>44495</v>
      </c>
      <c r="C855" s="1" t="n">
        <v>45928</v>
      </c>
      <c r="D855" t="inlineStr">
        <is>
          <t>KALMAR LÄN</t>
        </is>
      </c>
      <c r="E855" t="inlineStr">
        <is>
          <t>VIMMERBY</t>
        </is>
      </c>
      <c r="G855" t="n">
        <v>4.1</v>
      </c>
      <c r="H855" t="n">
        <v>0</v>
      </c>
      <c r="I855" t="n">
        <v>0</v>
      </c>
      <c r="J855" t="n">
        <v>0</v>
      </c>
      <c r="K855" t="n">
        <v>0</v>
      </c>
      <c r="L855" t="n">
        <v>0</v>
      </c>
      <c r="M855" t="n">
        <v>0</v>
      </c>
      <c r="N855" t="n">
        <v>0</v>
      </c>
      <c r="O855" t="n">
        <v>0</v>
      </c>
      <c r="P855" t="n">
        <v>0</v>
      </c>
      <c r="Q855" t="n">
        <v>0</v>
      </c>
      <c r="R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2025-09-28T12:15:54Z</dcterms:created>
  <dcterms:modified xmlns:dcterms="http://purl.org/dc/terms/" xmlns:xsi="http://www.w3.org/2001/XMLSchema-instance" xsi:type="dcterms:W3CDTF">2025-09-28T12:15:55Z</dcterms:modified>
</cp:coreProperties>
</file>