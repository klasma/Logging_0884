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46162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46162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16954-2025</t>
        </is>
      </c>
      <c r="B9" s="1" t="n">
        <v>45755</v>
      </c>
      <c r="C9" s="1" t="n">
        <v>46162</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46162</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46162</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46162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46162</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55604-2025</t>
        </is>
      </c>
      <c r="B14" s="1" t="n">
        <v>45971</v>
      </c>
      <c r="C14" s="1" t="n">
        <v>46162</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46162</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46162</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37901-2022</t>
        </is>
      </c>
      <c r="B17" s="1" t="n">
        <v>44811</v>
      </c>
      <c r="C17" s="1" t="n">
        <v>46162</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46162</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46162</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46162</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46162</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46162</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46162</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17935-2025</t>
        </is>
      </c>
      <c r="B24" s="1" t="n">
        <v>45760.34877314815</v>
      </c>
      <c r="C24" s="1" t="n">
        <v>46162</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2518-2023</t>
        </is>
      </c>
      <c r="B25" s="1" t="n">
        <v>44943</v>
      </c>
      <c r="C25" s="1" t="n">
        <v>46162</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46162</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46162</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19158-2023</t>
        </is>
      </c>
      <c r="B28" s="1" t="n">
        <v>45048</v>
      </c>
      <c r="C28" s="1" t="n">
        <v>46162</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53787-2025</t>
        </is>
      </c>
      <c r="B29" s="1" t="n">
        <v>45960</v>
      </c>
      <c r="C29" s="1" t="n">
        <v>46162</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14024-2023</t>
        </is>
      </c>
      <c r="B30" s="1" t="n">
        <v>45008.60878472222</v>
      </c>
      <c r="C30" s="1" t="n">
        <v>46162</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22825-2023</t>
        </is>
      </c>
      <c r="B31" s="1" t="n">
        <v>45072</v>
      </c>
      <c r="C31" s="1" t="n">
        <v>46162</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14426-2026</t>
        </is>
      </c>
      <c r="B32" s="1" t="n">
        <v>46100.46956018519</v>
      </c>
      <c r="C32" s="1" t="n">
        <v>46162</v>
      </c>
      <c r="D32" t="inlineStr">
        <is>
          <t>KALMAR LÄN</t>
        </is>
      </c>
      <c r="E32" t="inlineStr">
        <is>
          <t>VIMMERBY</t>
        </is>
      </c>
      <c r="F32" t="inlineStr">
        <is>
          <t>Kyrkan</t>
        </is>
      </c>
      <c r="G32" t="n">
        <v>8.6</v>
      </c>
      <c r="H32" t="n">
        <v>1</v>
      </c>
      <c r="I32" t="n">
        <v>0</v>
      </c>
      <c r="J32" t="n">
        <v>1</v>
      </c>
      <c r="K32" t="n">
        <v>1</v>
      </c>
      <c r="L32" t="n">
        <v>0</v>
      </c>
      <c r="M32" t="n">
        <v>0</v>
      </c>
      <c r="N32" t="n">
        <v>0</v>
      </c>
      <c r="O32" t="n">
        <v>2</v>
      </c>
      <c r="P32" t="n">
        <v>1</v>
      </c>
      <c r="Q32" t="n">
        <v>2</v>
      </c>
      <c r="R32" s="2" t="inlineStr">
        <is>
          <t>Knärot
Tallticka</t>
        </is>
      </c>
      <c r="S32">
        <f>HYPERLINK("https://klasma.github.io/Logging_0884/artfynd/A 14426-2026 artfynd.xlsx", "A 14426-2026")</f>
        <v/>
      </c>
      <c r="T32">
        <f>HYPERLINK("https://klasma.github.io/Logging_0884/kartor/A 14426-2026 karta.png", "A 14426-2026")</f>
        <v/>
      </c>
      <c r="U32">
        <f>HYPERLINK("https://klasma.github.io/Logging_0884/knärot/A 14426-2026 karta knärot.png", "A 14426-2026")</f>
        <v/>
      </c>
      <c r="V32">
        <f>HYPERLINK("https://klasma.github.io/Logging_0884/klagomål/A 14426-2026 FSC-klagomål.docx", "A 14426-2026")</f>
        <v/>
      </c>
      <c r="W32">
        <f>HYPERLINK("https://klasma.github.io/Logging_0884/klagomålsmail/A 14426-2026 FSC-klagomål mail.docx", "A 14426-2026")</f>
        <v/>
      </c>
      <c r="X32">
        <f>HYPERLINK("https://klasma.github.io/Logging_0884/tillsyn/A 14426-2026 tillsynsbegäran.docx", "A 14426-2026")</f>
        <v/>
      </c>
      <c r="Y32">
        <f>HYPERLINK("https://klasma.github.io/Logging_0884/tillsynsmail/A 14426-2026 tillsynsbegäran mail.docx", "A 14426-2026")</f>
        <v/>
      </c>
    </row>
    <row r="33" ht="15" customHeight="1">
      <c r="A33" t="inlineStr">
        <is>
          <t>A 22396-2025</t>
        </is>
      </c>
      <c r="B33" s="1" t="n">
        <v>45786.52827546297</v>
      </c>
      <c r="C33" s="1" t="n">
        <v>46162</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46162</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46162</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40083-2023</t>
        </is>
      </c>
      <c r="B36" s="1" t="n">
        <v>45168</v>
      </c>
      <c r="C36" s="1" t="n">
        <v>46162</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46162</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23602-2023</t>
        </is>
      </c>
      <c r="B38" s="1" t="n">
        <v>45077</v>
      </c>
      <c r="C38" s="1" t="n">
        <v>46162</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53400-2025</t>
        </is>
      </c>
      <c r="B39" s="1" t="n">
        <v>45959.56684027778</v>
      </c>
      <c r="C39" s="1" t="n">
        <v>46162</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53404-2025</t>
        </is>
      </c>
      <c r="B40" s="1" t="n">
        <v>45959.57126157408</v>
      </c>
      <c r="C40" s="1" t="n">
        <v>46162</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55384-2025</t>
        </is>
      </c>
      <c r="B41" s="1" t="n">
        <v>45971.43178240741</v>
      </c>
      <c r="C41" s="1" t="n">
        <v>46162</v>
      </c>
      <c r="D41" t="inlineStr">
        <is>
          <t>KALMAR LÄN</t>
        </is>
      </c>
      <c r="E41" t="inlineStr">
        <is>
          <t>VIMMERBY</t>
        </is>
      </c>
      <c r="G41" t="n">
        <v>1.7</v>
      </c>
      <c r="H41" t="n">
        <v>1</v>
      </c>
      <c r="I41" t="n">
        <v>0</v>
      </c>
      <c r="J41" t="n">
        <v>1</v>
      </c>
      <c r="K41" t="n">
        <v>0</v>
      </c>
      <c r="L41" t="n">
        <v>0</v>
      </c>
      <c r="M41" t="n">
        <v>0</v>
      </c>
      <c r="N41" t="n">
        <v>0</v>
      </c>
      <c r="O41" t="n">
        <v>1</v>
      </c>
      <c r="P41" t="n">
        <v>0</v>
      </c>
      <c r="Q41" t="n">
        <v>1</v>
      </c>
      <c r="R41" s="2" t="inlineStr">
        <is>
          <t>Talltita</t>
        </is>
      </c>
      <c r="S41">
        <f>HYPERLINK("https://klasma.github.io/Logging_0884/artfynd/A 55384-2025 artfynd.xlsx", "A 55384-2025")</f>
        <v/>
      </c>
      <c r="T41">
        <f>HYPERLINK("https://klasma.github.io/Logging_0884/kartor/A 55384-2025 karta.png", "A 55384-2025")</f>
        <v/>
      </c>
      <c r="V41">
        <f>HYPERLINK("https://klasma.github.io/Logging_0884/klagomål/A 55384-2025 FSC-klagomål.docx", "A 55384-2025")</f>
        <v/>
      </c>
      <c r="W41">
        <f>HYPERLINK("https://klasma.github.io/Logging_0884/klagomålsmail/A 55384-2025 FSC-klagomål mail.docx", "A 55384-2025")</f>
        <v/>
      </c>
      <c r="X41">
        <f>HYPERLINK("https://klasma.github.io/Logging_0884/tillsyn/A 55384-2025 tillsynsbegäran.docx", "A 55384-2025")</f>
        <v/>
      </c>
      <c r="Y41">
        <f>HYPERLINK("https://klasma.github.io/Logging_0884/tillsynsmail/A 55384-2025 tillsynsbegäran mail.docx", "A 55384-2025")</f>
        <v/>
      </c>
      <c r="Z41">
        <f>HYPERLINK("https://klasma.github.io/Logging_0884/fåglar/A 55384-2025 prioriterade fågelarter.docx", "A 55384-2025")</f>
        <v/>
      </c>
    </row>
    <row r="42" ht="15" customHeight="1">
      <c r="A42" t="inlineStr">
        <is>
          <t>A 57062-2025</t>
        </is>
      </c>
      <c r="B42" s="1" t="n">
        <v>45979.37598379629</v>
      </c>
      <c r="C42" s="1" t="n">
        <v>46162</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15122-2024</t>
        </is>
      </c>
      <c r="B43" s="1" t="n">
        <v>45399.71412037037</v>
      </c>
      <c r="C43" s="1" t="n">
        <v>46162</v>
      </c>
      <c r="D43" t="inlineStr">
        <is>
          <t>KALMAR LÄN</t>
        </is>
      </c>
      <c r="E43" t="inlineStr">
        <is>
          <t>VIMMERBY</t>
        </is>
      </c>
      <c r="G43" t="n">
        <v>1.7</v>
      </c>
      <c r="H43" t="n">
        <v>0</v>
      </c>
      <c r="I43" t="n">
        <v>0</v>
      </c>
      <c r="J43" t="n">
        <v>0</v>
      </c>
      <c r="K43" t="n">
        <v>1</v>
      </c>
      <c r="L43" t="n">
        <v>0</v>
      </c>
      <c r="M43" t="n">
        <v>0</v>
      </c>
      <c r="N43" t="n">
        <v>0</v>
      </c>
      <c r="O43" t="n">
        <v>1</v>
      </c>
      <c r="P43" t="n">
        <v>1</v>
      </c>
      <c r="Q43" t="n">
        <v>1</v>
      </c>
      <c r="R43" s="2" t="inlineStr">
        <is>
          <t>Sågfibbla</t>
        </is>
      </c>
      <c r="S43">
        <f>HYPERLINK("https://klasma.github.io/Logging_0884/artfynd/A 15122-2024 artfynd.xlsx", "A 15122-2024")</f>
        <v/>
      </c>
      <c r="T43">
        <f>HYPERLINK("https://klasma.github.io/Logging_0884/kartor/A 15122-2024 karta.png", "A 15122-2024")</f>
        <v/>
      </c>
      <c r="V43">
        <f>HYPERLINK("https://klasma.github.io/Logging_0884/klagomål/A 15122-2024 FSC-klagomål.docx", "A 15122-2024")</f>
        <v/>
      </c>
      <c r="W43">
        <f>HYPERLINK("https://klasma.github.io/Logging_0884/klagomålsmail/A 15122-2024 FSC-klagomål mail.docx", "A 15122-2024")</f>
        <v/>
      </c>
      <c r="X43">
        <f>HYPERLINK("https://klasma.github.io/Logging_0884/tillsyn/A 15122-2024 tillsynsbegäran.docx", "A 15122-2024")</f>
        <v/>
      </c>
      <c r="Y43">
        <f>HYPERLINK("https://klasma.github.io/Logging_0884/tillsynsmail/A 15122-2024 tillsynsbegäran mail.docx", "A 15122-2024")</f>
        <v/>
      </c>
    </row>
    <row r="44" ht="15" customHeight="1">
      <c r="A44" t="inlineStr">
        <is>
          <t>A 32985-2023</t>
        </is>
      </c>
      <c r="B44" s="1" t="n">
        <v>45125</v>
      </c>
      <c r="C44" s="1" t="n">
        <v>46162</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28852-2023</t>
        </is>
      </c>
      <c r="B45" s="1" t="n">
        <v>45104</v>
      </c>
      <c r="C45" s="1" t="n">
        <v>46162</v>
      </c>
      <c r="D45" t="inlineStr">
        <is>
          <t>KALMAR LÄN</t>
        </is>
      </c>
      <c r="E45" t="inlineStr">
        <is>
          <t>VIMMERBY</t>
        </is>
      </c>
      <c r="G45" t="n">
        <v>0.7</v>
      </c>
      <c r="H45" t="n">
        <v>0</v>
      </c>
      <c r="I45" t="n">
        <v>1</v>
      </c>
      <c r="J45" t="n">
        <v>0</v>
      </c>
      <c r="K45" t="n">
        <v>0</v>
      </c>
      <c r="L45" t="n">
        <v>0</v>
      </c>
      <c r="M45" t="n">
        <v>0</v>
      </c>
      <c r="N45" t="n">
        <v>0</v>
      </c>
      <c r="O45" t="n">
        <v>0</v>
      </c>
      <c r="P45" t="n">
        <v>0</v>
      </c>
      <c r="Q45" t="n">
        <v>1</v>
      </c>
      <c r="R45" s="2" t="inlineStr">
        <is>
          <t>Tibast</t>
        </is>
      </c>
      <c r="S45">
        <f>HYPERLINK("https://klasma.github.io/Logging_0884/artfynd/A 28852-2023 artfynd.xlsx", "A 28852-2023")</f>
        <v/>
      </c>
      <c r="T45">
        <f>HYPERLINK("https://klasma.github.io/Logging_0884/kartor/A 28852-2023 karta.png", "A 28852-2023")</f>
        <v/>
      </c>
      <c r="V45">
        <f>HYPERLINK("https://klasma.github.io/Logging_0884/klagomål/A 28852-2023 FSC-klagomål.docx", "A 28852-2023")</f>
        <v/>
      </c>
      <c r="W45">
        <f>HYPERLINK("https://klasma.github.io/Logging_0884/klagomålsmail/A 28852-2023 FSC-klagomål mail.docx", "A 28852-2023")</f>
        <v/>
      </c>
      <c r="X45">
        <f>HYPERLINK("https://klasma.github.io/Logging_0884/tillsyn/A 28852-2023 tillsynsbegäran.docx", "A 28852-2023")</f>
        <v/>
      </c>
      <c r="Y45">
        <f>HYPERLINK("https://klasma.github.io/Logging_0884/tillsynsmail/A 28852-2023 tillsynsbegäran mail.docx", "A 28852-2023")</f>
        <v/>
      </c>
    </row>
    <row r="46" ht="15" customHeight="1">
      <c r="A46" t="inlineStr">
        <is>
          <t>A 44515-2024</t>
        </is>
      </c>
      <c r="B46" s="1" t="n">
        <v>45574.42767361111</v>
      </c>
      <c r="C46" s="1" t="n">
        <v>46162</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9067-2025</t>
        </is>
      </c>
      <c r="B47" s="1" t="n">
        <v>45713</v>
      </c>
      <c r="C47" s="1" t="n">
        <v>46162</v>
      </c>
      <c r="D47" t="inlineStr">
        <is>
          <t>KALMAR LÄN</t>
        </is>
      </c>
      <c r="E47" t="inlineStr">
        <is>
          <t>VIMMERBY</t>
        </is>
      </c>
      <c r="G47" t="n">
        <v>3.9</v>
      </c>
      <c r="H47" t="n">
        <v>0</v>
      </c>
      <c r="I47" t="n">
        <v>1</v>
      </c>
      <c r="J47" t="n">
        <v>0</v>
      </c>
      <c r="K47" t="n">
        <v>0</v>
      </c>
      <c r="L47" t="n">
        <v>0</v>
      </c>
      <c r="M47" t="n">
        <v>0</v>
      </c>
      <c r="N47" t="n">
        <v>0</v>
      </c>
      <c r="O47" t="n">
        <v>0</v>
      </c>
      <c r="P47" t="n">
        <v>0</v>
      </c>
      <c r="Q47" t="n">
        <v>1</v>
      </c>
      <c r="R47" s="2" t="inlineStr">
        <is>
          <t>Ögonpyrola</t>
        </is>
      </c>
      <c r="S47">
        <f>HYPERLINK("https://klasma.github.io/Logging_0884/artfynd/A 9067-2025 artfynd.xlsx", "A 9067-2025")</f>
        <v/>
      </c>
      <c r="T47">
        <f>HYPERLINK("https://klasma.github.io/Logging_0884/kartor/A 9067-2025 karta.png", "A 9067-2025")</f>
        <v/>
      </c>
      <c r="V47">
        <f>HYPERLINK("https://klasma.github.io/Logging_0884/klagomål/A 9067-2025 FSC-klagomål.docx", "A 9067-2025")</f>
        <v/>
      </c>
      <c r="W47">
        <f>HYPERLINK("https://klasma.github.io/Logging_0884/klagomålsmail/A 9067-2025 FSC-klagomål mail.docx", "A 9067-2025")</f>
        <v/>
      </c>
      <c r="X47">
        <f>HYPERLINK("https://klasma.github.io/Logging_0884/tillsyn/A 9067-2025 tillsynsbegäran.docx", "A 9067-2025")</f>
        <v/>
      </c>
      <c r="Y47">
        <f>HYPERLINK("https://klasma.github.io/Logging_0884/tillsynsmail/A 9067-2025 tillsynsbegäran mail.docx", "A 9067-2025")</f>
        <v/>
      </c>
    </row>
    <row r="48" ht="15" customHeight="1">
      <c r="A48" t="inlineStr">
        <is>
          <t>A 61860-2024</t>
        </is>
      </c>
      <c r="B48" s="1" t="n">
        <v>45649</v>
      </c>
      <c r="C48" s="1" t="n">
        <v>46162</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52301-2023</t>
        </is>
      </c>
      <c r="B49" s="1" t="n">
        <v>45224</v>
      </c>
      <c r="C49" s="1" t="n">
        <v>46162</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33436-2021</t>
        </is>
      </c>
      <c r="B50" s="1" t="n">
        <v>44377.61104166666</v>
      </c>
      <c r="C50" s="1" t="n">
        <v>46162</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1201-2025</t>
        </is>
      </c>
      <c r="B51" s="1" t="n">
        <v>45667</v>
      </c>
      <c r="C51" s="1" t="n">
        <v>46162</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46162</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59070-2021</t>
        </is>
      </c>
      <c r="B53" s="1" t="n">
        <v>44490.38613425926</v>
      </c>
      <c r="C53" s="1" t="n">
        <v>46162</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46162</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46162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46162</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46162</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46162</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46162</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46162</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46162</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46162</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46162</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46162</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46162</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46162</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46162</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46162</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2183-2022</t>
        </is>
      </c>
      <c r="B69" s="1" t="n">
        <v>44578.47597222222</v>
      </c>
      <c r="C69" s="1" t="n">
        <v>46162</v>
      </c>
      <c r="D69" t="inlineStr">
        <is>
          <t>KALMAR LÄN</t>
        </is>
      </c>
      <c r="E69" t="inlineStr">
        <is>
          <t>VIMMERBY</t>
        </is>
      </c>
      <c r="G69" t="n">
        <v>4.8</v>
      </c>
      <c r="H69" t="n">
        <v>0</v>
      </c>
      <c r="I69" t="n">
        <v>0</v>
      </c>
      <c r="J69" t="n">
        <v>0</v>
      </c>
      <c r="K69" t="n">
        <v>0</v>
      </c>
      <c r="L69" t="n">
        <v>0</v>
      </c>
      <c r="M69" t="n">
        <v>0</v>
      </c>
      <c r="N69" t="n">
        <v>0</v>
      </c>
      <c r="O69" t="n">
        <v>0</v>
      </c>
      <c r="P69" t="n">
        <v>0</v>
      </c>
      <c r="Q69" t="n">
        <v>0</v>
      </c>
      <c r="R69" s="2" t="inlineStr"/>
    </row>
    <row r="70" ht="15" customHeight="1">
      <c r="A70" t="inlineStr">
        <is>
          <t>A 65670-2021</t>
        </is>
      </c>
      <c r="B70" s="1" t="n">
        <v>44516.59703703703</v>
      </c>
      <c r="C70" s="1" t="n">
        <v>46162</v>
      </c>
      <c r="D70" t="inlineStr">
        <is>
          <t>KALMAR LÄN</t>
        </is>
      </c>
      <c r="E70" t="inlineStr">
        <is>
          <t>VIMMERBY</t>
        </is>
      </c>
      <c r="G70" t="n">
        <v>1.9</v>
      </c>
      <c r="H70" t="n">
        <v>0</v>
      </c>
      <c r="I70" t="n">
        <v>0</v>
      </c>
      <c r="J70" t="n">
        <v>0</v>
      </c>
      <c r="K70" t="n">
        <v>0</v>
      </c>
      <c r="L70" t="n">
        <v>0</v>
      </c>
      <c r="M70" t="n">
        <v>0</v>
      </c>
      <c r="N70" t="n">
        <v>0</v>
      </c>
      <c r="O70" t="n">
        <v>0</v>
      </c>
      <c r="P70" t="n">
        <v>0</v>
      </c>
      <c r="Q70" t="n">
        <v>0</v>
      </c>
      <c r="R70" s="2" t="inlineStr"/>
    </row>
    <row r="71" ht="15" customHeight="1">
      <c r="A71" t="inlineStr">
        <is>
          <t>A 41438-2022</t>
        </is>
      </c>
      <c r="B71" s="1" t="n">
        <v>44826.68010416667</v>
      </c>
      <c r="C71" s="1" t="n">
        <v>46162</v>
      </c>
      <c r="D71" t="inlineStr">
        <is>
          <t>KALMAR LÄN</t>
        </is>
      </c>
      <c r="E71" t="inlineStr">
        <is>
          <t>VIMMERBY</t>
        </is>
      </c>
      <c r="G71" t="n">
        <v>3.1</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46162</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46162</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38086-2021</t>
        </is>
      </c>
      <c r="B74" s="1" t="n">
        <v>44404.87505787037</v>
      </c>
      <c r="C74" s="1" t="n">
        <v>46162</v>
      </c>
      <c r="D74" t="inlineStr">
        <is>
          <t>KALMAR LÄN</t>
        </is>
      </c>
      <c r="E74" t="inlineStr">
        <is>
          <t>VIMMERBY</t>
        </is>
      </c>
      <c r="G74" t="n">
        <v>4.4</v>
      </c>
      <c r="H74" t="n">
        <v>0</v>
      </c>
      <c r="I74" t="n">
        <v>0</v>
      </c>
      <c r="J74" t="n">
        <v>0</v>
      </c>
      <c r="K74" t="n">
        <v>0</v>
      </c>
      <c r="L74" t="n">
        <v>0</v>
      </c>
      <c r="M74" t="n">
        <v>0</v>
      </c>
      <c r="N74" t="n">
        <v>0</v>
      </c>
      <c r="O74" t="n">
        <v>0</v>
      </c>
      <c r="P74" t="n">
        <v>0</v>
      </c>
      <c r="Q74" t="n">
        <v>0</v>
      </c>
      <c r="R74" s="2" t="inlineStr"/>
    </row>
    <row r="75" ht="15" customHeight="1">
      <c r="A75" t="inlineStr">
        <is>
          <t>A 4296-2022</t>
        </is>
      </c>
      <c r="B75" s="1" t="n">
        <v>44588</v>
      </c>
      <c r="C75" s="1" t="n">
        <v>46162</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46162</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46162</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27762-2021</t>
        </is>
      </c>
      <c r="B78" s="1" t="n">
        <v>44354</v>
      </c>
      <c r="C78" s="1" t="n">
        <v>46162</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71626-2021</t>
        </is>
      </c>
      <c r="B79" s="1" t="n">
        <v>44542.8859375</v>
      </c>
      <c r="C79" s="1" t="n">
        <v>46162</v>
      </c>
      <c r="D79" t="inlineStr">
        <is>
          <t>KALMAR LÄN</t>
        </is>
      </c>
      <c r="E79" t="inlineStr">
        <is>
          <t>VIMMERBY</t>
        </is>
      </c>
      <c r="G79" t="n">
        <v>1.1</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46162</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46162</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46162</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46162</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46162</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46162</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46162</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46162</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46162</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46162</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46162</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46162</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46162</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46162</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46162</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46162</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46162</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46162</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46162</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24369-2021</t>
        </is>
      </c>
      <c r="B101" s="1" t="n">
        <v>44337</v>
      </c>
      <c r="C101" s="1" t="n">
        <v>46162</v>
      </c>
      <c r="D101" t="inlineStr">
        <is>
          <t>KALMAR LÄN</t>
        </is>
      </c>
      <c r="E101" t="inlineStr">
        <is>
          <t>VIMMERBY</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51972-2021</t>
        </is>
      </c>
      <c r="B102" s="1" t="n">
        <v>44463.29439814815</v>
      </c>
      <c r="C102" s="1" t="n">
        <v>46162</v>
      </c>
      <c r="D102" t="inlineStr">
        <is>
          <t>KALMAR LÄN</t>
        </is>
      </c>
      <c r="E102" t="inlineStr">
        <is>
          <t>VIMMERBY</t>
        </is>
      </c>
      <c r="G102" t="n">
        <v>4.5</v>
      </c>
      <c r="H102" t="n">
        <v>0</v>
      </c>
      <c r="I102" t="n">
        <v>0</v>
      </c>
      <c r="J102" t="n">
        <v>0</v>
      </c>
      <c r="K102" t="n">
        <v>0</v>
      </c>
      <c r="L102" t="n">
        <v>0</v>
      </c>
      <c r="M102" t="n">
        <v>0</v>
      </c>
      <c r="N102" t="n">
        <v>0</v>
      </c>
      <c r="O102" t="n">
        <v>0</v>
      </c>
      <c r="P102" t="n">
        <v>0</v>
      </c>
      <c r="Q102" t="n">
        <v>0</v>
      </c>
      <c r="R102" s="2" t="inlineStr"/>
    </row>
    <row r="103" ht="15" customHeight="1">
      <c r="A103" t="inlineStr">
        <is>
          <t>A 4042-2022</t>
        </is>
      </c>
      <c r="B103" s="1" t="n">
        <v>44588</v>
      </c>
      <c r="C103" s="1" t="n">
        <v>46162</v>
      </c>
      <c r="D103" t="inlineStr">
        <is>
          <t>KALMAR LÄN</t>
        </is>
      </c>
      <c r="E103" t="inlineStr">
        <is>
          <t>VIMMERBY</t>
        </is>
      </c>
      <c r="G103" t="n">
        <v>4.7</v>
      </c>
      <c r="H103" t="n">
        <v>0</v>
      </c>
      <c r="I103" t="n">
        <v>0</v>
      </c>
      <c r="J103" t="n">
        <v>0</v>
      </c>
      <c r="K103" t="n">
        <v>0</v>
      </c>
      <c r="L103" t="n">
        <v>0</v>
      </c>
      <c r="M103" t="n">
        <v>0</v>
      </c>
      <c r="N103" t="n">
        <v>0</v>
      </c>
      <c r="O103" t="n">
        <v>0</v>
      </c>
      <c r="P103" t="n">
        <v>0</v>
      </c>
      <c r="Q103" t="n">
        <v>0</v>
      </c>
      <c r="R103" s="2" t="inlineStr"/>
    </row>
    <row r="104" ht="15" customHeight="1">
      <c r="A104" t="inlineStr">
        <is>
          <t>A 33690-2022</t>
        </is>
      </c>
      <c r="B104" s="1" t="n">
        <v>44789</v>
      </c>
      <c r="C104" s="1" t="n">
        <v>46162</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35198-2021</t>
        </is>
      </c>
      <c r="B105" s="1" t="n">
        <v>44377</v>
      </c>
      <c r="C105" s="1" t="n">
        <v>46162</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34036-2021</t>
        </is>
      </c>
      <c r="B106" s="1" t="n">
        <v>44379</v>
      </c>
      <c r="C106" s="1" t="n">
        <v>46162</v>
      </c>
      <c r="D106" t="inlineStr">
        <is>
          <t>KALMAR LÄN</t>
        </is>
      </c>
      <c r="E106" t="inlineStr">
        <is>
          <t>VIMMERBY</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63244-2021</t>
        </is>
      </c>
      <c r="B107" s="1" t="n">
        <v>44508</v>
      </c>
      <c r="C107" s="1" t="n">
        <v>46162</v>
      </c>
      <c r="D107" t="inlineStr">
        <is>
          <t>KALMAR LÄN</t>
        </is>
      </c>
      <c r="E107" t="inlineStr">
        <is>
          <t>VIMMERBY</t>
        </is>
      </c>
      <c r="F107" t="inlineStr">
        <is>
          <t>Övriga statliga verk och myndigheter</t>
        </is>
      </c>
      <c r="G107" t="n">
        <v>0.6</v>
      </c>
      <c r="H107" t="n">
        <v>0</v>
      </c>
      <c r="I107" t="n">
        <v>0</v>
      </c>
      <c r="J107" t="n">
        <v>0</v>
      </c>
      <c r="K107" t="n">
        <v>0</v>
      </c>
      <c r="L107" t="n">
        <v>0</v>
      </c>
      <c r="M107" t="n">
        <v>0</v>
      </c>
      <c r="N107" t="n">
        <v>0</v>
      </c>
      <c r="O107" t="n">
        <v>0</v>
      </c>
      <c r="P107" t="n">
        <v>0</v>
      </c>
      <c r="Q107" t="n">
        <v>0</v>
      </c>
      <c r="R107" s="2" t="inlineStr"/>
    </row>
    <row r="108" ht="15" customHeight="1">
      <c r="A108" t="inlineStr">
        <is>
          <t>A 11814-2022</t>
        </is>
      </c>
      <c r="B108" s="1" t="n">
        <v>44634.69703703704</v>
      </c>
      <c r="C108" s="1" t="n">
        <v>46162</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56385-2021</t>
        </is>
      </c>
      <c r="B109" s="1" t="n">
        <v>44480</v>
      </c>
      <c r="C109" s="1" t="n">
        <v>46162</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46162</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31053-2022</t>
        </is>
      </c>
      <c r="B111" s="1" t="n">
        <v>44769.45422453704</v>
      </c>
      <c r="C111" s="1" t="n">
        <v>46162</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8454-2022</t>
        </is>
      </c>
      <c r="B112" s="1" t="n">
        <v>44612.86762731482</v>
      </c>
      <c r="C112" s="1" t="n">
        <v>46162</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65887-2021</t>
        </is>
      </c>
      <c r="B113" s="1" t="n">
        <v>44517</v>
      </c>
      <c r="C113" s="1" t="n">
        <v>46162</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46162</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24999-2021</t>
        </is>
      </c>
      <c r="B115" s="1" t="n">
        <v>44341</v>
      </c>
      <c r="C115" s="1" t="n">
        <v>46162</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46162</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46162</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56389-2021</t>
        </is>
      </c>
      <c r="B118" s="1" t="n">
        <v>44480</v>
      </c>
      <c r="C118" s="1" t="n">
        <v>46162</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67952-2021</t>
        </is>
      </c>
      <c r="B119" s="1" t="n">
        <v>44525.63913194444</v>
      </c>
      <c r="C119" s="1" t="n">
        <v>46162</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15533-2022</t>
        </is>
      </c>
      <c r="B120" s="1" t="n">
        <v>44662</v>
      </c>
      <c r="C120" s="1" t="n">
        <v>46162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165-2022</t>
        </is>
      </c>
      <c r="B121" s="1" t="n">
        <v>44564</v>
      </c>
      <c r="C121" s="1" t="n">
        <v>46162</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34040-2021</t>
        </is>
      </c>
      <c r="B122" s="1" t="n">
        <v>44379</v>
      </c>
      <c r="C122" s="1" t="n">
        <v>46162</v>
      </c>
      <c r="D122" t="inlineStr">
        <is>
          <t>KALMAR LÄN</t>
        </is>
      </c>
      <c r="E122" t="inlineStr">
        <is>
          <t>VIMMERBY</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12107-2022</t>
        </is>
      </c>
      <c r="B123" s="1" t="n">
        <v>44636</v>
      </c>
      <c r="C123" s="1" t="n">
        <v>46162</v>
      </c>
      <c r="D123" t="inlineStr">
        <is>
          <t>KALMAR LÄN</t>
        </is>
      </c>
      <c r="E123" t="inlineStr">
        <is>
          <t>VIMMERBY</t>
        </is>
      </c>
      <c r="G123" t="n">
        <v>1.8</v>
      </c>
      <c r="H123" t="n">
        <v>0</v>
      </c>
      <c r="I123" t="n">
        <v>0</v>
      </c>
      <c r="J123" t="n">
        <v>0</v>
      </c>
      <c r="K123" t="n">
        <v>0</v>
      </c>
      <c r="L123" t="n">
        <v>0</v>
      </c>
      <c r="M123" t="n">
        <v>0</v>
      </c>
      <c r="N123" t="n">
        <v>0</v>
      </c>
      <c r="O123" t="n">
        <v>0</v>
      </c>
      <c r="P123" t="n">
        <v>0</v>
      </c>
      <c r="Q123" t="n">
        <v>0</v>
      </c>
      <c r="R123" s="2" t="inlineStr"/>
    </row>
    <row r="124" ht="15" customHeight="1">
      <c r="A124" t="inlineStr">
        <is>
          <t>A 39225-2022</t>
        </is>
      </c>
      <c r="B124" s="1" t="n">
        <v>44817.57988425926</v>
      </c>
      <c r="C124" s="1" t="n">
        <v>46162</v>
      </c>
      <c r="D124" t="inlineStr">
        <is>
          <t>KALMAR LÄN</t>
        </is>
      </c>
      <c r="E124" t="inlineStr">
        <is>
          <t>VIMMERBY</t>
        </is>
      </c>
      <c r="G124" t="n">
        <v>2.2</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46162</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7167-2022</t>
        </is>
      </c>
      <c r="B126" s="1" t="n">
        <v>44604</v>
      </c>
      <c r="C126" s="1" t="n">
        <v>46162</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46162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46162</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46162</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47769-2022</t>
        </is>
      </c>
      <c r="B130" s="1" t="n">
        <v>44854</v>
      </c>
      <c r="C130" s="1" t="n">
        <v>46162</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48377-2021</t>
        </is>
      </c>
      <c r="B131" s="1" t="n">
        <v>44451.8375</v>
      </c>
      <c r="C131" s="1" t="n">
        <v>46162</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40472-2022</t>
        </is>
      </c>
      <c r="B132" s="1" t="n">
        <v>44823</v>
      </c>
      <c r="C132" s="1" t="n">
        <v>46162</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35316-2021</t>
        </is>
      </c>
      <c r="B133" s="1" t="n">
        <v>44384</v>
      </c>
      <c r="C133" s="1" t="n">
        <v>46162</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33831-2022</t>
        </is>
      </c>
      <c r="B134" s="1" t="n">
        <v>44790.48503472222</v>
      </c>
      <c r="C134" s="1" t="n">
        <v>46162</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47708-2022</t>
        </is>
      </c>
      <c r="B135" s="1" t="n">
        <v>44854.59157407407</v>
      </c>
      <c r="C135" s="1" t="n">
        <v>46162</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9918-2022</t>
        </is>
      </c>
      <c r="B136" s="1" t="n">
        <v>44620</v>
      </c>
      <c r="C136" s="1" t="n">
        <v>46162</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46162</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47473-2021</t>
        </is>
      </c>
      <c r="B138" s="1" t="n">
        <v>44447</v>
      </c>
      <c r="C138" s="1" t="n">
        <v>46162</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46162</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31660-2021</t>
        </is>
      </c>
      <c r="B140" s="1" t="n">
        <v>44369</v>
      </c>
      <c r="C140" s="1" t="n">
        <v>46162</v>
      </c>
      <c r="D140" t="inlineStr">
        <is>
          <t>KALMAR LÄN</t>
        </is>
      </c>
      <c r="E140" t="inlineStr">
        <is>
          <t>VIMMERBY</t>
        </is>
      </c>
      <c r="G140" t="n">
        <v>4.2</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46162</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46162</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36117-2021</t>
        </is>
      </c>
      <c r="B143" s="1" t="n">
        <v>44386</v>
      </c>
      <c r="C143" s="1" t="n">
        <v>46162</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42521-2021</t>
        </is>
      </c>
      <c r="B144" s="1" t="n">
        <v>44427</v>
      </c>
      <c r="C144" s="1" t="n">
        <v>46162</v>
      </c>
      <c r="D144" t="inlineStr">
        <is>
          <t>KALMAR LÄN</t>
        </is>
      </c>
      <c r="E144" t="inlineStr">
        <is>
          <t>VIMMERBY</t>
        </is>
      </c>
      <c r="G144" t="n">
        <v>5.4</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46162</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46162</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42850-2022</t>
        </is>
      </c>
      <c r="B147" s="1" t="n">
        <v>44832.67608796297</v>
      </c>
      <c r="C147" s="1" t="n">
        <v>46162</v>
      </c>
      <c r="D147" t="inlineStr">
        <is>
          <t>KALMAR LÄN</t>
        </is>
      </c>
      <c r="E147" t="inlineStr">
        <is>
          <t>VIMMERBY</t>
        </is>
      </c>
      <c r="G147" t="n">
        <v>5.9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46162</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53145-2022</t>
        </is>
      </c>
      <c r="B149" s="1" t="n">
        <v>44876.48346064815</v>
      </c>
      <c r="C149" s="1" t="n">
        <v>46162</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25738-2022</t>
        </is>
      </c>
      <c r="B150" s="1" t="n">
        <v>44733.43092592592</v>
      </c>
      <c r="C150" s="1" t="n">
        <v>46162</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8194-2022</t>
        </is>
      </c>
      <c r="B151" s="1" t="n">
        <v>44609</v>
      </c>
      <c r="C151" s="1" t="n">
        <v>46162</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46162</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8453-2022</t>
        </is>
      </c>
      <c r="B153" s="1" t="n">
        <v>44612.86554398148</v>
      </c>
      <c r="C153" s="1" t="n">
        <v>46162</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54065-2021</t>
        </is>
      </c>
      <c r="B154" s="1" t="n">
        <v>44470.44232638889</v>
      </c>
      <c r="C154" s="1" t="n">
        <v>46162</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46162</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50621-2022</t>
        </is>
      </c>
      <c r="B156" s="1" t="n">
        <v>44866.81100694444</v>
      </c>
      <c r="C156" s="1" t="n">
        <v>46162</v>
      </c>
      <c r="D156" t="inlineStr">
        <is>
          <t>KALMAR LÄN</t>
        </is>
      </c>
      <c r="E156" t="inlineStr">
        <is>
          <t>VIMMERBY</t>
        </is>
      </c>
      <c r="F156" t="inlineStr">
        <is>
          <t>Övriga Aktiebolag</t>
        </is>
      </c>
      <c r="G156" t="n">
        <v>5.1</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46162</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7804-2022</t>
        </is>
      </c>
      <c r="B158" s="1" t="n">
        <v>44608.50458333334</v>
      </c>
      <c r="C158" s="1" t="n">
        <v>46162</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39042-2022</t>
        </is>
      </c>
      <c r="B159" s="1" t="n">
        <v>44817</v>
      </c>
      <c r="C159" s="1" t="n">
        <v>46162</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31824-2022</t>
        </is>
      </c>
      <c r="B160" s="1" t="n">
        <v>44776</v>
      </c>
      <c r="C160" s="1" t="n">
        <v>46162</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29441-2024</t>
        </is>
      </c>
      <c r="B161" s="1" t="n">
        <v>45483.82834490741</v>
      </c>
      <c r="C161" s="1" t="n">
        <v>46162</v>
      </c>
      <c r="D161" t="inlineStr">
        <is>
          <t>KALMAR LÄN</t>
        </is>
      </c>
      <c r="E161" t="inlineStr">
        <is>
          <t>VIMMERBY</t>
        </is>
      </c>
      <c r="G161" t="n">
        <v>1.3</v>
      </c>
      <c r="H161" t="n">
        <v>0</v>
      </c>
      <c r="I161" t="n">
        <v>0</v>
      </c>
      <c r="J161" t="n">
        <v>0</v>
      </c>
      <c r="K161" t="n">
        <v>0</v>
      </c>
      <c r="L161" t="n">
        <v>0</v>
      </c>
      <c r="M161" t="n">
        <v>0</v>
      </c>
      <c r="N161" t="n">
        <v>0</v>
      </c>
      <c r="O161" t="n">
        <v>0</v>
      </c>
      <c r="P161" t="n">
        <v>0</v>
      </c>
      <c r="Q161" t="n">
        <v>0</v>
      </c>
      <c r="R161" s="2" t="inlineStr"/>
    </row>
    <row r="162" ht="15" customHeight="1">
      <c r="A162" t="inlineStr">
        <is>
          <t>A 25728-2023</t>
        </is>
      </c>
      <c r="B162" s="1" t="n">
        <v>45090.38012731481</v>
      </c>
      <c r="C162" s="1" t="n">
        <v>46162</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33359-2021</t>
        </is>
      </c>
      <c r="B163" s="1" t="n">
        <v>44377.49684027778</v>
      </c>
      <c r="C163" s="1" t="n">
        <v>46162</v>
      </c>
      <c r="D163" t="inlineStr">
        <is>
          <t>KALMAR LÄN</t>
        </is>
      </c>
      <c r="E163" t="inlineStr">
        <is>
          <t>VIMMERBY</t>
        </is>
      </c>
      <c r="F163" t="inlineStr">
        <is>
          <t>Kommuner</t>
        </is>
      </c>
      <c r="G163" t="n">
        <v>8</v>
      </c>
      <c r="H163" t="n">
        <v>0</v>
      </c>
      <c r="I163" t="n">
        <v>0</v>
      </c>
      <c r="J163" t="n">
        <v>0</v>
      </c>
      <c r="K163" t="n">
        <v>0</v>
      </c>
      <c r="L163" t="n">
        <v>0</v>
      </c>
      <c r="M163" t="n">
        <v>0</v>
      </c>
      <c r="N163" t="n">
        <v>0</v>
      </c>
      <c r="O163" t="n">
        <v>0</v>
      </c>
      <c r="P163" t="n">
        <v>0</v>
      </c>
      <c r="Q163" t="n">
        <v>0</v>
      </c>
      <c r="R163" s="2" t="inlineStr"/>
    </row>
    <row r="164" ht="15" customHeight="1">
      <c r="A164" t="inlineStr">
        <is>
          <t>A 43038-2022</t>
        </is>
      </c>
      <c r="B164" s="1" t="n">
        <v>44833.60123842592</v>
      </c>
      <c r="C164" s="1" t="n">
        <v>46162</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52435-2021</t>
        </is>
      </c>
      <c r="B165" s="1" t="n">
        <v>44466.34962962963</v>
      </c>
      <c r="C165" s="1" t="n">
        <v>46162</v>
      </c>
      <c r="D165" t="inlineStr">
        <is>
          <t>KALMAR LÄN</t>
        </is>
      </c>
      <c r="E165" t="inlineStr">
        <is>
          <t>VIMMERBY</t>
        </is>
      </c>
      <c r="G165" t="n">
        <v>2.8</v>
      </c>
      <c r="H165" t="n">
        <v>0</v>
      </c>
      <c r="I165" t="n">
        <v>0</v>
      </c>
      <c r="J165" t="n">
        <v>0</v>
      </c>
      <c r="K165" t="n">
        <v>0</v>
      </c>
      <c r="L165" t="n">
        <v>0</v>
      </c>
      <c r="M165" t="n">
        <v>0</v>
      </c>
      <c r="N165" t="n">
        <v>0</v>
      </c>
      <c r="O165" t="n">
        <v>0</v>
      </c>
      <c r="P165" t="n">
        <v>0</v>
      </c>
      <c r="Q165" t="n">
        <v>0</v>
      </c>
      <c r="R165" s="2" t="inlineStr"/>
    </row>
    <row r="166" ht="15" customHeight="1">
      <c r="A166" t="inlineStr">
        <is>
          <t>A 29093-2023</t>
        </is>
      </c>
      <c r="B166" s="1" t="n">
        <v>45105</v>
      </c>
      <c r="C166" s="1" t="n">
        <v>46162</v>
      </c>
      <c r="D166" t="inlineStr">
        <is>
          <t>KALMAR LÄN</t>
        </is>
      </c>
      <c r="E166" t="inlineStr">
        <is>
          <t>VIMMERBY</t>
        </is>
      </c>
      <c r="G166" t="n">
        <v>2.9</v>
      </c>
      <c r="H166" t="n">
        <v>0</v>
      </c>
      <c r="I166" t="n">
        <v>0</v>
      </c>
      <c r="J166" t="n">
        <v>0</v>
      </c>
      <c r="K166" t="n">
        <v>0</v>
      </c>
      <c r="L166" t="n">
        <v>0</v>
      </c>
      <c r="M166" t="n">
        <v>0</v>
      </c>
      <c r="N166" t="n">
        <v>0</v>
      </c>
      <c r="O166" t="n">
        <v>0</v>
      </c>
      <c r="P166" t="n">
        <v>0</v>
      </c>
      <c r="Q166" t="n">
        <v>0</v>
      </c>
      <c r="R166" s="2" t="inlineStr"/>
    </row>
    <row r="167" ht="15" customHeight="1">
      <c r="A167" t="inlineStr">
        <is>
          <t>A 50087-2023</t>
        </is>
      </c>
      <c r="B167" s="1" t="n">
        <v>45215.59743055556</v>
      </c>
      <c r="C167" s="1" t="n">
        <v>46162</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33681-2022</t>
        </is>
      </c>
      <c r="B168" s="1" t="n">
        <v>44789</v>
      </c>
      <c r="C168" s="1" t="n">
        <v>46162</v>
      </c>
      <c r="D168" t="inlineStr">
        <is>
          <t>KALMAR LÄN</t>
        </is>
      </c>
      <c r="E168" t="inlineStr">
        <is>
          <t>VIMMERBY</t>
        </is>
      </c>
      <c r="G168" t="n">
        <v>3.2</v>
      </c>
      <c r="H168" t="n">
        <v>0</v>
      </c>
      <c r="I168" t="n">
        <v>0</v>
      </c>
      <c r="J168" t="n">
        <v>0</v>
      </c>
      <c r="K168" t="n">
        <v>0</v>
      </c>
      <c r="L168" t="n">
        <v>0</v>
      </c>
      <c r="M168" t="n">
        <v>0</v>
      </c>
      <c r="N168" t="n">
        <v>0</v>
      </c>
      <c r="O168" t="n">
        <v>0</v>
      </c>
      <c r="P168" t="n">
        <v>0</v>
      </c>
      <c r="Q168" t="n">
        <v>0</v>
      </c>
      <c r="R168" s="2" t="inlineStr"/>
    </row>
    <row r="169" ht="15" customHeight="1">
      <c r="A169" t="inlineStr">
        <is>
          <t>A 16825-2024</t>
        </is>
      </c>
      <c r="B169" s="1" t="n">
        <v>45411.47335648148</v>
      </c>
      <c r="C169" s="1" t="n">
        <v>46162</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12033-2024</t>
        </is>
      </c>
      <c r="B170" s="1" t="n">
        <v>45377.40043981482</v>
      </c>
      <c r="C170" s="1" t="n">
        <v>46162</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18501-2024</t>
        </is>
      </c>
      <c r="B171" s="1" t="n">
        <v>45425.57538194444</v>
      </c>
      <c r="C171" s="1" t="n">
        <v>46162</v>
      </c>
      <c r="D171" t="inlineStr">
        <is>
          <t>KALMAR LÄN</t>
        </is>
      </c>
      <c r="E171" t="inlineStr">
        <is>
          <t>VIMMERBY</t>
        </is>
      </c>
      <c r="G171" t="n">
        <v>2</v>
      </c>
      <c r="H171" t="n">
        <v>0</v>
      </c>
      <c r="I171" t="n">
        <v>0</v>
      </c>
      <c r="J171" t="n">
        <v>0</v>
      </c>
      <c r="K171" t="n">
        <v>0</v>
      </c>
      <c r="L171" t="n">
        <v>0</v>
      </c>
      <c r="M171" t="n">
        <v>0</v>
      </c>
      <c r="N171" t="n">
        <v>0</v>
      </c>
      <c r="O171" t="n">
        <v>0</v>
      </c>
      <c r="P171" t="n">
        <v>0</v>
      </c>
      <c r="Q171" t="n">
        <v>0</v>
      </c>
      <c r="R171" s="2" t="inlineStr"/>
    </row>
    <row r="172" ht="15" customHeight="1">
      <c r="A172" t="inlineStr">
        <is>
          <t>A 28395-2023</t>
        </is>
      </c>
      <c r="B172" s="1" t="n">
        <v>45100.4062962963</v>
      </c>
      <c r="C172" s="1" t="n">
        <v>46162</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6214-2025</t>
        </is>
      </c>
      <c r="B173" s="1" t="n">
        <v>45698.51711805556</v>
      </c>
      <c r="C173" s="1" t="n">
        <v>46162</v>
      </c>
      <c r="D173" t="inlineStr">
        <is>
          <t>KALMAR LÄN</t>
        </is>
      </c>
      <c r="E173" t="inlineStr">
        <is>
          <t>VIMMERBY</t>
        </is>
      </c>
      <c r="G173" t="n">
        <v>1.2</v>
      </c>
      <c r="H173" t="n">
        <v>0</v>
      </c>
      <c r="I173" t="n">
        <v>0</v>
      </c>
      <c r="J173" t="n">
        <v>0</v>
      </c>
      <c r="K173" t="n">
        <v>0</v>
      </c>
      <c r="L173" t="n">
        <v>0</v>
      </c>
      <c r="M173" t="n">
        <v>0</v>
      </c>
      <c r="N173" t="n">
        <v>0</v>
      </c>
      <c r="O173" t="n">
        <v>0</v>
      </c>
      <c r="P173" t="n">
        <v>0</v>
      </c>
      <c r="Q173" t="n">
        <v>0</v>
      </c>
      <c r="R173" s="2" t="inlineStr"/>
    </row>
    <row r="174" ht="15" customHeight="1">
      <c r="A174" t="inlineStr">
        <is>
          <t>A 49408-2023</t>
        </is>
      </c>
      <c r="B174" s="1" t="n">
        <v>45211.43555555555</v>
      </c>
      <c r="C174" s="1" t="n">
        <v>46162</v>
      </c>
      <c r="D174" t="inlineStr">
        <is>
          <t>KALMAR LÄN</t>
        </is>
      </c>
      <c r="E174" t="inlineStr">
        <is>
          <t>VIMMERBY</t>
        </is>
      </c>
      <c r="G174" t="n">
        <v>13.1</v>
      </c>
      <c r="H174" t="n">
        <v>0</v>
      </c>
      <c r="I174" t="n">
        <v>0</v>
      </c>
      <c r="J174" t="n">
        <v>0</v>
      </c>
      <c r="K174" t="n">
        <v>0</v>
      </c>
      <c r="L174" t="n">
        <v>0</v>
      </c>
      <c r="M174" t="n">
        <v>0</v>
      </c>
      <c r="N174" t="n">
        <v>0</v>
      </c>
      <c r="O174" t="n">
        <v>0</v>
      </c>
      <c r="P174" t="n">
        <v>0</v>
      </c>
      <c r="Q174" t="n">
        <v>0</v>
      </c>
      <c r="R174" s="2" t="inlineStr"/>
    </row>
    <row r="175" ht="15" customHeight="1">
      <c r="A175" t="inlineStr">
        <is>
          <t>A 57256-2023</t>
        </is>
      </c>
      <c r="B175" s="1" t="n">
        <v>45245.5735300926</v>
      </c>
      <c r="C175" s="1" t="n">
        <v>46162</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27443-2023</t>
        </is>
      </c>
      <c r="B176" s="1" t="n">
        <v>45097.40524305555</v>
      </c>
      <c r="C176" s="1" t="n">
        <v>46162</v>
      </c>
      <c r="D176" t="inlineStr">
        <is>
          <t>KALMAR LÄN</t>
        </is>
      </c>
      <c r="E176" t="inlineStr">
        <is>
          <t>VIMMERBY</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25799-2023</t>
        </is>
      </c>
      <c r="B177" s="1" t="n">
        <v>45090</v>
      </c>
      <c r="C177" s="1" t="n">
        <v>46162</v>
      </c>
      <c r="D177" t="inlineStr">
        <is>
          <t>KALMAR LÄN</t>
        </is>
      </c>
      <c r="E177" t="inlineStr">
        <is>
          <t>VIMMERBY</t>
        </is>
      </c>
      <c r="G177" t="n">
        <v>7.7</v>
      </c>
      <c r="H177" t="n">
        <v>0</v>
      </c>
      <c r="I177" t="n">
        <v>0</v>
      </c>
      <c r="J177" t="n">
        <v>0</v>
      </c>
      <c r="K177" t="n">
        <v>0</v>
      </c>
      <c r="L177" t="n">
        <v>0</v>
      </c>
      <c r="M177" t="n">
        <v>0</v>
      </c>
      <c r="N177" t="n">
        <v>0</v>
      </c>
      <c r="O177" t="n">
        <v>0</v>
      </c>
      <c r="P177" t="n">
        <v>0</v>
      </c>
      <c r="Q177" t="n">
        <v>0</v>
      </c>
      <c r="R177" s="2" t="inlineStr"/>
    </row>
    <row r="178" ht="15" customHeight="1">
      <c r="A178" t="inlineStr">
        <is>
          <t>A 23088-2024</t>
        </is>
      </c>
      <c r="B178" s="1" t="n">
        <v>45450.51092592593</v>
      </c>
      <c r="C178" s="1" t="n">
        <v>46162</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16015-2025</t>
        </is>
      </c>
      <c r="B179" s="1" t="n">
        <v>45749.60487268519</v>
      </c>
      <c r="C179" s="1" t="n">
        <v>46162</v>
      </c>
      <c r="D179" t="inlineStr">
        <is>
          <t>KALMAR LÄN</t>
        </is>
      </c>
      <c r="E179" t="inlineStr">
        <is>
          <t>VIMMERBY</t>
        </is>
      </c>
      <c r="F179" t="inlineStr">
        <is>
          <t>Kyrkan</t>
        </is>
      </c>
      <c r="G179" t="n">
        <v>2.7</v>
      </c>
      <c r="H179" t="n">
        <v>0</v>
      </c>
      <c r="I179" t="n">
        <v>0</v>
      </c>
      <c r="J179" t="n">
        <v>0</v>
      </c>
      <c r="K179" t="n">
        <v>0</v>
      </c>
      <c r="L179" t="n">
        <v>0</v>
      </c>
      <c r="M179" t="n">
        <v>0</v>
      </c>
      <c r="N179" t="n">
        <v>0</v>
      </c>
      <c r="O179" t="n">
        <v>0</v>
      </c>
      <c r="P179" t="n">
        <v>0</v>
      </c>
      <c r="Q179" t="n">
        <v>0</v>
      </c>
      <c r="R179" s="2" t="inlineStr"/>
    </row>
    <row r="180" ht="15" customHeight="1">
      <c r="A180" t="inlineStr">
        <is>
          <t>A 57189-2022</t>
        </is>
      </c>
      <c r="B180" s="1" t="n">
        <v>44895.62296296296</v>
      </c>
      <c r="C180" s="1" t="n">
        <v>46162</v>
      </c>
      <c r="D180" t="inlineStr">
        <is>
          <t>KALMAR LÄN</t>
        </is>
      </c>
      <c r="E180" t="inlineStr">
        <is>
          <t>VIMMERBY</t>
        </is>
      </c>
      <c r="G180" t="n">
        <v>0.8</v>
      </c>
      <c r="H180" t="n">
        <v>0</v>
      </c>
      <c r="I180" t="n">
        <v>0</v>
      </c>
      <c r="J180" t="n">
        <v>0</v>
      </c>
      <c r="K180" t="n">
        <v>0</v>
      </c>
      <c r="L180" t="n">
        <v>0</v>
      </c>
      <c r="M180" t="n">
        <v>0</v>
      </c>
      <c r="N180" t="n">
        <v>0</v>
      </c>
      <c r="O180" t="n">
        <v>0</v>
      </c>
      <c r="P180" t="n">
        <v>0</v>
      </c>
      <c r="Q180" t="n">
        <v>0</v>
      </c>
      <c r="R180" s="2" t="inlineStr"/>
    </row>
    <row r="181" ht="15" customHeight="1">
      <c r="A181" t="inlineStr">
        <is>
          <t>A 1987-2024</t>
        </is>
      </c>
      <c r="B181" s="1" t="n">
        <v>45308.61152777778</v>
      </c>
      <c r="C181" s="1" t="n">
        <v>46162</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527-2024</t>
        </is>
      </c>
      <c r="B182" s="1" t="n">
        <v>45299.47513888889</v>
      </c>
      <c r="C182" s="1" t="n">
        <v>46162</v>
      </c>
      <c r="D182" t="inlineStr">
        <is>
          <t>KALMAR LÄN</t>
        </is>
      </c>
      <c r="E182" t="inlineStr">
        <is>
          <t>VIMMERBY</t>
        </is>
      </c>
      <c r="G182" t="n">
        <v>2.2</v>
      </c>
      <c r="H182" t="n">
        <v>0</v>
      </c>
      <c r="I182" t="n">
        <v>0</v>
      </c>
      <c r="J182" t="n">
        <v>0</v>
      </c>
      <c r="K182" t="n">
        <v>0</v>
      </c>
      <c r="L182" t="n">
        <v>0</v>
      </c>
      <c r="M182" t="n">
        <v>0</v>
      </c>
      <c r="N182" t="n">
        <v>0</v>
      </c>
      <c r="O182" t="n">
        <v>0</v>
      </c>
      <c r="P182" t="n">
        <v>0</v>
      </c>
      <c r="Q182" t="n">
        <v>0</v>
      </c>
      <c r="R182" s="2" t="inlineStr"/>
    </row>
    <row r="183" ht="15" customHeight="1">
      <c r="A183" t="inlineStr">
        <is>
          <t>A 47063-2022</t>
        </is>
      </c>
      <c r="B183" s="1" t="n">
        <v>44852</v>
      </c>
      <c r="C183" s="1" t="n">
        <v>46162</v>
      </c>
      <c r="D183" t="inlineStr">
        <is>
          <t>KALMAR LÄN</t>
        </is>
      </c>
      <c r="E183" t="inlineStr">
        <is>
          <t>VIMMERBY</t>
        </is>
      </c>
      <c r="G183" t="n">
        <v>2.5</v>
      </c>
      <c r="H183" t="n">
        <v>0</v>
      </c>
      <c r="I183" t="n">
        <v>0</v>
      </c>
      <c r="J183" t="n">
        <v>0</v>
      </c>
      <c r="K183" t="n">
        <v>0</v>
      </c>
      <c r="L183" t="n">
        <v>0</v>
      </c>
      <c r="M183" t="n">
        <v>0</v>
      </c>
      <c r="N183" t="n">
        <v>0</v>
      </c>
      <c r="O183" t="n">
        <v>0</v>
      </c>
      <c r="P183" t="n">
        <v>0</v>
      </c>
      <c r="Q183" t="n">
        <v>0</v>
      </c>
      <c r="R183" s="2" t="inlineStr"/>
    </row>
    <row r="184" ht="15" customHeight="1">
      <c r="A184" t="inlineStr">
        <is>
          <t>A 12819-2024</t>
        </is>
      </c>
      <c r="B184" s="1" t="n">
        <v>45384.66917824074</v>
      </c>
      <c r="C184" s="1" t="n">
        <v>46162</v>
      </c>
      <c r="D184" t="inlineStr">
        <is>
          <t>KALMAR LÄN</t>
        </is>
      </c>
      <c r="E184" t="inlineStr">
        <is>
          <t>VIMMERBY</t>
        </is>
      </c>
      <c r="G184" t="n">
        <v>5.1</v>
      </c>
      <c r="H184" t="n">
        <v>0</v>
      </c>
      <c r="I184" t="n">
        <v>0</v>
      </c>
      <c r="J184" t="n">
        <v>0</v>
      </c>
      <c r="K184" t="n">
        <v>0</v>
      </c>
      <c r="L184" t="n">
        <v>0</v>
      </c>
      <c r="M184" t="n">
        <v>0</v>
      </c>
      <c r="N184" t="n">
        <v>0</v>
      </c>
      <c r="O184" t="n">
        <v>0</v>
      </c>
      <c r="P184" t="n">
        <v>0</v>
      </c>
      <c r="Q184" t="n">
        <v>0</v>
      </c>
      <c r="R184" s="2" t="inlineStr"/>
    </row>
    <row r="185" ht="15" customHeight="1">
      <c r="A185" t="inlineStr">
        <is>
          <t>A 37192-2024</t>
        </is>
      </c>
      <c r="B185" s="1" t="n">
        <v>45539.66027777778</v>
      </c>
      <c r="C185" s="1" t="n">
        <v>46162</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31382-2023</t>
        </is>
      </c>
      <c r="B186" s="1" t="n">
        <v>45114.55136574074</v>
      </c>
      <c r="C186" s="1" t="n">
        <v>46162</v>
      </c>
      <c r="D186" t="inlineStr">
        <is>
          <t>KALMAR LÄN</t>
        </is>
      </c>
      <c r="E186" t="inlineStr">
        <is>
          <t>VIMMERBY</t>
        </is>
      </c>
      <c r="G186" t="n">
        <v>3.7</v>
      </c>
      <c r="H186" t="n">
        <v>0</v>
      </c>
      <c r="I186" t="n">
        <v>0</v>
      </c>
      <c r="J186" t="n">
        <v>0</v>
      </c>
      <c r="K186" t="n">
        <v>0</v>
      </c>
      <c r="L186" t="n">
        <v>0</v>
      </c>
      <c r="M186" t="n">
        <v>0</v>
      </c>
      <c r="N186" t="n">
        <v>0</v>
      </c>
      <c r="O186" t="n">
        <v>0</v>
      </c>
      <c r="P186" t="n">
        <v>0</v>
      </c>
      <c r="Q186" t="n">
        <v>0</v>
      </c>
      <c r="R186" s="2" t="inlineStr"/>
    </row>
    <row r="187" ht="15" customHeight="1">
      <c r="A187" t="inlineStr">
        <is>
          <t>A 11073-2023</t>
        </is>
      </c>
      <c r="B187" s="1" t="n">
        <v>44992</v>
      </c>
      <c r="C187" s="1" t="n">
        <v>46162</v>
      </c>
      <c r="D187" t="inlineStr">
        <is>
          <t>KALMAR LÄN</t>
        </is>
      </c>
      <c r="E187" t="inlineStr">
        <is>
          <t>VIMMERBY</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61820-2023</t>
        </is>
      </c>
      <c r="B188" s="1" t="n">
        <v>45266.32614583334</v>
      </c>
      <c r="C188" s="1" t="n">
        <v>46162</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3269-2024</t>
        </is>
      </c>
      <c r="B189" s="1" t="n">
        <v>45317.40372685185</v>
      </c>
      <c r="C189" s="1" t="n">
        <v>46162</v>
      </c>
      <c r="D189" t="inlineStr">
        <is>
          <t>KALMAR LÄN</t>
        </is>
      </c>
      <c r="E189" t="inlineStr">
        <is>
          <t>VIMMERBY</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36802-2021</t>
        </is>
      </c>
      <c r="B190" s="1" t="n">
        <v>44392</v>
      </c>
      <c r="C190" s="1" t="n">
        <v>46162</v>
      </c>
      <c r="D190" t="inlineStr">
        <is>
          <t>KALMAR LÄN</t>
        </is>
      </c>
      <c r="E190" t="inlineStr">
        <is>
          <t>VIMMERBY</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2157-2024</t>
        </is>
      </c>
      <c r="B191" s="1" t="n">
        <v>45309.59487268519</v>
      </c>
      <c r="C191" s="1" t="n">
        <v>46162</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9416-2024</t>
        </is>
      </c>
      <c r="B192" s="1" t="n">
        <v>45359.44837962963</v>
      </c>
      <c r="C192" s="1" t="n">
        <v>46162</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58318-2021</t>
        </is>
      </c>
      <c r="B193" s="1" t="n">
        <v>44488.35878472222</v>
      </c>
      <c r="C193" s="1" t="n">
        <v>46162</v>
      </c>
      <c r="D193" t="inlineStr">
        <is>
          <t>KALMAR LÄN</t>
        </is>
      </c>
      <c r="E193" t="inlineStr">
        <is>
          <t>VIMMERBY</t>
        </is>
      </c>
      <c r="G193" t="n">
        <v>4</v>
      </c>
      <c r="H193" t="n">
        <v>0</v>
      </c>
      <c r="I193" t="n">
        <v>0</v>
      </c>
      <c r="J193" t="n">
        <v>0</v>
      </c>
      <c r="K193" t="n">
        <v>0</v>
      </c>
      <c r="L193" t="n">
        <v>0</v>
      </c>
      <c r="M193" t="n">
        <v>0</v>
      </c>
      <c r="N193" t="n">
        <v>0</v>
      </c>
      <c r="O193" t="n">
        <v>0</v>
      </c>
      <c r="P193" t="n">
        <v>0</v>
      </c>
      <c r="Q193" t="n">
        <v>0</v>
      </c>
      <c r="R193" s="2" t="inlineStr"/>
    </row>
    <row r="194" ht="15" customHeight="1">
      <c r="A194" t="inlineStr">
        <is>
          <t>A 53083-2021</t>
        </is>
      </c>
      <c r="B194" s="1" t="n">
        <v>44467.83386574074</v>
      </c>
      <c r="C194" s="1" t="n">
        <v>46162</v>
      </c>
      <c r="D194" t="inlineStr">
        <is>
          <t>KALMAR LÄN</t>
        </is>
      </c>
      <c r="E194" t="inlineStr">
        <is>
          <t>VIMMERBY</t>
        </is>
      </c>
      <c r="G194" t="n">
        <v>6.8</v>
      </c>
      <c r="H194" t="n">
        <v>0</v>
      </c>
      <c r="I194" t="n">
        <v>0</v>
      </c>
      <c r="J194" t="n">
        <v>0</v>
      </c>
      <c r="K194" t="n">
        <v>0</v>
      </c>
      <c r="L194" t="n">
        <v>0</v>
      </c>
      <c r="M194" t="n">
        <v>0</v>
      </c>
      <c r="N194" t="n">
        <v>0</v>
      </c>
      <c r="O194" t="n">
        <v>0</v>
      </c>
      <c r="P194" t="n">
        <v>0</v>
      </c>
      <c r="Q194" t="n">
        <v>0</v>
      </c>
      <c r="R194" s="2" t="inlineStr"/>
    </row>
    <row r="195" ht="15" customHeight="1">
      <c r="A195" t="inlineStr">
        <is>
          <t>A 29173-2024</t>
        </is>
      </c>
      <c r="B195" s="1" t="n">
        <v>45482.52887731481</v>
      </c>
      <c r="C195" s="1" t="n">
        <v>46162</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59955-2023</t>
        </is>
      </c>
      <c r="B196" s="1" t="n">
        <v>45257.70313657408</v>
      </c>
      <c r="C196" s="1" t="n">
        <v>46162</v>
      </c>
      <c r="D196" t="inlineStr">
        <is>
          <t>KALMAR LÄN</t>
        </is>
      </c>
      <c r="E196" t="inlineStr">
        <is>
          <t>VIMMERBY</t>
        </is>
      </c>
      <c r="G196" t="n">
        <v>13.8</v>
      </c>
      <c r="H196" t="n">
        <v>0</v>
      </c>
      <c r="I196" t="n">
        <v>0</v>
      </c>
      <c r="J196" t="n">
        <v>0</v>
      </c>
      <c r="K196" t="n">
        <v>0</v>
      </c>
      <c r="L196" t="n">
        <v>0</v>
      </c>
      <c r="M196" t="n">
        <v>0</v>
      </c>
      <c r="N196" t="n">
        <v>0</v>
      </c>
      <c r="O196" t="n">
        <v>0</v>
      </c>
      <c r="P196" t="n">
        <v>0</v>
      </c>
      <c r="Q196" t="n">
        <v>0</v>
      </c>
      <c r="R196" s="2" t="inlineStr"/>
    </row>
    <row r="197" ht="15" customHeight="1">
      <c r="A197" t="inlineStr">
        <is>
          <t>A 11111-2024</t>
        </is>
      </c>
      <c r="B197" s="1" t="n">
        <v>45371.36359953704</v>
      </c>
      <c r="C197" s="1" t="n">
        <v>46162</v>
      </c>
      <c r="D197" t="inlineStr">
        <is>
          <t>KALMAR LÄN</t>
        </is>
      </c>
      <c r="E197" t="inlineStr">
        <is>
          <t>VIMMERBY</t>
        </is>
      </c>
      <c r="G197" t="n">
        <v>1.4</v>
      </c>
      <c r="H197" t="n">
        <v>0</v>
      </c>
      <c r="I197" t="n">
        <v>0</v>
      </c>
      <c r="J197" t="n">
        <v>0</v>
      </c>
      <c r="K197" t="n">
        <v>0</v>
      </c>
      <c r="L197" t="n">
        <v>0</v>
      </c>
      <c r="M197" t="n">
        <v>0</v>
      </c>
      <c r="N197" t="n">
        <v>0</v>
      </c>
      <c r="O197" t="n">
        <v>0</v>
      </c>
      <c r="P197" t="n">
        <v>0</v>
      </c>
      <c r="Q197" t="n">
        <v>0</v>
      </c>
      <c r="R197" s="2" t="inlineStr"/>
    </row>
    <row r="198" ht="15" customHeight="1">
      <c r="A198" t="inlineStr">
        <is>
          <t>A 11141-2024</t>
        </is>
      </c>
      <c r="B198" s="1" t="n">
        <v>45371.45865740741</v>
      </c>
      <c r="C198" s="1" t="n">
        <v>46162</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9418-2024</t>
        </is>
      </c>
      <c r="B199" s="1" t="n">
        <v>45359.45038194444</v>
      </c>
      <c r="C199" s="1" t="n">
        <v>46162</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22197-2024</t>
        </is>
      </c>
      <c r="B200" s="1" t="n">
        <v>45446.36774305555</v>
      </c>
      <c r="C200" s="1" t="n">
        <v>46162</v>
      </c>
      <c r="D200" t="inlineStr">
        <is>
          <t>KALMAR LÄN</t>
        </is>
      </c>
      <c r="E200" t="inlineStr">
        <is>
          <t>VIMMERBY</t>
        </is>
      </c>
      <c r="F200" t="inlineStr">
        <is>
          <t>Sveaskog</t>
        </is>
      </c>
      <c r="G200" t="n">
        <v>3.2</v>
      </c>
      <c r="H200" t="n">
        <v>0</v>
      </c>
      <c r="I200" t="n">
        <v>0</v>
      </c>
      <c r="J200" t="n">
        <v>0</v>
      </c>
      <c r="K200" t="n">
        <v>0</v>
      </c>
      <c r="L200" t="n">
        <v>0</v>
      </c>
      <c r="M200" t="n">
        <v>0</v>
      </c>
      <c r="N200" t="n">
        <v>0</v>
      </c>
      <c r="O200" t="n">
        <v>0</v>
      </c>
      <c r="P200" t="n">
        <v>0</v>
      </c>
      <c r="Q200" t="n">
        <v>0</v>
      </c>
      <c r="R200" s="2" t="inlineStr"/>
    </row>
    <row r="201" ht="15" customHeight="1">
      <c r="A201" t="inlineStr">
        <is>
          <t>A 49313-2022</t>
        </is>
      </c>
      <c r="B201" s="1" t="n">
        <v>44861.52505787037</v>
      </c>
      <c r="C201" s="1" t="n">
        <v>46162</v>
      </c>
      <c r="D201" t="inlineStr">
        <is>
          <t>KALMAR LÄN</t>
        </is>
      </c>
      <c r="E201" t="inlineStr">
        <is>
          <t>VIMMERBY</t>
        </is>
      </c>
      <c r="G201" t="n">
        <v>1.9</v>
      </c>
      <c r="H201" t="n">
        <v>0</v>
      </c>
      <c r="I201" t="n">
        <v>0</v>
      </c>
      <c r="J201" t="n">
        <v>0</v>
      </c>
      <c r="K201" t="n">
        <v>0</v>
      </c>
      <c r="L201" t="n">
        <v>0</v>
      </c>
      <c r="M201" t="n">
        <v>0</v>
      </c>
      <c r="N201" t="n">
        <v>0</v>
      </c>
      <c r="O201" t="n">
        <v>0</v>
      </c>
      <c r="P201" t="n">
        <v>0</v>
      </c>
      <c r="Q201" t="n">
        <v>0</v>
      </c>
      <c r="R201" s="2" t="inlineStr"/>
    </row>
    <row r="202" ht="15" customHeight="1">
      <c r="A202" t="inlineStr">
        <is>
          <t>A 35998-2024</t>
        </is>
      </c>
      <c r="B202" s="1" t="n">
        <v>45533.54429398148</v>
      </c>
      <c r="C202" s="1" t="n">
        <v>46162</v>
      </c>
      <c r="D202" t="inlineStr">
        <is>
          <t>KALMAR LÄN</t>
        </is>
      </c>
      <c r="E202" t="inlineStr">
        <is>
          <t>VIMMERBY</t>
        </is>
      </c>
      <c r="G202" t="n">
        <v>8.6</v>
      </c>
      <c r="H202" t="n">
        <v>0</v>
      </c>
      <c r="I202" t="n">
        <v>0</v>
      </c>
      <c r="J202" t="n">
        <v>0</v>
      </c>
      <c r="K202" t="n">
        <v>0</v>
      </c>
      <c r="L202" t="n">
        <v>0</v>
      </c>
      <c r="M202" t="n">
        <v>0</v>
      </c>
      <c r="N202" t="n">
        <v>0</v>
      </c>
      <c r="O202" t="n">
        <v>0</v>
      </c>
      <c r="P202" t="n">
        <v>0</v>
      </c>
      <c r="Q202" t="n">
        <v>0</v>
      </c>
      <c r="R202" s="2" t="inlineStr"/>
    </row>
    <row r="203" ht="15" customHeight="1">
      <c r="A203" t="inlineStr">
        <is>
          <t>A 35710-2023</t>
        </is>
      </c>
      <c r="B203" s="1" t="n">
        <v>45147.67096064815</v>
      </c>
      <c r="C203" s="1" t="n">
        <v>46162</v>
      </c>
      <c r="D203" t="inlineStr">
        <is>
          <t>KALMAR LÄN</t>
        </is>
      </c>
      <c r="E203" t="inlineStr">
        <is>
          <t>VIMMERBY</t>
        </is>
      </c>
      <c r="G203" t="n">
        <v>3.1</v>
      </c>
      <c r="H203" t="n">
        <v>0</v>
      </c>
      <c r="I203" t="n">
        <v>0</v>
      </c>
      <c r="J203" t="n">
        <v>0</v>
      </c>
      <c r="K203" t="n">
        <v>0</v>
      </c>
      <c r="L203" t="n">
        <v>0</v>
      </c>
      <c r="M203" t="n">
        <v>0</v>
      </c>
      <c r="N203" t="n">
        <v>0</v>
      </c>
      <c r="O203" t="n">
        <v>0</v>
      </c>
      <c r="P203" t="n">
        <v>0</v>
      </c>
      <c r="Q203" t="n">
        <v>0</v>
      </c>
      <c r="R203" s="2" t="inlineStr"/>
    </row>
    <row r="204" ht="15" customHeight="1">
      <c r="A204" t="inlineStr">
        <is>
          <t>A 36040-2024</t>
        </is>
      </c>
      <c r="B204" s="1" t="n">
        <v>45533.60232638889</v>
      </c>
      <c r="C204" s="1" t="n">
        <v>46162</v>
      </c>
      <c r="D204" t="inlineStr">
        <is>
          <t>KALMAR LÄN</t>
        </is>
      </c>
      <c r="E204" t="inlineStr">
        <is>
          <t>VIMMERBY</t>
        </is>
      </c>
      <c r="F204" t="inlineStr">
        <is>
          <t>Kommuner</t>
        </is>
      </c>
      <c r="G204" t="n">
        <v>3.6</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46162</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35711-2023</t>
        </is>
      </c>
      <c r="B206" s="1" t="n">
        <v>45147.67172453704</v>
      </c>
      <c r="C206" s="1" t="n">
        <v>46162</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34588-2024</t>
        </is>
      </c>
      <c r="B207" s="1" t="n">
        <v>45526.3865625</v>
      </c>
      <c r="C207" s="1" t="n">
        <v>46162</v>
      </c>
      <c r="D207" t="inlineStr">
        <is>
          <t>KALMAR LÄN</t>
        </is>
      </c>
      <c r="E207" t="inlineStr">
        <is>
          <t>VIMMERBY</t>
        </is>
      </c>
      <c r="F207" t="inlineStr">
        <is>
          <t>Övriga Aktiebolag</t>
        </is>
      </c>
      <c r="G207" t="n">
        <v>3.3</v>
      </c>
      <c r="H207" t="n">
        <v>0</v>
      </c>
      <c r="I207" t="n">
        <v>0</v>
      </c>
      <c r="J207" t="n">
        <v>0</v>
      </c>
      <c r="K207" t="n">
        <v>0</v>
      </c>
      <c r="L207" t="n">
        <v>0</v>
      </c>
      <c r="M207" t="n">
        <v>0</v>
      </c>
      <c r="N207" t="n">
        <v>0</v>
      </c>
      <c r="O207" t="n">
        <v>0</v>
      </c>
      <c r="P207" t="n">
        <v>0</v>
      </c>
      <c r="Q207" t="n">
        <v>0</v>
      </c>
      <c r="R207" s="2" t="inlineStr"/>
    </row>
    <row r="208" ht="15" customHeight="1">
      <c r="A208" t="inlineStr">
        <is>
          <t>A 56659-2023</t>
        </is>
      </c>
      <c r="B208" s="1" t="n">
        <v>45243.84869212963</v>
      </c>
      <c r="C208" s="1" t="n">
        <v>46162</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3331-2023</t>
        </is>
      </c>
      <c r="B209" s="1" t="n">
        <v>44949</v>
      </c>
      <c r="C209" s="1" t="n">
        <v>46162</v>
      </c>
      <c r="D209" t="inlineStr">
        <is>
          <t>KALMAR LÄN</t>
        </is>
      </c>
      <c r="E209" t="inlineStr">
        <is>
          <t>VIMMERBY</t>
        </is>
      </c>
      <c r="G209" t="n">
        <v>6.2</v>
      </c>
      <c r="H209" t="n">
        <v>0</v>
      </c>
      <c r="I209" t="n">
        <v>0</v>
      </c>
      <c r="J209" t="n">
        <v>0</v>
      </c>
      <c r="K209" t="n">
        <v>0</v>
      </c>
      <c r="L209" t="n">
        <v>0</v>
      </c>
      <c r="M209" t="n">
        <v>0</v>
      </c>
      <c r="N209" t="n">
        <v>0</v>
      </c>
      <c r="O209" t="n">
        <v>0</v>
      </c>
      <c r="P209" t="n">
        <v>0</v>
      </c>
      <c r="Q209" t="n">
        <v>0</v>
      </c>
      <c r="R209" s="2" t="inlineStr"/>
    </row>
    <row r="210" ht="15" customHeight="1">
      <c r="A210" t="inlineStr">
        <is>
          <t>A 16734-2023</t>
        </is>
      </c>
      <c r="B210" s="1" t="n">
        <v>45030.71012731481</v>
      </c>
      <c r="C210" s="1" t="n">
        <v>46162</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1687-2023</t>
        </is>
      </c>
      <c r="B211" s="1" t="n">
        <v>44938</v>
      </c>
      <c r="C211" s="1" t="n">
        <v>46162</v>
      </c>
      <c r="D211" t="inlineStr">
        <is>
          <t>KALMAR LÄN</t>
        </is>
      </c>
      <c r="E211" t="inlineStr">
        <is>
          <t>VIMMERBY</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29440-2024</t>
        </is>
      </c>
      <c r="B212" s="1" t="n">
        <v>45483.82479166667</v>
      </c>
      <c r="C212" s="1" t="n">
        <v>46162</v>
      </c>
      <c r="D212" t="inlineStr">
        <is>
          <t>KALMAR LÄN</t>
        </is>
      </c>
      <c r="E212" t="inlineStr">
        <is>
          <t>VIMMERBY</t>
        </is>
      </c>
      <c r="G212" t="n">
        <v>4.5</v>
      </c>
      <c r="H212" t="n">
        <v>0</v>
      </c>
      <c r="I212" t="n">
        <v>0</v>
      </c>
      <c r="J212" t="n">
        <v>0</v>
      </c>
      <c r="K212" t="n">
        <v>0</v>
      </c>
      <c r="L212" t="n">
        <v>0</v>
      </c>
      <c r="M212" t="n">
        <v>0</v>
      </c>
      <c r="N212" t="n">
        <v>0</v>
      </c>
      <c r="O212" t="n">
        <v>0</v>
      </c>
      <c r="P212" t="n">
        <v>0</v>
      </c>
      <c r="Q212" t="n">
        <v>0</v>
      </c>
      <c r="R212" s="2" t="inlineStr"/>
    </row>
    <row r="213" ht="15" customHeight="1">
      <c r="A213" t="inlineStr">
        <is>
          <t>A 30921-2024</t>
        </is>
      </c>
      <c r="B213" s="1" t="n">
        <v>45498</v>
      </c>
      <c r="C213" s="1" t="n">
        <v>46162</v>
      </c>
      <c r="D213" t="inlineStr">
        <is>
          <t>KALMAR LÄN</t>
        </is>
      </c>
      <c r="E213" t="inlineStr">
        <is>
          <t>VIMMERBY</t>
        </is>
      </c>
      <c r="G213" t="n">
        <v>1.6</v>
      </c>
      <c r="H213" t="n">
        <v>0</v>
      </c>
      <c r="I213" t="n">
        <v>0</v>
      </c>
      <c r="J213" t="n">
        <v>0</v>
      </c>
      <c r="K213" t="n">
        <v>0</v>
      </c>
      <c r="L213" t="n">
        <v>0</v>
      </c>
      <c r="M213" t="n">
        <v>0</v>
      </c>
      <c r="N213" t="n">
        <v>0</v>
      </c>
      <c r="O213" t="n">
        <v>0</v>
      </c>
      <c r="P213" t="n">
        <v>0</v>
      </c>
      <c r="Q213" t="n">
        <v>0</v>
      </c>
      <c r="R213" s="2" t="inlineStr"/>
    </row>
    <row r="214" ht="15" customHeight="1">
      <c r="A214" t="inlineStr">
        <is>
          <t>A 40828-2023</t>
        </is>
      </c>
      <c r="B214" s="1" t="n">
        <v>45171.96248842592</v>
      </c>
      <c r="C214" s="1" t="n">
        <v>46162</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53482-2022</t>
        </is>
      </c>
      <c r="B215" s="1" t="n">
        <v>44879</v>
      </c>
      <c r="C215" s="1" t="n">
        <v>46162</v>
      </c>
      <c r="D215" t="inlineStr">
        <is>
          <t>KALMAR LÄN</t>
        </is>
      </c>
      <c r="E215" t="inlineStr">
        <is>
          <t>VIMMERBY</t>
        </is>
      </c>
      <c r="G215" t="n">
        <v>10.1</v>
      </c>
      <c r="H215" t="n">
        <v>0</v>
      </c>
      <c r="I215" t="n">
        <v>0</v>
      </c>
      <c r="J215" t="n">
        <v>0</v>
      </c>
      <c r="K215" t="n">
        <v>0</v>
      </c>
      <c r="L215" t="n">
        <v>0</v>
      </c>
      <c r="M215" t="n">
        <v>0</v>
      </c>
      <c r="N215" t="n">
        <v>0</v>
      </c>
      <c r="O215" t="n">
        <v>0</v>
      </c>
      <c r="P215" t="n">
        <v>0</v>
      </c>
      <c r="Q215" t="n">
        <v>0</v>
      </c>
      <c r="R215" s="2" t="inlineStr"/>
    </row>
    <row r="216" ht="15" customHeight="1">
      <c r="A216" t="inlineStr">
        <is>
          <t>A 64143-2021</t>
        </is>
      </c>
      <c r="B216" s="1" t="n">
        <v>44510.52157407408</v>
      </c>
      <c r="C216" s="1" t="n">
        <v>46162</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9720-2023</t>
        </is>
      </c>
      <c r="B217" s="1" t="n">
        <v>44984</v>
      </c>
      <c r="C217" s="1" t="n">
        <v>46162</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5938-2022</t>
        </is>
      </c>
      <c r="B218" s="1" t="n">
        <v>44598</v>
      </c>
      <c r="C218" s="1" t="n">
        <v>46162</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54838-2024</t>
        </is>
      </c>
      <c r="B219" s="1" t="n">
        <v>45618.56787037037</v>
      </c>
      <c r="C219" s="1" t="n">
        <v>46162</v>
      </c>
      <c r="D219" t="inlineStr">
        <is>
          <t>KALMAR LÄN</t>
        </is>
      </c>
      <c r="E219" t="inlineStr">
        <is>
          <t>VIMMERBY</t>
        </is>
      </c>
      <c r="G219" t="n">
        <v>3.3</v>
      </c>
      <c r="H219" t="n">
        <v>0</v>
      </c>
      <c r="I219" t="n">
        <v>0</v>
      </c>
      <c r="J219" t="n">
        <v>0</v>
      </c>
      <c r="K219" t="n">
        <v>0</v>
      </c>
      <c r="L219" t="n">
        <v>0</v>
      </c>
      <c r="M219" t="n">
        <v>0</v>
      </c>
      <c r="N219" t="n">
        <v>0</v>
      </c>
      <c r="O219" t="n">
        <v>0</v>
      </c>
      <c r="P219" t="n">
        <v>0</v>
      </c>
      <c r="Q219" t="n">
        <v>0</v>
      </c>
      <c r="R219" s="2" t="inlineStr"/>
    </row>
    <row r="220" ht="15" customHeight="1">
      <c r="A220" t="inlineStr">
        <is>
          <t>A 29180-2024</t>
        </is>
      </c>
      <c r="B220" s="1" t="n">
        <v>45482.54108796296</v>
      </c>
      <c r="C220" s="1" t="n">
        <v>46162</v>
      </c>
      <c r="D220" t="inlineStr">
        <is>
          <t>KALMAR LÄN</t>
        </is>
      </c>
      <c r="E220" t="inlineStr">
        <is>
          <t>VIMMERBY</t>
        </is>
      </c>
      <c r="G220" t="n">
        <v>3.8</v>
      </c>
      <c r="H220" t="n">
        <v>0</v>
      </c>
      <c r="I220" t="n">
        <v>0</v>
      </c>
      <c r="J220" t="n">
        <v>0</v>
      </c>
      <c r="K220" t="n">
        <v>0</v>
      </c>
      <c r="L220" t="n">
        <v>0</v>
      </c>
      <c r="M220" t="n">
        <v>0</v>
      </c>
      <c r="N220" t="n">
        <v>0</v>
      </c>
      <c r="O220" t="n">
        <v>0</v>
      </c>
      <c r="P220" t="n">
        <v>0</v>
      </c>
      <c r="Q220" t="n">
        <v>0</v>
      </c>
      <c r="R220" s="2" t="inlineStr"/>
    </row>
    <row r="221" ht="15" customHeight="1">
      <c r="A221" t="inlineStr">
        <is>
          <t>A 25987-2024</t>
        </is>
      </c>
      <c r="B221" s="1" t="n">
        <v>45467.74417824074</v>
      </c>
      <c r="C221" s="1" t="n">
        <v>46162</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25109-2023</t>
        </is>
      </c>
      <c r="B222" s="1" t="n">
        <v>45086</v>
      </c>
      <c r="C222" s="1" t="n">
        <v>46162</v>
      </c>
      <c r="D222" t="inlineStr">
        <is>
          <t>KALMAR LÄN</t>
        </is>
      </c>
      <c r="E222" t="inlineStr">
        <is>
          <t>VIMMERBY</t>
        </is>
      </c>
      <c r="G222" t="n">
        <v>1.5</v>
      </c>
      <c r="H222" t="n">
        <v>0</v>
      </c>
      <c r="I222" t="n">
        <v>0</v>
      </c>
      <c r="J222" t="n">
        <v>0</v>
      </c>
      <c r="K222" t="n">
        <v>0</v>
      </c>
      <c r="L222" t="n">
        <v>0</v>
      </c>
      <c r="M222" t="n">
        <v>0</v>
      </c>
      <c r="N222" t="n">
        <v>0</v>
      </c>
      <c r="O222" t="n">
        <v>0</v>
      </c>
      <c r="P222" t="n">
        <v>0</v>
      </c>
      <c r="Q222" t="n">
        <v>0</v>
      </c>
      <c r="R222" s="2" t="inlineStr"/>
    </row>
    <row r="223" ht="15" customHeight="1">
      <c r="A223" t="inlineStr">
        <is>
          <t>A 29783-2024</t>
        </is>
      </c>
      <c r="B223" s="1" t="n">
        <v>45485.45778935185</v>
      </c>
      <c r="C223" s="1" t="n">
        <v>46162</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58104-2024</t>
        </is>
      </c>
      <c r="B224" s="1" t="n">
        <v>45632.37459490741</v>
      </c>
      <c r="C224" s="1" t="n">
        <v>46162</v>
      </c>
      <c r="D224" t="inlineStr">
        <is>
          <t>KALMAR LÄN</t>
        </is>
      </c>
      <c r="E224" t="inlineStr">
        <is>
          <t>VIMMERBY</t>
        </is>
      </c>
      <c r="G224" t="n">
        <v>5</v>
      </c>
      <c r="H224" t="n">
        <v>0</v>
      </c>
      <c r="I224" t="n">
        <v>0</v>
      </c>
      <c r="J224" t="n">
        <v>0</v>
      </c>
      <c r="K224" t="n">
        <v>0</v>
      </c>
      <c r="L224" t="n">
        <v>0</v>
      </c>
      <c r="M224" t="n">
        <v>0</v>
      </c>
      <c r="N224" t="n">
        <v>0</v>
      </c>
      <c r="O224" t="n">
        <v>0</v>
      </c>
      <c r="P224" t="n">
        <v>0</v>
      </c>
      <c r="Q224" t="n">
        <v>0</v>
      </c>
      <c r="R224" s="2" t="inlineStr"/>
    </row>
    <row r="225" ht="15" customHeight="1">
      <c r="A225" t="inlineStr">
        <is>
          <t>A 62023-2022</t>
        </is>
      </c>
      <c r="B225" s="1" t="n">
        <v>44918.50106481482</v>
      </c>
      <c r="C225" s="1" t="n">
        <v>46162</v>
      </c>
      <c r="D225" t="inlineStr">
        <is>
          <t>KALMAR LÄN</t>
        </is>
      </c>
      <c r="E225" t="inlineStr">
        <is>
          <t>VIMMERBY</t>
        </is>
      </c>
      <c r="G225" t="n">
        <v>0.3</v>
      </c>
      <c r="H225" t="n">
        <v>0</v>
      </c>
      <c r="I225" t="n">
        <v>0</v>
      </c>
      <c r="J225" t="n">
        <v>0</v>
      </c>
      <c r="K225" t="n">
        <v>0</v>
      </c>
      <c r="L225" t="n">
        <v>0</v>
      </c>
      <c r="M225" t="n">
        <v>0</v>
      </c>
      <c r="N225" t="n">
        <v>0</v>
      </c>
      <c r="O225" t="n">
        <v>0</v>
      </c>
      <c r="P225" t="n">
        <v>0</v>
      </c>
      <c r="Q225" t="n">
        <v>0</v>
      </c>
      <c r="R225" s="2" t="inlineStr"/>
    </row>
    <row r="226" ht="15" customHeight="1">
      <c r="A226" t="inlineStr">
        <is>
          <t>A 12215-2024</t>
        </is>
      </c>
      <c r="B226" s="1" t="n">
        <v>45378.32185185186</v>
      </c>
      <c r="C226" s="1" t="n">
        <v>46162</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30920-2024</t>
        </is>
      </c>
      <c r="B227" s="1" t="n">
        <v>45498.673125</v>
      </c>
      <c r="C227" s="1" t="n">
        <v>46162</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56536-2022</t>
        </is>
      </c>
      <c r="B228" s="1" t="n">
        <v>44893</v>
      </c>
      <c r="C228" s="1" t="n">
        <v>46162</v>
      </c>
      <c r="D228" t="inlineStr">
        <is>
          <t>KALMAR LÄN</t>
        </is>
      </c>
      <c r="E228" t="inlineStr">
        <is>
          <t>VIMMERBY</t>
        </is>
      </c>
      <c r="G228" t="n">
        <v>3.2</v>
      </c>
      <c r="H228" t="n">
        <v>0</v>
      </c>
      <c r="I228" t="n">
        <v>0</v>
      </c>
      <c r="J228" t="n">
        <v>0</v>
      </c>
      <c r="K228" t="n">
        <v>0</v>
      </c>
      <c r="L228" t="n">
        <v>0</v>
      </c>
      <c r="M228" t="n">
        <v>0</v>
      </c>
      <c r="N228" t="n">
        <v>0</v>
      </c>
      <c r="O228" t="n">
        <v>0</v>
      </c>
      <c r="P228" t="n">
        <v>0</v>
      </c>
      <c r="Q228" t="n">
        <v>0</v>
      </c>
      <c r="R228" s="2" t="inlineStr"/>
    </row>
    <row r="229" ht="15" customHeight="1">
      <c r="A229" t="inlineStr">
        <is>
          <t>A 63541-2023</t>
        </is>
      </c>
      <c r="B229" s="1" t="n">
        <v>45275.32266203704</v>
      </c>
      <c r="C229" s="1" t="n">
        <v>46162</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37323-2024</t>
        </is>
      </c>
      <c r="B230" s="1" t="n">
        <v>45540.50098379629</v>
      </c>
      <c r="C230" s="1" t="n">
        <v>46162</v>
      </c>
      <c r="D230" t="inlineStr">
        <is>
          <t>KALMAR LÄN</t>
        </is>
      </c>
      <c r="E230" t="inlineStr">
        <is>
          <t>VIMMERBY</t>
        </is>
      </c>
      <c r="G230" t="n">
        <v>1.2</v>
      </c>
      <c r="H230" t="n">
        <v>0</v>
      </c>
      <c r="I230" t="n">
        <v>0</v>
      </c>
      <c r="J230" t="n">
        <v>0</v>
      </c>
      <c r="K230" t="n">
        <v>0</v>
      </c>
      <c r="L230" t="n">
        <v>0</v>
      </c>
      <c r="M230" t="n">
        <v>0</v>
      </c>
      <c r="N230" t="n">
        <v>0</v>
      </c>
      <c r="O230" t="n">
        <v>0</v>
      </c>
      <c r="P230" t="n">
        <v>0</v>
      </c>
      <c r="Q230" t="n">
        <v>0</v>
      </c>
      <c r="R230" s="2" t="inlineStr"/>
    </row>
    <row r="231" ht="15" customHeight="1">
      <c r="A231" t="inlineStr">
        <is>
          <t>A 11429-2022</t>
        </is>
      </c>
      <c r="B231" s="1" t="n">
        <v>44630</v>
      </c>
      <c r="C231" s="1" t="n">
        <v>46162</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56582-2022</t>
        </is>
      </c>
      <c r="B232" s="1" t="n">
        <v>44893</v>
      </c>
      <c r="C232" s="1" t="n">
        <v>46162</v>
      </c>
      <c r="D232" t="inlineStr">
        <is>
          <t>KALMAR LÄN</t>
        </is>
      </c>
      <c r="E232" t="inlineStr">
        <is>
          <t>VIMMERBY</t>
        </is>
      </c>
      <c r="G232" t="n">
        <v>2.2</v>
      </c>
      <c r="H232" t="n">
        <v>0</v>
      </c>
      <c r="I232" t="n">
        <v>0</v>
      </c>
      <c r="J232" t="n">
        <v>0</v>
      </c>
      <c r="K232" t="n">
        <v>0</v>
      </c>
      <c r="L232" t="n">
        <v>0</v>
      </c>
      <c r="M232" t="n">
        <v>0</v>
      </c>
      <c r="N232" t="n">
        <v>0</v>
      </c>
      <c r="O232" t="n">
        <v>0</v>
      </c>
      <c r="P232" t="n">
        <v>0</v>
      </c>
      <c r="Q232" t="n">
        <v>0</v>
      </c>
      <c r="R232" s="2" t="inlineStr"/>
    </row>
    <row r="233" ht="15" customHeight="1">
      <c r="A233" t="inlineStr">
        <is>
          <t>A 11609-2023</t>
        </is>
      </c>
      <c r="B233" s="1" t="n">
        <v>44994.40635416667</v>
      </c>
      <c r="C233" s="1" t="n">
        <v>46162</v>
      </c>
      <c r="D233" t="inlineStr">
        <is>
          <t>KALMAR LÄN</t>
        </is>
      </c>
      <c r="E233" t="inlineStr">
        <is>
          <t>VIMMERBY</t>
        </is>
      </c>
      <c r="G233" t="n">
        <v>4.9</v>
      </c>
      <c r="H233" t="n">
        <v>0</v>
      </c>
      <c r="I233" t="n">
        <v>0</v>
      </c>
      <c r="J233" t="n">
        <v>0</v>
      </c>
      <c r="K233" t="n">
        <v>0</v>
      </c>
      <c r="L233" t="n">
        <v>0</v>
      </c>
      <c r="M233" t="n">
        <v>0</v>
      </c>
      <c r="N233" t="n">
        <v>0</v>
      </c>
      <c r="O233" t="n">
        <v>0</v>
      </c>
      <c r="P233" t="n">
        <v>0</v>
      </c>
      <c r="Q233" t="n">
        <v>0</v>
      </c>
      <c r="R233" s="2" t="inlineStr"/>
    </row>
    <row r="234" ht="15" customHeight="1">
      <c r="A234" t="inlineStr">
        <is>
          <t>A 6408-2025</t>
        </is>
      </c>
      <c r="B234" s="1" t="n">
        <v>45699.45671296296</v>
      </c>
      <c r="C234" s="1" t="n">
        <v>46162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44464-2024</t>
        </is>
      </c>
      <c r="B235" s="1" t="n">
        <v>45574.35809027778</v>
      </c>
      <c r="C235" s="1" t="n">
        <v>46162</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1081-2023</t>
        </is>
      </c>
      <c r="B236" s="1" t="n">
        <v>44935</v>
      </c>
      <c r="C236" s="1" t="n">
        <v>46162</v>
      </c>
      <c r="D236" t="inlineStr">
        <is>
          <t>KALMAR LÄN</t>
        </is>
      </c>
      <c r="E236" t="inlineStr">
        <is>
          <t>VIMMERBY</t>
        </is>
      </c>
      <c r="G236" t="n">
        <v>1.3</v>
      </c>
      <c r="H236" t="n">
        <v>0</v>
      </c>
      <c r="I236" t="n">
        <v>0</v>
      </c>
      <c r="J236" t="n">
        <v>0</v>
      </c>
      <c r="K236" t="n">
        <v>0</v>
      </c>
      <c r="L236" t="n">
        <v>0</v>
      </c>
      <c r="M236" t="n">
        <v>0</v>
      </c>
      <c r="N236" t="n">
        <v>0</v>
      </c>
      <c r="O236" t="n">
        <v>0</v>
      </c>
      <c r="P236" t="n">
        <v>0</v>
      </c>
      <c r="Q236" t="n">
        <v>0</v>
      </c>
      <c r="R236" s="2" t="inlineStr"/>
    </row>
    <row r="237" ht="15" customHeight="1">
      <c r="A237" t="inlineStr">
        <is>
          <t>A 33103-2024</t>
        </is>
      </c>
      <c r="B237" s="1" t="n">
        <v>45517.8162037037</v>
      </c>
      <c r="C237" s="1" t="n">
        <v>46162</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33161-2024</t>
        </is>
      </c>
      <c r="B238" s="1" t="n">
        <v>45518.40657407408</v>
      </c>
      <c r="C238" s="1" t="n">
        <v>46162</v>
      </c>
      <c r="D238" t="inlineStr">
        <is>
          <t>KALMAR LÄN</t>
        </is>
      </c>
      <c r="E238" t="inlineStr">
        <is>
          <t>VIMMERBY</t>
        </is>
      </c>
      <c r="G238" t="n">
        <v>4.7</v>
      </c>
      <c r="H238" t="n">
        <v>0</v>
      </c>
      <c r="I238" t="n">
        <v>0</v>
      </c>
      <c r="J238" t="n">
        <v>0</v>
      </c>
      <c r="K238" t="n">
        <v>0</v>
      </c>
      <c r="L238" t="n">
        <v>0</v>
      </c>
      <c r="M238" t="n">
        <v>0</v>
      </c>
      <c r="N238" t="n">
        <v>0</v>
      </c>
      <c r="O238" t="n">
        <v>0</v>
      </c>
      <c r="P238" t="n">
        <v>0</v>
      </c>
      <c r="Q238" t="n">
        <v>0</v>
      </c>
      <c r="R238" s="2" t="inlineStr"/>
    </row>
    <row r="239" ht="15" customHeight="1">
      <c r="A239" t="inlineStr">
        <is>
          <t>A 12510-2022</t>
        </is>
      </c>
      <c r="B239" s="1" t="n">
        <v>44638.55256944444</v>
      </c>
      <c r="C239" s="1" t="n">
        <v>46162</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41066-2024</t>
        </is>
      </c>
      <c r="B240" s="1" t="n">
        <v>45559.38876157408</v>
      </c>
      <c r="C240" s="1" t="n">
        <v>46162</v>
      </c>
      <c r="D240" t="inlineStr">
        <is>
          <t>KALMAR LÄN</t>
        </is>
      </c>
      <c r="E240" t="inlineStr">
        <is>
          <t>VIMMERBY</t>
        </is>
      </c>
      <c r="G240" t="n">
        <v>2.4</v>
      </c>
      <c r="H240" t="n">
        <v>0</v>
      </c>
      <c r="I240" t="n">
        <v>0</v>
      </c>
      <c r="J240" t="n">
        <v>0</v>
      </c>
      <c r="K240" t="n">
        <v>0</v>
      </c>
      <c r="L240" t="n">
        <v>0</v>
      </c>
      <c r="M240" t="n">
        <v>0</v>
      </c>
      <c r="N240" t="n">
        <v>0</v>
      </c>
      <c r="O240" t="n">
        <v>0</v>
      </c>
      <c r="P240" t="n">
        <v>0</v>
      </c>
      <c r="Q240" t="n">
        <v>0</v>
      </c>
      <c r="R240" s="2" t="inlineStr"/>
    </row>
    <row r="241" ht="15" customHeight="1">
      <c r="A241" t="inlineStr">
        <is>
          <t>A 3816-2022</t>
        </is>
      </c>
      <c r="B241" s="1" t="n">
        <v>44587</v>
      </c>
      <c r="C241" s="1" t="n">
        <v>46162</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7047-2022</t>
        </is>
      </c>
      <c r="B242" s="1" t="n">
        <v>44603</v>
      </c>
      <c r="C242" s="1" t="n">
        <v>46162</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12499-2023</t>
        </is>
      </c>
      <c r="B243" s="1" t="n">
        <v>44999.86172453704</v>
      </c>
      <c r="C243" s="1" t="n">
        <v>46162</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12500-2023</t>
        </is>
      </c>
      <c r="B244" s="1" t="n">
        <v>44999.8625</v>
      </c>
      <c r="C244" s="1" t="n">
        <v>46162</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12890-2023</t>
        </is>
      </c>
      <c r="B245" s="1" t="n">
        <v>45001.59209490741</v>
      </c>
      <c r="C245" s="1" t="n">
        <v>46162</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3902-2022</t>
        </is>
      </c>
      <c r="B246" s="1" t="n">
        <v>44587.48847222222</v>
      </c>
      <c r="C246" s="1" t="n">
        <v>46162</v>
      </c>
      <c r="D246" t="inlineStr">
        <is>
          <t>KALMAR LÄN</t>
        </is>
      </c>
      <c r="E246" t="inlineStr">
        <is>
          <t>VIMMERBY</t>
        </is>
      </c>
      <c r="G246" t="n">
        <v>2.6</v>
      </c>
      <c r="H246" t="n">
        <v>0</v>
      </c>
      <c r="I246" t="n">
        <v>0</v>
      </c>
      <c r="J246" t="n">
        <v>0</v>
      </c>
      <c r="K246" t="n">
        <v>0</v>
      </c>
      <c r="L246" t="n">
        <v>0</v>
      </c>
      <c r="M246" t="n">
        <v>0</v>
      </c>
      <c r="N246" t="n">
        <v>0</v>
      </c>
      <c r="O246" t="n">
        <v>0</v>
      </c>
      <c r="P246" t="n">
        <v>0</v>
      </c>
      <c r="Q246" t="n">
        <v>0</v>
      </c>
      <c r="R246" s="2" t="inlineStr"/>
    </row>
    <row r="247" ht="15" customHeight="1">
      <c r="A247" t="inlineStr">
        <is>
          <t>A 89-2023</t>
        </is>
      </c>
      <c r="B247" s="1" t="n">
        <v>44918</v>
      </c>
      <c r="C247" s="1" t="n">
        <v>46162</v>
      </c>
      <c r="D247" t="inlineStr">
        <is>
          <t>KALMAR LÄN</t>
        </is>
      </c>
      <c r="E247" t="inlineStr">
        <is>
          <t>VIMMERBY</t>
        </is>
      </c>
      <c r="G247" t="n">
        <v>16.1</v>
      </c>
      <c r="H247" t="n">
        <v>0</v>
      </c>
      <c r="I247" t="n">
        <v>0</v>
      </c>
      <c r="J247" t="n">
        <v>0</v>
      </c>
      <c r="K247" t="n">
        <v>0</v>
      </c>
      <c r="L247" t="n">
        <v>0</v>
      </c>
      <c r="M247" t="n">
        <v>0</v>
      </c>
      <c r="N247" t="n">
        <v>0</v>
      </c>
      <c r="O247" t="n">
        <v>0</v>
      </c>
      <c r="P247" t="n">
        <v>0</v>
      </c>
      <c r="Q247" t="n">
        <v>0</v>
      </c>
      <c r="R247" s="2" t="inlineStr"/>
    </row>
    <row r="248" ht="15" customHeight="1">
      <c r="A248" t="inlineStr">
        <is>
          <t>A 5382-2023</t>
        </is>
      </c>
      <c r="B248" s="1" t="n">
        <v>44959.66407407408</v>
      </c>
      <c r="C248" s="1" t="n">
        <v>46162</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6668-2023</t>
        </is>
      </c>
      <c r="B249" s="1" t="n">
        <v>44966</v>
      </c>
      <c r="C249" s="1" t="n">
        <v>46162</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172-2022</t>
        </is>
      </c>
      <c r="B250" s="1" t="n">
        <v>44564.62598379629</v>
      </c>
      <c r="C250" s="1" t="n">
        <v>46162</v>
      </c>
      <c r="D250" t="inlineStr">
        <is>
          <t>KALMAR LÄN</t>
        </is>
      </c>
      <c r="E250" t="inlineStr">
        <is>
          <t>VIMMERBY</t>
        </is>
      </c>
      <c r="G250" t="n">
        <v>2.1</v>
      </c>
      <c r="H250" t="n">
        <v>0</v>
      </c>
      <c r="I250" t="n">
        <v>0</v>
      </c>
      <c r="J250" t="n">
        <v>0</v>
      </c>
      <c r="K250" t="n">
        <v>0</v>
      </c>
      <c r="L250" t="n">
        <v>0</v>
      </c>
      <c r="M250" t="n">
        <v>0</v>
      </c>
      <c r="N250" t="n">
        <v>0</v>
      </c>
      <c r="O250" t="n">
        <v>0</v>
      </c>
      <c r="P250" t="n">
        <v>0</v>
      </c>
      <c r="Q250" t="n">
        <v>0</v>
      </c>
      <c r="R250" s="2" t="inlineStr"/>
    </row>
    <row r="251" ht="15" customHeight="1">
      <c r="A251" t="inlineStr">
        <is>
          <t>A 6066-2023</t>
        </is>
      </c>
      <c r="B251" s="1" t="n">
        <v>44964.50894675926</v>
      </c>
      <c r="C251" s="1" t="n">
        <v>46162</v>
      </c>
      <c r="D251" t="inlineStr">
        <is>
          <t>KALMAR LÄN</t>
        </is>
      </c>
      <c r="E251" t="inlineStr">
        <is>
          <t>VIMMERBY</t>
        </is>
      </c>
      <c r="G251" t="n">
        <v>2.8</v>
      </c>
      <c r="H251" t="n">
        <v>0</v>
      </c>
      <c r="I251" t="n">
        <v>0</v>
      </c>
      <c r="J251" t="n">
        <v>0</v>
      </c>
      <c r="K251" t="n">
        <v>0</v>
      </c>
      <c r="L251" t="n">
        <v>0</v>
      </c>
      <c r="M251" t="n">
        <v>0</v>
      </c>
      <c r="N251" t="n">
        <v>0</v>
      </c>
      <c r="O251" t="n">
        <v>0</v>
      </c>
      <c r="P251" t="n">
        <v>0</v>
      </c>
      <c r="Q251" t="n">
        <v>0</v>
      </c>
      <c r="R251" s="2" t="inlineStr"/>
    </row>
    <row r="252" ht="15" customHeight="1">
      <c r="A252" t="inlineStr">
        <is>
          <t>A 1146-2025</t>
        </is>
      </c>
      <c r="B252" s="1" t="n">
        <v>45666</v>
      </c>
      <c r="C252" s="1" t="n">
        <v>46162</v>
      </c>
      <c r="D252" t="inlineStr">
        <is>
          <t>KALMAR LÄN</t>
        </is>
      </c>
      <c r="E252" t="inlineStr">
        <is>
          <t>VIMMERBY</t>
        </is>
      </c>
      <c r="G252" t="n">
        <v>4</v>
      </c>
      <c r="H252" t="n">
        <v>0</v>
      </c>
      <c r="I252" t="n">
        <v>0</v>
      </c>
      <c r="J252" t="n">
        <v>0</v>
      </c>
      <c r="K252" t="n">
        <v>0</v>
      </c>
      <c r="L252" t="n">
        <v>0</v>
      </c>
      <c r="M252" t="n">
        <v>0</v>
      </c>
      <c r="N252" t="n">
        <v>0</v>
      </c>
      <c r="O252" t="n">
        <v>0</v>
      </c>
      <c r="P252" t="n">
        <v>0</v>
      </c>
      <c r="Q252" t="n">
        <v>0</v>
      </c>
      <c r="R252" s="2" t="inlineStr"/>
    </row>
    <row r="253" ht="15" customHeight="1">
      <c r="A253" t="inlineStr">
        <is>
          <t>A 30634-2024</t>
        </is>
      </c>
      <c r="B253" s="1" t="n">
        <v>45495</v>
      </c>
      <c r="C253" s="1" t="n">
        <v>46162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16020-2023</t>
        </is>
      </c>
      <c r="B254" s="1" t="n">
        <v>45026.82216435186</v>
      </c>
      <c r="C254" s="1" t="n">
        <v>46162</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6355-2022</t>
        </is>
      </c>
      <c r="B255" s="1" t="n">
        <v>44600</v>
      </c>
      <c r="C255" s="1" t="n">
        <v>46162</v>
      </c>
      <c r="D255" t="inlineStr">
        <is>
          <t>KALMAR LÄN</t>
        </is>
      </c>
      <c r="E255" t="inlineStr">
        <is>
          <t>VIMMERBY</t>
        </is>
      </c>
      <c r="G255" t="n">
        <v>4.9</v>
      </c>
      <c r="H255" t="n">
        <v>0</v>
      </c>
      <c r="I255" t="n">
        <v>0</v>
      </c>
      <c r="J255" t="n">
        <v>0</v>
      </c>
      <c r="K255" t="n">
        <v>0</v>
      </c>
      <c r="L255" t="n">
        <v>0</v>
      </c>
      <c r="M255" t="n">
        <v>0</v>
      </c>
      <c r="N255" t="n">
        <v>0</v>
      </c>
      <c r="O255" t="n">
        <v>0</v>
      </c>
      <c r="P255" t="n">
        <v>0</v>
      </c>
      <c r="Q255" t="n">
        <v>0</v>
      </c>
      <c r="R255" s="2" t="inlineStr"/>
    </row>
    <row r="256" ht="15" customHeight="1">
      <c r="A256" t="inlineStr">
        <is>
          <t>A 43034-2024</t>
        </is>
      </c>
      <c r="B256" s="1" t="n">
        <v>45567.42011574074</v>
      </c>
      <c r="C256" s="1" t="n">
        <v>46162</v>
      </c>
      <c r="D256" t="inlineStr">
        <is>
          <t>KALMAR LÄN</t>
        </is>
      </c>
      <c r="E256" t="inlineStr">
        <is>
          <t>VIMMERBY</t>
        </is>
      </c>
      <c r="G256" t="n">
        <v>1.8</v>
      </c>
      <c r="H256" t="n">
        <v>0</v>
      </c>
      <c r="I256" t="n">
        <v>0</v>
      </c>
      <c r="J256" t="n">
        <v>0</v>
      </c>
      <c r="K256" t="n">
        <v>0</v>
      </c>
      <c r="L256" t="n">
        <v>0</v>
      </c>
      <c r="M256" t="n">
        <v>0</v>
      </c>
      <c r="N256" t="n">
        <v>0</v>
      </c>
      <c r="O256" t="n">
        <v>0</v>
      </c>
      <c r="P256" t="n">
        <v>0</v>
      </c>
      <c r="Q256" t="n">
        <v>0</v>
      </c>
      <c r="R256" s="2" t="inlineStr"/>
    </row>
    <row r="257" ht="15" customHeight="1">
      <c r="A257" t="inlineStr">
        <is>
          <t>A 40256-2024</t>
        </is>
      </c>
      <c r="B257" s="1" t="n">
        <v>45554.62944444444</v>
      </c>
      <c r="C257" s="1" t="n">
        <v>46162</v>
      </c>
      <c r="D257" t="inlineStr">
        <is>
          <t>KALMAR LÄN</t>
        </is>
      </c>
      <c r="E257" t="inlineStr">
        <is>
          <t>VIMMERBY</t>
        </is>
      </c>
      <c r="G257" t="n">
        <v>0.9</v>
      </c>
      <c r="H257" t="n">
        <v>0</v>
      </c>
      <c r="I257" t="n">
        <v>0</v>
      </c>
      <c r="J257" t="n">
        <v>0</v>
      </c>
      <c r="K257" t="n">
        <v>0</v>
      </c>
      <c r="L257" t="n">
        <v>0</v>
      </c>
      <c r="M257" t="n">
        <v>0</v>
      </c>
      <c r="N257" t="n">
        <v>0</v>
      </c>
      <c r="O257" t="n">
        <v>0</v>
      </c>
      <c r="P257" t="n">
        <v>0</v>
      </c>
      <c r="Q257" t="n">
        <v>0</v>
      </c>
      <c r="R257" s="2" t="inlineStr"/>
    </row>
    <row r="258" ht="15" customHeight="1">
      <c r="A258" t="inlineStr">
        <is>
          <t>A 60292-2022</t>
        </is>
      </c>
      <c r="B258" s="1" t="n">
        <v>44910.54231481482</v>
      </c>
      <c r="C258" s="1" t="n">
        <v>46162</v>
      </c>
      <c r="D258" t="inlineStr">
        <is>
          <t>KALMAR LÄN</t>
        </is>
      </c>
      <c r="E258" t="inlineStr">
        <is>
          <t>VIMMERBY</t>
        </is>
      </c>
      <c r="G258" t="n">
        <v>4.4</v>
      </c>
      <c r="H258" t="n">
        <v>0</v>
      </c>
      <c r="I258" t="n">
        <v>0</v>
      </c>
      <c r="J258" t="n">
        <v>0</v>
      </c>
      <c r="K258" t="n">
        <v>0</v>
      </c>
      <c r="L258" t="n">
        <v>0</v>
      </c>
      <c r="M258" t="n">
        <v>0</v>
      </c>
      <c r="N258" t="n">
        <v>0</v>
      </c>
      <c r="O258" t="n">
        <v>0</v>
      </c>
      <c r="P258" t="n">
        <v>0</v>
      </c>
      <c r="Q258" t="n">
        <v>0</v>
      </c>
      <c r="R258" s="2" t="inlineStr"/>
    </row>
    <row r="259" ht="15" customHeight="1">
      <c r="A259" t="inlineStr">
        <is>
          <t>A 43093-2024</t>
        </is>
      </c>
      <c r="B259" s="1" t="n">
        <v>45567</v>
      </c>
      <c r="C259" s="1" t="n">
        <v>46162</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55300-2021</t>
        </is>
      </c>
      <c r="B260" s="1" t="n">
        <v>44475</v>
      </c>
      <c r="C260" s="1" t="n">
        <v>46162</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58374-2024</t>
        </is>
      </c>
      <c r="B261" s="1" t="n">
        <v>45632.72635416667</v>
      </c>
      <c r="C261" s="1" t="n">
        <v>46162</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47263-2023</t>
        </is>
      </c>
      <c r="B262" s="1" t="n">
        <v>45202.4209837963</v>
      </c>
      <c r="C262" s="1" t="n">
        <v>46162</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17968-2025</t>
        </is>
      </c>
      <c r="B263" s="1" t="n">
        <v>45761.35990740741</v>
      </c>
      <c r="C263" s="1" t="n">
        <v>46162</v>
      </c>
      <c r="D263" t="inlineStr">
        <is>
          <t>KALMAR LÄN</t>
        </is>
      </c>
      <c r="E263" t="inlineStr">
        <is>
          <t>VIMMERBY</t>
        </is>
      </c>
      <c r="G263" t="n">
        <v>3.3</v>
      </c>
      <c r="H263" t="n">
        <v>0</v>
      </c>
      <c r="I263" t="n">
        <v>0</v>
      </c>
      <c r="J263" t="n">
        <v>0</v>
      </c>
      <c r="K263" t="n">
        <v>0</v>
      </c>
      <c r="L263" t="n">
        <v>0</v>
      </c>
      <c r="M263" t="n">
        <v>0</v>
      </c>
      <c r="N263" t="n">
        <v>0</v>
      </c>
      <c r="O263" t="n">
        <v>0</v>
      </c>
      <c r="P263" t="n">
        <v>0</v>
      </c>
      <c r="Q263" t="n">
        <v>0</v>
      </c>
      <c r="R263" s="2" t="inlineStr"/>
    </row>
    <row r="264" ht="15" customHeight="1">
      <c r="A264" t="inlineStr">
        <is>
          <t>A 2536-2023</t>
        </is>
      </c>
      <c r="B264" s="1" t="n">
        <v>44943.62954861111</v>
      </c>
      <c r="C264" s="1" t="n">
        <v>46162</v>
      </c>
      <c r="D264" t="inlineStr">
        <is>
          <t>KALMAR LÄN</t>
        </is>
      </c>
      <c r="E264" t="inlineStr">
        <is>
          <t>VIMMERBY</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2801-2023</t>
        </is>
      </c>
      <c r="B265" s="1" t="n">
        <v>44944.73487268519</v>
      </c>
      <c r="C265" s="1" t="n">
        <v>46162</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35597-2025</t>
        </is>
      </c>
      <c r="B266" s="1" t="n">
        <v>45858.66019675926</v>
      </c>
      <c r="C266" s="1" t="n">
        <v>46162</v>
      </c>
      <c r="D266" t="inlineStr">
        <is>
          <t>KALMAR LÄN</t>
        </is>
      </c>
      <c r="E266" t="inlineStr">
        <is>
          <t>VIMMERBY</t>
        </is>
      </c>
      <c r="G266" t="n">
        <v>6.4</v>
      </c>
      <c r="H266" t="n">
        <v>0</v>
      </c>
      <c r="I266" t="n">
        <v>0</v>
      </c>
      <c r="J266" t="n">
        <v>0</v>
      </c>
      <c r="K266" t="n">
        <v>0</v>
      </c>
      <c r="L266" t="n">
        <v>0</v>
      </c>
      <c r="M266" t="n">
        <v>0</v>
      </c>
      <c r="N266" t="n">
        <v>0</v>
      </c>
      <c r="O266" t="n">
        <v>0</v>
      </c>
      <c r="P266" t="n">
        <v>0</v>
      </c>
      <c r="Q266" t="n">
        <v>0</v>
      </c>
      <c r="R266" s="2" t="inlineStr"/>
    </row>
    <row r="267" ht="15" customHeight="1">
      <c r="A267" t="inlineStr">
        <is>
          <t>A 38604-2025</t>
        </is>
      </c>
      <c r="B267" s="1" t="n">
        <v>45884.50613425926</v>
      </c>
      <c r="C267" s="1" t="n">
        <v>46162</v>
      </c>
      <c r="D267" t="inlineStr">
        <is>
          <t>KALMAR LÄN</t>
        </is>
      </c>
      <c r="E267" t="inlineStr">
        <is>
          <t>VIMMERBY</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14451-2024</t>
        </is>
      </c>
      <c r="B268" s="1" t="n">
        <v>45394.50028935185</v>
      </c>
      <c r="C268" s="1" t="n">
        <v>46162</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35198-2023</t>
        </is>
      </c>
      <c r="B269" s="1" t="n">
        <v>45145</v>
      </c>
      <c r="C269" s="1" t="n">
        <v>46162</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35596-2025</t>
        </is>
      </c>
      <c r="B270" s="1" t="n">
        <v>45858.60641203704</v>
      </c>
      <c r="C270" s="1" t="n">
        <v>46162</v>
      </c>
      <c r="D270" t="inlineStr">
        <is>
          <t>KALMAR LÄN</t>
        </is>
      </c>
      <c r="E270" t="inlineStr">
        <is>
          <t>VIMMERBY</t>
        </is>
      </c>
      <c r="G270" t="n">
        <v>2.8</v>
      </c>
      <c r="H270" t="n">
        <v>0</v>
      </c>
      <c r="I270" t="n">
        <v>0</v>
      </c>
      <c r="J270" t="n">
        <v>0</v>
      </c>
      <c r="K270" t="n">
        <v>0</v>
      </c>
      <c r="L270" t="n">
        <v>0</v>
      </c>
      <c r="M270" t="n">
        <v>0</v>
      </c>
      <c r="N270" t="n">
        <v>0</v>
      </c>
      <c r="O270" t="n">
        <v>0</v>
      </c>
      <c r="P270" t="n">
        <v>0</v>
      </c>
      <c r="Q270" t="n">
        <v>0</v>
      </c>
      <c r="R270" s="2" t="inlineStr"/>
    </row>
    <row r="271" ht="15" customHeight="1">
      <c r="A271" t="inlineStr">
        <is>
          <t>A 19502-2025</t>
        </is>
      </c>
      <c r="B271" s="1" t="n">
        <v>45769</v>
      </c>
      <c r="C271" s="1" t="n">
        <v>46162</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16632-2026</t>
        </is>
      </c>
      <c r="B272" s="1" t="n">
        <v>46112.62212962963</v>
      </c>
      <c r="C272" s="1" t="n">
        <v>46162</v>
      </c>
      <c r="D272" t="inlineStr">
        <is>
          <t>KALMAR LÄN</t>
        </is>
      </c>
      <c r="E272" t="inlineStr">
        <is>
          <t>VIMMERBY</t>
        </is>
      </c>
      <c r="G272" t="n">
        <v>2.1</v>
      </c>
      <c r="H272" t="n">
        <v>0</v>
      </c>
      <c r="I272" t="n">
        <v>0</v>
      </c>
      <c r="J272" t="n">
        <v>0</v>
      </c>
      <c r="K272" t="n">
        <v>0</v>
      </c>
      <c r="L272" t="n">
        <v>0</v>
      </c>
      <c r="M272" t="n">
        <v>0</v>
      </c>
      <c r="N272" t="n">
        <v>0</v>
      </c>
      <c r="O272" t="n">
        <v>0</v>
      </c>
      <c r="P272" t="n">
        <v>0</v>
      </c>
      <c r="Q272" t="n">
        <v>0</v>
      </c>
      <c r="R272" s="2" t="inlineStr"/>
    </row>
    <row r="273" ht="15" customHeight="1">
      <c r="A273" t="inlineStr">
        <is>
          <t>A 16653-2026</t>
        </is>
      </c>
      <c r="B273" s="1" t="n">
        <v>46112.64597222222</v>
      </c>
      <c r="C273" s="1" t="n">
        <v>46162</v>
      </c>
      <c r="D273" t="inlineStr">
        <is>
          <t>KALMAR LÄN</t>
        </is>
      </c>
      <c r="E273" t="inlineStr">
        <is>
          <t>VIMMERBY</t>
        </is>
      </c>
      <c r="F273" t="inlineStr">
        <is>
          <t>Kommuner</t>
        </is>
      </c>
      <c r="G273" t="n">
        <v>4.4</v>
      </c>
      <c r="H273" t="n">
        <v>0</v>
      </c>
      <c r="I273" t="n">
        <v>0</v>
      </c>
      <c r="J273" t="n">
        <v>0</v>
      </c>
      <c r="K273" t="n">
        <v>0</v>
      </c>
      <c r="L273" t="n">
        <v>0</v>
      </c>
      <c r="M273" t="n">
        <v>0</v>
      </c>
      <c r="N273" t="n">
        <v>0</v>
      </c>
      <c r="O273" t="n">
        <v>0</v>
      </c>
      <c r="P273" t="n">
        <v>0</v>
      </c>
      <c r="Q273" t="n">
        <v>0</v>
      </c>
      <c r="R273" s="2" t="inlineStr"/>
    </row>
    <row r="274" ht="15" customHeight="1">
      <c r="A274" t="inlineStr">
        <is>
          <t>A 46238-2024</t>
        </is>
      </c>
      <c r="B274" s="1" t="n">
        <v>45581.58418981481</v>
      </c>
      <c r="C274" s="1" t="n">
        <v>46162</v>
      </c>
      <c r="D274" t="inlineStr">
        <is>
          <t>KALMAR LÄN</t>
        </is>
      </c>
      <c r="E274" t="inlineStr">
        <is>
          <t>VIMMERBY</t>
        </is>
      </c>
      <c r="G274" t="n">
        <v>2.1</v>
      </c>
      <c r="H274" t="n">
        <v>0</v>
      </c>
      <c r="I274" t="n">
        <v>0</v>
      </c>
      <c r="J274" t="n">
        <v>0</v>
      </c>
      <c r="K274" t="n">
        <v>0</v>
      </c>
      <c r="L274" t="n">
        <v>0</v>
      </c>
      <c r="M274" t="n">
        <v>0</v>
      </c>
      <c r="N274" t="n">
        <v>0</v>
      </c>
      <c r="O274" t="n">
        <v>0</v>
      </c>
      <c r="P274" t="n">
        <v>0</v>
      </c>
      <c r="Q274" t="n">
        <v>0</v>
      </c>
      <c r="R274" s="2" t="inlineStr"/>
    </row>
    <row r="275" ht="15" customHeight="1">
      <c r="A275" t="inlineStr">
        <is>
          <t>A 36273-2025</t>
        </is>
      </c>
      <c r="B275" s="1" t="n">
        <v>45867.63094907408</v>
      </c>
      <c r="C275" s="1" t="n">
        <v>46162</v>
      </c>
      <c r="D275" t="inlineStr">
        <is>
          <t>KALMAR LÄN</t>
        </is>
      </c>
      <c r="E275" t="inlineStr">
        <is>
          <t>VIMMERBY</t>
        </is>
      </c>
      <c r="G275" t="n">
        <v>1.7</v>
      </c>
      <c r="H275" t="n">
        <v>0</v>
      </c>
      <c r="I275" t="n">
        <v>0</v>
      </c>
      <c r="J275" t="n">
        <v>0</v>
      </c>
      <c r="K275" t="n">
        <v>0</v>
      </c>
      <c r="L275" t="n">
        <v>0</v>
      </c>
      <c r="M275" t="n">
        <v>0</v>
      </c>
      <c r="N275" t="n">
        <v>0</v>
      </c>
      <c r="O275" t="n">
        <v>0</v>
      </c>
      <c r="P275" t="n">
        <v>0</v>
      </c>
      <c r="Q275" t="n">
        <v>0</v>
      </c>
      <c r="R275" s="2" t="inlineStr"/>
    </row>
    <row r="276" ht="15" customHeight="1">
      <c r="A276" t="inlineStr">
        <is>
          <t>A 50993-2022</t>
        </is>
      </c>
      <c r="B276" s="1" t="n">
        <v>44867</v>
      </c>
      <c r="C276" s="1" t="n">
        <v>46162</v>
      </c>
      <c r="D276" t="inlineStr">
        <is>
          <t>KALMAR LÄN</t>
        </is>
      </c>
      <c r="E276" t="inlineStr">
        <is>
          <t>VIMMERBY</t>
        </is>
      </c>
      <c r="G276" t="n">
        <v>1.7</v>
      </c>
      <c r="H276" t="n">
        <v>0</v>
      </c>
      <c r="I276" t="n">
        <v>0</v>
      </c>
      <c r="J276" t="n">
        <v>0</v>
      </c>
      <c r="K276" t="n">
        <v>0</v>
      </c>
      <c r="L276" t="n">
        <v>0</v>
      </c>
      <c r="M276" t="n">
        <v>0</v>
      </c>
      <c r="N276" t="n">
        <v>0</v>
      </c>
      <c r="O276" t="n">
        <v>0</v>
      </c>
      <c r="P276" t="n">
        <v>0</v>
      </c>
      <c r="Q276" t="n">
        <v>0</v>
      </c>
      <c r="R276" s="2" t="inlineStr"/>
    </row>
    <row r="277" ht="15" customHeight="1">
      <c r="A277" t="inlineStr">
        <is>
          <t>A 36299-2025</t>
        </is>
      </c>
      <c r="B277" s="1" t="n">
        <v>45867.69346064814</v>
      </c>
      <c r="C277" s="1" t="n">
        <v>46162</v>
      </c>
      <c r="D277" t="inlineStr">
        <is>
          <t>KALMAR LÄN</t>
        </is>
      </c>
      <c r="E277" t="inlineStr">
        <is>
          <t>VIMMERBY</t>
        </is>
      </c>
      <c r="G277" t="n">
        <v>7.6</v>
      </c>
      <c r="H277" t="n">
        <v>0</v>
      </c>
      <c r="I277" t="n">
        <v>0</v>
      </c>
      <c r="J277" t="n">
        <v>0</v>
      </c>
      <c r="K277" t="n">
        <v>0</v>
      </c>
      <c r="L277" t="n">
        <v>0</v>
      </c>
      <c r="M277" t="n">
        <v>0</v>
      </c>
      <c r="N277" t="n">
        <v>0</v>
      </c>
      <c r="O277" t="n">
        <v>0</v>
      </c>
      <c r="P277" t="n">
        <v>0</v>
      </c>
      <c r="Q277" t="n">
        <v>0</v>
      </c>
      <c r="R277" s="2" t="inlineStr"/>
    </row>
    <row r="278" ht="15" customHeight="1">
      <c r="A278" t="inlineStr">
        <is>
          <t>A 46225-2024</t>
        </is>
      </c>
      <c r="B278" s="1" t="n">
        <v>45581.57333333333</v>
      </c>
      <c r="C278" s="1" t="n">
        <v>46162</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36221-2025</t>
        </is>
      </c>
      <c r="B279" s="1" t="n">
        <v>45867.50792824074</v>
      </c>
      <c r="C279" s="1" t="n">
        <v>46162</v>
      </c>
      <c r="D279" t="inlineStr">
        <is>
          <t>KALMAR LÄN</t>
        </is>
      </c>
      <c r="E279" t="inlineStr">
        <is>
          <t>VIMMERBY</t>
        </is>
      </c>
      <c r="G279" t="n">
        <v>2.5</v>
      </c>
      <c r="H279" t="n">
        <v>0</v>
      </c>
      <c r="I279" t="n">
        <v>0</v>
      </c>
      <c r="J279" t="n">
        <v>0</v>
      </c>
      <c r="K279" t="n">
        <v>0</v>
      </c>
      <c r="L279" t="n">
        <v>0</v>
      </c>
      <c r="M279" t="n">
        <v>0</v>
      </c>
      <c r="N279" t="n">
        <v>0</v>
      </c>
      <c r="O279" t="n">
        <v>0</v>
      </c>
      <c r="P279" t="n">
        <v>0</v>
      </c>
      <c r="Q279" t="n">
        <v>0</v>
      </c>
      <c r="R279" s="2" t="inlineStr"/>
    </row>
    <row r="280" ht="15" customHeight="1">
      <c r="A280" t="inlineStr">
        <is>
          <t>A 36226-2025</t>
        </is>
      </c>
      <c r="B280" s="1" t="n">
        <v>45867.51630787037</v>
      </c>
      <c r="C280" s="1" t="n">
        <v>46162</v>
      </c>
      <c r="D280" t="inlineStr">
        <is>
          <t>KALMAR LÄN</t>
        </is>
      </c>
      <c r="E280" t="inlineStr">
        <is>
          <t>VIMMERBY</t>
        </is>
      </c>
      <c r="G280" t="n">
        <v>3.1</v>
      </c>
      <c r="H280" t="n">
        <v>0</v>
      </c>
      <c r="I280" t="n">
        <v>0</v>
      </c>
      <c r="J280" t="n">
        <v>0</v>
      </c>
      <c r="K280" t="n">
        <v>0</v>
      </c>
      <c r="L280" t="n">
        <v>0</v>
      </c>
      <c r="M280" t="n">
        <v>0</v>
      </c>
      <c r="N280" t="n">
        <v>0</v>
      </c>
      <c r="O280" t="n">
        <v>0</v>
      </c>
      <c r="P280" t="n">
        <v>0</v>
      </c>
      <c r="Q280" t="n">
        <v>0</v>
      </c>
      <c r="R280" s="2" t="inlineStr"/>
    </row>
    <row r="281" ht="15" customHeight="1">
      <c r="A281" t="inlineStr">
        <is>
          <t>A 36055-2024</t>
        </is>
      </c>
      <c r="B281" s="1" t="n">
        <v>45533.63056712963</v>
      </c>
      <c r="C281" s="1" t="n">
        <v>46162</v>
      </c>
      <c r="D281" t="inlineStr">
        <is>
          <t>KALMAR LÄN</t>
        </is>
      </c>
      <c r="E281" t="inlineStr">
        <is>
          <t>VIMMERBY</t>
        </is>
      </c>
      <c r="F281" t="inlineStr">
        <is>
          <t>Kommuner</t>
        </is>
      </c>
      <c r="G281" t="n">
        <v>1.9</v>
      </c>
      <c r="H281" t="n">
        <v>0</v>
      </c>
      <c r="I281" t="n">
        <v>0</v>
      </c>
      <c r="J281" t="n">
        <v>0</v>
      </c>
      <c r="K281" t="n">
        <v>0</v>
      </c>
      <c r="L281" t="n">
        <v>0</v>
      </c>
      <c r="M281" t="n">
        <v>0</v>
      </c>
      <c r="N281" t="n">
        <v>0</v>
      </c>
      <c r="O281" t="n">
        <v>0</v>
      </c>
      <c r="P281" t="n">
        <v>0</v>
      </c>
      <c r="Q281" t="n">
        <v>0</v>
      </c>
      <c r="R281" s="2" t="inlineStr"/>
    </row>
    <row r="282" ht="15" customHeight="1">
      <c r="A282" t="inlineStr">
        <is>
          <t>A 16672-2026</t>
        </is>
      </c>
      <c r="B282" s="1" t="n">
        <v>46112.67336805556</v>
      </c>
      <c r="C282" s="1" t="n">
        <v>46162</v>
      </c>
      <c r="D282" t="inlineStr">
        <is>
          <t>KALMAR LÄN</t>
        </is>
      </c>
      <c r="E282" t="inlineStr">
        <is>
          <t>VIMMERBY</t>
        </is>
      </c>
      <c r="F282" t="inlineStr">
        <is>
          <t>Kommuner</t>
        </is>
      </c>
      <c r="G282" t="n">
        <v>1.4</v>
      </c>
      <c r="H282" t="n">
        <v>0</v>
      </c>
      <c r="I282" t="n">
        <v>0</v>
      </c>
      <c r="J282" t="n">
        <v>0</v>
      </c>
      <c r="K282" t="n">
        <v>0</v>
      </c>
      <c r="L282" t="n">
        <v>0</v>
      </c>
      <c r="M282" t="n">
        <v>0</v>
      </c>
      <c r="N282" t="n">
        <v>0</v>
      </c>
      <c r="O282" t="n">
        <v>0</v>
      </c>
      <c r="P282" t="n">
        <v>0</v>
      </c>
      <c r="Q282" t="n">
        <v>0</v>
      </c>
      <c r="R282" s="2" t="inlineStr"/>
    </row>
    <row r="283" ht="15" customHeight="1">
      <c r="A283" t="inlineStr">
        <is>
          <t>A 36297-2025</t>
        </is>
      </c>
      <c r="B283" s="1" t="n">
        <v>45867.68625</v>
      </c>
      <c r="C283" s="1" t="n">
        <v>46162</v>
      </c>
      <c r="D283" t="inlineStr">
        <is>
          <t>KALMAR LÄN</t>
        </is>
      </c>
      <c r="E283" t="inlineStr">
        <is>
          <t>VIMMERBY</t>
        </is>
      </c>
      <c r="G283" t="n">
        <v>4.9</v>
      </c>
      <c r="H283" t="n">
        <v>0</v>
      </c>
      <c r="I283" t="n">
        <v>0</v>
      </c>
      <c r="J283" t="n">
        <v>0</v>
      </c>
      <c r="K283" t="n">
        <v>0</v>
      </c>
      <c r="L283" t="n">
        <v>0</v>
      </c>
      <c r="M283" t="n">
        <v>0</v>
      </c>
      <c r="N283" t="n">
        <v>0</v>
      </c>
      <c r="O283" t="n">
        <v>0</v>
      </c>
      <c r="P283" t="n">
        <v>0</v>
      </c>
      <c r="Q283" t="n">
        <v>0</v>
      </c>
      <c r="R283" s="2" t="inlineStr"/>
    </row>
    <row r="284" ht="15" customHeight="1">
      <c r="A284" t="inlineStr">
        <is>
          <t>A 36246-2025</t>
        </is>
      </c>
      <c r="B284" s="1" t="n">
        <v>45867.56320601852</v>
      </c>
      <c r="C284" s="1" t="n">
        <v>46162</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36282-2025</t>
        </is>
      </c>
      <c r="B285" s="1" t="n">
        <v>45867.64663194444</v>
      </c>
      <c r="C285" s="1" t="n">
        <v>46162</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36538-2025</t>
        </is>
      </c>
      <c r="B286" s="1" t="n">
        <v>45869.62276620371</v>
      </c>
      <c r="C286" s="1" t="n">
        <v>46162</v>
      </c>
      <c r="D286" t="inlineStr">
        <is>
          <t>KALMAR LÄN</t>
        </is>
      </c>
      <c r="E286" t="inlineStr">
        <is>
          <t>VIMMERBY</t>
        </is>
      </c>
      <c r="G286" t="n">
        <v>2.6</v>
      </c>
      <c r="H286" t="n">
        <v>0</v>
      </c>
      <c r="I286" t="n">
        <v>0</v>
      </c>
      <c r="J286" t="n">
        <v>0</v>
      </c>
      <c r="K286" t="n">
        <v>0</v>
      </c>
      <c r="L286" t="n">
        <v>0</v>
      </c>
      <c r="M286" t="n">
        <v>0</v>
      </c>
      <c r="N286" t="n">
        <v>0</v>
      </c>
      <c r="O286" t="n">
        <v>0</v>
      </c>
      <c r="P286" t="n">
        <v>0</v>
      </c>
      <c r="Q286" t="n">
        <v>0</v>
      </c>
      <c r="R286" s="2" t="inlineStr"/>
    </row>
    <row r="287" ht="15" customHeight="1">
      <c r="A287" t="inlineStr">
        <is>
          <t>A 47859-2024</t>
        </is>
      </c>
      <c r="B287" s="1" t="n">
        <v>45588.67070601852</v>
      </c>
      <c r="C287" s="1" t="n">
        <v>46162</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36598-2025</t>
        </is>
      </c>
      <c r="B288" s="1" t="n">
        <v>45870.51708333333</v>
      </c>
      <c r="C288" s="1" t="n">
        <v>46162</v>
      </c>
      <c r="D288" t="inlineStr">
        <is>
          <t>KALMAR LÄN</t>
        </is>
      </c>
      <c r="E288" t="inlineStr">
        <is>
          <t>VIMMERBY</t>
        </is>
      </c>
      <c r="G288" t="n">
        <v>3.7</v>
      </c>
      <c r="H288" t="n">
        <v>0</v>
      </c>
      <c r="I288" t="n">
        <v>0</v>
      </c>
      <c r="J288" t="n">
        <v>0</v>
      </c>
      <c r="K288" t="n">
        <v>0</v>
      </c>
      <c r="L288" t="n">
        <v>0</v>
      </c>
      <c r="M288" t="n">
        <v>0</v>
      </c>
      <c r="N288" t="n">
        <v>0</v>
      </c>
      <c r="O288" t="n">
        <v>0</v>
      </c>
      <c r="P288" t="n">
        <v>0</v>
      </c>
      <c r="Q288" t="n">
        <v>0</v>
      </c>
      <c r="R288" s="2" t="inlineStr"/>
    </row>
    <row r="289" ht="15" customHeight="1">
      <c r="A289" t="inlineStr">
        <is>
          <t>A 36602-2025</t>
        </is>
      </c>
      <c r="B289" s="1" t="n">
        <v>45870.52111111111</v>
      </c>
      <c r="C289" s="1" t="n">
        <v>46162</v>
      </c>
      <c r="D289" t="inlineStr">
        <is>
          <t>KALMAR LÄN</t>
        </is>
      </c>
      <c r="E289" t="inlineStr">
        <is>
          <t>VIMMERBY</t>
        </is>
      </c>
      <c r="G289" t="n">
        <v>0.6</v>
      </c>
      <c r="H289" t="n">
        <v>0</v>
      </c>
      <c r="I289" t="n">
        <v>0</v>
      </c>
      <c r="J289" t="n">
        <v>0</v>
      </c>
      <c r="K289" t="n">
        <v>0</v>
      </c>
      <c r="L289" t="n">
        <v>0</v>
      </c>
      <c r="M289" t="n">
        <v>0</v>
      </c>
      <c r="N289" t="n">
        <v>0</v>
      </c>
      <c r="O289" t="n">
        <v>0</v>
      </c>
      <c r="P289" t="n">
        <v>0</v>
      </c>
      <c r="Q289" t="n">
        <v>0</v>
      </c>
      <c r="R289" s="2" t="inlineStr"/>
    </row>
    <row r="290" ht="15" customHeight="1">
      <c r="A290" t="inlineStr">
        <is>
          <t>A 32835-2022</t>
        </is>
      </c>
      <c r="B290" s="1" t="n">
        <v>44784.42528935185</v>
      </c>
      <c r="C290" s="1" t="n">
        <v>46162</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16870-2026</t>
        </is>
      </c>
      <c r="B291" s="1" t="n">
        <v>46113.5822800926</v>
      </c>
      <c r="C291" s="1" t="n">
        <v>46162</v>
      </c>
      <c r="D291" t="inlineStr">
        <is>
          <t>KALMAR LÄN</t>
        </is>
      </c>
      <c r="E291" t="inlineStr">
        <is>
          <t>VIMMERBY</t>
        </is>
      </c>
      <c r="G291" t="n">
        <v>2</v>
      </c>
      <c r="H291" t="n">
        <v>0</v>
      </c>
      <c r="I291" t="n">
        <v>0</v>
      </c>
      <c r="J291" t="n">
        <v>0</v>
      </c>
      <c r="K291" t="n">
        <v>0</v>
      </c>
      <c r="L291" t="n">
        <v>0</v>
      </c>
      <c r="M291" t="n">
        <v>0</v>
      </c>
      <c r="N291" t="n">
        <v>0</v>
      </c>
      <c r="O291" t="n">
        <v>0</v>
      </c>
      <c r="P291" t="n">
        <v>0</v>
      </c>
      <c r="Q291" t="n">
        <v>0</v>
      </c>
      <c r="R291" s="2" t="inlineStr"/>
    </row>
    <row r="292" ht="15" customHeight="1">
      <c r="A292" t="inlineStr">
        <is>
          <t>A 36600-2025</t>
        </is>
      </c>
      <c r="B292" s="1" t="n">
        <v>45870.51958333333</v>
      </c>
      <c r="C292" s="1" t="n">
        <v>46162</v>
      </c>
      <c r="D292" t="inlineStr">
        <is>
          <t>KALMAR LÄN</t>
        </is>
      </c>
      <c r="E292" t="inlineStr">
        <is>
          <t>VIMMERBY</t>
        </is>
      </c>
      <c r="G292" t="n">
        <v>2</v>
      </c>
      <c r="H292" t="n">
        <v>0</v>
      </c>
      <c r="I292" t="n">
        <v>0</v>
      </c>
      <c r="J292" t="n">
        <v>0</v>
      </c>
      <c r="K292" t="n">
        <v>0</v>
      </c>
      <c r="L292" t="n">
        <v>0</v>
      </c>
      <c r="M292" t="n">
        <v>0</v>
      </c>
      <c r="N292" t="n">
        <v>0</v>
      </c>
      <c r="O292" t="n">
        <v>0</v>
      </c>
      <c r="P292" t="n">
        <v>0</v>
      </c>
      <c r="Q292" t="n">
        <v>0</v>
      </c>
      <c r="R292" s="2" t="inlineStr"/>
    </row>
    <row r="293" ht="15" customHeight="1">
      <c r="A293" t="inlineStr">
        <is>
          <t>A 36601-2025</t>
        </is>
      </c>
      <c r="B293" s="1" t="n">
        <v>45870.52005787037</v>
      </c>
      <c r="C293" s="1" t="n">
        <v>46162</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36603-2025</t>
        </is>
      </c>
      <c r="B294" s="1" t="n">
        <v>45870.52142361111</v>
      </c>
      <c r="C294" s="1" t="n">
        <v>46162</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41896-2023</t>
        </is>
      </c>
      <c r="B295" s="1" t="n">
        <v>45176.72427083334</v>
      </c>
      <c r="C295" s="1" t="n">
        <v>46162</v>
      </c>
      <c r="D295" t="inlineStr">
        <is>
          <t>KALMAR LÄN</t>
        </is>
      </c>
      <c r="E295" t="inlineStr">
        <is>
          <t>VIMMERBY</t>
        </is>
      </c>
      <c r="G295" t="n">
        <v>1.3</v>
      </c>
      <c r="H295" t="n">
        <v>0</v>
      </c>
      <c r="I295" t="n">
        <v>0</v>
      </c>
      <c r="J295" t="n">
        <v>0</v>
      </c>
      <c r="K295" t="n">
        <v>0</v>
      </c>
      <c r="L295" t="n">
        <v>0</v>
      </c>
      <c r="M295" t="n">
        <v>0</v>
      </c>
      <c r="N295" t="n">
        <v>0</v>
      </c>
      <c r="O295" t="n">
        <v>0</v>
      </c>
      <c r="P295" t="n">
        <v>0</v>
      </c>
      <c r="Q295" t="n">
        <v>0</v>
      </c>
      <c r="R295" s="2" t="inlineStr"/>
    </row>
    <row r="296" ht="15" customHeight="1">
      <c r="A296" t="inlineStr">
        <is>
          <t>A 43606-2024</t>
        </is>
      </c>
      <c r="B296" s="1" t="n">
        <v>45569.45017361111</v>
      </c>
      <c r="C296" s="1" t="n">
        <v>46162</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12325-2023</t>
        </is>
      </c>
      <c r="B297" s="1" t="n">
        <v>44999.35858796296</v>
      </c>
      <c r="C297" s="1" t="n">
        <v>46162</v>
      </c>
      <c r="D297" t="inlineStr">
        <is>
          <t>KALMAR LÄN</t>
        </is>
      </c>
      <c r="E297" t="inlineStr">
        <is>
          <t>VIMMERBY</t>
        </is>
      </c>
      <c r="G297" t="n">
        <v>3.4</v>
      </c>
      <c r="H297" t="n">
        <v>0</v>
      </c>
      <c r="I297" t="n">
        <v>0</v>
      </c>
      <c r="J297" t="n">
        <v>0</v>
      </c>
      <c r="K297" t="n">
        <v>0</v>
      </c>
      <c r="L297" t="n">
        <v>0</v>
      </c>
      <c r="M297" t="n">
        <v>0</v>
      </c>
      <c r="N297" t="n">
        <v>0</v>
      </c>
      <c r="O297" t="n">
        <v>0</v>
      </c>
      <c r="P297" t="n">
        <v>0</v>
      </c>
      <c r="Q297" t="n">
        <v>0</v>
      </c>
      <c r="R297" s="2" t="inlineStr"/>
    </row>
    <row r="298" ht="15" customHeight="1">
      <c r="A298" t="inlineStr">
        <is>
          <t>A 8945-2025</t>
        </is>
      </c>
      <c r="B298" s="1" t="n">
        <v>45713.45311342592</v>
      </c>
      <c r="C298" s="1" t="n">
        <v>46162</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16795-2026</t>
        </is>
      </c>
      <c r="B299" s="1" t="n">
        <v>46113.47216435185</v>
      </c>
      <c r="C299" s="1" t="n">
        <v>46162</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16799-2026</t>
        </is>
      </c>
      <c r="B300" s="1" t="n">
        <v>46113.47913194444</v>
      </c>
      <c r="C300" s="1" t="n">
        <v>46162</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36934-2025</t>
        </is>
      </c>
      <c r="B301" s="1" t="n">
        <v>45874.57109953704</v>
      </c>
      <c r="C301" s="1" t="n">
        <v>46162</v>
      </c>
      <c r="D301" t="inlineStr">
        <is>
          <t>KALMAR LÄN</t>
        </is>
      </c>
      <c r="E301" t="inlineStr">
        <is>
          <t>VIMMERBY</t>
        </is>
      </c>
      <c r="G301" t="n">
        <v>4.2</v>
      </c>
      <c r="H301" t="n">
        <v>0</v>
      </c>
      <c r="I301" t="n">
        <v>0</v>
      </c>
      <c r="J301" t="n">
        <v>0</v>
      </c>
      <c r="K301" t="n">
        <v>0</v>
      </c>
      <c r="L301" t="n">
        <v>0</v>
      </c>
      <c r="M301" t="n">
        <v>0</v>
      </c>
      <c r="N301" t="n">
        <v>0</v>
      </c>
      <c r="O301" t="n">
        <v>0</v>
      </c>
      <c r="P301" t="n">
        <v>0</v>
      </c>
      <c r="Q301" t="n">
        <v>0</v>
      </c>
      <c r="R301" s="2" t="inlineStr"/>
    </row>
    <row r="302" ht="15" customHeight="1">
      <c r="A302" t="inlineStr">
        <is>
          <t>A 29726-2025</t>
        </is>
      </c>
      <c r="B302" s="1" t="n">
        <v>45825.57805555555</v>
      </c>
      <c r="C302" s="1" t="n">
        <v>46162</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40665-2023</t>
        </is>
      </c>
      <c r="B303" s="1" t="n">
        <v>45170</v>
      </c>
      <c r="C303" s="1" t="n">
        <v>46162</v>
      </c>
      <c r="D303" t="inlineStr">
        <is>
          <t>KALMAR LÄN</t>
        </is>
      </c>
      <c r="E303" t="inlineStr">
        <is>
          <t>VIMMERBY</t>
        </is>
      </c>
      <c r="G303" t="n">
        <v>2.6</v>
      </c>
      <c r="H303" t="n">
        <v>0</v>
      </c>
      <c r="I303" t="n">
        <v>0</v>
      </c>
      <c r="J303" t="n">
        <v>0</v>
      </c>
      <c r="K303" t="n">
        <v>0</v>
      </c>
      <c r="L303" t="n">
        <v>0</v>
      </c>
      <c r="M303" t="n">
        <v>0</v>
      </c>
      <c r="N303" t="n">
        <v>0</v>
      </c>
      <c r="O303" t="n">
        <v>0</v>
      </c>
      <c r="P303" t="n">
        <v>0</v>
      </c>
      <c r="Q303" t="n">
        <v>0</v>
      </c>
      <c r="R303" s="2" t="inlineStr"/>
    </row>
    <row r="304" ht="15" customHeight="1">
      <c r="A304" t="inlineStr">
        <is>
          <t>A 13307-2025</t>
        </is>
      </c>
      <c r="B304" s="1" t="n">
        <v>45735.58024305556</v>
      </c>
      <c r="C304" s="1" t="n">
        <v>46162</v>
      </c>
      <c r="D304" t="inlineStr">
        <is>
          <t>KALMAR LÄN</t>
        </is>
      </c>
      <c r="E304" t="inlineStr">
        <is>
          <t>VIMMERBY</t>
        </is>
      </c>
      <c r="G304" t="n">
        <v>0.8</v>
      </c>
      <c r="H304" t="n">
        <v>0</v>
      </c>
      <c r="I304" t="n">
        <v>0</v>
      </c>
      <c r="J304" t="n">
        <v>0</v>
      </c>
      <c r="K304" t="n">
        <v>0</v>
      </c>
      <c r="L304" t="n">
        <v>0</v>
      </c>
      <c r="M304" t="n">
        <v>0</v>
      </c>
      <c r="N304" t="n">
        <v>0</v>
      </c>
      <c r="O304" t="n">
        <v>0</v>
      </c>
      <c r="P304" t="n">
        <v>0</v>
      </c>
      <c r="Q304" t="n">
        <v>0</v>
      </c>
      <c r="R304" s="2" t="inlineStr"/>
    </row>
    <row r="305" ht="15" customHeight="1">
      <c r="A305" t="inlineStr">
        <is>
          <t>A 28034-2022</t>
        </is>
      </c>
      <c r="B305" s="1" t="n">
        <v>44746.38834490741</v>
      </c>
      <c r="C305" s="1" t="n">
        <v>46162</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37088-2025</t>
        </is>
      </c>
      <c r="B306" s="1" t="n">
        <v>45875.45716435185</v>
      </c>
      <c r="C306" s="1" t="n">
        <v>46162</v>
      </c>
      <c r="D306" t="inlineStr">
        <is>
          <t>KALMAR LÄN</t>
        </is>
      </c>
      <c r="E306" t="inlineStr">
        <is>
          <t>VIMMERBY</t>
        </is>
      </c>
      <c r="G306" t="n">
        <v>1.3</v>
      </c>
      <c r="H306" t="n">
        <v>0</v>
      </c>
      <c r="I306" t="n">
        <v>0</v>
      </c>
      <c r="J306" t="n">
        <v>0</v>
      </c>
      <c r="K306" t="n">
        <v>0</v>
      </c>
      <c r="L306" t="n">
        <v>0</v>
      </c>
      <c r="M306" t="n">
        <v>0</v>
      </c>
      <c r="N306" t="n">
        <v>0</v>
      </c>
      <c r="O306" t="n">
        <v>0</v>
      </c>
      <c r="P306" t="n">
        <v>0</v>
      </c>
      <c r="Q306" t="n">
        <v>0</v>
      </c>
      <c r="R306" s="2" t="inlineStr"/>
    </row>
    <row r="307" ht="15" customHeight="1">
      <c r="A307" t="inlineStr">
        <is>
          <t>A 37102-2025</t>
        </is>
      </c>
      <c r="B307" s="1" t="n">
        <v>45875.47454861111</v>
      </c>
      <c r="C307" s="1" t="n">
        <v>46162</v>
      </c>
      <c r="D307" t="inlineStr">
        <is>
          <t>KALMAR LÄN</t>
        </is>
      </c>
      <c r="E307" t="inlineStr">
        <is>
          <t>VIMMERBY</t>
        </is>
      </c>
      <c r="G307" t="n">
        <v>1.3</v>
      </c>
      <c r="H307" t="n">
        <v>0</v>
      </c>
      <c r="I307" t="n">
        <v>0</v>
      </c>
      <c r="J307" t="n">
        <v>0</v>
      </c>
      <c r="K307" t="n">
        <v>0</v>
      </c>
      <c r="L307" t="n">
        <v>0</v>
      </c>
      <c r="M307" t="n">
        <v>0</v>
      </c>
      <c r="N307" t="n">
        <v>0</v>
      </c>
      <c r="O307" t="n">
        <v>0</v>
      </c>
      <c r="P307" t="n">
        <v>0</v>
      </c>
      <c r="Q307" t="n">
        <v>0</v>
      </c>
      <c r="R307" s="2" t="inlineStr"/>
    </row>
    <row r="308" ht="15" customHeight="1">
      <c r="A308" t="inlineStr">
        <is>
          <t>A 38964-2025</t>
        </is>
      </c>
      <c r="B308" s="1" t="n">
        <v>45887.68759259259</v>
      </c>
      <c r="C308" s="1" t="n">
        <v>46162</v>
      </c>
      <c r="D308" t="inlineStr">
        <is>
          <t>KALMAR LÄN</t>
        </is>
      </c>
      <c r="E308" t="inlineStr">
        <is>
          <t>VIMMERBY</t>
        </is>
      </c>
      <c r="G308" t="n">
        <v>7.5</v>
      </c>
      <c r="H308" t="n">
        <v>0</v>
      </c>
      <c r="I308" t="n">
        <v>0</v>
      </c>
      <c r="J308" t="n">
        <v>0</v>
      </c>
      <c r="K308" t="n">
        <v>0</v>
      </c>
      <c r="L308" t="n">
        <v>0</v>
      </c>
      <c r="M308" t="n">
        <v>0</v>
      </c>
      <c r="N308" t="n">
        <v>0</v>
      </c>
      <c r="O308" t="n">
        <v>0</v>
      </c>
      <c r="P308" t="n">
        <v>0</v>
      </c>
      <c r="Q308" t="n">
        <v>0</v>
      </c>
      <c r="R308" s="2" t="inlineStr"/>
    </row>
    <row r="309" ht="15" customHeight="1">
      <c r="A309" t="inlineStr">
        <is>
          <t>A 37079-2025</t>
        </is>
      </c>
      <c r="B309" s="1" t="n">
        <v>45875.42716435185</v>
      </c>
      <c r="C309" s="1" t="n">
        <v>46162</v>
      </c>
      <c r="D309" t="inlineStr">
        <is>
          <t>KALMAR LÄN</t>
        </is>
      </c>
      <c r="E309" t="inlineStr">
        <is>
          <t>VIMMERBY</t>
        </is>
      </c>
      <c r="G309" t="n">
        <v>0.8</v>
      </c>
      <c r="H309" t="n">
        <v>0</v>
      </c>
      <c r="I309" t="n">
        <v>0</v>
      </c>
      <c r="J309" t="n">
        <v>0</v>
      </c>
      <c r="K309" t="n">
        <v>0</v>
      </c>
      <c r="L309" t="n">
        <v>0</v>
      </c>
      <c r="M309" t="n">
        <v>0</v>
      </c>
      <c r="N309" t="n">
        <v>0</v>
      </c>
      <c r="O309" t="n">
        <v>0</v>
      </c>
      <c r="P309" t="n">
        <v>0</v>
      </c>
      <c r="Q309" t="n">
        <v>0</v>
      </c>
      <c r="R309" s="2" t="inlineStr"/>
    </row>
    <row r="310" ht="15" customHeight="1">
      <c r="A310" t="inlineStr">
        <is>
          <t>A 37668-2025</t>
        </is>
      </c>
      <c r="B310" s="1" t="n">
        <v>45880.51550925926</v>
      </c>
      <c r="C310" s="1" t="n">
        <v>46162</v>
      </c>
      <c r="D310" t="inlineStr">
        <is>
          <t>KALMAR LÄN</t>
        </is>
      </c>
      <c r="E310" t="inlineStr">
        <is>
          <t>VIMMERBY</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55605-2024</t>
        </is>
      </c>
      <c r="B311" s="1" t="n">
        <v>45622</v>
      </c>
      <c r="C311" s="1" t="n">
        <v>46162</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42165-2024</t>
        </is>
      </c>
      <c r="B312" s="1" t="n">
        <v>45562.46342592593</v>
      </c>
      <c r="C312" s="1" t="n">
        <v>46162</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37578-2025</t>
        </is>
      </c>
      <c r="B313" s="1" t="n">
        <v>45880.38380787037</v>
      </c>
      <c r="C313" s="1" t="n">
        <v>46162</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20129-2024</t>
        </is>
      </c>
      <c r="B314" s="1" t="n">
        <v>45434.55831018519</v>
      </c>
      <c r="C314" s="1" t="n">
        <v>46162</v>
      </c>
      <c r="D314" t="inlineStr">
        <is>
          <t>KALMAR LÄN</t>
        </is>
      </c>
      <c r="E314" t="inlineStr">
        <is>
          <t>VIMMERBY</t>
        </is>
      </c>
      <c r="F314" t="inlineStr">
        <is>
          <t>Sveaskog</t>
        </is>
      </c>
      <c r="G314" t="n">
        <v>2</v>
      </c>
      <c r="H314" t="n">
        <v>0</v>
      </c>
      <c r="I314" t="n">
        <v>0</v>
      </c>
      <c r="J314" t="n">
        <v>0</v>
      </c>
      <c r="K314" t="n">
        <v>0</v>
      </c>
      <c r="L314" t="n">
        <v>0</v>
      </c>
      <c r="M314" t="n">
        <v>0</v>
      </c>
      <c r="N314" t="n">
        <v>0</v>
      </c>
      <c r="O314" t="n">
        <v>0</v>
      </c>
      <c r="P314" t="n">
        <v>0</v>
      </c>
      <c r="Q314" t="n">
        <v>0</v>
      </c>
      <c r="R314" s="2" t="inlineStr"/>
    </row>
    <row r="315" ht="15" customHeight="1">
      <c r="A315" t="inlineStr">
        <is>
          <t>A 20137-2024</t>
        </is>
      </c>
      <c r="B315" s="1" t="n">
        <v>45434.56398148148</v>
      </c>
      <c r="C315" s="1" t="n">
        <v>46162</v>
      </c>
      <c r="D315" t="inlineStr">
        <is>
          <t>KALMAR LÄN</t>
        </is>
      </c>
      <c r="E315" t="inlineStr">
        <is>
          <t>VIMMERBY</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16801-2026</t>
        </is>
      </c>
      <c r="B316" s="1" t="n">
        <v>46113.48400462963</v>
      </c>
      <c r="C316" s="1" t="n">
        <v>46162</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23095-2023</t>
        </is>
      </c>
      <c r="B317" s="1" t="n">
        <v>45075.43059027778</v>
      </c>
      <c r="C317" s="1" t="n">
        <v>46162</v>
      </c>
      <c r="D317" t="inlineStr">
        <is>
          <t>KALMAR LÄN</t>
        </is>
      </c>
      <c r="E317" t="inlineStr">
        <is>
          <t>VIMMERBY</t>
        </is>
      </c>
      <c r="G317" t="n">
        <v>1</v>
      </c>
      <c r="H317" t="n">
        <v>0</v>
      </c>
      <c r="I317" t="n">
        <v>0</v>
      </c>
      <c r="J317" t="n">
        <v>0</v>
      </c>
      <c r="K317" t="n">
        <v>0</v>
      </c>
      <c r="L317" t="n">
        <v>0</v>
      </c>
      <c r="M317" t="n">
        <v>0</v>
      </c>
      <c r="N317" t="n">
        <v>0</v>
      </c>
      <c r="O317" t="n">
        <v>0</v>
      </c>
      <c r="P317" t="n">
        <v>0</v>
      </c>
      <c r="Q317" t="n">
        <v>0</v>
      </c>
      <c r="R317" s="2" t="inlineStr"/>
    </row>
    <row r="318" ht="15" customHeight="1">
      <c r="A318" t="inlineStr">
        <is>
          <t>A 32919-2022</t>
        </is>
      </c>
      <c r="B318" s="1" t="n">
        <v>44784.62724537037</v>
      </c>
      <c r="C318" s="1" t="n">
        <v>46162</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39801-2025</t>
        </is>
      </c>
      <c r="B319" s="1" t="n">
        <v>45891.50216435185</v>
      </c>
      <c r="C319" s="1" t="n">
        <v>46162</v>
      </c>
      <c r="D319" t="inlineStr">
        <is>
          <t>KALMAR LÄN</t>
        </is>
      </c>
      <c r="E319" t="inlineStr">
        <is>
          <t>VIMMERBY</t>
        </is>
      </c>
      <c r="G319" t="n">
        <v>2</v>
      </c>
      <c r="H319" t="n">
        <v>0</v>
      </c>
      <c r="I319" t="n">
        <v>0</v>
      </c>
      <c r="J319" t="n">
        <v>0</v>
      </c>
      <c r="K319" t="n">
        <v>0</v>
      </c>
      <c r="L319" t="n">
        <v>0</v>
      </c>
      <c r="M319" t="n">
        <v>0</v>
      </c>
      <c r="N319" t="n">
        <v>0</v>
      </c>
      <c r="O319" t="n">
        <v>0</v>
      </c>
      <c r="P319" t="n">
        <v>0</v>
      </c>
      <c r="Q319" t="n">
        <v>0</v>
      </c>
      <c r="R319" s="2" t="inlineStr"/>
    </row>
    <row r="320" ht="15" customHeight="1">
      <c r="A320" t="inlineStr">
        <is>
          <t>A 39807-2025</t>
        </is>
      </c>
      <c r="B320" s="1" t="n">
        <v>45891.50986111111</v>
      </c>
      <c r="C320" s="1" t="n">
        <v>46162</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16675-2026</t>
        </is>
      </c>
      <c r="B321" s="1" t="n">
        <v>46112.68202546296</v>
      </c>
      <c r="C321" s="1" t="n">
        <v>46162</v>
      </c>
      <c r="D321" t="inlineStr">
        <is>
          <t>KALMAR LÄN</t>
        </is>
      </c>
      <c r="E321" t="inlineStr">
        <is>
          <t>VIMMERBY</t>
        </is>
      </c>
      <c r="F321" t="inlineStr">
        <is>
          <t>Kommuner</t>
        </is>
      </c>
      <c r="G321" t="n">
        <v>0.8</v>
      </c>
      <c r="H321" t="n">
        <v>0</v>
      </c>
      <c r="I321" t="n">
        <v>0</v>
      </c>
      <c r="J321" t="n">
        <v>0</v>
      </c>
      <c r="K321" t="n">
        <v>0</v>
      </c>
      <c r="L321" t="n">
        <v>0</v>
      </c>
      <c r="M321" t="n">
        <v>0</v>
      </c>
      <c r="N321" t="n">
        <v>0</v>
      </c>
      <c r="O321" t="n">
        <v>0</v>
      </c>
      <c r="P321" t="n">
        <v>0</v>
      </c>
      <c r="Q321" t="n">
        <v>0</v>
      </c>
      <c r="R321" s="2" t="inlineStr"/>
    </row>
    <row r="322" ht="15" customHeight="1">
      <c r="A322" t="inlineStr">
        <is>
          <t>A 37866-2025</t>
        </is>
      </c>
      <c r="B322" s="1" t="n">
        <v>45881</v>
      </c>
      <c r="C322" s="1" t="n">
        <v>46162</v>
      </c>
      <c r="D322" t="inlineStr">
        <is>
          <t>KALMAR LÄN</t>
        </is>
      </c>
      <c r="E322" t="inlineStr">
        <is>
          <t>VIMMERBY</t>
        </is>
      </c>
      <c r="G322" t="n">
        <v>3.4</v>
      </c>
      <c r="H322" t="n">
        <v>0</v>
      </c>
      <c r="I322" t="n">
        <v>0</v>
      </c>
      <c r="J322" t="n">
        <v>0</v>
      </c>
      <c r="K322" t="n">
        <v>0</v>
      </c>
      <c r="L322" t="n">
        <v>0</v>
      </c>
      <c r="M322" t="n">
        <v>0</v>
      </c>
      <c r="N322" t="n">
        <v>0</v>
      </c>
      <c r="O322" t="n">
        <v>0</v>
      </c>
      <c r="P322" t="n">
        <v>0</v>
      </c>
      <c r="Q322" t="n">
        <v>0</v>
      </c>
      <c r="R322" s="2" t="inlineStr"/>
    </row>
    <row r="323" ht="15" customHeight="1">
      <c r="A323" t="inlineStr">
        <is>
          <t>A 39736-2025</t>
        </is>
      </c>
      <c r="B323" s="1" t="n">
        <v>45891</v>
      </c>
      <c r="C323" s="1" t="n">
        <v>46162</v>
      </c>
      <c r="D323" t="inlineStr">
        <is>
          <t>KALMAR LÄN</t>
        </is>
      </c>
      <c r="E323" t="inlineStr">
        <is>
          <t>VIMMERBY</t>
        </is>
      </c>
      <c r="G323" t="n">
        <v>12.8</v>
      </c>
      <c r="H323" t="n">
        <v>0</v>
      </c>
      <c r="I323" t="n">
        <v>0</v>
      </c>
      <c r="J323" t="n">
        <v>0</v>
      </c>
      <c r="K323" t="n">
        <v>0</v>
      </c>
      <c r="L323" t="n">
        <v>0</v>
      </c>
      <c r="M323" t="n">
        <v>0</v>
      </c>
      <c r="N323" t="n">
        <v>0</v>
      </c>
      <c r="O323" t="n">
        <v>0</v>
      </c>
      <c r="P323" t="n">
        <v>0</v>
      </c>
      <c r="Q323" t="n">
        <v>0</v>
      </c>
      <c r="R323" s="2" t="inlineStr"/>
    </row>
    <row r="324" ht="15" customHeight="1">
      <c r="A324" t="inlineStr">
        <is>
          <t>A 7068-2024</t>
        </is>
      </c>
      <c r="B324" s="1" t="n">
        <v>45343.68038194445</v>
      </c>
      <c r="C324" s="1" t="n">
        <v>46162</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39803-2025</t>
        </is>
      </c>
      <c r="B325" s="1" t="n">
        <v>45891.50525462963</v>
      </c>
      <c r="C325" s="1" t="n">
        <v>46162</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37939-2025</t>
        </is>
      </c>
      <c r="B326" s="1" t="n">
        <v>45881.59877314815</v>
      </c>
      <c r="C326" s="1" t="n">
        <v>46162</v>
      </c>
      <c r="D326" t="inlineStr">
        <is>
          <t>KALMAR LÄN</t>
        </is>
      </c>
      <c r="E326" t="inlineStr">
        <is>
          <t>VIMMERBY</t>
        </is>
      </c>
      <c r="G326" t="n">
        <v>1.3</v>
      </c>
      <c r="H326" t="n">
        <v>0</v>
      </c>
      <c r="I326" t="n">
        <v>0</v>
      </c>
      <c r="J326" t="n">
        <v>0</v>
      </c>
      <c r="K326" t="n">
        <v>0</v>
      </c>
      <c r="L326" t="n">
        <v>0</v>
      </c>
      <c r="M326" t="n">
        <v>0</v>
      </c>
      <c r="N326" t="n">
        <v>0</v>
      </c>
      <c r="O326" t="n">
        <v>0</v>
      </c>
      <c r="P326" t="n">
        <v>0</v>
      </c>
      <c r="Q326" t="n">
        <v>0</v>
      </c>
      <c r="R326" s="2" t="inlineStr"/>
    </row>
    <row r="327" ht="15" customHeight="1">
      <c r="A327" t="inlineStr">
        <is>
          <t>A 39889-2025</t>
        </is>
      </c>
      <c r="B327" s="1" t="n">
        <v>45891</v>
      </c>
      <c r="C327" s="1" t="n">
        <v>46162</v>
      </c>
      <c r="D327" t="inlineStr">
        <is>
          <t>KALMAR LÄN</t>
        </is>
      </c>
      <c r="E327" t="inlineStr">
        <is>
          <t>VIMMERBY</t>
        </is>
      </c>
      <c r="G327" t="n">
        <v>4.5</v>
      </c>
      <c r="H327" t="n">
        <v>0</v>
      </c>
      <c r="I327" t="n">
        <v>0</v>
      </c>
      <c r="J327" t="n">
        <v>0</v>
      </c>
      <c r="K327" t="n">
        <v>0</v>
      </c>
      <c r="L327" t="n">
        <v>0</v>
      </c>
      <c r="M327" t="n">
        <v>0</v>
      </c>
      <c r="N327" t="n">
        <v>0</v>
      </c>
      <c r="O327" t="n">
        <v>0</v>
      </c>
      <c r="P327" t="n">
        <v>0</v>
      </c>
      <c r="Q327" t="n">
        <v>0</v>
      </c>
      <c r="R327" s="2" t="inlineStr"/>
    </row>
    <row r="328" ht="15" customHeight="1">
      <c r="A328" t="inlineStr">
        <is>
          <t>A 16678-2026</t>
        </is>
      </c>
      <c r="B328" s="1" t="n">
        <v>46112.69435185185</v>
      </c>
      <c r="C328" s="1" t="n">
        <v>46162</v>
      </c>
      <c r="D328" t="inlineStr">
        <is>
          <t>KALMAR LÄN</t>
        </is>
      </c>
      <c r="E328" t="inlineStr">
        <is>
          <t>VIMMERBY</t>
        </is>
      </c>
      <c r="F328" t="inlineStr">
        <is>
          <t>Kommuner</t>
        </is>
      </c>
      <c r="G328" t="n">
        <v>1.6</v>
      </c>
      <c r="H328" t="n">
        <v>0</v>
      </c>
      <c r="I328" t="n">
        <v>0</v>
      </c>
      <c r="J328" t="n">
        <v>0</v>
      </c>
      <c r="K328" t="n">
        <v>0</v>
      </c>
      <c r="L328" t="n">
        <v>0</v>
      </c>
      <c r="M328" t="n">
        <v>0</v>
      </c>
      <c r="N328" t="n">
        <v>0</v>
      </c>
      <c r="O328" t="n">
        <v>0</v>
      </c>
      <c r="P328" t="n">
        <v>0</v>
      </c>
      <c r="Q328" t="n">
        <v>0</v>
      </c>
      <c r="R328" s="2" t="inlineStr"/>
    </row>
    <row r="329" ht="15" customHeight="1">
      <c r="A329" t="inlineStr">
        <is>
          <t>A 16648-2026</t>
        </is>
      </c>
      <c r="B329" s="1" t="n">
        <v>46112.64032407408</v>
      </c>
      <c r="C329" s="1" t="n">
        <v>46162</v>
      </c>
      <c r="D329" t="inlineStr">
        <is>
          <t>KALMAR LÄN</t>
        </is>
      </c>
      <c r="E329" t="inlineStr">
        <is>
          <t>VIMMERBY</t>
        </is>
      </c>
      <c r="F329" t="inlineStr">
        <is>
          <t>Kommuner</t>
        </is>
      </c>
      <c r="G329" t="n">
        <v>0.9</v>
      </c>
      <c r="H329" t="n">
        <v>0</v>
      </c>
      <c r="I329" t="n">
        <v>0</v>
      </c>
      <c r="J329" t="n">
        <v>0</v>
      </c>
      <c r="K329" t="n">
        <v>0</v>
      </c>
      <c r="L329" t="n">
        <v>0</v>
      </c>
      <c r="M329" t="n">
        <v>0</v>
      </c>
      <c r="N329" t="n">
        <v>0</v>
      </c>
      <c r="O329" t="n">
        <v>0</v>
      </c>
      <c r="P329" t="n">
        <v>0</v>
      </c>
      <c r="Q329" t="n">
        <v>0</v>
      </c>
      <c r="R329" s="2" t="inlineStr"/>
    </row>
    <row r="330" ht="15" customHeight="1">
      <c r="A330" t="inlineStr">
        <is>
          <t>A 16656-2026</t>
        </is>
      </c>
      <c r="B330" s="1" t="n">
        <v>46112.65111111111</v>
      </c>
      <c r="C330" s="1" t="n">
        <v>46162</v>
      </c>
      <c r="D330" t="inlineStr">
        <is>
          <t>KALMAR LÄN</t>
        </is>
      </c>
      <c r="E330" t="inlineStr">
        <is>
          <t>VIMMERBY</t>
        </is>
      </c>
      <c r="F330" t="inlineStr">
        <is>
          <t>Kommuner</t>
        </is>
      </c>
      <c r="G330" t="n">
        <v>5.5</v>
      </c>
      <c r="H330" t="n">
        <v>0</v>
      </c>
      <c r="I330" t="n">
        <v>0</v>
      </c>
      <c r="J330" t="n">
        <v>0</v>
      </c>
      <c r="K330" t="n">
        <v>0</v>
      </c>
      <c r="L330" t="n">
        <v>0</v>
      </c>
      <c r="M330" t="n">
        <v>0</v>
      </c>
      <c r="N330" t="n">
        <v>0</v>
      </c>
      <c r="O330" t="n">
        <v>0</v>
      </c>
      <c r="P330" t="n">
        <v>0</v>
      </c>
      <c r="Q330" t="n">
        <v>0</v>
      </c>
      <c r="R330" s="2" t="inlineStr"/>
    </row>
    <row r="331" ht="15" customHeight="1">
      <c r="A331" t="inlineStr">
        <is>
          <t>A 32655-2023</t>
        </is>
      </c>
      <c r="B331" s="1" t="n">
        <v>45121.61318287037</v>
      </c>
      <c r="C331" s="1" t="n">
        <v>46162</v>
      </c>
      <c r="D331" t="inlineStr">
        <is>
          <t>KALMAR LÄN</t>
        </is>
      </c>
      <c r="E331" t="inlineStr">
        <is>
          <t>VIMMERBY</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54409-2024</t>
        </is>
      </c>
      <c r="B332" s="1" t="n">
        <v>45617.47570601852</v>
      </c>
      <c r="C332" s="1" t="n">
        <v>46162</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40970-2025</t>
        </is>
      </c>
      <c r="B333" s="1" t="n">
        <v>45897.88706018519</v>
      </c>
      <c r="C333" s="1" t="n">
        <v>46162</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40973-2025</t>
        </is>
      </c>
      <c r="B334" s="1" t="n">
        <v>45897.89737268518</v>
      </c>
      <c r="C334" s="1" t="n">
        <v>46162</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41224-2025</t>
        </is>
      </c>
      <c r="B335" s="1" t="n">
        <v>45898.58861111111</v>
      </c>
      <c r="C335" s="1" t="n">
        <v>46162</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16823-2026</t>
        </is>
      </c>
      <c r="B336" s="1" t="n">
        <v>46113.51649305555</v>
      </c>
      <c r="C336" s="1" t="n">
        <v>46162</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16617-2026</t>
        </is>
      </c>
      <c r="B337" s="1" t="n">
        <v>46112.60607638889</v>
      </c>
      <c r="C337" s="1" t="n">
        <v>46162</v>
      </c>
      <c r="D337" t="inlineStr">
        <is>
          <t>KALMAR LÄN</t>
        </is>
      </c>
      <c r="E337" t="inlineStr">
        <is>
          <t>VIMMERBY</t>
        </is>
      </c>
      <c r="F337" t="inlineStr">
        <is>
          <t>Kommuner</t>
        </is>
      </c>
      <c r="G337" t="n">
        <v>0.6</v>
      </c>
      <c r="H337" t="n">
        <v>0</v>
      </c>
      <c r="I337" t="n">
        <v>0</v>
      </c>
      <c r="J337" t="n">
        <v>0</v>
      </c>
      <c r="K337" t="n">
        <v>0</v>
      </c>
      <c r="L337" t="n">
        <v>0</v>
      </c>
      <c r="M337" t="n">
        <v>0</v>
      </c>
      <c r="N337" t="n">
        <v>0</v>
      </c>
      <c r="O337" t="n">
        <v>0</v>
      </c>
      <c r="P337" t="n">
        <v>0</v>
      </c>
      <c r="Q337" t="n">
        <v>0</v>
      </c>
      <c r="R337" s="2" t="inlineStr"/>
    </row>
    <row r="338" ht="15" customHeight="1">
      <c r="A338" t="inlineStr">
        <is>
          <t>A 40925-2025</t>
        </is>
      </c>
      <c r="B338" s="1" t="n">
        <v>45897.64208333333</v>
      </c>
      <c r="C338" s="1" t="n">
        <v>46162</v>
      </c>
      <c r="D338" t="inlineStr">
        <is>
          <t>KALMAR LÄN</t>
        </is>
      </c>
      <c r="E338" t="inlineStr">
        <is>
          <t>VIMMERBY</t>
        </is>
      </c>
      <c r="G338" t="n">
        <v>1.9</v>
      </c>
      <c r="H338" t="n">
        <v>0</v>
      </c>
      <c r="I338" t="n">
        <v>0</v>
      </c>
      <c r="J338" t="n">
        <v>0</v>
      </c>
      <c r="K338" t="n">
        <v>0</v>
      </c>
      <c r="L338" t="n">
        <v>0</v>
      </c>
      <c r="M338" t="n">
        <v>0</v>
      </c>
      <c r="N338" t="n">
        <v>0</v>
      </c>
      <c r="O338" t="n">
        <v>0</v>
      </c>
      <c r="P338" t="n">
        <v>0</v>
      </c>
      <c r="Q338" t="n">
        <v>0</v>
      </c>
      <c r="R338" s="2" t="inlineStr"/>
    </row>
    <row r="339" ht="15" customHeight="1">
      <c r="A339" t="inlineStr">
        <is>
          <t>A 9475-2023</t>
        </is>
      </c>
      <c r="B339" s="1" t="n">
        <v>44981.58834490741</v>
      </c>
      <c r="C339" s="1" t="n">
        <v>46162</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40921-2025</t>
        </is>
      </c>
      <c r="B340" s="1" t="n">
        <v>45897.63520833333</v>
      </c>
      <c r="C340" s="1" t="n">
        <v>46162</v>
      </c>
      <c r="D340" t="inlineStr">
        <is>
          <t>KALMAR LÄN</t>
        </is>
      </c>
      <c r="E340" t="inlineStr">
        <is>
          <t>VIMMERBY</t>
        </is>
      </c>
      <c r="G340" t="n">
        <v>4.2</v>
      </c>
      <c r="H340" t="n">
        <v>0</v>
      </c>
      <c r="I340" t="n">
        <v>0</v>
      </c>
      <c r="J340" t="n">
        <v>0</v>
      </c>
      <c r="K340" t="n">
        <v>0</v>
      </c>
      <c r="L340" t="n">
        <v>0</v>
      </c>
      <c r="M340" t="n">
        <v>0</v>
      </c>
      <c r="N340" t="n">
        <v>0</v>
      </c>
      <c r="O340" t="n">
        <v>0</v>
      </c>
      <c r="P340" t="n">
        <v>0</v>
      </c>
      <c r="Q340" t="n">
        <v>0</v>
      </c>
      <c r="R340" s="2" t="inlineStr"/>
    </row>
    <row r="341" ht="15" customHeight="1">
      <c r="A341" t="inlineStr">
        <is>
          <t>A 40971-2025</t>
        </is>
      </c>
      <c r="B341" s="1" t="n">
        <v>45897.88836805556</v>
      </c>
      <c r="C341" s="1" t="n">
        <v>46162</v>
      </c>
      <c r="D341" t="inlineStr">
        <is>
          <t>KALMAR LÄN</t>
        </is>
      </c>
      <c r="E341" t="inlineStr">
        <is>
          <t>VIMMERBY</t>
        </is>
      </c>
      <c r="G341" t="n">
        <v>1.5</v>
      </c>
      <c r="H341" t="n">
        <v>0</v>
      </c>
      <c r="I341" t="n">
        <v>0</v>
      </c>
      <c r="J341" t="n">
        <v>0</v>
      </c>
      <c r="K341" t="n">
        <v>0</v>
      </c>
      <c r="L341" t="n">
        <v>0</v>
      </c>
      <c r="M341" t="n">
        <v>0</v>
      </c>
      <c r="N341" t="n">
        <v>0</v>
      </c>
      <c r="O341" t="n">
        <v>0</v>
      </c>
      <c r="P341" t="n">
        <v>0</v>
      </c>
      <c r="Q341" t="n">
        <v>0</v>
      </c>
      <c r="R341" s="2" t="inlineStr"/>
    </row>
    <row r="342" ht="15" customHeight="1">
      <c r="A342" t="inlineStr">
        <is>
          <t>A 41591-2025</t>
        </is>
      </c>
      <c r="B342" s="1" t="n">
        <v>45901.6327662037</v>
      </c>
      <c r="C342" s="1" t="n">
        <v>46162</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41589-2025</t>
        </is>
      </c>
      <c r="B343" s="1" t="n">
        <v>45901.63219907408</v>
      </c>
      <c r="C343" s="1" t="n">
        <v>46162</v>
      </c>
      <c r="D343" t="inlineStr">
        <is>
          <t>KALMAR LÄN</t>
        </is>
      </c>
      <c r="E343" t="inlineStr">
        <is>
          <t>VIMMERBY</t>
        </is>
      </c>
      <c r="G343" t="n">
        <v>1.7</v>
      </c>
      <c r="H343" t="n">
        <v>0</v>
      </c>
      <c r="I343" t="n">
        <v>0</v>
      </c>
      <c r="J343" t="n">
        <v>0</v>
      </c>
      <c r="K343" t="n">
        <v>0</v>
      </c>
      <c r="L343" t="n">
        <v>0</v>
      </c>
      <c r="M343" t="n">
        <v>0</v>
      </c>
      <c r="N343" t="n">
        <v>0</v>
      </c>
      <c r="O343" t="n">
        <v>0</v>
      </c>
      <c r="P343" t="n">
        <v>0</v>
      </c>
      <c r="Q343" t="n">
        <v>0</v>
      </c>
      <c r="R343" s="2" t="inlineStr"/>
    </row>
    <row r="344" ht="15" customHeight="1">
      <c r="A344" t="inlineStr">
        <is>
          <t>A 43092-2024</t>
        </is>
      </c>
      <c r="B344" s="1" t="n">
        <v>45567</v>
      </c>
      <c r="C344" s="1" t="n">
        <v>46162</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34090-2025</t>
        </is>
      </c>
      <c r="B345" s="1" t="n">
        <v>45845</v>
      </c>
      <c r="C345" s="1" t="n">
        <v>46162</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11619-2023</t>
        </is>
      </c>
      <c r="B346" s="1" t="n">
        <v>44994.42113425926</v>
      </c>
      <c r="C346" s="1" t="n">
        <v>46162</v>
      </c>
      <c r="D346" t="inlineStr">
        <is>
          <t>KALMAR LÄN</t>
        </is>
      </c>
      <c r="E346" t="inlineStr">
        <is>
          <t>VIMMERBY</t>
        </is>
      </c>
      <c r="G346" t="n">
        <v>2.5</v>
      </c>
      <c r="H346" t="n">
        <v>0</v>
      </c>
      <c r="I346" t="n">
        <v>0</v>
      </c>
      <c r="J346" t="n">
        <v>0</v>
      </c>
      <c r="K346" t="n">
        <v>0</v>
      </c>
      <c r="L346" t="n">
        <v>0</v>
      </c>
      <c r="M346" t="n">
        <v>0</v>
      </c>
      <c r="N346" t="n">
        <v>0</v>
      </c>
      <c r="O346" t="n">
        <v>0</v>
      </c>
      <c r="P346" t="n">
        <v>0</v>
      </c>
      <c r="Q346" t="n">
        <v>0</v>
      </c>
      <c r="R346" s="2" t="inlineStr"/>
    </row>
    <row r="347" ht="15" customHeight="1">
      <c r="A347" t="inlineStr">
        <is>
          <t>A 41735-2025</t>
        </is>
      </c>
      <c r="B347" s="1" t="n">
        <v>45902.47164351852</v>
      </c>
      <c r="C347" s="1" t="n">
        <v>46162</v>
      </c>
      <c r="D347" t="inlineStr">
        <is>
          <t>KALMAR LÄN</t>
        </is>
      </c>
      <c r="E347" t="inlineStr">
        <is>
          <t>VIMMERBY</t>
        </is>
      </c>
      <c r="G347" t="n">
        <v>3</v>
      </c>
      <c r="H347" t="n">
        <v>0</v>
      </c>
      <c r="I347" t="n">
        <v>0</v>
      </c>
      <c r="J347" t="n">
        <v>0</v>
      </c>
      <c r="K347" t="n">
        <v>0</v>
      </c>
      <c r="L347" t="n">
        <v>0</v>
      </c>
      <c r="M347" t="n">
        <v>0</v>
      </c>
      <c r="N347" t="n">
        <v>0</v>
      </c>
      <c r="O347" t="n">
        <v>0</v>
      </c>
      <c r="P347" t="n">
        <v>0</v>
      </c>
      <c r="Q347" t="n">
        <v>0</v>
      </c>
      <c r="R347" s="2" t="inlineStr"/>
    </row>
    <row r="348" ht="15" customHeight="1">
      <c r="A348" t="inlineStr">
        <is>
          <t>A 5074-2023</t>
        </is>
      </c>
      <c r="B348" s="1" t="n">
        <v>44958.61047453704</v>
      </c>
      <c r="C348" s="1" t="n">
        <v>46162</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6368-2023</t>
        </is>
      </c>
      <c r="B349" s="1" t="n">
        <v>44965</v>
      </c>
      <c r="C349" s="1" t="n">
        <v>46162</v>
      </c>
      <c r="D349" t="inlineStr">
        <is>
          <t>KALMAR LÄN</t>
        </is>
      </c>
      <c r="E349" t="inlineStr">
        <is>
          <t>VIMMERBY</t>
        </is>
      </c>
      <c r="G349" t="n">
        <v>1.3</v>
      </c>
      <c r="H349" t="n">
        <v>0</v>
      </c>
      <c r="I349" t="n">
        <v>0</v>
      </c>
      <c r="J349" t="n">
        <v>0</v>
      </c>
      <c r="K349" t="n">
        <v>0</v>
      </c>
      <c r="L349" t="n">
        <v>0</v>
      </c>
      <c r="M349" t="n">
        <v>0</v>
      </c>
      <c r="N349" t="n">
        <v>0</v>
      </c>
      <c r="O349" t="n">
        <v>0</v>
      </c>
      <c r="P349" t="n">
        <v>0</v>
      </c>
      <c r="Q349" t="n">
        <v>0</v>
      </c>
      <c r="R349" s="2" t="inlineStr"/>
    </row>
    <row r="350" ht="15" customHeight="1">
      <c r="A350" t="inlineStr">
        <is>
          <t>A 5701-2024</t>
        </is>
      </c>
      <c r="B350" s="1" t="n">
        <v>45334.78826388889</v>
      </c>
      <c r="C350" s="1" t="n">
        <v>46162</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7797-2023</t>
        </is>
      </c>
      <c r="B351" s="1" t="n">
        <v>44973.43075231482</v>
      </c>
      <c r="C351" s="1" t="n">
        <v>46162</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24655-2021</t>
        </is>
      </c>
      <c r="B352" s="1" t="n">
        <v>44340</v>
      </c>
      <c r="C352" s="1" t="n">
        <v>46162</v>
      </c>
      <c r="D352" t="inlineStr">
        <is>
          <t>KALMAR LÄN</t>
        </is>
      </c>
      <c r="E352" t="inlineStr">
        <is>
          <t>VIMMERBY</t>
        </is>
      </c>
      <c r="G352" t="n">
        <v>14.9</v>
      </c>
      <c r="H352" t="n">
        <v>0</v>
      </c>
      <c r="I352" t="n">
        <v>0</v>
      </c>
      <c r="J352" t="n">
        <v>0</v>
      </c>
      <c r="K352" t="n">
        <v>0</v>
      </c>
      <c r="L352" t="n">
        <v>0</v>
      </c>
      <c r="M352" t="n">
        <v>0</v>
      </c>
      <c r="N352" t="n">
        <v>0</v>
      </c>
      <c r="O352" t="n">
        <v>0</v>
      </c>
      <c r="P352" t="n">
        <v>0</v>
      </c>
      <c r="Q352" t="n">
        <v>0</v>
      </c>
      <c r="R352" s="2" t="inlineStr"/>
    </row>
    <row r="353" ht="15" customHeight="1">
      <c r="A353" t="inlineStr">
        <is>
          <t>A 42828-2025</t>
        </is>
      </c>
      <c r="B353" s="1" t="n">
        <v>45908.57716435185</v>
      </c>
      <c r="C353" s="1" t="n">
        <v>46162</v>
      </c>
      <c r="D353" t="inlineStr">
        <is>
          <t>KALMAR LÄN</t>
        </is>
      </c>
      <c r="E353" t="inlineStr">
        <is>
          <t>VIMMERBY</t>
        </is>
      </c>
      <c r="G353" t="n">
        <v>5.2</v>
      </c>
      <c r="H353" t="n">
        <v>0</v>
      </c>
      <c r="I353" t="n">
        <v>0</v>
      </c>
      <c r="J353" t="n">
        <v>0</v>
      </c>
      <c r="K353" t="n">
        <v>0</v>
      </c>
      <c r="L353" t="n">
        <v>0</v>
      </c>
      <c r="M353" t="n">
        <v>0</v>
      </c>
      <c r="N353" t="n">
        <v>0</v>
      </c>
      <c r="O353" t="n">
        <v>0</v>
      </c>
      <c r="P353" t="n">
        <v>0</v>
      </c>
      <c r="Q353" t="n">
        <v>0</v>
      </c>
      <c r="R353" s="2" t="inlineStr"/>
    </row>
    <row r="354" ht="15" customHeight="1">
      <c r="A354" t="inlineStr">
        <is>
          <t>A 42794-2025</t>
        </is>
      </c>
      <c r="B354" s="1" t="n">
        <v>45908</v>
      </c>
      <c r="C354" s="1" t="n">
        <v>46162</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8410-2023</t>
        </is>
      </c>
      <c r="B355" s="1" t="n">
        <v>44977</v>
      </c>
      <c r="C355" s="1" t="n">
        <v>46162</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6028-2023</t>
        </is>
      </c>
      <c r="B356" s="1" t="n">
        <v>44964.44356481481</v>
      </c>
      <c r="C356" s="1" t="n">
        <v>46162</v>
      </c>
      <c r="D356" t="inlineStr">
        <is>
          <t>KALMAR LÄN</t>
        </is>
      </c>
      <c r="E356" t="inlineStr">
        <is>
          <t>VIMMERBY</t>
        </is>
      </c>
      <c r="G356" t="n">
        <v>2.5</v>
      </c>
      <c r="H356" t="n">
        <v>0</v>
      </c>
      <c r="I356" t="n">
        <v>0</v>
      </c>
      <c r="J356" t="n">
        <v>0</v>
      </c>
      <c r="K356" t="n">
        <v>0</v>
      </c>
      <c r="L356" t="n">
        <v>0</v>
      </c>
      <c r="M356" t="n">
        <v>0</v>
      </c>
      <c r="N356" t="n">
        <v>0</v>
      </c>
      <c r="O356" t="n">
        <v>0</v>
      </c>
      <c r="P356" t="n">
        <v>0</v>
      </c>
      <c r="Q356" t="n">
        <v>0</v>
      </c>
      <c r="R356" s="2" t="inlineStr"/>
    </row>
    <row r="357" ht="15" customHeight="1">
      <c r="A357" t="inlineStr">
        <is>
          <t>A 42820-2025</t>
        </is>
      </c>
      <c r="B357" s="1" t="n">
        <v>45908</v>
      </c>
      <c r="C357" s="1" t="n">
        <v>46162</v>
      </c>
      <c r="D357" t="inlineStr">
        <is>
          <t>KALMAR LÄN</t>
        </is>
      </c>
      <c r="E357" t="inlineStr">
        <is>
          <t>VIMMERBY</t>
        </is>
      </c>
      <c r="G357" t="n">
        <v>1.2</v>
      </c>
      <c r="H357" t="n">
        <v>0</v>
      </c>
      <c r="I357" t="n">
        <v>0</v>
      </c>
      <c r="J357" t="n">
        <v>0</v>
      </c>
      <c r="K357" t="n">
        <v>0</v>
      </c>
      <c r="L357" t="n">
        <v>0</v>
      </c>
      <c r="M357" t="n">
        <v>0</v>
      </c>
      <c r="N357" t="n">
        <v>0</v>
      </c>
      <c r="O357" t="n">
        <v>0</v>
      </c>
      <c r="P357" t="n">
        <v>0</v>
      </c>
      <c r="Q357" t="n">
        <v>0</v>
      </c>
      <c r="R357" s="2" t="inlineStr"/>
    </row>
    <row r="358" ht="15" customHeight="1">
      <c r="A358" t="inlineStr">
        <is>
          <t>A 52823-2024</t>
        </is>
      </c>
      <c r="B358" s="1" t="n">
        <v>45610.59094907407</v>
      </c>
      <c r="C358" s="1" t="n">
        <v>46162</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34060-2025</t>
        </is>
      </c>
      <c r="B359" s="1" t="n">
        <v>45845.42015046296</v>
      </c>
      <c r="C359" s="1" t="n">
        <v>46162</v>
      </c>
      <c r="D359" t="inlineStr">
        <is>
          <t>KALMAR LÄN</t>
        </is>
      </c>
      <c r="E359" t="inlineStr">
        <is>
          <t>VIMMERBY</t>
        </is>
      </c>
      <c r="G359" t="n">
        <v>5.7</v>
      </c>
      <c r="H359" t="n">
        <v>0</v>
      </c>
      <c r="I359" t="n">
        <v>0</v>
      </c>
      <c r="J359" t="n">
        <v>0</v>
      </c>
      <c r="K359" t="n">
        <v>0</v>
      </c>
      <c r="L359" t="n">
        <v>0</v>
      </c>
      <c r="M359" t="n">
        <v>0</v>
      </c>
      <c r="N359" t="n">
        <v>0</v>
      </c>
      <c r="O359" t="n">
        <v>0</v>
      </c>
      <c r="P359" t="n">
        <v>0</v>
      </c>
      <c r="Q359" t="n">
        <v>0</v>
      </c>
      <c r="R359" s="2" t="inlineStr"/>
    </row>
    <row r="360" ht="15" customHeight="1">
      <c r="A360" t="inlineStr">
        <is>
          <t>A 56853-2022</t>
        </is>
      </c>
      <c r="B360" s="1" t="n">
        <v>44894.49538194444</v>
      </c>
      <c r="C360" s="1" t="n">
        <v>46162</v>
      </c>
      <c r="D360" t="inlineStr">
        <is>
          <t>KALMAR LÄN</t>
        </is>
      </c>
      <c r="E360" t="inlineStr">
        <is>
          <t>VIMMERBY</t>
        </is>
      </c>
      <c r="G360" t="n">
        <v>4.3</v>
      </c>
      <c r="H360" t="n">
        <v>0</v>
      </c>
      <c r="I360" t="n">
        <v>0</v>
      </c>
      <c r="J360" t="n">
        <v>0</v>
      </c>
      <c r="K360" t="n">
        <v>0</v>
      </c>
      <c r="L360" t="n">
        <v>0</v>
      </c>
      <c r="M360" t="n">
        <v>0</v>
      </c>
      <c r="N360" t="n">
        <v>0</v>
      </c>
      <c r="O360" t="n">
        <v>0</v>
      </c>
      <c r="P360" t="n">
        <v>0</v>
      </c>
      <c r="Q360" t="n">
        <v>0</v>
      </c>
      <c r="R360" s="2" t="inlineStr"/>
    </row>
    <row r="361" ht="15" customHeight="1">
      <c r="A361" t="inlineStr">
        <is>
          <t>A 11152-2023</t>
        </is>
      </c>
      <c r="B361" s="1" t="n">
        <v>44992</v>
      </c>
      <c r="C361" s="1" t="n">
        <v>46162</v>
      </c>
      <c r="D361" t="inlineStr">
        <is>
          <t>KALMAR LÄN</t>
        </is>
      </c>
      <c r="E361" t="inlineStr">
        <is>
          <t>VIMMERBY</t>
        </is>
      </c>
      <c r="G361" t="n">
        <v>10.6</v>
      </c>
      <c r="H361" t="n">
        <v>0</v>
      </c>
      <c r="I361" t="n">
        <v>0</v>
      </c>
      <c r="J361" t="n">
        <v>0</v>
      </c>
      <c r="K361" t="n">
        <v>0</v>
      </c>
      <c r="L361" t="n">
        <v>0</v>
      </c>
      <c r="M361" t="n">
        <v>0</v>
      </c>
      <c r="N361" t="n">
        <v>0</v>
      </c>
      <c r="O361" t="n">
        <v>0</v>
      </c>
      <c r="P361" t="n">
        <v>0</v>
      </c>
      <c r="Q361" t="n">
        <v>0</v>
      </c>
      <c r="R361" s="2" t="inlineStr"/>
    </row>
    <row r="362" ht="15" customHeight="1">
      <c r="A362" t="inlineStr">
        <is>
          <t>A 15550-2023</t>
        </is>
      </c>
      <c r="B362" s="1" t="n">
        <v>45020</v>
      </c>
      <c r="C362" s="1" t="n">
        <v>46162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43617-2025</t>
        </is>
      </c>
      <c r="B363" s="1" t="n">
        <v>45911.67798611111</v>
      </c>
      <c r="C363" s="1" t="n">
        <v>46162</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31355-2023</t>
        </is>
      </c>
      <c r="B364" s="1" t="n">
        <v>45114.49505787037</v>
      </c>
      <c r="C364" s="1" t="n">
        <v>46162</v>
      </c>
      <c r="D364" t="inlineStr">
        <is>
          <t>KALMAR LÄN</t>
        </is>
      </c>
      <c r="E364" t="inlineStr">
        <is>
          <t>VIMMERBY</t>
        </is>
      </c>
      <c r="G364" t="n">
        <v>1.3</v>
      </c>
      <c r="H364" t="n">
        <v>0</v>
      </c>
      <c r="I364" t="n">
        <v>0</v>
      </c>
      <c r="J364" t="n">
        <v>0</v>
      </c>
      <c r="K364" t="n">
        <v>0</v>
      </c>
      <c r="L364" t="n">
        <v>0</v>
      </c>
      <c r="M364" t="n">
        <v>0</v>
      </c>
      <c r="N364" t="n">
        <v>0</v>
      </c>
      <c r="O364" t="n">
        <v>0</v>
      </c>
      <c r="P364" t="n">
        <v>0</v>
      </c>
      <c r="Q364" t="n">
        <v>0</v>
      </c>
      <c r="R364" s="2" t="inlineStr"/>
    </row>
    <row r="365" ht="15" customHeight="1">
      <c r="A365" t="inlineStr">
        <is>
          <t>A 43465-2025</t>
        </is>
      </c>
      <c r="B365" s="1" t="n">
        <v>45911.47138888889</v>
      </c>
      <c r="C365" s="1" t="n">
        <v>46162</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18330-2023</t>
        </is>
      </c>
      <c r="B366" s="1" t="n">
        <v>45041</v>
      </c>
      <c r="C366" s="1" t="n">
        <v>46162</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46162</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27993-2022</t>
        </is>
      </c>
      <c r="B368" s="1" t="n">
        <v>44745.84396990741</v>
      </c>
      <c r="C368" s="1" t="n">
        <v>46162</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44329-2025</t>
        </is>
      </c>
      <c r="B369" s="1" t="n">
        <v>45916.41019675926</v>
      </c>
      <c r="C369" s="1" t="n">
        <v>46162</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38969-2023</t>
        </is>
      </c>
      <c r="B370" s="1" t="n">
        <v>45163.63621527778</v>
      </c>
      <c r="C370" s="1" t="n">
        <v>46162</v>
      </c>
      <c r="D370" t="inlineStr">
        <is>
          <t>KALMAR LÄN</t>
        </is>
      </c>
      <c r="E370" t="inlineStr">
        <is>
          <t>VIMMERBY</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44517-2025</t>
        </is>
      </c>
      <c r="B371" s="1" t="n">
        <v>45916.7103587963</v>
      </c>
      <c r="C371" s="1" t="n">
        <v>46162</v>
      </c>
      <c r="D371" t="inlineStr">
        <is>
          <t>KALMAR LÄN</t>
        </is>
      </c>
      <c r="E371" t="inlineStr">
        <is>
          <t>VIMMERBY</t>
        </is>
      </c>
      <c r="G371" t="n">
        <v>0.9</v>
      </c>
      <c r="H371" t="n">
        <v>0</v>
      </c>
      <c r="I371" t="n">
        <v>0</v>
      </c>
      <c r="J371" t="n">
        <v>0</v>
      </c>
      <c r="K371" t="n">
        <v>0</v>
      </c>
      <c r="L371" t="n">
        <v>0</v>
      </c>
      <c r="M371" t="n">
        <v>0</v>
      </c>
      <c r="N371" t="n">
        <v>0</v>
      </c>
      <c r="O371" t="n">
        <v>0</v>
      </c>
      <c r="P371" t="n">
        <v>0</v>
      </c>
      <c r="Q371" t="n">
        <v>0</v>
      </c>
      <c r="R371" s="2" t="inlineStr"/>
    </row>
    <row r="372" ht="15" customHeight="1">
      <c r="A372" t="inlineStr">
        <is>
          <t>A 53752-2024</t>
        </is>
      </c>
      <c r="B372" s="1" t="n">
        <v>45615.48927083334</v>
      </c>
      <c r="C372" s="1" t="n">
        <v>46162</v>
      </c>
      <c r="D372" t="inlineStr">
        <is>
          <t>KALMAR LÄN</t>
        </is>
      </c>
      <c r="E372" t="inlineStr">
        <is>
          <t>VIMMERBY</t>
        </is>
      </c>
      <c r="G372" t="n">
        <v>2.4</v>
      </c>
      <c r="H372" t="n">
        <v>0</v>
      </c>
      <c r="I372" t="n">
        <v>0</v>
      </c>
      <c r="J372" t="n">
        <v>0</v>
      </c>
      <c r="K372" t="n">
        <v>0</v>
      </c>
      <c r="L372" t="n">
        <v>0</v>
      </c>
      <c r="M372" t="n">
        <v>0</v>
      </c>
      <c r="N372" t="n">
        <v>0</v>
      </c>
      <c r="O372" t="n">
        <v>0</v>
      </c>
      <c r="P372" t="n">
        <v>0</v>
      </c>
      <c r="Q372" t="n">
        <v>0</v>
      </c>
      <c r="R372" s="2" t="inlineStr"/>
    </row>
    <row r="373" ht="15" customHeight="1">
      <c r="A373" t="inlineStr">
        <is>
          <t>A 44091-2025</t>
        </is>
      </c>
      <c r="B373" s="1" t="n">
        <v>45915.55950231481</v>
      </c>
      <c r="C373" s="1" t="n">
        <v>46162</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44095-2025</t>
        </is>
      </c>
      <c r="B374" s="1" t="n">
        <v>45915.56430555556</v>
      </c>
      <c r="C374" s="1" t="n">
        <v>46162</v>
      </c>
      <c r="D374" t="inlineStr">
        <is>
          <t>KALMAR LÄN</t>
        </is>
      </c>
      <c r="E374" t="inlineStr">
        <is>
          <t>VIMMERBY</t>
        </is>
      </c>
      <c r="G374" t="n">
        <v>2.4</v>
      </c>
      <c r="H374" t="n">
        <v>0</v>
      </c>
      <c r="I374" t="n">
        <v>0</v>
      </c>
      <c r="J374" t="n">
        <v>0</v>
      </c>
      <c r="K374" t="n">
        <v>0</v>
      </c>
      <c r="L374" t="n">
        <v>0</v>
      </c>
      <c r="M374" t="n">
        <v>0</v>
      </c>
      <c r="N374" t="n">
        <v>0</v>
      </c>
      <c r="O374" t="n">
        <v>0</v>
      </c>
      <c r="P374" t="n">
        <v>0</v>
      </c>
      <c r="Q374" t="n">
        <v>0</v>
      </c>
      <c r="R374" s="2" t="inlineStr"/>
    </row>
    <row r="375" ht="15" customHeight="1">
      <c r="A375" t="inlineStr">
        <is>
          <t>A 44742-2025</t>
        </is>
      </c>
      <c r="B375" s="1" t="n">
        <v>45917.67054398148</v>
      </c>
      <c r="C375" s="1" t="n">
        <v>46162</v>
      </c>
      <c r="D375" t="inlineStr">
        <is>
          <t>KALMAR LÄN</t>
        </is>
      </c>
      <c r="E375" t="inlineStr">
        <is>
          <t>VIMMERBY</t>
        </is>
      </c>
      <c r="G375" t="n">
        <v>4.7</v>
      </c>
      <c r="H375" t="n">
        <v>0</v>
      </c>
      <c r="I375" t="n">
        <v>0</v>
      </c>
      <c r="J375" t="n">
        <v>0</v>
      </c>
      <c r="K375" t="n">
        <v>0</v>
      </c>
      <c r="L375" t="n">
        <v>0</v>
      </c>
      <c r="M375" t="n">
        <v>0</v>
      </c>
      <c r="N375" t="n">
        <v>0</v>
      </c>
      <c r="O375" t="n">
        <v>0</v>
      </c>
      <c r="P375" t="n">
        <v>0</v>
      </c>
      <c r="Q375" t="n">
        <v>0</v>
      </c>
      <c r="R375" s="2" t="inlineStr"/>
    </row>
    <row r="376" ht="15" customHeight="1">
      <c r="A376" t="inlineStr">
        <is>
          <t>A 58728-2024</t>
        </is>
      </c>
      <c r="B376" s="1" t="n">
        <v>45635.66695601852</v>
      </c>
      <c r="C376" s="1" t="n">
        <v>46162</v>
      </c>
      <c r="D376" t="inlineStr">
        <is>
          <t>KALMAR LÄN</t>
        </is>
      </c>
      <c r="E376" t="inlineStr">
        <is>
          <t>VIMMERBY</t>
        </is>
      </c>
      <c r="G376" t="n">
        <v>0.4</v>
      </c>
      <c r="H376" t="n">
        <v>0</v>
      </c>
      <c r="I376" t="n">
        <v>0</v>
      </c>
      <c r="J376" t="n">
        <v>0</v>
      </c>
      <c r="K376" t="n">
        <v>0</v>
      </c>
      <c r="L376" t="n">
        <v>0</v>
      </c>
      <c r="M376" t="n">
        <v>0</v>
      </c>
      <c r="N376" t="n">
        <v>0</v>
      </c>
      <c r="O376" t="n">
        <v>0</v>
      </c>
      <c r="P376" t="n">
        <v>0</v>
      </c>
      <c r="Q376" t="n">
        <v>0</v>
      </c>
      <c r="R376" s="2" t="inlineStr"/>
    </row>
    <row r="377" ht="15" customHeight="1">
      <c r="A377" t="inlineStr">
        <is>
          <t>A 41896-2025</t>
        </is>
      </c>
      <c r="B377" s="1" t="n">
        <v>45903.38800925926</v>
      </c>
      <c r="C377" s="1" t="n">
        <v>46162</v>
      </c>
      <c r="D377" t="inlineStr">
        <is>
          <t>KALMAR LÄN</t>
        </is>
      </c>
      <c r="E377" t="inlineStr">
        <is>
          <t>VIMMERBY</t>
        </is>
      </c>
      <c r="G377" t="n">
        <v>2.9</v>
      </c>
      <c r="H377" t="n">
        <v>0</v>
      </c>
      <c r="I377" t="n">
        <v>0</v>
      </c>
      <c r="J377" t="n">
        <v>0</v>
      </c>
      <c r="K377" t="n">
        <v>0</v>
      </c>
      <c r="L377" t="n">
        <v>0</v>
      </c>
      <c r="M377" t="n">
        <v>0</v>
      </c>
      <c r="N377" t="n">
        <v>0</v>
      </c>
      <c r="O377" t="n">
        <v>0</v>
      </c>
      <c r="P377" t="n">
        <v>0</v>
      </c>
      <c r="Q377" t="n">
        <v>0</v>
      </c>
      <c r="R377" s="2" t="inlineStr"/>
    </row>
    <row r="378" ht="15" customHeight="1">
      <c r="A378" t="inlineStr">
        <is>
          <t>A 43242-2024</t>
        </is>
      </c>
      <c r="B378" s="1" t="n">
        <v>45568.30189814815</v>
      </c>
      <c r="C378" s="1" t="n">
        <v>46162</v>
      </c>
      <c r="D378" t="inlineStr">
        <is>
          <t>KALMAR LÄN</t>
        </is>
      </c>
      <c r="E378" t="inlineStr">
        <is>
          <t>VIMMERBY</t>
        </is>
      </c>
      <c r="G378" t="n">
        <v>2.6</v>
      </c>
      <c r="H378" t="n">
        <v>0</v>
      </c>
      <c r="I378" t="n">
        <v>0</v>
      </c>
      <c r="J378" t="n">
        <v>0</v>
      </c>
      <c r="K378" t="n">
        <v>0</v>
      </c>
      <c r="L378" t="n">
        <v>0</v>
      </c>
      <c r="M378" t="n">
        <v>0</v>
      </c>
      <c r="N378" t="n">
        <v>0</v>
      </c>
      <c r="O378" t="n">
        <v>0</v>
      </c>
      <c r="P378" t="n">
        <v>0</v>
      </c>
      <c r="Q378" t="n">
        <v>0</v>
      </c>
      <c r="R378" s="2" t="inlineStr"/>
    </row>
    <row r="379" ht="15" customHeight="1">
      <c r="A379" t="inlineStr">
        <is>
          <t>A 16983-2023</t>
        </is>
      </c>
      <c r="B379" s="1" t="n">
        <v>45033.76043981482</v>
      </c>
      <c r="C379" s="1" t="n">
        <v>46162</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6405-2025</t>
        </is>
      </c>
      <c r="B380" s="1" t="n">
        <v>45699.45392361111</v>
      </c>
      <c r="C380" s="1" t="n">
        <v>46162</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36843-2023</t>
        </is>
      </c>
      <c r="B381" s="1" t="n">
        <v>45154.49831018518</v>
      </c>
      <c r="C381" s="1" t="n">
        <v>46162</v>
      </c>
      <c r="D381" t="inlineStr">
        <is>
          <t>KALMAR LÄN</t>
        </is>
      </c>
      <c r="E381" t="inlineStr">
        <is>
          <t>VIMMERBY</t>
        </is>
      </c>
      <c r="G381" t="n">
        <v>2</v>
      </c>
      <c r="H381" t="n">
        <v>0</v>
      </c>
      <c r="I381" t="n">
        <v>0</v>
      </c>
      <c r="J381" t="n">
        <v>0</v>
      </c>
      <c r="K381" t="n">
        <v>0</v>
      </c>
      <c r="L381" t="n">
        <v>0</v>
      </c>
      <c r="M381" t="n">
        <v>0</v>
      </c>
      <c r="N381" t="n">
        <v>0</v>
      </c>
      <c r="O381" t="n">
        <v>0</v>
      </c>
      <c r="P381" t="n">
        <v>0</v>
      </c>
      <c r="Q381" t="n">
        <v>0</v>
      </c>
      <c r="R381" s="2" t="inlineStr"/>
    </row>
    <row r="382" ht="15" customHeight="1">
      <c r="A382" t="inlineStr">
        <is>
          <t>A 57486-2024</t>
        </is>
      </c>
      <c r="B382" s="1" t="n">
        <v>45630.35827546296</v>
      </c>
      <c r="C382" s="1" t="n">
        <v>46162</v>
      </c>
      <c r="D382" t="inlineStr">
        <is>
          <t>KALMAR LÄN</t>
        </is>
      </c>
      <c r="E382" t="inlineStr">
        <is>
          <t>VIMMERBY</t>
        </is>
      </c>
      <c r="G382" t="n">
        <v>0.4</v>
      </c>
      <c r="H382" t="n">
        <v>0</v>
      </c>
      <c r="I382" t="n">
        <v>0</v>
      </c>
      <c r="J382" t="n">
        <v>0</v>
      </c>
      <c r="K382" t="n">
        <v>0</v>
      </c>
      <c r="L382" t="n">
        <v>0</v>
      </c>
      <c r="M382" t="n">
        <v>0</v>
      </c>
      <c r="N382" t="n">
        <v>0</v>
      </c>
      <c r="O382" t="n">
        <v>0</v>
      </c>
      <c r="P382" t="n">
        <v>0</v>
      </c>
      <c r="Q382" t="n">
        <v>0</v>
      </c>
      <c r="R382" s="2" t="inlineStr"/>
    </row>
    <row r="383" ht="15" customHeight="1">
      <c r="A383" t="inlineStr">
        <is>
          <t>A 45319-2025</t>
        </is>
      </c>
      <c r="B383" s="1" t="n">
        <v>45921.95611111111</v>
      </c>
      <c r="C383" s="1" t="n">
        <v>46162</v>
      </c>
      <c r="D383" t="inlineStr">
        <is>
          <t>KALMAR LÄN</t>
        </is>
      </c>
      <c r="E383" t="inlineStr">
        <is>
          <t>VIMMERBY</t>
        </is>
      </c>
      <c r="G383" t="n">
        <v>1</v>
      </c>
      <c r="H383" t="n">
        <v>0</v>
      </c>
      <c r="I383" t="n">
        <v>0</v>
      </c>
      <c r="J383" t="n">
        <v>0</v>
      </c>
      <c r="K383" t="n">
        <v>0</v>
      </c>
      <c r="L383" t="n">
        <v>0</v>
      </c>
      <c r="M383" t="n">
        <v>0</v>
      </c>
      <c r="N383" t="n">
        <v>0</v>
      </c>
      <c r="O383" t="n">
        <v>0</v>
      </c>
      <c r="P383" t="n">
        <v>0</v>
      </c>
      <c r="Q383" t="n">
        <v>0</v>
      </c>
      <c r="R383" s="2" t="inlineStr"/>
    </row>
    <row r="384" ht="15" customHeight="1">
      <c r="A384" t="inlineStr">
        <is>
          <t>A 45320-2025</t>
        </is>
      </c>
      <c r="B384" s="1" t="n">
        <v>45921.96395833333</v>
      </c>
      <c r="C384" s="1" t="n">
        <v>46162</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46162</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44423-2023</t>
        </is>
      </c>
      <c r="B386" s="1" t="n">
        <v>45189</v>
      </c>
      <c r="C386" s="1" t="n">
        <v>46162</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20-2025</t>
        </is>
      </c>
      <c r="B387" s="1" t="n">
        <v>45658.80232638889</v>
      </c>
      <c r="C387" s="1" t="n">
        <v>46162</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23-2025</t>
        </is>
      </c>
      <c r="B388" s="1" t="n">
        <v>45658.80827546296</v>
      </c>
      <c r="C388" s="1" t="n">
        <v>46162</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46118-2025</t>
        </is>
      </c>
      <c r="B389" s="1" t="n">
        <v>45924.57697916667</v>
      </c>
      <c r="C389" s="1" t="n">
        <v>46162</v>
      </c>
      <c r="D389" t="inlineStr">
        <is>
          <t>KALMAR LÄN</t>
        </is>
      </c>
      <c r="E389" t="inlineStr">
        <is>
          <t>VIMMERBY</t>
        </is>
      </c>
      <c r="G389" t="n">
        <v>2.9</v>
      </c>
      <c r="H389" t="n">
        <v>0</v>
      </c>
      <c r="I389" t="n">
        <v>0</v>
      </c>
      <c r="J389" t="n">
        <v>0</v>
      </c>
      <c r="K389" t="n">
        <v>0</v>
      </c>
      <c r="L389" t="n">
        <v>0</v>
      </c>
      <c r="M389" t="n">
        <v>0</v>
      </c>
      <c r="N389" t="n">
        <v>0</v>
      </c>
      <c r="O389" t="n">
        <v>0</v>
      </c>
      <c r="P389" t="n">
        <v>0</v>
      </c>
      <c r="Q389" t="n">
        <v>0</v>
      </c>
      <c r="R389" s="2" t="inlineStr"/>
    </row>
    <row r="390" ht="15" customHeight="1">
      <c r="A390" t="inlineStr">
        <is>
          <t>A 21496-2023</t>
        </is>
      </c>
      <c r="B390" s="1" t="n">
        <v>45063.49936342592</v>
      </c>
      <c r="C390" s="1" t="n">
        <v>46162</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45854-2025</t>
        </is>
      </c>
      <c r="B391" s="1" t="n">
        <v>45923</v>
      </c>
      <c r="C391" s="1" t="n">
        <v>46162</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45855-2025</t>
        </is>
      </c>
      <c r="B392" s="1" t="n">
        <v>45923</v>
      </c>
      <c r="C392" s="1" t="n">
        <v>46162</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31056-2022</t>
        </is>
      </c>
      <c r="B393" s="1" t="n">
        <v>44769.45805555556</v>
      </c>
      <c r="C393" s="1" t="n">
        <v>46162</v>
      </c>
      <c r="D393" t="inlineStr">
        <is>
          <t>KALMAR LÄN</t>
        </is>
      </c>
      <c r="E393" t="inlineStr">
        <is>
          <t>VIMMERBY</t>
        </is>
      </c>
      <c r="G393" t="n">
        <v>2</v>
      </c>
      <c r="H393" t="n">
        <v>0</v>
      </c>
      <c r="I393" t="n">
        <v>0</v>
      </c>
      <c r="J393" t="n">
        <v>0</v>
      </c>
      <c r="K393" t="n">
        <v>0</v>
      </c>
      <c r="L393" t="n">
        <v>0</v>
      </c>
      <c r="M393" t="n">
        <v>0</v>
      </c>
      <c r="N393" t="n">
        <v>0</v>
      </c>
      <c r="O393" t="n">
        <v>0</v>
      </c>
      <c r="P393" t="n">
        <v>0</v>
      </c>
      <c r="Q393" t="n">
        <v>0</v>
      </c>
      <c r="R393" s="2" t="inlineStr"/>
    </row>
    <row r="394" ht="15" customHeight="1">
      <c r="A394" t="inlineStr">
        <is>
          <t>A 46361-2025</t>
        </is>
      </c>
      <c r="B394" s="1" t="n">
        <v>45925.49670138889</v>
      </c>
      <c r="C394" s="1" t="n">
        <v>46162</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46365-2025</t>
        </is>
      </c>
      <c r="B395" s="1" t="n">
        <v>45925.50075231482</v>
      </c>
      <c r="C395" s="1" t="n">
        <v>46162</v>
      </c>
      <c r="D395" t="inlineStr">
        <is>
          <t>KALMAR LÄN</t>
        </is>
      </c>
      <c r="E395" t="inlineStr">
        <is>
          <t>VIMMERBY</t>
        </is>
      </c>
      <c r="G395" t="n">
        <v>5.6</v>
      </c>
      <c r="H395" t="n">
        <v>0</v>
      </c>
      <c r="I395" t="n">
        <v>0</v>
      </c>
      <c r="J395" t="n">
        <v>0</v>
      </c>
      <c r="K395" t="n">
        <v>0</v>
      </c>
      <c r="L395" t="n">
        <v>0</v>
      </c>
      <c r="M395" t="n">
        <v>0</v>
      </c>
      <c r="N395" t="n">
        <v>0</v>
      </c>
      <c r="O395" t="n">
        <v>0</v>
      </c>
      <c r="P395" t="n">
        <v>0</v>
      </c>
      <c r="Q395" t="n">
        <v>0</v>
      </c>
      <c r="R395" s="2" t="inlineStr"/>
    </row>
    <row r="396" ht="15" customHeight="1">
      <c r="A396" t="inlineStr">
        <is>
          <t>A 72701-2021</t>
        </is>
      </c>
      <c r="B396" s="1" t="n">
        <v>44546</v>
      </c>
      <c r="C396" s="1" t="n">
        <v>46162</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52294-2023</t>
        </is>
      </c>
      <c r="B397" s="1" t="n">
        <v>45224.60075231481</v>
      </c>
      <c r="C397" s="1" t="n">
        <v>46162</v>
      </c>
      <c r="D397" t="inlineStr">
        <is>
          <t>KALMAR LÄN</t>
        </is>
      </c>
      <c r="E397" t="inlineStr">
        <is>
          <t>VIMMERBY</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61355-2024</t>
        </is>
      </c>
      <c r="B398" s="1" t="n">
        <v>45646.38200231481</v>
      </c>
      <c r="C398" s="1" t="n">
        <v>46162</v>
      </c>
      <c r="D398" t="inlineStr">
        <is>
          <t>KALMAR LÄN</t>
        </is>
      </c>
      <c r="E398" t="inlineStr">
        <is>
          <t>VIMMERBY</t>
        </is>
      </c>
      <c r="G398" t="n">
        <v>2.7</v>
      </c>
      <c r="H398" t="n">
        <v>0</v>
      </c>
      <c r="I398" t="n">
        <v>0</v>
      </c>
      <c r="J398" t="n">
        <v>0</v>
      </c>
      <c r="K398" t="n">
        <v>0</v>
      </c>
      <c r="L398" t="n">
        <v>0</v>
      </c>
      <c r="M398" t="n">
        <v>0</v>
      </c>
      <c r="N398" t="n">
        <v>0</v>
      </c>
      <c r="O398" t="n">
        <v>0</v>
      </c>
      <c r="P398" t="n">
        <v>0</v>
      </c>
      <c r="Q398" t="n">
        <v>0</v>
      </c>
      <c r="R398" s="2" t="inlineStr"/>
    </row>
    <row r="399" ht="15" customHeight="1">
      <c r="A399" t="inlineStr">
        <is>
          <t>A 45856-2025</t>
        </is>
      </c>
      <c r="B399" s="1" t="n">
        <v>45923</v>
      </c>
      <c r="C399" s="1" t="n">
        <v>46162</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33374-2021</t>
        </is>
      </c>
      <c r="B400" s="1" t="n">
        <v>44377</v>
      </c>
      <c r="C400" s="1" t="n">
        <v>46162</v>
      </c>
      <c r="D400" t="inlineStr">
        <is>
          <t>KALMAR LÄN</t>
        </is>
      </c>
      <c r="E400" t="inlineStr">
        <is>
          <t>VIMMERBY</t>
        </is>
      </c>
      <c r="G400" t="n">
        <v>3.3</v>
      </c>
      <c r="H400" t="n">
        <v>0</v>
      </c>
      <c r="I400" t="n">
        <v>0</v>
      </c>
      <c r="J400" t="n">
        <v>0</v>
      </c>
      <c r="K400" t="n">
        <v>0</v>
      </c>
      <c r="L400" t="n">
        <v>0</v>
      </c>
      <c r="M400" t="n">
        <v>0</v>
      </c>
      <c r="N400" t="n">
        <v>0</v>
      </c>
      <c r="O400" t="n">
        <v>0</v>
      </c>
      <c r="P400" t="n">
        <v>0</v>
      </c>
      <c r="Q400" t="n">
        <v>0</v>
      </c>
      <c r="R400" s="2" t="inlineStr"/>
    </row>
    <row r="401" ht="15" customHeight="1">
      <c r="A401" t="inlineStr">
        <is>
          <t>A 46887-2025</t>
        </is>
      </c>
      <c r="B401" s="1" t="n">
        <v>45929.3672337963</v>
      </c>
      <c r="C401" s="1" t="n">
        <v>46162</v>
      </c>
      <c r="D401" t="inlineStr">
        <is>
          <t>KALMAR LÄN</t>
        </is>
      </c>
      <c r="E401" t="inlineStr">
        <is>
          <t>VIMMERBY</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10759-2023</t>
        </is>
      </c>
      <c r="B402" s="1" t="n">
        <v>44988</v>
      </c>
      <c r="C402" s="1" t="n">
        <v>46162</v>
      </c>
      <c r="D402" t="inlineStr">
        <is>
          <t>KALMAR LÄN</t>
        </is>
      </c>
      <c r="E402" t="inlineStr">
        <is>
          <t>VIMMERBY</t>
        </is>
      </c>
      <c r="G402" t="n">
        <v>0.4</v>
      </c>
      <c r="H402" t="n">
        <v>0</v>
      </c>
      <c r="I402" t="n">
        <v>0</v>
      </c>
      <c r="J402" t="n">
        <v>0</v>
      </c>
      <c r="K402" t="n">
        <v>0</v>
      </c>
      <c r="L402" t="n">
        <v>0</v>
      </c>
      <c r="M402" t="n">
        <v>0</v>
      </c>
      <c r="N402" t="n">
        <v>0</v>
      </c>
      <c r="O402" t="n">
        <v>0</v>
      </c>
      <c r="P402" t="n">
        <v>0</v>
      </c>
      <c r="Q402" t="n">
        <v>0</v>
      </c>
      <c r="R402" s="2" t="inlineStr"/>
    </row>
    <row r="403" ht="15" customHeight="1">
      <c r="A403" t="inlineStr">
        <is>
          <t>A 18899-2025</t>
        </is>
      </c>
      <c r="B403" s="1" t="n">
        <v>45764.44931712963</v>
      </c>
      <c r="C403" s="1" t="n">
        <v>46162</v>
      </c>
      <c r="D403" t="inlineStr">
        <is>
          <t>KALMAR LÄN</t>
        </is>
      </c>
      <c r="E403" t="inlineStr">
        <is>
          <t>VIMMERBY</t>
        </is>
      </c>
      <c r="F403" t="inlineStr">
        <is>
          <t>Kommuner</t>
        </is>
      </c>
      <c r="G403" t="n">
        <v>4</v>
      </c>
      <c r="H403" t="n">
        <v>0</v>
      </c>
      <c r="I403" t="n">
        <v>0</v>
      </c>
      <c r="J403" t="n">
        <v>0</v>
      </c>
      <c r="K403" t="n">
        <v>0</v>
      </c>
      <c r="L403" t="n">
        <v>0</v>
      </c>
      <c r="M403" t="n">
        <v>0</v>
      </c>
      <c r="N403" t="n">
        <v>0</v>
      </c>
      <c r="O403" t="n">
        <v>0</v>
      </c>
      <c r="P403" t="n">
        <v>0</v>
      </c>
      <c r="Q403" t="n">
        <v>0</v>
      </c>
      <c r="R403" s="2" t="inlineStr"/>
    </row>
    <row r="404" ht="15" customHeight="1">
      <c r="A404" t="inlineStr">
        <is>
          <t>A 47227-2025</t>
        </is>
      </c>
      <c r="B404" s="1" t="n">
        <v>45930.39769675926</v>
      </c>
      <c r="C404" s="1" t="n">
        <v>46162</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32614-2023</t>
        </is>
      </c>
      <c r="B405" s="1" t="n">
        <v>45121</v>
      </c>
      <c r="C405" s="1" t="n">
        <v>46162</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61939-2021</t>
        </is>
      </c>
      <c r="B406" s="1" t="n">
        <v>44502</v>
      </c>
      <c r="C406" s="1" t="n">
        <v>46162</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47965-2025</t>
        </is>
      </c>
      <c r="B407" s="1" t="n">
        <v>45932.59597222223</v>
      </c>
      <c r="C407" s="1" t="n">
        <v>46162</v>
      </c>
      <c r="D407" t="inlineStr">
        <is>
          <t>KALMAR LÄN</t>
        </is>
      </c>
      <c r="E407" t="inlineStr">
        <is>
          <t>VIMMERBY</t>
        </is>
      </c>
      <c r="G407" t="n">
        <v>2.2</v>
      </c>
      <c r="H407" t="n">
        <v>0</v>
      </c>
      <c r="I407" t="n">
        <v>0</v>
      </c>
      <c r="J407" t="n">
        <v>0</v>
      </c>
      <c r="K407" t="n">
        <v>0</v>
      </c>
      <c r="L407" t="n">
        <v>0</v>
      </c>
      <c r="M407" t="n">
        <v>0</v>
      </c>
      <c r="N407" t="n">
        <v>0</v>
      </c>
      <c r="O407" t="n">
        <v>0</v>
      </c>
      <c r="P407" t="n">
        <v>0</v>
      </c>
      <c r="Q407" t="n">
        <v>0</v>
      </c>
      <c r="R407" s="2" t="inlineStr"/>
    </row>
    <row r="408" ht="15" customHeight="1">
      <c r="A408" t="inlineStr">
        <is>
          <t>A 47955-2025</t>
        </is>
      </c>
      <c r="B408" s="1" t="n">
        <v>45932.58896990741</v>
      </c>
      <c r="C408" s="1" t="n">
        <v>46162</v>
      </c>
      <c r="D408" t="inlineStr">
        <is>
          <t>KALMAR LÄN</t>
        </is>
      </c>
      <c r="E408" t="inlineStr">
        <is>
          <t>VIMMERBY</t>
        </is>
      </c>
      <c r="G408" t="n">
        <v>3.4</v>
      </c>
      <c r="H408" t="n">
        <v>0</v>
      </c>
      <c r="I408" t="n">
        <v>0</v>
      </c>
      <c r="J408" t="n">
        <v>0</v>
      </c>
      <c r="K408" t="n">
        <v>0</v>
      </c>
      <c r="L408" t="n">
        <v>0</v>
      </c>
      <c r="M408" t="n">
        <v>0</v>
      </c>
      <c r="N408" t="n">
        <v>0</v>
      </c>
      <c r="O408" t="n">
        <v>0</v>
      </c>
      <c r="P408" t="n">
        <v>0</v>
      </c>
      <c r="Q408" t="n">
        <v>0</v>
      </c>
      <c r="R408" s="2" t="inlineStr"/>
    </row>
    <row r="409" ht="15" customHeight="1">
      <c r="A409" t="inlineStr">
        <is>
          <t>A 48299-2025</t>
        </is>
      </c>
      <c r="B409" s="1" t="n">
        <v>45933.60982638889</v>
      </c>
      <c r="C409" s="1" t="n">
        <v>46162</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6218-2025</t>
        </is>
      </c>
      <c r="B410" s="1" t="n">
        <v>45698.53336805556</v>
      </c>
      <c r="C410" s="1" t="n">
        <v>46162</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40076-2021</t>
        </is>
      </c>
      <c r="B411" s="1" t="n">
        <v>44418</v>
      </c>
      <c r="C411" s="1" t="n">
        <v>46162</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48723-2025</t>
        </is>
      </c>
      <c r="B412" s="1" t="n">
        <v>45936.65121527778</v>
      </c>
      <c r="C412" s="1" t="n">
        <v>46162</v>
      </c>
      <c r="D412" t="inlineStr">
        <is>
          <t>KALMAR LÄN</t>
        </is>
      </c>
      <c r="E412" t="inlineStr">
        <is>
          <t>VIMMERBY</t>
        </is>
      </c>
      <c r="G412" t="n">
        <v>3</v>
      </c>
      <c r="H412" t="n">
        <v>0</v>
      </c>
      <c r="I412" t="n">
        <v>0</v>
      </c>
      <c r="J412" t="n">
        <v>0</v>
      </c>
      <c r="K412" t="n">
        <v>0</v>
      </c>
      <c r="L412" t="n">
        <v>0</v>
      </c>
      <c r="M412" t="n">
        <v>0</v>
      </c>
      <c r="N412" t="n">
        <v>0</v>
      </c>
      <c r="O412" t="n">
        <v>0</v>
      </c>
      <c r="P412" t="n">
        <v>0</v>
      </c>
      <c r="Q412" t="n">
        <v>0</v>
      </c>
      <c r="R412" s="2" t="inlineStr"/>
    </row>
    <row r="413" ht="15" customHeight="1">
      <c r="A413" t="inlineStr">
        <is>
          <t>A 48600-2025</t>
        </is>
      </c>
      <c r="B413" s="1" t="n">
        <v>45935</v>
      </c>
      <c r="C413" s="1" t="n">
        <v>46162</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48408-2025</t>
        </is>
      </c>
      <c r="B414" s="1" t="n">
        <v>45934.40527777778</v>
      </c>
      <c r="C414" s="1" t="n">
        <v>46162</v>
      </c>
      <c r="D414" t="inlineStr">
        <is>
          <t>KALMAR LÄN</t>
        </is>
      </c>
      <c r="E414" t="inlineStr">
        <is>
          <t>VIMMERBY</t>
        </is>
      </c>
      <c r="G414" t="n">
        <v>2.4</v>
      </c>
      <c r="H414" t="n">
        <v>0</v>
      </c>
      <c r="I414" t="n">
        <v>0</v>
      </c>
      <c r="J414" t="n">
        <v>0</v>
      </c>
      <c r="K414" t="n">
        <v>0</v>
      </c>
      <c r="L414" t="n">
        <v>0</v>
      </c>
      <c r="M414" t="n">
        <v>0</v>
      </c>
      <c r="N414" t="n">
        <v>0</v>
      </c>
      <c r="O414" t="n">
        <v>0</v>
      </c>
      <c r="P414" t="n">
        <v>0</v>
      </c>
      <c r="Q414" t="n">
        <v>0</v>
      </c>
      <c r="R414" s="2" t="inlineStr"/>
    </row>
    <row r="415" ht="15" customHeight="1">
      <c r="A415" t="inlineStr">
        <is>
          <t>A 48409-2025</t>
        </is>
      </c>
      <c r="B415" s="1" t="n">
        <v>45934.41387731482</v>
      </c>
      <c r="C415" s="1" t="n">
        <v>46162</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48712-2025</t>
        </is>
      </c>
      <c r="B416" s="1" t="n">
        <v>45936.63373842592</v>
      </c>
      <c r="C416" s="1" t="n">
        <v>46162</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12588-2025</t>
        </is>
      </c>
      <c r="B417" s="1" t="n">
        <v>45732.76936342593</v>
      </c>
      <c r="C417" s="1" t="n">
        <v>46162</v>
      </c>
      <c r="D417" t="inlineStr">
        <is>
          <t>KALMAR LÄN</t>
        </is>
      </c>
      <c r="E417" t="inlineStr">
        <is>
          <t>VIMMERBY</t>
        </is>
      </c>
      <c r="G417" t="n">
        <v>1.6</v>
      </c>
      <c r="H417" t="n">
        <v>0</v>
      </c>
      <c r="I417" t="n">
        <v>0</v>
      </c>
      <c r="J417" t="n">
        <v>0</v>
      </c>
      <c r="K417" t="n">
        <v>0</v>
      </c>
      <c r="L417" t="n">
        <v>0</v>
      </c>
      <c r="M417" t="n">
        <v>0</v>
      </c>
      <c r="N417" t="n">
        <v>0</v>
      </c>
      <c r="O417" t="n">
        <v>0</v>
      </c>
      <c r="P417" t="n">
        <v>0</v>
      </c>
      <c r="Q417" t="n">
        <v>0</v>
      </c>
      <c r="R417" s="2" t="inlineStr"/>
    </row>
    <row r="418" ht="15" customHeight="1">
      <c r="A418" t="inlineStr">
        <is>
          <t>A 25979-2023</t>
        </is>
      </c>
      <c r="B418" s="1" t="n">
        <v>45090.89653935185</v>
      </c>
      <c r="C418" s="1" t="n">
        <v>46162</v>
      </c>
      <c r="D418" t="inlineStr">
        <is>
          <t>KALMAR LÄN</t>
        </is>
      </c>
      <c r="E418" t="inlineStr">
        <is>
          <t>VIMMERBY</t>
        </is>
      </c>
      <c r="G418" t="n">
        <v>2</v>
      </c>
      <c r="H418" t="n">
        <v>0</v>
      </c>
      <c r="I418" t="n">
        <v>0</v>
      </c>
      <c r="J418" t="n">
        <v>0</v>
      </c>
      <c r="K418" t="n">
        <v>0</v>
      </c>
      <c r="L418" t="n">
        <v>0</v>
      </c>
      <c r="M418" t="n">
        <v>0</v>
      </c>
      <c r="N418" t="n">
        <v>0</v>
      </c>
      <c r="O418" t="n">
        <v>0</v>
      </c>
      <c r="P418" t="n">
        <v>0</v>
      </c>
      <c r="Q418" t="n">
        <v>0</v>
      </c>
      <c r="R418" s="2" t="inlineStr"/>
    </row>
    <row r="419" ht="15" customHeight="1">
      <c r="A419" t="inlineStr">
        <is>
          <t>A 25980-2023</t>
        </is>
      </c>
      <c r="B419" s="1" t="n">
        <v>45090.89880787037</v>
      </c>
      <c r="C419" s="1" t="n">
        <v>46162</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46921-2023</t>
        </is>
      </c>
      <c r="B420" s="1" t="n">
        <v>45201.39996527778</v>
      </c>
      <c r="C420" s="1" t="n">
        <v>46162</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10837-2023</t>
        </is>
      </c>
      <c r="B421" s="1" t="n">
        <v>44991.30547453704</v>
      </c>
      <c r="C421" s="1" t="n">
        <v>46162</v>
      </c>
      <c r="D421" t="inlineStr">
        <is>
          <t>KALMAR LÄN</t>
        </is>
      </c>
      <c r="E421" t="inlineStr">
        <is>
          <t>VIMMERBY</t>
        </is>
      </c>
      <c r="G421" t="n">
        <v>7.3</v>
      </c>
      <c r="H421" t="n">
        <v>0</v>
      </c>
      <c r="I421" t="n">
        <v>0</v>
      </c>
      <c r="J421" t="n">
        <v>0</v>
      </c>
      <c r="K421" t="n">
        <v>0</v>
      </c>
      <c r="L421" t="n">
        <v>0</v>
      </c>
      <c r="M421" t="n">
        <v>0</v>
      </c>
      <c r="N421" t="n">
        <v>0</v>
      </c>
      <c r="O421" t="n">
        <v>0</v>
      </c>
      <c r="P421" t="n">
        <v>0</v>
      </c>
      <c r="Q421" t="n">
        <v>0</v>
      </c>
      <c r="R421" s="2" t="inlineStr"/>
    </row>
    <row r="422" ht="15" customHeight="1">
      <c r="A422" t="inlineStr">
        <is>
          <t>A 10838-2023</t>
        </is>
      </c>
      <c r="B422" s="1" t="n">
        <v>44991</v>
      </c>
      <c r="C422" s="1" t="n">
        <v>46162</v>
      </c>
      <c r="D422" t="inlineStr">
        <is>
          <t>KALMAR LÄN</t>
        </is>
      </c>
      <c r="E422" t="inlineStr">
        <is>
          <t>VIMMERBY</t>
        </is>
      </c>
      <c r="G422" t="n">
        <v>5.1</v>
      </c>
      <c r="H422" t="n">
        <v>0</v>
      </c>
      <c r="I422" t="n">
        <v>0</v>
      </c>
      <c r="J422" t="n">
        <v>0</v>
      </c>
      <c r="K422" t="n">
        <v>0</v>
      </c>
      <c r="L422" t="n">
        <v>0</v>
      </c>
      <c r="M422" t="n">
        <v>0</v>
      </c>
      <c r="N422" t="n">
        <v>0</v>
      </c>
      <c r="O422" t="n">
        <v>0</v>
      </c>
      <c r="P422" t="n">
        <v>0</v>
      </c>
      <c r="Q422" t="n">
        <v>0</v>
      </c>
      <c r="R422" s="2" t="inlineStr"/>
    </row>
    <row r="423" ht="15" customHeight="1">
      <c r="A423" t="inlineStr">
        <is>
          <t>A 30912-2023</t>
        </is>
      </c>
      <c r="B423" s="1" t="n">
        <v>45113.41633101852</v>
      </c>
      <c r="C423" s="1" t="n">
        <v>46162</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55436-2023</t>
        </is>
      </c>
      <c r="B424" s="1" t="n">
        <v>45238.4328587963</v>
      </c>
      <c r="C424" s="1" t="n">
        <v>46162</v>
      </c>
      <c r="D424" t="inlineStr">
        <is>
          <t>KALMAR LÄN</t>
        </is>
      </c>
      <c r="E424" t="inlineStr">
        <is>
          <t>VIMMERBY</t>
        </is>
      </c>
      <c r="G424" t="n">
        <v>5.6</v>
      </c>
      <c r="H424" t="n">
        <v>0</v>
      </c>
      <c r="I424" t="n">
        <v>0</v>
      </c>
      <c r="J424" t="n">
        <v>0</v>
      </c>
      <c r="K424" t="n">
        <v>0</v>
      </c>
      <c r="L424" t="n">
        <v>0</v>
      </c>
      <c r="M424" t="n">
        <v>0</v>
      </c>
      <c r="N424" t="n">
        <v>0</v>
      </c>
      <c r="O424" t="n">
        <v>0</v>
      </c>
      <c r="P424" t="n">
        <v>0</v>
      </c>
      <c r="Q424" t="n">
        <v>0</v>
      </c>
      <c r="R424" s="2" t="inlineStr"/>
    </row>
    <row r="425" ht="15" customHeight="1">
      <c r="A425" t="inlineStr">
        <is>
          <t>A 21507-2023</t>
        </is>
      </c>
      <c r="B425" s="1" t="n">
        <v>45063.508125</v>
      </c>
      <c r="C425" s="1" t="n">
        <v>46162</v>
      </c>
      <c r="D425" t="inlineStr">
        <is>
          <t>KALMAR LÄN</t>
        </is>
      </c>
      <c r="E425" t="inlineStr">
        <is>
          <t>VIMMERBY</t>
        </is>
      </c>
      <c r="G425" t="n">
        <v>2.8</v>
      </c>
      <c r="H425" t="n">
        <v>0</v>
      </c>
      <c r="I425" t="n">
        <v>0</v>
      </c>
      <c r="J425" t="n">
        <v>0</v>
      </c>
      <c r="K425" t="n">
        <v>0</v>
      </c>
      <c r="L425" t="n">
        <v>0</v>
      </c>
      <c r="M425" t="n">
        <v>0</v>
      </c>
      <c r="N425" t="n">
        <v>0</v>
      </c>
      <c r="O425" t="n">
        <v>0</v>
      </c>
      <c r="P425" t="n">
        <v>0</v>
      </c>
      <c r="Q425" t="n">
        <v>0</v>
      </c>
      <c r="R425" s="2" t="inlineStr"/>
    </row>
    <row r="426" ht="15" customHeight="1">
      <c r="A426" t="inlineStr">
        <is>
          <t>A 51187-2023</t>
        </is>
      </c>
      <c r="B426" s="1" t="n">
        <v>45219.40528935185</v>
      </c>
      <c r="C426" s="1" t="n">
        <v>46162</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13290-2025</t>
        </is>
      </c>
      <c r="B427" s="1" t="n">
        <v>45735.56751157407</v>
      </c>
      <c r="C427" s="1" t="n">
        <v>46162</v>
      </c>
      <c r="D427" t="inlineStr">
        <is>
          <t>KALMAR LÄN</t>
        </is>
      </c>
      <c r="E427" t="inlineStr">
        <is>
          <t>VIMMERBY</t>
        </is>
      </c>
      <c r="G427" t="n">
        <v>0.8</v>
      </c>
      <c r="H427" t="n">
        <v>0</v>
      </c>
      <c r="I427" t="n">
        <v>0</v>
      </c>
      <c r="J427" t="n">
        <v>0</v>
      </c>
      <c r="K427" t="n">
        <v>0</v>
      </c>
      <c r="L427" t="n">
        <v>0</v>
      </c>
      <c r="M427" t="n">
        <v>0</v>
      </c>
      <c r="N427" t="n">
        <v>0</v>
      </c>
      <c r="O427" t="n">
        <v>0</v>
      </c>
      <c r="P427" t="n">
        <v>0</v>
      </c>
      <c r="Q427" t="n">
        <v>0</v>
      </c>
      <c r="R427" s="2" t="inlineStr"/>
    </row>
    <row r="428" ht="15" customHeight="1">
      <c r="A428" t="inlineStr">
        <is>
          <t>A 45560-2021</t>
        </is>
      </c>
      <c r="B428" s="1" t="n">
        <v>44440</v>
      </c>
      <c r="C428" s="1" t="n">
        <v>46162</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49871-2025</t>
        </is>
      </c>
      <c r="B429" s="1" t="n">
        <v>45940.54104166666</v>
      </c>
      <c r="C429" s="1" t="n">
        <v>46162</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16622-2025</t>
        </is>
      </c>
      <c r="B430" s="1" t="n">
        <v>45754.33641203704</v>
      </c>
      <c r="C430" s="1" t="n">
        <v>46162</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50324-2025</t>
        </is>
      </c>
      <c r="B431" s="1" t="n">
        <v>45944.45962962963</v>
      </c>
      <c r="C431" s="1" t="n">
        <v>46162</v>
      </c>
      <c r="D431" t="inlineStr">
        <is>
          <t>KALMAR LÄN</t>
        </is>
      </c>
      <c r="E431" t="inlineStr">
        <is>
          <t>VIMMERBY</t>
        </is>
      </c>
      <c r="G431" t="n">
        <v>2.1</v>
      </c>
      <c r="H431" t="n">
        <v>0</v>
      </c>
      <c r="I431" t="n">
        <v>0</v>
      </c>
      <c r="J431" t="n">
        <v>0</v>
      </c>
      <c r="K431" t="n">
        <v>0</v>
      </c>
      <c r="L431" t="n">
        <v>0</v>
      </c>
      <c r="M431" t="n">
        <v>0</v>
      </c>
      <c r="N431" t="n">
        <v>0</v>
      </c>
      <c r="O431" t="n">
        <v>0</v>
      </c>
      <c r="P431" t="n">
        <v>0</v>
      </c>
      <c r="Q431" t="n">
        <v>0</v>
      </c>
      <c r="R431" s="2" t="inlineStr"/>
    </row>
    <row r="432" ht="15" customHeight="1">
      <c r="A432" t="inlineStr">
        <is>
          <t>A 31340-2023</t>
        </is>
      </c>
      <c r="B432" s="1" t="n">
        <v>45114.47895833333</v>
      </c>
      <c r="C432" s="1" t="n">
        <v>46162</v>
      </c>
      <c r="D432" t="inlineStr">
        <is>
          <t>KALMAR LÄN</t>
        </is>
      </c>
      <c r="E432" t="inlineStr">
        <is>
          <t>VIMMERBY</t>
        </is>
      </c>
      <c r="G432" t="n">
        <v>1.8</v>
      </c>
      <c r="H432" t="n">
        <v>0</v>
      </c>
      <c r="I432" t="n">
        <v>0</v>
      </c>
      <c r="J432" t="n">
        <v>0</v>
      </c>
      <c r="K432" t="n">
        <v>0</v>
      </c>
      <c r="L432" t="n">
        <v>0</v>
      </c>
      <c r="M432" t="n">
        <v>0</v>
      </c>
      <c r="N432" t="n">
        <v>0</v>
      </c>
      <c r="O432" t="n">
        <v>0</v>
      </c>
      <c r="P432" t="n">
        <v>0</v>
      </c>
      <c r="Q432" t="n">
        <v>0</v>
      </c>
      <c r="R432" s="2" t="inlineStr"/>
    </row>
    <row r="433" ht="15" customHeight="1">
      <c r="A433" t="inlineStr">
        <is>
          <t>A 29168-2024</t>
        </is>
      </c>
      <c r="B433" s="1" t="n">
        <v>45482.49870370371</v>
      </c>
      <c r="C433" s="1" t="n">
        <v>46162</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29186-2024</t>
        </is>
      </c>
      <c r="B434" s="1" t="n">
        <v>45482.54844907407</v>
      </c>
      <c r="C434" s="1" t="n">
        <v>46162</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35895-2024</t>
        </is>
      </c>
      <c r="B435" s="1" t="n">
        <v>45533.38870370371</v>
      </c>
      <c r="C435" s="1" t="n">
        <v>46162</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12590-2025</t>
        </is>
      </c>
      <c r="B436" s="1" t="n">
        <v>45732.79925925926</v>
      </c>
      <c r="C436" s="1" t="n">
        <v>46162</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30318-2023</t>
        </is>
      </c>
      <c r="B437" s="1" t="n">
        <v>45111.30824074074</v>
      </c>
      <c r="C437" s="1" t="n">
        <v>46162</v>
      </c>
      <c r="D437" t="inlineStr">
        <is>
          <t>KALMAR LÄN</t>
        </is>
      </c>
      <c r="E437" t="inlineStr">
        <is>
          <t>VIMMERBY</t>
        </is>
      </c>
      <c r="G437" t="n">
        <v>2.6</v>
      </c>
      <c r="H437" t="n">
        <v>0</v>
      </c>
      <c r="I437" t="n">
        <v>0</v>
      </c>
      <c r="J437" t="n">
        <v>0</v>
      </c>
      <c r="K437" t="n">
        <v>0</v>
      </c>
      <c r="L437" t="n">
        <v>0</v>
      </c>
      <c r="M437" t="n">
        <v>0</v>
      </c>
      <c r="N437" t="n">
        <v>0</v>
      </c>
      <c r="O437" t="n">
        <v>0</v>
      </c>
      <c r="P437" t="n">
        <v>0</v>
      </c>
      <c r="Q437" t="n">
        <v>0</v>
      </c>
      <c r="R437" s="2" t="inlineStr"/>
    </row>
    <row r="438" ht="15" customHeight="1">
      <c r="A438" t="inlineStr">
        <is>
          <t>A 43186-2021</t>
        </is>
      </c>
      <c r="B438" s="1" t="n">
        <v>44431.84840277778</v>
      </c>
      <c r="C438" s="1" t="n">
        <v>46162</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60215-2022</t>
        </is>
      </c>
      <c r="B439" s="1" t="n">
        <v>44910.41346064815</v>
      </c>
      <c r="C439" s="1" t="n">
        <v>46162</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60230-2022</t>
        </is>
      </c>
      <c r="B440" s="1" t="n">
        <v>44910</v>
      </c>
      <c r="C440" s="1" t="n">
        <v>46162</v>
      </c>
      <c r="D440" t="inlineStr">
        <is>
          <t>KALMAR LÄN</t>
        </is>
      </c>
      <c r="E440" t="inlineStr">
        <is>
          <t>VIMMERBY</t>
        </is>
      </c>
      <c r="G440" t="n">
        <v>11.3</v>
      </c>
      <c r="H440" t="n">
        <v>0</v>
      </c>
      <c r="I440" t="n">
        <v>0</v>
      </c>
      <c r="J440" t="n">
        <v>0</v>
      </c>
      <c r="K440" t="n">
        <v>0</v>
      </c>
      <c r="L440" t="n">
        <v>0</v>
      </c>
      <c r="M440" t="n">
        <v>0</v>
      </c>
      <c r="N440" t="n">
        <v>0</v>
      </c>
      <c r="O440" t="n">
        <v>0</v>
      </c>
      <c r="P440" t="n">
        <v>0</v>
      </c>
      <c r="Q440" t="n">
        <v>0</v>
      </c>
      <c r="R440" s="2" t="inlineStr"/>
    </row>
    <row r="441" ht="15" customHeight="1">
      <c r="A441" t="inlineStr">
        <is>
          <t>A 5925-2022</t>
        </is>
      </c>
      <c r="B441" s="1" t="n">
        <v>44598.7384837963</v>
      </c>
      <c r="C441" s="1" t="n">
        <v>46162</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845-2023</t>
        </is>
      </c>
      <c r="B442" s="1" t="n">
        <v>44931</v>
      </c>
      <c r="C442" s="1" t="n">
        <v>46162</v>
      </c>
      <c r="D442" t="inlineStr">
        <is>
          <t>KALMAR LÄN</t>
        </is>
      </c>
      <c r="E442" t="inlineStr">
        <is>
          <t>VIMMERBY</t>
        </is>
      </c>
      <c r="F442" t="inlineStr">
        <is>
          <t>Övriga Aktiebolag</t>
        </is>
      </c>
      <c r="G442" t="n">
        <v>19</v>
      </c>
      <c r="H442" t="n">
        <v>0</v>
      </c>
      <c r="I442" t="n">
        <v>0</v>
      </c>
      <c r="J442" t="n">
        <v>0</v>
      </c>
      <c r="K442" t="n">
        <v>0</v>
      </c>
      <c r="L442" t="n">
        <v>0</v>
      </c>
      <c r="M442" t="n">
        <v>0</v>
      </c>
      <c r="N442" t="n">
        <v>0</v>
      </c>
      <c r="O442" t="n">
        <v>0</v>
      </c>
      <c r="P442" t="n">
        <v>0</v>
      </c>
      <c r="Q442" t="n">
        <v>0</v>
      </c>
      <c r="R442" s="2" t="inlineStr"/>
    </row>
    <row r="443" ht="15" customHeight="1">
      <c r="A443" t="inlineStr">
        <is>
          <t>A 50544-2025</t>
        </is>
      </c>
      <c r="B443" s="1" t="n">
        <v>45945.50736111111</v>
      </c>
      <c r="C443" s="1" t="n">
        <v>46162</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16119-2023</t>
        </is>
      </c>
      <c r="B444" s="1" t="n">
        <v>45027.59450231482</v>
      </c>
      <c r="C444" s="1" t="n">
        <v>46162</v>
      </c>
      <c r="D444" t="inlineStr">
        <is>
          <t>KALMAR LÄN</t>
        </is>
      </c>
      <c r="E444" t="inlineStr">
        <is>
          <t>VIMMERBY</t>
        </is>
      </c>
      <c r="F444" t="inlineStr">
        <is>
          <t>Kommuner</t>
        </is>
      </c>
      <c r="G444" t="n">
        <v>4.4</v>
      </c>
      <c r="H444" t="n">
        <v>0</v>
      </c>
      <c r="I444" t="n">
        <v>0</v>
      </c>
      <c r="J444" t="n">
        <v>0</v>
      </c>
      <c r="K444" t="n">
        <v>0</v>
      </c>
      <c r="L444" t="n">
        <v>0</v>
      </c>
      <c r="M444" t="n">
        <v>0</v>
      </c>
      <c r="N444" t="n">
        <v>0</v>
      </c>
      <c r="O444" t="n">
        <v>0</v>
      </c>
      <c r="P444" t="n">
        <v>0</v>
      </c>
      <c r="Q444" t="n">
        <v>0</v>
      </c>
      <c r="R444" s="2" t="inlineStr"/>
    </row>
    <row r="445" ht="15" customHeight="1">
      <c r="A445" t="inlineStr">
        <is>
          <t>A 30588-2023</t>
        </is>
      </c>
      <c r="B445" s="1" t="n">
        <v>45112.33599537037</v>
      </c>
      <c r="C445" s="1" t="n">
        <v>46162</v>
      </c>
      <c r="D445" t="inlineStr">
        <is>
          <t>KALMAR LÄN</t>
        </is>
      </c>
      <c r="E445" t="inlineStr">
        <is>
          <t>VIMMERBY</t>
        </is>
      </c>
      <c r="G445" t="n">
        <v>2.7</v>
      </c>
      <c r="H445" t="n">
        <v>0</v>
      </c>
      <c r="I445" t="n">
        <v>0</v>
      </c>
      <c r="J445" t="n">
        <v>0</v>
      </c>
      <c r="K445" t="n">
        <v>0</v>
      </c>
      <c r="L445" t="n">
        <v>0</v>
      </c>
      <c r="M445" t="n">
        <v>0</v>
      </c>
      <c r="N445" t="n">
        <v>0</v>
      </c>
      <c r="O445" t="n">
        <v>0</v>
      </c>
      <c r="P445" t="n">
        <v>0</v>
      </c>
      <c r="Q445" t="n">
        <v>0</v>
      </c>
      <c r="R445" s="2" t="inlineStr"/>
    </row>
    <row r="446" ht="15" customHeight="1">
      <c r="A446" t="inlineStr">
        <is>
          <t>A 51062-2025</t>
        </is>
      </c>
      <c r="B446" s="1" t="n">
        <v>45947.44685185186</v>
      </c>
      <c r="C446" s="1" t="n">
        <v>46162</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45528-2021</t>
        </is>
      </c>
      <c r="B447" s="1" t="n">
        <v>44440.60415509259</v>
      </c>
      <c r="C447" s="1" t="n">
        <v>46162</v>
      </c>
      <c r="D447" t="inlineStr">
        <is>
          <t>KALMAR LÄN</t>
        </is>
      </c>
      <c r="E447" t="inlineStr">
        <is>
          <t>VIMMERBY</t>
        </is>
      </c>
      <c r="G447" t="n">
        <v>2.2</v>
      </c>
      <c r="H447" t="n">
        <v>0</v>
      </c>
      <c r="I447" t="n">
        <v>0</v>
      </c>
      <c r="J447" t="n">
        <v>0</v>
      </c>
      <c r="K447" t="n">
        <v>0</v>
      </c>
      <c r="L447" t="n">
        <v>0</v>
      </c>
      <c r="M447" t="n">
        <v>0</v>
      </c>
      <c r="N447" t="n">
        <v>0</v>
      </c>
      <c r="O447" t="n">
        <v>0</v>
      </c>
      <c r="P447" t="n">
        <v>0</v>
      </c>
      <c r="Q447" t="n">
        <v>0</v>
      </c>
      <c r="R447" s="2" t="inlineStr"/>
    </row>
    <row r="448" ht="15" customHeight="1">
      <c r="A448" t="inlineStr">
        <is>
          <t>A 16516-2023</t>
        </is>
      </c>
      <c r="B448" s="1" t="n">
        <v>45029</v>
      </c>
      <c r="C448" s="1" t="n">
        <v>46162</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2510-2023</t>
        </is>
      </c>
      <c r="B449" s="1" t="n">
        <v>44943.57309027778</v>
      </c>
      <c r="C449" s="1" t="n">
        <v>46162</v>
      </c>
      <c r="D449" t="inlineStr">
        <is>
          <t>KALMAR LÄN</t>
        </is>
      </c>
      <c r="E449" t="inlineStr">
        <is>
          <t>VIMMERBY</t>
        </is>
      </c>
      <c r="G449" t="n">
        <v>8.6</v>
      </c>
      <c r="H449" t="n">
        <v>0</v>
      </c>
      <c r="I449" t="n">
        <v>0</v>
      </c>
      <c r="J449" t="n">
        <v>0</v>
      </c>
      <c r="K449" t="n">
        <v>0</v>
      </c>
      <c r="L449" t="n">
        <v>0</v>
      </c>
      <c r="M449" t="n">
        <v>0</v>
      </c>
      <c r="N449" t="n">
        <v>0</v>
      </c>
      <c r="O449" t="n">
        <v>0</v>
      </c>
      <c r="P449" t="n">
        <v>0</v>
      </c>
      <c r="Q449" t="n">
        <v>0</v>
      </c>
      <c r="R449" s="2" t="inlineStr"/>
    </row>
    <row r="450" ht="15" customHeight="1">
      <c r="A450" t="inlineStr">
        <is>
          <t>A 51993-2025</t>
        </is>
      </c>
      <c r="B450" s="1" t="n">
        <v>45952.58194444444</v>
      </c>
      <c r="C450" s="1" t="n">
        <v>46162</v>
      </c>
      <c r="D450" t="inlineStr">
        <is>
          <t>KALMAR LÄN</t>
        </is>
      </c>
      <c r="E450" t="inlineStr">
        <is>
          <t>VIMMERBY</t>
        </is>
      </c>
      <c r="G450" t="n">
        <v>2.8</v>
      </c>
      <c r="H450" t="n">
        <v>0</v>
      </c>
      <c r="I450" t="n">
        <v>0</v>
      </c>
      <c r="J450" t="n">
        <v>0</v>
      </c>
      <c r="K450" t="n">
        <v>0</v>
      </c>
      <c r="L450" t="n">
        <v>0</v>
      </c>
      <c r="M450" t="n">
        <v>0</v>
      </c>
      <c r="N450" t="n">
        <v>0</v>
      </c>
      <c r="O450" t="n">
        <v>0</v>
      </c>
      <c r="P450" t="n">
        <v>0</v>
      </c>
      <c r="Q450" t="n">
        <v>0</v>
      </c>
      <c r="R450" s="2" t="inlineStr"/>
    </row>
    <row r="451" ht="15" customHeight="1">
      <c r="A451" t="inlineStr">
        <is>
          <t>A 48373-2021</t>
        </is>
      </c>
      <c r="B451" s="1" t="n">
        <v>44451</v>
      </c>
      <c r="C451" s="1" t="n">
        <v>46162</v>
      </c>
      <c r="D451" t="inlineStr">
        <is>
          <t>KALMAR LÄN</t>
        </is>
      </c>
      <c r="E451" t="inlineStr">
        <is>
          <t>VIMMERBY</t>
        </is>
      </c>
      <c r="G451" t="n">
        <v>2.2</v>
      </c>
      <c r="H451" t="n">
        <v>0</v>
      </c>
      <c r="I451" t="n">
        <v>0</v>
      </c>
      <c r="J451" t="n">
        <v>0</v>
      </c>
      <c r="K451" t="n">
        <v>0</v>
      </c>
      <c r="L451" t="n">
        <v>0</v>
      </c>
      <c r="M451" t="n">
        <v>0</v>
      </c>
      <c r="N451" t="n">
        <v>0</v>
      </c>
      <c r="O451" t="n">
        <v>0</v>
      </c>
      <c r="P451" t="n">
        <v>0</v>
      </c>
      <c r="Q451" t="n">
        <v>0</v>
      </c>
      <c r="R451" s="2" t="inlineStr"/>
    </row>
    <row r="452" ht="15" customHeight="1">
      <c r="A452" t="inlineStr">
        <is>
          <t>A 7485-2024</t>
        </is>
      </c>
      <c r="B452" s="1" t="n">
        <v>45346.67184027778</v>
      </c>
      <c r="C452" s="1" t="n">
        <v>46162</v>
      </c>
      <c r="D452" t="inlineStr">
        <is>
          <t>KALMAR LÄN</t>
        </is>
      </c>
      <c r="E452" t="inlineStr">
        <is>
          <t>VIMMERBY</t>
        </is>
      </c>
      <c r="G452" t="n">
        <v>1.9</v>
      </c>
      <c r="H452" t="n">
        <v>0</v>
      </c>
      <c r="I452" t="n">
        <v>0</v>
      </c>
      <c r="J452" t="n">
        <v>0</v>
      </c>
      <c r="K452" t="n">
        <v>0</v>
      </c>
      <c r="L452" t="n">
        <v>0</v>
      </c>
      <c r="M452" t="n">
        <v>0</v>
      </c>
      <c r="N452" t="n">
        <v>0</v>
      </c>
      <c r="O452" t="n">
        <v>0</v>
      </c>
      <c r="P452" t="n">
        <v>0</v>
      </c>
      <c r="Q452" t="n">
        <v>0</v>
      </c>
      <c r="R452" s="2" t="inlineStr"/>
    </row>
    <row r="453" ht="15" customHeight="1">
      <c r="A453" t="inlineStr">
        <is>
          <t>A 51990-2025</t>
        </is>
      </c>
      <c r="B453" s="1" t="n">
        <v>45952.58061342593</v>
      </c>
      <c r="C453" s="1" t="n">
        <v>46162</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52473-2025</t>
        </is>
      </c>
      <c r="B454" s="1" t="n">
        <v>45954.45947916667</v>
      </c>
      <c r="C454" s="1" t="n">
        <v>46162</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52480-2025</t>
        </is>
      </c>
      <c r="B455" s="1" t="n">
        <v>45954.47172453703</v>
      </c>
      <c r="C455" s="1" t="n">
        <v>46162</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6574-2023</t>
        </is>
      </c>
      <c r="B456" s="1" t="n">
        <v>44966</v>
      </c>
      <c r="C456" s="1" t="n">
        <v>46162</v>
      </c>
      <c r="D456" t="inlineStr">
        <is>
          <t>KALMAR LÄN</t>
        </is>
      </c>
      <c r="E456" t="inlineStr">
        <is>
          <t>VIMMERBY</t>
        </is>
      </c>
      <c r="G456" t="n">
        <v>2.5</v>
      </c>
      <c r="H456" t="n">
        <v>0</v>
      </c>
      <c r="I456" t="n">
        <v>0</v>
      </c>
      <c r="J456" t="n">
        <v>0</v>
      </c>
      <c r="K456" t="n">
        <v>0</v>
      </c>
      <c r="L456" t="n">
        <v>0</v>
      </c>
      <c r="M456" t="n">
        <v>0</v>
      </c>
      <c r="N456" t="n">
        <v>0</v>
      </c>
      <c r="O456" t="n">
        <v>0</v>
      </c>
      <c r="P456" t="n">
        <v>0</v>
      </c>
      <c r="Q456" t="n">
        <v>0</v>
      </c>
      <c r="R456" s="2" t="inlineStr"/>
    </row>
    <row r="457" ht="15" customHeight="1">
      <c r="A457" t="inlineStr">
        <is>
          <t>A 20054-2023</t>
        </is>
      </c>
      <c r="B457" s="1" t="n">
        <v>45054.6750462963</v>
      </c>
      <c r="C457" s="1" t="n">
        <v>46162</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52466-2025</t>
        </is>
      </c>
      <c r="B458" s="1" t="n">
        <v>45954.44707175926</v>
      </c>
      <c r="C458" s="1" t="n">
        <v>46162</v>
      </c>
      <c r="D458" t="inlineStr">
        <is>
          <t>KALMAR LÄN</t>
        </is>
      </c>
      <c r="E458" t="inlineStr">
        <is>
          <t>VIMMERBY</t>
        </is>
      </c>
      <c r="G458" t="n">
        <v>0.6</v>
      </c>
      <c r="H458" t="n">
        <v>0</v>
      </c>
      <c r="I458" t="n">
        <v>0</v>
      </c>
      <c r="J458" t="n">
        <v>0</v>
      </c>
      <c r="K458" t="n">
        <v>0</v>
      </c>
      <c r="L458" t="n">
        <v>0</v>
      </c>
      <c r="M458" t="n">
        <v>0</v>
      </c>
      <c r="N458" t="n">
        <v>0</v>
      </c>
      <c r="O458" t="n">
        <v>0</v>
      </c>
      <c r="P458" t="n">
        <v>0</v>
      </c>
      <c r="Q458" t="n">
        <v>0</v>
      </c>
      <c r="R458" s="2" t="inlineStr"/>
    </row>
    <row r="459" ht="15" customHeight="1">
      <c r="A459" t="inlineStr">
        <is>
          <t>A 58750-2022</t>
        </is>
      </c>
      <c r="B459" s="1" t="n">
        <v>44903.33363425926</v>
      </c>
      <c r="C459" s="1" t="n">
        <v>46162</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52516-2025</t>
        </is>
      </c>
      <c r="B460" s="1" t="n">
        <v>45954.51412037037</v>
      </c>
      <c r="C460" s="1" t="n">
        <v>46162</v>
      </c>
      <c r="D460" t="inlineStr">
        <is>
          <t>KALMAR LÄN</t>
        </is>
      </c>
      <c r="E460" t="inlineStr">
        <is>
          <t>VIMMERBY</t>
        </is>
      </c>
      <c r="G460" t="n">
        <v>2.8</v>
      </c>
      <c r="H460" t="n">
        <v>0</v>
      </c>
      <c r="I460" t="n">
        <v>0</v>
      </c>
      <c r="J460" t="n">
        <v>0</v>
      </c>
      <c r="K460" t="n">
        <v>0</v>
      </c>
      <c r="L460" t="n">
        <v>0</v>
      </c>
      <c r="M460" t="n">
        <v>0</v>
      </c>
      <c r="N460" t="n">
        <v>0</v>
      </c>
      <c r="O460" t="n">
        <v>0</v>
      </c>
      <c r="P460" t="n">
        <v>0</v>
      </c>
      <c r="Q460" t="n">
        <v>0</v>
      </c>
      <c r="R460" s="2" t="inlineStr"/>
    </row>
    <row r="461" ht="15" customHeight="1">
      <c r="A461" t="inlineStr">
        <is>
          <t>A 52465-2025</t>
        </is>
      </c>
      <c r="B461" s="1" t="n">
        <v>45954.44543981482</v>
      </c>
      <c r="C461" s="1" t="n">
        <v>46162</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2260-2022</t>
        </is>
      </c>
      <c r="B462" s="1" t="n">
        <v>44578.62943287037</v>
      </c>
      <c r="C462" s="1" t="n">
        <v>46162</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50860-2022</t>
        </is>
      </c>
      <c r="B463" s="1" t="n">
        <v>44867</v>
      </c>
      <c r="C463" s="1" t="n">
        <v>46162</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52475-2025</t>
        </is>
      </c>
      <c r="B464" s="1" t="n">
        <v>45954.468125</v>
      </c>
      <c r="C464" s="1" t="n">
        <v>46162</v>
      </c>
      <c r="D464" t="inlineStr">
        <is>
          <t>KALMAR LÄN</t>
        </is>
      </c>
      <c r="E464" t="inlineStr">
        <is>
          <t>VIMMERBY</t>
        </is>
      </c>
      <c r="G464" t="n">
        <v>1.5</v>
      </c>
      <c r="H464" t="n">
        <v>0</v>
      </c>
      <c r="I464" t="n">
        <v>0</v>
      </c>
      <c r="J464" t="n">
        <v>0</v>
      </c>
      <c r="K464" t="n">
        <v>0</v>
      </c>
      <c r="L464" t="n">
        <v>0</v>
      </c>
      <c r="M464" t="n">
        <v>0</v>
      </c>
      <c r="N464" t="n">
        <v>0</v>
      </c>
      <c r="O464" t="n">
        <v>0</v>
      </c>
      <c r="P464" t="n">
        <v>0</v>
      </c>
      <c r="Q464" t="n">
        <v>0</v>
      </c>
      <c r="R464" s="2" t="inlineStr"/>
    </row>
    <row r="465" ht="15" customHeight="1">
      <c r="A465" t="inlineStr">
        <is>
          <t>A 53483-2022</t>
        </is>
      </c>
      <c r="B465" s="1" t="n">
        <v>44879.55940972222</v>
      </c>
      <c r="C465" s="1" t="n">
        <v>46162</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53220-2025</t>
        </is>
      </c>
      <c r="B466" s="1" t="n">
        <v>45958.60146990741</v>
      </c>
      <c r="C466" s="1" t="n">
        <v>46162</v>
      </c>
      <c r="D466" t="inlineStr">
        <is>
          <t>KALMAR LÄN</t>
        </is>
      </c>
      <c r="E466" t="inlineStr">
        <is>
          <t>VIMMERBY</t>
        </is>
      </c>
      <c r="G466" t="n">
        <v>2.2</v>
      </c>
      <c r="H466" t="n">
        <v>0</v>
      </c>
      <c r="I466" t="n">
        <v>0</v>
      </c>
      <c r="J466" t="n">
        <v>0</v>
      </c>
      <c r="K466" t="n">
        <v>0</v>
      </c>
      <c r="L466" t="n">
        <v>0</v>
      </c>
      <c r="M466" t="n">
        <v>0</v>
      </c>
      <c r="N466" t="n">
        <v>0</v>
      </c>
      <c r="O466" t="n">
        <v>0</v>
      </c>
      <c r="P466" t="n">
        <v>0</v>
      </c>
      <c r="Q466" t="n">
        <v>0</v>
      </c>
      <c r="R466" s="2" t="inlineStr"/>
    </row>
    <row r="467" ht="15" customHeight="1">
      <c r="A467" t="inlineStr">
        <is>
          <t>A 52451-2025</t>
        </is>
      </c>
      <c r="B467" s="1" t="n">
        <v>45954.42326388889</v>
      </c>
      <c r="C467" s="1" t="n">
        <v>46162</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53393-2025</t>
        </is>
      </c>
      <c r="B468" s="1" t="n">
        <v>45959.55284722222</v>
      </c>
      <c r="C468" s="1" t="n">
        <v>46162</v>
      </c>
      <c r="D468" t="inlineStr">
        <is>
          <t>KALMAR LÄN</t>
        </is>
      </c>
      <c r="E468" t="inlineStr">
        <is>
          <t>VIMMERBY</t>
        </is>
      </c>
      <c r="G468" t="n">
        <v>1</v>
      </c>
      <c r="H468" t="n">
        <v>0</v>
      </c>
      <c r="I468" t="n">
        <v>0</v>
      </c>
      <c r="J468" t="n">
        <v>0</v>
      </c>
      <c r="K468" t="n">
        <v>0</v>
      </c>
      <c r="L468" t="n">
        <v>0</v>
      </c>
      <c r="M468" t="n">
        <v>0</v>
      </c>
      <c r="N468" t="n">
        <v>0</v>
      </c>
      <c r="O468" t="n">
        <v>0</v>
      </c>
      <c r="P468" t="n">
        <v>0</v>
      </c>
      <c r="Q468" t="n">
        <v>0</v>
      </c>
      <c r="R468" s="2" t="inlineStr"/>
    </row>
    <row r="469" ht="15" customHeight="1">
      <c r="A469" t="inlineStr">
        <is>
          <t>A 53398-2025</t>
        </is>
      </c>
      <c r="B469" s="1" t="n">
        <v>45959.56247685185</v>
      </c>
      <c r="C469" s="1" t="n">
        <v>46162</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58962-2022</t>
        </is>
      </c>
      <c r="B470" s="1" t="n">
        <v>44903</v>
      </c>
      <c r="C470" s="1" t="n">
        <v>46162</v>
      </c>
      <c r="D470" t="inlineStr">
        <is>
          <t>KALMAR LÄN</t>
        </is>
      </c>
      <c r="E470" t="inlineStr">
        <is>
          <t>VIMMERBY</t>
        </is>
      </c>
      <c r="G470" t="n">
        <v>1.1</v>
      </c>
      <c r="H470" t="n">
        <v>0</v>
      </c>
      <c r="I470" t="n">
        <v>0</v>
      </c>
      <c r="J470" t="n">
        <v>0</v>
      </c>
      <c r="K470" t="n">
        <v>0</v>
      </c>
      <c r="L470" t="n">
        <v>0</v>
      </c>
      <c r="M470" t="n">
        <v>0</v>
      </c>
      <c r="N470" t="n">
        <v>0</v>
      </c>
      <c r="O470" t="n">
        <v>0</v>
      </c>
      <c r="P470" t="n">
        <v>0</v>
      </c>
      <c r="Q470" t="n">
        <v>0</v>
      </c>
      <c r="R470" s="2" t="inlineStr"/>
    </row>
    <row r="471" ht="15" customHeight="1">
      <c r="A471" t="inlineStr">
        <is>
          <t>A 53397-2025</t>
        </is>
      </c>
      <c r="B471" s="1" t="n">
        <v>45959.55918981481</v>
      </c>
      <c r="C471" s="1" t="n">
        <v>46162</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53416-2025</t>
        </is>
      </c>
      <c r="B472" s="1" t="n">
        <v>45959.58387731481</v>
      </c>
      <c r="C472" s="1" t="n">
        <v>46162</v>
      </c>
      <c r="D472" t="inlineStr">
        <is>
          <t>KALMAR LÄN</t>
        </is>
      </c>
      <c r="E472" t="inlineStr">
        <is>
          <t>VIMMERBY</t>
        </is>
      </c>
      <c r="G472" t="n">
        <v>4.4</v>
      </c>
      <c r="H472" t="n">
        <v>0</v>
      </c>
      <c r="I472" t="n">
        <v>0</v>
      </c>
      <c r="J472" t="n">
        <v>0</v>
      </c>
      <c r="K472" t="n">
        <v>0</v>
      </c>
      <c r="L472" t="n">
        <v>0</v>
      </c>
      <c r="M472" t="n">
        <v>0</v>
      </c>
      <c r="N472" t="n">
        <v>0</v>
      </c>
      <c r="O472" t="n">
        <v>0</v>
      </c>
      <c r="P472" t="n">
        <v>0</v>
      </c>
      <c r="Q472" t="n">
        <v>0</v>
      </c>
      <c r="R472" s="2" t="inlineStr"/>
    </row>
    <row r="473" ht="15" customHeight="1">
      <c r="A473" t="inlineStr">
        <is>
          <t>A 58967-2022</t>
        </is>
      </c>
      <c r="B473" s="1" t="n">
        <v>44896</v>
      </c>
      <c r="C473" s="1" t="n">
        <v>46162</v>
      </c>
      <c r="D473" t="inlineStr">
        <is>
          <t>KALMAR LÄN</t>
        </is>
      </c>
      <c r="E473" t="inlineStr">
        <is>
          <t>VIMMERBY</t>
        </is>
      </c>
      <c r="G473" t="n">
        <v>5</v>
      </c>
      <c r="H473" t="n">
        <v>0</v>
      </c>
      <c r="I473" t="n">
        <v>0</v>
      </c>
      <c r="J473" t="n">
        <v>0</v>
      </c>
      <c r="K473" t="n">
        <v>0</v>
      </c>
      <c r="L473" t="n">
        <v>0</v>
      </c>
      <c r="M473" t="n">
        <v>0</v>
      </c>
      <c r="N473" t="n">
        <v>0</v>
      </c>
      <c r="O473" t="n">
        <v>0</v>
      </c>
      <c r="P473" t="n">
        <v>0</v>
      </c>
      <c r="Q473" t="n">
        <v>0</v>
      </c>
      <c r="R473" s="2" t="inlineStr"/>
    </row>
    <row r="474" ht="15" customHeight="1">
      <c r="A474" t="inlineStr">
        <is>
          <t>A 57682-2022</t>
        </is>
      </c>
      <c r="B474" s="1" t="n">
        <v>44890</v>
      </c>
      <c r="C474" s="1" t="n">
        <v>46162</v>
      </c>
      <c r="D474" t="inlineStr">
        <is>
          <t>KALMAR LÄN</t>
        </is>
      </c>
      <c r="E474" t="inlineStr">
        <is>
          <t>VIMMERBY</t>
        </is>
      </c>
      <c r="G474" t="n">
        <v>1.5</v>
      </c>
      <c r="H474" t="n">
        <v>0</v>
      </c>
      <c r="I474" t="n">
        <v>0</v>
      </c>
      <c r="J474" t="n">
        <v>0</v>
      </c>
      <c r="K474" t="n">
        <v>0</v>
      </c>
      <c r="L474" t="n">
        <v>0</v>
      </c>
      <c r="M474" t="n">
        <v>0</v>
      </c>
      <c r="N474" t="n">
        <v>0</v>
      </c>
      <c r="O474" t="n">
        <v>0</v>
      </c>
      <c r="P474" t="n">
        <v>0</v>
      </c>
      <c r="Q474" t="n">
        <v>0</v>
      </c>
      <c r="R474" s="2" t="inlineStr"/>
    </row>
    <row r="475" ht="15" customHeight="1">
      <c r="A475" t="inlineStr">
        <is>
          <t>A 53413-2025</t>
        </is>
      </c>
      <c r="B475" s="1" t="n">
        <v>45959.5787037037</v>
      </c>
      <c r="C475" s="1" t="n">
        <v>46162</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4076-2022</t>
        </is>
      </c>
      <c r="B476" s="1" t="n">
        <v>44588.37998842593</v>
      </c>
      <c r="C476" s="1" t="n">
        <v>46162</v>
      </c>
      <c r="D476" t="inlineStr">
        <is>
          <t>KALMAR LÄN</t>
        </is>
      </c>
      <c r="E476" t="inlineStr">
        <is>
          <t>VIMMERBY</t>
        </is>
      </c>
      <c r="G476" t="n">
        <v>3</v>
      </c>
      <c r="H476" t="n">
        <v>0</v>
      </c>
      <c r="I476" t="n">
        <v>0</v>
      </c>
      <c r="J476" t="n">
        <v>0</v>
      </c>
      <c r="K476" t="n">
        <v>0</v>
      </c>
      <c r="L476" t="n">
        <v>0</v>
      </c>
      <c r="M476" t="n">
        <v>0</v>
      </c>
      <c r="N476" t="n">
        <v>0</v>
      </c>
      <c r="O476" t="n">
        <v>0</v>
      </c>
      <c r="P476" t="n">
        <v>0</v>
      </c>
      <c r="Q476" t="n">
        <v>0</v>
      </c>
      <c r="R476" s="2" t="inlineStr"/>
    </row>
    <row r="477" ht="15" customHeight="1">
      <c r="A477" t="inlineStr">
        <is>
          <t>A 4122-2022</t>
        </is>
      </c>
      <c r="B477" s="1" t="n">
        <v>44588</v>
      </c>
      <c r="C477" s="1" t="n">
        <v>46162</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53396-2025</t>
        </is>
      </c>
      <c r="B478" s="1" t="n">
        <v>45959.55577546296</v>
      </c>
      <c r="C478" s="1" t="n">
        <v>46162</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9624-2024</t>
        </is>
      </c>
      <c r="B479" s="1" t="n">
        <v>45361.90282407407</v>
      </c>
      <c r="C479" s="1" t="n">
        <v>46162</v>
      </c>
      <c r="D479" t="inlineStr">
        <is>
          <t>KALMAR LÄN</t>
        </is>
      </c>
      <c r="E479" t="inlineStr">
        <is>
          <t>VIMMERBY</t>
        </is>
      </c>
      <c r="G479" t="n">
        <v>3.8</v>
      </c>
      <c r="H479" t="n">
        <v>0</v>
      </c>
      <c r="I479" t="n">
        <v>0</v>
      </c>
      <c r="J479" t="n">
        <v>0</v>
      </c>
      <c r="K479" t="n">
        <v>0</v>
      </c>
      <c r="L479" t="n">
        <v>0</v>
      </c>
      <c r="M479" t="n">
        <v>0</v>
      </c>
      <c r="N479" t="n">
        <v>0</v>
      </c>
      <c r="O479" t="n">
        <v>0</v>
      </c>
      <c r="P479" t="n">
        <v>0</v>
      </c>
      <c r="Q479" t="n">
        <v>0</v>
      </c>
      <c r="R479" s="2" t="inlineStr"/>
    </row>
    <row r="480" ht="15" customHeight="1">
      <c r="A480" t="inlineStr">
        <is>
          <t>A 52327-2023</t>
        </is>
      </c>
      <c r="B480" s="1" t="n">
        <v>45224.6515162037</v>
      </c>
      <c r="C480" s="1" t="n">
        <v>46162</v>
      </c>
      <c r="D480" t="inlineStr">
        <is>
          <t>KALMAR LÄN</t>
        </is>
      </c>
      <c r="E480" t="inlineStr">
        <is>
          <t>VIMMERBY</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53788-2025</t>
        </is>
      </c>
      <c r="B481" s="1" t="n">
        <v>45960</v>
      </c>
      <c r="C481" s="1" t="n">
        <v>46162</v>
      </c>
      <c r="D481" t="inlineStr">
        <is>
          <t>KALMAR LÄN</t>
        </is>
      </c>
      <c r="E481" t="inlineStr">
        <is>
          <t>VIMMERBY</t>
        </is>
      </c>
      <c r="F481" t="inlineStr">
        <is>
          <t>Övriga statliga verk och myndigheter</t>
        </is>
      </c>
      <c r="G481" t="n">
        <v>6.3</v>
      </c>
      <c r="H481" t="n">
        <v>0</v>
      </c>
      <c r="I481" t="n">
        <v>0</v>
      </c>
      <c r="J481" t="n">
        <v>0</v>
      </c>
      <c r="K481" t="n">
        <v>0</v>
      </c>
      <c r="L481" t="n">
        <v>0</v>
      </c>
      <c r="M481" t="n">
        <v>0</v>
      </c>
      <c r="N481" t="n">
        <v>0</v>
      </c>
      <c r="O481" t="n">
        <v>0</v>
      </c>
      <c r="P481" t="n">
        <v>0</v>
      </c>
      <c r="Q481" t="n">
        <v>0</v>
      </c>
      <c r="R481" s="2" t="inlineStr"/>
    </row>
    <row r="482" ht="15" customHeight="1">
      <c r="A482" t="inlineStr">
        <is>
          <t>A 29616-2022</t>
        </is>
      </c>
      <c r="B482" s="1" t="n">
        <v>44754</v>
      </c>
      <c r="C482" s="1" t="n">
        <v>46162</v>
      </c>
      <c r="D482" t="inlineStr">
        <is>
          <t>KALMAR LÄN</t>
        </is>
      </c>
      <c r="E482" t="inlineStr">
        <is>
          <t>VIMMERBY</t>
        </is>
      </c>
      <c r="G482" t="n">
        <v>1.1</v>
      </c>
      <c r="H482" t="n">
        <v>0</v>
      </c>
      <c r="I482" t="n">
        <v>0</v>
      </c>
      <c r="J482" t="n">
        <v>0</v>
      </c>
      <c r="K482" t="n">
        <v>0</v>
      </c>
      <c r="L482" t="n">
        <v>0</v>
      </c>
      <c r="M482" t="n">
        <v>0</v>
      </c>
      <c r="N482" t="n">
        <v>0</v>
      </c>
      <c r="O482" t="n">
        <v>0</v>
      </c>
      <c r="P482" t="n">
        <v>0</v>
      </c>
      <c r="Q482" t="n">
        <v>0</v>
      </c>
      <c r="R482" s="2" t="inlineStr"/>
    </row>
    <row r="483" ht="15" customHeight="1">
      <c r="A483" t="inlineStr">
        <is>
          <t>A 29348-2023</t>
        </is>
      </c>
      <c r="B483" s="1" t="n">
        <v>45106.25025462963</v>
      </c>
      <c r="C483" s="1" t="n">
        <v>46162</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53927-2025</t>
        </is>
      </c>
      <c r="B484" s="1" t="n">
        <v>45961.46740740741</v>
      </c>
      <c r="C484" s="1" t="n">
        <v>46162</v>
      </c>
      <c r="D484" t="inlineStr">
        <is>
          <t>KALMAR LÄN</t>
        </is>
      </c>
      <c r="E484" t="inlineStr">
        <is>
          <t>VIMMERBY</t>
        </is>
      </c>
      <c r="G484" t="n">
        <v>2.5</v>
      </c>
      <c r="H484" t="n">
        <v>0</v>
      </c>
      <c r="I484" t="n">
        <v>0</v>
      </c>
      <c r="J484" t="n">
        <v>0</v>
      </c>
      <c r="K484" t="n">
        <v>0</v>
      </c>
      <c r="L484" t="n">
        <v>0</v>
      </c>
      <c r="M484" t="n">
        <v>0</v>
      </c>
      <c r="N484" t="n">
        <v>0</v>
      </c>
      <c r="O484" t="n">
        <v>0</v>
      </c>
      <c r="P484" t="n">
        <v>0</v>
      </c>
      <c r="Q484" t="n">
        <v>0</v>
      </c>
      <c r="R484" s="2" t="inlineStr"/>
    </row>
    <row r="485" ht="15" customHeight="1">
      <c r="A485" t="inlineStr">
        <is>
          <t>A 53933-2025</t>
        </is>
      </c>
      <c r="B485" s="1" t="n">
        <v>45961.47650462963</v>
      </c>
      <c r="C485" s="1" t="n">
        <v>46162</v>
      </c>
      <c r="D485" t="inlineStr">
        <is>
          <t>KALMAR LÄN</t>
        </is>
      </c>
      <c r="E485" t="inlineStr">
        <is>
          <t>VIMMERBY</t>
        </is>
      </c>
      <c r="G485" t="n">
        <v>0.9</v>
      </c>
      <c r="H485" t="n">
        <v>0</v>
      </c>
      <c r="I485" t="n">
        <v>0</v>
      </c>
      <c r="J485" t="n">
        <v>0</v>
      </c>
      <c r="K485" t="n">
        <v>0</v>
      </c>
      <c r="L485" t="n">
        <v>0</v>
      </c>
      <c r="M485" t="n">
        <v>0</v>
      </c>
      <c r="N485" t="n">
        <v>0</v>
      </c>
      <c r="O485" t="n">
        <v>0</v>
      </c>
      <c r="P485" t="n">
        <v>0</v>
      </c>
      <c r="Q485" t="n">
        <v>0</v>
      </c>
      <c r="R485" s="2" t="inlineStr"/>
    </row>
    <row r="486" ht="15" customHeight="1">
      <c r="A486" t="inlineStr">
        <is>
          <t>A 54236-2025</t>
        </is>
      </c>
      <c r="B486" s="1" t="n">
        <v>45964.62671296296</v>
      </c>
      <c r="C486" s="1" t="n">
        <v>46162</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28403-2023</t>
        </is>
      </c>
      <c r="B487" s="1" t="n">
        <v>45100.85270833333</v>
      </c>
      <c r="C487" s="1" t="n">
        <v>46162</v>
      </c>
      <c r="D487" t="inlineStr">
        <is>
          <t>KALMAR LÄN</t>
        </is>
      </c>
      <c r="E487" t="inlineStr">
        <is>
          <t>VIMMERBY</t>
        </is>
      </c>
      <c r="G487" t="n">
        <v>1.8</v>
      </c>
      <c r="H487" t="n">
        <v>0</v>
      </c>
      <c r="I487" t="n">
        <v>0</v>
      </c>
      <c r="J487" t="n">
        <v>0</v>
      </c>
      <c r="K487" t="n">
        <v>0</v>
      </c>
      <c r="L487" t="n">
        <v>0</v>
      </c>
      <c r="M487" t="n">
        <v>0</v>
      </c>
      <c r="N487" t="n">
        <v>0</v>
      </c>
      <c r="O487" t="n">
        <v>0</v>
      </c>
      <c r="P487" t="n">
        <v>0</v>
      </c>
      <c r="Q487" t="n">
        <v>0</v>
      </c>
      <c r="R487" s="2" t="inlineStr"/>
    </row>
    <row r="488" ht="15" customHeight="1">
      <c r="A488" t="inlineStr">
        <is>
          <t>A 53923-2025</t>
        </is>
      </c>
      <c r="B488" s="1" t="n">
        <v>45961.4569212963</v>
      </c>
      <c r="C488" s="1" t="n">
        <v>46162</v>
      </c>
      <c r="D488" t="inlineStr">
        <is>
          <t>KALMAR LÄN</t>
        </is>
      </c>
      <c r="E488" t="inlineStr">
        <is>
          <t>VIMMERBY</t>
        </is>
      </c>
      <c r="G488" t="n">
        <v>2.4</v>
      </c>
      <c r="H488" t="n">
        <v>0</v>
      </c>
      <c r="I488" t="n">
        <v>0</v>
      </c>
      <c r="J488" t="n">
        <v>0</v>
      </c>
      <c r="K488" t="n">
        <v>0</v>
      </c>
      <c r="L488" t="n">
        <v>0</v>
      </c>
      <c r="M488" t="n">
        <v>0</v>
      </c>
      <c r="N488" t="n">
        <v>0</v>
      </c>
      <c r="O488" t="n">
        <v>0</v>
      </c>
      <c r="P488" t="n">
        <v>0</v>
      </c>
      <c r="Q488" t="n">
        <v>0</v>
      </c>
      <c r="R488" s="2" t="inlineStr"/>
    </row>
    <row r="489" ht="15" customHeight="1">
      <c r="A489" t="inlineStr">
        <is>
          <t>A 53920-2025</t>
        </is>
      </c>
      <c r="B489" s="1" t="n">
        <v>45961.44951388889</v>
      </c>
      <c r="C489" s="1" t="n">
        <v>46162</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17511-2024</t>
        </is>
      </c>
      <c r="B490" s="1" t="n">
        <v>45415.57682870371</v>
      </c>
      <c r="C490" s="1" t="n">
        <v>46162</v>
      </c>
      <c r="D490" t="inlineStr">
        <is>
          <t>KALMAR LÄN</t>
        </is>
      </c>
      <c r="E490" t="inlineStr">
        <is>
          <t>VIMMERBY</t>
        </is>
      </c>
      <c r="G490" t="n">
        <v>5.3</v>
      </c>
      <c r="H490" t="n">
        <v>0</v>
      </c>
      <c r="I490" t="n">
        <v>0</v>
      </c>
      <c r="J490" t="n">
        <v>0</v>
      </c>
      <c r="K490" t="n">
        <v>0</v>
      </c>
      <c r="L490" t="n">
        <v>0</v>
      </c>
      <c r="M490" t="n">
        <v>0</v>
      </c>
      <c r="N490" t="n">
        <v>0</v>
      </c>
      <c r="O490" t="n">
        <v>0</v>
      </c>
      <c r="P490" t="n">
        <v>0</v>
      </c>
      <c r="Q490" t="n">
        <v>0</v>
      </c>
      <c r="R490" s="2" t="inlineStr"/>
    </row>
    <row r="491" ht="15" customHeight="1">
      <c r="A491" t="inlineStr">
        <is>
          <t>A 54234-2025</t>
        </is>
      </c>
      <c r="B491" s="1" t="n">
        <v>45964.62486111111</v>
      </c>
      <c r="C491" s="1" t="n">
        <v>46162</v>
      </c>
      <c r="D491" t="inlineStr">
        <is>
          <t>KALMAR LÄN</t>
        </is>
      </c>
      <c r="E491" t="inlineStr">
        <is>
          <t>VIMMERBY</t>
        </is>
      </c>
      <c r="G491" t="n">
        <v>4.1</v>
      </c>
      <c r="H491" t="n">
        <v>0</v>
      </c>
      <c r="I491" t="n">
        <v>0</v>
      </c>
      <c r="J491" t="n">
        <v>0</v>
      </c>
      <c r="K491" t="n">
        <v>0</v>
      </c>
      <c r="L491" t="n">
        <v>0</v>
      </c>
      <c r="M491" t="n">
        <v>0</v>
      </c>
      <c r="N491" t="n">
        <v>0</v>
      </c>
      <c r="O491" t="n">
        <v>0</v>
      </c>
      <c r="P491" t="n">
        <v>0</v>
      </c>
      <c r="Q491" t="n">
        <v>0</v>
      </c>
      <c r="R491" s="2" t="inlineStr"/>
    </row>
    <row r="492" ht="15" customHeight="1">
      <c r="A492" t="inlineStr">
        <is>
          <t>A 66022-2021</t>
        </is>
      </c>
      <c r="B492" s="1" t="n">
        <v>44517</v>
      </c>
      <c r="C492" s="1" t="n">
        <v>46162</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29973-2023</t>
        </is>
      </c>
      <c r="B493" s="1" t="n">
        <v>45108.703125</v>
      </c>
      <c r="C493" s="1" t="n">
        <v>46162</v>
      </c>
      <c r="D493" t="inlineStr">
        <is>
          <t>KALMAR LÄN</t>
        </is>
      </c>
      <c r="E493" t="inlineStr">
        <is>
          <t>VIMMERBY</t>
        </is>
      </c>
      <c r="G493" t="n">
        <v>4</v>
      </c>
      <c r="H493" t="n">
        <v>0</v>
      </c>
      <c r="I493" t="n">
        <v>0</v>
      </c>
      <c r="J493" t="n">
        <v>0</v>
      </c>
      <c r="K493" t="n">
        <v>0</v>
      </c>
      <c r="L493" t="n">
        <v>0</v>
      </c>
      <c r="M493" t="n">
        <v>0</v>
      </c>
      <c r="N493" t="n">
        <v>0</v>
      </c>
      <c r="O493" t="n">
        <v>0</v>
      </c>
      <c r="P493" t="n">
        <v>0</v>
      </c>
      <c r="Q493" t="n">
        <v>0</v>
      </c>
      <c r="R493" s="2" t="inlineStr"/>
    </row>
    <row r="494" ht="15" customHeight="1">
      <c r="A494" t="inlineStr">
        <is>
          <t>A 53789-2025</t>
        </is>
      </c>
      <c r="B494" s="1" t="n">
        <v>45960</v>
      </c>
      <c r="C494" s="1" t="n">
        <v>46162</v>
      </c>
      <c r="D494" t="inlineStr">
        <is>
          <t>KALMAR LÄN</t>
        </is>
      </c>
      <c r="E494" t="inlineStr">
        <is>
          <t>VIMMERBY</t>
        </is>
      </c>
      <c r="F494" t="inlineStr">
        <is>
          <t>Övriga statliga verk och myndigheter</t>
        </is>
      </c>
      <c r="G494" t="n">
        <v>1.6</v>
      </c>
      <c r="H494" t="n">
        <v>0</v>
      </c>
      <c r="I494" t="n">
        <v>0</v>
      </c>
      <c r="J494" t="n">
        <v>0</v>
      </c>
      <c r="K494" t="n">
        <v>0</v>
      </c>
      <c r="L494" t="n">
        <v>0</v>
      </c>
      <c r="M494" t="n">
        <v>0</v>
      </c>
      <c r="N494" t="n">
        <v>0</v>
      </c>
      <c r="O494" t="n">
        <v>0</v>
      </c>
      <c r="P494" t="n">
        <v>0</v>
      </c>
      <c r="Q494" t="n">
        <v>0</v>
      </c>
      <c r="R494" s="2" t="inlineStr"/>
    </row>
    <row r="495" ht="15" customHeight="1">
      <c r="A495" t="inlineStr">
        <is>
          <t>A 30070-2023</t>
        </is>
      </c>
      <c r="B495" s="1" t="n">
        <v>45110.4275</v>
      </c>
      <c r="C495" s="1" t="n">
        <v>46162</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53903-2025</t>
        </is>
      </c>
      <c r="B496" s="1" t="n">
        <v>45961.43738425926</v>
      </c>
      <c r="C496" s="1" t="n">
        <v>46162</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46078-2023</t>
        </is>
      </c>
      <c r="B497" s="1" t="n">
        <v>45196</v>
      </c>
      <c r="C497" s="1" t="n">
        <v>46162</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54737-2025</t>
        </is>
      </c>
      <c r="B498" s="1" t="n">
        <v>45966.56826388889</v>
      </c>
      <c r="C498" s="1" t="n">
        <v>46162</v>
      </c>
      <c r="D498" t="inlineStr">
        <is>
          <t>KALMAR LÄN</t>
        </is>
      </c>
      <c r="E498" t="inlineStr">
        <is>
          <t>VIMMERBY</t>
        </is>
      </c>
      <c r="G498" t="n">
        <v>2.1</v>
      </c>
      <c r="H498" t="n">
        <v>0</v>
      </c>
      <c r="I498" t="n">
        <v>0</v>
      </c>
      <c r="J498" t="n">
        <v>0</v>
      </c>
      <c r="K498" t="n">
        <v>0</v>
      </c>
      <c r="L498" t="n">
        <v>0</v>
      </c>
      <c r="M498" t="n">
        <v>0</v>
      </c>
      <c r="N498" t="n">
        <v>0</v>
      </c>
      <c r="O498" t="n">
        <v>0</v>
      </c>
      <c r="P498" t="n">
        <v>0</v>
      </c>
      <c r="Q498" t="n">
        <v>0</v>
      </c>
      <c r="R498" s="2" t="inlineStr"/>
    </row>
    <row r="499" ht="15" customHeight="1">
      <c r="A499" t="inlineStr">
        <is>
          <t>A 7643-2022</t>
        </is>
      </c>
      <c r="B499" s="1" t="n">
        <v>44607</v>
      </c>
      <c r="C499" s="1" t="n">
        <v>46162</v>
      </c>
      <c r="D499" t="inlineStr">
        <is>
          <t>KALMAR LÄN</t>
        </is>
      </c>
      <c r="E499" t="inlineStr">
        <is>
          <t>VIMMERBY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3494-2023</t>
        </is>
      </c>
      <c r="B500" s="1" t="n">
        <v>44949</v>
      </c>
      <c r="C500" s="1" t="n">
        <v>46162</v>
      </c>
      <c r="D500" t="inlineStr">
        <is>
          <t>KALMAR LÄN</t>
        </is>
      </c>
      <c r="E500" t="inlineStr">
        <is>
          <t>VIMMERBY</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32633-2023</t>
        </is>
      </c>
      <c r="B501" s="1" t="n">
        <v>45121.58699074074</v>
      </c>
      <c r="C501" s="1" t="n">
        <v>46162</v>
      </c>
      <c r="D501" t="inlineStr">
        <is>
          <t>KALMAR LÄN</t>
        </is>
      </c>
      <c r="E501" t="inlineStr">
        <is>
          <t>VIMMERBY</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43601-2024</t>
        </is>
      </c>
      <c r="B502" s="1" t="n">
        <v>45569.44684027778</v>
      </c>
      <c r="C502" s="1" t="n">
        <v>46162</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54813-2025</t>
        </is>
      </c>
      <c r="B503" s="1" t="n">
        <v>45966.64881944445</v>
      </c>
      <c r="C503" s="1" t="n">
        <v>46162</v>
      </c>
      <c r="D503" t="inlineStr">
        <is>
          <t>KALMAR LÄN</t>
        </is>
      </c>
      <c r="E503" t="inlineStr">
        <is>
          <t>VIMMERBY</t>
        </is>
      </c>
      <c r="G503" t="n">
        <v>1.7</v>
      </c>
      <c r="H503" t="n">
        <v>0</v>
      </c>
      <c r="I503" t="n">
        <v>0</v>
      </c>
      <c r="J503" t="n">
        <v>0</v>
      </c>
      <c r="K503" t="n">
        <v>0</v>
      </c>
      <c r="L503" t="n">
        <v>0</v>
      </c>
      <c r="M503" t="n">
        <v>0</v>
      </c>
      <c r="N503" t="n">
        <v>0</v>
      </c>
      <c r="O503" t="n">
        <v>0</v>
      </c>
      <c r="P503" t="n">
        <v>0</v>
      </c>
      <c r="Q503" t="n">
        <v>0</v>
      </c>
      <c r="R503" s="2" t="inlineStr"/>
    </row>
    <row r="504" ht="15" customHeight="1">
      <c r="A504" t="inlineStr">
        <is>
          <t>A 13813-2024</t>
        </is>
      </c>
      <c r="B504" s="1" t="n">
        <v>45391.41310185185</v>
      </c>
      <c r="C504" s="1" t="n">
        <v>46162</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25234-2023</t>
        </is>
      </c>
      <c r="B505" s="1" t="n">
        <v>45086.63194444445</v>
      </c>
      <c r="C505" s="1" t="n">
        <v>46162</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25236-2023</t>
        </is>
      </c>
      <c r="B506" s="1" t="n">
        <v>45086.63334490741</v>
      </c>
      <c r="C506" s="1" t="n">
        <v>46162</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25244-2023</t>
        </is>
      </c>
      <c r="B507" s="1" t="n">
        <v>45086</v>
      </c>
      <c r="C507" s="1" t="n">
        <v>46162</v>
      </c>
      <c r="D507" t="inlineStr">
        <is>
          <t>KALMAR LÄN</t>
        </is>
      </c>
      <c r="E507" t="inlineStr">
        <is>
          <t>VIMMERBY</t>
        </is>
      </c>
      <c r="G507" t="n">
        <v>4.7</v>
      </c>
      <c r="H507" t="n">
        <v>0</v>
      </c>
      <c r="I507" t="n">
        <v>0</v>
      </c>
      <c r="J507" t="n">
        <v>0</v>
      </c>
      <c r="K507" t="n">
        <v>0</v>
      </c>
      <c r="L507" t="n">
        <v>0</v>
      </c>
      <c r="M507" t="n">
        <v>0</v>
      </c>
      <c r="N507" t="n">
        <v>0</v>
      </c>
      <c r="O507" t="n">
        <v>0</v>
      </c>
      <c r="P507" t="n">
        <v>0</v>
      </c>
      <c r="Q507" t="n">
        <v>0</v>
      </c>
      <c r="R507" s="2" t="inlineStr"/>
    </row>
    <row r="508" ht="15" customHeight="1">
      <c r="A508" t="inlineStr">
        <is>
          <t>A 23341-2022</t>
        </is>
      </c>
      <c r="B508" s="1" t="n">
        <v>44720.53898148148</v>
      </c>
      <c r="C508" s="1" t="n">
        <v>46162</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55385-2025</t>
        </is>
      </c>
      <c r="B509" s="1" t="n">
        <v>45971.43350694444</v>
      </c>
      <c r="C509" s="1" t="n">
        <v>46162</v>
      </c>
      <c r="D509" t="inlineStr">
        <is>
          <t>KALMAR LÄN</t>
        </is>
      </c>
      <c r="E509" t="inlineStr">
        <is>
          <t>VIMMERBY</t>
        </is>
      </c>
      <c r="G509" t="n">
        <v>5</v>
      </c>
      <c r="H509" t="n">
        <v>0</v>
      </c>
      <c r="I509" t="n">
        <v>0</v>
      </c>
      <c r="J509" t="n">
        <v>0</v>
      </c>
      <c r="K509" t="n">
        <v>0</v>
      </c>
      <c r="L509" t="n">
        <v>0</v>
      </c>
      <c r="M509" t="n">
        <v>0</v>
      </c>
      <c r="N509" t="n">
        <v>0</v>
      </c>
      <c r="O509" t="n">
        <v>0</v>
      </c>
      <c r="P509" t="n">
        <v>0</v>
      </c>
      <c r="Q509" t="n">
        <v>0</v>
      </c>
      <c r="R509" s="2" t="inlineStr"/>
    </row>
    <row r="510" ht="15" customHeight="1">
      <c r="A510" t="inlineStr">
        <is>
          <t>A 71793-2021</t>
        </is>
      </c>
      <c r="B510" s="1" t="n">
        <v>44539</v>
      </c>
      <c r="C510" s="1" t="n">
        <v>46162</v>
      </c>
      <c r="D510" t="inlineStr">
        <is>
          <t>KALMAR LÄN</t>
        </is>
      </c>
      <c r="E510" t="inlineStr">
        <is>
          <t>VIMMERBY</t>
        </is>
      </c>
      <c r="G510" t="n">
        <v>2.7</v>
      </c>
      <c r="H510" t="n">
        <v>0</v>
      </c>
      <c r="I510" t="n">
        <v>0</v>
      </c>
      <c r="J510" t="n">
        <v>0</v>
      </c>
      <c r="K510" t="n">
        <v>0</v>
      </c>
      <c r="L510" t="n">
        <v>0</v>
      </c>
      <c r="M510" t="n">
        <v>0</v>
      </c>
      <c r="N510" t="n">
        <v>0</v>
      </c>
      <c r="O510" t="n">
        <v>0</v>
      </c>
      <c r="P510" t="n">
        <v>0</v>
      </c>
      <c r="Q510" t="n">
        <v>0</v>
      </c>
      <c r="R510" s="2" t="inlineStr"/>
    </row>
    <row r="511" ht="15" customHeight="1">
      <c r="A511" t="inlineStr">
        <is>
          <t>A 55602-2025</t>
        </is>
      </c>
      <c r="B511" s="1" t="n">
        <v>45971</v>
      </c>
      <c r="C511" s="1" t="n">
        <v>46162</v>
      </c>
      <c r="D511" t="inlineStr">
        <is>
          <t>KALMAR LÄN</t>
        </is>
      </c>
      <c r="E511" t="inlineStr">
        <is>
          <t>VIMMERBY</t>
        </is>
      </c>
      <c r="G511" t="n">
        <v>2.7</v>
      </c>
      <c r="H511" t="n">
        <v>0</v>
      </c>
      <c r="I511" t="n">
        <v>0</v>
      </c>
      <c r="J511" t="n">
        <v>0</v>
      </c>
      <c r="K511" t="n">
        <v>0</v>
      </c>
      <c r="L511" t="n">
        <v>0</v>
      </c>
      <c r="M511" t="n">
        <v>0</v>
      </c>
      <c r="N511" t="n">
        <v>0</v>
      </c>
      <c r="O511" t="n">
        <v>0</v>
      </c>
      <c r="P511" t="n">
        <v>0</v>
      </c>
      <c r="Q511" t="n">
        <v>0</v>
      </c>
      <c r="R511" s="2" t="inlineStr"/>
    </row>
    <row r="512" ht="15" customHeight="1">
      <c r="A512" t="inlineStr">
        <is>
          <t>A 73938-2021</t>
        </is>
      </c>
      <c r="B512" s="1" t="n">
        <v>44553</v>
      </c>
      <c r="C512" s="1" t="n">
        <v>46162</v>
      </c>
      <c r="D512" t="inlineStr">
        <is>
          <t>KALMAR LÄN</t>
        </is>
      </c>
      <c r="E512" t="inlineStr">
        <is>
          <t>VIMMERBY</t>
        </is>
      </c>
      <c r="G512" t="n">
        <v>3.2</v>
      </c>
      <c r="H512" t="n">
        <v>0</v>
      </c>
      <c r="I512" t="n">
        <v>0</v>
      </c>
      <c r="J512" t="n">
        <v>0</v>
      </c>
      <c r="K512" t="n">
        <v>0</v>
      </c>
      <c r="L512" t="n">
        <v>0</v>
      </c>
      <c r="M512" t="n">
        <v>0</v>
      </c>
      <c r="N512" t="n">
        <v>0</v>
      </c>
      <c r="O512" t="n">
        <v>0</v>
      </c>
      <c r="P512" t="n">
        <v>0</v>
      </c>
      <c r="Q512" t="n">
        <v>0</v>
      </c>
      <c r="R512" s="2" t="inlineStr"/>
    </row>
    <row r="513" ht="15" customHeight="1">
      <c r="A513" t="inlineStr">
        <is>
          <t>A 55603-2025</t>
        </is>
      </c>
      <c r="B513" s="1" t="n">
        <v>45971</v>
      </c>
      <c r="C513" s="1" t="n">
        <v>46162</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55605-2025</t>
        </is>
      </c>
      <c r="B514" s="1" t="n">
        <v>45971</v>
      </c>
      <c r="C514" s="1" t="n">
        <v>46162</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6069-2023</t>
        </is>
      </c>
      <c r="B515" s="1" t="n">
        <v>44964.5115162037</v>
      </c>
      <c r="C515" s="1" t="n">
        <v>46162</v>
      </c>
      <c r="D515" t="inlineStr">
        <is>
          <t>KALMAR LÄN</t>
        </is>
      </c>
      <c r="E515" t="inlineStr">
        <is>
          <t>VIMMERBY</t>
        </is>
      </c>
      <c r="G515" t="n">
        <v>1.1</v>
      </c>
      <c r="H515" t="n">
        <v>0</v>
      </c>
      <c r="I515" t="n">
        <v>0</v>
      </c>
      <c r="J515" t="n">
        <v>0</v>
      </c>
      <c r="K515" t="n">
        <v>0</v>
      </c>
      <c r="L515" t="n">
        <v>0</v>
      </c>
      <c r="M515" t="n">
        <v>0</v>
      </c>
      <c r="N515" t="n">
        <v>0</v>
      </c>
      <c r="O515" t="n">
        <v>0</v>
      </c>
      <c r="P515" t="n">
        <v>0</v>
      </c>
      <c r="Q515" t="n">
        <v>0</v>
      </c>
      <c r="R515" s="2" t="inlineStr"/>
    </row>
    <row r="516" ht="15" customHeight="1">
      <c r="A516" t="inlineStr">
        <is>
          <t>A 50995-2022</t>
        </is>
      </c>
      <c r="B516" s="1" t="n">
        <v>44867</v>
      </c>
      <c r="C516" s="1" t="n">
        <v>46162</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27122-2023</t>
        </is>
      </c>
      <c r="B517" s="1" t="n">
        <v>45096.45247685185</v>
      </c>
      <c r="C517" s="1" t="n">
        <v>46162</v>
      </c>
      <c r="D517" t="inlineStr">
        <is>
          <t>KALMAR LÄN</t>
        </is>
      </c>
      <c r="E517" t="inlineStr">
        <is>
          <t>VIMMERBY</t>
        </is>
      </c>
      <c r="G517" t="n">
        <v>1.7</v>
      </c>
      <c r="H517" t="n">
        <v>0</v>
      </c>
      <c r="I517" t="n">
        <v>0</v>
      </c>
      <c r="J517" t="n">
        <v>0</v>
      </c>
      <c r="K517" t="n">
        <v>0</v>
      </c>
      <c r="L517" t="n">
        <v>0</v>
      </c>
      <c r="M517" t="n">
        <v>0</v>
      </c>
      <c r="N517" t="n">
        <v>0</v>
      </c>
      <c r="O517" t="n">
        <v>0</v>
      </c>
      <c r="P517" t="n">
        <v>0</v>
      </c>
      <c r="Q517" t="n">
        <v>0</v>
      </c>
      <c r="R517" s="2" t="inlineStr"/>
    </row>
    <row r="518" ht="15" customHeight="1">
      <c r="A518" t="inlineStr">
        <is>
          <t>A 30402-2023</t>
        </is>
      </c>
      <c r="B518" s="1" t="n">
        <v>45111.48395833333</v>
      </c>
      <c r="C518" s="1" t="n">
        <v>46162</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47842-2024</t>
        </is>
      </c>
      <c r="B519" s="1" t="n">
        <v>45588.65545138889</v>
      </c>
      <c r="C519" s="1" t="n">
        <v>46162</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6857-2023</t>
        </is>
      </c>
      <c r="B520" s="1" t="n">
        <v>44967.45122685185</v>
      </c>
      <c r="C520" s="1" t="n">
        <v>46162</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46224-2024</t>
        </is>
      </c>
      <c r="B521" s="1" t="n">
        <v>45581.57016203704</v>
      </c>
      <c r="C521" s="1" t="n">
        <v>46162</v>
      </c>
      <c r="D521" t="inlineStr">
        <is>
          <t>KALMAR LÄN</t>
        </is>
      </c>
      <c r="E521" t="inlineStr">
        <is>
          <t>VIMMERBY</t>
        </is>
      </c>
      <c r="G521" t="n">
        <v>3.1</v>
      </c>
      <c r="H521" t="n">
        <v>0</v>
      </c>
      <c r="I521" t="n">
        <v>0</v>
      </c>
      <c r="J521" t="n">
        <v>0</v>
      </c>
      <c r="K521" t="n">
        <v>0</v>
      </c>
      <c r="L521" t="n">
        <v>0</v>
      </c>
      <c r="M521" t="n">
        <v>0</v>
      </c>
      <c r="N521" t="n">
        <v>0</v>
      </c>
      <c r="O521" t="n">
        <v>0</v>
      </c>
      <c r="P521" t="n">
        <v>0</v>
      </c>
      <c r="Q521" t="n">
        <v>0</v>
      </c>
      <c r="R521" s="2" t="inlineStr"/>
    </row>
    <row r="522" ht="15" customHeight="1">
      <c r="A522" t="inlineStr">
        <is>
          <t>A 29013-2024</t>
        </is>
      </c>
      <c r="B522" s="1" t="n">
        <v>45481.55984953704</v>
      </c>
      <c r="C522" s="1" t="n">
        <v>46162</v>
      </c>
      <c r="D522" t="inlineStr">
        <is>
          <t>KALMAR LÄN</t>
        </is>
      </c>
      <c r="E522" t="inlineStr">
        <is>
          <t>VIMMERBY</t>
        </is>
      </c>
      <c r="G522" t="n">
        <v>3.4</v>
      </c>
      <c r="H522" t="n">
        <v>0</v>
      </c>
      <c r="I522" t="n">
        <v>0</v>
      </c>
      <c r="J522" t="n">
        <v>0</v>
      </c>
      <c r="K522" t="n">
        <v>0</v>
      </c>
      <c r="L522" t="n">
        <v>0</v>
      </c>
      <c r="M522" t="n">
        <v>0</v>
      </c>
      <c r="N522" t="n">
        <v>0</v>
      </c>
      <c r="O522" t="n">
        <v>0</v>
      </c>
      <c r="P522" t="n">
        <v>0</v>
      </c>
      <c r="Q522" t="n">
        <v>0</v>
      </c>
      <c r="R522" s="2" t="inlineStr"/>
    </row>
    <row r="523" ht="15" customHeight="1">
      <c r="A523" t="inlineStr">
        <is>
          <t>A 37028-2024</t>
        </is>
      </c>
      <c r="B523" s="1" t="n">
        <v>45539.38744212963</v>
      </c>
      <c r="C523" s="1" t="n">
        <v>46162</v>
      </c>
      <c r="D523" t="inlineStr">
        <is>
          <t>KALMAR LÄN</t>
        </is>
      </c>
      <c r="E523" t="inlineStr">
        <is>
          <t>VIMMERBY</t>
        </is>
      </c>
      <c r="G523" t="n">
        <v>5.2</v>
      </c>
      <c r="H523" t="n">
        <v>0</v>
      </c>
      <c r="I523" t="n">
        <v>0</v>
      </c>
      <c r="J523" t="n">
        <v>0</v>
      </c>
      <c r="K523" t="n">
        <v>0</v>
      </c>
      <c r="L523" t="n">
        <v>0</v>
      </c>
      <c r="M523" t="n">
        <v>0</v>
      </c>
      <c r="N523" t="n">
        <v>0</v>
      </c>
      <c r="O523" t="n">
        <v>0</v>
      </c>
      <c r="P523" t="n">
        <v>0</v>
      </c>
      <c r="Q523" t="n">
        <v>0</v>
      </c>
      <c r="R523" s="2" t="inlineStr"/>
    </row>
    <row r="524" ht="15" customHeight="1">
      <c r="A524" t="inlineStr">
        <is>
          <t>A 37187-2024</t>
        </is>
      </c>
      <c r="B524" s="1" t="n">
        <v>45539.65212962963</v>
      </c>
      <c r="C524" s="1" t="n">
        <v>46162</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12630-2023</t>
        </is>
      </c>
      <c r="B525" s="1" t="n">
        <v>45000.47998842593</v>
      </c>
      <c r="C525" s="1" t="n">
        <v>46162</v>
      </c>
      <c r="D525" t="inlineStr">
        <is>
          <t>KALMAR LÄN</t>
        </is>
      </c>
      <c r="E525" t="inlineStr">
        <is>
          <t>VIMMERBY</t>
        </is>
      </c>
      <c r="G525" t="n">
        <v>2.1</v>
      </c>
      <c r="H525" t="n">
        <v>0</v>
      </c>
      <c r="I525" t="n">
        <v>0</v>
      </c>
      <c r="J525" t="n">
        <v>0</v>
      </c>
      <c r="K525" t="n">
        <v>0</v>
      </c>
      <c r="L525" t="n">
        <v>0</v>
      </c>
      <c r="M525" t="n">
        <v>0</v>
      </c>
      <c r="N525" t="n">
        <v>0</v>
      </c>
      <c r="O525" t="n">
        <v>0</v>
      </c>
      <c r="P525" t="n">
        <v>0</v>
      </c>
      <c r="Q525" t="n">
        <v>0</v>
      </c>
      <c r="R525" s="2" t="inlineStr"/>
    </row>
    <row r="526" ht="15" customHeight="1">
      <c r="A526" t="inlineStr">
        <is>
          <t>A 57728-2025</t>
        </is>
      </c>
      <c r="B526" s="1" t="n">
        <v>45981</v>
      </c>
      <c r="C526" s="1" t="n">
        <v>46162</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39584-2024</t>
        </is>
      </c>
      <c r="B527" s="1" t="n">
        <v>45552.36759259259</v>
      </c>
      <c r="C527" s="1" t="n">
        <v>46162</v>
      </c>
      <c r="D527" t="inlineStr">
        <is>
          <t>KALMAR LÄN</t>
        </is>
      </c>
      <c r="E527" t="inlineStr">
        <is>
          <t>VIMMERBY</t>
        </is>
      </c>
      <c r="G527" t="n">
        <v>1.9</v>
      </c>
      <c r="H527" t="n">
        <v>0</v>
      </c>
      <c r="I527" t="n">
        <v>0</v>
      </c>
      <c r="J527" t="n">
        <v>0</v>
      </c>
      <c r="K527" t="n">
        <v>0</v>
      </c>
      <c r="L527" t="n">
        <v>0</v>
      </c>
      <c r="M527" t="n">
        <v>0</v>
      </c>
      <c r="N527" t="n">
        <v>0</v>
      </c>
      <c r="O527" t="n">
        <v>0</v>
      </c>
      <c r="P527" t="n">
        <v>0</v>
      </c>
      <c r="Q527" t="n">
        <v>0</v>
      </c>
      <c r="R527" s="2" t="inlineStr"/>
    </row>
    <row r="528" ht="15" customHeight="1">
      <c r="A528" t="inlineStr">
        <is>
          <t>A 27705-2023</t>
        </is>
      </c>
      <c r="B528" s="1" t="n">
        <v>45098.30535879629</v>
      </c>
      <c r="C528" s="1" t="n">
        <v>46162</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58442-2025</t>
        </is>
      </c>
      <c r="B529" s="1" t="n">
        <v>45985.61635416667</v>
      </c>
      <c r="C529" s="1" t="n">
        <v>46162</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58498-2025</t>
        </is>
      </c>
      <c r="B530" s="1" t="n">
        <v>45985.68671296296</v>
      </c>
      <c r="C530" s="1" t="n">
        <v>46162</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58501-2025</t>
        </is>
      </c>
      <c r="B531" s="1" t="n">
        <v>45985.69153935185</v>
      </c>
      <c r="C531" s="1" t="n">
        <v>46162</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58514-2025</t>
        </is>
      </c>
      <c r="B532" s="1" t="n">
        <v>45985.70513888889</v>
      </c>
      <c r="C532" s="1" t="n">
        <v>46162</v>
      </c>
      <c r="D532" t="inlineStr">
        <is>
          <t>KALMAR LÄN</t>
        </is>
      </c>
      <c r="E532" t="inlineStr">
        <is>
          <t>VIMMERBY</t>
        </is>
      </c>
      <c r="G532" t="n">
        <v>3.7</v>
      </c>
      <c r="H532" t="n">
        <v>0</v>
      </c>
      <c r="I532" t="n">
        <v>0</v>
      </c>
      <c r="J532" t="n">
        <v>0</v>
      </c>
      <c r="K532" t="n">
        <v>0</v>
      </c>
      <c r="L532" t="n">
        <v>0</v>
      </c>
      <c r="M532" t="n">
        <v>0</v>
      </c>
      <c r="N532" t="n">
        <v>0</v>
      </c>
      <c r="O532" t="n">
        <v>0</v>
      </c>
      <c r="P532" t="n">
        <v>0</v>
      </c>
      <c r="Q532" t="n">
        <v>0</v>
      </c>
      <c r="R532" s="2" t="inlineStr"/>
    </row>
    <row r="533" ht="15" customHeight="1">
      <c r="A533" t="inlineStr">
        <is>
          <t>A 31013-2023</t>
        </is>
      </c>
      <c r="B533" s="1" t="n">
        <v>45113.56574074074</v>
      </c>
      <c r="C533" s="1" t="n">
        <v>46162</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15388-2025</t>
        </is>
      </c>
      <c r="B534" s="1" t="n">
        <v>45747.42633101852</v>
      </c>
      <c r="C534" s="1" t="n">
        <v>46162</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15391-2025</t>
        </is>
      </c>
      <c r="B535" s="1" t="n">
        <v>45747.42958333333</v>
      </c>
      <c r="C535" s="1" t="n">
        <v>46162</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11303-2025</t>
        </is>
      </c>
      <c r="B536" s="1" t="n">
        <v>45726.44471064815</v>
      </c>
      <c r="C536" s="1" t="n">
        <v>46162</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58503-2025</t>
        </is>
      </c>
      <c r="B537" s="1" t="n">
        <v>45985.69509259259</v>
      </c>
      <c r="C537" s="1" t="n">
        <v>46162</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58446-2025</t>
        </is>
      </c>
      <c r="B538" s="1" t="n">
        <v>45985.62168981481</v>
      </c>
      <c r="C538" s="1" t="n">
        <v>46162</v>
      </c>
      <c r="D538" t="inlineStr">
        <is>
          <t>KALMAR LÄN</t>
        </is>
      </c>
      <c r="E538" t="inlineStr">
        <is>
          <t>VIMMERBY</t>
        </is>
      </c>
      <c r="G538" t="n">
        <v>0.5</v>
      </c>
      <c r="H538" t="n">
        <v>0</v>
      </c>
      <c r="I538" t="n">
        <v>0</v>
      </c>
      <c r="J538" t="n">
        <v>0</v>
      </c>
      <c r="K538" t="n">
        <v>0</v>
      </c>
      <c r="L538" t="n">
        <v>0</v>
      </c>
      <c r="M538" t="n">
        <v>0</v>
      </c>
      <c r="N538" t="n">
        <v>0</v>
      </c>
      <c r="O538" t="n">
        <v>0</v>
      </c>
      <c r="P538" t="n">
        <v>0</v>
      </c>
      <c r="Q538" t="n">
        <v>0</v>
      </c>
      <c r="R538" s="2" t="inlineStr"/>
    </row>
    <row r="539" ht="15" customHeight="1">
      <c r="A539" t="inlineStr">
        <is>
          <t>A 58500-2025</t>
        </is>
      </c>
      <c r="B539" s="1" t="n">
        <v>45985.69008101852</v>
      </c>
      <c r="C539" s="1" t="n">
        <v>46162</v>
      </c>
      <c r="D539" t="inlineStr">
        <is>
          <t>KALMAR LÄN</t>
        </is>
      </c>
      <c r="E539" t="inlineStr">
        <is>
          <t>VIMMERBY</t>
        </is>
      </c>
      <c r="G539" t="n">
        <v>1.8</v>
      </c>
      <c r="H539" t="n">
        <v>0</v>
      </c>
      <c r="I539" t="n">
        <v>0</v>
      </c>
      <c r="J539" t="n">
        <v>0</v>
      </c>
      <c r="K539" t="n">
        <v>0</v>
      </c>
      <c r="L539" t="n">
        <v>0</v>
      </c>
      <c r="M539" t="n">
        <v>0</v>
      </c>
      <c r="N539" t="n">
        <v>0</v>
      </c>
      <c r="O539" t="n">
        <v>0</v>
      </c>
      <c r="P539" t="n">
        <v>0</v>
      </c>
      <c r="Q539" t="n">
        <v>0</v>
      </c>
      <c r="R539" s="2" t="inlineStr"/>
    </row>
    <row r="540" ht="15" customHeight="1">
      <c r="A540" t="inlineStr">
        <is>
          <t>A 33352-2022</t>
        </is>
      </c>
      <c r="B540" s="1" t="n">
        <v>44788</v>
      </c>
      <c r="C540" s="1" t="n">
        <v>46162</v>
      </c>
      <c r="D540" t="inlineStr">
        <is>
          <t>KALMAR LÄN</t>
        </is>
      </c>
      <c r="E540" t="inlineStr">
        <is>
          <t>VIMMERBY</t>
        </is>
      </c>
      <c r="G540" t="n">
        <v>0.8</v>
      </c>
      <c r="H540" t="n">
        <v>0</v>
      </c>
      <c r="I540" t="n">
        <v>0</v>
      </c>
      <c r="J540" t="n">
        <v>0</v>
      </c>
      <c r="K540" t="n">
        <v>0</v>
      </c>
      <c r="L540" t="n">
        <v>0</v>
      </c>
      <c r="M540" t="n">
        <v>0</v>
      </c>
      <c r="N540" t="n">
        <v>0</v>
      </c>
      <c r="O540" t="n">
        <v>0</v>
      </c>
      <c r="P540" t="n">
        <v>0</v>
      </c>
      <c r="Q540" t="n">
        <v>0</v>
      </c>
      <c r="R540" s="2" t="inlineStr"/>
    </row>
    <row r="541" ht="15" customHeight="1">
      <c r="A541" t="inlineStr">
        <is>
          <t>A 58435-2025</t>
        </is>
      </c>
      <c r="B541" s="1" t="n">
        <v>45985.61501157407</v>
      </c>
      <c r="C541" s="1" t="n">
        <v>46162</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46234-2024</t>
        </is>
      </c>
      <c r="B542" s="1" t="n">
        <v>45581.57958333333</v>
      </c>
      <c r="C542" s="1" t="n">
        <v>46162</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39053-2024</t>
        </is>
      </c>
      <c r="B543" s="1" t="n">
        <v>45548</v>
      </c>
      <c r="C543" s="1" t="n">
        <v>46162</v>
      </c>
      <c r="D543" t="inlineStr">
        <is>
          <t>KALMAR LÄN</t>
        </is>
      </c>
      <c r="E543" t="inlineStr">
        <is>
          <t>VIMMERBY</t>
        </is>
      </c>
      <c r="G543" t="n">
        <v>5</v>
      </c>
      <c r="H543" t="n">
        <v>0</v>
      </c>
      <c r="I543" t="n">
        <v>0</v>
      </c>
      <c r="J543" t="n">
        <v>0</v>
      </c>
      <c r="K543" t="n">
        <v>0</v>
      </c>
      <c r="L543" t="n">
        <v>0</v>
      </c>
      <c r="M543" t="n">
        <v>0</v>
      </c>
      <c r="N543" t="n">
        <v>0</v>
      </c>
      <c r="O543" t="n">
        <v>0</v>
      </c>
      <c r="P543" t="n">
        <v>0</v>
      </c>
      <c r="Q543" t="n">
        <v>0</v>
      </c>
      <c r="R543" s="2" t="inlineStr"/>
    </row>
    <row r="544" ht="15" customHeight="1">
      <c r="A544" t="inlineStr">
        <is>
          <t>A 15449-2023</t>
        </is>
      </c>
      <c r="B544" s="1" t="n">
        <v>45020</v>
      </c>
      <c r="C544" s="1" t="n">
        <v>46162</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59037-2025</t>
        </is>
      </c>
      <c r="B545" s="1" t="n">
        <v>45988.36508101852</v>
      </c>
      <c r="C545" s="1" t="n">
        <v>46162</v>
      </c>
      <c r="D545" t="inlineStr">
        <is>
          <t>KALMAR LÄN</t>
        </is>
      </c>
      <c r="E545" t="inlineStr">
        <is>
          <t>VIMMERBY</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43594-2024</t>
        </is>
      </c>
      <c r="B546" s="1" t="n">
        <v>45569.44295138889</v>
      </c>
      <c r="C546" s="1" t="n">
        <v>46162</v>
      </c>
      <c r="D546" t="inlineStr">
        <is>
          <t>KALMAR LÄN</t>
        </is>
      </c>
      <c r="E546" t="inlineStr">
        <is>
          <t>VIMMERBY</t>
        </is>
      </c>
      <c r="G546" t="n">
        <v>3.9</v>
      </c>
      <c r="H546" t="n">
        <v>0</v>
      </c>
      <c r="I546" t="n">
        <v>0</v>
      </c>
      <c r="J546" t="n">
        <v>0</v>
      </c>
      <c r="K546" t="n">
        <v>0</v>
      </c>
      <c r="L546" t="n">
        <v>0</v>
      </c>
      <c r="M546" t="n">
        <v>0</v>
      </c>
      <c r="N546" t="n">
        <v>0</v>
      </c>
      <c r="O546" t="n">
        <v>0</v>
      </c>
      <c r="P546" t="n">
        <v>0</v>
      </c>
      <c r="Q546" t="n">
        <v>0</v>
      </c>
      <c r="R546" s="2" t="inlineStr"/>
    </row>
    <row r="547" ht="15" customHeight="1">
      <c r="A547" t="inlineStr">
        <is>
          <t>A 59034-2025</t>
        </is>
      </c>
      <c r="B547" s="1" t="n">
        <v>45988.36243055556</v>
      </c>
      <c r="C547" s="1" t="n">
        <v>46162</v>
      </c>
      <c r="D547" t="inlineStr">
        <is>
          <t>KALMAR LÄN</t>
        </is>
      </c>
      <c r="E547" t="inlineStr">
        <is>
          <t>VIMMERBY</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59068-2025</t>
        </is>
      </c>
      <c r="B548" s="1" t="n">
        <v>45988.41725694444</v>
      </c>
      <c r="C548" s="1" t="n">
        <v>46162</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17486-2024</t>
        </is>
      </c>
      <c r="B549" s="1" t="n">
        <v>45415.48979166667</v>
      </c>
      <c r="C549" s="1" t="n">
        <v>46162</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58858-2025</t>
        </is>
      </c>
      <c r="B550" s="1" t="n">
        <v>45987.4243287037</v>
      </c>
      <c r="C550" s="1" t="n">
        <v>46162</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59039-2025</t>
        </is>
      </c>
      <c r="B551" s="1" t="n">
        <v>45988.36790509259</v>
      </c>
      <c r="C551" s="1" t="n">
        <v>46162</v>
      </c>
      <c r="D551" t="inlineStr">
        <is>
          <t>KALMAR LÄN</t>
        </is>
      </c>
      <c r="E551" t="inlineStr">
        <is>
          <t>VIMMERBY</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14248-2023</t>
        </is>
      </c>
      <c r="B552" s="1" t="n">
        <v>45009</v>
      </c>
      <c r="C552" s="1" t="n">
        <v>46162</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58841-2025</t>
        </is>
      </c>
      <c r="B553" s="1" t="n">
        <v>45987.36275462963</v>
      </c>
      <c r="C553" s="1" t="n">
        <v>46162</v>
      </c>
      <c r="D553" t="inlineStr">
        <is>
          <t>KALMAR LÄN</t>
        </is>
      </c>
      <c r="E553" t="inlineStr">
        <is>
          <t>VIMMERBY</t>
        </is>
      </c>
      <c r="G553" t="n">
        <v>3.5</v>
      </c>
      <c r="H553" t="n">
        <v>0</v>
      </c>
      <c r="I553" t="n">
        <v>0</v>
      </c>
      <c r="J553" t="n">
        <v>0</v>
      </c>
      <c r="K553" t="n">
        <v>0</v>
      </c>
      <c r="L553" t="n">
        <v>0</v>
      </c>
      <c r="M553" t="n">
        <v>0</v>
      </c>
      <c r="N553" t="n">
        <v>0</v>
      </c>
      <c r="O553" t="n">
        <v>0</v>
      </c>
      <c r="P553" t="n">
        <v>0</v>
      </c>
      <c r="Q553" t="n">
        <v>0</v>
      </c>
      <c r="R553" s="2" t="inlineStr"/>
    </row>
    <row r="554" ht="15" customHeight="1">
      <c r="A554" t="inlineStr">
        <is>
          <t>A 30400-2023</t>
        </is>
      </c>
      <c r="B554" s="1" t="n">
        <v>45111.48225694444</v>
      </c>
      <c r="C554" s="1" t="n">
        <v>46162</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30404-2023</t>
        </is>
      </c>
      <c r="B555" s="1" t="n">
        <v>45111.48636574074</v>
      </c>
      <c r="C555" s="1" t="n">
        <v>46162</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55123-2024</t>
        </is>
      </c>
      <c r="B556" s="1" t="n">
        <v>45621.46103009259</v>
      </c>
      <c r="C556" s="1" t="n">
        <v>46162</v>
      </c>
      <c r="D556" t="inlineStr">
        <is>
          <t>KALMAR LÄN</t>
        </is>
      </c>
      <c r="E556" t="inlineStr">
        <is>
          <t>VIMMERBY</t>
        </is>
      </c>
      <c r="G556" t="n">
        <v>3.1</v>
      </c>
      <c r="H556" t="n">
        <v>0</v>
      </c>
      <c r="I556" t="n">
        <v>0</v>
      </c>
      <c r="J556" t="n">
        <v>0</v>
      </c>
      <c r="K556" t="n">
        <v>0</v>
      </c>
      <c r="L556" t="n">
        <v>0</v>
      </c>
      <c r="M556" t="n">
        <v>0</v>
      </c>
      <c r="N556" t="n">
        <v>0</v>
      </c>
      <c r="O556" t="n">
        <v>0</v>
      </c>
      <c r="P556" t="n">
        <v>0</v>
      </c>
      <c r="Q556" t="n">
        <v>0</v>
      </c>
      <c r="R556" s="2" t="inlineStr"/>
    </row>
    <row r="557" ht="15" customHeight="1">
      <c r="A557" t="inlineStr">
        <is>
          <t>A 31405-2023</t>
        </is>
      </c>
      <c r="B557" s="1" t="n">
        <v>45114.58148148148</v>
      </c>
      <c r="C557" s="1" t="n">
        <v>46162</v>
      </c>
      <c r="D557" t="inlineStr">
        <is>
          <t>KALMAR LÄN</t>
        </is>
      </c>
      <c r="E557" t="inlineStr">
        <is>
          <t>VIMMERBY</t>
        </is>
      </c>
      <c r="G557" t="n">
        <v>2.6</v>
      </c>
      <c r="H557" t="n">
        <v>0</v>
      </c>
      <c r="I557" t="n">
        <v>0</v>
      </c>
      <c r="J557" t="n">
        <v>0</v>
      </c>
      <c r="K557" t="n">
        <v>0</v>
      </c>
      <c r="L557" t="n">
        <v>0</v>
      </c>
      <c r="M557" t="n">
        <v>0</v>
      </c>
      <c r="N557" t="n">
        <v>0</v>
      </c>
      <c r="O557" t="n">
        <v>0</v>
      </c>
      <c r="P557" t="n">
        <v>0</v>
      </c>
      <c r="Q557" t="n">
        <v>0</v>
      </c>
      <c r="R557" s="2" t="inlineStr"/>
    </row>
    <row r="558" ht="15" customHeight="1">
      <c r="A558" t="inlineStr">
        <is>
          <t>A 59579-2025</t>
        </is>
      </c>
      <c r="B558" s="1" t="n">
        <v>45992.30569444445</v>
      </c>
      <c r="C558" s="1" t="n">
        <v>46162</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60180-2025</t>
        </is>
      </c>
      <c r="B559" s="1" t="n">
        <v>45994.46428240741</v>
      </c>
      <c r="C559" s="1" t="n">
        <v>46162</v>
      </c>
      <c r="D559" t="inlineStr">
        <is>
          <t>KALMAR LÄN</t>
        </is>
      </c>
      <c r="E559" t="inlineStr">
        <is>
          <t>VIMMERBY</t>
        </is>
      </c>
      <c r="G559" t="n">
        <v>6.8</v>
      </c>
      <c r="H559" t="n">
        <v>0</v>
      </c>
      <c r="I559" t="n">
        <v>0</v>
      </c>
      <c r="J559" t="n">
        <v>0</v>
      </c>
      <c r="K559" t="n">
        <v>0</v>
      </c>
      <c r="L559" t="n">
        <v>0</v>
      </c>
      <c r="M559" t="n">
        <v>0</v>
      </c>
      <c r="N559" t="n">
        <v>0</v>
      </c>
      <c r="O559" t="n">
        <v>0</v>
      </c>
      <c r="P559" t="n">
        <v>0</v>
      </c>
      <c r="Q559" t="n">
        <v>0</v>
      </c>
      <c r="R559" s="2" t="inlineStr"/>
    </row>
    <row r="560" ht="15" customHeight="1">
      <c r="A560" t="inlineStr">
        <is>
          <t>A 60297-2025</t>
        </is>
      </c>
      <c r="B560" s="1" t="n">
        <v>45994</v>
      </c>
      <c r="C560" s="1" t="n">
        <v>46162</v>
      </c>
      <c r="D560" t="inlineStr">
        <is>
          <t>KALMAR LÄN</t>
        </is>
      </c>
      <c r="E560" t="inlineStr">
        <is>
          <t>VIMMERBY</t>
        </is>
      </c>
      <c r="G560" t="n">
        <v>4.2</v>
      </c>
      <c r="H560" t="n">
        <v>0</v>
      </c>
      <c r="I560" t="n">
        <v>0</v>
      </c>
      <c r="J560" t="n">
        <v>0</v>
      </c>
      <c r="K560" t="n">
        <v>0</v>
      </c>
      <c r="L560" t="n">
        <v>0</v>
      </c>
      <c r="M560" t="n">
        <v>0</v>
      </c>
      <c r="N560" t="n">
        <v>0</v>
      </c>
      <c r="O560" t="n">
        <v>0</v>
      </c>
      <c r="P560" t="n">
        <v>0</v>
      </c>
      <c r="Q560" t="n">
        <v>0</v>
      </c>
      <c r="R560" s="2" t="inlineStr"/>
    </row>
    <row r="561" ht="15" customHeight="1">
      <c r="A561" t="inlineStr">
        <is>
          <t>A 24707-2024</t>
        </is>
      </c>
      <c r="B561" s="1" t="n">
        <v>45460.62172453704</v>
      </c>
      <c r="C561" s="1" t="n">
        <v>46162</v>
      </c>
      <c r="D561" t="inlineStr">
        <is>
          <t>KALMAR LÄN</t>
        </is>
      </c>
      <c r="E561" t="inlineStr">
        <is>
          <t>VIMMERBY</t>
        </is>
      </c>
      <c r="G561" t="n">
        <v>1.7</v>
      </c>
      <c r="H561" t="n">
        <v>0</v>
      </c>
      <c r="I561" t="n">
        <v>0</v>
      </c>
      <c r="J561" t="n">
        <v>0</v>
      </c>
      <c r="K561" t="n">
        <v>0</v>
      </c>
      <c r="L561" t="n">
        <v>0</v>
      </c>
      <c r="M561" t="n">
        <v>0</v>
      </c>
      <c r="N561" t="n">
        <v>0</v>
      </c>
      <c r="O561" t="n">
        <v>0</v>
      </c>
      <c r="P561" t="n">
        <v>0</v>
      </c>
      <c r="Q561" t="n">
        <v>0</v>
      </c>
      <c r="R561" s="2" t="inlineStr"/>
    </row>
    <row r="562" ht="15" customHeight="1">
      <c r="A562" t="inlineStr">
        <is>
          <t>A 36049-2024</t>
        </is>
      </c>
      <c r="B562" s="1" t="n">
        <v>45533.61996527778</v>
      </c>
      <c r="C562" s="1" t="n">
        <v>46162</v>
      </c>
      <c r="D562" t="inlineStr">
        <is>
          <t>KALMAR LÄN</t>
        </is>
      </c>
      <c r="E562" t="inlineStr">
        <is>
          <t>VIMMERBY</t>
        </is>
      </c>
      <c r="F562" t="inlineStr">
        <is>
          <t>Kommuner</t>
        </is>
      </c>
      <c r="G562" t="n">
        <v>2.6</v>
      </c>
      <c r="H562" t="n">
        <v>0</v>
      </c>
      <c r="I562" t="n">
        <v>0</v>
      </c>
      <c r="J562" t="n">
        <v>0</v>
      </c>
      <c r="K562" t="n">
        <v>0</v>
      </c>
      <c r="L562" t="n">
        <v>0</v>
      </c>
      <c r="M562" t="n">
        <v>0</v>
      </c>
      <c r="N562" t="n">
        <v>0</v>
      </c>
      <c r="O562" t="n">
        <v>0</v>
      </c>
      <c r="P562" t="n">
        <v>0</v>
      </c>
      <c r="Q562" t="n">
        <v>0</v>
      </c>
      <c r="R562" s="2" t="inlineStr"/>
    </row>
    <row r="563" ht="15" customHeight="1">
      <c r="A563" t="inlineStr">
        <is>
          <t>A 61790-2025</t>
        </is>
      </c>
      <c r="B563" s="1" t="n">
        <v>46002.68768518518</v>
      </c>
      <c r="C563" s="1" t="n">
        <v>46162</v>
      </c>
      <c r="D563" t="inlineStr">
        <is>
          <t>KALMAR LÄN</t>
        </is>
      </c>
      <c r="E563" t="inlineStr">
        <is>
          <t>VIMMERBY</t>
        </is>
      </c>
      <c r="F563" t="inlineStr">
        <is>
          <t>Sveaskog</t>
        </is>
      </c>
      <c r="G563" t="n">
        <v>1.2</v>
      </c>
      <c r="H563" t="n">
        <v>0</v>
      </c>
      <c r="I563" t="n">
        <v>0</v>
      </c>
      <c r="J563" t="n">
        <v>0</v>
      </c>
      <c r="K563" t="n">
        <v>0</v>
      </c>
      <c r="L563" t="n">
        <v>0</v>
      </c>
      <c r="M563" t="n">
        <v>0</v>
      </c>
      <c r="N563" t="n">
        <v>0</v>
      </c>
      <c r="O563" t="n">
        <v>0</v>
      </c>
      <c r="P563" t="n">
        <v>0</v>
      </c>
      <c r="Q563" t="n">
        <v>0</v>
      </c>
      <c r="R563" s="2" t="inlineStr"/>
    </row>
    <row r="564" ht="15" customHeight="1">
      <c r="A564" t="inlineStr">
        <is>
          <t>A 61726-2025</t>
        </is>
      </c>
      <c r="B564" s="1" t="n">
        <v>46002.58822916666</v>
      </c>
      <c r="C564" s="1" t="n">
        <v>46162</v>
      </c>
      <c r="D564" t="inlineStr">
        <is>
          <t>KALMAR LÄN</t>
        </is>
      </c>
      <c r="E564" t="inlineStr">
        <is>
          <t>VIMMERBY</t>
        </is>
      </c>
      <c r="F564" t="inlineStr">
        <is>
          <t>Sveaskog</t>
        </is>
      </c>
      <c r="G564" t="n">
        <v>0.2</v>
      </c>
      <c r="H564" t="n">
        <v>0</v>
      </c>
      <c r="I564" t="n">
        <v>0</v>
      </c>
      <c r="J564" t="n">
        <v>0</v>
      </c>
      <c r="K564" t="n">
        <v>0</v>
      </c>
      <c r="L564" t="n">
        <v>0</v>
      </c>
      <c r="M564" t="n">
        <v>0</v>
      </c>
      <c r="N564" t="n">
        <v>0</v>
      </c>
      <c r="O564" t="n">
        <v>0</v>
      </c>
      <c r="P564" t="n">
        <v>0</v>
      </c>
      <c r="Q564" t="n">
        <v>0</v>
      </c>
      <c r="R564" s="2" t="inlineStr"/>
    </row>
    <row r="565" ht="15" customHeight="1">
      <c r="A565" t="inlineStr">
        <is>
          <t>A 61725-2025</t>
        </is>
      </c>
      <c r="B565" s="1" t="n">
        <v>46002.58680555555</v>
      </c>
      <c r="C565" s="1" t="n">
        <v>46162</v>
      </c>
      <c r="D565" t="inlineStr">
        <is>
          <t>KALMAR LÄN</t>
        </is>
      </c>
      <c r="E565" t="inlineStr">
        <is>
          <t>VIMMERBY</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58159-2024</t>
        </is>
      </c>
      <c r="B566" s="1" t="n">
        <v>45632.44886574074</v>
      </c>
      <c r="C566" s="1" t="n">
        <v>46162</v>
      </c>
      <c r="D566" t="inlineStr">
        <is>
          <t>KALMAR LÄN</t>
        </is>
      </c>
      <c r="E566" t="inlineStr">
        <is>
          <t>VIMMERBY</t>
        </is>
      </c>
      <c r="G566" t="n">
        <v>7.5</v>
      </c>
      <c r="H566" t="n">
        <v>0</v>
      </c>
      <c r="I566" t="n">
        <v>0</v>
      </c>
      <c r="J566" t="n">
        <v>0</v>
      </c>
      <c r="K566" t="n">
        <v>0</v>
      </c>
      <c r="L566" t="n">
        <v>0</v>
      </c>
      <c r="M566" t="n">
        <v>0</v>
      </c>
      <c r="N566" t="n">
        <v>0</v>
      </c>
      <c r="O566" t="n">
        <v>0</v>
      </c>
      <c r="P566" t="n">
        <v>0</v>
      </c>
      <c r="Q566" t="n">
        <v>0</v>
      </c>
      <c r="R566" s="2" t="inlineStr"/>
    </row>
    <row r="567" ht="15" customHeight="1">
      <c r="A567" t="inlineStr">
        <is>
          <t>A 14359-2025</t>
        </is>
      </c>
      <c r="B567" s="1" t="n">
        <v>45741.37270833334</v>
      </c>
      <c r="C567" s="1" t="n">
        <v>46162</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39578-2024</t>
        </is>
      </c>
      <c r="B568" s="1" t="n">
        <v>45552.36484953704</v>
      </c>
      <c r="C568" s="1" t="n">
        <v>46162</v>
      </c>
      <c r="D568" t="inlineStr">
        <is>
          <t>KALMAR LÄN</t>
        </is>
      </c>
      <c r="E568" t="inlineStr">
        <is>
          <t>VIMMERBY</t>
        </is>
      </c>
      <c r="G568" t="n">
        <v>1.5</v>
      </c>
      <c r="H568" t="n">
        <v>0</v>
      </c>
      <c r="I568" t="n">
        <v>0</v>
      </c>
      <c r="J568" t="n">
        <v>0</v>
      </c>
      <c r="K568" t="n">
        <v>0</v>
      </c>
      <c r="L568" t="n">
        <v>0</v>
      </c>
      <c r="M568" t="n">
        <v>0</v>
      </c>
      <c r="N568" t="n">
        <v>0</v>
      </c>
      <c r="O568" t="n">
        <v>0</v>
      </c>
      <c r="P568" t="n">
        <v>0</v>
      </c>
      <c r="Q568" t="n">
        <v>0</v>
      </c>
      <c r="R568" s="2" t="inlineStr"/>
    </row>
    <row r="569" ht="15" customHeight="1">
      <c r="A569" t="inlineStr">
        <is>
          <t>A 62779-2023</t>
        </is>
      </c>
      <c r="B569" s="1" t="n">
        <v>45271.66576388889</v>
      </c>
      <c r="C569" s="1" t="n">
        <v>46162</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46399-2024</t>
        </is>
      </c>
      <c r="B570" s="1" t="n">
        <v>45582.41200231481</v>
      </c>
      <c r="C570" s="1" t="n">
        <v>46162</v>
      </c>
      <c r="D570" t="inlineStr">
        <is>
          <t>KALMAR LÄN</t>
        </is>
      </c>
      <c r="E570" t="inlineStr">
        <is>
          <t>VIMMERBY</t>
        </is>
      </c>
      <c r="G570" t="n">
        <v>4.6</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44585.51060185185</v>
      </c>
      <c r="C571" s="1" t="n">
        <v>46162</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43962-2024</t>
        </is>
      </c>
      <c r="B572" s="1" t="n">
        <v>45572.48293981481</v>
      </c>
      <c r="C572" s="1" t="n">
        <v>46162</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12810-2023</t>
        </is>
      </c>
      <c r="B573" s="1" t="n">
        <v>45001.43854166667</v>
      </c>
      <c r="C573" s="1" t="n">
        <v>46162</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43068-2023</t>
        </is>
      </c>
      <c r="B574" s="1" t="n">
        <v>45182.78834490741</v>
      </c>
      <c r="C574" s="1" t="n">
        <v>46162</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12075-2024</t>
        </is>
      </c>
      <c r="B575" s="1" t="n">
        <v>45377</v>
      </c>
      <c r="C575" s="1" t="n">
        <v>46162</v>
      </c>
      <c r="D575" t="inlineStr">
        <is>
          <t>KALMAR LÄN</t>
        </is>
      </c>
      <c r="E575" t="inlineStr">
        <is>
          <t>VIMMERBY</t>
        </is>
      </c>
      <c r="G575" t="n">
        <v>3.7</v>
      </c>
      <c r="H575" t="n">
        <v>0</v>
      </c>
      <c r="I575" t="n">
        <v>0</v>
      </c>
      <c r="J575" t="n">
        <v>0</v>
      </c>
      <c r="K575" t="n">
        <v>0</v>
      </c>
      <c r="L575" t="n">
        <v>0</v>
      </c>
      <c r="M575" t="n">
        <v>0</v>
      </c>
      <c r="N575" t="n">
        <v>0</v>
      </c>
      <c r="O575" t="n">
        <v>0</v>
      </c>
      <c r="P575" t="n">
        <v>0</v>
      </c>
      <c r="Q575" t="n">
        <v>0</v>
      </c>
      <c r="R575" s="2" t="inlineStr"/>
    </row>
    <row r="576" ht="15" customHeight="1">
      <c r="A576" t="inlineStr">
        <is>
          <t>A 61937-2025</t>
        </is>
      </c>
      <c r="B576" s="1" t="n">
        <v>46003</v>
      </c>
      <c r="C576" s="1" t="n">
        <v>46162</v>
      </c>
      <c r="D576" t="inlineStr">
        <is>
          <t>KALMAR LÄN</t>
        </is>
      </c>
      <c r="E576" t="inlineStr">
        <is>
          <t>VIMMERBY</t>
        </is>
      </c>
      <c r="G576" t="n">
        <v>3.4</v>
      </c>
      <c r="H576" t="n">
        <v>0</v>
      </c>
      <c r="I576" t="n">
        <v>0</v>
      </c>
      <c r="J576" t="n">
        <v>0</v>
      </c>
      <c r="K576" t="n">
        <v>0</v>
      </c>
      <c r="L576" t="n">
        <v>0</v>
      </c>
      <c r="M576" t="n">
        <v>0</v>
      </c>
      <c r="N576" t="n">
        <v>0</v>
      </c>
      <c r="O576" t="n">
        <v>0</v>
      </c>
      <c r="P576" t="n">
        <v>0</v>
      </c>
      <c r="Q576" t="n">
        <v>0</v>
      </c>
      <c r="R576" s="2" t="inlineStr"/>
    </row>
    <row r="577" ht="15" customHeight="1">
      <c r="A577" t="inlineStr">
        <is>
          <t>A 1799-2025</t>
        </is>
      </c>
      <c r="B577" s="1" t="n">
        <v>45671.46746527778</v>
      </c>
      <c r="C577" s="1" t="n">
        <v>46162</v>
      </c>
      <c r="D577" t="inlineStr">
        <is>
          <t>KALMAR LÄN</t>
        </is>
      </c>
      <c r="E577" t="inlineStr">
        <is>
          <t>VIMMERBY</t>
        </is>
      </c>
      <c r="G577" t="n">
        <v>3.3</v>
      </c>
      <c r="H577" t="n">
        <v>0</v>
      </c>
      <c r="I577" t="n">
        <v>0</v>
      </c>
      <c r="J577" t="n">
        <v>0</v>
      </c>
      <c r="K577" t="n">
        <v>0</v>
      </c>
      <c r="L577" t="n">
        <v>0</v>
      </c>
      <c r="M577" t="n">
        <v>0</v>
      </c>
      <c r="N577" t="n">
        <v>0</v>
      </c>
      <c r="O577" t="n">
        <v>0</v>
      </c>
      <c r="P577" t="n">
        <v>0</v>
      </c>
      <c r="Q577" t="n">
        <v>0</v>
      </c>
      <c r="R577" s="2" t="inlineStr"/>
    </row>
    <row r="578" ht="15" customHeight="1">
      <c r="A578" t="inlineStr">
        <is>
          <t>A 63711-2025</t>
        </is>
      </c>
      <c r="B578" s="1" t="n">
        <v>46014.62724537037</v>
      </c>
      <c r="C578" s="1" t="n">
        <v>46162</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44579.62225694444</v>
      </c>
      <c r="C579" s="1" t="n">
        <v>46162</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63845-2025</t>
        </is>
      </c>
      <c r="B580" s="1" t="n">
        <v>46020.43715277778</v>
      </c>
      <c r="C580" s="1" t="n">
        <v>46162</v>
      </c>
      <c r="D580" t="inlineStr">
        <is>
          <t>KALMAR LÄN</t>
        </is>
      </c>
      <c r="E580" t="inlineStr">
        <is>
          <t>VIMMERBY</t>
        </is>
      </c>
      <c r="G580" t="n">
        <v>3.8</v>
      </c>
      <c r="H580" t="n">
        <v>0</v>
      </c>
      <c r="I580" t="n">
        <v>0</v>
      </c>
      <c r="J580" t="n">
        <v>0</v>
      </c>
      <c r="K580" t="n">
        <v>0</v>
      </c>
      <c r="L580" t="n">
        <v>0</v>
      </c>
      <c r="M580" t="n">
        <v>0</v>
      </c>
      <c r="N580" t="n">
        <v>0</v>
      </c>
      <c r="O580" t="n">
        <v>0</v>
      </c>
      <c r="P580" t="n">
        <v>0</v>
      </c>
      <c r="Q580" t="n">
        <v>0</v>
      </c>
      <c r="R580" s="2" t="inlineStr"/>
    </row>
    <row r="581" ht="15" customHeight="1">
      <c r="A581" t="inlineStr">
        <is>
          <t>A 63848-2025</t>
        </is>
      </c>
      <c r="B581" s="1" t="n">
        <v>46020.44902777778</v>
      </c>
      <c r="C581" s="1" t="n">
        <v>46162</v>
      </c>
      <c r="D581" t="inlineStr">
        <is>
          <t>KALMAR LÄN</t>
        </is>
      </c>
      <c r="E581" t="inlineStr">
        <is>
          <t>VIMMERBY</t>
        </is>
      </c>
      <c r="G581" t="n">
        <v>3.4</v>
      </c>
      <c r="H581" t="n">
        <v>0</v>
      </c>
      <c r="I581" t="n">
        <v>0</v>
      </c>
      <c r="J581" t="n">
        <v>0</v>
      </c>
      <c r="K581" t="n">
        <v>0</v>
      </c>
      <c r="L581" t="n">
        <v>0</v>
      </c>
      <c r="M581" t="n">
        <v>0</v>
      </c>
      <c r="N581" t="n">
        <v>0</v>
      </c>
      <c r="O581" t="n">
        <v>0</v>
      </c>
      <c r="P581" t="n">
        <v>0</v>
      </c>
      <c r="Q581" t="n">
        <v>0</v>
      </c>
      <c r="R581" s="2" t="inlineStr"/>
    </row>
    <row r="582" ht="15" customHeight="1">
      <c r="A582" t="inlineStr">
        <is>
          <t>A 63758-2025</t>
        </is>
      </c>
      <c r="B582" s="1" t="n">
        <v>46018.46483796297</v>
      </c>
      <c r="C582" s="1" t="n">
        <v>46162</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13015-2022</t>
        </is>
      </c>
      <c r="B583" s="1" t="n">
        <v>44643</v>
      </c>
      <c r="C583" s="1" t="n">
        <v>46162</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63839-2025</t>
        </is>
      </c>
      <c r="B584" s="1" t="n">
        <v>46020.41998842593</v>
      </c>
      <c r="C584" s="1" t="n">
        <v>46162</v>
      </c>
      <c r="D584" t="inlineStr">
        <is>
          <t>KALMAR LÄN</t>
        </is>
      </c>
      <c r="E584" t="inlineStr">
        <is>
          <t>VIMMERBY</t>
        </is>
      </c>
      <c r="G584" t="n">
        <v>2.9</v>
      </c>
      <c r="H584" t="n">
        <v>0</v>
      </c>
      <c r="I584" t="n">
        <v>0</v>
      </c>
      <c r="J584" t="n">
        <v>0</v>
      </c>
      <c r="K584" t="n">
        <v>0</v>
      </c>
      <c r="L584" t="n">
        <v>0</v>
      </c>
      <c r="M584" t="n">
        <v>0</v>
      </c>
      <c r="N584" t="n">
        <v>0</v>
      </c>
      <c r="O584" t="n">
        <v>0</v>
      </c>
      <c r="P584" t="n">
        <v>0</v>
      </c>
      <c r="Q584" t="n">
        <v>0</v>
      </c>
      <c r="R584" s="2" t="inlineStr"/>
    </row>
    <row r="585" ht="15" customHeight="1">
      <c r="A585" t="inlineStr">
        <is>
          <t>A 63762-2025</t>
        </is>
      </c>
      <c r="B585" s="1" t="n">
        <v>46018.67197916667</v>
      </c>
      <c r="C585" s="1" t="n">
        <v>46162</v>
      </c>
      <c r="D585" t="inlineStr">
        <is>
          <t>KALMAR LÄN</t>
        </is>
      </c>
      <c r="E585" t="inlineStr">
        <is>
          <t>VIMMERBY</t>
        </is>
      </c>
      <c r="G585" t="n">
        <v>2.5</v>
      </c>
      <c r="H585" t="n">
        <v>0</v>
      </c>
      <c r="I585" t="n">
        <v>0</v>
      </c>
      <c r="J585" t="n">
        <v>0</v>
      </c>
      <c r="K585" t="n">
        <v>0</v>
      </c>
      <c r="L585" t="n">
        <v>0</v>
      </c>
      <c r="M585" t="n">
        <v>0</v>
      </c>
      <c r="N585" t="n">
        <v>0</v>
      </c>
      <c r="O585" t="n">
        <v>0</v>
      </c>
      <c r="P585" t="n">
        <v>0</v>
      </c>
      <c r="Q585" t="n">
        <v>0</v>
      </c>
      <c r="R585" s="2" t="inlineStr"/>
    </row>
    <row r="586" ht="15" customHeight="1">
      <c r="A586" t="inlineStr">
        <is>
          <t>A 4624-2024</t>
        </is>
      </c>
      <c r="B586" s="1" t="n">
        <v>45328.38755787037</v>
      </c>
      <c r="C586" s="1" t="n">
        <v>46162</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9129-2025</t>
        </is>
      </c>
      <c r="B587" s="1" t="n">
        <v>45713.92412037037</v>
      </c>
      <c r="C587" s="1" t="n">
        <v>46162</v>
      </c>
      <c r="D587" t="inlineStr">
        <is>
          <t>KALMAR LÄN</t>
        </is>
      </c>
      <c r="E587" t="inlineStr">
        <is>
          <t>VIMMERBY</t>
        </is>
      </c>
      <c r="G587" t="n">
        <v>2.8</v>
      </c>
      <c r="H587" t="n">
        <v>0</v>
      </c>
      <c r="I587" t="n">
        <v>0</v>
      </c>
      <c r="J587" t="n">
        <v>0</v>
      </c>
      <c r="K587" t="n">
        <v>0</v>
      </c>
      <c r="L587" t="n">
        <v>0</v>
      </c>
      <c r="M587" t="n">
        <v>0</v>
      </c>
      <c r="N587" t="n">
        <v>0</v>
      </c>
      <c r="O587" t="n">
        <v>0</v>
      </c>
      <c r="P587" t="n">
        <v>0</v>
      </c>
      <c r="Q587" t="n">
        <v>0</v>
      </c>
      <c r="R587" s="2" t="inlineStr"/>
    </row>
    <row r="588" ht="15" customHeight="1">
      <c r="A588" t="inlineStr">
        <is>
          <t>A 22643-2023</t>
        </is>
      </c>
      <c r="B588" s="1" t="n">
        <v>45071</v>
      </c>
      <c r="C588" s="1" t="n">
        <v>46162</v>
      </c>
      <c r="D588" t="inlineStr">
        <is>
          <t>KALMAR LÄN</t>
        </is>
      </c>
      <c r="E588" t="inlineStr">
        <is>
          <t>VIMMERBY</t>
        </is>
      </c>
      <c r="G588" t="n">
        <v>3.9</v>
      </c>
      <c r="H588" t="n">
        <v>0</v>
      </c>
      <c r="I588" t="n">
        <v>0</v>
      </c>
      <c r="J588" t="n">
        <v>0</v>
      </c>
      <c r="K588" t="n">
        <v>0</v>
      </c>
      <c r="L588" t="n">
        <v>0</v>
      </c>
      <c r="M588" t="n">
        <v>0</v>
      </c>
      <c r="N588" t="n">
        <v>0</v>
      </c>
      <c r="O588" t="n">
        <v>0</v>
      </c>
      <c r="P588" t="n">
        <v>0</v>
      </c>
      <c r="Q588" t="n">
        <v>0</v>
      </c>
      <c r="R588" s="2" t="inlineStr"/>
    </row>
    <row r="589" ht="15" customHeight="1">
      <c r="A589" t="inlineStr">
        <is>
          <t>A 409-2026</t>
        </is>
      </c>
      <c r="B589" s="1" t="n">
        <v>46028.69432870371</v>
      </c>
      <c r="C589" s="1" t="n">
        <v>46162</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406-2026</t>
        </is>
      </c>
      <c r="B590" s="1" t="n">
        <v>46028.68663194445</v>
      </c>
      <c r="C590" s="1" t="n">
        <v>46162</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579-2026</t>
        </is>
      </c>
      <c r="B591" s="1" t="n">
        <v>46029.47912037037</v>
      </c>
      <c r="C591" s="1" t="n">
        <v>46162</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34597-2022</t>
        </is>
      </c>
      <c r="B592" s="1" t="n">
        <v>44795</v>
      </c>
      <c r="C592" s="1" t="n">
        <v>46162</v>
      </c>
      <c r="D592" t="inlineStr">
        <is>
          <t>KALMAR LÄN</t>
        </is>
      </c>
      <c r="E592" t="inlineStr">
        <is>
          <t>VIMMERBY</t>
        </is>
      </c>
      <c r="G592" t="n">
        <v>2.2</v>
      </c>
      <c r="H592" t="n">
        <v>0</v>
      </c>
      <c r="I592" t="n">
        <v>0</v>
      </c>
      <c r="J592" t="n">
        <v>0</v>
      </c>
      <c r="K592" t="n">
        <v>0</v>
      </c>
      <c r="L592" t="n">
        <v>0</v>
      </c>
      <c r="M592" t="n">
        <v>0</v>
      </c>
      <c r="N592" t="n">
        <v>0</v>
      </c>
      <c r="O592" t="n">
        <v>0</v>
      </c>
      <c r="P592" t="n">
        <v>0</v>
      </c>
      <c r="Q592" t="n">
        <v>0</v>
      </c>
      <c r="R592" s="2" t="inlineStr"/>
    </row>
    <row r="593" ht="15" customHeight="1">
      <c r="A593" t="inlineStr">
        <is>
          <t>A 40079-2023</t>
        </is>
      </c>
      <c r="B593" s="1" t="n">
        <v>45168.89298611111</v>
      </c>
      <c r="C593" s="1" t="n">
        <v>46162</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842-2026</t>
        </is>
      </c>
      <c r="B594" s="1" t="n">
        <v>46030.380625</v>
      </c>
      <c r="C594" s="1" t="n">
        <v>46162</v>
      </c>
      <c r="D594" t="inlineStr">
        <is>
          <t>KALMAR LÄN</t>
        </is>
      </c>
      <c r="E594" t="inlineStr">
        <is>
          <t>VIMMERBY</t>
        </is>
      </c>
      <c r="G594" t="n">
        <v>0.9</v>
      </c>
      <c r="H594" t="n">
        <v>0</v>
      </c>
      <c r="I594" t="n">
        <v>0</v>
      </c>
      <c r="J594" t="n">
        <v>0</v>
      </c>
      <c r="K594" t="n">
        <v>0</v>
      </c>
      <c r="L594" t="n">
        <v>0</v>
      </c>
      <c r="M594" t="n">
        <v>0</v>
      </c>
      <c r="N594" t="n">
        <v>0</v>
      </c>
      <c r="O594" t="n">
        <v>0</v>
      </c>
      <c r="P594" t="n">
        <v>0</v>
      </c>
      <c r="Q594" t="n">
        <v>0</v>
      </c>
      <c r="R594" s="2" t="inlineStr"/>
    </row>
    <row r="595" ht="15" customHeight="1">
      <c r="A595" t="inlineStr">
        <is>
          <t>A 19833-2023</t>
        </is>
      </c>
      <c r="B595" s="1" t="n">
        <v>45052</v>
      </c>
      <c r="C595" s="1" t="n">
        <v>46162</v>
      </c>
      <c r="D595" t="inlineStr">
        <is>
          <t>KALMAR LÄN</t>
        </is>
      </c>
      <c r="E595" t="inlineStr">
        <is>
          <t>VIMMERBY</t>
        </is>
      </c>
      <c r="G595" t="n">
        <v>6.7</v>
      </c>
      <c r="H595" t="n">
        <v>0</v>
      </c>
      <c r="I595" t="n">
        <v>0</v>
      </c>
      <c r="J595" t="n">
        <v>0</v>
      </c>
      <c r="K595" t="n">
        <v>0</v>
      </c>
      <c r="L595" t="n">
        <v>0</v>
      </c>
      <c r="M595" t="n">
        <v>0</v>
      </c>
      <c r="N595" t="n">
        <v>0</v>
      </c>
      <c r="O595" t="n">
        <v>0</v>
      </c>
      <c r="P595" t="n">
        <v>0</v>
      </c>
      <c r="Q595" t="n">
        <v>0</v>
      </c>
      <c r="R595" s="2" t="inlineStr"/>
    </row>
    <row r="596" ht="15" customHeight="1">
      <c r="A596" t="inlineStr">
        <is>
          <t>A 1069-2026</t>
        </is>
      </c>
      <c r="B596" s="1" t="n">
        <v>46030</v>
      </c>
      <c r="C596" s="1" t="n">
        <v>46162</v>
      </c>
      <c r="D596" t="inlineStr">
        <is>
          <t>KALMAR LÄN</t>
        </is>
      </c>
      <c r="E596" t="inlineStr">
        <is>
          <t>VIMMERBY</t>
        </is>
      </c>
      <c r="G596" t="n">
        <v>3.3</v>
      </c>
      <c r="H596" t="n">
        <v>0</v>
      </c>
      <c r="I596" t="n">
        <v>0</v>
      </c>
      <c r="J596" t="n">
        <v>0</v>
      </c>
      <c r="K596" t="n">
        <v>0</v>
      </c>
      <c r="L596" t="n">
        <v>0</v>
      </c>
      <c r="M596" t="n">
        <v>0</v>
      </c>
      <c r="N596" t="n">
        <v>0</v>
      </c>
      <c r="O596" t="n">
        <v>0</v>
      </c>
      <c r="P596" t="n">
        <v>0</v>
      </c>
      <c r="Q596" t="n">
        <v>0</v>
      </c>
      <c r="R596" s="2" t="inlineStr"/>
    </row>
    <row r="597" ht="15" customHeight="1">
      <c r="A597" t="inlineStr">
        <is>
          <t>A 1734-2026</t>
        </is>
      </c>
      <c r="B597" s="1" t="n">
        <v>46034</v>
      </c>
      <c r="C597" s="1" t="n">
        <v>46162</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1743-2026</t>
        </is>
      </c>
      <c r="B598" s="1" t="n">
        <v>46034</v>
      </c>
      <c r="C598" s="1" t="n">
        <v>46162</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17084-2025</t>
        </is>
      </c>
      <c r="B599" s="1" t="n">
        <v>45755.64450231481</v>
      </c>
      <c r="C599" s="1" t="n">
        <v>46162</v>
      </c>
      <c r="D599" t="inlineStr">
        <is>
          <t>KALMAR LÄN</t>
        </is>
      </c>
      <c r="E599" t="inlineStr">
        <is>
          <t>VIMMERBY</t>
        </is>
      </c>
      <c r="G599" t="n">
        <v>1.4</v>
      </c>
      <c r="H599" t="n">
        <v>0</v>
      </c>
      <c r="I599" t="n">
        <v>0</v>
      </c>
      <c r="J599" t="n">
        <v>0</v>
      </c>
      <c r="K599" t="n">
        <v>0</v>
      </c>
      <c r="L599" t="n">
        <v>0</v>
      </c>
      <c r="M599" t="n">
        <v>0</v>
      </c>
      <c r="N599" t="n">
        <v>0</v>
      </c>
      <c r="O599" t="n">
        <v>0</v>
      </c>
      <c r="P599" t="n">
        <v>0</v>
      </c>
      <c r="Q599" t="n">
        <v>0</v>
      </c>
      <c r="R599" s="2" t="inlineStr"/>
    </row>
    <row r="600" ht="15" customHeight="1">
      <c r="A600" t="inlineStr">
        <is>
          <t>A 56022-2024</t>
        </is>
      </c>
      <c r="B600" s="1" t="n">
        <v>45623.95947916667</v>
      </c>
      <c r="C600" s="1" t="n">
        <v>46162</v>
      </c>
      <c r="D600" t="inlineStr">
        <is>
          <t>KALMAR LÄN</t>
        </is>
      </c>
      <c r="E600" t="inlineStr">
        <is>
          <t>VIMMERBY</t>
        </is>
      </c>
      <c r="G600" t="n">
        <v>0.3</v>
      </c>
      <c r="H600" t="n">
        <v>0</v>
      </c>
      <c r="I600" t="n">
        <v>0</v>
      </c>
      <c r="J600" t="n">
        <v>0</v>
      </c>
      <c r="K600" t="n">
        <v>0</v>
      </c>
      <c r="L600" t="n">
        <v>0</v>
      </c>
      <c r="M600" t="n">
        <v>0</v>
      </c>
      <c r="N600" t="n">
        <v>0</v>
      </c>
      <c r="O600" t="n">
        <v>0</v>
      </c>
      <c r="P600" t="n">
        <v>0</v>
      </c>
      <c r="Q600" t="n">
        <v>0</v>
      </c>
      <c r="R600" s="2" t="inlineStr"/>
    </row>
    <row r="601" ht="15" customHeight="1">
      <c r="A601" t="inlineStr">
        <is>
          <t>A 11928-2022</t>
        </is>
      </c>
      <c r="B601" s="1" t="n">
        <v>44635</v>
      </c>
      <c r="C601" s="1" t="n">
        <v>46162</v>
      </c>
      <c r="D601" t="inlineStr">
        <is>
          <t>KALMAR LÄN</t>
        </is>
      </c>
      <c r="E601" t="inlineStr">
        <is>
          <t>VIMMERBY</t>
        </is>
      </c>
      <c r="G601" t="n">
        <v>2.8</v>
      </c>
      <c r="H601" t="n">
        <v>0</v>
      </c>
      <c r="I601" t="n">
        <v>0</v>
      </c>
      <c r="J601" t="n">
        <v>0</v>
      </c>
      <c r="K601" t="n">
        <v>0</v>
      </c>
      <c r="L601" t="n">
        <v>0</v>
      </c>
      <c r="M601" t="n">
        <v>0</v>
      </c>
      <c r="N601" t="n">
        <v>0</v>
      </c>
      <c r="O601" t="n">
        <v>0</v>
      </c>
      <c r="P601" t="n">
        <v>0</v>
      </c>
      <c r="Q601" t="n">
        <v>0</v>
      </c>
      <c r="R601" s="2" t="inlineStr"/>
    </row>
    <row r="602" ht="15" customHeight="1">
      <c r="A602" t="inlineStr">
        <is>
          <t>A 1748-2026</t>
        </is>
      </c>
      <c r="B602" s="1" t="n">
        <v>46034.65589120371</v>
      </c>
      <c r="C602" s="1" t="n">
        <v>46162</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1862-2026</t>
        </is>
      </c>
      <c r="B603" s="1" t="n">
        <v>46035.44689814815</v>
      </c>
      <c r="C603" s="1" t="n">
        <v>46162</v>
      </c>
      <c r="D603" t="inlineStr">
        <is>
          <t>KALMAR LÄN</t>
        </is>
      </c>
      <c r="E603" t="inlineStr">
        <is>
          <t>VIMMERBY</t>
        </is>
      </c>
      <c r="G603" t="n">
        <v>3.1</v>
      </c>
      <c r="H603" t="n">
        <v>0</v>
      </c>
      <c r="I603" t="n">
        <v>0</v>
      </c>
      <c r="J603" t="n">
        <v>0</v>
      </c>
      <c r="K603" t="n">
        <v>0</v>
      </c>
      <c r="L603" t="n">
        <v>0</v>
      </c>
      <c r="M603" t="n">
        <v>0</v>
      </c>
      <c r="N603" t="n">
        <v>0</v>
      </c>
      <c r="O603" t="n">
        <v>0</v>
      </c>
      <c r="P603" t="n">
        <v>0</v>
      </c>
      <c r="Q603" t="n">
        <v>0</v>
      </c>
      <c r="R603" s="2" t="inlineStr"/>
    </row>
    <row r="604" ht="15" customHeight="1">
      <c r="A604" t="inlineStr">
        <is>
          <t>A 5527-2022</t>
        </is>
      </c>
      <c r="B604" s="1" t="n">
        <v>44595.583125</v>
      </c>
      <c r="C604" s="1" t="n">
        <v>46162</v>
      </c>
      <c r="D604" t="inlineStr">
        <is>
          <t>KALMAR LÄN</t>
        </is>
      </c>
      <c r="E604" t="inlineStr">
        <is>
          <t>VIMMERBY</t>
        </is>
      </c>
      <c r="G604" t="n">
        <v>3.6</v>
      </c>
      <c r="H604" t="n">
        <v>0</v>
      </c>
      <c r="I604" t="n">
        <v>0</v>
      </c>
      <c r="J604" t="n">
        <v>0</v>
      </c>
      <c r="K604" t="n">
        <v>0</v>
      </c>
      <c r="L604" t="n">
        <v>0</v>
      </c>
      <c r="M604" t="n">
        <v>0</v>
      </c>
      <c r="N604" t="n">
        <v>0</v>
      </c>
      <c r="O604" t="n">
        <v>0</v>
      </c>
      <c r="P604" t="n">
        <v>0</v>
      </c>
      <c r="Q604" t="n">
        <v>0</v>
      </c>
      <c r="R604" s="2" t="inlineStr"/>
    </row>
    <row r="605" ht="15" customHeight="1">
      <c r="A605" t="inlineStr">
        <is>
          <t>A 49461-2023</t>
        </is>
      </c>
      <c r="B605" s="1" t="n">
        <v>45211.52642361111</v>
      </c>
      <c r="C605" s="1" t="n">
        <v>46162</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49474-2023</t>
        </is>
      </c>
      <c r="B606" s="1" t="n">
        <v>45211.541875</v>
      </c>
      <c r="C606" s="1" t="n">
        <v>46162</v>
      </c>
      <c r="D606" t="inlineStr">
        <is>
          <t>KALMAR LÄN</t>
        </is>
      </c>
      <c r="E606" t="inlineStr">
        <is>
          <t>VIMMERBY</t>
        </is>
      </c>
      <c r="G606" t="n">
        <v>3.6</v>
      </c>
      <c r="H606" t="n">
        <v>0</v>
      </c>
      <c r="I606" t="n">
        <v>0</v>
      </c>
      <c r="J606" t="n">
        <v>0</v>
      </c>
      <c r="K606" t="n">
        <v>0</v>
      </c>
      <c r="L606" t="n">
        <v>0</v>
      </c>
      <c r="M606" t="n">
        <v>0</v>
      </c>
      <c r="N606" t="n">
        <v>0</v>
      </c>
      <c r="O606" t="n">
        <v>0</v>
      </c>
      <c r="P606" t="n">
        <v>0</v>
      </c>
      <c r="Q606" t="n">
        <v>0</v>
      </c>
      <c r="R606" s="2" t="inlineStr"/>
    </row>
    <row r="607" ht="15" customHeight="1">
      <c r="A607" t="inlineStr">
        <is>
          <t>A 61861-2024</t>
        </is>
      </c>
      <c r="B607" s="1" t="n">
        <v>45650.37370370371</v>
      </c>
      <c r="C607" s="1" t="n">
        <v>46162</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45846-2023</t>
        </is>
      </c>
      <c r="B608" s="1" t="n">
        <v>45195.58452546296</v>
      </c>
      <c r="C608" s="1" t="n">
        <v>46162</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8167-2024</t>
        </is>
      </c>
      <c r="B609" s="1" t="n">
        <v>45351.6062962963</v>
      </c>
      <c r="C609" s="1" t="n">
        <v>46162</v>
      </c>
      <c r="D609" t="inlineStr">
        <is>
          <t>KALMAR LÄN</t>
        </is>
      </c>
      <c r="E609" t="inlineStr">
        <is>
          <t>VIMMERBY</t>
        </is>
      </c>
      <c r="G609" t="n">
        <v>3.8</v>
      </c>
      <c r="H609" t="n">
        <v>0</v>
      </c>
      <c r="I609" t="n">
        <v>0</v>
      </c>
      <c r="J609" t="n">
        <v>0</v>
      </c>
      <c r="K609" t="n">
        <v>0</v>
      </c>
      <c r="L609" t="n">
        <v>0</v>
      </c>
      <c r="M609" t="n">
        <v>0</v>
      </c>
      <c r="N609" t="n">
        <v>0</v>
      </c>
      <c r="O609" t="n">
        <v>0</v>
      </c>
      <c r="P609" t="n">
        <v>0</v>
      </c>
      <c r="Q609" t="n">
        <v>0</v>
      </c>
      <c r="R609" s="2" t="inlineStr"/>
    </row>
    <row r="610" ht="15" customHeight="1">
      <c r="A610" t="inlineStr">
        <is>
          <t>A 2523-2026</t>
        </is>
      </c>
      <c r="B610" s="1" t="n">
        <v>46037.42825231481</v>
      </c>
      <c r="C610" s="1" t="n">
        <v>46162</v>
      </c>
      <c r="D610" t="inlineStr">
        <is>
          <t>KALMAR LÄN</t>
        </is>
      </c>
      <c r="E610" t="inlineStr">
        <is>
          <t>VIMMERBY</t>
        </is>
      </c>
      <c r="G610" t="n">
        <v>1.1</v>
      </c>
      <c r="H610" t="n">
        <v>0</v>
      </c>
      <c r="I610" t="n">
        <v>0</v>
      </c>
      <c r="J610" t="n">
        <v>0</v>
      </c>
      <c r="K610" t="n">
        <v>0</v>
      </c>
      <c r="L610" t="n">
        <v>0</v>
      </c>
      <c r="M610" t="n">
        <v>0</v>
      </c>
      <c r="N610" t="n">
        <v>0</v>
      </c>
      <c r="O610" t="n">
        <v>0</v>
      </c>
      <c r="P610" t="n">
        <v>0</v>
      </c>
      <c r="Q610" t="n">
        <v>0</v>
      </c>
      <c r="R610" s="2" t="inlineStr"/>
    </row>
    <row r="611" ht="15" customHeight="1">
      <c r="A611" t="inlineStr">
        <is>
          <t>A 2514-2026</t>
        </is>
      </c>
      <c r="B611" s="1" t="n">
        <v>46037.42219907408</v>
      </c>
      <c r="C611" s="1" t="n">
        <v>46162</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2518-2026</t>
        </is>
      </c>
      <c r="B612" s="1" t="n">
        <v>46037.42511574074</v>
      </c>
      <c r="C612" s="1" t="n">
        <v>46162</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49382-2023</t>
        </is>
      </c>
      <c r="B613" s="1" t="n">
        <v>45208</v>
      </c>
      <c r="C613" s="1" t="n">
        <v>46162</v>
      </c>
      <c r="D613" t="inlineStr">
        <is>
          <t>KALMAR LÄN</t>
        </is>
      </c>
      <c r="E613" t="inlineStr">
        <is>
          <t>VIMMERBY</t>
        </is>
      </c>
      <c r="G613" t="n">
        <v>2.2</v>
      </c>
      <c r="H613" t="n">
        <v>0</v>
      </c>
      <c r="I613" t="n">
        <v>0</v>
      </c>
      <c r="J613" t="n">
        <v>0</v>
      </c>
      <c r="K613" t="n">
        <v>0</v>
      </c>
      <c r="L613" t="n">
        <v>0</v>
      </c>
      <c r="M613" t="n">
        <v>0</v>
      </c>
      <c r="N613" t="n">
        <v>0</v>
      </c>
      <c r="O613" t="n">
        <v>0</v>
      </c>
      <c r="P613" t="n">
        <v>0</v>
      </c>
      <c r="Q613" t="n">
        <v>0</v>
      </c>
      <c r="R613" s="2" t="inlineStr"/>
    </row>
    <row r="614" ht="15" customHeight="1">
      <c r="A614" t="inlineStr">
        <is>
          <t>A 12121-2025</t>
        </is>
      </c>
      <c r="B614" s="1" t="n">
        <v>45729.36868055556</v>
      </c>
      <c r="C614" s="1" t="n">
        <v>46162</v>
      </c>
      <c r="D614" t="inlineStr">
        <is>
          <t>KALMAR LÄN</t>
        </is>
      </c>
      <c r="E614" t="inlineStr">
        <is>
          <t>VIMMERBY</t>
        </is>
      </c>
      <c r="G614" t="n">
        <v>4.3</v>
      </c>
      <c r="H614" t="n">
        <v>0</v>
      </c>
      <c r="I614" t="n">
        <v>0</v>
      </c>
      <c r="J614" t="n">
        <v>0</v>
      </c>
      <c r="K614" t="n">
        <v>0</v>
      </c>
      <c r="L614" t="n">
        <v>0</v>
      </c>
      <c r="M614" t="n">
        <v>0</v>
      </c>
      <c r="N614" t="n">
        <v>0</v>
      </c>
      <c r="O614" t="n">
        <v>0</v>
      </c>
      <c r="P614" t="n">
        <v>0</v>
      </c>
      <c r="Q614" t="n">
        <v>0</v>
      </c>
      <c r="R614" s="2" t="inlineStr"/>
    </row>
    <row r="615" ht="15" customHeight="1">
      <c r="A615" t="inlineStr">
        <is>
          <t>A 35846-2023</t>
        </is>
      </c>
      <c r="B615" s="1" t="n">
        <v>45148</v>
      </c>
      <c r="C615" s="1" t="n">
        <v>46162</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35913-2023</t>
        </is>
      </c>
      <c r="B616" s="1" t="n">
        <v>45148</v>
      </c>
      <c r="C616" s="1" t="n">
        <v>46162</v>
      </c>
      <c r="D616" t="inlineStr">
        <is>
          <t>KALMAR LÄN</t>
        </is>
      </c>
      <c r="E616" t="inlineStr">
        <is>
          <t>VIMMERBY</t>
        </is>
      </c>
      <c r="G616" t="n">
        <v>6.9</v>
      </c>
      <c r="H616" t="n">
        <v>0</v>
      </c>
      <c r="I616" t="n">
        <v>0</v>
      </c>
      <c r="J616" t="n">
        <v>0</v>
      </c>
      <c r="K616" t="n">
        <v>0</v>
      </c>
      <c r="L616" t="n">
        <v>0</v>
      </c>
      <c r="M616" t="n">
        <v>0</v>
      </c>
      <c r="N616" t="n">
        <v>0</v>
      </c>
      <c r="O616" t="n">
        <v>0</v>
      </c>
      <c r="P616" t="n">
        <v>0</v>
      </c>
      <c r="Q616" t="n">
        <v>0</v>
      </c>
      <c r="R616" s="2" t="inlineStr"/>
    </row>
    <row r="617" ht="15" customHeight="1">
      <c r="A617" t="inlineStr">
        <is>
          <t>A 38757-2023</t>
        </is>
      </c>
      <c r="B617" s="1" t="n">
        <v>45163.41376157408</v>
      </c>
      <c r="C617" s="1" t="n">
        <v>46162</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20136-2024</t>
        </is>
      </c>
      <c r="B618" s="1" t="n">
        <v>45434.56291666667</v>
      </c>
      <c r="C618" s="1" t="n">
        <v>46162</v>
      </c>
      <c r="D618" t="inlineStr">
        <is>
          <t>KALMAR LÄN</t>
        </is>
      </c>
      <c r="E618" t="inlineStr">
        <is>
          <t>VIMMERBY</t>
        </is>
      </c>
      <c r="F618" t="inlineStr">
        <is>
          <t>Sveaskog</t>
        </is>
      </c>
      <c r="G618" t="n">
        <v>8.4</v>
      </c>
      <c r="H618" t="n">
        <v>0</v>
      </c>
      <c r="I618" t="n">
        <v>0</v>
      </c>
      <c r="J618" t="n">
        <v>0</v>
      </c>
      <c r="K618" t="n">
        <v>0</v>
      </c>
      <c r="L618" t="n">
        <v>0</v>
      </c>
      <c r="M618" t="n">
        <v>0</v>
      </c>
      <c r="N618" t="n">
        <v>0</v>
      </c>
      <c r="O618" t="n">
        <v>0</v>
      </c>
      <c r="P618" t="n">
        <v>0</v>
      </c>
      <c r="Q618" t="n">
        <v>0</v>
      </c>
      <c r="R618" s="2" t="inlineStr"/>
    </row>
    <row r="619" ht="15" customHeight="1">
      <c r="A619" t="inlineStr">
        <is>
          <t>A 3266-2026</t>
        </is>
      </c>
      <c r="B619" s="1" t="n">
        <v>46041</v>
      </c>
      <c r="C619" s="1" t="n">
        <v>46162</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24283-2023</t>
        </is>
      </c>
      <c r="B620" s="1" t="n">
        <v>45079.87827546296</v>
      </c>
      <c r="C620" s="1" t="n">
        <v>46162</v>
      </c>
      <c r="D620" t="inlineStr">
        <is>
          <t>KALMAR LÄN</t>
        </is>
      </c>
      <c r="E620" t="inlineStr">
        <is>
          <t>VIMMERBY</t>
        </is>
      </c>
      <c r="G620" t="n">
        <v>2</v>
      </c>
      <c r="H620" t="n">
        <v>0</v>
      </c>
      <c r="I620" t="n">
        <v>0</v>
      </c>
      <c r="J620" t="n">
        <v>0</v>
      </c>
      <c r="K620" t="n">
        <v>0</v>
      </c>
      <c r="L620" t="n">
        <v>0</v>
      </c>
      <c r="M620" t="n">
        <v>0</v>
      </c>
      <c r="N620" t="n">
        <v>0</v>
      </c>
      <c r="O620" t="n">
        <v>0</v>
      </c>
      <c r="P620" t="n">
        <v>0</v>
      </c>
      <c r="Q620" t="n">
        <v>0</v>
      </c>
      <c r="R620" s="2" t="inlineStr"/>
    </row>
    <row r="621" ht="15" customHeight="1">
      <c r="A621" t="inlineStr">
        <is>
          <t>A 3292-2026</t>
        </is>
      </c>
      <c r="B621" s="1" t="n">
        <v>46041</v>
      </c>
      <c r="C621" s="1" t="n">
        <v>46162</v>
      </c>
      <c r="D621" t="inlineStr">
        <is>
          <t>KALMAR LÄN</t>
        </is>
      </c>
      <c r="E621" t="inlineStr">
        <is>
          <t>VIMMERBY</t>
        </is>
      </c>
      <c r="G621" t="n">
        <v>3.9</v>
      </c>
      <c r="H621" t="n">
        <v>0</v>
      </c>
      <c r="I621" t="n">
        <v>0</v>
      </c>
      <c r="J621" t="n">
        <v>0</v>
      </c>
      <c r="K621" t="n">
        <v>0</v>
      </c>
      <c r="L621" t="n">
        <v>0</v>
      </c>
      <c r="M621" t="n">
        <v>0</v>
      </c>
      <c r="N621" t="n">
        <v>0</v>
      </c>
      <c r="O621" t="n">
        <v>0</v>
      </c>
      <c r="P621" t="n">
        <v>0</v>
      </c>
      <c r="Q621" t="n">
        <v>0</v>
      </c>
      <c r="R621" s="2" t="inlineStr"/>
    </row>
    <row r="622" ht="15" customHeight="1">
      <c r="A622" t="inlineStr">
        <is>
          <t>A 3965-2026</t>
        </is>
      </c>
      <c r="B622" s="1" t="n">
        <v>46044.34563657407</v>
      </c>
      <c r="C622" s="1" t="n">
        <v>46162</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3868-2026</t>
        </is>
      </c>
      <c r="B623" s="1" t="n">
        <v>46043.6360300926</v>
      </c>
      <c r="C623" s="1" t="n">
        <v>46162</v>
      </c>
      <c r="D623" t="inlineStr">
        <is>
          <t>KALMAR LÄN</t>
        </is>
      </c>
      <c r="E623" t="inlineStr">
        <is>
          <t>VIMMERBY</t>
        </is>
      </c>
      <c r="G623" t="n">
        <v>0.9</v>
      </c>
      <c r="H623" t="n">
        <v>0</v>
      </c>
      <c r="I623" t="n">
        <v>0</v>
      </c>
      <c r="J623" t="n">
        <v>0</v>
      </c>
      <c r="K623" t="n">
        <v>0</v>
      </c>
      <c r="L623" t="n">
        <v>0</v>
      </c>
      <c r="M623" t="n">
        <v>0</v>
      </c>
      <c r="N623" t="n">
        <v>0</v>
      </c>
      <c r="O623" t="n">
        <v>0</v>
      </c>
      <c r="P623" t="n">
        <v>0</v>
      </c>
      <c r="Q623" t="n">
        <v>0</v>
      </c>
      <c r="R623" s="2" t="inlineStr"/>
    </row>
    <row r="624" ht="15" customHeight="1">
      <c r="A624" t="inlineStr">
        <is>
          <t>A 3869-2026</t>
        </is>
      </c>
      <c r="B624" s="1" t="n">
        <v>46043.63940972222</v>
      </c>
      <c r="C624" s="1" t="n">
        <v>46162</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59598-2023</t>
        </is>
      </c>
      <c r="B625" s="1" t="n">
        <v>45254.62489583333</v>
      </c>
      <c r="C625" s="1" t="n">
        <v>46162</v>
      </c>
      <c r="D625" t="inlineStr">
        <is>
          <t>KALMAR LÄN</t>
        </is>
      </c>
      <c r="E625" t="inlineStr">
        <is>
          <t>VIMMERBY</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30920-2023</t>
        </is>
      </c>
      <c r="B626" s="1" t="n">
        <v>45113.43921296296</v>
      </c>
      <c r="C626" s="1" t="n">
        <v>46162</v>
      </c>
      <c r="D626" t="inlineStr">
        <is>
          <t>KALMAR LÄN</t>
        </is>
      </c>
      <c r="E626" t="inlineStr">
        <is>
          <t>VIMMERBY</t>
        </is>
      </c>
      <c r="G626" t="n">
        <v>3.1</v>
      </c>
      <c r="H626" t="n">
        <v>0</v>
      </c>
      <c r="I626" t="n">
        <v>0</v>
      </c>
      <c r="J626" t="n">
        <v>0</v>
      </c>
      <c r="K626" t="n">
        <v>0</v>
      </c>
      <c r="L626" t="n">
        <v>0</v>
      </c>
      <c r="M626" t="n">
        <v>0</v>
      </c>
      <c r="N626" t="n">
        <v>0</v>
      </c>
      <c r="O626" t="n">
        <v>0</v>
      </c>
      <c r="P626" t="n">
        <v>0</v>
      </c>
      <c r="Q626" t="n">
        <v>0</v>
      </c>
      <c r="R626" s="2" t="inlineStr"/>
    </row>
    <row r="627" ht="15" customHeight="1">
      <c r="A627" t="inlineStr">
        <is>
          <t>A 40929-2022</t>
        </is>
      </c>
      <c r="B627" s="1" t="n">
        <v>44825.4336574074</v>
      </c>
      <c r="C627" s="1" t="n">
        <v>46162</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33380-2023</t>
        </is>
      </c>
      <c r="B628" s="1" t="n">
        <v>45128</v>
      </c>
      <c r="C628" s="1" t="n">
        <v>46162</v>
      </c>
      <c r="D628" t="inlineStr">
        <is>
          <t>KALMAR LÄN</t>
        </is>
      </c>
      <c r="E628" t="inlineStr">
        <is>
          <t>VIMMERBY</t>
        </is>
      </c>
      <c r="G628" t="n">
        <v>5.2</v>
      </c>
      <c r="H628" t="n">
        <v>0</v>
      </c>
      <c r="I628" t="n">
        <v>0</v>
      </c>
      <c r="J628" t="n">
        <v>0</v>
      </c>
      <c r="K628" t="n">
        <v>0</v>
      </c>
      <c r="L628" t="n">
        <v>0</v>
      </c>
      <c r="M628" t="n">
        <v>0</v>
      </c>
      <c r="N628" t="n">
        <v>0</v>
      </c>
      <c r="O628" t="n">
        <v>0</v>
      </c>
      <c r="P628" t="n">
        <v>0</v>
      </c>
      <c r="Q628" t="n">
        <v>0</v>
      </c>
      <c r="R628" s="2" t="inlineStr"/>
    </row>
    <row r="629" ht="15" customHeight="1">
      <c r="A629" t="inlineStr">
        <is>
          <t>A 46144-2023</t>
        </is>
      </c>
      <c r="B629" s="1" t="n">
        <v>45196.57247685185</v>
      </c>
      <c r="C629" s="1" t="n">
        <v>46162</v>
      </c>
      <c r="D629" t="inlineStr">
        <is>
          <t>KALMAR LÄN</t>
        </is>
      </c>
      <c r="E629" t="inlineStr">
        <is>
          <t>VIMMERBY</t>
        </is>
      </c>
      <c r="G629" t="n">
        <v>6.5</v>
      </c>
      <c r="H629" t="n">
        <v>0</v>
      </c>
      <c r="I629" t="n">
        <v>0</v>
      </c>
      <c r="J629" t="n">
        <v>0</v>
      </c>
      <c r="K629" t="n">
        <v>0</v>
      </c>
      <c r="L629" t="n">
        <v>0</v>
      </c>
      <c r="M629" t="n">
        <v>0</v>
      </c>
      <c r="N629" t="n">
        <v>0</v>
      </c>
      <c r="O629" t="n">
        <v>0</v>
      </c>
      <c r="P629" t="n">
        <v>0</v>
      </c>
      <c r="Q629" t="n">
        <v>0</v>
      </c>
      <c r="R629" s="2" t="inlineStr"/>
    </row>
    <row r="630" ht="15" customHeight="1">
      <c r="A630" t="inlineStr">
        <is>
          <t>A 54787-2023</t>
        </is>
      </c>
      <c r="B630" s="1" t="n">
        <v>45236</v>
      </c>
      <c r="C630" s="1" t="n">
        <v>46162</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15715-2022</t>
        </is>
      </c>
      <c r="B631" s="1" t="n">
        <v>44663</v>
      </c>
      <c r="C631" s="1" t="n">
        <v>46162</v>
      </c>
      <c r="D631" t="inlineStr">
        <is>
          <t>KALMAR LÄN</t>
        </is>
      </c>
      <c r="E631" t="inlineStr">
        <is>
          <t>VIMMERBY</t>
        </is>
      </c>
      <c r="G631" t="n">
        <v>2.3</v>
      </c>
      <c r="H631" t="n">
        <v>0</v>
      </c>
      <c r="I631" t="n">
        <v>0</v>
      </c>
      <c r="J631" t="n">
        <v>0</v>
      </c>
      <c r="K631" t="n">
        <v>0</v>
      </c>
      <c r="L631" t="n">
        <v>0</v>
      </c>
      <c r="M631" t="n">
        <v>0</v>
      </c>
      <c r="N631" t="n">
        <v>0</v>
      </c>
      <c r="O631" t="n">
        <v>0</v>
      </c>
      <c r="P631" t="n">
        <v>0</v>
      </c>
      <c r="Q631" t="n">
        <v>0</v>
      </c>
      <c r="R631" s="2" t="inlineStr"/>
    </row>
    <row r="632" ht="15" customHeight="1">
      <c r="A632" t="inlineStr">
        <is>
          <t>A 43774-2023</t>
        </is>
      </c>
      <c r="B632" s="1" t="n">
        <v>45187</v>
      </c>
      <c r="C632" s="1" t="n">
        <v>46162</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43705-2023</t>
        </is>
      </c>
      <c r="B633" s="1" t="n">
        <v>45187.42854166667</v>
      </c>
      <c r="C633" s="1" t="n">
        <v>46162</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7932-2025</t>
        </is>
      </c>
      <c r="B634" s="1" t="n">
        <v>45707.3793287037</v>
      </c>
      <c r="C634" s="1" t="n">
        <v>46162</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13532-2025</t>
        </is>
      </c>
      <c r="B635" s="1" t="n">
        <v>45736.50743055555</v>
      </c>
      <c r="C635" s="1" t="n">
        <v>46162</v>
      </c>
      <c r="D635" t="inlineStr">
        <is>
          <t>KALMAR LÄN</t>
        </is>
      </c>
      <c r="E635" t="inlineStr">
        <is>
          <t>VIMMERBY</t>
        </is>
      </c>
      <c r="G635" t="n">
        <v>3.6</v>
      </c>
      <c r="H635" t="n">
        <v>0</v>
      </c>
      <c r="I635" t="n">
        <v>0</v>
      </c>
      <c r="J635" t="n">
        <v>0</v>
      </c>
      <c r="K635" t="n">
        <v>0</v>
      </c>
      <c r="L635" t="n">
        <v>0</v>
      </c>
      <c r="M635" t="n">
        <v>0</v>
      </c>
      <c r="N635" t="n">
        <v>0</v>
      </c>
      <c r="O635" t="n">
        <v>0</v>
      </c>
      <c r="P635" t="n">
        <v>0</v>
      </c>
      <c r="Q635" t="n">
        <v>0</v>
      </c>
      <c r="R635" s="2" t="inlineStr"/>
    </row>
    <row r="636" ht="15" customHeight="1">
      <c r="A636" t="inlineStr">
        <is>
          <t>A 1978-2024</t>
        </is>
      </c>
      <c r="B636" s="1" t="n">
        <v>45308.59001157407</v>
      </c>
      <c r="C636" s="1" t="n">
        <v>46162</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6399-2025</t>
        </is>
      </c>
      <c r="B637" s="1" t="n">
        <v>45699.44291666667</v>
      </c>
      <c r="C637" s="1" t="n">
        <v>46162</v>
      </c>
      <c r="D637" t="inlineStr">
        <is>
          <t>KALMAR LÄN</t>
        </is>
      </c>
      <c r="E637" t="inlineStr">
        <is>
          <t>VIMMERBY</t>
        </is>
      </c>
      <c r="G637" t="n">
        <v>3.1</v>
      </c>
      <c r="H637" t="n">
        <v>0</v>
      </c>
      <c r="I637" t="n">
        <v>0</v>
      </c>
      <c r="J637" t="n">
        <v>0</v>
      </c>
      <c r="K637" t="n">
        <v>0</v>
      </c>
      <c r="L637" t="n">
        <v>0</v>
      </c>
      <c r="M637" t="n">
        <v>0</v>
      </c>
      <c r="N637" t="n">
        <v>0</v>
      </c>
      <c r="O637" t="n">
        <v>0</v>
      </c>
      <c r="P637" t="n">
        <v>0</v>
      </c>
      <c r="Q637" t="n">
        <v>0</v>
      </c>
      <c r="R637" s="2" t="inlineStr"/>
    </row>
    <row r="638" ht="15" customHeight="1">
      <c r="A638" t="inlineStr">
        <is>
          <t>A 41311-2023</t>
        </is>
      </c>
      <c r="B638" s="1" t="n">
        <v>45174</v>
      </c>
      <c r="C638" s="1" t="n">
        <v>46162</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10785-2025</t>
        </is>
      </c>
      <c r="B639" s="1" t="n">
        <v>45722.48634259259</v>
      </c>
      <c r="C639" s="1" t="n">
        <v>46162</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18020-2025</t>
        </is>
      </c>
      <c r="B640" s="1" t="n">
        <v>45761.4437962963</v>
      </c>
      <c r="C640" s="1" t="n">
        <v>46162</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585-2024</t>
        </is>
      </c>
      <c r="B641" s="1" t="n">
        <v>45299.62576388889</v>
      </c>
      <c r="C641" s="1" t="n">
        <v>46162</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6802-2025</t>
        </is>
      </c>
      <c r="B642" s="1" t="n">
        <v>45700.68289351852</v>
      </c>
      <c r="C642" s="1" t="n">
        <v>46162</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6817-2026</t>
        </is>
      </c>
      <c r="B643" s="1" t="n">
        <v>46057.38412037037</v>
      </c>
      <c r="C643" s="1" t="n">
        <v>46162</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56020-2024</t>
        </is>
      </c>
      <c r="B644" s="1" t="n">
        <v>45623.9525462963</v>
      </c>
      <c r="C644" s="1" t="n">
        <v>46162</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33842-2022</t>
        </is>
      </c>
      <c r="B645" s="1" t="n">
        <v>44790.49523148148</v>
      </c>
      <c r="C645" s="1" t="n">
        <v>46162</v>
      </c>
      <c r="D645" t="inlineStr">
        <is>
          <t>KALMAR LÄN</t>
        </is>
      </c>
      <c r="E645" t="inlineStr">
        <is>
          <t>VIMMERBY</t>
        </is>
      </c>
      <c r="G645" t="n">
        <v>1.6</v>
      </c>
      <c r="H645" t="n">
        <v>0</v>
      </c>
      <c r="I645" t="n">
        <v>0</v>
      </c>
      <c r="J645" t="n">
        <v>0</v>
      </c>
      <c r="K645" t="n">
        <v>0</v>
      </c>
      <c r="L645" t="n">
        <v>0</v>
      </c>
      <c r="M645" t="n">
        <v>0</v>
      </c>
      <c r="N645" t="n">
        <v>0</v>
      </c>
      <c r="O645" t="n">
        <v>0</v>
      </c>
      <c r="P645" t="n">
        <v>0</v>
      </c>
      <c r="Q645" t="n">
        <v>0</v>
      </c>
      <c r="R645" s="2" t="inlineStr"/>
    </row>
    <row r="646" ht="15" customHeight="1">
      <c r="A646" t="inlineStr">
        <is>
          <t>A 60675-2023</t>
        </is>
      </c>
      <c r="B646" s="1" t="n">
        <v>45260.4716550926</v>
      </c>
      <c r="C646" s="1" t="n">
        <v>46162</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40095-2022</t>
        </is>
      </c>
      <c r="B647" s="1" t="n">
        <v>44820</v>
      </c>
      <c r="C647" s="1" t="n">
        <v>46162</v>
      </c>
      <c r="D647" t="inlineStr">
        <is>
          <t>KALMAR LÄN</t>
        </is>
      </c>
      <c r="E647" t="inlineStr">
        <is>
          <t>VIMMERBY</t>
        </is>
      </c>
      <c r="G647" t="n">
        <v>2.4</v>
      </c>
      <c r="H647" t="n">
        <v>0</v>
      </c>
      <c r="I647" t="n">
        <v>0</v>
      </c>
      <c r="J647" t="n">
        <v>0</v>
      </c>
      <c r="K647" t="n">
        <v>0</v>
      </c>
      <c r="L647" t="n">
        <v>0</v>
      </c>
      <c r="M647" t="n">
        <v>0</v>
      </c>
      <c r="N647" t="n">
        <v>0</v>
      </c>
      <c r="O647" t="n">
        <v>0</v>
      </c>
      <c r="P647" t="n">
        <v>0</v>
      </c>
      <c r="Q647" t="n">
        <v>0</v>
      </c>
      <c r="R647" s="2" t="inlineStr"/>
    </row>
    <row r="648" ht="15" customHeight="1">
      <c r="A648" t="inlineStr">
        <is>
          <t>A 19537-2022</t>
        </is>
      </c>
      <c r="B648" s="1" t="n">
        <v>44693.62822916666</v>
      </c>
      <c r="C648" s="1" t="n">
        <v>46162</v>
      </c>
      <c r="D648" t="inlineStr">
        <is>
          <t>KALMAR LÄN</t>
        </is>
      </c>
      <c r="E648" t="inlineStr">
        <is>
          <t>VIMMERBY</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57311-2023</t>
        </is>
      </c>
      <c r="B649" s="1" t="n">
        <v>45245.63574074074</v>
      </c>
      <c r="C649" s="1" t="n">
        <v>46162</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64428-2023</t>
        </is>
      </c>
      <c r="B650" s="1" t="n">
        <v>45280.66769675926</v>
      </c>
      <c r="C650" s="1" t="n">
        <v>46162</v>
      </c>
      <c r="D650" t="inlineStr">
        <is>
          <t>KALMAR LÄN</t>
        </is>
      </c>
      <c r="E650" t="inlineStr">
        <is>
          <t>VIMMERBY</t>
        </is>
      </c>
      <c r="G650" t="n">
        <v>1.2</v>
      </c>
      <c r="H650" t="n">
        <v>0</v>
      </c>
      <c r="I650" t="n">
        <v>0</v>
      </c>
      <c r="J650" t="n">
        <v>0</v>
      </c>
      <c r="K650" t="n">
        <v>0</v>
      </c>
      <c r="L650" t="n">
        <v>0</v>
      </c>
      <c r="M650" t="n">
        <v>0</v>
      </c>
      <c r="N650" t="n">
        <v>0</v>
      </c>
      <c r="O650" t="n">
        <v>0</v>
      </c>
      <c r="P650" t="n">
        <v>0</v>
      </c>
      <c r="Q650" t="n">
        <v>0</v>
      </c>
      <c r="R650" s="2" t="inlineStr"/>
    </row>
    <row r="651" ht="15" customHeight="1">
      <c r="A651" t="inlineStr">
        <is>
          <t>A 4527-2023</t>
        </is>
      </c>
      <c r="B651" s="1" t="n">
        <v>44956</v>
      </c>
      <c r="C651" s="1" t="n">
        <v>46162</v>
      </c>
      <c r="D651" t="inlineStr">
        <is>
          <t>KALMAR LÄN</t>
        </is>
      </c>
      <c r="E651" t="inlineStr">
        <is>
          <t>VIMMERBY</t>
        </is>
      </c>
      <c r="F651" t="inlineStr">
        <is>
          <t>Kommuner</t>
        </is>
      </c>
      <c r="G651" t="n">
        <v>8.5</v>
      </c>
      <c r="H651" t="n">
        <v>0</v>
      </c>
      <c r="I651" t="n">
        <v>0</v>
      </c>
      <c r="J651" t="n">
        <v>0</v>
      </c>
      <c r="K651" t="n">
        <v>0</v>
      </c>
      <c r="L651" t="n">
        <v>0</v>
      </c>
      <c r="M651" t="n">
        <v>0</v>
      </c>
      <c r="N651" t="n">
        <v>0</v>
      </c>
      <c r="O651" t="n">
        <v>0</v>
      </c>
      <c r="P651" t="n">
        <v>0</v>
      </c>
      <c r="Q651" t="n">
        <v>0</v>
      </c>
      <c r="R651" s="2" t="inlineStr"/>
    </row>
    <row r="652" ht="15" customHeight="1">
      <c r="A652" t="inlineStr">
        <is>
          <t>A 3268-2024</t>
        </is>
      </c>
      <c r="B652" s="1" t="n">
        <v>45317</v>
      </c>
      <c r="C652" s="1" t="n">
        <v>46162</v>
      </c>
      <c r="D652" t="inlineStr">
        <is>
          <t>KALMAR LÄN</t>
        </is>
      </c>
      <c r="E652" t="inlineStr">
        <is>
          <t>VIMMERBY</t>
        </is>
      </c>
      <c r="F652" t="inlineStr">
        <is>
          <t>Övriga Aktiebolag</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51408-2023</t>
        </is>
      </c>
      <c r="B653" s="1" t="n">
        <v>45219.69356481481</v>
      </c>
      <c r="C653" s="1" t="n">
        <v>46162</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12480-2024</t>
        </is>
      </c>
      <c r="B654" s="1" t="n">
        <v>45379</v>
      </c>
      <c r="C654" s="1" t="n">
        <v>46162</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52588-2023</t>
        </is>
      </c>
      <c r="B655" s="1" t="n">
        <v>45225.60192129629</v>
      </c>
      <c r="C655" s="1" t="n">
        <v>46162</v>
      </c>
      <c r="D655" t="inlineStr">
        <is>
          <t>KALMAR LÄN</t>
        </is>
      </c>
      <c r="E655" t="inlineStr">
        <is>
          <t>VIMMERBY</t>
        </is>
      </c>
      <c r="G655" t="n">
        <v>2.9</v>
      </c>
      <c r="H655" t="n">
        <v>0</v>
      </c>
      <c r="I655" t="n">
        <v>0</v>
      </c>
      <c r="J655" t="n">
        <v>0</v>
      </c>
      <c r="K655" t="n">
        <v>0</v>
      </c>
      <c r="L655" t="n">
        <v>0</v>
      </c>
      <c r="M655" t="n">
        <v>0</v>
      </c>
      <c r="N655" t="n">
        <v>0</v>
      </c>
      <c r="O655" t="n">
        <v>0</v>
      </c>
      <c r="P655" t="n">
        <v>0</v>
      </c>
      <c r="Q655" t="n">
        <v>0</v>
      </c>
      <c r="R655" s="2" t="inlineStr"/>
    </row>
    <row r="656" ht="15" customHeight="1">
      <c r="A656" t="inlineStr">
        <is>
          <t>A 8696-2026</t>
        </is>
      </c>
      <c r="B656" s="1" t="n">
        <v>46066.45273148148</v>
      </c>
      <c r="C656" s="1" t="n">
        <v>46162</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55236-2023</t>
        </is>
      </c>
      <c r="B657" s="1" t="n">
        <v>45237.63225694445</v>
      </c>
      <c r="C657" s="1" t="n">
        <v>46162</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55245-2023</t>
        </is>
      </c>
      <c r="B658" s="1" t="n">
        <v>45237.64408564815</v>
      </c>
      <c r="C658" s="1" t="n">
        <v>46162</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19111-2025</t>
        </is>
      </c>
      <c r="B659" s="1" t="n">
        <v>45768.65611111111</v>
      </c>
      <c r="C659" s="1" t="n">
        <v>46162</v>
      </c>
      <c r="D659" t="inlineStr">
        <is>
          <t>KALMAR LÄN</t>
        </is>
      </c>
      <c r="E659" t="inlineStr">
        <is>
          <t>VIMMERBY</t>
        </is>
      </c>
      <c r="G659" t="n">
        <v>6.2</v>
      </c>
      <c r="H659" t="n">
        <v>0</v>
      </c>
      <c r="I659" t="n">
        <v>0</v>
      </c>
      <c r="J659" t="n">
        <v>0</v>
      </c>
      <c r="K659" t="n">
        <v>0</v>
      </c>
      <c r="L659" t="n">
        <v>0</v>
      </c>
      <c r="M659" t="n">
        <v>0</v>
      </c>
      <c r="N659" t="n">
        <v>0</v>
      </c>
      <c r="O659" t="n">
        <v>0</v>
      </c>
      <c r="P659" t="n">
        <v>0</v>
      </c>
      <c r="Q659" t="n">
        <v>0</v>
      </c>
      <c r="R659" s="2" t="inlineStr"/>
    </row>
    <row r="660" ht="15" customHeight="1">
      <c r="A660" t="inlineStr">
        <is>
          <t>A 8595-2026</t>
        </is>
      </c>
      <c r="B660" s="1" t="n">
        <v>46065.7372337963</v>
      </c>
      <c r="C660" s="1" t="n">
        <v>46162</v>
      </c>
      <c r="D660" t="inlineStr">
        <is>
          <t>KALMAR LÄN</t>
        </is>
      </c>
      <c r="E660" t="inlineStr">
        <is>
          <t>VIMMERBY</t>
        </is>
      </c>
      <c r="G660" t="n">
        <v>0.8</v>
      </c>
      <c r="H660" t="n">
        <v>0</v>
      </c>
      <c r="I660" t="n">
        <v>0</v>
      </c>
      <c r="J660" t="n">
        <v>0</v>
      </c>
      <c r="K660" t="n">
        <v>0</v>
      </c>
      <c r="L660" t="n">
        <v>0</v>
      </c>
      <c r="M660" t="n">
        <v>0</v>
      </c>
      <c r="N660" t="n">
        <v>0</v>
      </c>
      <c r="O660" t="n">
        <v>0</v>
      </c>
      <c r="P660" t="n">
        <v>0</v>
      </c>
      <c r="Q660" t="n">
        <v>0</v>
      </c>
      <c r="R660" s="2" t="inlineStr"/>
    </row>
    <row r="661" ht="15" customHeight="1">
      <c r="A661" t="inlineStr">
        <is>
          <t>A 25370-2022</t>
        </is>
      </c>
      <c r="B661" s="1" t="n">
        <v>44732.3659837963</v>
      </c>
      <c r="C661" s="1" t="n">
        <v>46162</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44790.49040509259</v>
      </c>
      <c r="C662" s="1" t="n">
        <v>46162</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4058-2024</t>
        </is>
      </c>
      <c r="B663" s="1" t="n">
        <v>45323.53744212963</v>
      </c>
      <c r="C663" s="1" t="n">
        <v>46162</v>
      </c>
      <c r="D663" t="inlineStr">
        <is>
          <t>KALMAR LÄN</t>
        </is>
      </c>
      <c r="E663" t="inlineStr">
        <is>
          <t>VIMMERBY</t>
        </is>
      </c>
      <c r="G663" t="n">
        <v>6.5</v>
      </c>
      <c r="H663" t="n">
        <v>0</v>
      </c>
      <c r="I663" t="n">
        <v>0</v>
      </c>
      <c r="J663" t="n">
        <v>0</v>
      </c>
      <c r="K663" t="n">
        <v>0</v>
      </c>
      <c r="L663" t="n">
        <v>0</v>
      </c>
      <c r="M663" t="n">
        <v>0</v>
      </c>
      <c r="N663" t="n">
        <v>0</v>
      </c>
      <c r="O663" t="n">
        <v>0</v>
      </c>
      <c r="P663" t="n">
        <v>0</v>
      </c>
      <c r="Q663" t="n">
        <v>0</v>
      </c>
      <c r="R663" s="2" t="inlineStr"/>
    </row>
    <row r="664" ht="15" customHeight="1">
      <c r="A664" t="inlineStr">
        <is>
          <t>A 36008-2024</t>
        </is>
      </c>
      <c r="B664" s="1" t="n">
        <v>45533.55362268518</v>
      </c>
      <c r="C664" s="1" t="n">
        <v>46162</v>
      </c>
      <c r="D664" t="inlineStr">
        <is>
          <t>KALMAR LÄN</t>
        </is>
      </c>
      <c r="E664" t="inlineStr">
        <is>
          <t>VIMMERBY</t>
        </is>
      </c>
      <c r="G664" t="n">
        <v>3.7</v>
      </c>
      <c r="H664" t="n">
        <v>0</v>
      </c>
      <c r="I664" t="n">
        <v>0</v>
      </c>
      <c r="J664" t="n">
        <v>0</v>
      </c>
      <c r="K664" t="n">
        <v>0</v>
      </c>
      <c r="L664" t="n">
        <v>0</v>
      </c>
      <c r="M664" t="n">
        <v>0</v>
      </c>
      <c r="N664" t="n">
        <v>0</v>
      </c>
      <c r="O664" t="n">
        <v>0</v>
      </c>
      <c r="P664" t="n">
        <v>0</v>
      </c>
      <c r="Q664" t="n">
        <v>0</v>
      </c>
      <c r="R664" s="2" t="inlineStr"/>
    </row>
    <row r="665" ht="15" customHeight="1">
      <c r="A665" t="inlineStr">
        <is>
          <t>A 18669-2025</t>
        </is>
      </c>
      <c r="B665" s="1" t="n">
        <v>45763.59436342592</v>
      </c>
      <c r="C665" s="1" t="n">
        <v>46162</v>
      </c>
      <c r="D665" t="inlineStr">
        <is>
          <t>KALMAR LÄN</t>
        </is>
      </c>
      <c r="E665" t="inlineStr">
        <is>
          <t>VIMMERBY</t>
        </is>
      </c>
      <c r="G665" t="n">
        <v>2.7</v>
      </c>
      <c r="H665" t="n">
        <v>0</v>
      </c>
      <c r="I665" t="n">
        <v>0</v>
      </c>
      <c r="J665" t="n">
        <v>0</v>
      </c>
      <c r="K665" t="n">
        <v>0</v>
      </c>
      <c r="L665" t="n">
        <v>0</v>
      </c>
      <c r="M665" t="n">
        <v>0</v>
      </c>
      <c r="N665" t="n">
        <v>0</v>
      </c>
      <c r="O665" t="n">
        <v>0</v>
      </c>
      <c r="P665" t="n">
        <v>0</v>
      </c>
      <c r="Q665" t="n">
        <v>0</v>
      </c>
      <c r="R665" s="2" t="inlineStr"/>
    </row>
    <row r="666" ht="15" customHeight="1">
      <c r="A666" t="inlineStr">
        <is>
          <t>A 8540-2024</t>
        </is>
      </c>
      <c r="B666" s="1" t="n">
        <v>45355.54138888889</v>
      </c>
      <c r="C666" s="1" t="n">
        <v>46162</v>
      </c>
      <c r="D666" t="inlineStr">
        <is>
          <t>KALMAR LÄN</t>
        </is>
      </c>
      <c r="E666" t="inlineStr">
        <is>
          <t>VIMMERBY</t>
        </is>
      </c>
      <c r="G666" t="n">
        <v>1.9</v>
      </c>
      <c r="H666" t="n">
        <v>0</v>
      </c>
      <c r="I666" t="n">
        <v>0</v>
      </c>
      <c r="J666" t="n">
        <v>0</v>
      </c>
      <c r="K666" t="n">
        <v>0</v>
      </c>
      <c r="L666" t="n">
        <v>0</v>
      </c>
      <c r="M666" t="n">
        <v>0</v>
      </c>
      <c r="N666" t="n">
        <v>0</v>
      </c>
      <c r="O666" t="n">
        <v>0</v>
      </c>
      <c r="P666" t="n">
        <v>0</v>
      </c>
      <c r="Q666" t="n">
        <v>0</v>
      </c>
      <c r="R666" s="2" t="inlineStr"/>
    </row>
    <row r="667" ht="15" customHeight="1">
      <c r="A667" t="inlineStr">
        <is>
          <t>A 9623-2024</t>
        </is>
      </c>
      <c r="B667" s="1" t="n">
        <v>45361.87975694444</v>
      </c>
      <c r="C667" s="1" t="n">
        <v>46162</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5146-2024</t>
        </is>
      </c>
      <c r="B668" s="1" t="n">
        <v>45330</v>
      </c>
      <c r="C668" s="1" t="n">
        <v>46162</v>
      </c>
      <c r="D668" t="inlineStr">
        <is>
          <t>KALMAR LÄN</t>
        </is>
      </c>
      <c r="E668" t="inlineStr">
        <is>
          <t>VIMMERBY</t>
        </is>
      </c>
      <c r="G668" t="n">
        <v>5.3</v>
      </c>
      <c r="H668" t="n">
        <v>0</v>
      </c>
      <c r="I668" t="n">
        <v>0</v>
      </c>
      <c r="J668" t="n">
        <v>0</v>
      </c>
      <c r="K668" t="n">
        <v>0</v>
      </c>
      <c r="L668" t="n">
        <v>0</v>
      </c>
      <c r="M668" t="n">
        <v>0</v>
      </c>
      <c r="N668" t="n">
        <v>0</v>
      </c>
      <c r="O668" t="n">
        <v>0</v>
      </c>
      <c r="P668" t="n">
        <v>0</v>
      </c>
      <c r="Q668" t="n">
        <v>0</v>
      </c>
      <c r="R668" s="2" t="inlineStr"/>
    </row>
    <row r="669" ht="15" customHeight="1">
      <c r="A669" t="inlineStr">
        <is>
          <t>A 5148-2024</t>
        </is>
      </c>
      <c r="B669" s="1" t="n">
        <v>45330</v>
      </c>
      <c r="C669" s="1" t="n">
        <v>46162</v>
      </c>
      <c r="D669" t="inlineStr">
        <is>
          <t>KALMAR LÄN</t>
        </is>
      </c>
      <c r="E669" t="inlineStr">
        <is>
          <t>VIMMERBY</t>
        </is>
      </c>
      <c r="G669" t="n">
        <v>5.6</v>
      </c>
      <c r="H669" t="n">
        <v>0</v>
      </c>
      <c r="I669" t="n">
        <v>0</v>
      </c>
      <c r="J669" t="n">
        <v>0</v>
      </c>
      <c r="K669" t="n">
        <v>0</v>
      </c>
      <c r="L669" t="n">
        <v>0</v>
      </c>
      <c r="M669" t="n">
        <v>0</v>
      </c>
      <c r="N669" t="n">
        <v>0</v>
      </c>
      <c r="O669" t="n">
        <v>0</v>
      </c>
      <c r="P669" t="n">
        <v>0</v>
      </c>
      <c r="Q669" t="n">
        <v>0</v>
      </c>
      <c r="R669" s="2" t="inlineStr"/>
    </row>
    <row r="670" ht="15" customHeight="1">
      <c r="A670" t="inlineStr">
        <is>
          <t>A 44179-2022</t>
        </is>
      </c>
      <c r="B670" s="1" t="n">
        <v>44839.4528125</v>
      </c>
      <c r="C670" s="1" t="n">
        <v>46162</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50648-2023</t>
        </is>
      </c>
      <c r="B671" s="1" t="n">
        <v>45217.47834490741</v>
      </c>
      <c r="C671" s="1" t="n">
        <v>46162</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2121-2022</t>
        </is>
      </c>
      <c r="B672" s="1" t="n">
        <v>44578.32717592592</v>
      </c>
      <c r="C672" s="1" t="n">
        <v>46162</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57799-2022</t>
        </is>
      </c>
      <c r="B673" s="1" t="n">
        <v>44897</v>
      </c>
      <c r="C673" s="1" t="n">
        <v>46162</v>
      </c>
      <c r="D673" t="inlineStr">
        <is>
          <t>KALMAR LÄN</t>
        </is>
      </c>
      <c r="E673" t="inlineStr">
        <is>
          <t>VIMMERBY</t>
        </is>
      </c>
      <c r="G673" t="n">
        <v>1.4</v>
      </c>
      <c r="H673" t="n">
        <v>0</v>
      </c>
      <c r="I673" t="n">
        <v>0</v>
      </c>
      <c r="J673" t="n">
        <v>0</v>
      </c>
      <c r="K673" t="n">
        <v>0</v>
      </c>
      <c r="L673" t="n">
        <v>0</v>
      </c>
      <c r="M673" t="n">
        <v>0</v>
      </c>
      <c r="N673" t="n">
        <v>0</v>
      </c>
      <c r="O673" t="n">
        <v>0</v>
      </c>
      <c r="P673" t="n">
        <v>0</v>
      </c>
      <c r="Q673" t="n">
        <v>0</v>
      </c>
      <c r="R673" s="2" t="inlineStr"/>
    </row>
    <row r="674" ht="15" customHeight="1">
      <c r="A674" t="inlineStr">
        <is>
          <t>A 15394-2025</t>
        </is>
      </c>
      <c r="B674" s="1" t="n">
        <v>45747.43196759259</v>
      </c>
      <c r="C674" s="1" t="n">
        <v>46162</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26318-2023</t>
        </is>
      </c>
      <c r="B675" s="1" t="n">
        <v>45091.67936342592</v>
      </c>
      <c r="C675" s="1" t="n">
        <v>46162</v>
      </c>
      <c r="D675" t="inlineStr">
        <is>
          <t>KALMAR LÄN</t>
        </is>
      </c>
      <c r="E675" t="inlineStr">
        <is>
          <t>VIMMERBY</t>
        </is>
      </c>
      <c r="G675" t="n">
        <v>3.8</v>
      </c>
      <c r="H675" t="n">
        <v>0</v>
      </c>
      <c r="I675" t="n">
        <v>0</v>
      </c>
      <c r="J675" t="n">
        <v>0</v>
      </c>
      <c r="K675" t="n">
        <v>0</v>
      </c>
      <c r="L675" t="n">
        <v>0</v>
      </c>
      <c r="M675" t="n">
        <v>0</v>
      </c>
      <c r="N675" t="n">
        <v>0</v>
      </c>
      <c r="O675" t="n">
        <v>0</v>
      </c>
      <c r="P675" t="n">
        <v>0</v>
      </c>
      <c r="Q675" t="n">
        <v>0</v>
      </c>
      <c r="R675" s="2" t="inlineStr"/>
    </row>
    <row r="676" ht="15" customHeight="1">
      <c r="A676" t="inlineStr">
        <is>
          <t>A 60437-2023</t>
        </is>
      </c>
      <c r="B676" s="1" t="n">
        <v>45259.51916666667</v>
      </c>
      <c r="C676" s="1" t="n">
        <v>46162</v>
      </c>
      <c r="D676" t="inlineStr">
        <is>
          <t>KALMAR LÄN</t>
        </is>
      </c>
      <c r="E676" t="inlineStr">
        <is>
          <t>VIMMERBY</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60438-2023</t>
        </is>
      </c>
      <c r="B677" s="1" t="n">
        <v>45259.52020833334</v>
      </c>
      <c r="C677" s="1" t="n">
        <v>46162</v>
      </c>
      <c r="D677" t="inlineStr">
        <is>
          <t>KALMAR LÄN</t>
        </is>
      </c>
      <c r="E677" t="inlineStr">
        <is>
          <t>VIMMERBY</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7758-2024</t>
        </is>
      </c>
      <c r="B678" s="1" t="n">
        <v>45349.54434027777</v>
      </c>
      <c r="C678" s="1" t="n">
        <v>46162</v>
      </c>
      <c r="D678" t="inlineStr">
        <is>
          <t>KALMAR LÄN</t>
        </is>
      </c>
      <c r="E678" t="inlineStr">
        <is>
          <t>VIMMERBY</t>
        </is>
      </c>
      <c r="G678" t="n">
        <v>3.5</v>
      </c>
      <c r="H678" t="n">
        <v>0</v>
      </c>
      <c r="I678" t="n">
        <v>0</v>
      </c>
      <c r="J678" t="n">
        <v>0</v>
      </c>
      <c r="K678" t="n">
        <v>0</v>
      </c>
      <c r="L678" t="n">
        <v>0</v>
      </c>
      <c r="M678" t="n">
        <v>0</v>
      </c>
      <c r="N678" t="n">
        <v>0</v>
      </c>
      <c r="O678" t="n">
        <v>0</v>
      </c>
      <c r="P678" t="n">
        <v>0</v>
      </c>
      <c r="Q678" t="n">
        <v>0</v>
      </c>
      <c r="R678" s="2" t="inlineStr"/>
    </row>
    <row r="679" ht="15" customHeight="1">
      <c r="A679" t="inlineStr">
        <is>
          <t>A 7456-2024</t>
        </is>
      </c>
      <c r="B679" s="1" t="n">
        <v>45345.83557870371</v>
      </c>
      <c r="C679" s="1" t="n">
        <v>46162</v>
      </c>
      <c r="D679" t="inlineStr">
        <is>
          <t>KALMAR LÄN</t>
        </is>
      </c>
      <c r="E679" t="inlineStr">
        <is>
          <t>VIMMERBY</t>
        </is>
      </c>
      <c r="G679" t="n">
        <v>4.1</v>
      </c>
      <c r="H679" t="n">
        <v>0</v>
      </c>
      <c r="I679" t="n">
        <v>0</v>
      </c>
      <c r="J679" t="n">
        <v>0</v>
      </c>
      <c r="K679" t="n">
        <v>0</v>
      </c>
      <c r="L679" t="n">
        <v>0</v>
      </c>
      <c r="M679" t="n">
        <v>0</v>
      </c>
      <c r="N679" t="n">
        <v>0</v>
      </c>
      <c r="O679" t="n">
        <v>0</v>
      </c>
      <c r="P679" t="n">
        <v>0</v>
      </c>
      <c r="Q679" t="n">
        <v>0</v>
      </c>
      <c r="R679" s="2" t="inlineStr"/>
    </row>
    <row r="680" ht="15" customHeight="1">
      <c r="A680" t="inlineStr">
        <is>
          <t>A 6082-2022</t>
        </is>
      </c>
      <c r="B680" s="1" t="n">
        <v>44599</v>
      </c>
      <c r="C680" s="1" t="n">
        <v>46162</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46979-2023</t>
        </is>
      </c>
      <c r="B681" s="1" t="n">
        <v>45201</v>
      </c>
      <c r="C681" s="1" t="n">
        <v>46162</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2596-2025</t>
        </is>
      </c>
      <c r="B682" s="1" t="n">
        <v>45674.71810185185</v>
      </c>
      <c r="C682" s="1" t="n">
        <v>46162</v>
      </c>
      <c r="D682" t="inlineStr">
        <is>
          <t>KALMAR LÄN</t>
        </is>
      </c>
      <c r="E682" t="inlineStr">
        <is>
          <t>VIMMERBY</t>
        </is>
      </c>
      <c r="G682" t="n">
        <v>9</v>
      </c>
      <c r="H682" t="n">
        <v>0</v>
      </c>
      <c r="I682" t="n">
        <v>0</v>
      </c>
      <c r="J682" t="n">
        <v>0</v>
      </c>
      <c r="K682" t="n">
        <v>0</v>
      </c>
      <c r="L682" t="n">
        <v>0</v>
      </c>
      <c r="M682" t="n">
        <v>0</v>
      </c>
      <c r="N682" t="n">
        <v>0</v>
      </c>
      <c r="O682" t="n">
        <v>0</v>
      </c>
      <c r="P682" t="n">
        <v>0</v>
      </c>
      <c r="Q682" t="n">
        <v>0</v>
      </c>
      <c r="R682" s="2" t="inlineStr"/>
    </row>
    <row r="683" ht="15" customHeight="1">
      <c r="A683" t="inlineStr">
        <is>
          <t>A 47855-2024</t>
        </is>
      </c>
      <c r="B683" s="1" t="n">
        <v>45588.66457175926</v>
      </c>
      <c r="C683" s="1" t="n">
        <v>46162</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63583-2023</t>
        </is>
      </c>
      <c r="B684" s="1" t="n">
        <v>45275.41833333333</v>
      </c>
      <c r="C684" s="1" t="n">
        <v>46162</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17713-2026</t>
        </is>
      </c>
      <c r="B685" s="1" t="n">
        <v>46121.72810185186</v>
      </c>
      <c r="C685" s="1" t="n">
        <v>46162</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60228-2021</t>
        </is>
      </c>
      <c r="B686" s="1" t="n">
        <v>44495</v>
      </c>
      <c r="C686" s="1" t="n">
        <v>46162</v>
      </c>
      <c r="D686" t="inlineStr">
        <is>
          <t>KALMAR LÄN</t>
        </is>
      </c>
      <c r="E686" t="inlineStr">
        <is>
          <t>VIMMERBY</t>
        </is>
      </c>
      <c r="G686" t="n">
        <v>4.1</v>
      </c>
      <c r="H686" t="n">
        <v>0</v>
      </c>
      <c r="I686" t="n">
        <v>0</v>
      </c>
      <c r="J686" t="n">
        <v>0</v>
      </c>
      <c r="K686" t="n">
        <v>0</v>
      </c>
      <c r="L686" t="n">
        <v>0</v>
      </c>
      <c r="M686" t="n">
        <v>0</v>
      </c>
      <c r="N686" t="n">
        <v>0</v>
      </c>
      <c r="O686" t="n">
        <v>0</v>
      </c>
      <c r="P686" t="n">
        <v>0</v>
      </c>
      <c r="Q686" t="n">
        <v>0</v>
      </c>
      <c r="R686" s="2" t="inlineStr"/>
    </row>
    <row r="687" ht="15" customHeight="1">
      <c r="A687" t="inlineStr">
        <is>
          <t>A 10965-2026</t>
        </is>
      </c>
      <c r="B687" s="1" t="n">
        <v>46079.43295138889</v>
      </c>
      <c r="C687" s="1" t="n">
        <v>46162</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46522-2022</t>
        </is>
      </c>
      <c r="B688" s="1" t="n">
        <v>44848.59133101852</v>
      </c>
      <c r="C688" s="1" t="n">
        <v>46162</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21109-2024</t>
        </is>
      </c>
      <c r="B689" s="1" t="n">
        <v>45440.28329861111</v>
      </c>
      <c r="C689" s="1" t="n">
        <v>46162</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33815-2022</t>
        </is>
      </c>
      <c r="B690" s="1" t="n">
        <v>44790.45876157407</v>
      </c>
      <c r="C690" s="1" t="n">
        <v>46162</v>
      </c>
      <c r="D690" t="inlineStr">
        <is>
          <t>KALMAR LÄN</t>
        </is>
      </c>
      <c r="E690" t="inlineStr">
        <is>
          <t>VIMMERBY</t>
        </is>
      </c>
      <c r="G690" t="n">
        <v>0.9</v>
      </c>
      <c r="H690" t="n">
        <v>0</v>
      </c>
      <c r="I690" t="n">
        <v>0</v>
      </c>
      <c r="J690" t="n">
        <v>0</v>
      </c>
      <c r="K690" t="n">
        <v>0</v>
      </c>
      <c r="L690" t="n">
        <v>0</v>
      </c>
      <c r="M690" t="n">
        <v>0</v>
      </c>
      <c r="N690" t="n">
        <v>0</v>
      </c>
      <c r="O690" t="n">
        <v>0</v>
      </c>
      <c r="P690" t="n">
        <v>0</v>
      </c>
      <c r="Q690" t="n">
        <v>0</v>
      </c>
      <c r="R690" s="2" t="inlineStr"/>
    </row>
    <row r="691" ht="15" customHeight="1">
      <c r="A691" t="inlineStr">
        <is>
          <t>A 11407-2026</t>
        </is>
      </c>
      <c r="B691" s="1" t="n">
        <v>46083</v>
      </c>
      <c r="C691" s="1" t="n">
        <v>46162</v>
      </c>
      <c r="D691" t="inlineStr">
        <is>
          <t>KALMAR LÄN</t>
        </is>
      </c>
      <c r="E691" t="inlineStr">
        <is>
          <t>VIMMERBY</t>
        </is>
      </c>
      <c r="G691" t="n">
        <v>2.3</v>
      </c>
      <c r="H691" t="n">
        <v>0</v>
      </c>
      <c r="I691" t="n">
        <v>0</v>
      </c>
      <c r="J691" t="n">
        <v>0</v>
      </c>
      <c r="K691" t="n">
        <v>0</v>
      </c>
      <c r="L691" t="n">
        <v>0</v>
      </c>
      <c r="M691" t="n">
        <v>0</v>
      </c>
      <c r="N691" t="n">
        <v>0</v>
      </c>
      <c r="O691" t="n">
        <v>0</v>
      </c>
      <c r="P691" t="n">
        <v>0</v>
      </c>
      <c r="Q691" t="n">
        <v>0</v>
      </c>
      <c r="R691" s="2" t="inlineStr"/>
    </row>
    <row r="692" ht="15" customHeight="1">
      <c r="A692" t="inlineStr">
        <is>
          <t>A 49461-2022</t>
        </is>
      </c>
      <c r="B692" s="1" t="n">
        <v>44861</v>
      </c>
      <c r="C692" s="1" t="n">
        <v>46162</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53542-2022</t>
        </is>
      </c>
      <c r="B693" s="1" t="n">
        <v>44879.62173611111</v>
      </c>
      <c r="C693" s="1" t="n">
        <v>46162</v>
      </c>
      <c r="D693" t="inlineStr">
        <is>
          <t>KALMAR LÄN</t>
        </is>
      </c>
      <c r="E693" t="inlineStr">
        <is>
          <t>VIMMERBY</t>
        </is>
      </c>
      <c r="G693" t="n">
        <v>2.6</v>
      </c>
      <c r="H693" t="n">
        <v>0</v>
      </c>
      <c r="I693" t="n">
        <v>0</v>
      </c>
      <c r="J693" t="n">
        <v>0</v>
      </c>
      <c r="K693" t="n">
        <v>0</v>
      </c>
      <c r="L693" t="n">
        <v>0</v>
      </c>
      <c r="M693" t="n">
        <v>0</v>
      </c>
      <c r="N693" t="n">
        <v>0</v>
      </c>
      <c r="O693" t="n">
        <v>0</v>
      </c>
      <c r="P693" t="n">
        <v>0</v>
      </c>
      <c r="Q693" t="n">
        <v>0</v>
      </c>
      <c r="R693" s="2" t="inlineStr"/>
    </row>
    <row r="694" ht="15" customHeight="1">
      <c r="A694" t="inlineStr">
        <is>
          <t>A 35713-2023</t>
        </is>
      </c>
      <c r="B694" s="1" t="n">
        <v>45147</v>
      </c>
      <c r="C694" s="1" t="n">
        <v>46162</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18122-2026</t>
        </is>
      </c>
      <c r="B695" s="1" t="n">
        <v>46125.58524305555</v>
      </c>
      <c r="C695" s="1" t="n">
        <v>46162</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10424-2023</t>
        </is>
      </c>
      <c r="B696" s="1" t="n">
        <v>44987.54104166666</v>
      </c>
      <c r="C696" s="1" t="n">
        <v>46162</v>
      </c>
      <c r="D696" t="inlineStr">
        <is>
          <t>KALMAR LÄN</t>
        </is>
      </c>
      <c r="E696" t="inlineStr">
        <is>
          <t>VIMMERBY</t>
        </is>
      </c>
      <c r="G696" t="n">
        <v>0.5</v>
      </c>
      <c r="H696" t="n">
        <v>0</v>
      </c>
      <c r="I696" t="n">
        <v>0</v>
      </c>
      <c r="J696" t="n">
        <v>0</v>
      </c>
      <c r="K696" t="n">
        <v>0</v>
      </c>
      <c r="L696" t="n">
        <v>0</v>
      </c>
      <c r="M696" t="n">
        <v>0</v>
      </c>
      <c r="N696" t="n">
        <v>0</v>
      </c>
      <c r="O696" t="n">
        <v>0</v>
      </c>
      <c r="P696" t="n">
        <v>0</v>
      </c>
      <c r="Q696" t="n">
        <v>0</v>
      </c>
      <c r="R696" s="2" t="inlineStr"/>
    </row>
    <row r="697" ht="15" customHeight="1">
      <c r="A697" t="inlineStr">
        <is>
          <t>A 11273-2026</t>
        </is>
      </c>
      <c r="B697" s="1" t="n">
        <v>46080.57634259259</v>
      </c>
      <c r="C697" s="1" t="n">
        <v>46162</v>
      </c>
      <c r="D697" t="inlineStr">
        <is>
          <t>KALMAR LÄN</t>
        </is>
      </c>
      <c r="E697" t="inlineStr">
        <is>
          <t>VIMMERBY</t>
        </is>
      </c>
      <c r="G697" t="n">
        <v>0.8</v>
      </c>
      <c r="H697" t="n">
        <v>0</v>
      </c>
      <c r="I697" t="n">
        <v>0</v>
      </c>
      <c r="J697" t="n">
        <v>0</v>
      </c>
      <c r="K697" t="n">
        <v>0</v>
      </c>
      <c r="L697" t="n">
        <v>0</v>
      </c>
      <c r="M697" t="n">
        <v>0</v>
      </c>
      <c r="N697" t="n">
        <v>0</v>
      </c>
      <c r="O697" t="n">
        <v>0</v>
      </c>
      <c r="P697" t="n">
        <v>0</v>
      </c>
      <c r="Q697" t="n">
        <v>0</v>
      </c>
      <c r="R697" s="2" t="inlineStr"/>
    </row>
    <row r="698" ht="15" customHeight="1">
      <c r="A698" t="inlineStr">
        <is>
          <t>A 11415-2026</t>
        </is>
      </c>
      <c r="B698" s="1" t="n">
        <v>46083</v>
      </c>
      <c r="C698" s="1" t="n">
        <v>46162</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33340-2023</t>
        </is>
      </c>
      <c r="B699" s="1" t="n">
        <v>45128.37305555555</v>
      </c>
      <c r="C699" s="1" t="n">
        <v>46162</v>
      </c>
      <c r="D699" t="inlineStr">
        <is>
          <t>KALMAR LÄN</t>
        </is>
      </c>
      <c r="E699" t="inlineStr">
        <is>
          <t>VIMMERBY</t>
        </is>
      </c>
      <c r="G699" t="n">
        <v>1.5</v>
      </c>
      <c r="H699" t="n">
        <v>0</v>
      </c>
      <c r="I699" t="n">
        <v>0</v>
      </c>
      <c r="J699" t="n">
        <v>0</v>
      </c>
      <c r="K699" t="n">
        <v>0</v>
      </c>
      <c r="L699" t="n">
        <v>0</v>
      </c>
      <c r="M699" t="n">
        <v>0</v>
      </c>
      <c r="N699" t="n">
        <v>0</v>
      </c>
      <c r="O699" t="n">
        <v>0</v>
      </c>
      <c r="P699" t="n">
        <v>0</v>
      </c>
      <c r="Q699" t="n">
        <v>0</v>
      </c>
      <c r="R699" s="2" t="inlineStr"/>
    </row>
    <row r="700" ht="15" customHeight="1">
      <c r="A700" t="inlineStr">
        <is>
          <t>A 29017-2024</t>
        </is>
      </c>
      <c r="B700" s="1" t="n">
        <v>45481.56722222222</v>
      </c>
      <c r="C700" s="1" t="n">
        <v>46162</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58046-2022</t>
        </is>
      </c>
      <c r="B701" s="1" t="n">
        <v>44900.57393518519</v>
      </c>
      <c r="C701" s="1" t="n">
        <v>46162</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14548-2024</t>
        </is>
      </c>
      <c r="B702" s="1" t="n">
        <v>45394.66887731481</v>
      </c>
      <c r="C702" s="1" t="n">
        <v>46162</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44857.65989583333</v>
      </c>
      <c r="C703" s="1" t="n">
        <v>46162</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3423-2022</t>
        </is>
      </c>
      <c r="B704" s="1" t="n">
        <v>44585.50431712963</v>
      </c>
      <c r="C704" s="1" t="n">
        <v>46162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11074-2023</t>
        </is>
      </c>
      <c r="B705" s="1" t="n">
        <v>44992.34151620371</v>
      </c>
      <c r="C705" s="1" t="n">
        <v>46162</v>
      </c>
      <c r="D705" t="inlineStr">
        <is>
          <t>KALMAR LÄN</t>
        </is>
      </c>
      <c r="E705" t="inlineStr">
        <is>
          <t>VIMMERBY</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71631-2021</t>
        </is>
      </c>
      <c r="B706" s="1" t="n">
        <v>44542.90072916666</v>
      </c>
      <c r="C706" s="1" t="n">
        <v>46162</v>
      </c>
      <c r="D706" t="inlineStr">
        <is>
          <t>KALMAR LÄN</t>
        </is>
      </c>
      <c r="E706" t="inlineStr">
        <is>
          <t>VIMMERBY</t>
        </is>
      </c>
      <c r="G706" t="n">
        <v>0.9</v>
      </c>
      <c r="H706" t="n">
        <v>0</v>
      </c>
      <c r="I706" t="n">
        <v>0</v>
      </c>
      <c r="J706" t="n">
        <v>0</v>
      </c>
      <c r="K706" t="n">
        <v>0</v>
      </c>
      <c r="L706" t="n">
        <v>0</v>
      </c>
      <c r="M706" t="n">
        <v>0</v>
      </c>
      <c r="N706" t="n">
        <v>0</v>
      </c>
      <c r="O706" t="n">
        <v>0</v>
      </c>
      <c r="P706" t="n">
        <v>0</v>
      </c>
      <c r="Q706" t="n">
        <v>0</v>
      </c>
      <c r="R706" s="2" t="inlineStr"/>
    </row>
    <row r="707" ht="15" customHeight="1">
      <c r="A707" t="inlineStr">
        <is>
          <t>A 49039-2021</t>
        </is>
      </c>
      <c r="B707" s="1" t="n">
        <v>44453.56578703703</v>
      </c>
      <c r="C707" s="1" t="n">
        <v>46162</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11798-2026</t>
        </is>
      </c>
      <c r="B708" s="1" t="n">
        <v>46085.34020833333</v>
      </c>
      <c r="C708" s="1" t="n">
        <v>46162</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42918-2021</t>
        </is>
      </c>
      <c r="B709" s="1" t="n">
        <v>44431</v>
      </c>
      <c r="C709" s="1" t="n">
        <v>46162</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529-2022</t>
        </is>
      </c>
      <c r="B710" s="1" t="n">
        <v>44566</v>
      </c>
      <c r="C710" s="1" t="n">
        <v>46162</v>
      </c>
      <c r="D710" t="inlineStr">
        <is>
          <t>KALMAR LÄN</t>
        </is>
      </c>
      <c r="E710" t="inlineStr">
        <is>
          <t>VIMMERBY</t>
        </is>
      </c>
      <c r="G710" t="n">
        <v>1.5</v>
      </c>
      <c r="H710" t="n">
        <v>0</v>
      </c>
      <c r="I710" t="n">
        <v>0</v>
      </c>
      <c r="J710" t="n">
        <v>0</v>
      </c>
      <c r="K710" t="n">
        <v>0</v>
      </c>
      <c r="L710" t="n">
        <v>0</v>
      </c>
      <c r="M710" t="n">
        <v>0</v>
      </c>
      <c r="N710" t="n">
        <v>0</v>
      </c>
      <c r="O710" t="n">
        <v>0</v>
      </c>
      <c r="P710" t="n">
        <v>0</v>
      </c>
      <c r="Q710" t="n">
        <v>0</v>
      </c>
      <c r="R710" s="2" t="inlineStr"/>
    </row>
    <row r="711" ht="15" customHeight="1">
      <c r="A711" t="inlineStr">
        <is>
          <t>A 14855-2025</t>
        </is>
      </c>
      <c r="B711" s="1" t="n">
        <v>45743.41148148148</v>
      </c>
      <c r="C711" s="1" t="n">
        <v>46162</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60951-2023</t>
        </is>
      </c>
      <c r="B712" s="1" t="n">
        <v>45261.44914351852</v>
      </c>
      <c r="C712" s="1" t="n">
        <v>46162</v>
      </c>
      <c r="D712" t="inlineStr">
        <is>
          <t>KALMAR LÄN</t>
        </is>
      </c>
      <c r="E712" t="inlineStr">
        <is>
          <t>VIMMERBY</t>
        </is>
      </c>
      <c r="G712" t="n">
        <v>4.3</v>
      </c>
      <c r="H712" t="n">
        <v>0</v>
      </c>
      <c r="I712" t="n">
        <v>0</v>
      </c>
      <c r="J712" t="n">
        <v>0</v>
      </c>
      <c r="K712" t="n">
        <v>0</v>
      </c>
      <c r="L712" t="n">
        <v>0</v>
      </c>
      <c r="M712" t="n">
        <v>0</v>
      </c>
      <c r="N712" t="n">
        <v>0</v>
      </c>
      <c r="O712" t="n">
        <v>0</v>
      </c>
      <c r="P712" t="n">
        <v>0</v>
      </c>
      <c r="Q712" t="n">
        <v>0</v>
      </c>
      <c r="R712" s="2" t="inlineStr"/>
    </row>
    <row r="713" ht="15" customHeight="1">
      <c r="A713" t="inlineStr">
        <is>
          <t>A 19162-2023</t>
        </is>
      </c>
      <c r="B713" s="1" t="n">
        <v>45048.59699074074</v>
      </c>
      <c r="C713" s="1" t="n">
        <v>46162</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31209-2024</t>
        </is>
      </c>
      <c r="B714" s="1" t="n">
        <v>45503.5658912037</v>
      </c>
      <c r="C714" s="1" t="n">
        <v>46162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5864-2022</t>
        </is>
      </c>
      <c r="B715" s="1" t="n">
        <v>44596</v>
      </c>
      <c r="C715" s="1" t="n">
        <v>46162</v>
      </c>
      <c r="D715" t="inlineStr">
        <is>
          <t>KALMAR LÄN</t>
        </is>
      </c>
      <c r="E715" t="inlineStr">
        <is>
          <t>VIMMERBY</t>
        </is>
      </c>
      <c r="G715" t="n">
        <v>0.7</v>
      </c>
      <c r="H715" t="n">
        <v>0</v>
      </c>
      <c r="I715" t="n">
        <v>0</v>
      </c>
      <c r="J715" t="n">
        <v>0</v>
      </c>
      <c r="K715" t="n">
        <v>0</v>
      </c>
      <c r="L715" t="n">
        <v>0</v>
      </c>
      <c r="M715" t="n">
        <v>0</v>
      </c>
      <c r="N715" t="n">
        <v>0</v>
      </c>
      <c r="O715" t="n">
        <v>0</v>
      </c>
      <c r="P715" t="n">
        <v>0</v>
      </c>
      <c r="Q715" t="n">
        <v>0</v>
      </c>
      <c r="R715" s="2" t="inlineStr"/>
    </row>
    <row r="716" ht="15" customHeight="1">
      <c r="A716" t="inlineStr">
        <is>
          <t>A 18633-2026</t>
        </is>
      </c>
      <c r="B716" s="1" t="n">
        <v>46128.26289351852</v>
      </c>
      <c r="C716" s="1" t="n">
        <v>46162</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3938-2023</t>
        </is>
      </c>
      <c r="B717" s="1" t="n">
        <v>44952.35775462963</v>
      </c>
      <c r="C717" s="1" t="n">
        <v>46162</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26937-2023</t>
        </is>
      </c>
      <c r="B718" s="1" t="n">
        <v>45093.62777777778</v>
      </c>
      <c r="C718" s="1" t="n">
        <v>46162</v>
      </c>
      <c r="D718" t="inlineStr">
        <is>
          <t>KALMAR LÄN</t>
        </is>
      </c>
      <c r="E718" t="inlineStr">
        <is>
          <t>VIMMERBY</t>
        </is>
      </c>
      <c r="F718" t="inlineStr">
        <is>
          <t>Sveaskog</t>
        </is>
      </c>
      <c r="G718" t="n">
        <v>14.5</v>
      </c>
      <c r="H718" t="n">
        <v>0</v>
      </c>
      <c r="I718" t="n">
        <v>0</v>
      </c>
      <c r="J718" t="n">
        <v>0</v>
      </c>
      <c r="K718" t="n">
        <v>0</v>
      </c>
      <c r="L718" t="n">
        <v>0</v>
      </c>
      <c r="M718" t="n">
        <v>0</v>
      </c>
      <c r="N718" t="n">
        <v>0</v>
      </c>
      <c r="O718" t="n">
        <v>0</v>
      </c>
      <c r="P718" t="n">
        <v>0</v>
      </c>
      <c r="Q718" t="n">
        <v>0</v>
      </c>
      <c r="R718" s="2" t="inlineStr"/>
    </row>
    <row r="719" ht="15" customHeight="1">
      <c r="A719" t="inlineStr">
        <is>
          <t>A 50085-2023</t>
        </is>
      </c>
      <c r="B719" s="1" t="n">
        <v>45215.5959375</v>
      </c>
      <c r="C719" s="1" t="n">
        <v>46162</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11219-2023</t>
        </is>
      </c>
      <c r="B720" s="1" t="n">
        <v>44992.62498842592</v>
      </c>
      <c r="C720" s="1" t="n">
        <v>46162</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6850-2023</t>
        </is>
      </c>
      <c r="B721" s="1" t="n">
        <v>44967.44255787037</v>
      </c>
      <c r="C721" s="1" t="n">
        <v>46162</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12730-2026</t>
        </is>
      </c>
      <c r="B722" s="1" t="n">
        <v>46091</v>
      </c>
      <c r="C722" s="1" t="n">
        <v>46162</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6358-2022</t>
        </is>
      </c>
      <c r="B723" s="1" t="n">
        <v>44600</v>
      </c>
      <c r="C723" s="1" t="n">
        <v>46162</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43853-2023</t>
        </is>
      </c>
      <c r="B724" s="1" t="n">
        <v>45187.60813657408</v>
      </c>
      <c r="C724" s="1" t="n">
        <v>46162</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48673-2021</t>
        </is>
      </c>
      <c r="B725" s="1" t="n">
        <v>44452</v>
      </c>
      <c r="C725" s="1" t="n">
        <v>46162</v>
      </c>
      <c r="D725" t="inlineStr">
        <is>
          <t>KALMAR LÄN</t>
        </is>
      </c>
      <c r="E725" t="inlineStr">
        <is>
          <t>VIMMERBY</t>
        </is>
      </c>
      <c r="G725" t="n">
        <v>1.3</v>
      </c>
      <c r="H725" t="n">
        <v>0</v>
      </c>
      <c r="I725" t="n">
        <v>0</v>
      </c>
      <c r="J725" t="n">
        <v>0</v>
      </c>
      <c r="K725" t="n">
        <v>0</v>
      </c>
      <c r="L725" t="n">
        <v>0</v>
      </c>
      <c r="M725" t="n">
        <v>0</v>
      </c>
      <c r="N725" t="n">
        <v>0</v>
      </c>
      <c r="O725" t="n">
        <v>0</v>
      </c>
      <c r="P725" t="n">
        <v>0</v>
      </c>
      <c r="Q725" t="n">
        <v>0</v>
      </c>
      <c r="R725" s="2" t="inlineStr"/>
    </row>
    <row r="726" ht="15" customHeight="1">
      <c r="A726" t="inlineStr">
        <is>
          <t>A 14137-2023</t>
        </is>
      </c>
      <c r="B726" s="1" t="n">
        <v>45009.4671875</v>
      </c>
      <c r="C726" s="1" t="n">
        <v>46162</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7630-2025</t>
        </is>
      </c>
      <c r="B727" s="1" t="n">
        <v>45705.74418981482</v>
      </c>
      <c r="C727" s="1" t="n">
        <v>46162</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38780-2021</t>
        </is>
      </c>
      <c r="B728" s="1" t="n">
        <v>44410</v>
      </c>
      <c r="C728" s="1" t="n">
        <v>46162</v>
      </c>
      <c r="D728" t="inlineStr">
        <is>
          <t>KALMAR LÄN</t>
        </is>
      </c>
      <c r="E728" t="inlineStr">
        <is>
          <t>VIMMERBY</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30503-2023</t>
        </is>
      </c>
      <c r="B729" s="1" t="n">
        <v>45111</v>
      </c>
      <c r="C729" s="1" t="n">
        <v>46162</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60110-2022</t>
        </is>
      </c>
      <c r="B730" s="1" t="n">
        <v>44909</v>
      </c>
      <c r="C730" s="1" t="n">
        <v>46162</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59300-2024</t>
        </is>
      </c>
      <c r="B731" s="1" t="n">
        <v>45637.66542824074</v>
      </c>
      <c r="C731" s="1" t="n">
        <v>46162</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12820-2026</t>
        </is>
      </c>
      <c r="B732" s="1" t="n">
        <v>46092.40909722223</v>
      </c>
      <c r="C732" s="1" t="n">
        <v>46162</v>
      </c>
      <c r="D732" t="inlineStr">
        <is>
          <t>KALMAR LÄN</t>
        </is>
      </c>
      <c r="E732" t="inlineStr">
        <is>
          <t>VIMMERBY</t>
        </is>
      </c>
      <c r="G732" t="n">
        <v>4.3</v>
      </c>
      <c r="H732" t="n">
        <v>0</v>
      </c>
      <c r="I732" t="n">
        <v>0</v>
      </c>
      <c r="J732" t="n">
        <v>0</v>
      </c>
      <c r="K732" t="n">
        <v>0</v>
      </c>
      <c r="L732" t="n">
        <v>0</v>
      </c>
      <c r="M732" t="n">
        <v>0</v>
      </c>
      <c r="N732" t="n">
        <v>0</v>
      </c>
      <c r="O732" t="n">
        <v>0</v>
      </c>
      <c r="P732" t="n">
        <v>0</v>
      </c>
      <c r="Q732" t="n">
        <v>0</v>
      </c>
      <c r="R732" s="2" t="inlineStr"/>
    </row>
    <row r="733" ht="15" customHeight="1">
      <c r="A733" t="inlineStr">
        <is>
          <t>A 12821-2026</t>
        </is>
      </c>
      <c r="B733" s="1" t="n">
        <v>46092.41256944444</v>
      </c>
      <c r="C733" s="1" t="n">
        <v>46162</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12825-2026</t>
        </is>
      </c>
      <c r="B734" s="1" t="n">
        <v>46092.41561342592</v>
      </c>
      <c r="C734" s="1" t="n">
        <v>46162</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18329-2023</t>
        </is>
      </c>
      <c r="B735" s="1" t="n">
        <v>45041.63380787037</v>
      </c>
      <c r="C735" s="1" t="n">
        <v>46162</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5720-2023</t>
        </is>
      </c>
      <c r="B736" s="1" t="n">
        <v>44961</v>
      </c>
      <c r="C736" s="1" t="n">
        <v>46162</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20017-2026</t>
        </is>
      </c>
      <c r="B737" s="1" t="n">
        <v>46136.49986111111</v>
      </c>
      <c r="C737" s="1" t="n">
        <v>46162</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44916.55414351852</v>
      </c>
      <c r="C738" s="1" t="n">
        <v>46162</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20018-2026</t>
        </is>
      </c>
      <c r="B739" s="1" t="n">
        <v>46136.50282407407</v>
      </c>
      <c r="C739" s="1" t="n">
        <v>46162</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694-2024</t>
        </is>
      </c>
      <c r="B740" s="1" t="n">
        <v>45300.3794212963</v>
      </c>
      <c r="C740" s="1" t="n">
        <v>46162</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57114-2023</t>
        </is>
      </c>
      <c r="B741" s="1" t="n">
        <v>45245.36174768519</v>
      </c>
      <c r="C741" s="1" t="n">
        <v>46162</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13667-2026</t>
        </is>
      </c>
      <c r="B742" s="1" t="n">
        <v>46097</v>
      </c>
      <c r="C742" s="1" t="n">
        <v>46162</v>
      </c>
      <c r="D742" t="inlineStr">
        <is>
          <t>KALMAR LÄN</t>
        </is>
      </c>
      <c r="E742" t="inlineStr">
        <is>
          <t>VIMMERBY</t>
        </is>
      </c>
      <c r="G742" t="n">
        <v>6.8</v>
      </c>
      <c r="H742" t="n">
        <v>0</v>
      </c>
      <c r="I742" t="n">
        <v>0</v>
      </c>
      <c r="J742" t="n">
        <v>0</v>
      </c>
      <c r="K742" t="n">
        <v>0</v>
      </c>
      <c r="L742" t="n">
        <v>0</v>
      </c>
      <c r="M742" t="n">
        <v>0</v>
      </c>
      <c r="N742" t="n">
        <v>0</v>
      </c>
      <c r="O742" t="n">
        <v>0</v>
      </c>
      <c r="P742" t="n">
        <v>0</v>
      </c>
      <c r="Q742" t="n">
        <v>0</v>
      </c>
      <c r="R742" s="2" t="inlineStr"/>
    </row>
    <row r="743" ht="15" customHeight="1">
      <c r="A743" t="inlineStr">
        <is>
          <t>A 12327-2023</t>
        </is>
      </c>
      <c r="B743" s="1" t="n">
        <v>44999.36081018519</v>
      </c>
      <c r="C743" s="1" t="n">
        <v>46162</v>
      </c>
      <c r="D743" t="inlineStr">
        <is>
          <t>KALMAR LÄN</t>
        </is>
      </c>
      <c r="E743" t="inlineStr">
        <is>
          <t>VIMMERBY</t>
        </is>
      </c>
      <c r="G743" t="n">
        <v>1.2</v>
      </c>
      <c r="H743" t="n">
        <v>0</v>
      </c>
      <c r="I743" t="n">
        <v>0</v>
      </c>
      <c r="J743" t="n">
        <v>0</v>
      </c>
      <c r="K743" t="n">
        <v>0</v>
      </c>
      <c r="L743" t="n">
        <v>0</v>
      </c>
      <c r="M743" t="n">
        <v>0</v>
      </c>
      <c r="N743" t="n">
        <v>0</v>
      </c>
      <c r="O743" t="n">
        <v>0</v>
      </c>
      <c r="P743" t="n">
        <v>0</v>
      </c>
      <c r="Q743" t="n">
        <v>0</v>
      </c>
      <c r="R743" s="2" t="inlineStr"/>
    </row>
    <row r="744" ht="15" customHeight="1">
      <c r="A744" t="inlineStr">
        <is>
          <t>A 13714-2026</t>
        </is>
      </c>
      <c r="B744" s="1" t="n">
        <v>46097.58472222222</v>
      </c>
      <c r="C744" s="1" t="n">
        <v>46162</v>
      </c>
      <c r="D744" t="inlineStr">
        <is>
          <t>KALMAR LÄN</t>
        </is>
      </c>
      <c r="E744" t="inlineStr">
        <is>
          <t>VIMMERBY</t>
        </is>
      </c>
      <c r="G744" t="n">
        <v>0.7</v>
      </c>
      <c r="H744" t="n">
        <v>0</v>
      </c>
      <c r="I744" t="n">
        <v>0</v>
      </c>
      <c r="J744" t="n">
        <v>0</v>
      </c>
      <c r="K744" t="n">
        <v>0</v>
      </c>
      <c r="L744" t="n">
        <v>0</v>
      </c>
      <c r="M744" t="n">
        <v>0</v>
      </c>
      <c r="N744" t="n">
        <v>0</v>
      </c>
      <c r="O744" t="n">
        <v>0</v>
      </c>
      <c r="P744" t="n">
        <v>0</v>
      </c>
      <c r="Q744" t="n">
        <v>0</v>
      </c>
      <c r="R744" s="2" t="inlineStr"/>
    </row>
    <row r="745" ht="15" customHeight="1">
      <c r="A745" t="inlineStr">
        <is>
          <t>A 30633-2024</t>
        </is>
      </c>
      <c r="B745" s="1" t="n">
        <v>45495</v>
      </c>
      <c r="C745" s="1" t="n">
        <v>46162</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33424-2023</t>
        </is>
      </c>
      <c r="B746" s="1" t="n">
        <v>45128.9325</v>
      </c>
      <c r="C746" s="1" t="n">
        <v>46162</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33425-2023</t>
        </is>
      </c>
      <c r="B747" s="1" t="n">
        <v>45128.93540509259</v>
      </c>
      <c r="C747" s="1" t="n">
        <v>46162</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3609-2024</t>
        </is>
      </c>
      <c r="B748" s="1" t="n">
        <v>45320.89128472222</v>
      </c>
      <c r="C748" s="1" t="n">
        <v>46162</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13793-2026</t>
        </is>
      </c>
      <c r="B749" s="1" t="n">
        <v>46097.79199074074</v>
      </c>
      <c r="C749" s="1" t="n">
        <v>46162</v>
      </c>
      <c r="D749" t="inlineStr">
        <is>
          <t>KALMAR LÄN</t>
        </is>
      </c>
      <c r="E749" t="inlineStr">
        <is>
          <t>VIMMERBY</t>
        </is>
      </c>
      <c r="G749" t="n">
        <v>2.9</v>
      </c>
      <c r="H749" t="n">
        <v>0</v>
      </c>
      <c r="I749" t="n">
        <v>0</v>
      </c>
      <c r="J749" t="n">
        <v>0</v>
      </c>
      <c r="K749" t="n">
        <v>0</v>
      </c>
      <c r="L749" t="n">
        <v>0</v>
      </c>
      <c r="M749" t="n">
        <v>0</v>
      </c>
      <c r="N749" t="n">
        <v>0</v>
      </c>
      <c r="O749" t="n">
        <v>0</v>
      </c>
      <c r="P749" t="n">
        <v>0</v>
      </c>
      <c r="Q749" t="n">
        <v>0</v>
      </c>
      <c r="R749" s="2" t="inlineStr"/>
    </row>
    <row r="750" ht="15" customHeight="1">
      <c r="A750" t="inlineStr">
        <is>
          <t>A 14279-2026</t>
        </is>
      </c>
      <c r="B750" s="1" t="n">
        <v>46099.66826388889</v>
      </c>
      <c r="C750" s="1" t="n">
        <v>46162</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8650-2022</t>
        </is>
      </c>
      <c r="B751" s="1" t="n">
        <v>44613</v>
      </c>
      <c r="C751" s="1" t="n">
        <v>46162</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14277-2026</t>
        </is>
      </c>
      <c r="B752" s="1" t="n">
        <v>46099.66305555555</v>
      </c>
      <c r="C752" s="1" t="n">
        <v>46162</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11147-2023</t>
        </is>
      </c>
      <c r="B753" s="1" t="n">
        <v>44992</v>
      </c>
      <c r="C753" s="1" t="n">
        <v>46162</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14320-2026</t>
        </is>
      </c>
      <c r="B754" s="1" t="n">
        <v>46099.88449074074</v>
      </c>
      <c r="C754" s="1" t="n">
        <v>46162</v>
      </c>
      <c r="D754" t="inlineStr">
        <is>
          <t>KALMAR LÄN</t>
        </is>
      </c>
      <c r="E754" t="inlineStr">
        <is>
          <t>VIMMERBY</t>
        </is>
      </c>
      <c r="G754" t="n">
        <v>2.3</v>
      </c>
      <c r="H754" t="n">
        <v>0</v>
      </c>
      <c r="I754" t="n">
        <v>0</v>
      </c>
      <c r="J754" t="n">
        <v>0</v>
      </c>
      <c r="K754" t="n">
        <v>0</v>
      </c>
      <c r="L754" t="n">
        <v>0</v>
      </c>
      <c r="M754" t="n">
        <v>0</v>
      </c>
      <c r="N754" t="n">
        <v>0</v>
      </c>
      <c r="O754" t="n">
        <v>0</v>
      </c>
      <c r="P754" t="n">
        <v>0</v>
      </c>
      <c r="Q754" t="n">
        <v>0</v>
      </c>
      <c r="R754" s="2" t="inlineStr"/>
    </row>
    <row r="755" ht="15" customHeight="1">
      <c r="A755" t="inlineStr">
        <is>
          <t>A 16676-2023</t>
        </is>
      </c>
      <c r="B755" s="1" t="n">
        <v>45028</v>
      </c>
      <c r="C755" s="1" t="n">
        <v>46162</v>
      </c>
      <c r="D755" t="inlineStr">
        <is>
          <t>KALMAR LÄN</t>
        </is>
      </c>
      <c r="E755" t="inlineStr">
        <is>
          <t>VIMMERBY</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23263-2024</t>
        </is>
      </c>
      <c r="B756" s="1" t="n">
        <v>45453.36854166666</v>
      </c>
      <c r="C756" s="1" t="n">
        <v>46162</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14318-2026</t>
        </is>
      </c>
      <c r="B757" s="1" t="n">
        <v>46099.87961805556</v>
      </c>
      <c r="C757" s="1" t="n">
        <v>46162</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49488-2023</t>
        </is>
      </c>
      <c r="B758" s="1" t="n">
        <v>45211.55472222222</v>
      </c>
      <c r="C758" s="1" t="n">
        <v>46162</v>
      </c>
      <c r="D758" t="inlineStr">
        <is>
          <t>KALMAR LÄN</t>
        </is>
      </c>
      <c r="E758" t="inlineStr">
        <is>
          <t>VIMMERBY</t>
        </is>
      </c>
      <c r="F758" t="inlineStr">
        <is>
          <t>Sveaskog</t>
        </is>
      </c>
      <c r="G758" t="n">
        <v>6.2</v>
      </c>
      <c r="H758" t="n">
        <v>0</v>
      </c>
      <c r="I758" t="n">
        <v>0</v>
      </c>
      <c r="J758" t="n">
        <v>0</v>
      </c>
      <c r="K758" t="n">
        <v>0</v>
      </c>
      <c r="L758" t="n">
        <v>0</v>
      </c>
      <c r="M758" t="n">
        <v>0</v>
      </c>
      <c r="N758" t="n">
        <v>0</v>
      </c>
      <c r="O758" t="n">
        <v>0</v>
      </c>
      <c r="P758" t="n">
        <v>0</v>
      </c>
      <c r="Q758" t="n">
        <v>0</v>
      </c>
      <c r="R758" s="2" t="inlineStr"/>
    </row>
    <row r="759" ht="15" customHeight="1">
      <c r="A759" t="inlineStr">
        <is>
          <t>A 15205-2026</t>
        </is>
      </c>
      <c r="B759" s="1" t="n">
        <v>46105.48628472222</v>
      </c>
      <c r="C759" s="1" t="n">
        <v>46162</v>
      </c>
      <c r="D759" t="inlineStr">
        <is>
          <t>KALMAR LÄN</t>
        </is>
      </c>
      <c r="E759" t="inlineStr">
        <is>
          <t>VIMMERBY</t>
        </is>
      </c>
      <c r="G759" t="n">
        <v>2.1</v>
      </c>
      <c r="H759" t="n">
        <v>0</v>
      </c>
      <c r="I759" t="n">
        <v>0</v>
      </c>
      <c r="J759" t="n">
        <v>0</v>
      </c>
      <c r="K759" t="n">
        <v>0</v>
      </c>
      <c r="L759" t="n">
        <v>0</v>
      </c>
      <c r="M759" t="n">
        <v>0</v>
      </c>
      <c r="N759" t="n">
        <v>0</v>
      </c>
      <c r="O759" t="n">
        <v>0</v>
      </c>
      <c r="P759" t="n">
        <v>0</v>
      </c>
      <c r="Q759" t="n">
        <v>0</v>
      </c>
      <c r="R759" s="2" t="inlineStr"/>
    </row>
    <row r="760" ht="15" customHeight="1">
      <c r="A760" t="inlineStr">
        <is>
          <t>A 59768-2024</t>
        </is>
      </c>
      <c r="B760" s="1" t="n">
        <v>45639.56185185185</v>
      </c>
      <c r="C760" s="1" t="n">
        <v>46162</v>
      </c>
      <c r="D760" t="inlineStr">
        <is>
          <t>KALMAR LÄN</t>
        </is>
      </c>
      <c r="E760" t="inlineStr">
        <is>
          <t>VIMMERBY</t>
        </is>
      </c>
      <c r="G760" t="n">
        <v>5.9</v>
      </c>
      <c r="H760" t="n">
        <v>0</v>
      </c>
      <c r="I760" t="n">
        <v>0</v>
      </c>
      <c r="J760" t="n">
        <v>0</v>
      </c>
      <c r="K760" t="n">
        <v>0</v>
      </c>
      <c r="L760" t="n">
        <v>0</v>
      </c>
      <c r="M760" t="n">
        <v>0</v>
      </c>
      <c r="N760" t="n">
        <v>0</v>
      </c>
      <c r="O760" t="n">
        <v>0</v>
      </c>
      <c r="P760" t="n">
        <v>0</v>
      </c>
      <c r="Q760" t="n">
        <v>0</v>
      </c>
      <c r="R760" s="2" t="inlineStr"/>
    </row>
    <row r="761" ht="15" customHeight="1">
      <c r="A761" t="inlineStr">
        <is>
          <t>A 15054-2026</t>
        </is>
      </c>
      <c r="B761" s="1" t="n">
        <v>46104.6815162037</v>
      </c>
      <c r="C761" s="1" t="n">
        <v>46162</v>
      </c>
      <c r="D761" t="inlineStr">
        <is>
          <t>KALMAR LÄN</t>
        </is>
      </c>
      <c r="E761" t="inlineStr">
        <is>
          <t>VIMMERBY</t>
        </is>
      </c>
      <c r="G761" t="n">
        <v>1.4</v>
      </c>
      <c r="H761" t="n">
        <v>0</v>
      </c>
      <c r="I761" t="n">
        <v>0</v>
      </c>
      <c r="J761" t="n">
        <v>0</v>
      </c>
      <c r="K761" t="n">
        <v>0</v>
      </c>
      <c r="L761" t="n">
        <v>0</v>
      </c>
      <c r="M761" t="n">
        <v>0</v>
      </c>
      <c r="N761" t="n">
        <v>0</v>
      </c>
      <c r="O761" t="n">
        <v>0</v>
      </c>
      <c r="P761" t="n">
        <v>0</v>
      </c>
      <c r="Q761" t="n">
        <v>0</v>
      </c>
      <c r="R761" s="2" t="inlineStr"/>
    </row>
    <row r="762" ht="15" customHeight="1">
      <c r="A762" t="inlineStr">
        <is>
          <t>A 72067-2021</t>
        </is>
      </c>
      <c r="B762" s="1" t="n">
        <v>44540</v>
      </c>
      <c r="C762" s="1" t="n">
        <v>46162</v>
      </c>
      <c r="D762" t="inlineStr">
        <is>
          <t>KALMAR LÄN</t>
        </is>
      </c>
      <c r="E762" t="inlineStr">
        <is>
          <t>VIMMERBY</t>
        </is>
      </c>
      <c r="G762" t="n">
        <v>1.6</v>
      </c>
      <c r="H762" t="n">
        <v>0</v>
      </c>
      <c r="I762" t="n">
        <v>0</v>
      </c>
      <c r="J762" t="n">
        <v>0</v>
      </c>
      <c r="K762" t="n">
        <v>0</v>
      </c>
      <c r="L762" t="n">
        <v>0</v>
      </c>
      <c r="M762" t="n">
        <v>0</v>
      </c>
      <c r="N762" t="n">
        <v>0</v>
      </c>
      <c r="O762" t="n">
        <v>0</v>
      </c>
      <c r="P762" t="n">
        <v>0</v>
      </c>
      <c r="Q762" t="n">
        <v>0</v>
      </c>
      <c r="R762" s="2" t="inlineStr"/>
    </row>
    <row r="763" ht="15" customHeight="1">
      <c r="A763" t="inlineStr">
        <is>
          <t>A 14793-2026</t>
        </is>
      </c>
      <c r="B763" s="1" t="n">
        <v>46101.92108796296</v>
      </c>
      <c r="C763" s="1" t="n">
        <v>46162</v>
      </c>
      <c r="D763" t="inlineStr">
        <is>
          <t>KALMAR LÄN</t>
        </is>
      </c>
      <c r="E763" t="inlineStr">
        <is>
          <t>VIMMERBY</t>
        </is>
      </c>
      <c r="G763" t="n">
        <v>5.7</v>
      </c>
      <c r="H763" t="n">
        <v>0</v>
      </c>
      <c r="I763" t="n">
        <v>0</v>
      </c>
      <c r="J763" t="n">
        <v>0</v>
      </c>
      <c r="K763" t="n">
        <v>0</v>
      </c>
      <c r="L763" t="n">
        <v>0</v>
      </c>
      <c r="M763" t="n">
        <v>0</v>
      </c>
      <c r="N763" t="n">
        <v>0</v>
      </c>
      <c r="O763" t="n">
        <v>0</v>
      </c>
      <c r="P763" t="n">
        <v>0</v>
      </c>
      <c r="Q763" t="n">
        <v>0</v>
      </c>
      <c r="R763" s="2" t="inlineStr"/>
    </row>
    <row r="764" ht="15" customHeight="1">
      <c r="A764" t="inlineStr">
        <is>
          <t>A 41158-2023</t>
        </is>
      </c>
      <c r="B764" s="1" t="n">
        <v>45174.31395833333</v>
      </c>
      <c r="C764" s="1" t="n">
        <v>46162</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22198-2024</t>
        </is>
      </c>
      <c r="B765" s="1" t="n">
        <v>45446.36865740741</v>
      </c>
      <c r="C765" s="1" t="n">
        <v>46162</v>
      </c>
      <c r="D765" t="inlineStr">
        <is>
          <t>KALMAR LÄN</t>
        </is>
      </c>
      <c r="E765" t="inlineStr">
        <is>
          <t>VIMMERBY</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9511-2023</t>
        </is>
      </c>
      <c r="B766" s="1" t="n">
        <v>44981.64725694444</v>
      </c>
      <c r="C766" s="1" t="n">
        <v>46162</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14792-2026</t>
        </is>
      </c>
      <c r="B767" s="1" t="n">
        <v>46101.91993055555</v>
      </c>
      <c r="C767" s="1" t="n">
        <v>46162</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34205-2023</t>
        </is>
      </c>
      <c r="B768" s="1" t="n">
        <v>45138</v>
      </c>
      <c r="C768" s="1" t="n">
        <v>46162</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57091-2022</t>
        </is>
      </c>
      <c r="B769" s="1" t="n">
        <v>44895.46524305556</v>
      </c>
      <c r="C769" s="1" t="n">
        <v>46162</v>
      </c>
      <c r="D769" t="inlineStr">
        <is>
          <t>KALMAR LÄN</t>
        </is>
      </c>
      <c r="E769" t="inlineStr">
        <is>
          <t>VIMMERBY</t>
        </is>
      </c>
      <c r="G769" t="n">
        <v>2.6</v>
      </c>
      <c r="H769" t="n">
        <v>0</v>
      </c>
      <c r="I769" t="n">
        <v>0</v>
      </c>
      <c r="J769" t="n">
        <v>0</v>
      </c>
      <c r="K769" t="n">
        <v>0</v>
      </c>
      <c r="L769" t="n">
        <v>0</v>
      </c>
      <c r="M769" t="n">
        <v>0</v>
      </c>
      <c r="N769" t="n">
        <v>0</v>
      </c>
      <c r="O769" t="n">
        <v>0</v>
      </c>
      <c r="P769" t="n">
        <v>0</v>
      </c>
      <c r="Q769" t="n">
        <v>0</v>
      </c>
      <c r="R769" s="2" t="inlineStr"/>
    </row>
    <row r="770" ht="15" customHeight="1">
      <c r="A770" t="inlineStr">
        <is>
          <t>A 2604-2025</t>
        </is>
      </c>
      <c r="B770" s="1" t="n">
        <v>45674.74094907408</v>
      </c>
      <c r="C770" s="1" t="n">
        <v>46162</v>
      </c>
      <c r="D770" t="inlineStr">
        <is>
          <t>KALMAR LÄN</t>
        </is>
      </c>
      <c r="E770" t="inlineStr">
        <is>
          <t>VIMMERBY</t>
        </is>
      </c>
      <c r="G770" t="n">
        <v>7.6</v>
      </c>
      <c r="H770" t="n">
        <v>0</v>
      </c>
      <c r="I770" t="n">
        <v>0</v>
      </c>
      <c r="J770" t="n">
        <v>0</v>
      </c>
      <c r="K770" t="n">
        <v>0</v>
      </c>
      <c r="L770" t="n">
        <v>0</v>
      </c>
      <c r="M770" t="n">
        <v>0</v>
      </c>
      <c r="N770" t="n">
        <v>0</v>
      </c>
      <c r="O770" t="n">
        <v>0</v>
      </c>
      <c r="P770" t="n">
        <v>0</v>
      </c>
      <c r="Q770" t="n">
        <v>0</v>
      </c>
      <c r="R770" s="2" t="inlineStr"/>
    </row>
    <row r="771" ht="15" customHeight="1">
      <c r="A771" t="inlineStr">
        <is>
          <t>A 6807-2025</t>
        </is>
      </c>
      <c r="B771" s="1" t="n">
        <v>45700.68672453704</v>
      </c>
      <c r="C771" s="1" t="n">
        <v>46162</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38851-2023</t>
        </is>
      </c>
      <c r="B772" s="1" t="n">
        <v>45163</v>
      </c>
      <c r="C772" s="1" t="n">
        <v>46162</v>
      </c>
      <c r="D772" t="inlineStr">
        <is>
          <t>KALMAR LÄN</t>
        </is>
      </c>
      <c r="E772" t="inlineStr">
        <is>
          <t>VIMMERBY</t>
        </is>
      </c>
      <c r="G772" t="n">
        <v>4.3</v>
      </c>
      <c r="H772" t="n">
        <v>0</v>
      </c>
      <c r="I772" t="n">
        <v>0</v>
      </c>
      <c r="J772" t="n">
        <v>0</v>
      </c>
      <c r="K772" t="n">
        <v>0</v>
      </c>
      <c r="L772" t="n">
        <v>0</v>
      </c>
      <c r="M772" t="n">
        <v>0</v>
      </c>
      <c r="N772" t="n">
        <v>0</v>
      </c>
      <c r="O772" t="n">
        <v>0</v>
      </c>
      <c r="P772" t="n">
        <v>0</v>
      </c>
      <c r="Q772" t="n">
        <v>0</v>
      </c>
      <c r="R772" s="2" t="inlineStr"/>
    </row>
    <row r="773" ht="15" customHeight="1">
      <c r="A773" t="inlineStr">
        <is>
          <t>A 23252-2024</t>
        </is>
      </c>
      <c r="B773" s="1" t="n">
        <v>45453.36067129629</v>
      </c>
      <c r="C773" s="1" t="n">
        <v>46162</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5792-2023</t>
        </is>
      </c>
      <c r="B774" s="1" t="n">
        <v>44963.44769675926</v>
      </c>
      <c r="C774" s="1" t="n">
        <v>46162</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2797-2023</t>
        </is>
      </c>
      <c r="B775" s="1" t="n">
        <v>44944.71386574074</v>
      </c>
      <c r="C775" s="1" t="n">
        <v>46162</v>
      </c>
      <c r="D775" t="inlineStr">
        <is>
          <t>KALMAR LÄN</t>
        </is>
      </c>
      <c r="E775" t="inlineStr">
        <is>
          <t>VIMMERBY</t>
        </is>
      </c>
      <c r="G775" t="n">
        <v>3.4</v>
      </c>
      <c r="H775" t="n">
        <v>0</v>
      </c>
      <c r="I775" t="n">
        <v>0</v>
      </c>
      <c r="J775" t="n">
        <v>0</v>
      </c>
      <c r="K775" t="n">
        <v>0</v>
      </c>
      <c r="L775" t="n">
        <v>0</v>
      </c>
      <c r="M775" t="n">
        <v>0</v>
      </c>
      <c r="N775" t="n">
        <v>0</v>
      </c>
      <c r="O775" t="n">
        <v>0</v>
      </c>
      <c r="P775" t="n">
        <v>0</v>
      </c>
      <c r="Q775" t="n">
        <v>0</v>
      </c>
      <c r="R775" s="2" t="inlineStr"/>
    </row>
    <row r="776" ht="15" customHeight="1">
      <c r="A776" t="inlineStr">
        <is>
          <t>A 2799-2023</t>
        </is>
      </c>
      <c r="B776" s="1" t="n">
        <v>44944.72100694444</v>
      </c>
      <c r="C776" s="1" t="n">
        <v>46162</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6220-2025</t>
        </is>
      </c>
      <c r="B777" s="1" t="n">
        <v>45698.53725694444</v>
      </c>
      <c r="C777" s="1" t="n">
        <v>46162</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21882-2026</t>
        </is>
      </c>
      <c r="B778" s="1" t="n">
        <v>46150.59287037037</v>
      </c>
      <c r="C778" s="1" t="n">
        <v>46162</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58278-2023</t>
        </is>
      </c>
      <c r="B779" s="1" t="n">
        <v>45250.5278587963</v>
      </c>
      <c r="C779" s="1" t="n">
        <v>46162</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36259-2022</t>
        </is>
      </c>
      <c r="B780" s="1" t="n">
        <v>44803.59118055556</v>
      </c>
      <c r="C780" s="1" t="n">
        <v>46162</v>
      </c>
      <c r="D780" t="inlineStr">
        <is>
          <t>KALMAR LÄN</t>
        </is>
      </c>
      <c r="E780" t="inlineStr">
        <is>
          <t>VIMMERBY</t>
        </is>
      </c>
      <c r="G780" t="n">
        <v>3.9</v>
      </c>
      <c r="H780" t="n">
        <v>0</v>
      </c>
      <c r="I780" t="n">
        <v>0</v>
      </c>
      <c r="J780" t="n">
        <v>0</v>
      </c>
      <c r="K780" t="n">
        <v>0</v>
      </c>
      <c r="L780" t="n">
        <v>0</v>
      </c>
      <c r="M780" t="n">
        <v>0</v>
      </c>
      <c r="N780" t="n">
        <v>0</v>
      </c>
      <c r="O780" t="n">
        <v>0</v>
      </c>
      <c r="P780" t="n">
        <v>0</v>
      </c>
      <c r="Q780" t="n">
        <v>0</v>
      </c>
      <c r="R780" s="2" t="inlineStr"/>
    </row>
    <row r="781" ht="15" customHeight="1">
      <c r="A781" t="inlineStr">
        <is>
          <t>A 36526-2023</t>
        </is>
      </c>
      <c r="B781" s="1" t="n">
        <v>45153.32778935185</v>
      </c>
      <c r="C781" s="1" t="n">
        <v>46162</v>
      </c>
      <c r="D781" t="inlineStr">
        <is>
          <t>KALMAR LÄN</t>
        </is>
      </c>
      <c r="E781" t="inlineStr">
        <is>
          <t>VIMMERBY</t>
        </is>
      </c>
      <c r="G781" t="n">
        <v>2.7</v>
      </c>
      <c r="H781" t="n">
        <v>0</v>
      </c>
      <c r="I781" t="n">
        <v>0</v>
      </c>
      <c r="J781" t="n">
        <v>0</v>
      </c>
      <c r="K781" t="n">
        <v>0</v>
      </c>
      <c r="L781" t="n">
        <v>0</v>
      </c>
      <c r="M781" t="n">
        <v>0</v>
      </c>
      <c r="N781" t="n">
        <v>0</v>
      </c>
      <c r="O781" t="n">
        <v>0</v>
      </c>
      <c r="P781" t="n">
        <v>0</v>
      </c>
      <c r="Q781" t="n">
        <v>0</v>
      </c>
      <c r="R781" s="2" t="inlineStr"/>
    </row>
    <row r="782" ht="15" customHeight="1">
      <c r="A782" t="inlineStr">
        <is>
          <t>A 17988-2025</t>
        </is>
      </c>
      <c r="B782" s="1" t="n">
        <v>45761.39600694444</v>
      </c>
      <c r="C782" s="1" t="n">
        <v>46162</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16183-2026</t>
        </is>
      </c>
      <c r="B783" s="1" t="n">
        <v>46111</v>
      </c>
      <c r="C783" s="1" t="n">
        <v>46162</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29350-2023</t>
        </is>
      </c>
      <c r="B784" s="1" t="n">
        <v>45106</v>
      </c>
      <c r="C784" s="1" t="n">
        <v>46162</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29351-2023</t>
        </is>
      </c>
      <c r="B785" s="1" t="n">
        <v>45106.2610300926</v>
      </c>
      <c r="C785" s="1" t="n">
        <v>46162</v>
      </c>
      <c r="D785" t="inlineStr">
        <is>
          <t>KALMAR LÄN</t>
        </is>
      </c>
      <c r="E785" t="inlineStr">
        <is>
          <t>VIMMERBY</t>
        </is>
      </c>
      <c r="G785" t="n">
        <v>0.4</v>
      </c>
      <c r="H785" t="n">
        <v>0</v>
      </c>
      <c r="I785" t="n">
        <v>0</v>
      </c>
      <c r="J785" t="n">
        <v>0</v>
      </c>
      <c r="K785" t="n">
        <v>0</v>
      </c>
      <c r="L785" t="n">
        <v>0</v>
      </c>
      <c r="M785" t="n">
        <v>0</v>
      </c>
      <c r="N785" t="n">
        <v>0</v>
      </c>
      <c r="O785" t="n">
        <v>0</v>
      </c>
      <c r="P785" t="n">
        <v>0</v>
      </c>
      <c r="Q785" t="n">
        <v>0</v>
      </c>
      <c r="R785" s="2" t="inlineStr"/>
    </row>
    <row r="786" ht="15" customHeight="1">
      <c r="A786" t="inlineStr">
        <is>
          <t>A 6474-2025</t>
        </is>
      </c>
      <c r="B786" s="1" t="n">
        <v>45699.60055555555</v>
      </c>
      <c r="C786" s="1" t="n">
        <v>46162</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17-2025</t>
        </is>
      </c>
      <c r="B787" s="1" t="n">
        <v>45658.78774305555</v>
      </c>
      <c r="C787" s="1" t="n">
        <v>46162</v>
      </c>
      <c r="D787" t="inlineStr">
        <is>
          <t>KALMAR LÄN</t>
        </is>
      </c>
      <c r="E787" t="inlineStr">
        <is>
          <t>VIMMERBY</t>
        </is>
      </c>
      <c r="G787" t="n">
        <v>4.4</v>
      </c>
      <c r="H787" t="n">
        <v>0</v>
      </c>
      <c r="I787" t="n">
        <v>0</v>
      </c>
      <c r="J787" t="n">
        <v>0</v>
      </c>
      <c r="K787" t="n">
        <v>0</v>
      </c>
      <c r="L787" t="n">
        <v>0</v>
      </c>
      <c r="M787" t="n">
        <v>0</v>
      </c>
      <c r="N787" t="n">
        <v>0</v>
      </c>
      <c r="O787" t="n">
        <v>0</v>
      </c>
      <c r="P787" t="n">
        <v>0</v>
      </c>
      <c r="Q787" t="n">
        <v>0</v>
      </c>
      <c r="R787" s="2" t="inlineStr"/>
    </row>
    <row r="788" ht="15" customHeight="1">
      <c r="A788" t="inlineStr">
        <is>
          <t>A 57555-2024</t>
        </is>
      </c>
      <c r="B788" s="1" t="n">
        <v>45630.45069444444</v>
      </c>
      <c r="C788" s="1" t="n">
        <v>46162</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52279-2023</t>
        </is>
      </c>
      <c r="B789" s="1" t="n">
        <v>45224</v>
      </c>
      <c r="C789" s="1" t="n">
        <v>46162</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52324-2023</t>
        </is>
      </c>
      <c r="B790" s="1" t="n">
        <v>45224.64659722222</v>
      </c>
      <c r="C790" s="1" t="n">
        <v>46162</v>
      </c>
      <c r="D790" t="inlineStr">
        <is>
          <t>KALMAR LÄN</t>
        </is>
      </c>
      <c r="E790" t="inlineStr">
        <is>
          <t>VIMMERBY</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32639-2023</t>
        </is>
      </c>
      <c r="B791" s="1" t="n">
        <v>45121.5965162037</v>
      </c>
      <c r="C791" s="1" t="n">
        <v>46162</v>
      </c>
      <c r="D791" t="inlineStr">
        <is>
          <t>KALMAR LÄN</t>
        </is>
      </c>
      <c r="E791" t="inlineStr">
        <is>
          <t>VIMMERBY</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32642-2023</t>
        </is>
      </c>
      <c r="B792" s="1" t="n">
        <v>45121.59954861111</v>
      </c>
      <c r="C792" s="1" t="n">
        <v>46162</v>
      </c>
      <c r="D792" t="inlineStr">
        <is>
          <t>KALMAR LÄN</t>
        </is>
      </c>
      <c r="E792" t="inlineStr">
        <is>
          <t>VIMMERBY</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32651-2023</t>
        </is>
      </c>
      <c r="B793" s="1" t="n">
        <v>45121.6096875</v>
      </c>
      <c r="C793" s="1" t="n">
        <v>46162</v>
      </c>
      <c r="D793" t="inlineStr">
        <is>
          <t>KALMAR LÄN</t>
        </is>
      </c>
      <c r="E793" t="inlineStr">
        <is>
          <t>VIMMERBY</t>
        </is>
      </c>
      <c r="F793" t="inlineStr">
        <is>
          <t>Sveaskog</t>
        </is>
      </c>
      <c r="G793" t="n">
        <v>1.4</v>
      </c>
      <c r="H793" t="n">
        <v>0</v>
      </c>
      <c r="I793" t="n">
        <v>0</v>
      </c>
      <c r="J793" t="n">
        <v>0</v>
      </c>
      <c r="K793" t="n">
        <v>0</v>
      </c>
      <c r="L793" t="n">
        <v>0</v>
      </c>
      <c r="M793" t="n">
        <v>0</v>
      </c>
      <c r="N793" t="n">
        <v>0</v>
      </c>
      <c r="O793" t="n">
        <v>0</v>
      </c>
      <c r="P793" t="n">
        <v>0</v>
      </c>
      <c r="Q793" t="n">
        <v>0</v>
      </c>
      <c r="R793" s="2" t="inlineStr"/>
    </row>
    <row r="794" ht="15" customHeight="1">
      <c r="A794" t="inlineStr">
        <is>
          <t>A 40730-2024</t>
        </is>
      </c>
      <c r="B794" s="1" t="n">
        <v>45558.44914351852</v>
      </c>
      <c r="C794" s="1" t="n">
        <v>46162</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9643-2023</t>
        </is>
      </c>
      <c r="B795" s="1" t="n">
        <v>44984</v>
      </c>
      <c r="C795" s="1" t="n">
        <v>46162</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56213-2024</t>
        </is>
      </c>
      <c r="B796" s="1" t="n">
        <v>45624.60141203704</v>
      </c>
      <c r="C796" s="1" t="n">
        <v>46162</v>
      </c>
      <c r="D796" t="inlineStr">
        <is>
          <t>KALMAR LÄN</t>
        </is>
      </c>
      <c r="E796" t="inlineStr">
        <is>
          <t>VIMMERBY</t>
        </is>
      </c>
      <c r="G796" t="n">
        <v>1</v>
      </c>
      <c r="H796" t="n">
        <v>0</v>
      </c>
      <c r="I796" t="n">
        <v>0</v>
      </c>
      <c r="J796" t="n">
        <v>0</v>
      </c>
      <c r="K796" t="n">
        <v>0</v>
      </c>
      <c r="L796" t="n">
        <v>0</v>
      </c>
      <c r="M796" t="n">
        <v>0</v>
      </c>
      <c r="N796" t="n">
        <v>0</v>
      </c>
      <c r="O796" t="n">
        <v>0</v>
      </c>
      <c r="P796" t="n">
        <v>0</v>
      </c>
      <c r="Q796" t="n">
        <v>0</v>
      </c>
      <c r="R796" s="2" t="inlineStr"/>
    </row>
    <row r="797" ht="15" customHeight="1">
      <c r="A797" t="inlineStr">
        <is>
          <t>A 20126-2024</t>
        </is>
      </c>
      <c r="B797" s="1" t="n">
        <v>45434.55471064815</v>
      </c>
      <c r="C797" s="1" t="n">
        <v>46162</v>
      </c>
      <c r="D797" t="inlineStr">
        <is>
          <t>KALMAR LÄN</t>
        </is>
      </c>
      <c r="E797" t="inlineStr">
        <is>
          <t>VIMMERBY</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44984.45895833334</v>
      </c>
      <c r="C798" s="1" t="n">
        <v>46162</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46162</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6216-2025</t>
        </is>
      </c>
      <c r="B800" s="1" t="n">
        <v>45698.52806712963</v>
      </c>
      <c r="C800" s="1" t="n">
        <v>46162</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7944-2024</t>
        </is>
      </c>
      <c r="B801" s="1" t="n">
        <v>45350.53306712963</v>
      </c>
      <c r="C801" s="1" t="n">
        <v>46162</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598-2025</t>
        </is>
      </c>
      <c r="B802" s="1" t="n">
        <v>45660</v>
      </c>
      <c r="C802" s="1" t="n">
        <v>46162</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10807-2024</t>
        </is>
      </c>
      <c r="B803" s="1" t="n">
        <v>45369.62780092593</v>
      </c>
      <c r="C803" s="1" t="n">
        <v>46162</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40260-2024</t>
        </is>
      </c>
      <c r="B804" s="1" t="n">
        <v>45554.63225694445</v>
      </c>
      <c r="C804" s="1" t="n">
        <v>46162</v>
      </c>
      <c r="D804" t="inlineStr">
        <is>
          <t>KALMAR LÄN</t>
        </is>
      </c>
      <c r="E804" t="inlineStr">
        <is>
          <t>VIMMERBY</t>
        </is>
      </c>
      <c r="G804" t="n">
        <v>1.2</v>
      </c>
      <c r="H804" t="n">
        <v>0</v>
      </c>
      <c r="I804" t="n">
        <v>0</v>
      </c>
      <c r="J804" t="n">
        <v>0</v>
      </c>
      <c r="K804" t="n">
        <v>0</v>
      </c>
      <c r="L804" t="n">
        <v>0</v>
      </c>
      <c r="M804" t="n">
        <v>0</v>
      </c>
      <c r="N804" t="n">
        <v>0</v>
      </c>
      <c r="O804" t="n">
        <v>0</v>
      </c>
      <c r="P804" t="n">
        <v>0</v>
      </c>
      <c r="Q804" t="n">
        <v>0</v>
      </c>
      <c r="R804" s="2" t="inlineStr"/>
    </row>
    <row r="805" ht="15" customHeight="1">
      <c r="A805" t="inlineStr">
        <is>
          <t>A 10787-2025</t>
        </is>
      </c>
      <c r="B805" s="1" t="n">
        <v>45722.48915509259</v>
      </c>
      <c r="C805" s="1" t="n">
        <v>46162</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58577-2024</t>
        </is>
      </c>
      <c r="B806" s="1" t="n">
        <v>45635.4874537037</v>
      </c>
      <c r="C806" s="1" t="n">
        <v>46162</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38198-2024</t>
        </is>
      </c>
      <c r="B807" s="1" t="n">
        <v>45545.49508101852</v>
      </c>
      <c r="C807" s="1" t="n">
        <v>46162</v>
      </c>
      <c r="D807" t="inlineStr">
        <is>
          <t>KALMAR LÄN</t>
        </is>
      </c>
      <c r="E807" t="inlineStr">
        <is>
          <t>VIMMERBY</t>
        </is>
      </c>
      <c r="G807" t="n">
        <v>7.9</v>
      </c>
      <c r="H807" t="n">
        <v>0</v>
      </c>
      <c r="I807" t="n">
        <v>0</v>
      </c>
      <c r="J807" t="n">
        <v>0</v>
      </c>
      <c r="K807" t="n">
        <v>0</v>
      </c>
      <c r="L807" t="n">
        <v>0</v>
      </c>
      <c r="M807" t="n">
        <v>0</v>
      </c>
      <c r="N807" t="n">
        <v>0</v>
      </c>
      <c r="O807" t="n">
        <v>0</v>
      </c>
      <c r="P807" t="n">
        <v>0</v>
      </c>
      <c r="Q807" t="n">
        <v>0</v>
      </c>
      <c r="R807" s="2" t="inlineStr"/>
    </row>
    <row r="808" ht="15" customHeight="1">
      <c r="A808" t="inlineStr">
        <is>
          <t>A 43617-2024</t>
        </is>
      </c>
      <c r="B808" s="1" t="n">
        <v>45569.47494212963</v>
      </c>
      <c r="C808" s="1" t="n">
        <v>46162</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22264-2023</t>
        </is>
      </c>
      <c r="B809" s="1" t="n">
        <v>45070.3665625</v>
      </c>
      <c r="C809" s="1" t="n">
        <v>46162</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22266-2023</t>
        </is>
      </c>
      <c r="B810" s="1" t="n">
        <v>45070</v>
      </c>
      <c r="C810" s="1" t="n">
        <v>46162</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50091-2023</t>
        </is>
      </c>
      <c r="B811" s="1" t="n">
        <v>45215.60199074074</v>
      </c>
      <c r="C811" s="1" t="n">
        <v>46162</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10303-2025</t>
        </is>
      </c>
      <c r="B812" s="1" t="n">
        <v>45720.44217592593</v>
      </c>
      <c r="C812" s="1" t="n">
        <v>46162</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11027-2023</t>
        </is>
      </c>
      <c r="B813" s="1" t="n">
        <v>44991.89657407408</v>
      </c>
      <c r="C813" s="1" t="n">
        <v>46162</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11661-2023</t>
        </is>
      </c>
      <c r="B814" s="1" t="n">
        <v>44994.46908564815</v>
      </c>
      <c r="C814" s="1" t="n">
        <v>46162</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36155-2023</t>
        </is>
      </c>
      <c r="B815" s="1" t="n">
        <v>45149.60917824074</v>
      </c>
      <c r="C815" s="1" t="n">
        <v>46162</v>
      </c>
      <c r="D815" t="inlineStr">
        <is>
          <t>KALMAR LÄN</t>
        </is>
      </c>
      <c r="E815" t="inlineStr">
        <is>
          <t>VIMMERBY</t>
        </is>
      </c>
      <c r="G815" t="n">
        <v>5</v>
      </c>
      <c r="H815" t="n">
        <v>0</v>
      </c>
      <c r="I815" t="n">
        <v>0</v>
      </c>
      <c r="J815" t="n">
        <v>0</v>
      </c>
      <c r="K815" t="n">
        <v>0</v>
      </c>
      <c r="L815" t="n">
        <v>0</v>
      </c>
      <c r="M815" t="n">
        <v>0</v>
      </c>
      <c r="N815" t="n">
        <v>0</v>
      </c>
      <c r="O815" t="n">
        <v>0</v>
      </c>
      <c r="P815" t="n">
        <v>0</v>
      </c>
      <c r="Q815" t="n">
        <v>0</v>
      </c>
      <c r="R815" s="2" t="inlineStr"/>
    </row>
    <row r="816" ht="15" customHeight="1">
      <c r="A816" t="inlineStr">
        <is>
          <t>A 40147-2023</t>
        </is>
      </c>
      <c r="B816" s="1" t="n">
        <v>45169</v>
      </c>
      <c r="C816" s="1" t="n">
        <v>46162</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63950-2023</t>
        </is>
      </c>
      <c r="B817" s="1" t="n">
        <v>45278</v>
      </c>
      <c r="C817" s="1" t="n">
        <v>46162</v>
      </c>
      <c r="D817" t="inlineStr">
        <is>
          <t>KALMAR LÄN</t>
        </is>
      </c>
      <c r="E817" t="inlineStr">
        <is>
          <t>VIMMERBY</t>
        </is>
      </c>
      <c r="F817" t="inlineStr">
        <is>
          <t>Kyrkan</t>
        </is>
      </c>
      <c r="G817" t="n">
        <v>2.7</v>
      </c>
      <c r="H817" t="n">
        <v>0</v>
      </c>
      <c r="I817" t="n">
        <v>0</v>
      </c>
      <c r="J817" t="n">
        <v>0</v>
      </c>
      <c r="K817" t="n">
        <v>0</v>
      </c>
      <c r="L817" t="n">
        <v>0</v>
      </c>
      <c r="M817" t="n">
        <v>0</v>
      </c>
      <c r="N817" t="n">
        <v>0</v>
      </c>
      <c r="O817" t="n">
        <v>0</v>
      </c>
      <c r="P817" t="n">
        <v>0</v>
      </c>
      <c r="Q817" t="n">
        <v>0</v>
      </c>
      <c r="R817" s="2" t="inlineStr"/>
    </row>
    <row r="818" ht="15" customHeight="1">
      <c r="A818" t="inlineStr">
        <is>
          <t>A 24096-2024</t>
        </is>
      </c>
      <c r="B818" s="1" t="n">
        <v>45456.59289351852</v>
      </c>
      <c r="C818" s="1" t="n">
        <v>46162</v>
      </c>
      <c r="D818" t="inlineStr">
        <is>
          <t>KALMAR LÄN</t>
        </is>
      </c>
      <c r="E818" t="inlineStr">
        <is>
          <t>VIMMERBY</t>
        </is>
      </c>
      <c r="G818" t="n">
        <v>2.3</v>
      </c>
      <c r="H818" t="n">
        <v>0</v>
      </c>
      <c r="I818" t="n">
        <v>0</v>
      </c>
      <c r="J818" t="n">
        <v>0</v>
      </c>
      <c r="K818" t="n">
        <v>0</v>
      </c>
      <c r="L818" t="n">
        <v>0</v>
      </c>
      <c r="M818" t="n">
        <v>0</v>
      </c>
      <c r="N818" t="n">
        <v>0</v>
      </c>
      <c r="O818" t="n">
        <v>0</v>
      </c>
      <c r="P818" t="n">
        <v>0</v>
      </c>
      <c r="Q818" t="n">
        <v>0</v>
      </c>
      <c r="R818" s="2" t="inlineStr"/>
    </row>
    <row r="819" ht="15" customHeight="1">
      <c r="A819" t="inlineStr">
        <is>
          <t>A 13015-2023</t>
        </is>
      </c>
      <c r="B819" s="1" t="n">
        <v>45002</v>
      </c>
      <c r="C819" s="1" t="n">
        <v>46162</v>
      </c>
      <c r="D819" t="inlineStr">
        <is>
          <t>KALMAR LÄN</t>
        </is>
      </c>
      <c r="E819" t="inlineStr">
        <is>
          <t>VIMMERBY</t>
        </is>
      </c>
      <c r="G819" t="n">
        <v>3.2</v>
      </c>
      <c r="H819" t="n">
        <v>0</v>
      </c>
      <c r="I819" t="n">
        <v>0</v>
      </c>
      <c r="J819" t="n">
        <v>0</v>
      </c>
      <c r="K819" t="n">
        <v>0</v>
      </c>
      <c r="L819" t="n">
        <v>0</v>
      </c>
      <c r="M819" t="n">
        <v>0</v>
      </c>
      <c r="N819" t="n">
        <v>0</v>
      </c>
      <c r="O819" t="n">
        <v>0</v>
      </c>
      <c r="P819" t="n">
        <v>0</v>
      </c>
      <c r="Q819" t="n">
        <v>0</v>
      </c>
      <c r="R819" s="2" t="inlineStr"/>
    </row>
    <row r="820" ht="15" customHeight="1">
      <c r="A820" t="inlineStr">
        <is>
          <t>A 41199-2023</t>
        </is>
      </c>
      <c r="B820" s="1" t="n">
        <v>45174.40454861111</v>
      </c>
      <c r="C820" s="1" t="n">
        <v>46162</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36014-2024</t>
        </is>
      </c>
      <c r="B821" s="1" t="n">
        <v>45533.56108796296</v>
      </c>
      <c r="C821" s="1" t="n">
        <v>46162</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36030-2024</t>
        </is>
      </c>
      <c r="B822" s="1" t="n">
        <v>45533.58302083334</v>
      </c>
      <c r="C822" s="1" t="n">
        <v>46162</v>
      </c>
      <c r="D822" t="inlineStr">
        <is>
          <t>KALMAR LÄN</t>
        </is>
      </c>
      <c r="E822" t="inlineStr">
        <is>
          <t>VIMMERBY</t>
        </is>
      </c>
      <c r="F822" t="inlineStr">
        <is>
          <t>Kommuner</t>
        </is>
      </c>
      <c r="G822" t="n">
        <v>4</v>
      </c>
      <c r="H822" t="n">
        <v>0</v>
      </c>
      <c r="I822" t="n">
        <v>0</v>
      </c>
      <c r="J822" t="n">
        <v>0</v>
      </c>
      <c r="K822" t="n">
        <v>0</v>
      </c>
      <c r="L822" t="n">
        <v>0</v>
      </c>
      <c r="M822" t="n">
        <v>0</v>
      </c>
      <c r="N822" t="n">
        <v>0</v>
      </c>
      <c r="O822" t="n">
        <v>0</v>
      </c>
      <c r="P822" t="n">
        <v>0</v>
      </c>
      <c r="Q822" t="n">
        <v>0</v>
      </c>
      <c r="R822" s="2" t="inlineStr"/>
    </row>
    <row r="823" ht="15" customHeight="1">
      <c r="A823" t="inlineStr">
        <is>
          <t>A 6321-2023</t>
        </is>
      </c>
      <c r="B823" s="1" t="n">
        <v>44965.4815162037</v>
      </c>
      <c r="C823" s="1" t="n">
        <v>46162</v>
      </c>
      <c r="D823" t="inlineStr">
        <is>
          <t>KALMAR LÄN</t>
        </is>
      </c>
      <c r="E823" t="inlineStr">
        <is>
          <t>VIMMERBY</t>
        </is>
      </c>
      <c r="G823" t="n">
        <v>1.8</v>
      </c>
      <c r="H823" t="n">
        <v>0</v>
      </c>
      <c r="I823" t="n">
        <v>0</v>
      </c>
      <c r="J823" t="n">
        <v>0</v>
      </c>
      <c r="K823" t="n">
        <v>0</v>
      </c>
      <c r="L823" t="n">
        <v>0</v>
      </c>
      <c r="M823" t="n">
        <v>0</v>
      </c>
      <c r="N823" t="n">
        <v>0</v>
      </c>
      <c r="O823" t="n">
        <v>0</v>
      </c>
      <c r="P823" t="n">
        <v>0</v>
      </c>
      <c r="Q823" t="n">
        <v>0</v>
      </c>
      <c r="R823" s="2" t="inlineStr"/>
    </row>
    <row r="824" ht="15" customHeight="1">
      <c r="A824" t="inlineStr">
        <is>
          <t>A 52755-2022</t>
        </is>
      </c>
      <c r="B824" s="1" t="n">
        <v>44875.27736111111</v>
      </c>
      <c r="C824" s="1" t="n">
        <v>46162</v>
      </c>
      <c r="D824" t="inlineStr">
        <is>
          <t>KALMAR LÄN</t>
        </is>
      </c>
      <c r="E824" t="inlineStr">
        <is>
          <t>VIMMERBY</t>
        </is>
      </c>
      <c r="G824" t="n">
        <v>1.1</v>
      </c>
      <c r="H824" t="n">
        <v>0</v>
      </c>
      <c r="I824" t="n">
        <v>0</v>
      </c>
      <c r="J824" t="n">
        <v>0</v>
      </c>
      <c r="K824" t="n">
        <v>0</v>
      </c>
      <c r="L824" t="n">
        <v>0</v>
      </c>
      <c r="M824" t="n">
        <v>0</v>
      </c>
      <c r="N824" t="n">
        <v>0</v>
      </c>
      <c r="O824" t="n">
        <v>0</v>
      </c>
      <c r="P824" t="n">
        <v>0</v>
      </c>
      <c r="Q824" t="n">
        <v>0</v>
      </c>
      <c r="R824" s="2" t="inlineStr"/>
    </row>
    <row r="825" ht="15" customHeight="1">
      <c r="A825" t="inlineStr">
        <is>
          <t>A 40823-2023</t>
        </is>
      </c>
      <c r="B825" s="1" t="n">
        <v>45171.77335648148</v>
      </c>
      <c r="C825" s="1" t="n">
        <v>46162</v>
      </c>
      <c r="D825" t="inlineStr">
        <is>
          <t>KALMAR LÄN</t>
        </is>
      </c>
      <c r="E825" t="inlineStr">
        <is>
          <t>VIMMERBY</t>
        </is>
      </c>
      <c r="G825" t="n">
        <v>2.7</v>
      </c>
      <c r="H825" t="n">
        <v>0</v>
      </c>
      <c r="I825" t="n">
        <v>0</v>
      </c>
      <c r="J825" t="n">
        <v>0</v>
      </c>
      <c r="K825" t="n">
        <v>0</v>
      </c>
      <c r="L825" t="n">
        <v>0</v>
      </c>
      <c r="M825" t="n">
        <v>0</v>
      </c>
      <c r="N825" t="n">
        <v>0</v>
      </c>
      <c r="O825" t="n">
        <v>0</v>
      </c>
      <c r="P825" t="n">
        <v>0</v>
      </c>
      <c r="Q825" t="n">
        <v>0</v>
      </c>
      <c r="R825" s="2" t="inlineStr"/>
    </row>
    <row r="826" ht="15" customHeight="1">
      <c r="A826" t="inlineStr">
        <is>
          <t>A 27761-2024</t>
        </is>
      </c>
      <c r="B826" s="1" t="n">
        <v>45475.49018518518</v>
      </c>
      <c r="C826" s="1" t="n">
        <v>46162</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21028-2023</t>
        </is>
      </c>
      <c r="B827" s="1" t="n">
        <v>45061</v>
      </c>
      <c r="C827" s="1" t="n">
        <v>46162</v>
      </c>
      <c r="D827" t="inlineStr">
        <is>
          <t>KALMAR LÄN</t>
        </is>
      </c>
      <c r="E827" t="inlineStr">
        <is>
          <t>VIMMERBY</t>
        </is>
      </c>
      <c r="F827" t="inlineStr">
        <is>
          <t>Övriga Aktiebolag</t>
        </is>
      </c>
      <c r="G827" t="n">
        <v>0.7</v>
      </c>
      <c r="H827" t="n">
        <v>0</v>
      </c>
      <c r="I827" t="n">
        <v>0</v>
      </c>
      <c r="J827" t="n">
        <v>0</v>
      </c>
      <c r="K827" t="n">
        <v>0</v>
      </c>
      <c r="L827" t="n">
        <v>0</v>
      </c>
      <c r="M827" t="n">
        <v>0</v>
      </c>
      <c r="N827" t="n">
        <v>0</v>
      </c>
      <c r="O827" t="n">
        <v>0</v>
      </c>
      <c r="P827" t="n">
        <v>0</v>
      </c>
      <c r="Q827" t="n">
        <v>0</v>
      </c>
      <c r="R827" s="2" t="inlineStr"/>
    </row>
    <row r="828" ht="15" customHeight="1">
      <c r="A828" t="inlineStr">
        <is>
          <t>A 64203-2021</t>
        </is>
      </c>
      <c r="B828" s="1" t="n">
        <v>44510.60921296296</v>
      </c>
      <c r="C828" s="1" t="n">
        <v>46162</v>
      </c>
      <c r="D828" t="inlineStr">
        <is>
          <t>KALMAR LÄN</t>
        </is>
      </c>
      <c r="E828" t="inlineStr">
        <is>
          <t>VIMMERBY</t>
        </is>
      </c>
      <c r="F828" t="inlineStr">
        <is>
          <t>Övriga Aktiebolag</t>
        </is>
      </c>
      <c r="G828" t="n">
        <v>5.4</v>
      </c>
      <c r="H828" t="n">
        <v>0</v>
      </c>
      <c r="I828" t="n">
        <v>0</v>
      </c>
      <c r="J828" t="n">
        <v>0</v>
      </c>
      <c r="K828" t="n">
        <v>0</v>
      </c>
      <c r="L828" t="n">
        <v>0</v>
      </c>
      <c r="M828" t="n">
        <v>0</v>
      </c>
      <c r="N828" t="n">
        <v>0</v>
      </c>
      <c r="O828" t="n">
        <v>0</v>
      </c>
      <c r="P828" t="n">
        <v>0</v>
      </c>
      <c r="Q828" t="n">
        <v>0</v>
      </c>
      <c r="R828" s="2" t="inlineStr"/>
    </row>
    <row r="829" ht="15" customHeight="1">
      <c r="A829" t="inlineStr">
        <is>
          <t>A 1016-2024</t>
        </is>
      </c>
      <c r="B829" s="1" t="n">
        <v>45301</v>
      </c>
      <c r="C829" s="1" t="n">
        <v>46162</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1024-2024</t>
        </is>
      </c>
      <c r="B830" s="1" t="n">
        <v>45301.68237268519</v>
      </c>
      <c r="C830" s="1" t="n">
        <v>46162</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27758-2024</t>
        </is>
      </c>
      <c r="B831" s="1" t="n">
        <v>45475.48303240741</v>
      </c>
      <c r="C831" s="1" t="n">
        <v>46162</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32865-2023</t>
        </is>
      </c>
      <c r="B832" s="1" t="n">
        <v>45124</v>
      </c>
      <c r="C832" s="1" t="n">
        <v>46162</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22194-2024</t>
        </is>
      </c>
      <c r="B833" s="1" t="n">
        <v>45446.36482638889</v>
      </c>
      <c r="C833" s="1" t="n">
        <v>46162</v>
      </c>
      <c r="D833" t="inlineStr">
        <is>
          <t>KALMAR LÄN</t>
        </is>
      </c>
      <c r="E833" t="inlineStr">
        <is>
          <t>VIMMERBY</t>
        </is>
      </c>
      <c r="F833" t="inlineStr">
        <is>
          <t>Sveaskog</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17926-2025</t>
        </is>
      </c>
      <c r="B834" s="1" t="n">
        <v>45759.38987268518</v>
      </c>
      <c r="C834" s="1" t="n">
        <v>46162</v>
      </c>
      <c r="D834" t="inlineStr">
        <is>
          <t>KALMAR LÄN</t>
        </is>
      </c>
      <c r="E834" t="inlineStr">
        <is>
          <t>VIMMERBY</t>
        </is>
      </c>
      <c r="G834" t="n">
        <v>1</v>
      </c>
      <c r="H834" t="n">
        <v>0</v>
      </c>
      <c r="I834" t="n">
        <v>0</v>
      </c>
      <c r="J834" t="n">
        <v>0</v>
      </c>
      <c r="K834" t="n">
        <v>0</v>
      </c>
      <c r="L834" t="n">
        <v>0</v>
      </c>
      <c r="M834" t="n">
        <v>0</v>
      </c>
      <c r="N834" t="n">
        <v>0</v>
      </c>
      <c r="O834" t="n">
        <v>0</v>
      </c>
      <c r="P834" t="n">
        <v>0</v>
      </c>
      <c r="Q834" t="n">
        <v>0</v>
      </c>
      <c r="R834" s="2" t="inlineStr"/>
    </row>
    <row r="835" ht="15" customHeight="1">
      <c r="A835" t="inlineStr">
        <is>
          <t>A 35127-2024</t>
        </is>
      </c>
      <c r="B835" s="1" t="n">
        <v>45530.33202546297</v>
      </c>
      <c r="C835" s="1" t="n">
        <v>46162</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33383-2023</t>
        </is>
      </c>
      <c r="B836" s="1" t="n">
        <v>45128.58414351852</v>
      </c>
      <c r="C836" s="1" t="n">
        <v>46162</v>
      </c>
      <c r="D836" t="inlineStr">
        <is>
          <t>KALMAR LÄN</t>
        </is>
      </c>
      <c r="E836" t="inlineStr">
        <is>
          <t>VIMMERBY</t>
        </is>
      </c>
      <c r="G836" t="n">
        <v>2.3</v>
      </c>
      <c r="H836" t="n">
        <v>0</v>
      </c>
      <c r="I836" t="n">
        <v>0</v>
      </c>
      <c r="J836" t="n">
        <v>0</v>
      </c>
      <c r="K836" t="n">
        <v>0</v>
      </c>
      <c r="L836" t="n">
        <v>0</v>
      </c>
      <c r="M836" t="n">
        <v>0</v>
      </c>
      <c r="N836" t="n">
        <v>0</v>
      </c>
      <c r="O836" t="n">
        <v>0</v>
      </c>
      <c r="P836" t="n">
        <v>0</v>
      </c>
      <c r="Q836" t="n">
        <v>0</v>
      </c>
      <c r="R836" s="2" t="inlineStr"/>
    </row>
    <row r="837" ht="15" customHeight="1">
      <c r="A837" t="inlineStr">
        <is>
          <t>A 4297-2022</t>
        </is>
      </c>
      <c r="B837" s="1" t="n">
        <v>44588</v>
      </c>
      <c r="C837" s="1" t="n">
        <v>46162</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55716-2023</t>
        </is>
      </c>
      <c r="B838" s="1" t="n">
        <v>45232</v>
      </c>
      <c r="C838" s="1" t="n">
        <v>46162</v>
      </c>
      <c r="D838" t="inlineStr">
        <is>
          <t>KALMAR LÄN</t>
        </is>
      </c>
      <c r="E838" t="inlineStr">
        <is>
          <t>VIMMERBY</t>
        </is>
      </c>
      <c r="G838" t="n">
        <v>2.3</v>
      </c>
      <c r="H838" t="n">
        <v>0</v>
      </c>
      <c r="I838" t="n">
        <v>0</v>
      </c>
      <c r="J838" t="n">
        <v>0</v>
      </c>
      <c r="K838" t="n">
        <v>0</v>
      </c>
      <c r="L838" t="n">
        <v>0</v>
      </c>
      <c r="M838" t="n">
        <v>0</v>
      </c>
      <c r="N838" t="n">
        <v>0</v>
      </c>
      <c r="O838" t="n">
        <v>0</v>
      </c>
      <c r="P838" t="n">
        <v>0</v>
      </c>
      <c r="Q838" t="n">
        <v>0</v>
      </c>
      <c r="R838" s="2" t="inlineStr"/>
    </row>
    <row r="839" ht="15" customHeight="1">
      <c r="A839" t="inlineStr">
        <is>
          <t>A 34386-2024</t>
        </is>
      </c>
      <c r="B839" s="1" t="n">
        <v>45525.41762731481</v>
      </c>
      <c r="C839" s="1" t="n">
        <v>46162</v>
      </c>
      <c r="D839" t="inlineStr">
        <is>
          <t>KALMAR LÄN</t>
        </is>
      </c>
      <c r="E839" t="inlineStr">
        <is>
          <t>VIMMERBY</t>
        </is>
      </c>
      <c r="G839" t="n">
        <v>0.3</v>
      </c>
      <c r="H839" t="n">
        <v>0</v>
      </c>
      <c r="I839" t="n">
        <v>0</v>
      </c>
      <c r="J839" t="n">
        <v>0</v>
      </c>
      <c r="K839" t="n">
        <v>0</v>
      </c>
      <c r="L839" t="n">
        <v>0</v>
      </c>
      <c r="M839" t="n">
        <v>0</v>
      </c>
      <c r="N839" t="n">
        <v>0</v>
      </c>
      <c r="O839" t="n">
        <v>0</v>
      </c>
      <c r="P839" t="n">
        <v>0</v>
      </c>
      <c r="Q839" t="n">
        <v>0</v>
      </c>
      <c r="R839" s="2" t="inlineStr"/>
    </row>
    <row r="840" ht="15" customHeight="1">
      <c r="A840" t="inlineStr">
        <is>
          <t>A 42429-2024</t>
        </is>
      </c>
      <c r="B840" s="1" t="n">
        <v>45565.40657407408</v>
      </c>
      <c r="C840" s="1" t="n">
        <v>46162</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11946-2025</t>
        </is>
      </c>
      <c r="B841" s="1" t="n">
        <v>45728.54832175926</v>
      </c>
      <c r="C841" s="1" t="n">
        <v>46162</v>
      </c>
      <c r="D841" t="inlineStr">
        <is>
          <t>KALMAR LÄN</t>
        </is>
      </c>
      <c r="E841" t="inlineStr">
        <is>
          <t>VIMMERBY</t>
        </is>
      </c>
      <c r="G841" t="n">
        <v>0.4</v>
      </c>
      <c r="H841" t="n">
        <v>0</v>
      </c>
      <c r="I841" t="n">
        <v>0</v>
      </c>
      <c r="J841" t="n">
        <v>0</v>
      </c>
      <c r="K841" t="n">
        <v>0</v>
      </c>
      <c r="L841" t="n">
        <v>0</v>
      </c>
      <c r="M841" t="n">
        <v>0</v>
      </c>
      <c r="N841" t="n">
        <v>0</v>
      </c>
      <c r="O841" t="n">
        <v>0</v>
      </c>
      <c r="P841" t="n">
        <v>0</v>
      </c>
      <c r="Q841" t="n">
        <v>0</v>
      </c>
      <c r="R841" s="2" t="inlineStr"/>
    </row>
    <row r="842" ht="15" customHeight="1">
      <c r="A842" t="inlineStr">
        <is>
          <t>A 59943-2023</t>
        </is>
      </c>
      <c r="B842" s="1" t="n">
        <v>45257.67958333333</v>
      </c>
      <c r="C842" s="1" t="n">
        <v>46162</v>
      </c>
      <c r="D842" t="inlineStr">
        <is>
          <t>KALMAR LÄN</t>
        </is>
      </c>
      <c r="E842" t="inlineStr">
        <is>
          <t>VIMMERBY</t>
        </is>
      </c>
      <c r="G842" t="n">
        <v>6.4</v>
      </c>
      <c r="H842" t="n">
        <v>0</v>
      </c>
      <c r="I842" t="n">
        <v>0</v>
      </c>
      <c r="J842" t="n">
        <v>0</v>
      </c>
      <c r="K842" t="n">
        <v>0</v>
      </c>
      <c r="L842" t="n">
        <v>0</v>
      </c>
      <c r="M842" t="n">
        <v>0</v>
      </c>
      <c r="N842" t="n">
        <v>0</v>
      </c>
      <c r="O842" t="n">
        <v>0</v>
      </c>
      <c r="P842" t="n">
        <v>0</v>
      </c>
      <c r="Q842" t="n">
        <v>0</v>
      </c>
      <c r="R842" s="2" t="inlineStr"/>
    </row>
    <row r="843" ht="15" customHeight="1">
      <c r="A843" t="inlineStr">
        <is>
          <t>A 15493-2023</t>
        </is>
      </c>
      <c r="B843" s="1" t="n">
        <v>45018</v>
      </c>
      <c r="C843" s="1" t="n">
        <v>46162</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51881-2024</t>
        </is>
      </c>
      <c r="B844" s="1" t="n">
        <v>45607.56773148148</v>
      </c>
      <c r="C844" s="1" t="n">
        <v>46162</v>
      </c>
      <c r="D844" t="inlineStr">
        <is>
          <t>KALMAR LÄN</t>
        </is>
      </c>
      <c r="E844" t="inlineStr">
        <is>
          <t>VIMMERBY</t>
        </is>
      </c>
      <c r="G844" t="n">
        <v>3.4</v>
      </c>
      <c r="H844" t="n">
        <v>0</v>
      </c>
      <c r="I844" t="n">
        <v>0</v>
      </c>
      <c r="J844" t="n">
        <v>0</v>
      </c>
      <c r="K844" t="n">
        <v>0</v>
      </c>
      <c r="L844" t="n">
        <v>0</v>
      </c>
      <c r="M844" t="n">
        <v>0</v>
      </c>
      <c r="N844" t="n">
        <v>0</v>
      </c>
      <c r="O844" t="n">
        <v>0</v>
      </c>
      <c r="P844" t="n">
        <v>0</v>
      </c>
      <c r="Q844" t="n">
        <v>0</v>
      </c>
      <c r="R844" s="2" t="inlineStr"/>
    </row>
    <row r="845" ht="15" customHeight="1">
      <c r="A845" t="inlineStr">
        <is>
          <t>A 1021-2024</t>
        </is>
      </c>
      <c r="B845" s="1" t="n">
        <v>45301.67736111111</v>
      </c>
      <c r="C845" s="1" t="n">
        <v>46162</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32569-2024</t>
        </is>
      </c>
      <c r="B846" s="1" t="n">
        <v>45513.55840277778</v>
      </c>
      <c r="C846" s="1" t="n">
        <v>46162</v>
      </c>
      <c r="D846" t="inlineStr">
        <is>
          <t>KALMAR LÄN</t>
        </is>
      </c>
      <c r="E846" t="inlineStr">
        <is>
          <t>VIMMERBY</t>
        </is>
      </c>
      <c r="G846" t="n">
        <v>3.7</v>
      </c>
      <c r="H846" t="n">
        <v>0</v>
      </c>
      <c r="I846" t="n">
        <v>0</v>
      </c>
      <c r="J846" t="n">
        <v>0</v>
      </c>
      <c r="K846" t="n">
        <v>0</v>
      </c>
      <c r="L846" t="n">
        <v>0</v>
      </c>
      <c r="M846" t="n">
        <v>0</v>
      </c>
      <c r="N846" t="n">
        <v>0</v>
      </c>
      <c r="O846" t="n">
        <v>0</v>
      </c>
      <c r="P846" t="n">
        <v>0</v>
      </c>
      <c r="Q846" t="n">
        <v>0</v>
      </c>
      <c r="R846" s="2" t="inlineStr"/>
    </row>
    <row r="847" ht="15" customHeight="1">
      <c r="A847" t="inlineStr">
        <is>
          <t>A 32575-2024</t>
        </is>
      </c>
      <c r="B847" s="1" t="n">
        <v>45513.56527777778</v>
      </c>
      <c r="C847" s="1" t="n">
        <v>46162</v>
      </c>
      <c r="D847" t="inlineStr">
        <is>
          <t>KALMAR LÄN</t>
        </is>
      </c>
      <c r="E847" t="inlineStr">
        <is>
          <t>VIMMERBY</t>
        </is>
      </c>
      <c r="G847" t="n">
        <v>1.5</v>
      </c>
      <c r="H847" t="n">
        <v>0</v>
      </c>
      <c r="I847" t="n">
        <v>0</v>
      </c>
      <c r="J847" t="n">
        <v>0</v>
      </c>
      <c r="K847" t="n">
        <v>0</v>
      </c>
      <c r="L847" t="n">
        <v>0</v>
      </c>
      <c r="M847" t="n">
        <v>0</v>
      </c>
      <c r="N847" t="n">
        <v>0</v>
      </c>
      <c r="O847" t="n">
        <v>0</v>
      </c>
      <c r="P847" t="n">
        <v>0</v>
      </c>
      <c r="Q847" t="n">
        <v>0</v>
      </c>
      <c r="R847" s="2" t="inlineStr"/>
    </row>
    <row r="848" ht="15" customHeight="1">
      <c r="A848" t="inlineStr">
        <is>
          <t>A 30063-2023</t>
        </is>
      </c>
      <c r="B848" s="1" t="n">
        <v>45110.4184375</v>
      </c>
      <c r="C848" s="1" t="n">
        <v>46162</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17482-2024</t>
        </is>
      </c>
      <c r="B849" s="1" t="n">
        <v>45415.47848379629</v>
      </c>
      <c r="C849" s="1" t="n">
        <v>46162</v>
      </c>
      <c r="D849" t="inlineStr">
        <is>
          <t>KALMAR LÄN</t>
        </is>
      </c>
      <c r="E849" t="inlineStr">
        <is>
          <t>VIMMERBY</t>
        </is>
      </c>
      <c r="G849" t="n">
        <v>1.7</v>
      </c>
      <c r="H849" t="n">
        <v>0</v>
      </c>
      <c r="I849" t="n">
        <v>0</v>
      </c>
      <c r="J849" t="n">
        <v>0</v>
      </c>
      <c r="K849" t="n">
        <v>0</v>
      </c>
      <c r="L849" t="n">
        <v>0</v>
      </c>
      <c r="M849" t="n">
        <v>0</v>
      </c>
      <c r="N849" t="n">
        <v>0</v>
      </c>
      <c r="O849" t="n">
        <v>0</v>
      </c>
      <c r="P849" t="n">
        <v>0</v>
      </c>
      <c r="Q849" t="n">
        <v>0</v>
      </c>
      <c r="R849" s="2" t="inlineStr"/>
    </row>
    <row r="850" ht="15" customHeight="1">
      <c r="A850" t="inlineStr">
        <is>
          <t>A 13817-2024</t>
        </is>
      </c>
      <c r="B850" s="1" t="n">
        <v>45391.41976851852</v>
      </c>
      <c r="C850" s="1" t="n">
        <v>46162</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30406-2023</t>
        </is>
      </c>
      <c r="B851" s="1" t="n">
        <v>45111.48787037037</v>
      </c>
      <c r="C851" s="1" t="n">
        <v>46162</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29020-2024</t>
        </is>
      </c>
      <c r="B852" s="1" t="n">
        <v>45481.58048611111</v>
      </c>
      <c r="C852" s="1" t="n">
        <v>46162</v>
      </c>
      <c r="D852" t="inlineStr">
        <is>
          <t>KALMAR LÄN</t>
        </is>
      </c>
      <c r="E852" t="inlineStr">
        <is>
          <t>VIMMERBY</t>
        </is>
      </c>
      <c r="G852" t="n">
        <v>2.3</v>
      </c>
      <c r="H852" t="n">
        <v>0</v>
      </c>
      <c r="I852" t="n">
        <v>0</v>
      </c>
      <c r="J852" t="n">
        <v>0</v>
      </c>
      <c r="K852" t="n">
        <v>0</v>
      </c>
      <c r="L852" t="n">
        <v>0</v>
      </c>
      <c r="M852" t="n">
        <v>0</v>
      </c>
      <c r="N852" t="n">
        <v>0</v>
      </c>
      <c r="O852" t="n">
        <v>0</v>
      </c>
      <c r="P852" t="n">
        <v>0</v>
      </c>
      <c r="Q852" t="n">
        <v>0</v>
      </c>
      <c r="R852" s="2" t="inlineStr"/>
    </row>
    <row r="853" ht="15" customHeight="1">
      <c r="A853" t="inlineStr">
        <is>
          <t>A 25582-2024</t>
        </is>
      </c>
      <c r="B853" s="1" t="n">
        <v>45463</v>
      </c>
      <c r="C853" s="1" t="n">
        <v>46162</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57578-2024</t>
        </is>
      </c>
      <c r="B854" s="1" t="n">
        <v>45630.47564814815</v>
      </c>
      <c r="C854" s="1" t="n">
        <v>46162</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22399-2025</t>
        </is>
      </c>
      <c r="B855" s="1" t="n">
        <v>45786.52996527778</v>
      </c>
      <c r="C855" s="1" t="n">
        <v>46162</v>
      </c>
      <c r="D855" t="inlineStr">
        <is>
          <t>KALMAR LÄN</t>
        </is>
      </c>
      <c r="E855" t="inlineStr">
        <is>
          <t>VIMMERBY</t>
        </is>
      </c>
      <c r="G855" t="n">
        <v>2.1</v>
      </c>
      <c r="H855" t="n">
        <v>0</v>
      </c>
      <c r="I855" t="n">
        <v>0</v>
      </c>
      <c r="J855" t="n">
        <v>0</v>
      </c>
      <c r="K855" t="n">
        <v>0</v>
      </c>
      <c r="L855" t="n">
        <v>0</v>
      </c>
      <c r="M855" t="n">
        <v>0</v>
      </c>
      <c r="N855" t="n">
        <v>0</v>
      </c>
      <c r="O855" t="n">
        <v>0</v>
      </c>
      <c r="P855" t="n">
        <v>0</v>
      </c>
      <c r="Q855" t="n">
        <v>0</v>
      </c>
      <c r="R855" s="2" t="inlineStr"/>
    </row>
    <row r="856" ht="15" customHeight="1">
      <c r="A856" t="inlineStr">
        <is>
          <t>A 22397-2025</t>
        </is>
      </c>
      <c r="B856" s="1" t="n">
        <v>45786.52878472222</v>
      </c>
      <c r="C856" s="1" t="n">
        <v>46162</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11442-2025</t>
        </is>
      </c>
      <c r="B857" s="1" t="n">
        <v>45726.62721064815</v>
      </c>
      <c r="C857" s="1" t="n">
        <v>46162</v>
      </c>
      <c r="D857" t="inlineStr">
        <is>
          <t>KALMAR LÄN</t>
        </is>
      </c>
      <c r="E857" t="inlineStr">
        <is>
          <t>VIMMERBY</t>
        </is>
      </c>
      <c r="G857" t="n">
        <v>2.6</v>
      </c>
      <c r="H857" t="n">
        <v>0</v>
      </c>
      <c r="I857" t="n">
        <v>0</v>
      </c>
      <c r="J857" t="n">
        <v>0</v>
      </c>
      <c r="K857" t="n">
        <v>0</v>
      </c>
      <c r="L857" t="n">
        <v>0</v>
      </c>
      <c r="M857" t="n">
        <v>0</v>
      </c>
      <c r="N857" t="n">
        <v>0</v>
      </c>
      <c r="O857" t="n">
        <v>0</v>
      </c>
      <c r="P857" t="n">
        <v>0</v>
      </c>
      <c r="Q857" t="n">
        <v>0</v>
      </c>
      <c r="R857" s="2" t="inlineStr"/>
    </row>
    <row r="858" ht="15" customHeight="1">
      <c r="A858" t="inlineStr">
        <is>
          <t>A 6307-2025</t>
        </is>
      </c>
      <c r="B858" s="1" t="n">
        <v>45698.69016203703</v>
      </c>
      <c r="C858" s="1" t="n">
        <v>46162</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23394-2025</t>
        </is>
      </c>
      <c r="B859" s="1" t="n">
        <v>45791.89865740741</v>
      </c>
      <c r="C859" s="1" t="n">
        <v>46162</v>
      </c>
      <c r="D859" t="inlineStr">
        <is>
          <t>KALMAR LÄN</t>
        </is>
      </c>
      <c r="E859" t="inlineStr">
        <is>
          <t>VIMMERBY</t>
        </is>
      </c>
      <c r="G859" t="n">
        <v>3.1</v>
      </c>
      <c r="H859" t="n">
        <v>0</v>
      </c>
      <c r="I859" t="n">
        <v>0</v>
      </c>
      <c r="J859" t="n">
        <v>0</v>
      </c>
      <c r="K859" t="n">
        <v>0</v>
      </c>
      <c r="L859" t="n">
        <v>0</v>
      </c>
      <c r="M859" t="n">
        <v>0</v>
      </c>
      <c r="N859" t="n">
        <v>0</v>
      </c>
      <c r="O859" t="n">
        <v>0</v>
      </c>
      <c r="P859" t="n">
        <v>0</v>
      </c>
      <c r="Q859" t="n">
        <v>0</v>
      </c>
      <c r="R859" s="2" t="inlineStr"/>
    </row>
    <row r="860" ht="15" customHeight="1">
      <c r="A860" t="inlineStr">
        <is>
          <t>A 23984-2025</t>
        </is>
      </c>
      <c r="B860" s="1" t="n">
        <v>45796</v>
      </c>
      <c r="C860" s="1" t="n">
        <v>46162</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51278-2024</t>
        </is>
      </c>
      <c r="B861" s="1" t="n">
        <v>45603.74959490741</v>
      </c>
      <c r="C861" s="1" t="n">
        <v>46162</v>
      </c>
      <c r="D861" t="inlineStr">
        <is>
          <t>KALMAR LÄN</t>
        </is>
      </c>
      <c r="E861" t="inlineStr">
        <is>
          <t>VIMMERBY</t>
        </is>
      </c>
      <c r="G861" t="n">
        <v>3.4</v>
      </c>
      <c r="H861" t="n">
        <v>0</v>
      </c>
      <c r="I861" t="n">
        <v>0</v>
      </c>
      <c r="J861" t="n">
        <v>0</v>
      </c>
      <c r="K861" t="n">
        <v>0</v>
      </c>
      <c r="L861" t="n">
        <v>0</v>
      </c>
      <c r="M861" t="n">
        <v>0</v>
      </c>
      <c r="N861" t="n">
        <v>0</v>
      </c>
      <c r="O861" t="n">
        <v>0</v>
      </c>
      <c r="P861" t="n">
        <v>0</v>
      </c>
      <c r="Q861" t="n">
        <v>0</v>
      </c>
      <c r="R861" s="2" t="inlineStr"/>
    </row>
    <row r="862" ht="15" customHeight="1">
      <c r="A862" t="inlineStr">
        <is>
          <t>A 35082-2024</t>
        </is>
      </c>
      <c r="B862" s="1" t="n">
        <v>45527.68784722222</v>
      </c>
      <c r="C862" s="1" t="n">
        <v>46162</v>
      </c>
      <c r="D862" t="inlineStr">
        <is>
          <t>KALMAR LÄN</t>
        </is>
      </c>
      <c r="E862" t="inlineStr">
        <is>
          <t>VIMMERBY</t>
        </is>
      </c>
      <c r="G862" t="n">
        <v>0.8</v>
      </c>
      <c r="H862" t="n">
        <v>0</v>
      </c>
      <c r="I862" t="n">
        <v>0</v>
      </c>
      <c r="J862" t="n">
        <v>0</v>
      </c>
      <c r="K862" t="n">
        <v>0</v>
      </c>
      <c r="L862" t="n">
        <v>0</v>
      </c>
      <c r="M862" t="n">
        <v>0</v>
      </c>
      <c r="N862" t="n">
        <v>0</v>
      </c>
      <c r="O862" t="n">
        <v>0</v>
      </c>
      <c r="P862" t="n">
        <v>0</v>
      </c>
      <c r="Q862" t="n">
        <v>0</v>
      </c>
      <c r="R862" s="2" t="inlineStr"/>
    </row>
    <row r="863" ht="15" customHeight="1">
      <c r="A863" t="inlineStr">
        <is>
          <t>A 44582-2024</t>
        </is>
      </c>
      <c r="B863" s="1" t="n">
        <v>45574.49298611111</v>
      </c>
      <c r="C863" s="1" t="n">
        <v>46162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9456-2025</t>
        </is>
      </c>
      <c r="B864" s="1" t="n">
        <v>45715.44159722222</v>
      </c>
      <c r="C864" s="1" t="n">
        <v>46162</v>
      </c>
      <c r="D864" t="inlineStr">
        <is>
          <t>KALMAR LÄN</t>
        </is>
      </c>
      <c r="E864" t="inlineStr">
        <is>
          <t>VIMMERBY</t>
        </is>
      </c>
      <c r="G864" t="n">
        <v>1.5</v>
      </c>
      <c r="H864" t="n">
        <v>0</v>
      </c>
      <c r="I864" t="n">
        <v>0</v>
      </c>
      <c r="J864" t="n">
        <v>0</v>
      </c>
      <c r="K864" t="n">
        <v>0</v>
      </c>
      <c r="L864" t="n">
        <v>0</v>
      </c>
      <c r="M864" t="n">
        <v>0</v>
      </c>
      <c r="N864" t="n">
        <v>0</v>
      </c>
      <c r="O864" t="n">
        <v>0</v>
      </c>
      <c r="P864" t="n">
        <v>0</v>
      </c>
      <c r="Q864" t="n">
        <v>0</v>
      </c>
      <c r="R864" s="2" t="inlineStr"/>
    </row>
    <row r="865" ht="15" customHeight="1">
      <c r="A865" t="inlineStr">
        <is>
          <t>A 11111-2023</t>
        </is>
      </c>
      <c r="B865" s="1" t="n">
        <v>44992.4255787037</v>
      </c>
      <c r="C865" s="1" t="n">
        <v>46162</v>
      </c>
      <c r="D865" t="inlineStr">
        <is>
          <t>KALMAR LÄN</t>
        </is>
      </c>
      <c r="E865" t="inlineStr">
        <is>
          <t>VIMMERBY</t>
        </is>
      </c>
      <c r="G865" t="n">
        <v>0.8</v>
      </c>
      <c r="H865" t="n">
        <v>0</v>
      </c>
      <c r="I865" t="n">
        <v>0</v>
      </c>
      <c r="J865" t="n">
        <v>0</v>
      </c>
      <c r="K865" t="n">
        <v>0</v>
      </c>
      <c r="L865" t="n">
        <v>0</v>
      </c>
      <c r="M865" t="n">
        <v>0</v>
      </c>
      <c r="N865" t="n">
        <v>0</v>
      </c>
      <c r="O865" t="n">
        <v>0</v>
      </c>
      <c r="P865" t="n">
        <v>0</v>
      </c>
      <c r="Q865" t="n">
        <v>0</v>
      </c>
      <c r="R865" s="2" t="inlineStr"/>
    </row>
    <row r="866" ht="15" customHeight="1">
      <c r="A866" t="inlineStr">
        <is>
          <t>A 58724-2024</t>
        </is>
      </c>
      <c r="B866" s="1" t="n">
        <v>45635.66409722222</v>
      </c>
      <c r="C866" s="1" t="n">
        <v>46162</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15494-2024</t>
        </is>
      </c>
      <c r="B867" s="1" t="n">
        <v>45401.53033564815</v>
      </c>
      <c r="C867" s="1" t="n">
        <v>46162</v>
      </c>
      <c r="D867" t="inlineStr">
        <is>
          <t>KALMAR LÄN</t>
        </is>
      </c>
      <c r="E867" t="inlineStr">
        <is>
          <t>VIMMERBY</t>
        </is>
      </c>
      <c r="G867" t="n">
        <v>3.2</v>
      </c>
      <c r="H867" t="n">
        <v>0</v>
      </c>
      <c r="I867" t="n">
        <v>0</v>
      </c>
      <c r="J867" t="n">
        <v>0</v>
      </c>
      <c r="K867" t="n">
        <v>0</v>
      </c>
      <c r="L867" t="n">
        <v>0</v>
      </c>
      <c r="M867" t="n">
        <v>0</v>
      </c>
      <c r="N867" t="n">
        <v>0</v>
      </c>
      <c r="O867" t="n">
        <v>0</v>
      </c>
      <c r="P867" t="n">
        <v>0</v>
      </c>
      <c r="Q867" t="n">
        <v>0</v>
      </c>
      <c r="R867" s="2" t="inlineStr"/>
    </row>
    <row r="868" ht="15" customHeight="1">
      <c r="A868" t="inlineStr">
        <is>
          <t>A 26039-2025</t>
        </is>
      </c>
      <c r="B868" s="1" t="n">
        <v>45804.6953587963</v>
      </c>
      <c r="C868" s="1" t="n">
        <v>46162</v>
      </c>
      <c r="D868" t="inlineStr">
        <is>
          <t>KALMAR LÄN</t>
        </is>
      </c>
      <c r="E868" t="inlineStr">
        <is>
          <t>VIMMERBY</t>
        </is>
      </c>
      <c r="F868" t="inlineStr">
        <is>
          <t>Sveaskog</t>
        </is>
      </c>
      <c r="G868" t="n">
        <v>5.2</v>
      </c>
      <c r="H868" t="n">
        <v>0</v>
      </c>
      <c r="I868" t="n">
        <v>0</v>
      </c>
      <c r="J868" t="n">
        <v>0</v>
      </c>
      <c r="K868" t="n">
        <v>0</v>
      </c>
      <c r="L868" t="n">
        <v>0</v>
      </c>
      <c r="M868" t="n">
        <v>0</v>
      </c>
      <c r="N868" t="n">
        <v>0</v>
      </c>
      <c r="O868" t="n">
        <v>0</v>
      </c>
      <c r="P868" t="n">
        <v>0</v>
      </c>
      <c r="Q868" t="n">
        <v>0</v>
      </c>
      <c r="R868" s="2" t="inlineStr"/>
    </row>
    <row r="869" ht="15" customHeight="1">
      <c r="A869" t="inlineStr">
        <is>
          <t>A 26046-2025</t>
        </is>
      </c>
      <c r="B869" s="1" t="n">
        <v>45804.708125</v>
      </c>
      <c r="C869" s="1" t="n">
        <v>46162</v>
      </c>
      <c r="D869" t="inlineStr">
        <is>
          <t>KALMAR LÄN</t>
        </is>
      </c>
      <c r="E869" t="inlineStr">
        <is>
          <t>VIMMERBY</t>
        </is>
      </c>
      <c r="F869" t="inlineStr">
        <is>
          <t>Sveaskog</t>
        </is>
      </c>
      <c r="G869" t="n">
        <v>5.1</v>
      </c>
      <c r="H869" t="n">
        <v>0</v>
      </c>
      <c r="I869" t="n">
        <v>0</v>
      </c>
      <c r="J869" t="n">
        <v>0</v>
      </c>
      <c r="K869" t="n">
        <v>0</v>
      </c>
      <c r="L869" t="n">
        <v>0</v>
      </c>
      <c r="M869" t="n">
        <v>0</v>
      </c>
      <c r="N869" t="n">
        <v>0</v>
      </c>
      <c r="O869" t="n">
        <v>0</v>
      </c>
      <c r="P869" t="n">
        <v>0</v>
      </c>
      <c r="Q869" t="n">
        <v>0</v>
      </c>
      <c r="R869" s="2" t="inlineStr"/>
    </row>
    <row r="870" ht="15" customHeight="1">
      <c r="A870" t="inlineStr">
        <is>
          <t>A 25792-2025</t>
        </is>
      </c>
      <c r="B870" s="1" t="n">
        <v>45804.39141203704</v>
      </c>
      <c r="C870" s="1" t="n">
        <v>46162</v>
      </c>
      <c r="D870" t="inlineStr">
        <is>
          <t>KALMAR LÄN</t>
        </is>
      </c>
      <c r="E870" t="inlineStr">
        <is>
          <t>VIMMERBY</t>
        </is>
      </c>
      <c r="G870" t="n">
        <v>0.8</v>
      </c>
      <c r="H870" t="n">
        <v>0</v>
      </c>
      <c r="I870" t="n">
        <v>0</v>
      </c>
      <c r="J870" t="n">
        <v>0</v>
      </c>
      <c r="K870" t="n">
        <v>0</v>
      </c>
      <c r="L870" t="n">
        <v>0</v>
      </c>
      <c r="M870" t="n">
        <v>0</v>
      </c>
      <c r="N870" t="n">
        <v>0</v>
      </c>
      <c r="O870" t="n">
        <v>0</v>
      </c>
      <c r="P870" t="n">
        <v>0</v>
      </c>
      <c r="Q870" t="n">
        <v>0</v>
      </c>
      <c r="R870" s="2" t="inlineStr"/>
    </row>
    <row r="871" ht="15" customHeight="1">
      <c r="A871" t="inlineStr">
        <is>
          <t>A 25830-2025</t>
        </is>
      </c>
      <c r="B871" s="1" t="n">
        <v>45804.44519675926</v>
      </c>
      <c r="C871" s="1" t="n">
        <v>46162</v>
      </c>
      <c r="D871" t="inlineStr">
        <is>
          <t>KALMAR LÄN</t>
        </is>
      </c>
      <c r="E871" t="inlineStr">
        <is>
          <t>VIMMERBY</t>
        </is>
      </c>
      <c r="G871" t="n">
        <v>4.9</v>
      </c>
      <c r="H871" t="n">
        <v>0</v>
      </c>
      <c r="I871" t="n">
        <v>0</v>
      </c>
      <c r="J871" t="n">
        <v>0</v>
      </c>
      <c r="K871" t="n">
        <v>0</v>
      </c>
      <c r="L871" t="n">
        <v>0</v>
      </c>
      <c r="M871" t="n">
        <v>0</v>
      </c>
      <c r="N871" t="n">
        <v>0</v>
      </c>
      <c r="O871" t="n">
        <v>0</v>
      </c>
      <c r="P871" t="n">
        <v>0</v>
      </c>
      <c r="Q871" t="n">
        <v>0</v>
      </c>
      <c r="R871" s="2" t="inlineStr"/>
    </row>
    <row r="872" ht="15" customHeight="1">
      <c r="A872" t="inlineStr">
        <is>
          <t>A 26124-2025</t>
        </is>
      </c>
      <c r="B872" s="1" t="n">
        <v>45805.39247685186</v>
      </c>
      <c r="C872" s="1" t="n">
        <v>46162</v>
      </c>
      <c r="D872" t="inlineStr">
        <is>
          <t>KALMAR LÄN</t>
        </is>
      </c>
      <c r="E872" t="inlineStr">
        <is>
          <t>VIMMERBY</t>
        </is>
      </c>
      <c r="G872" t="n">
        <v>6.6</v>
      </c>
      <c r="H872" t="n">
        <v>0</v>
      </c>
      <c r="I872" t="n">
        <v>0</v>
      </c>
      <c r="J872" t="n">
        <v>0</v>
      </c>
      <c r="K872" t="n">
        <v>0</v>
      </c>
      <c r="L872" t="n">
        <v>0</v>
      </c>
      <c r="M872" t="n">
        <v>0</v>
      </c>
      <c r="N872" t="n">
        <v>0</v>
      </c>
      <c r="O872" t="n">
        <v>0</v>
      </c>
      <c r="P872" t="n">
        <v>0</v>
      </c>
      <c r="Q872" t="n">
        <v>0</v>
      </c>
      <c r="R872" s="2" t="inlineStr"/>
    </row>
    <row r="873" ht="15" customHeight="1">
      <c r="A873" t="inlineStr">
        <is>
          <t>A 26254-2025</t>
        </is>
      </c>
      <c r="B873" s="1" t="n">
        <v>45805</v>
      </c>
      <c r="C873" s="1" t="n">
        <v>46162</v>
      </c>
      <c r="D873" t="inlineStr">
        <is>
          <t>KALMAR LÄN</t>
        </is>
      </c>
      <c r="E873" t="inlineStr">
        <is>
          <t>VIMMERBY</t>
        </is>
      </c>
      <c r="G873" t="n">
        <v>2</v>
      </c>
      <c r="H873" t="n">
        <v>0</v>
      </c>
      <c r="I873" t="n">
        <v>0</v>
      </c>
      <c r="J873" t="n">
        <v>0</v>
      </c>
      <c r="K873" t="n">
        <v>0</v>
      </c>
      <c r="L873" t="n">
        <v>0</v>
      </c>
      <c r="M873" t="n">
        <v>0</v>
      </c>
      <c r="N873" t="n">
        <v>0</v>
      </c>
      <c r="O873" t="n">
        <v>0</v>
      </c>
      <c r="P873" t="n">
        <v>0</v>
      </c>
      <c r="Q873" t="n">
        <v>0</v>
      </c>
      <c r="R873" s="2" t="inlineStr"/>
    </row>
    <row r="874" ht="15" customHeight="1">
      <c r="A874" t="inlineStr">
        <is>
          <t>A 26207-2025</t>
        </is>
      </c>
      <c r="B874" s="1" t="n">
        <v>45805.52983796296</v>
      </c>
      <c r="C874" s="1" t="n">
        <v>46162</v>
      </c>
      <c r="D874" t="inlineStr">
        <is>
          <t>KALMAR LÄN</t>
        </is>
      </c>
      <c r="E874" t="inlineStr">
        <is>
          <t>VIMMERBY</t>
        </is>
      </c>
      <c r="G874" t="n">
        <v>0.7</v>
      </c>
      <c r="H874" t="n">
        <v>0</v>
      </c>
      <c r="I874" t="n">
        <v>0</v>
      </c>
      <c r="J874" t="n">
        <v>0</v>
      </c>
      <c r="K874" t="n">
        <v>0</v>
      </c>
      <c r="L874" t="n">
        <v>0</v>
      </c>
      <c r="M874" t="n">
        <v>0</v>
      </c>
      <c r="N874" t="n">
        <v>0</v>
      </c>
      <c r="O874" t="n">
        <v>0</v>
      </c>
      <c r="P874" t="n">
        <v>0</v>
      </c>
      <c r="Q874" t="n">
        <v>0</v>
      </c>
      <c r="R874" s="2" t="inlineStr"/>
    </row>
    <row r="875" ht="15" customHeight="1">
      <c r="A875" t="inlineStr">
        <is>
          <t>A 28290-2025</t>
        </is>
      </c>
      <c r="B875" s="1" t="n">
        <v>45818.59261574074</v>
      </c>
      <c r="C875" s="1" t="n">
        <v>46162</v>
      </c>
      <c r="D875" t="inlineStr">
        <is>
          <t>KALMAR LÄN</t>
        </is>
      </c>
      <c r="E875" t="inlineStr">
        <is>
          <t>VIMMERBY</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28280-2025</t>
        </is>
      </c>
      <c r="B876" s="1" t="n">
        <v>45818.5862037037</v>
      </c>
      <c r="C876" s="1" t="n">
        <v>46162</v>
      </c>
      <c r="D876" t="inlineStr">
        <is>
          <t>KALMAR LÄN</t>
        </is>
      </c>
      <c r="E876" t="inlineStr">
        <is>
          <t>VIMMERBY</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28286-2025</t>
        </is>
      </c>
      <c r="B877" s="1" t="n">
        <v>45818.58993055556</v>
      </c>
      <c r="C877" s="1" t="n">
        <v>46162</v>
      </c>
      <c r="D877" t="inlineStr">
        <is>
          <t>KALMAR LÄN</t>
        </is>
      </c>
      <c r="E877" t="inlineStr">
        <is>
          <t>VIMMERBY</t>
        </is>
      </c>
      <c r="F877" t="inlineStr">
        <is>
          <t>Sveaskog</t>
        </is>
      </c>
      <c r="G877" t="n">
        <v>8</v>
      </c>
      <c r="H877" t="n">
        <v>0</v>
      </c>
      <c r="I877" t="n">
        <v>0</v>
      </c>
      <c r="J877" t="n">
        <v>0</v>
      </c>
      <c r="K877" t="n">
        <v>0</v>
      </c>
      <c r="L877" t="n">
        <v>0</v>
      </c>
      <c r="M877" t="n">
        <v>0</v>
      </c>
      <c r="N877" t="n">
        <v>0</v>
      </c>
      <c r="O877" t="n">
        <v>0</v>
      </c>
      <c r="P877" t="n">
        <v>0</v>
      </c>
      <c r="Q877" t="n">
        <v>0</v>
      </c>
      <c r="R877" s="2" t="inlineStr"/>
    </row>
    <row r="878" ht="15" customHeight="1">
      <c r="A878" t="inlineStr">
        <is>
          <t>A 28282-2025</t>
        </is>
      </c>
      <c r="B878" s="1" t="n">
        <v>45818.58769675926</v>
      </c>
      <c r="C878" s="1" t="n">
        <v>46162</v>
      </c>
      <c r="D878" t="inlineStr">
        <is>
          <t>KALMAR LÄN</t>
        </is>
      </c>
      <c r="E878" t="inlineStr">
        <is>
          <t>VIMMERBY</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28294-2025</t>
        </is>
      </c>
      <c r="B879" s="1" t="n">
        <v>45818.595625</v>
      </c>
      <c r="C879" s="1" t="n">
        <v>46162</v>
      </c>
      <c r="D879" t="inlineStr">
        <is>
          <t>KALMAR LÄN</t>
        </is>
      </c>
      <c r="E879" t="inlineStr">
        <is>
          <t>VIMMERBY</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28713-2025</t>
        </is>
      </c>
      <c r="B880" s="1" t="n">
        <v>45820.33930555556</v>
      </c>
      <c r="C880" s="1" t="n">
        <v>46162</v>
      </c>
      <c r="D880" t="inlineStr">
        <is>
          <t>KALMAR LÄN</t>
        </is>
      </c>
      <c r="E880" t="inlineStr">
        <is>
          <t>VIMMERBY</t>
        </is>
      </c>
      <c r="G880" t="n">
        <v>2.3</v>
      </c>
      <c r="H880" t="n">
        <v>0</v>
      </c>
      <c r="I880" t="n">
        <v>0</v>
      </c>
      <c r="J880" t="n">
        <v>0</v>
      </c>
      <c r="K880" t="n">
        <v>0</v>
      </c>
      <c r="L880" t="n">
        <v>0</v>
      </c>
      <c r="M880" t="n">
        <v>0</v>
      </c>
      <c r="N880" t="n">
        <v>0</v>
      </c>
      <c r="O880" t="n">
        <v>0</v>
      </c>
      <c r="P880" t="n">
        <v>0</v>
      </c>
      <c r="Q880" t="n">
        <v>0</v>
      </c>
      <c r="R880" s="2" t="inlineStr"/>
    </row>
    <row r="881" ht="15" customHeight="1">
      <c r="A881" t="inlineStr">
        <is>
          <t>A 28712-2025</t>
        </is>
      </c>
      <c r="B881" s="1" t="n">
        <v>45820.33708333333</v>
      </c>
      <c r="C881" s="1" t="n">
        <v>46162</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28714-2025</t>
        </is>
      </c>
      <c r="B882" s="1" t="n">
        <v>45820.34128472222</v>
      </c>
      <c r="C882" s="1" t="n">
        <v>46162</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28620-2025</t>
        </is>
      </c>
      <c r="B883" s="1" t="n">
        <v>45819.61060185185</v>
      </c>
      <c r="C883" s="1" t="n">
        <v>46162</v>
      </c>
      <c r="D883" t="inlineStr">
        <is>
          <t>KALMAR LÄN</t>
        </is>
      </c>
      <c r="E883" t="inlineStr">
        <is>
          <t>VIMMERBY</t>
        </is>
      </c>
      <c r="G883" t="n">
        <v>5.6</v>
      </c>
      <c r="H883" t="n">
        <v>0</v>
      </c>
      <c r="I883" t="n">
        <v>0</v>
      </c>
      <c r="J883" t="n">
        <v>0</v>
      </c>
      <c r="K883" t="n">
        <v>0</v>
      </c>
      <c r="L883" t="n">
        <v>0</v>
      </c>
      <c r="M883" t="n">
        <v>0</v>
      </c>
      <c r="N883" t="n">
        <v>0</v>
      </c>
      <c r="O883" t="n">
        <v>0</v>
      </c>
      <c r="P883" t="n">
        <v>0</v>
      </c>
      <c r="Q883" t="n">
        <v>0</v>
      </c>
      <c r="R883" s="2" t="inlineStr"/>
    </row>
    <row r="884" ht="15" customHeight="1">
      <c r="A884" t="inlineStr">
        <is>
          <t>A 29727-2025</t>
        </is>
      </c>
      <c r="B884" s="1" t="n">
        <v>45825.5796875</v>
      </c>
      <c r="C884" s="1" t="n">
        <v>46162</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29737-2025</t>
        </is>
      </c>
      <c r="B885" s="1" t="n">
        <v>45825.58672453704</v>
      </c>
      <c r="C885" s="1" t="n">
        <v>46162</v>
      </c>
      <c r="D885" t="inlineStr">
        <is>
          <t>KALMAR LÄN</t>
        </is>
      </c>
      <c r="E885" t="inlineStr">
        <is>
          <t>VIMMERBY</t>
        </is>
      </c>
      <c r="G885" t="n">
        <v>1.2</v>
      </c>
      <c r="H885" t="n">
        <v>0</v>
      </c>
      <c r="I885" t="n">
        <v>0</v>
      </c>
      <c r="J885" t="n">
        <v>0</v>
      </c>
      <c r="K885" t="n">
        <v>0</v>
      </c>
      <c r="L885" t="n">
        <v>0</v>
      </c>
      <c r="M885" t="n">
        <v>0</v>
      </c>
      <c r="N885" t="n">
        <v>0</v>
      </c>
      <c r="O885" t="n">
        <v>0</v>
      </c>
      <c r="P885" t="n">
        <v>0</v>
      </c>
      <c r="Q885" t="n">
        <v>0</v>
      </c>
      <c r="R885" s="2" t="inlineStr"/>
    </row>
    <row r="886" ht="15" customHeight="1">
      <c r="A886" t="inlineStr">
        <is>
          <t>A 30293-2025</t>
        </is>
      </c>
      <c r="B886" s="1" t="n">
        <v>45827</v>
      </c>
      <c r="C886" s="1" t="n">
        <v>46162</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30290-2025</t>
        </is>
      </c>
      <c r="B887" s="1" t="n">
        <v>45827</v>
      </c>
      <c r="C887" s="1" t="n">
        <v>46162</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30850-2025</t>
        </is>
      </c>
      <c r="B888" s="1" t="n">
        <v>45831</v>
      </c>
      <c r="C888" s="1" t="n">
        <v>46162</v>
      </c>
      <c r="D888" t="inlineStr">
        <is>
          <t>KALMAR LÄN</t>
        </is>
      </c>
      <c r="E888" t="inlineStr">
        <is>
          <t>VIMMERBY</t>
        </is>
      </c>
      <c r="G888" t="n">
        <v>2.7</v>
      </c>
      <c r="H888" t="n">
        <v>0</v>
      </c>
      <c r="I888" t="n">
        <v>0</v>
      </c>
      <c r="J888" t="n">
        <v>0</v>
      </c>
      <c r="K888" t="n">
        <v>0</v>
      </c>
      <c r="L888" t="n">
        <v>0</v>
      </c>
      <c r="M888" t="n">
        <v>0</v>
      </c>
      <c r="N888" t="n">
        <v>0</v>
      </c>
      <c r="O888" t="n">
        <v>0</v>
      </c>
      <c r="P888" t="n">
        <v>0</v>
      </c>
      <c r="Q888" t="n">
        <v>0</v>
      </c>
      <c r="R888" s="2" t="inlineStr"/>
    </row>
    <row r="889" ht="15" customHeight="1">
      <c r="A889" t="inlineStr">
        <is>
          <t>A 30882-2025</t>
        </is>
      </c>
      <c r="B889" s="1" t="n">
        <v>45832.34540509259</v>
      </c>
      <c r="C889" s="1" t="n">
        <v>46162</v>
      </c>
      <c r="D889" t="inlineStr">
        <is>
          <t>KALMAR LÄN</t>
        </is>
      </c>
      <c r="E889" t="inlineStr">
        <is>
          <t>VIMMERBY</t>
        </is>
      </c>
      <c r="G889" t="n">
        <v>0.7</v>
      </c>
      <c r="H889" t="n">
        <v>0</v>
      </c>
      <c r="I889" t="n">
        <v>0</v>
      </c>
      <c r="J889" t="n">
        <v>0</v>
      </c>
      <c r="K889" t="n">
        <v>0</v>
      </c>
      <c r="L889" t="n">
        <v>0</v>
      </c>
      <c r="M889" t="n">
        <v>0</v>
      </c>
      <c r="N889" t="n">
        <v>0</v>
      </c>
      <c r="O889" t="n">
        <v>0</v>
      </c>
      <c r="P889" t="n">
        <v>0</v>
      </c>
      <c r="Q889" t="n">
        <v>0</v>
      </c>
      <c r="R889" s="2" t="inlineStr"/>
    </row>
    <row r="890" ht="15" customHeight="1">
      <c r="A890" t="inlineStr">
        <is>
          <t>A 30971-2025</t>
        </is>
      </c>
      <c r="B890" s="1" t="n">
        <v>45832.46146990741</v>
      </c>
      <c r="C890" s="1" t="n">
        <v>46162</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31552-2025</t>
        </is>
      </c>
      <c r="B891" s="1" t="n">
        <v>45833.64563657407</v>
      </c>
      <c r="C891" s="1" t="n">
        <v>46162</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31555-2025</t>
        </is>
      </c>
      <c r="B892" s="1" t="n">
        <v>45833.64814814815</v>
      </c>
      <c r="C892" s="1" t="n">
        <v>46162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31870-2025</t>
        </is>
      </c>
      <c r="B893" s="1" t="n">
        <v>45834.64667824074</v>
      </c>
      <c r="C893" s="1" t="n">
        <v>46162</v>
      </c>
      <c r="D893" t="inlineStr">
        <is>
          <t>KALMAR LÄN</t>
        </is>
      </c>
      <c r="E893" t="inlineStr">
        <is>
          <t>VIMMERBY</t>
        </is>
      </c>
      <c r="F893" t="inlineStr">
        <is>
          <t>Sveaskog</t>
        </is>
      </c>
      <c r="G893" t="n">
        <v>3.5</v>
      </c>
      <c r="H893" t="n">
        <v>0</v>
      </c>
      <c r="I893" t="n">
        <v>0</v>
      </c>
      <c r="J893" t="n">
        <v>0</v>
      </c>
      <c r="K893" t="n">
        <v>0</v>
      </c>
      <c r="L893" t="n">
        <v>0</v>
      </c>
      <c r="M893" t="n">
        <v>0</v>
      </c>
      <c r="N893" t="n">
        <v>0</v>
      </c>
      <c r="O893" t="n">
        <v>0</v>
      </c>
      <c r="P893" t="n">
        <v>0</v>
      </c>
      <c r="Q893" t="n">
        <v>0</v>
      </c>
      <c r="R893" s="2" t="inlineStr"/>
    </row>
    <row r="894" ht="15" customHeight="1">
      <c r="A894" t="inlineStr">
        <is>
          <t>A 8559-2025</t>
        </is>
      </c>
      <c r="B894" s="1" t="n">
        <v>45709.62280092593</v>
      </c>
      <c r="C894" s="1" t="n">
        <v>46162</v>
      </c>
      <c r="D894" t="inlineStr">
        <is>
          <t>KALMAR LÄN</t>
        </is>
      </c>
      <c r="E894" t="inlineStr">
        <is>
          <t>VIMMERBY</t>
        </is>
      </c>
      <c r="G894" t="n">
        <v>8.9</v>
      </c>
      <c r="H894" t="n">
        <v>0</v>
      </c>
      <c r="I894" t="n">
        <v>0</v>
      </c>
      <c r="J894" t="n">
        <v>0</v>
      </c>
      <c r="K894" t="n">
        <v>0</v>
      </c>
      <c r="L894" t="n">
        <v>0</v>
      </c>
      <c r="M894" t="n">
        <v>0</v>
      </c>
      <c r="N894" t="n">
        <v>0</v>
      </c>
      <c r="O894" t="n">
        <v>0</v>
      </c>
      <c r="P894" t="n">
        <v>0</v>
      </c>
      <c r="Q894" t="n">
        <v>0</v>
      </c>
      <c r="R894" s="2" t="inlineStr"/>
    </row>
    <row r="895" ht="15" customHeight="1">
      <c r="A895" t="inlineStr">
        <is>
          <t>A 31872-2025</t>
        </is>
      </c>
      <c r="B895" s="1" t="n">
        <v>45834.65040509259</v>
      </c>
      <c r="C895" s="1" t="n">
        <v>46162</v>
      </c>
      <c r="D895" t="inlineStr">
        <is>
          <t>KALMAR LÄN</t>
        </is>
      </c>
      <c r="E895" t="inlineStr">
        <is>
          <t>VIMMERBY</t>
        </is>
      </c>
      <c r="F895" t="inlineStr">
        <is>
          <t>Sveaskog</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31876-2025</t>
        </is>
      </c>
      <c r="B896" s="1" t="n">
        <v>45834.65197916667</v>
      </c>
      <c r="C896" s="1" t="n">
        <v>46162</v>
      </c>
      <c r="D896" t="inlineStr">
        <is>
          <t>KALMAR LÄN</t>
        </is>
      </c>
      <c r="E896" t="inlineStr">
        <is>
          <t>VIMMERBY</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31551-2025</t>
        </is>
      </c>
      <c r="B897" s="1" t="n">
        <v>45833.64237268519</v>
      </c>
      <c r="C897" s="1" t="n">
        <v>46162</v>
      </c>
      <c r="D897" t="inlineStr">
        <is>
          <t>KALMAR LÄN</t>
        </is>
      </c>
      <c r="E897" t="inlineStr">
        <is>
          <t>VIMMERBY</t>
        </is>
      </c>
      <c r="G897" t="n">
        <v>1.9</v>
      </c>
      <c r="H897" t="n">
        <v>0</v>
      </c>
      <c r="I897" t="n">
        <v>0</v>
      </c>
      <c r="J897" t="n">
        <v>0</v>
      </c>
      <c r="K897" t="n">
        <v>0</v>
      </c>
      <c r="L897" t="n">
        <v>0</v>
      </c>
      <c r="M897" t="n">
        <v>0</v>
      </c>
      <c r="N897" t="n">
        <v>0</v>
      </c>
      <c r="O897" t="n">
        <v>0</v>
      </c>
      <c r="P897" t="n">
        <v>0</v>
      </c>
      <c r="Q897" t="n">
        <v>0</v>
      </c>
      <c r="R897" s="2" t="inlineStr"/>
    </row>
    <row r="898" ht="15" customHeight="1">
      <c r="A898" t="inlineStr">
        <is>
          <t>A 31987-2025</t>
        </is>
      </c>
      <c r="B898" s="1" t="n">
        <v>45835.36229166666</v>
      </c>
      <c r="C898" s="1" t="n">
        <v>46162</v>
      </c>
      <c r="D898" t="inlineStr">
        <is>
          <t>KALMAR LÄN</t>
        </is>
      </c>
      <c r="E898" t="inlineStr">
        <is>
          <t>VIMMERBY</t>
        </is>
      </c>
      <c r="F898" t="inlineStr">
        <is>
          <t>Kyrkan</t>
        </is>
      </c>
      <c r="G898" t="n">
        <v>1.2</v>
      </c>
      <c r="H898" t="n">
        <v>0</v>
      </c>
      <c r="I898" t="n">
        <v>0</v>
      </c>
      <c r="J898" t="n">
        <v>0</v>
      </c>
      <c r="K898" t="n">
        <v>0</v>
      </c>
      <c r="L898" t="n">
        <v>0</v>
      </c>
      <c r="M898" t="n">
        <v>0</v>
      </c>
      <c r="N898" t="n">
        <v>0</v>
      </c>
      <c r="O898" t="n">
        <v>0</v>
      </c>
      <c r="P898" t="n">
        <v>0</v>
      </c>
      <c r="Q898" t="n">
        <v>0</v>
      </c>
      <c r="R898" s="2" t="inlineStr"/>
    </row>
    <row r="899" ht="15" customHeight="1">
      <c r="A899" t="inlineStr">
        <is>
          <t>A 32120-2025</t>
        </is>
      </c>
      <c r="B899" s="1" t="n">
        <v>45835.4924537037</v>
      </c>
      <c r="C899" s="1" t="n">
        <v>46162</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32116-2025</t>
        </is>
      </c>
      <c r="B900" s="1" t="n">
        <v>45835.48862268519</v>
      </c>
      <c r="C900" s="1" t="n">
        <v>46162</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32380-2025</t>
        </is>
      </c>
      <c r="B901" s="1" t="n">
        <v>45837.77701388889</v>
      </c>
      <c r="C901" s="1" t="n">
        <v>46162</v>
      </c>
      <c r="D901" t="inlineStr">
        <is>
          <t>KALMAR LÄN</t>
        </is>
      </c>
      <c r="E901" t="inlineStr">
        <is>
          <t>VIMMERBY</t>
        </is>
      </c>
      <c r="G901" t="n">
        <v>3.1</v>
      </c>
      <c r="H901" t="n">
        <v>0</v>
      </c>
      <c r="I901" t="n">
        <v>0</v>
      </c>
      <c r="J901" t="n">
        <v>0</v>
      </c>
      <c r="K901" t="n">
        <v>0</v>
      </c>
      <c r="L901" t="n">
        <v>0</v>
      </c>
      <c r="M901" t="n">
        <v>0</v>
      </c>
      <c r="N901" t="n">
        <v>0</v>
      </c>
      <c r="O901" t="n">
        <v>0</v>
      </c>
      <c r="P901" t="n">
        <v>0</v>
      </c>
      <c r="Q901" t="n">
        <v>0</v>
      </c>
      <c r="R901" s="2" t="inlineStr"/>
    </row>
    <row r="902" ht="15" customHeight="1">
      <c r="A902" t="inlineStr">
        <is>
          <t>A 32109-2025</t>
        </is>
      </c>
      <c r="B902" s="1" t="n">
        <v>45835.48267361111</v>
      </c>
      <c r="C902" s="1" t="n">
        <v>46162</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32113-2025</t>
        </is>
      </c>
      <c r="B903" s="1" t="n">
        <v>45835.48445601852</v>
      </c>
      <c r="C903" s="1" t="n">
        <v>46162</v>
      </c>
      <c r="D903" t="inlineStr">
        <is>
          <t>KALMAR LÄN</t>
        </is>
      </c>
      <c r="E903" t="inlineStr">
        <is>
          <t>VIMMERBY</t>
        </is>
      </c>
      <c r="G903" t="n">
        <v>3.5</v>
      </c>
      <c r="H903" t="n">
        <v>0</v>
      </c>
      <c r="I903" t="n">
        <v>0</v>
      </c>
      <c r="J903" t="n">
        <v>0</v>
      </c>
      <c r="K903" t="n">
        <v>0</v>
      </c>
      <c r="L903" t="n">
        <v>0</v>
      </c>
      <c r="M903" t="n">
        <v>0</v>
      </c>
      <c r="N903" t="n">
        <v>0</v>
      </c>
      <c r="O903" t="n">
        <v>0</v>
      </c>
      <c r="P903" t="n">
        <v>0</v>
      </c>
      <c r="Q903" t="n">
        <v>0</v>
      </c>
      <c r="R903" s="2" t="inlineStr"/>
    </row>
    <row r="904" ht="15" customHeight="1">
      <c r="A904" t="inlineStr">
        <is>
          <t>A 32077-2025</t>
        </is>
      </c>
      <c r="B904" s="1" t="n">
        <v>45835.45099537037</v>
      </c>
      <c r="C904" s="1" t="n">
        <v>46162</v>
      </c>
      <c r="D904" t="inlineStr">
        <is>
          <t>KALMAR LÄN</t>
        </is>
      </c>
      <c r="E904" t="inlineStr">
        <is>
          <t>VIMMERBY</t>
        </is>
      </c>
      <c r="G904" t="n">
        <v>1.8</v>
      </c>
      <c r="H904" t="n">
        <v>0</v>
      </c>
      <c r="I904" t="n">
        <v>0</v>
      </c>
      <c r="J904" t="n">
        <v>0</v>
      </c>
      <c r="K904" t="n">
        <v>0</v>
      </c>
      <c r="L904" t="n">
        <v>0</v>
      </c>
      <c r="M904" t="n">
        <v>0</v>
      </c>
      <c r="N904" t="n">
        <v>0</v>
      </c>
      <c r="O904" t="n">
        <v>0</v>
      </c>
      <c r="P904" t="n">
        <v>0</v>
      </c>
      <c r="Q904" t="n">
        <v>0</v>
      </c>
      <c r="R904" s="2" t="inlineStr"/>
    </row>
    <row r="905" ht="15" customHeight="1">
      <c r="A905" t="inlineStr">
        <is>
          <t>A 32064-2025</t>
        </is>
      </c>
      <c r="B905" s="1" t="n">
        <v>45835.44709490741</v>
      </c>
      <c r="C905" s="1" t="n">
        <v>46162</v>
      </c>
      <c r="D905" t="inlineStr">
        <is>
          <t>KALMAR LÄN</t>
        </is>
      </c>
      <c r="E905" t="inlineStr">
        <is>
          <t>VIMMERBY</t>
        </is>
      </c>
      <c r="G905" t="n">
        <v>2.6</v>
      </c>
      <c r="H905" t="n">
        <v>0</v>
      </c>
      <c r="I905" t="n">
        <v>0</v>
      </c>
      <c r="J905" t="n">
        <v>0</v>
      </c>
      <c r="K905" t="n">
        <v>0</v>
      </c>
      <c r="L905" t="n">
        <v>0</v>
      </c>
      <c r="M905" t="n">
        <v>0</v>
      </c>
      <c r="N905" t="n">
        <v>0</v>
      </c>
      <c r="O905" t="n">
        <v>0</v>
      </c>
      <c r="P905" t="n">
        <v>0</v>
      </c>
      <c r="Q905" t="n">
        <v>0</v>
      </c>
      <c r="R905" s="2" t="inlineStr"/>
    </row>
    <row r="906" ht="15" customHeight="1">
      <c r="A906" t="inlineStr">
        <is>
          <t>A 32065-2025</t>
        </is>
      </c>
      <c r="B906" s="1" t="n">
        <v>45835.44732638889</v>
      </c>
      <c r="C906" s="1" t="n">
        <v>46162</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33186-2025</t>
        </is>
      </c>
      <c r="B907" s="1" t="n">
        <v>45840.59474537037</v>
      </c>
      <c r="C907" s="1" t="n">
        <v>46162</v>
      </c>
      <c r="D907" t="inlineStr">
        <is>
          <t>KALMAR LÄN</t>
        </is>
      </c>
      <c r="E907" t="inlineStr">
        <is>
          <t>VIMMERBY</t>
        </is>
      </c>
      <c r="G907" t="n">
        <v>2.6</v>
      </c>
      <c r="H907" t="n">
        <v>0</v>
      </c>
      <c r="I907" t="n">
        <v>0</v>
      </c>
      <c r="J907" t="n">
        <v>0</v>
      </c>
      <c r="K907" t="n">
        <v>0</v>
      </c>
      <c r="L907" t="n">
        <v>0</v>
      </c>
      <c r="M907" t="n">
        <v>0</v>
      </c>
      <c r="N907" t="n">
        <v>0</v>
      </c>
      <c r="O907" t="n">
        <v>0</v>
      </c>
      <c r="P907" t="n">
        <v>0</v>
      </c>
      <c r="Q907" t="n">
        <v>0</v>
      </c>
      <c r="R907" s="2" t="inlineStr"/>
    </row>
    <row r="908" ht="15" customHeight="1">
      <c r="A908" t="inlineStr">
        <is>
          <t>A 30977-2025</t>
        </is>
      </c>
      <c r="B908" s="1" t="n">
        <v>45832.46649305556</v>
      </c>
      <c r="C908" s="1" t="n">
        <v>46162</v>
      </c>
      <c r="D908" t="inlineStr">
        <is>
          <t>KALMAR LÄN</t>
        </is>
      </c>
      <c r="E908" t="inlineStr">
        <is>
          <t>VIMMERBY</t>
        </is>
      </c>
      <c r="G908" t="n">
        <v>0.6</v>
      </c>
      <c r="H908" t="n">
        <v>0</v>
      </c>
      <c r="I908" t="n">
        <v>0</v>
      </c>
      <c r="J908" t="n">
        <v>0</v>
      </c>
      <c r="K908" t="n">
        <v>0</v>
      </c>
      <c r="L908" t="n">
        <v>0</v>
      </c>
      <c r="M908" t="n">
        <v>0</v>
      </c>
      <c r="N908" t="n">
        <v>0</v>
      </c>
      <c r="O908" t="n">
        <v>0</v>
      </c>
      <c r="P908" t="n">
        <v>0</v>
      </c>
      <c r="Q908" t="n">
        <v>0</v>
      </c>
      <c r="R908" s="2" t="inlineStr"/>
    </row>
    <row r="909" ht="15" customHeight="1">
      <c r="A909" t="inlineStr">
        <is>
          <t>A 33695-2025</t>
        </is>
      </c>
      <c r="B909" s="1" t="n">
        <v>45841.70569444444</v>
      </c>
      <c r="C909" s="1" t="n">
        <v>46162</v>
      </c>
      <c r="D909" t="inlineStr">
        <is>
          <t>KALMAR LÄN</t>
        </is>
      </c>
      <c r="E909" t="inlineStr">
        <is>
          <t>VIMMERBY</t>
        </is>
      </c>
      <c r="G909" t="n">
        <v>2.7</v>
      </c>
      <c r="H909" t="n">
        <v>0</v>
      </c>
      <c r="I909" t="n">
        <v>0</v>
      </c>
      <c r="J909" t="n">
        <v>0</v>
      </c>
      <c r="K909" t="n">
        <v>0</v>
      </c>
      <c r="L909" t="n">
        <v>0</v>
      </c>
      <c r="M909" t="n">
        <v>0</v>
      </c>
      <c r="N909" t="n">
        <v>0</v>
      </c>
      <c r="O909" t="n">
        <v>0</v>
      </c>
      <c r="P909" t="n">
        <v>0</v>
      </c>
      <c r="Q909" t="n">
        <v>0</v>
      </c>
      <c r="R909" s="2" t="inlineStr"/>
    </row>
    <row r="910" ht="15" customHeight="1">
      <c r="A910" t="inlineStr">
        <is>
          <t>A 33698-2025</t>
        </is>
      </c>
      <c r="B910" s="1" t="n">
        <v>45841.70868055556</v>
      </c>
      <c r="C910" s="1" t="n">
        <v>46162</v>
      </c>
      <c r="D910" t="inlineStr">
        <is>
          <t>KALMAR LÄN</t>
        </is>
      </c>
      <c r="E910" t="inlineStr">
        <is>
          <t>VIMMERBY</t>
        </is>
      </c>
      <c r="G910" t="n">
        <v>3.7</v>
      </c>
      <c r="H910" t="n">
        <v>0</v>
      </c>
      <c r="I910" t="n">
        <v>0</v>
      </c>
      <c r="J910" t="n">
        <v>0</v>
      </c>
      <c r="K910" t="n">
        <v>0</v>
      </c>
      <c r="L910" t="n">
        <v>0</v>
      </c>
      <c r="M910" t="n">
        <v>0</v>
      </c>
      <c r="N910" t="n">
        <v>0</v>
      </c>
      <c r="O910" t="n">
        <v>0</v>
      </c>
      <c r="P910" t="n">
        <v>0</v>
      </c>
      <c r="Q910" t="n">
        <v>0</v>
      </c>
      <c r="R910" s="2" t="inlineStr"/>
    </row>
    <row r="911" ht="15" customHeight="1">
      <c r="A911" t="inlineStr">
        <is>
          <t>A 33696-2025</t>
        </is>
      </c>
      <c r="B911" s="1" t="n">
        <v>45841.7072337963</v>
      </c>
      <c r="C911" s="1" t="n">
        <v>46162</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28702-2025</t>
        </is>
      </c>
      <c r="B912" s="1" t="n">
        <v>45820.03976851852</v>
      </c>
      <c r="C912" s="1" t="n">
        <v>46162</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34071-2025</t>
        </is>
      </c>
      <c r="B913" s="1" t="n">
        <v>45845.43803240741</v>
      </c>
      <c r="C913" s="1" t="n">
        <v>46162</v>
      </c>
      <c r="D913" t="inlineStr">
        <is>
          <t>KALMAR LÄN</t>
        </is>
      </c>
      <c r="E913" t="inlineStr">
        <is>
          <t>VIMMERBY</t>
        </is>
      </c>
      <c r="G913" t="n">
        <v>6.8</v>
      </c>
      <c r="H913" t="n">
        <v>0</v>
      </c>
      <c r="I913" t="n">
        <v>0</v>
      </c>
      <c r="J913" t="n">
        <v>0</v>
      </c>
      <c r="K913" t="n">
        <v>0</v>
      </c>
      <c r="L913" t="n">
        <v>0</v>
      </c>
      <c r="M913" t="n">
        <v>0</v>
      </c>
      <c r="N913" t="n">
        <v>0</v>
      </c>
      <c r="O913" t="n">
        <v>0</v>
      </c>
      <c r="P913" t="n">
        <v>0</v>
      </c>
      <c r="Q913" t="n">
        <v>0</v>
      </c>
      <c r="R913" s="2" t="inlineStr"/>
    </row>
    <row r="914" ht="15" customHeight="1">
      <c r="A914" t="inlineStr">
        <is>
          <t>A 34106-2025</t>
        </is>
      </c>
      <c r="B914" s="1" t="n">
        <v>45845.49414351852</v>
      </c>
      <c r="C914" s="1" t="n">
        <v>46162</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26956-2025</t>
        </is>
      </c>
      <c r="B915" s="1" t="n">
        <v>45811.45460648148</v>
      </c>
      <c r="C915" s="1" t="n">
        <v>46162</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34628-2025</t>
        </is>
      </c>
      <c r="B916" s="1" t="n">
        <v>45847.91280092593</v>
      </c>
      <c r="C916" s="1" t="n">
        <v>46162</v>
      </c>
      <c r="D916" t="inlineStr">
        <is>
          <t>KALMAR LÄN</t>
        </is>
      </c>
      <c r="E916" t="inlineStr">
        <is>
          <t>VIMMERBY</t>
        </is>
      </c>
      <c r="G916" t="n">
        <v>4.2</v>
      </c>
      <c r="H916" t="n">
        <v>0</v>
      </c>
      <c r="I916" t="n">
        <v>0</v>
      </c>
      <c r="J916" t="n">
        <v>0</v>
      </c>
      <c r="K916" t="n">
        <v>0</v>
      </c>
      <c r="L916" t="n">
        <v>0</v>
      </c>
      <c r="M916" t="n">
        <v>0</v>
      </c>
      <c r="N916" t="n">
        <v>0</v>
      </c>
      <c r="O916" t="n">
        <v>0</v>
      </c>
      <c r="P916" t="n">
        <v>0</v>
      </c>
      <c r="Q916" t="n">
        <v>0</v>
      </c>
      <c r="R916" s="2" t="inlineStr"/>
    </row>
    <row r="917" ht="15" customHeight="1">
      <c r="A917" t="inlineStr">
        <is>
          <t>A 35270-2025</t>
        </is>
      </c>
      <c r="B917" s="1" t="n">
        <v>45853.87112268519</v>
      </c>
      <c r="C917" s="1" t="n">
        <v>46162</v>
      </c>
      <c r="D917" t="inlineStr">
        <is>
          <t>KALMAR LÄN</t>
        </is>
      </c>
      <c r="E917" t="inlineStr">
        <is>
          <t>VIMMERBY</t>
        </is>
      </c>
      <c r="G917" t="n">
        <v>2.4</v>
      </c>
      <c r="H917" t="n">
        <v>0</v>
      </c>
      <c r="I917" t="n">
        <v>0</v>
      </c>
      <c r="J917" t="n">
        <v>0</v>
      </c>
      <c r="K917" t="n">
        <v>0</v>
      </c>
      <c r="L917" t="n">
        <v>0</v>
      </c>
      <c r="M917" t="n">
        <v>0</v>
      </c>
      <c r="N917" t="n">
        <v>0</v>
      </c>
      <c r="O917" t="n">
        <v>0</v>
      </c>
      <c r="P917" t="n">
        <v>0</v>
      </c>
      <c r="Q917" t="n">
        <v>0</v>
      </c>
      <c r="R917" s="2" t="inlineStr"/>
    </row>
    <row r="918" ht="15" customHeight="1">
      <c r="A918" t="inlineStr">
        <is>
          <t>A 35271-2025</t>
        </is>
      </c>
      <c r="B918" s="1" t="n">
        <v>45853.87599537037</v>
      </c>
      <c r="C918" s="1" t="n">
        <v>46162</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35272-2025</t>
        </is>
      </c>
      <c r="B919" s="1" t="n">
        <v>45853.88070601852</v>
      </c>
      <c r="C919" s="1" t="n">
        <v>46162</v>
      </c>
      <c r="D919" t="inlineStr">
        <is>
          <t>KALMAR LÄN</t>
        </is>
      </c>
      <c r="E919" t="inlineStr">
        <is>
          <t>VIMMERBY</t>
        </is>
      </c>
      <c r="G919" t="n">
        <v>0.6</v>
      </c>
      <c r="H919" t="n">
        <v>0</v>
      </c>
      <c r="I919" t="n">
        <v>0</v>
      </c>
      <c r="J919" t="n">
        <v>0</v>
      </c>
      <c r="K919" t="n">
        <v>0</v>
      </c>
      <c r="L919" t="n">
        <v>0</v>
      </c>
      <c r="M919" t="n">
        <v>0</v>
      </c>
      <c r="N919" t="n">
        <v>0</v>
      </c>
      <c r="O919" t="n">
        <v>0</v>
      </c>
      <c r="P919" t="n">
        <v>0</v>
      </c>
      <c r="Q919" t="n">
        <v>0</v>
      </c>
      <c r="R919" s="2" t="inlineStr"/>
    </row>
    <row r="920">
      <c r="A920" t="inlineStr">
        <is>
          <t>A 16953-2025</t>
        </is>
      </c>
      <c r="B920" s="1" t="n">
        <v>45755.44333333334</v>
      </c>
      <c r="C920" s="1" t="n">
        <v>46162</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2026-05-20T11:01:45Z</dcterms:created>
  <dcterms:modified xmlns:dcterms="http://purl.org/dc/terms/" xmlns:xsi="http://www.w3.org/2001/XMLSchema-instance" xsi:type="dcterms:W3CDTF">2026-05-20T11:01:46Z</dcterms:modified>
</cp:coreProperties>
</file>