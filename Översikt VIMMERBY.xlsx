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46178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46178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46178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46178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46178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46178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46178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46178</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46178</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37901-2022</t>
        </is>
      </c>
      <c r="B16" s="1" t="n">
        <v>44811</v>
      </c>
      <c r="C16" s="1" t="n">
        <v>46178</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46178</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46178</v>
      </c>
      <c r="D18" t="inlineStr">
        <is>
          <t>KALMAR LÄN</t>
        </is>
      </c>
      <c r="E18" t="inlineStr">
        <is>
          <t>VIMMERBY</t>
        </is>
      </c>
      <c r="G18" t="n">
        <v>5.4</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46178</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46178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46178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46178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46178</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46178</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46178</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22825-2023</t>
        </is>
      </c>
      <c r="B26" s="1" t="n">
        <v>45072</v>
      </c>
      <c r="C26" s="1" t="n">
        <v>46178</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53787-2025</t>
        </is>
      </c>
      <c r="B27" s="1" t="n">
        <v>45960</v>
      </c>
      <c r="C27" s="1" t="n">
        <v>46178</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14426-2026</t>
        </is>
      </c>
      <c r="B28" s="1" t="n">
        <v>46100.46956018519</v>
      </c>
      <c r="C28" s="1" t="n">
        <v>46178</v>
      </c>
      <c r="D28" t="inlineStr">
        <is>
          <t>KALMAR LÄN</t>
        </is>
      </c>
      <c r="E28" t="inlineStr">
        <is>
          <t>VIMMERBY</t>
        </is>
      </c>
      <c r="F28" t="inlineStr">
        <is>
          <t>Kyrkan</t>
        </is>
      </c>
      <c r="G28" t="n">
        <v>8.6</v>
      </c>
      <c r="H28" t="n">
        <v>1</v>
      </c>
      <c r="I28" t="n">
        <v>0</v>
      </c>
      <c r="J28" t="n">
        <v>1</v>
      </c>
      <c r="K28" t="n">
        <v>1</v>
      </c>
      <c r="L28" t="n">
        <v>0</v>
      </c>
      <c r="M28" t="n">
        <v>0</v>
      </c>
      <c r="N28" t="n">
        <v>0</v>
      </c>
      <c r="O28" t="n">
        <v>2</v>
      </c>
      <c r="P28" t="n">
        <v>1</v>
      </c>
      <c r="Q28" t="n">
        <v>2</v>
      </c>
      <c r="R28" s="2" t="inlineStr">
        <is>
          <t>Knärot
Tallticka</t>
        </is>
      </c>
      <c r="S28">
        <f>HYPERLINK("https://klasma.github.io/Logging_0884/artfynd/A 14426-2026 artfynd.xlsx", "A 14426-2026")</f>
        <v/>
      </c>
      <c r="T28">
        <f>HYPERLINK("https://klasma.github.io/Logging_0884/kartor/A 14426-2026 karta.png", "A 14426-2026")</f>
        <v/>
      </c>
      <c r="U28">
        <f>HYPERLINK("https://klasma.github.io/Logging_0884/knärot/A 14426-2026 karta knärot.png", "A 14426-2026")</f>
        <v/>
      </c>
      <c r="V28">
        <f>HYPERLINK("https://klasma.github.io/Logging_0884/klagomål/A 14426-2026 FSC-klagomål.docx", "A 14426-2026")</f>
        <v/>
      </c>
      <c r="W28">
        <f>HYPERLINK("https://klasma.github.io/Logging_0884/klagomålsmail/A 14426-2026 FSC-klagomål mail.docx", "A 14426-2026")</f>
        <v/>
      </c>
      <c r="X28">
        <f>HYPERLINK("https://klasma.github.io/Logging_0884/tillsyn/A 14426-2026 tillsynsbegäran.docx", "A 14426-2026")</f>
        <v/>
      </c>
      <c r="Y28">
        <f>HYPERLINK("https://klasma.github.io/Logging_0884/tillsynsmail/A 14426-2026 tillsynsbegäran mail.docx", "A 14426-2026")</f>
        <v/>
      </c>
    </row>
    <row r="29" ht="15" customHeight="1">
      <c r="A29" t="inlineStr">
        <is>
          <t>A 25155-2026</t>
        </is>
      </c>
      <c r="B29" s="1" t="n">
        <v>46175.44809027778</v>
      </c>
      <c r="C29" s="1" t="n">
        <v>46178</v>
      </c>
      <c r="D29" t="inlineStr">
        <is>
          <t>KALMAR LÄN</t>
        </is>
      </c>
      <c r="E29" t="inlineStr">
        <is>
          <t>VIMMERBY</t>
        </is>
      </c>
      <c r="G29" t="n">
        <v>2.9</v>
      </c>
      <c r="H29" t="n">
        <v>0</v>
      </c>
      <c r="I29" t="n">
        <v>1</v>
      </c>
      <c r="J29" t="n">
        <v>0</v>
      </c>
      <c r="K29" t="n">
        <v>0</v>
      </c>
      <c r="L29" t="n">
        <v>1</v>
      </c>
      <c r="M29" t="n">
        <v>0</v>
      </c>
      <c r="N29" t="n">
        <v>0</v>
      </c>
      <c r="O29" t="n">
        <v>1</v>
      </c>
      <c r="P29" t="n">
        <v>1</v>
      </c>
      <c r="Q29" t="n">
        <v>2</v>
      </c>
      <c r="R29" s="2" t="inlineStr">
        <is>
          <t>Ryl
Grönpyrola</t>
        </is>
      </c>
      <c r="S29">
        <f>HYPERLINK("https://klasma.github.io/Logging_0884/artfynd/A 25155-2026 artfynd.xlsx", "A 25155-2026")</f>
        <v/>
      </c>
      <c r="T29">
        <f>HYPERLINK("https://klasma.github.io/Logging_0884/kartor/A 25155-2026 karta.png", "A 25155-2026")</f>
        <v/>
      </c>
      <c r="V29">
        <f>HYPERLINK("https://klasma.github.io/Logging_0884/klagomål/A 25155-2026 FSC-klagomål.docx", "A 25155-2026")</f>
        <v/>
      </c>
      <c r="W29">
        <f>HYPERLINK("https://klasma.github.io/Logging_0884/klagomålsmail/A 25155-2026 FSC-klagomål mail.docx", "A 25155-2026")</f>
        <v/>
      </c>
      <c r="X29">
        <f>HYPERLINK("https://klasma.github.io/Logging_0884/tillsyn/A 25155-2026 tillsynsbegäran.docx", "A 25155-2026")</f>
        <v/>
      </c>
      <c r="Y29">
        <f>HYPERLINK("https://klasma.github.io/Logging_0884/tillsynsmail/A 25155-2026 tillsynsbegäran mail.docx", "A 25155-2026")</f>
        <v/>
      </c>
    </row>
    <row r="30" ht="15" customHeight="1">
      <c r="A30" t="inlineStr">
        <is>
          <t>A 14024-2023</t>
        </is>
      </c>
      <c r="B30" s="1" t="n">
        <v>45008.60878472222</v>
      </c>
      <c r="C30" s="1" t="n">
        <v>46178</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46178</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46178</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46178</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46178</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46178</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46178</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46178</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1201-2025</t>
        </is>
      </c>
      <c r="B38" s="1" t="n">
        <v>45667</v>
      </c>
      <c r="C38" s="1" t="n">
        <v>46178</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29183-2025</t>
        </is>
      </c>
      <c r="B39" s="1" t="n">
        <v>45821</v>
      </c>
      <c r="C39" s="1" t="n">
        <v>46178</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46178</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46178</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23602-2023</t>
        </is>
      </c>
      <c r="B42" s="1" t="n">
        <v>45077</v>
      </c>
      <c r="C42" s="1" t="n">
        <v>46178</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53404-2025</t>
        </is>
      </c>
      <c r="B43" s="1" t="n">
        <v>45959.57126157408</v>
      </c>
      <c r="C43" s="1" t="n">
        <v>46178</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61860-2024</t>
        </is>
      </c>
      <c r="B44" s="1" t="n">
        <v>45649</v>
      </c>
      <c r="C44" s="1" t="n">
        <v>46178</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55384-2025</t>
        </is>
      </c>
      <c r="B45" s="1" t="n">
        <v>45971.43178240741</v>
      </c>
      <c r="C45" s="1" t="n">
        <v>46178</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57062-2025</t>
        </is>
      </c>
      <c r="B46" s="1" t="n">
        <v>45979.37598379629</v>
      </c>
      <c r="C46" s="1" t="n">
        <v>46178</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46178</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46178</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53400-2025</t>
        </is>
      </c>
      <c r="B49" s="1" t="n">
        <v>45959.56684027778</v>
      </c>
      <c r="C49" s="1" t="n">
        <v>46178</v>
      </c>
      <c r="D49" t="inlineStr">
        <is>
          <t>KALMAR LÄN</t>
        </is>
      </c>
      <c r="E49" t="inlineStr">
        <is>
          <t>VIMMERBY</t>
        </is>
      </c>
      <c r="G49" t="n">
        <v>9.199999999999999</v>
      </c>
      <c r="H49" t="n">
        <v>1</v>
      </c>
      <c r="I49" t="n">
        <v>0</v>
      </c>
      <c r="J49" t="n">
        <v>0</v>
      </c>
      <c r="K49" t="n">
        <v>1</v>
      </c>
      <c r="L49" t="n">
        <v>0</v>
      </c>
      <c r="M49" t="n">
        <v>0</v>
      </c>
      <c r="N49" t="n">
        <v>0</v>
      </c>
      <c r="O49" t="n">
        <v>1</v>
      </c>
      <c r="P49" t="n">
        <v>1</v>
      </c>
      <c r="Q49" t="n">
        <v>1</v>
      </c>
      <c r="R49" s="2" t="inlineStr">
        <is>
          <t>Knärot</t>
        </is>
      </c>
      <c r="S49">
        <f>HYPERLINK("https://klasma.github.io/Logging_0884/artfynd/A 53400-2025 artfynd.xlsx", "A 53400-2025")</f>
        <v/>
      </c>
      <c r="T49">
        <f>HYPERLINK("https://klasma.github.io/Logging_0884/kartor/A 53400-2025 karta.png", "A 53400-2025")</f>
        <v/>
      </c>
      <c r="U49">
        <f>HYPERLINK("https://klasma.github.io/Logging_0884/knärot/A 53400-2025 karta knärot.png", "A 53400-2025")</f>
        <v/>
      </c>
      <c r="V49">
        <f>HYPERLINK("https://klasma.github.io/Logging_0884/klagomål/A 53400-2025 FSC-klagomål.docx", "A 53400-2025")</f>
        <v/>
      </c>
      <c r="W49">
        <f>HYPERLINK("https://klasma.github.io/Logging_0884/klagomålsmail/A 53400-2025 FSC-klagomål mail.docx", "A 53400-2025")</f>
        <v/>
      </c>
      <c r="X49">
        <f>HYPERLINK("https://klasma.github.io/Logging_0884/tillsyn/A 53400-2025 tillsynsbegäran.docx", "A 53400-2025")</f>
        <v/>
      </c>
      <c r="Y49">
        <f>HYPERLINK("https://klasma.github.io/Logging_0884/tillsynsmail/A 53400-2025 tillsynsbegäran mail.docx", "A 53400-2025")</f>
        <v/>
      </c>
    </row>
    <row r="50" ht="15" customHeight="1">
      <c r="A50" t="inlineStr">
        <is>
          <t>A 37930-2021</t>
        </is>
      </c>
      <c r="B50" s="1" t="n">
        <v>44403</v>
      </c>
      <c r="C50" s="1" t="n">
        <v>46178</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46178</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46178</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59070-2021</t>
        </is>
      </c>
      <c r="B53" s="1" t="n">
        <v>44490.38613425926</v>
      </c>
      <c r="C53" s="1" t="n">
        <v>46178</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46178</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46178</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46178</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46178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46178</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46178</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63926-2021</t>
        </is>
      </c>
      <c r="B60" s="1" t="n">
        <v>44509</v>
      </c>
      <c r="C60" s="1" t="n">
        <v>46178</v>
      </c>
      <c r="D60" t="inlineStr">
        <is>
          <t>KALMAR LÄN</t>
        </is>
      </c>
      <c r="E60" t="inlineStr">
        <is>
          <t>VIMMERBY</t>
        </is>
      </c>
      <c r="G60" t="n">
        <v>0.7</v>
      </c>
      <c r="H60" t="n">
        <v>0</v>
      </c>
      <c r="I60" t="n">
        <v>0</v>
      </c>
      <c r="J60" t="n">
        <v>0</v>
      </c>
      <c r="K60" t="n">
        <v>0</v>
      </c>
      <c r="L60" t="n">
        <v>0</v>
      </c>
      <c r="M60" t="n">
        <v>0</v>
      </c>
      <c r="N60" t="n">
        <v>0</v>
      </c>
      <c r="O60" t="n">
        <v>0</v>
      </c>
      <c r="P60" t="n">
        <v>0</v>
      </c>
      <c r="Q60" t="n">
        <v>0</v>
      </c>
      <c r="R60" s="2" t="inlineStr"/>
    </row>
    <row r="61" ht="15" customHeight="1">
      <c r="A61" t="inlineStr">
        <is>
          <t>A 38348-2021</t>
        </is>
      </c>
      <c r="B61" s="1" t="n">
        <v>44406</v>
      </c>
      <c r="C61" s="1" t="n">
        <v>46178</v>
      </c>
      <c r="D61" t="inlineStr">
        <is>
          <t>KALMAR LÄN</t>
        </is>
      </c>
      <c r="E61" t="inlineStr">
        <is>
          <t>VIMMERBY</t>
        </is>
      </c>
      <c r="G61" t="n">
        <v>2.2</v>
      </c>
      <c r="H61" t="n">
        <v>0</v>
      </c>
      <c r="I61" t="n">
        <v>0</v>
      </c>
      <c r="J61" t="n">
        <v>0</v>
      </c>
      <c r="K61" t="n">
        <v>0</v>
      </c>
      <c r="L61" t="n">
        <v>0</v>
      </c>
      <c r="M61" t="n">
        <v>0</v>
      </c>
      <c r="N61" t="n">
        <v>0</v>
      </c>
      <c r="O61" t="n">
        <v>0</v>
      </c>
      <c r="P61" t="n">
        <v>0</v>
      </c>
      <c r="Q61" t="n">
        <v>0</v>
      </c>
      <c r="R61" s="2" t="inlineStr"/>
    </row>
    <row r="62" ht="15" customHeight="1">
      <c r="A62" t="inlineStr">
        <is>
          <t>A 56378-2021</t>
        </is>
      </c>
      <c r="B62" s="1" t="n">
        <v>44480</v>
      </c>
      <c r="C62" s="1" t="n">
        <v>46178</v>
      </c>
      <c r="D62" t="inlineStr">
        <is>
          <t>KALMAR LÄN</t>
        </is>
      </c>
      <c r="E62" t="inlineStr">
        <is>
          <t>VIMMERBY</t>
        </is>
      </c>
      <c r="G62" t="n">
        <v>1.1</v>
      </c>
      <c r="H62" t="n">
        <v>0</v>
      </c>
      <c r="I62" t="n">
        <v>0</v>
      </c>
      <c r="J62" t="n">
        <v>0</v>
      </c>
      <c r="K62" t="n">
        <v>0</v>
      </c>
      <c r="L62" t="n">
        <v>0</v>
      </c>
      <c r="M62" t="n">
        <v>0</v>
      </c>
      <c r="N62" t="n">
        <v>0</v>
      </c>
      <c r="O62" t="n">
        <v>0</v>
      </c>
      <c r="P62" t="n">
        <v>0</v>
      </c>
      <c r="Q62" t="n">
        <v>0</v>
      </c>
      <c r="R62" s="2" t="inlineStr"/>
    </row>
    <row r="63" ht="15" customHeight="1">
      <c r="A63" t="inlineStr">
        <is>
          <t>A 3426-2022</t>
        </is>
      </c>
      <c r="B63" s="1" t="n">
        <v>44585.51829861111</v>
      </c>
      <c r="C63" s="1" t="n">
        <v>46178</v>
      </c>
      <c r="D63" t="inlineStr">
        <is>
          <t>KALMAR LÄN</t>
        </is>
      </c>
      <c r="E63" t="inlineStr">
        <is>
          <t>VIMMERBY</t>
        </is>
      </c>
      <c r="G63" t="n">
        <v>1.8</v>
      </c>
      <c r="H63" t="n">
        <v>0</v>
      </c>
      <c r="I63" t="n">
        <v>0</v>
      </c>
      <c r="J63" t="n">
        <v>0</v>
      </c>
      <c r="K63" t="n">
        <v>0</v>
      </c>
      <c r="L63" t="n">
        <v>0</v>
      </c>
      <c r="M63" t="n">
        <v>0</v>
      </c>
      <c r="N63" t="n">
        <v>0</v>
      </c>
      <c r="O63" t="n">
        <v>0</v>
      </c>
      <c r="P63" t="n">
        <v>0</v>
      </c>
      <c r="Q63" t="n">
        <v>0</v>
      </c>
      <c r="R63" s="2" t="inlineStr"/>
    </row>
    <row r="64" ht="15" customHeight="1">
      <c r="A64" t="inlineStr">
        <is>
          <t>A 40728-2022</t>
        </is>
      </c>
      <c r="B64" s="1" t="n">
        <v>44824.53434027778</v>
      </c>
      <c r="C64" s="1" t="n">
        <v>46178</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40073-2021</t>
        </is>
      </c>
      <c r="B65" s="1" t="n">
        <v>44418</v>
      </c>
      <c r="C65" s="1" t="n">
        <v>46178</v>
      </c>
      <c r="D65" t="inlineStr">
        <is>
          <t>KALMAR LÄN</t>
        </is>
      </c>
      <c r="E65" t="inlineStr">
        <is>
          <t>VIMMERBY</t>
        </is>
      </c>
      <c r="G65" t="n">
        <v>1</v>
      </c>
      <c r="H65" t="n">
        <v>0</v>
      </c>
      <c r="I65" t="n">
        <v>0</v>
      </c>
      <c r="J65" t="n">
        <v>0</v>
      </c>
      <c r="K65" t="n">
        <v>0</v>
      </c>
      <c r="L65" t="n">
        <v>0</v>
      </c>
      <c r="M65" t="n">
        <v>0</v>
      </c>
      <c r="N65" t="n">
        <v>0</v>
      </c>
      <c r="O65" t="n">
        <v>0</v>
      </c>
      <c r="P65" t="n">
        <v>0</v>
      </c>
      <c r="Q65" t="n">
        <v>0</v>
      </c>
      <c r="R65" s="2" t="inlineStr"/>
    </row>
    <row r="66" ht="15" customHeight="1">
      <c r="A66" t="inlineStr">
        <is>
          <t>A 33051-2022</t>
        </is>
      </c>
      <c r="B66" s="1" t="n">
        <v>44785.40800925926</v>
      </c>
      <c r="C66" s="1" t="n">
        <v>46178</v>
      </c>
      <c r="D66" t="inlineStr">
        <is>
          <t>KALMAR LÄN</t>
        </is>
      </c>
      <c r="E66" t="inlineStr">
        <is>
          <t>VIMMERBY</t>
        </is>
      </c>
      <c r="G66" t="n">
        <v>0.3</v>
      </c>
      <c r="H66" t="n">
        <v>0</v>
      </c>
      <c r="I66" t="n">
        <v>0</v>
      </c>
      <c r="J66" t="n">
        <v>0</v>
      </c>
      <c r="K66" t="n">
        <v>0</v>
      </c>
      <c r="L66" t="n">
        <v>0</v>
      </c>
      <c r="M66" t="n">
        <v>0</v>
      </c>
      <c r="N66" t="n">
        <v>0</v>
      </c>
      <c r="O66" t="n">
        <v>0</v>
      </c>
      <c r="P66" t="n">
        <v>0</v>
      </c>
      <c r="Q66" t="n">
        <v>0</v>
      </c>
      <c r="R66" s="2" t="inlineStr"/>
    </row>
    <row r="67" ht="15" customHeight="1">
      <c r="A67" t="inlineStr">
        <is>
          <t>A 41438-2022</t>
        </is>
      </c>
      <c r="B67" s="1" t="n">
        <v>44826.68010416667</v>
      </c>
      <c r="C67" s="1" t="n">
        <v>46178</v>
      </c>
      <c r="D67" t="inlineStr">
        <is>
          <t>KALMAR LÄN</t>
        </is>
      </c>
      <c r="E67" t="inlineStr">
        <is>
          <t>VIMMERBY</t>
        </is>
      </c>
      <c r="G67" t="n">
        <v>3.1</v>
      </c>
      <c r="H67" t="n">
        <v>0</v>
      </c>
      <c r="I67" t="n">
        <v>0</v>
      </c>
      <c r="J67" t="n">
        <v>0</v>
      </c>
      <c r="K67" t="n">
        <v>0</v>
      </c>
      <c r="L67" t="n">
        <v>0</v>
      </c>
      <c r="M67" t="n">
        <v>0</v>
      </c>
      <c r="N67" t="n">
        <v>0</v>
      </c>
      <c r="O67" t="n">
        <v>0</v>
      </c>
      <c r="P67" t="n">
        <v>0</v>
      </c>
      <c r="Q67" t="n">
        <v>0</v>
      </c>
      <c r="R67" s="2" t="inlineStr"/>
    </row>
    <row r="68" ht="15" customHeight="1">
      <c r="A68" t="inlineStr">
        <is>
          <t>A 2183-2022</t>
        </is>
      </c>
      <c r="B68" s="1" t="n">
        <v>44578.47597222222</v>
      </c>
      <c r="C68" s="1" t="n">
        <v>46178</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44516.59703703703</v>
      </c>
      <c r="C69" s="1" t="n">
        <v>46178</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50809-2022</t>
        </is>
      </c>
      <c r="B70" s="1" t="n">
        <v>44862</v>
      </c>
      <c r="C70" s="1" t="n">
        <v>46178</v>
      </c>
      <c r="D70" t="inlineStr">
        <is>
          <t>KALMAR LÄN</t>
        </is>
      </c>
      <c r="E70" t="inlineStr">
        <is>
          <t>VIMMERBY</t>
        </is>
      </c>
      <c r="G70" t="n">
        <v>3.7</v>
      </c>
      <c r="H70" t="n">
        <v>0</v>
      </c>
      <c r="I70" t="n">
        <v>0</v>
      </c>
      <c r="J70" t="n">
        <v>0</v>
      </c>
      <c r="K70" t="n">
        <v>0</v>
      </c>
      <c r="L70" t="n">
        <v>0</v>
      </c>
      <c r="M70" t="n">
        <v>0</v>
      </c>
      <c r="N70" t="n">
        <v>0</v>
      </c>
      <c r="O70" t="n">
        <v>0</v>
      </c>
      <c r="P70" t="n">
        <v>0</v>
      </c>
      <c r="Q70" t="n">
        <v>0</v>
      </c>
      <c r="R70" s="2" t="inlineStr"/>
    </row>
    <row r="71" ht="15" customHeight="1">
      <c r="A71" t="inlineStr">
        <is>
          <t>A 7049-2022</t>
        </is>
      </c>
      <c r="B71" s="1" t="n">
        <v>44603</v>
      </c>
      <c r="C71" s="1" t="n">
        <v>46178</v>
      </c>
      <c r="D71" t="inlineStr">
        <is>
          <t>KALMAR LÄN</t>
        </is>
      </c>
      <c r="E71" t="inlineStr">
        <is>
          <t>VIMMERBY</t>
        </is>
      </c>
      <c r="G71" t="n">
        <v>2.3</v>
      </c>
      <c r="H71" t="n">
        <v>0</v>
      </c>
      <c r="I71" t="n">
        <v>0</v>
      </c>
      <c r="J71" t="n">
        <v>0</v>
      </c>
      <c r="K71" t="n">
        <v>0</v>
      </c>
      <c r="L71" t="n">
        <v>0</v>
      </c>
      <c r="M71" t="n">
        <v>0</v>
      </c>
      <c r="N71" t="n">
        <v>0</v>
      </c>
      <c r="O71" t="n">
        <v>0</v>
      </c>
      <c r="P71" t="n">
        <v>0</v>
      </c>
      <c r="Q71" t="n">
        <v>0</v>
      </c>
      <c r="R71" s="2" t="inlineStr"/>
    </row>
    <row r="72" ht="15" customHeight="1">
      <c r="A72" t="inlineStr">
        <is>
          <t>A 38086-2021</t>
        </is>
      </c>
      <c r="B72" s="1" t="n">
        <v>44404.87505787037</v>
      </c>
      <c r="C72" s="1" t="n">
        <v>46178</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4296-2022</t>
        </is>
      </c>
      <c r="B73" s="1" t="n">
        <v>44588</v>
      </c>
      <c r="C73" s="1" t="n">
        <v>46178</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57416-2021</t>
        </is>
      </c>
      <c r="B74" s="1" t="n">
        <v>44483.58295138889</v>
      </c>
      <c r="C74" s="1" t="n">
        <v>46178</v>
      </c>
      <c r="D74" t="inlineStr">
        <is>
          <t>KALMAR LÄN</t>
        </is>
      </c>
      <c r="E74" t="inlineStr">
        <is>
          <t>VIMMERBY</t>
        </is>
      </c>
      <c r="G74" t="n">
        <v>2.9</v>
      </c>
      <c r="H74" t="n">
        <v>0</v>
      </c>
      <c r="I74" t="n">
        <v>0</v>
      </c>
      <c r="J74" t="n">
        <v>0</v>
      </c>
      <c r="K74" t="n">
        <v>0</v>
      </c>
      <c r="L74" t="n">
        <v>0</v>
      </c>
      <c r="M74" t="n">
        <v>0</v>
      </c>
      <c r="N74" t="n">
        <v>0</v>
      </c>
      <c r="O74" t="n">
        <v>0</v>
      </c>
      <c r="P74" t="n">
        <v>0</v>
      </c>
      <c r="Q74" t="n">
        <v>0</v>
      </c>
      <c r="R74" s="2" t="inlineStr"/>
    </row>
    <row r="75" ht="15" customHeight="1">
      <c r="A75" t="inlineStr">
        <is>
          <t>A 59791-2021</t>
        </is>
      </c>
      <c r="B75" s="1" t="n">
        <v>44494</v>
      </c>
      <c r="C75" s="1" t="n">
        <v>46178</v>
      </c>
      <c r="D75" t="inlineStr">
        <is>
          <t>KALMAR LÄN</t>
        </is>
      </c>
      <c r="E75" t="inlineStr">
        <is>
          <t>VIMMERBY</t>
        </is>
      </c>
      <c r="G75" t="n">
        <v>0.5</v>
      </c>
      <c r="H75" t="n">
        <v>0</v>
      </c>
      <c r="I75" t="n">
        <v>0</v>
      </c>
      <c r="J75" t="n">
        <v>0</v>
      </c>
      <c r="K75" t="n">
        <v>0</v>
      </c>
      <c r="L75" t="n">
        <v>0</v>
      </c>
      <c r="M75" t="n">
        <v>0</v>
      </c>
      <c r="N75" t="n">
        <v>0</v>
      </c>
      <c r="O75" t="n">
        <v>0</v>
      </c>
      <c r="P75" t="n">
        <v>0</v>
      </c>
      <c r="Q75" t="n">
        <v>0</v>
      </c>
      <c r="R75" s="2" t="inlineStr"/>
    </row>
    <row r="76" ht="15" customHeight="1">
      <c r="A76" t="inlineStr">
        <is>
          <t>A 71626-2021</t>
        </is>
      </c>
      <c r="B76" s="1" t="n">
        <v>44542.8859375</v>
      </c>
      <c r="C76" s="1" t="n">
        <v>46178</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27762-2021</t>
        </is>
      </c>
      <c r="B77" s="1" t="n">
        <v>44354</v>
      </c>
      <c r="C77" s="1" t="n">
        <v>46178</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64923-2021</t>
        </is>
      </c>
      <c r="B78" s="1" t="n">
        <v>44512.70245370371</v>
      </c>
      <c r="C78" s="1" t="n">
        <v>46178</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33829-2022</t>
        </is>
      </c>
      <c r="B79" s="1" t="n">
        <v>44790</v>
      </c>
      <c r="C79" s="1" t="n">
        <v>46178</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68840-2021</t>
        </is>
      </c>
      <c r="B80" s="1" t="n">
        <v>44530.38055555556</v>
      </c>
      <c r="C80" s="1" t="n">
        <v>46178</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4118-2022</t>
        </is>
      </c>
      <c r="B81" s="1" t="n">
        <v>44588</v>
      </c>
      <c r="C81" s="1" t="n">
        <v>46178</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4126-2022</t>
        </is>
      </c>
      <c r="B82" s="1" t="n">
        <v>44588</v>
      </c>
      <c r="C82" s="1" t="n">
        <v>46178</v>
      </c>
      <c r="D82" t="inlineStr">
        <is>
          <t>KALMAR LÄN</t>
        </is>
      </c>
      <c r="E82" t="inlineStr">
        <is>
          <t>VIMMERBY</t>
        </is>
      </c>
      <c r="G82" t="n">
        <v>0.6</v>
      </c>
      <c r="H82" t="n">
        <v>0</v>
      </c>
      <c r="I82" t="n">
        <v>0</v>
      </c>
      <c r="J82" t="n">
        <v>0</v>
      </c>
      <c r="K82" t="n">
        <v>0</v>
      </c>
      <c r="L82" t="n">
        <v>0</v>
      </c>
      <c r="M82" t="n">
        <v>0</v>
      </c>
      <c r="N82" t="n">
        <v>0</v>
      </c>
      <c r="O82" t="n">
        <v>0</v>
      </c>
      <c r="P82" t="n">
        <v>0</v>
      </c>
      <c r="Q82" t="n">
        <v>0</v>
      </c>
      <c r="R82" s="2" t="inlineStr"/>
    </row>
    <row r="83" ht="15" customHeight="1">
      <c r="A83" t="inlineStr">
        <is>
          <t>A 33820-2022</t>
        </is>
      </c>
      <c r="B83" s="1" t="n">
        <v>44790</v>
      </c>
      <c r="C83" s="1" t="n">
        <v>46178</v>
      </c>
      <c r="D83" t="inlineStr">
        <is>
          <t>KALMAR LÄN</t>
        </is>
      </c>
      <c r="E83" t="inlineStr">
        <is>
          <t>VIMMERBY</t>
        </is>
      </c>
      <c r="G83" t="n">
        <v>3</v>
      </c>
      <c r="H83" t="n">
        <v>0</v>
      </c>
      <c r="I83" t="n">
        <v>0</v>
      </c>
      <c r="J83" t="n">
        <v>0</v>
      </c>
      <c r="K83" t="n">
        <v>0</v>
      </c>
      <c r="L83" t="n">
        <v>0</v>
      </c>
      <c r="M83" t="n">
        <v>0</v>
      </c>
      <c r="N83" t="n">
        <v>0</v>
      </c>
      <c r="O83" t="n">
        <v>0</v>
      </c>
      <c r="P83" t="n">
        <v>0</v>
      </c>
      <c r="Q83" t="n">
        <v>0</v>
      </c>
      <c r="R83" s="2" t="inlineStr"/>
    </row>
    <row r="84" ht="15" customHeight="1">
      <c r="A84" t="inlineStr">
        <is>
          <t>A 33824-2022</t>
        </is>
      </c>
      <c r="B84" s="1" t="n">
        <v>44790.47628472222</v>
      </c>
      <c r="C84" s="1" t="n">
        <v>46178</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55297-2021</t>
        </is>
      </c>
      <c r="B85" s="1" t="n">
        <v>44475</v>
      </c>
      <c r="C85" s="1" t="n">
        <v>46178</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35531-2021</t>
        </is>
      </c>
      <c r="B86" s="1" t="n">
        <v>44385</v>
      </c>
      <c r="C86" s="1" t="n">
        <v>46178</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38789-2021</t>
        </is>
      </c>
      <c r="B87" s="1" t="n">
        <v>44410.71038194445</v>
      </c>
      <c r="C87" s="1" t="n">
        <v>46178</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16290-2022</t>
        </is>
      </c>
      <c r="B88" s="1" t="n">
        <v>44670</v>
      </c>
      <c r="C88" s="1" t="n">
        <v>46178</v>
      </c>
      <c r="D88" t="inlineStr">
        <is>
          <t>KALMAR LÄN</t>
        </is>
      </c>
      <c r="E88" t="inlineStr">
        <is>
          <t>VIMMERBY</t>
        </is>
      </c>
      <c r="G88" t="n">
        <v>1.2</v>
      </c>
      <c r="H88" t="n">
        <v>0</v>
      </c>
      <c r="I88" t="n">
        <v>0</v>
      </c>
      <c r="J88" t="n">
        <v>0</v>
      </c>
      <c r="K88" t="n">
        <v>0</v>
      </c>
      <c r="L88" t="n">
        <v>0</v>
      </c>
      <c r="M88" t="n">
        <v>0</v>
      </c>
      <c r="N88" t="n">
        <v>0</v>
      </c>
      <c r="O88" t="n">
        <v>0</v>
      </c>
      <c r="P88" t="n">
        <v>0</v>
      </c>
      <c r="Q88" t="n">
        <v>0</v>
      </c>
      <c r="R88" s="2" t="inlineStr"/>
    </row>
    <row r="89" ht="15" customHeight="1">
      <c r="A89" t="inlineStr">
        <is>
          <t>A 30682-2021</t>
        </is>
      </c>
      <c r="B89" s="1" t="n">
        <v>44365</v>
      </c>
      <c r="C89" s="1" t="n">
        <v>46178</v>
      </c>
      <c r="D89" t="inlineStr">
        <is>
          <t>KALMAR LÄN</t>
        </is>
      </c>
      <c r="E89" t="inlineStr">
        <is>
          <t>VIMMERBY</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25049-2022</t>
        </is>
      </c>
      <c r="B90" s="1" t="n">
        <v>44729.28226851852</v>
      </c>
      <c r="C90" s="1" t="n">
        <v>46178</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31533-2022</t>
        </is>
      </c>
      <c r="B91" s="1" t="n">
        <v>44774</v>
      </c>
      <c r="C91" s="1" t="n">
        <v>46178</v>
      </c>
      <c r="D91" t="inlineStr">
        <is>
          <t>KALMAR LÄN</t>
        </is>
      </c>
      <c r="E91" t="inlineStr">
        <is>
          <t>VIMMERBY</t>
        </is>
      </c>
      <c r="G91" t="n">
        <v>2.5</v>
      </c>
      <c r="H91" t="n">
        <v>0</v>
      </c>
      <c r="I91" t="n">
        <v>0</v>
      </c>
      <c r="J91" t="n">
        <v>0</v>
      </c>
      <c r="K91" t="n">
        <v>0</v>
      </c>
      <c r="L91" t="n">
        <v>0</v>
      </c>
      <c r="M91" t="n">
        <v>0</v>
      </c>
      <c r="N91" t="n">
        <v>0</v>
      </c>
      <c r="O91" t="n">
        <v>0</v>
      </c>
      <c r="P91" t="n">
        <v>0</v>
      </c>
      <c r="Q91" t="n">
        <v>0</v>
      </c>
      <c r="R91" s="2" t="inlineStr"/>
    </row>
    <row r="92" ht="15" customHeight="1">
      <c r="A92" t="inlineStr">
        <is>
          <t>A 25859-2022</t>
        </is>
      </c>
      <c r="B92" s="1" t="n">
        <v>44733</v>
      </c>
      <c r="C92" s="1" t="n">
        <v>46178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25868-2022</t>
        </is>
      </c>
      <c r="B93" s="1" t="n">
        <v>44733</v>
      </c>
      <c r="C93" s="1" t="n">
        <v>46178</v>
      </c>
      <c r="D93" t="inlineStr">
        <is>
          <t>KALMAR LÄN</t>
        </is>
      </c>
      <c r="E93" t="inlineStr">
        <is>
          <t>VIMMERBY</t>
        </is>
      </c>
      <c r="G93" t="n">
        <v>1.7</v>
      </c>
      <c r="H93" t="n">
        <v>0</v>
      </c>
      <c r="I93" t="n">
        <v>0</v>
      </c>
      <c r="J93" t="n">
        <v>0</v>
      </c>
      <c r="K93" t="n">
        <v>0</v>
      </c>
      <c r="L93" t="n">
        <v>0</v>
      </c>
      <c r="M93" t="n">
        <v>0</v>
      </c>
      <c r="N93" t="n">
        <v>0</v>
      </c>
      <c r="O93" t="n">
        <v>0</v>
      </c>
      <c r="P93" t="n">
        <v>0</v>
      </c>
      <c r="Q93" t="n">
        <v>0</v>
      </c>
      <c r="R93" s="2" t="inlineStr"/>
    </row>
    <row r="94" ht="15" customHeight="1">
      <c r="A94" t="inlineStr">
        <is>
          <t>A 32386-2021</t>
        </is>
      </c>
      <c r="B94" s="1" t="n">
        <v>44371.62743055556</v>
      </c>
      <c r="C94" s="1" t="n">
        <v>46178</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35633-2021</t>
        </is>
      </c>
      <c r="B95" s="1" t="n">
        <v>44386.40783564815</v>
      </c>
      <c r="C95" s="1" t="n">
        <v>46178</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56343-2021</t>
        </is>
      </c>
      <c r="B96" s="1" t="n">
        <v>44480</v>
      </c>
      <c r="C96" s="1" t="n">
        <v>46178</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51972-2021</t>
        </is>
      </c>
      <c r="B97" s="1" t="n">
        <v>44463.29439814815</v>
      </c>
      <c r="C97" s="1" t="n">
        <v>46178</v>
      </c>
      <c r="D97" t="inlineStr">
        <is>
          <t>KALMAR LÄN</t>
        </is>
      </c>
      <c r="E97" t="inlineStr">
        <is>
          <t>VIMMERBY</t>
        </is>
      </c>
      <c r="G97" t="n">
        <v>4.5</v>
      </c>
      <c r="H97" t="n">
        <v>0</v>
      </c>
      <c r="I97" t="n">
        <v>0</v>
      </c>
      <c r="J97" t="n">
        <v>0</v>
      </c>
      <c r="K97" t="n">
        <v>0</v>
      </c>
      <c r="L97" t="n">
        <v>0</v>
      </c>
      <c r="M97" t="n">
        <v>0</v>
      </c>
      <c r="N97" t="n">
        <v>0</v>
      </c>
      <c r="O97" t="n">
        <v>0</v>
      </c>
      <c r="P97" t="n">
        <v>0</v>
      </c>
      <c r="Q97" t="n">
        <v>0</v>
      </c>
      <c r="R97" s="2" t="inlineStr"/>
    </row>
    <row r="98" ht="15" customHeight="1">
      <c r="A98" t="inlineStr">
        <is>
          <t>A 4042-2022</t>
        </is>
      </c>
      <c r="B98" s="1" t="n">
        <v>44588</v>
      </c>
      <c r="C98" s="1" t="n">
        <v>46178</v>
      </c>
      <c r="D98" t="inlineStr">
        <is>
          <t>KALMAR LÄN</t>
        </is>
      </c>
      <c r="E98" t="inlineStr">
        <is>
          <t>VIMMERBY</t>
        </is>
      </c>
      <c r="G98" t="n">
        <v>4.7</v>
      </c>
      <c r="H98" t="n">
        <v>0</v>
      </c>
      <c r="I98" t="n">
        <v>0</v>
      </c>
      <c r="J98" t="n">
        <v>0</v>
      </c>
      <c r="K98" t="n">
        <v>0</v>
      </c>
      <c r="L98" t="n">
        <v>0</v>
      </c>
      <c r="M98" t="n">
        <v>0</v>
      </c>
      <c r="N98" t="n">
        <v>0</v>
      </c>
      <c r="O98" t="n">
        <v>0</v>
      </c>
      <c r="P98" t="n">
        <v>0</v>
      </c>
      <c r="Q98" t="n">
        <v>0</v>
      </c>
      <c r="R98" s="2" t="inlineStr"/>
    </row>
    <row r="99" ht="15" customHeight="1">
      <c r="A99" t="inlineStr">
        <is>
          <t>A 33690-2022</t>
        </is>
      </c>
      <c r="B99" s="1" t="n">
        <v>44789</v>
      </c>
      <c r="C99" s="1" t="n">
        <v>46178</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35198-2021</t>
        </is>
      </c>
      <c r="B100" s="1" t="n">
        <v>44377</v>
      </c>
      <c r="C100" s="1" t="n">
        <v>46178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63244-2021</t>
        </is>
      </c>
      <c r="B101" s="1" t="n">
        <v>44508</v>
      </c>
      <c r="C101" s="1" t="n">
        <v>46178</v>
      </c>
      <c r="D101" t="inlineStr">
        <is>
          <t>KALMAR LÄN</t>
        </is>
      </c>
      <c r="E101" t="inlineStr">
        <is>
          <t>VIMMERBY</t>
        </is>
      </c>
      <c r="F101" t="inlineStr">
        <is>
          <t>Övriga statliga verk och myndigheter</t>
        </is>
      </c>
      <c r="G101" t="n">
        <v>0.6</v>
      </c>
      <c r="H101" t="n">
        <v>0</v>
      </c>
      <c r="I101" t="n">
        <v>0</v>
      </c>
      <c r="J101" t="n">
        <v>0</v>
      </c>
      <c r="K101" t="n">
        <v>0</v>
      </c>
      <c r="L101" t="n">
        <v>0</v>
      </c>
      <c r="M101" t="n">
        <v>0</v>
      </c>
      <c r="N101" t="n">
        <v>0</v>
      </c>
      <c r="O101" t="n">
        <v>0</v>
      </c>
      <c r="P101" t="n">
        <v>0</v>
      </c>
      <c r="Q101" t="n">
        <v>0</v>
      </c>
      <c r="R101" s="2" t="inlineStr"/>
    </row>
    <row r="102" ht="15" customHeight="1">
      <c r="A102" t="inlineStr">
        <is>
          <t>A 11814-2022</t>
        </is>
      </c>
      <c r="B102" s="1" t="n">
        <v>44634.69703703704</v>
      </c>
      <c r="C102" s="1" t="n">
        <v>46178</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56385-2021</t>
        </is>
      </c>
      <c r="B103" s="1" t="n">
        <v>44480</v>
      </c>
      <c r="C103" s="1" t="n">
        <v>46178</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31053-2022</t>
        </is>
      </c>
      <c r="B104" s="1" t="n">
        <v>44769.45422453704</v>
      </c>
      <c r="C104" s="1" t="n">
        <v>46178</v>
      </c>
      <c r="D104" t="inlineStr">
        <is>
          <t>KALMAR LÄN</t>
        </is>
      </c>
      <c r="E104" t="inlineStr">
        <is>
          <t>VIMMERBY</t>
        </is>
      </c>
      <c r="G104" t="n">
        <v>1.9</v>
      </c>
      <c r="H104" t="n">
        <v>0</v>
      </c>
      <c r="I104" t="n">
        <v>0</v>
      </c>
      <c r="J104" t="n">
        <v>0</v>
      </c>
      <c r="K104" t="n">
        <v>0</v>
      </c>
      <c r="L104" t="n">
        <v>0</v>
      </c>
      <c r="M104" t="n">
        <v>0</v>
      </c>
      <c r="N104" t="n">
        <v>0</v>
      </c>
      <c r="O104" t="n">
        <v>0</v>
      </c>
      <c r="P104" t="n">
        <v>0</v>
      </c>
      <c r="Q104" t="n">
        <v>0</v>
      </c>
      <c r="R104" s="2" t="inlineStr"/>
    </row>
    <row r="105" ht="15" customHeight="1">
      <c r="A105" t="inlineStr">
        <is>
          <t>A 8454-2022</t>
        </is>
      </c>
      <c r="B105" s="1" t="n">
        <v>44612.86762731482</v>
      </c>
      <c r="C105" s="1" t="n">
        <v>46178</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65887-2021</t>
        </is>
      </c>
      <c r="B106" s="1" t="n">
        <v>44517</v>
      </c>
      <c r="C106" s="1" t="n">
        <v>46178</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39959-2022</t>
        </is>
      </c>
      <c r="B107" s="1" t="n">
        <v>44819</v>
      </c>
      <c r="C107" s="1" t="n">
        <v>46178</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7917-2022</t>
        </is>
      </c>
      <c r="B108" s="1" t="n">
        <v>44608</v>
      </c>
      <c r="C108" s="1" t="n">
        <v>46178</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47208-2021</t>
        </is>
      </c>
      <c r="B109" s="1" t="n">
        <v>44447.34237268518</v>
      </c>
      <c r="C109" s="1" t="n">
        <v>46178</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56389-2021</t>
        </is>
      </c>
      <c r="B110" s="1" t="n">
        <v>44480</v>
      </c>
      <c r="C110" s="1" t="n">
        <v>46178</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67952-2021</t>
        </is>
      </c>
      <c r="B111" s="1" t="n">
        <v>44525.63913194444</v>
      </c>
      <c r="C111" s="1" t="n">
        <v>46178</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15533-2022</t>
        </is>
      </c>
      <c r="B112" s="1" t="n">
        <v>44662</v>
      </c>
      <c r="C112" s="1" t="n">
        <v>46178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165-2022</t>
        </is>
      </c>
      <c r="B113" s="1" t="n">
        <v>44564</v>
      </c>
      <c r="C113" s="1" t="n">
        <v>46178</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34040-2021</t>
        </is>
      </c>
      <c r="B114" s="1" t="n">
        <v>44379</v>
      </c>
      <c r="C114" s="1" t="n">
        <v>46178</v>
      </c>
      <c r="D114" t="inlineStr">
        <is>
          <t>KALMAR LÄN</t>
        </is>
      </c>
      <c r="E114" t="inlineStr">
        <is>
          <t>VIMMERBY</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12107-2022</t>
        </is>
      </c>
      <c r="B115" s="1" t="n">
        <v>44636</v>
      </c>
      <c r="C115" s="1" t="n">
        <v>46178</v>
      </c>
      <c r="D115" t="inlineStr">
        <is>
          <t>KALMAR LÄN</t>
        </is>
      </c>
      <c r="E115" t="inlineStr">
        <is>
          <t>VIMMERBY</t>
        </is>
      </c>
      <c r="G115" t="n">
        <v>1.8</v>
      </c>
      <c r="H115" t="n">
        <v>0</v>
      </c>
      <c r="I115" t="n">
        <v>0</v>
      </c>
      <c r="J115" t="n">
        <v>0</v>
      </c>
      <c r="K115" t="n">
        <v>0</v>
      </c>
      <c r="L115" t="n">
        <v>0</v>
      </c>
      <c r="M115" t="n">
        <v>0</v>
      </c>
      <c r="N115" t="n">
        <v>0</v>
      </c>
      <c r="O115" t="n">
        <v>0</v>
      </c>
      <c r="P115" t="n">
        <v>0</v>
      </c>
      <c r="Q115" t="n">
        <v>0</v>
      </c>
      <c r="R115" s="2" t="inlineStr"/>
    </row>
    <row r="116" ht="15" customHeight="1">
      <c r="A116" t="inlineStr">
        <is>
          <t>A 39225-2022</t>
        </is>
      </c>
      <c r="B116" s="1" t="n">
        <v>44817.57988425926</v>
      </c>
      <c r="C116" s="1" t="n">
        <v>46178</v>
      </c>
      <c r="D116" t="inlineStr">
        <is>
          <t>KALMAR LÄN</t>
        </is>
      </c>
      <c r="E116" t="inlineStr">
        <is>
          <t>VIMMERBY</t>
        </is>
      </c>
      <c r="G116" t="n">
        <v>2.2</v>
      </c>
      <c r="H116" t="n">
        <v>0</v>
      </c>
      <c r="I116" t="n">
        <v>0</v>
      </c>
      <c r="J116" t="n">
        <v>0</v>
      </c>
      <c r="K116" t="n">
        <v>0</v>
      </c>
      <c r="L116" t="n">
        <v>0</v>
      </c>
      <c r="M116" t="n">
        <v>0</v>
      </c>
      <c r="N116" t="n">
        <v>0</v>
      </c>
      <c r="O116" t="n">
        <v>0</v>
      </c>
      <c r="P116" t="n">
        <v>0</v>
      </c>
      <c r="Q116" t="n">
        <v>0</v>
      </c>
      <c r="R116" s="2" t="inlineStr"/>
    </row>
    <row r="117" ht="15" customHeight="1">
      <c r="A117" t="inlineStr">
        <is>
          <t>A 17029-2022</t>
        </is>
      </c>
      <c r="B117" s="1" t="n">
        <v>44676.85248842592</v>
      </c>
      <c r="C117" s="1" t="n">
        <v>46178</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7167-2022</t>
        </is>
      </c>
      <c r="B118" s="1" t="n">
        <v>44604</v>
      </c>
      <c r="C118" s="1" t="n">
        <v>46178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35001-2021</t>
        </is>
      </c>
      <c r="B119" s="1" t="n">
        <v>44383</v>
      </c>
      <c r="C119" s="1" t="n">
        <v>46178</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55674-2021</t>
        </is>
      </c>
      <c r="B120" s="1" t="n">
        <v>44476</v>
      </c>
      <c r="C120" s="1" t="n">
        <v>46178</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40077-2021</t>
        </is>
      </c>
      <c r="B121" s="1" t="n">
        <v>44418</v>
      </c>
      <c r="C121" s="1" t="n">
        <v>46178</v>
      </c>
      <c r="D121" t="inlineStr">
        <is>
          <t>KALMAR LÄN</t>
        </is>
      </c>
      <c r="E121" t="inlineStr">
        <is>
          <t>VIMMERBY</t>
        </is>
      </c>
      <c r="G121" t="n">
        <v>2.9</v>
      </c>
      <c r="H121" t="n">
        <v>0</v>
      </c>
      <c r="I121" t="n">
        <v>0</v>
      </c>
      <c r="J121" t="n">
        <v>0</v>
      </c>
      <c r="K121" t="n">
        <v>0</v>
      </c>
      <c r="L121" t="n">
        <v>0</v>
      </c>
      <c r="M121" t="n">
        <v>0</v>
      </c>
      <c r="N121" t="n">
        <v>0</v>
      </c>
      <c r="O121" t="n">
        <v>0</v>
      </c>
      <c r="P121" t="n">
        <v>0</v>
      </c>
      <c r="Q121" t="n">
        <v>0</v>
      </c>
      <c r="R121" s="2" t="inlineStr"/>
    </row>
    <row r="122" ht="15" customHeight="1">
      <c r="A122" t="inlineStr">
        <is>
          <t>A 47769-2022</t>
        </is>
      </c>
      <c r="B122" s="1" t="n">
        <v>44854</v>
      </c>
      <c r="C122" s="1" t="n">
        <v>46178</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48377-2021</t>
        </is>
      </c>
      <c r="B123" s="1" t="n">
        <v>44451.8375</v>
      </c>
      <c r="C123" s="1" t="n">
        <v>46178</v>
      </c>
      <c r="D123" t="inlineStr">
        <is>
          <t>KALMAR LÄN</t>
        </is>
      </c>
      <c r="E123" t="inlineStr">
        <is>
          <t>VIMMERBY</t>
        </is>
      </c>
      <c r="G123" t="n">
        <v>0.4</v>
      </c>
      <c r="H123" t="n">
        <v>0</v>
      </c>
      <c r="I123" t="n">
        <v>0</v>
      </c>
      <c r="J123" t="n">
        <v>0</v>
      </c>
      <c r="K123" t="n">
        <v>0</v>
      </c>
      <c r="L123" t="n">
        <v>0</v>
      </c>
      <c r="M123" t="n">
        <v>0</v>
      </c>
      <c r="N123" t="n">
        <v>0</v>
      </c>
      <c r="O123" t="n">
        <v>0</v>
      </c>
      <c r="P123" t="n">
        <v>0</v>
      </c>
      <c r="Q123" t="n">
        <v>0</v>
      </c>
      <c r="R123" s="2" t="inlineStr"/>
    </row>
    <row r="124" ht="15" customHeight="1">
      <c r="A124" t="inlineStr">
        <is>
          <t>A 40472-2022</t>
        </is>
      </c>
      <c r="B124" s="1" t="n">
        <v>44823</v>
      </c>
      <c r="C124" s="1" t="n">
        <v>46178</v>
      </c>
      <c r="D124" t="inlineStr">
        <is>
          <t>KALMAR LÄN</t>
        </is>
      </c>
      <c r="E124" t="inlineStr">
        <is>
          <t>VIMMERBY</t>
        </is>
      </c>
      <c r="G124" t="n">
        <v>2</v>
      </c>
      <c r="H124" t="n">
        <v>0</v>
      </c>
      <c r="I124" t="n">
        <v>0</v>
      </c>
      <c r="J124" t="n">
        <v>0</v>
      </c>
      <c r="K124" t="n">
        <v>0</v>
      </c>
      <c r="L124" t="n">
        <v>0</v>
      </c>
      <c r="M124" t="n">
        <v>0</v>
      </c>
      <c r="N124" t="n">
        <v>0</v>
      </c>
      <c r="O124" t="n">
        <v>0</v>
      </c>
      <c r="P124" t="n">
        <v>0</v>
      </c>
      <c r="Q124" t="n">
        <v>0</v>
      </c>
      <c r="R124" s="2" t="inlineStr"/>
    </row>
    <row r="125" ht="15" customHeight="1">
      <c r="A125" t="inlineStr">
        <is>
          <t>A 35316-2021</t>
        </is>
      </c>
      <c r="B125" s="1" t="n">
        <v>44384</v>
      </c>
      <c r="C125" s="1" t="n">
        <v>46178</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33831-2022</t>
        </is>
      </c>
      <c r="B126" s="1" t="n">
        <v>44790.48503472222</v>
      </c>
      <c r="C126" s="1" t="n">
        <v>46178</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47708-2022</t>
        </is>
      </c>
      <c r="B127" s="1" t="n">
        <v>44854.59157407407</v>
      </c>
      <c r="C127" s="1" t="n">
        <v>46178</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9918-2022</t>
        </is>
      </c>
      <c r="B128" s="1" t="n">
        <v>44620</v>
      </c>
      <c r="C128" s="1" t="n">
        <v>46178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23825-2022</t>
        </is>
      </c>
      <c r="B129" s="1" t="n">
        <v>44722.48768518519</v>
      </c>
      <c r="C129" s="1" t="n">
        <v>46178</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47473-2021</t>
        </is>
      </c>
      <c r="B130" s="1" t="n">
        <v>44447</v>
      </c>
      <c r="C130" s="1" t="n">
        <v>46178</v>
      </c>
      <c r="D130" t="inlineStr">
        <is>
          <t>KALMAR LÄN</t>
        </is>
      </c>
      <c r="E130" t="inlineStr">
        <is>
          <t>VIMMERBY</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41056-2022</t>
        </is>
      </c>
      <c r="B131" s="1" t="n">
        <v>44824</v>
      </c>
      <c r="C131" s="1" t="n">
        <v>46178</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31660-2021</t>
        </is>
      </c>
      <c r="B132" s="1" t="n">
        <v>44369</v>
      </c>
      <c r="C132" s="1" t="n">
        <v>46178</v>
      </c>
      <c r="D132" t="inlineStr">
        <is>
          <t>KALMAR LÄN</t>
        </is>
      </c>
      <c r="E132" t="inlineStr">
        <is>
          <t>VIMMERBY</t>
        </is>
      </c>
      <c r="G132" t="n">
        <v>4.2</v>
      </c>
      <c r="H132" t="n">
        <v>0</v>
      </c>
      <c r="I132" t="n">
        <v>0</v>
      </c>
      <c r="J132" t="n">
        <v>0</v>
      </c>
      <c r="K132" t="n">
        <v>0</v>
      </c>
      <c r="L132" t="n">
        <v>0</v>
      </c>
      <c r="M132" t="n">
        <v>0</v>
      </c>
      <c r="N132" t="n">
        <v>0</v>
      </c>
      <c r="O132" t="n">
        <v>0</v>
      </c>
      <c r="P132" t="n">
        <v>0</v>
      </c>
      <c r="Q132" t="n">
        <v>0</v>
      </c>
      <c r="R132" s="2" t="inlineStr"/>
    </row>
    <row r="133" ht="15" customHeight="1">
      <c r="A133" t="inlineStr">
        <is>
          <t>A 27455-2022</t>
        </is>
      </c>
      <c r="B133" s="1" t="n">
        <v>44742</v>
      </c>
      <c r="C133" s="1" t="n">
        <v>46178</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32603-2021</t>
        </is>
      </c>
      <c r="B134" s="1" t="n">
        <v>44375.38789351852</v>
      </c>
      <c r="C134" s="1" t="n">
        <v>46178</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36117-2021</t>
        </is>
      </c>
      <c r="B135" s="1" t="n">
        <v>44386</v>
      </c>
      <c r="C135" s="1" t="n">
        <v>46178</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42521-2021</t>
        </is>
      </c>
      <c r="B136" s="1" t="n">
        <v>44427</v>
      </c>
      <c r="C136" s="1" t="n">
        <v>46178</v>
      </c>
      <c r="D136" t="inlineStr">
        <is>
          <t>KALMAR LÄN</t>
        </is>
      </c>
      <c r="E136" t="inlineStr">
        <is>
          <t>VIMMERBY</t>
        </is>
      </c>
      <c r="G136" t="n">
        <v>5.4</v>
      </c>
      <c r="H136" t="n">
        <v>0</v>
      </c>
      <c r="I136" t="n">
        <v>0</v>
      </c>
      <c r="J136" t="n">
        <v>0</v>
      </c>
      <c r="K136" t="n">
        <v>0</v>
      </c>
      <c r="L136" t="n">
        <v>0</v>
      </c>
      <c r="M136" t="n">
        <v>0</v>
      </c>
      <c r="N136" t="n">
        <v>0</v>
      </c>
      <c r="O136" t="n">
        <v>0</v>
      </c>
      <c r="P136" t="n">
        <v>0</v>
      </c>
      <c r="Q136" t="n">
        <v>0</v>
      </c>
      <c r="R136" s="2" t="inlineStr"/>
    </row>
    <row r="137" ht="15" customHeight="1">
      <c r="A137" t="inlineStr">
        <is>
          <t>A 46964-2022</t>
        </is>
      </c>
      <c r="B137" s="1" t="n">
        <v>44851.95016203704</v>
      </c>
      <c r="C137" s="1" t="n">
        <v>46178</v>
      </c>
      <c r="D137" t="inlineStr">
        <is>
          <t>KALMAR LÄN</t>
        </is>
      </c>
      <c r="E137" t="inlineStr">
        <is>
          <t>VIMMERBY</t>
        </is>
      </c>
      <c r="G137" t="n">
        <v>0.2</v>
      </c>
      <c r="H137" t="n">
        <v>0</v>
      </c>
      <c r="I137" t="n">
        <v>0</v>
      </c>
      <c r="J137" t="n">
        <v>0</v>
      </c>
      <c r="K137" t="n">
        <v>0</v>
      </c>
      <c r="L137" t="n">
        <v>0</v>
      </c>
      <c r="M137" t="n">
        <v>0</v>
      </c>
      <c r="N137" t="n">
        <v>0</v>
      </c>
      <c r="O137" t="n">
        <v>0</v>
      </c>
      <c r="P137" t="n">
        <v>0</v>
      </c>
      <c r="Q137" t="n">
        <v>0</v>
      </c>
      <c r="R137" s="2" t="inlineStr"/>
    </row>
    <row r="138" ht="15" customHeight="1">
      <c r="A138" t="inlineStr">
        <is>
          <t>A 13180-2022</t>
        </is>
      </c>
      <c r="B138" s="1" t="n">
        <v>44644</v>
      </c>
      <c r="C138" s="1" t="n">
        <v>46178</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42850-2022</t>
        </is>
      </c>
      <c r="B139" s="1" t="n">
        <v>44832.67608796297</v>
      </c>
      <c r="C139" s="1" t="n">
        <v>46178</v>
      </c>
      <c r="D139" t="inlineStr">
        <is>
          <t>KALMAR LÄN</t>
        </is>
      </c>
      <c r="E139" t="inlineStr">
        <is>
          <t>VIMMERBY</t>
        </is>
      </c>
      <c r="G139" t="n">
        <v>5.9</v>
      </c>
      <c r="H139" t="n">
        <v>0</v>
      </c>
      <c r="I139" t="n">
        <v>0</v>
      </c>
      <c r="J139" t="n">
        <v>0</v>
      </c>
      <c r="K139" t="n">
        <v>0</v>
      </c>
      <c r="L139" t="n">
        <v>0</v>
      </c>
      <c r="M139" t="n">
        <v>0</v>
      </c>
      <c r="N139" t="n">
        <v>0</v>
      </c>
      <c r="O139" t="n">
        <v>0</v>
      </c>
      <c r="P139" t="n">
        <v>0</v>
      </c>
      <c r="Q139" t="n">
        <v>0</v>
      </c>
      <c r="R139" s="2" t="inlineStr"/>
    </row>
    <row r="140" ht="15" customHeight="1">
      <c r="A140" t="inlineStr">
        <is>
          <t>A 10086-2022</t>
        </is>
      </c>
      <c r="B140" s="1" t="n">
        <v>44621</v>
      </c>
      <c r="C140" s="1" t="n">
        <v>46178</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53145-2022</t>
        </is>
      </c>
      <c r="B141" s="1" t="n">
        <v>44876.48346064815</v>
      </c>
      <c r="C141" s="1" t="n">
        <v>46178</v>
      </c>
      <c r="D141" t="inlineStr">
        <is>
          <t>KALMAR LÄN</t>
        </is>
      </c>
      <c r="E141" t="inlineStr">
        <is>
          <t>VIMMERBY</t>
        </is>
      </c>
      <c r="G141" t="n">
        <v>0.4</v>
      </c>
      <c r="H141" t="n">
        <v>0</v>
      </c>
      <c r="I141" t="n">
        <v>0</v>
      </c>
      <c r="J141" t="n">
        <v>0</v>
      </c>
      <c r="K141" t="n">
        <v>0</v>
      </c>
      <c r="L141" t="n">
        <v>0</v>
      </c>
      <c r="M141" t="n">
        <v>0</v>
      </c>
      <c r="N141" t="n">
        <v>0</v>
      </c>
      <c r="O141" t="n">
        <v>0</v>
      </c>
      <c r="P141" t="n">
        <v>0</v>
      </c>
      <c r="Q141" t="n">
        <v>0</v>
      </c>
      <c r="R141" s="2" t="inlineStr"/>
    </row>
    <row r="142" ht="15" customHeight="1">
      <c r="A142" t="inlineStr">
        <is>
          <t>A 25738-2022</t>
        </is>
      </c>
      <c r="B142" s="1" t="n">
        <v>44733.43092592592</v>
      </c>
      <c r="C142" s="1" t="n">
        <v>46178</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8194-2022</t>
        </is>
      </c>
      <c r="B143" s="1" t="n">
        <v>44609</v>
      </c>
      <c r="C143" s="1" t="n">
        <v>46178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40971-2021</t>
        </is>
      </c>
      <c r="B144" s="1" t="n">
        <v>44421</v>
      </c>
      <c r="C144" s="1" t="n">
        <v>46178</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8453-2022</t>
        </is>
      </c>
      <c r="B145" s="1" t="n">
        <v>44612.86554398148</v>
      </c>
      <c r="C145" s="1" t="n">
        <v>46178</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52433-2021</t>
        </is>
      </c>
      <c r="B146" s="1" t="n">
        <v>44466.34726851852</v>
      </c>
      <c r="C146" s="1" t="n">
        <v>46178</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50621-2022</t>
        </is>
      </c>
      <c r="B147" s="1" t="n">
        <v>44866.81100694444</v>
      </c>
      <c r="C147" s="1" t="n">
        <v>46178</v>
      </c>
      <c r="D147" t="inlineStr">
        <is>
          <t>KALMAR LÄN</t>
        </is>
      </c>
      <c r="E147" t="inlineStr">
        <is>
          <t>VIMMERBY</t>
        </is>
      </c>
      <c r="F147" t="inlineStr">
        <is>
          <t>Övriga Aktiebolag</t>
        </is>
      </c>
      <c r="G147" t="n">
        <v>5.1</v>
      </c>
      <c r="H147" t="n">
        <v>0</v>
      </c>
      <c r="I147" t="n">
        <v>0</v>
      </c>
      <c r="J147" t="n">
        <v>0</v>
      </c>
      <c r="K147" t="n">
        <v>0</v>
      </c>
      <c r="L147" t="n">
        <v>0</v>
      </c>
      <c r="M147" t="n">
        <v>0</v>
      </c>
      <c r="N147" t="n">
        <v>0</v>
      </c>
      <c r="O147" t="n">
        <v>0</v>
      </c>
      <c r="P147" t="n">
        <v>0</v>
      </c>
      <c r="Q147" t="n">
        <v>0</v>
      </c>
      <c r="R147" s="2" t="inlineStr"/>
    </row>
    <row r="148" ht="15" customHeight="1">
      <c r="A148" t="inlineStr">
        <is>
          <t>A 54065-2021</t>
        </is>
      </c>
      <c r="B148" s="1" t="n">
        <v>44470.44232638889</v>
      </c>
      <c r="C148" s="1" t="n">
        <v>46178</v>
      </c>
      <c r="D148" t="inlineStr">
        <is>
          <t>KALMAR LÄN</t>
        </is>
      </c>
      <c r="E148" t="inlineStr">
        <is>
          <t>VIMMERBY</t>
        </is>
      </c>
      <c r="G148" t="n">
        <v>0.9</v>
      </c>
      <c r="H148" t="n">
        <v>0</v>
      </c>
      <c r="I148" t="n">
        <v>0</v>
      </c>
      <c r="J148" t="n">
        <v>0</v>
      </c>
      <c r="K148" t="n">
        <v>0</v>
      </c>
      <c r="L148" t="n">
        <v>0</v>
      </c>
      <c r="M148" t="n">
        <v>0</v>
      </c>
      <c r="N148" t="n">
        <v>0</v>
      </c>
      <c r="O148" t="n">
        <v>0</v>
      </c>
      <c r="P148" t="n">
        <v>0</v>
      </c>
      <c r="Q148" t="n">
        <v>0</v>
      </c>
      <c r="R148" s="2" t="inlineStr"/>
    </row>
    <row r="149" ht="15" customHeight="1">
      <c r="A149" t="inlineStr">
        <is>
          <t>A 7804-2022</t>
        </is>
      </c>
      <c r="B149" s="1" t="n">
        <v>44608.50458333334</v>
      </c>
      <c r="C149" s="1" t="n">
        <v>46178</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31824-2022</t>
        </is>
      </c>
      <c r="B150" s="1" t="n">
        <v>44776</v>
      </c>
      <c r="C150" s="1" t="n">
        <v>46178</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39042-2022</t>
        </is>
      </c>
      <c r="B151" s="1" t="n">
        <v>44817</v>
      </c>
      <c r="C151" s="1" t="n">
        <v>46178</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4076-2022</t>
        </is>
      </c>
      <c r="B152" s="1" t="n">
        <v>44588.37998842593</v>
      </c>
      <c r="C152" s="1" t="n">
        <v>46178</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4122-2022</t>
        </is>
      </c>
      <c r="B153" s="1" t="n">
        <v>44588</v>
      </c>
      <c r="C153" s="1" t="n">
        <v>46178</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11733-2022</t>
        </is>
      </c>
      <c r="B154" s="1" t="n">
        <v>44634</v>
      </c>
      <c r="C154" s="1" t="n">
        <v>46178</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16983-2023</t>
        </is>
      </c>
      <c r="B155" s="1" t="n">
        <v>45033.76043981482</v>
      </c>
      <c r="C155" s="1" t="n">
        <v>46178</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30402-2023</t>
        </is>
      </c>
      <c r="B156" s="1" t="n">
        <v>45111.48395833333</v>
      </c>
      <c r="C156" s="1" t="n">
        <v>46178</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46144-2023</t>
        </is>
      </c>
      <c r="B157" s="1" t="n">
        <v>45196.57247685185</v>
      </c>
      <c r="C157" s="1" t="n">
        <v>46178</v>
      </c>
      <c r="D157" t="inlineStr">
        <is>
          <t>KALMAR LÄN</t>
        </is>
      </c>
      <c r="E157" t="inlineStr">
        <is>
          <t>VIMMERBY</t>
        </is>
      </c>
      <c r="G157" t="n">
        <v>6.5</v>
      </c>
      <c r="H157" t="n">
        <v>0</v>
      </c>
      <c r="I157" t="n">
        <v>0</v>
      </c>
      <c r="J157" t="n">
        <v>0</v>
      </c>
      <c r="K157" t="n">
        <v>0</v>
      </c>
      <c r="L157" t="n">
        <v>0</v>
      </c>
      <c r="M157" t="n">
        <v>0</v>
      </c>
      <c r="N157" t="n">
        <v>0</v>
      </c>
      <c r="O157" t="n">
        <v>0</v>
      </c>
      <c r="P157" t="n">
        <v>0</v>
      </c>
      <c r="Q157" t="n">
        <v>0</v>
      </c>
      <c r="R157" s="2" t="inlineStr"/>
    </row>
    <row r="158" ht="15" customHeight="1">
      <c r="A158" t="inlineStr">
        <is>
          <t>A 56213-2024</t>
        </is>
      </c>
      <c r="B158" s="1" t="n">
        <v>45624.60141203704</v>
      </c>
      <c r="C158" s="1" t="n">
        <v>46178</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7643-2022</t>
        </is>
      </c>
      <c r="B159" s="1" t="n">
        <v>44607</v>
      </c>
      <c r="C159" s="1" t="n">
        <v>46178</v>
      </c>
      <c r="D159" t="inlineStr">
        <is>
          <t>KALMAR LÄN</t>
        </is>
      </c>
      <c r="E159" t="inlineStr">
        <is>
          <t>VIMMERBY</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11609-2023</t>
        </is>
      </c>
      <c r="B160" s="1" t="n">
        <v>44994.40635416667</v>
      </c>
      <c r="C160" s="1" t="n">
        <v>46178</v>
      </c>
      <c r="D160" t="inlineStr">
        <is>
          <t>KALMAR LÄN</t>
        </is>
      </c>
      <c r="E160" t="inlineStr">
        <is>
          <t>VIMMERBY</t>
        </is>
      </c>
      <c r="G160" t="n">
        <v>4.9</v>
      </c>
      <c r="H160" t="n">
        <v>0</v>
      </c>
      <c r="I160" t="n">
        <v>0</v>
      </c>
      <c r="J160" t="n">
        <v>0</v>
      </c>
      <c r="K160" t="n">
        <v>0</v>
      </c>
      <c r="L160" t="n">
        <v>0</v>
      </c>
      <c r="M160" t="n">
        <v>0</v>
      </c>
      <c r="N160" t="n">
        <v>0</v>
      </c>
      <c r="O160" t="n">
        <v>0</v>
      </c>
      <c r="P160" t="n">
        <v>0</v>
      </c>
      <c r="Q160" t="n">
        <v>0</v>
      </c>
      <c r="R160" s="2" t="inlineStr"/>
    </row>
    <row r="161" ht="15" customHeight="1">
      <c r="A161" t="inlineStr">
        <is>
          <t>A 54409-2024</t>
        </is>
      </c>
      <c r="B161" s="1" t="n">
        <v>45617.47570601852</v>
      </c>
      <c r="C161" s="1" t="n">
        <v>46178</v>
      </c>
      <c r="D161" t="inlineStr">
        <is>
          <t>KALMAR LÄN</t>
        </is>
      </c>
      <c r="E161" t="inlineStr">
        <is>
          <t>VIMMERBY</t>
        </is>
      </c>
      <c r="G161" t="n">
        <v>4.3</v>
      </c>
      <c r="H161" t="n">
        <v>0</v>
      </c>
      <c r="I161" t="n">
        <v>0</v>
      </c>
      <c r="J161" t="n">
        <v>0</v>
      </c>
      <c r="K161" t="n">
        <v>0</v>
      </c>
      <c r="L161" t="n">
        <v>0</v>
      </c>
      <c r="M161" t="n">
        <v>0</v>
      </c>
      <c r="N161" t="n">
        <v>0</v>
      </c>
      <c r="O161" t="n">
        <v>0</v>
      </c>
      <c r="P161" t="n">
        <v>0</v>
      </c>
      <c r="Q161" t="n">
        <v>0</v>
      </c>
      <c r="R161" s="2" t="inlineStr"/>
    </row>
    <row r="162" ht="15" customHeight="1">
      <c r="A162" t="inlineStr">
        <is>
          <t>A 58962-2022</t>
        </is>
      </c>
      <c r="B162" s="1" t="n">
        <v>44903</v>
      </c>
      <c r="C162" s="1" t="n">
        <v>46178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31382-2023</t>
        </is>
      </c>
      <c r="B163" s="1" t="n">
        <v>45114.55136574074</v>
      </c>
      <c r="C163" s="1" t="n">
        <v>46178</v>
      </c>
      <c r="D163" t="inlineStr">
        <is>
          <t>KALMAR LÄN</t>
        </is>
      </c>
      <c r="E163" t="inlineStr">
        <is>
          <t>VIMMERBY</t>
        </is>
      </c>
      <c r="G163" t="n">
        <v>3.7</v>
      </c>
      <c r="H163" t="n">
        <v>0</v>
      </c>
      <c r="I163" t="n">
        <v>0</v>
      </c>
      <c r="J163" t="n">
        <v>0</v>
      </c>
      <c r="K163" t="n">
        <v>0</v>
      </c>
      <c r="L163" t="n">
        <v>0</v>
      </c>
      <c r="M163" t="n">
        <v>0</v>
      </c>
      <c r="N163" t="n">
        <v>0</v>
      </c>
      <c r="O163" t="n">
        <v>0</v>
      </c>
      <c r="P163" t="n">
        <v>0</v>
      </c>
      <c r="Q163" t="n">
        <v>0</v>
      </c>
      <c r="R163" s="2" t="inlineStr"/>
    </row>
    <row r="164" ht="15" customHeight="1">
      <c r="A164" t="inlineStr">
        <is>
          <t>A 11027-2023</t>
        </is>
      </c>
      <c r="B164" s="1" t="n">
        <v>44991.89657407408</v>
      </c>
      <c r="C164" s="1" t="n">
        <v>46178</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10837-2023</t>
        </is>
      </c>
      <c r="B165" s="1" t="n">
        <v>44991.30547453704</v>
      </c>
      <c r="C165" s="1" t="n">
        <v>46178</v>
      </c>
      <c r="D165" t="inlineStr">
        <is>
          <t>KALMAR LÄN</t>
        </is>
      </c>
      <c r="E165" t="inlineStr">
        <is>
          <t>VIMMERBY</t>
        </is>
      </c>
      <c r="G165" t="n">
        <v>7.3</v>
      </c>
      <c r="H165" t="n">
        <v>0</v>
      </c>
      <c r="I165" t="n">
        <v>0</v>
      </c>
      <c r="J165" t="n">
        <v>0</v>
      </c>
      <c r="K165" t="n">
        <v>0</v>
      </c>
      <c r="L165" t="n">
        <v>0</v>
      </c>
      <c r="M165" t="n">
        <v>0</v>
      </c>
      <c r="N165" t="n">
        <v>0</v>
      </c>
      <c r="O165" t="n">
        <v>0</v>
      </c>
      <c r="P165" t="n">
        <v>0</v>
      </c>
      <c r="Q165" t="n">
        <v>0</v>
      </c>
      <c r="R165" s="2" t="inlineStr"/>
    </row>
    <row r="166" ht="15" customHeight="1">
      <c r="A166" t="inlineStr">
        <is>
          <t>A 16825-2024</t>
        </is>
      </c>
      <c r="B166" s="1" t="n">
        <v>45411.47335648148</v>
      </c>
      <c r="C166" s="1" t="n">
        <v>46178</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10838-2023</t>
        </is>
      </c>
      <c r="B167" s="1" t="n">
        <v>44991</v>
      </c>
      <c r="C167" s="1" t="n">
        <v>46178</v>
      </c>
      <c r="D167" t="inlineStr">
        <is>
          <t>KALMAR LÄN</t>
        </is>
      </c>
      <c r="E167" t="inlineStr">
        <is>
          <t>VIMMERBY</t>
        </is>
      </c>
      <c r="G167" t="n">
        <v>5.1</v>
      </c>
      <c r="H167" t="n">
        <v>0</v>
      </c>
      <c r="I167" t="n">
        <v>0</v>
      </c>
      <c r="J167" t="n">
        <v>0</v>
      </c>
      <c r="K167" t="n">
        <v>0</v>
      </c>
      <c r="L167" t="n">
        <v>0</v>
      </c>
      <c r="M167" t="n">
        <v>0</v>
      </c>
      <c r="N167" t="n">
        <v>0</v>
      </c>
      <c r="O167" t="n">
        <v>0</v>
      </c>
      <c r="P167" t="n">
        <v>0</v>
      </c>
      <c r="Q167" t="n">
        <v>0</v>
      </c>
      <c r="R167" s="2" t="inlineStr"/>
    </row>
    <row r="168" ht="15" customHeight="1">
      <c r="A168" t="inlineStr">
        <is>
          <t>A 13290-2025</t>
        </is>
      </c>
      <c r="B168" s="1" t="n">
        <v>45735.56751157407</v>
      </c>
      <c r="C168" s="1" t="n">
        <v>46178</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19162-2023</t>
        </is>
      </c>
      <c r="B169" s="1" t="n">
        <v>45048.59699074074</v>
      </c>
      <c r="C169" s="1" t="n">
        <v>46178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11946-2025</t>
        </is>
      </c>
      <c r="B170" s="1" t="n">
        <v>45728.54832175926</v>
      </c>
      <c r="C170" s="1" t="n">
        <v>46178</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19537-2022</t>
        </is>
      </c>
      <c r="B171" s="1" t="n">
        <v>44693.62822916666</v>
      </c>
      <c r="C171" s="1" t="n">
        <v>46178</v>
      </c>
      <c r="D171" t="inlineStr">
        <is>
          <t>KALMAR LÄN</t>
        </is>
      </c>
      <c r="E171" t="inlineStr">
        <is>
          <t>VIMMERBY</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60951-2023</t>
        </is>
      </c>
      <c r="B172" s="1" t="n">
        <v>45261.44914351852</v>
      </c>
      <c r="C172" s="1" t="n">
        <v>46178</v>
      </c>
      <c r="D172" t="inlineStr">
        <is>
          <t>KALMAR LÄN</t>
        </is>
      </c>
      <c r="E172" t="inlineStr">
        <is>
          <t>VIMMERBY</t>
        </is>
      </c>
      <c r="G172" t="n">
        <v>4.3</v>
      </c>
      <c r="H172" t="n">
        <v>0</v>
      </c>
      <c r="I172" t="n">
        <v>0</v>
      </c>
      <c r="J172" t="n">
        <v>0</v>
      </c>
      <c r="K172" t="n">
        <v>0</v>
      </c>
      <c r="L172" t="n">
        <v>0</v>
      </c>
      <c r="M172" t="n">
        <v>0</v>
      </c>
      <c r="N172" t="n">
        <v>0</v>
      </c>
      <c r="O172" t="n">
        <v>0</v>
      </c>
      <c r="P172" t="n">
        <v>0</v>
      </c>
      <c r="Q172" t="n">
        <v>0</v>
      </c>
      <c r="R172" s="2" t="inlineStr"/>
    </row>
    <row r="173" ht="15" customHeight="1">
      <c r="A173" t="inlineStr">
        <is>
          <t>A 60292-2022</t>
        </is>
      </c>
      <c r="B173" s="1" t="n">
        <v>44910.54231481482</v>
      </c>
      <c r="C173" s="1" t="n">
        <v>46178</v>
      </c>
      <c r="D173" t="inlineStr">
        <is>
          <t>KALMAR LÄN</t>
        </is>
      </c>
      <c r="E173" t="inlineStr">
        <is>
          <t>VIMMERBY</t>
        </is>
      </c>
      <c r="G173" t="n">
        <v>4.4</v>
      </c>
      <c r="H173" t="n">
        <v>0</v>
      </c>
      <c r="I173" t="n">
        <v>0</v>
      </c>
      <c r="J173" t="n">
        <v>0</v>
      </c>
      <c r="K173" t="n">
        <v>0</v>
      </c>
      <c r="L173" t="n">
        <v>0</v>
      </c>
      <c r="M173" t="n">
        <v>0</v>
      </c>
      <c r="N173" t="n">
        <v>0</v>
      </c>
      <c r="O173" t="n">
        <v>0</v>
      </c>
      <c r="P173" t="n">
        <v>0</v>
      </c>
      <c r="Q173" t="n">
        <v>0</v>
      </c>
      <c r="R173" s="2" t="inlineStr"/>
    </row>
    <row r="174" ht="15" customHeight="1">
      <c r="A174" t="inlineStr">
        <is>
          <t>A 53483-2022</t>
        </is>
      </c>
      <c r="B174" s="1" t="n">
        <v>44879.55940972222</v>
      </c>
      <c r="C174" s="1" t="n">
        <v>46178</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9475-2023</t>
        </is>
      </c>
      <c r="B175" s="1" t="n">
        <v>44981.58834490741</v>
      </c>
      <c r="C175" s="1" t="n">
        <v>46178</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18899-2025</t>
        </is>
      </c>
      <c r="B176" s="1" t="n">
        <v>45764.44931712963</v>
      </c>
      <c r="C176" s="1" t="n">
        <v>46178</v>
      </c>
      <c r="D176" t="inlineStr">
        <is>
          <t>KALMAR LÄN</t>
        </is>
      </c>
      <c r="E176" t="inlineStr">
        <is>
          <t>VIMMERBY</t>
        </is>
      </c>
      <c r="F176" t="inlineStr">
        <is>
          <t>Kommuner</t>
        </is>
      </c>
      <c r="G176" t="n">
        <v>4</v>
      </c>
      <c r="H176" t="n">
        <v>0</v>
      </c>
      <c r="I176" t="n">
        <v>0</v>
      </c>
      <c r="J176" t="n">
        <v>0</v>
      </c>
      <c r="K176" t="n">
        <v>0</v>
      </c>
      <c r="L176" t="n">
        <v>0</v>
      </c>
      <c r="M176" t="n">
        <v>0</v>
      </c>
      <c r="N176" t="n">
        <v>0</v>
      </c>
      <c r="O176" t="n">
        <v>0</v>
      </c>
      <c r="P176" t="n">
        <v>0</v>
      </c>
      <c r="Q176" t="n">
        <v>0</v>
      </c>
      <c r="R176" s="2" t="inlineStr"/>
    </row>
    <row r="177" ht="15" customHeight="1">
      <c r="A177" t="inlineStr">
        <is>
          <t>A 7485-2024</t>
        </is>
      </c>
      <c r="B177" s="1" t="n">
        <v>45346.67184027778</v>
      </c>
      <c r="C177" s="1" t="n">
        <v>46178</v>
      </c>
      <c r="D177" t="inlineStr">
        <is>
          <t>KALMAR LÄN</t>
        </is>
      </c>
      <c r="E177" t="inlineStr">
        <is>
          <t>VIMMERBY</t>
        </is>
      </c>
      <c r="G177" t="n">
        <v>1.9</v>
      </c>
      <c r="H177" t="n">
        <v>0</v>
      </c>
      <c r="I177" t="n">
        <v>0</v>
      </c>
      <c r="J177" t="n">
        <v>0</v>
      </c>
      <c r="K177" t="n">
        <v>0</v>
      </c>
      <c r="L177" t="n">
        <v>0</v>
      </c>
      <c r="M177" t="n">
        <v>0</v>
      </c>
      <c r="N177" t="n">
        <v>0</v>
      </c>
      <c r="O177" t="n">
        <v>0</v>
      </c>
      <c r="P177" t="n">
        <v>0</v>
      </c>
      <c r="Q177" t="n">
        <v>0</v>
      </c>
      <c r="R177" s="2" t="inlineStr"/>
    </row>
    <row r="178" ht="15" customHeight="1">
      <c r="A178" t="inlineStr">
        <is>
          <t>A 12590-2025</t>
        </is>
      </c>
      <c r="B178" s="1" t="n">
        <v>45732.79925925926</v>
      </c>
      <c r="C178" s="1" t="n">
        <v>46178</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35710-2023</t>
        </is>
      </c>
      <c r="B179" s="1" t="n">
        <v>45147.67096064815</v>
      </c>
      <c r="C179" s="1" t="n">
        <v>46178</v>
      </c>
      <c r="D179" t="inlineStr">
        <is>
          <t>KALMAR LÄN</t>
        </is>
      </c>
      <c r="E179" t="inlineStr">
        <is>
          <t>VIMMERBY</t>
        </is>
      </c>
      <c r="G179" t="n">
        <v>3.1</v>
      </c>
      <c r="H179" t="n">
        <v>0</v>
      </c>
      <c r="I179" t="n">
        <v>0</v>
      </c>
      <c r="J179" t="n">
        <v>0</v>
      </c>
      <c r="K179" t="n">
        <v>0</v>
      </c>
      <c r="L179" t="n">
        <v>0</v>
      </c>
      <c r="M179" t="n">
        <v>0</v>
      </c>
      <c r="N179" t="n">
        <v>0</v>
      </c>
      <c r="O179" t="n">
        <v>0</v>
      </c>
      <c r="P179" t="n">
        <v>0</v>
      </c>
      <c r="Q179" t="n">
        <v>0</v>
      </c>
      <c r="R179" s="2" t="inlineStr"/>
    </row>
    <row r="180" ht="15" customHeight="1">
      <c r="A180" t="inlineStr">
        <is>
          <t>A 52823-2024</t>
        </is>
      </c>
      <c r="B180" s="1" t="n">
        <v>45610.59094907407</v>
      </c>
      <c r="C180" s="1" t="n">
        <v>46178</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14548-2024</t>
        </is>
      </c>
      <c r="B181" s="1" t="n">
        <v>45394.66887731481</v>
      </c>
      <c r="C181" s="1" t="n">
        <v>46178</v>
      </c>
      <c r="D181" t="inlineStr">
        <is>
          <t>KALMAR LÄN</t>
        </is>
      </c>
      <c r="E181" t="inlineStr">
        <is>
          <t>VIMMERBY</t>
        </is>
      </c>
      <c r="G181" t="n">
        <v>0.9</v>
      </c>
      <c r="H181" t="n">
        <v>0</v>
      </c>
      <c r="I181" t="n">
        <v>0</v>
      </c>
      <c r="J181" t="n">
        <v>0</v>
      </c>
      <c r="K181" t="n">
        <v>0</v>
      </c>
      <c r="L181" t="n">
        <v>0</v>
      </c>
      <c r="M181" t="n">
        <v>0</v>
      </c>
      <c r="N181" t="n">
        <v>0</v>
      </c>
      <c r="O181" t="n">
        <v>0</v>
      </c>
      <c r="P181" t="n">
        <v>0</v>
      </c>
      <c r="Q181" t="n">
        <v>0</v>
      </c>
      <c r="R181" s="2" t="inlineStr"/>
    </row>
    <row r="182" ht="15" customHeight="1">
      <c r="A182" t="inlineStr">
        <is>
          <t>A 23252-2024</t>
        </is>
      </c>
      <c r="B182" s="1" t="n">
        <v>45453.36067129629</v>
      </c>
      <c r="C182" s="1" t="n">
        <v>46178</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585-2024</t>
        </is>
      </c>
      <c r="B183" s="1" t="n">
        <v>45299.62576388889</v>
      </c>
      <c r="C183" s="1" t="n">
        <v>46178</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47855-2024</t>
        </is>
      </c>
      <c r="B184" s="1" t="n">
        <v>45588.66457175926</v>
      </c>
      <c r="C184" s="1" t="n">
        <v>46178</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11147-2023</t>
        </is>
      </c>
      <c r="B185" s="1" t="n">
        <v>44992</v>
      </c>
      <c r="C185" s="1" t="n">
        <v>46178</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19833-2023</t>
        </is>
      </c>
      <c r="B186" s="1" t="n">
        <v>45052</v>
      </c>
      <c r="C186" s="1" t="n">
        <v>46178</v>
      </c>
      <c r="D186" t="inlineStr">
        <is>
          <t>KALMAR LÄN</t>
        </is>
      </c>
      <c r="E186" t="inlineStr">
        <is>
          <t>VIMMERBY</t>
        </is>
      </c>
      <c r="G186" t="n">
        <v>6.7</v>
      </c>
      <c r="H186" t="n">
        <v>0</v>
      </c>
      <c r="I186" t="n">
        <v>0</v>
      </c>
      <c r="J186" t="n">
        <v>0</v>
      </c>
      <c r="K186" t="n">
        <v>0</v>
      </c>
      <c r="L186" t="n">
        <v>0</v>
      </c>
      <c r="M186" t="n">
        <v>0</v>
      </c>
      <c r="N186" t="n">
        <v>0</v>
      </c>
      <c r="O186" t="n">
        <v>0</v>
      </c>
      <c r="P186" t="n">
        <v>0</v>
      </c>
      <c r="Q186" t="n">
        <v>0</v>
      </c>
      <c r="R186" s="2" t="inlineStr"/>
    </row>
    <row r="187" ht="15" customHeight="1">
      <c r="A187" t="inlineStr">
        <is>
          <t>A 56020-2024</t>
        </is>
      </c>
      <c r="B187" s="1" t="n">
        <v>45623.9525462963</v>
      </c>
      <c r="C187" s="1" t="n">
        <v>46178</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15550-2023</t>
        </is>
      </c>
      <c r="B188" s="1" t="n">
        <v>45020</v>
      </c>
      <c r="C188" s="1" t="n">
        <v>46178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172-2022</t>
        </is>
      </c>
      <c r="B189" s="1" t="n">
        <v>44564.62598379629</v>
      </c>
      <c r="C189" s="1" t="n">
        <v>46178</v>
      </c>
      <c r="D189" t="inlineStr">
        <is>
          <t>KALMAR LÄN</t>
        </is>
      </c>
      <c r="E189" t="inlineStr">
        <is>
          <t>VIMMERBY</t>
        </is>
      </c>
      <c r="G189" t="n">
        <v>2.1</v>
      </c>
      <c r="H189" t="n">
        <v>0</v>
      </c>
      <c r="I189" t="n">
        <v>0</v>
      </c>
      <c r="J189" t="n">
        <v>0</v>
      </c>
      <c r="K189" t="n">
        <v>0</v>
      </c>
      <c r="L189" t="n">
        <v>0</v>
      </c>
      <c r="M189" t="n">
        <v>0</v>
      </c>
      <c r="N189" t="n">
        <v>0</v>
      </c>
      <c r="O189" t="n">
        <v>0</v>
      </c>
      <c r="P189" t="n">
        <v>0</v>
      </c>
      <c r="Q189" t="n">
        <v>0</v>
      </c>
      <c r="R189" s="2" t="inlineStr"/>
    </row>
    <row r="190" ht="15" customHeight="1">
      <c r="A190" t="inlineStr">
        <is>
          <t>A 39584-2024</t>
        </is>
      </c>
      <c r="B190" s="1" t="n">
        <v>45552.36759259259</v>
      </c>
      <c r="C190" s="1" t="n">
        <v>46178</v>
      </c>
      <c r="D190" t="inlineStr">
        <is>
          <t>KALMAR LÄN</t>
        </is>
      </c>
      <c r="E190" t="inlineStr">
        <is>
          <t>VIMMERBY</t>
        </is>
      </c>
      <c r="G190" t="n">
        <v>1.9</v>
      </c>
      <c r="H190" t="n">
        <v>0</v>
      </c>
      <c r="I190" t="n">
        <v>0</v>
      </c>
      <c r="J190" t="n">
        <v>0</v>
      </c>
      <c r="K190" t="n">
        <v>0</v>
      </c>
      <c r="L190" t="n">
        <v>0</v>
      </c>
      <c r="M190" t="n">
        <v>0</v>
      </c>
      <c r="N190" t="n">
        <v>0</v>
      </c>
      <c r="O190" t="n">
        <v>0</v>
      </c>
      <c r="P190" t="n">
        <v>0</v>
      </c>
      <c r="Q190" t="n">
        <v>0</v>
      </c>
      <c r="R190" s="2" t="inlineStr"/>
    </row>
    <row r="191" ht="15" customHeight="1">
      <c r="A191" t="inlineStr">
        <is>
          <t>A 11219-2023</t>
        </is>
      </c>
      <c r="B191" s="1" t="n">
        <v>44992.62498842592</v>
      </c>
      <c r="C191" s="1" t="n">
        <v>46178</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51881-2024</t>
        </is>
      </c>
      <c r="B192" s="1" t="n">
        <v>45607.56773148148</v>
      </c>
      <c r="C192" s="1" t="n">
        <v>46178</v>
      </c>
      <c r="D192" t="inlineStr">
        <is>
          <t>KALMAR LÄN</t>
        </is>
      </c>
      <c r="E192" t="inlineStr">
        <is>
          <t>VIMMERBY</t>
        </is>
      </c>
      <c r="G192" t="n">
        <v>3.4</v>
      </c>
      <c r="H192" t="n">
        <v>0</v>
      </c>
      <c r="I192" t="n">
        <v>0</v>
      </c>
      <c r="J192" t="n">
        <v>0</v>
      </c>
      <c r="K192" t="n">
        <v>0</v>
      </c>
      <c r="L192" t="n">
        <v>0</v>
      </c>
      <c r="M192" t="n">
        <v>0</v>
      </c>
      <c r="N192" t="n">
        <v>0</v>
      </c>
      <c r="O192" t="n">
        <v>0</v>
      </c>
      <c r="P192" t="n">
        <v>0</v>
      </c>
      <c r="Q192" t="n">
        <v>0</v>
      </c>
      <c r="R192" s="2" t="inlineStr"/>
    </row>
    <row r="193" ht="15" customHeight="1">
      <c r="A193" t="inlineStr">
        <is>
          <t>A 52324-2023</t>
        </is>
      </c>
      <c r="B193" s="1" t="n">
        <v>45224.64659722222</v>
      </c>
      <c r="C193" s="1" t="n">
        <v>46178</v>
      </c>
      <c r="D193" t="inlineStr">
        <is>
          <t>KALMAR LÄN</t>
        </is>
      </c>
      <c r="E193" t="inlineStr">
        <is>
          <t>VIMMERBY</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2596-2025</t>
        </is>
      </c>
      <c r="B194" s="1" t="n">
        <v>45674.71810185185</v>
      </c>
      <c r="C194" s="1" t="n">
        <v>46178</v>
      </c>
      <c r="D194" t="inlineStr">
        <is>
          <t>KALMAR LÄN</t>
        </is>
      </c>
      <c r="E194" t="inlineStr">
        <is>
          <t>VIMMERBY</t>
        </is>
      </c>
      <c r="G194" t="n">
        <v>9</v>
      </c>
      <c r="H194" t="n">
        <v>0</v>
      </c>
      <c r="I194" t="n">
        <v>0</v>
      </c>
      <c r="J194" t="n">
        <v>0</v>
      </c>
      <c r="K194" t="n">
        <v>0</v>
      </c>
      <c r="L194" t="n">
        <v>0</v>
      </c>
      <c r="M194" t="n">
        <v>0</v>
      </c>
      <c r="N194" t="n">
        <v>0</v>
      </c>
      <c r="O194" t="n">
        <v>0</v>
      </c>
      <c r="P194" t="n">
        <v>0</v>
      </c>
      <c r="Q194" t="n">
        <v>0</v>
      </c>
      <c r="R194" s="2" t="inlineStr"/>
    </row>
    <row r="195" ht="15" customHeight="1">
      <c r="A195" t="inlineStr">
        <is>
          <t>A 16734-2023</t>
        </is>
      </c>
      <c r="B195" s="1" t="n">
        <v>45030.71012731481</v>
      </c>
      <c r="C195" s="1" t="n">
        <v>46178</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37028-2024</t>
        </is>
      </c>
      <c r="B196" s="1" t="n">
        <v>45539.38744212963</v>
      </c>
      <c r="C196" s="1" t="n">
        <v>46178</v>
      </c>
      <c r="D196" t="inlineStr">
        <is>
          <t>KALMAR LÄN</t>
        </is>
      </c>
      <c r="E196" t="inlineStr">
        <is>
          <t>VIMMERBY</t>
        </is>
      </c>
      <c r="G196" t="n">
        <v>5.2</v>
      </c>
      <c r="H196" t="n">
        <v>0</v>
      </c>
      <c r="I196" t="n">
        <v>0</v>
      </c>
      <c r="J196" t="n">
        <v>0</v>
      </c>
      <c r="K196" t="n">
        <v>0</v>
      </c>
      <c r="L196" t="n">
        <v>0</v>
      </c>
      <c r="M196" t="n">
        <v>0</v>
      </c>
      <c r="N196" t="n">
        <v>0</v>
      </c>
      <c r="O196" t="n">
        <v>0</v>
      </c>
      <c r="P196" t="n">
        <v>0</v>
      </c>
      <c r="Q196" t="n">
        <v>0</v>
      </c>
      <c r="R196" s="2" t="inlineStr"/>
    </row>
    <row r="197" ht="15" customHeight="1">
      <c r="A197" t="inlineStr">
        <is>
          <t>A 55236-2023</t>
        </is>
      </c>
      <c r="B197" s="1" t="n">
        <v>45237.63225694445</v>
      </c>
      <c r="C197" s="1" t="n">
        <v>46178</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55245-2023</t>
        </is>
      </c>
      <c r="B198" s="1" t="n">
        <v>45237.64408564815</v>
      </c>
      <c r="C198" s="1" t="n">
        <v>46178</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36055-2024</t>
        </is>
      </c>
      <c r="B199" s="1" t="n">
        <v>45533.63056712963</v>
      </c>
      <c r="C199" s="1" t="n">
        <v>46178</v>
      </c>
      <c r="D199" t="inlineStr">
        <is>
          <t>KALMAR LÄN</t>
        </is>
      </c>
      <c r="E199" t="inlineStr">
        <is>
          <t>VIMMERBY</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23341-2022</t>
        </is>
      </c>
      <c r="B200" s="1" t="n">
        <v>44720.53898148148</v>
      </c>
      <c r="C200" s="1" t="n">
        <v>46178</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20129-2024</t>
        </is>
      </c>
      <c r="B201" s="1" t="n">
        <v>45434.55831018519</v>
      </c>
      <c r="C201" s="1" t="n">
        <v>46178</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20137-2024</t>
        </is>
      </c>
      <c r="B202" s="1" t="n">
        <v>45434.56398148148</v>
      </c>
      <c r="C202" s="1" t="n">
        <v>46178</v>
      </c>
      <c r="D202" t="inlineStr">
        <is>
          <t>KALMAR LÄN</t>
        </is>
      </c>
      <c r="E202" t="inlineStr">
        <is>
          <t>VIMMERBY</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6668-2023</t>
        </is>
      </c>
      <c r="B203" s="1" t="n">
        <v>44966</v>
      </c>
      <c r="C203" s="1" t="n">
        <v>46178</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29168-2024</t>
        </is>
      </c>
      <c r="B204" s="1" t="n">
        <v>45482.49870370371</v>
      </c>
      <c r="C204" s="1" t="n">
        <v>46178</v>
      </c>
      <c r="D204" t="inlineStr">
        <is>
          <t>KALMAR LÄN</t>
        </is>
      </c>
      <c r="E204" t="inlineStr">
        <is>
          <t>VIMMERBY</t>
        </is>
      </c>
      <c r="G204" t="n">
        <v>1.4</v>
      </c>
      <c r="H204" t="n">
        <v>0</v>
      </c>
      <c r="I204" t="n">
        <v>0</v>
      </c>
      <c r="J204" t="n">
        <v>0</v>
      </c>
      <c r="K204" t="n">
        <v>0</v>
      </c>
      <c r="L204" t="n">
        <v>0</v>
      </c>
      <c r="M204" t="n">
        <v>0</v>
      </c>
      <c r="N204" t="n">
        <v>0</v>
      </c>
      <c r="O204" t="n">
        <v>0</v>
      </c>
      <c r="P204" t="n">
        <v>0</v>
      </c>
      <c r="Q204" t="n">
        <v>0</v>
      </c>
      <c r="R204" s="2" t="inlineStr"/>
    </row>
    <row r="205" ht="15" customHeight="1">
      <c r="A205" t="inlineStr">
        <is>
          <t>A 6321-2023</t>
        </is>
      </c>
      <c r="B205" s="1" t="n">
        <v>44965.4815162037</v>
      </c>
      <c r="C205" s="1" t="n">
        <v>46178</v>
      </c>
      <c r="D205" t="inlineStr">
        <is>
          <t>KALMAR LÄN</t>
        </is>
      </c>
      <c r="E205" t="inlineStr">
        <is>
          <t>VIMMERBY</t>
        </is>
      </c>
      <c r="G205" t="n">
        <v>1.8</v>
      </c>
      <c r="H205" t="n">
        <v>0</v>
      </c>
      <c r="I205" t="n">
        <v>0</v>
      </c>
      <c r="J205" t="n">
        <v>0</v>
      </c>
      <c r="K205" t="n">
        <v>0</v>
      </c>
      <c r="L205" t="n">
        <v>0</v>
      </c>
      <c r="M205" t="n">
        <v>0</v>
      </c>
      <c r="N205" t="n">
        <v>0</v>
      </c>
      <c r="O205" t="n">
        <v>0</v>
      </c>
      <c r="P205" t="n">
        <v>0</v>
      </c>
      <c r="Q205" t="n">
        <v>0</v>
      </c>
      <c r="R205" s="2" t="inlineStr"/>
    </row>
    <row r="206" ht="15" customHeight="1">
      <c r="A206" t="inlineStr">
        <is>
          <t>A 4624-2024</t>
        </is>
      </c>
      <c r="B206" s="1" t="n">
        <v>45328.38755787037</v>
      </c>
      <c r="C206" s="1" t="n">
        <v>46178</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27443-2023</t>
        </is>
      </c>
      <c r="B207" s="1" t="n">
        <v>45097.40524305555</v>
      </c>
      <c r="C207" s="1" t="n">
        <v>46178</v>
      </c>
      <c r="D207" t="inlineStr">
        <is>
          <t>KALMAR LÄN</t>
        </is>
      </c>
      <c r="E207" t="inlineStr">
        <is>
          <t>VIMMERBY</t>
        </is>
      </c>
      <c r="F207" t="inlineStr">
        <is>
          <t>Övriga Aktiebolag</t>
        </is>
      </c>
      <c r="G207" t="n">
        <v>2.3</v>
      </c>
      <c r="H207" t="n">
        <v>0</v>
      </c>
      <c r="I207" t="n">
        <v>0</v>
      </c>
      <c r="J207" t="n">
        <v>0</v>
      </c>
      <c r="K207" t="n">
        <v>0</v>
      </c>
      <c r="L207" t="n">
        <v>0</v>
      </c>
      <c r="M207" t="n">
        <v>0</v>
      </c>
      <c r="N207" t="n">
        <v>0</v>
      </c>
      <c r="O207" t="n">
        <v>0</v>
      </c>
      <c r="P207" t="n">
        <v>0</v>
      </c>
      <c r="Q207" t="n">
        <v>0</v>
      </c>
      <c r="R207" s="2" t="inlineStr"/>
    </row>
    <row r="208" ht="15" customHeight="1">
      <c r="A208" t="inlineStr">
        <is>
          <t>A 845-2023</t>
        </is>
      </c>
      <c r="B208" s="1" t="n">
        <v>44931</v>
      </c>
      <c r="C208" s="1" t="n">
        <v>46178</v>
      </c>
      <c r="D208" t="inlineStr">
        <is>
          <t>KALMAR LÄN</t>
        </is>
      </c>
      <c r="E208" t="inlineStr">
        <is>
          <t>VIMMERBY</t>
        </is>
      </c>
      <c r="F208" t="inlineStr">
        <is>
          <t>Övriga Aktiebolag</t>
        </is>
      </c>
      <c r="G208" t="n">
        <v>19</v>
      </c>
      <c r="H208" t="n">
        <v>0</v>
      </c>
      <c r="I208" t="n">
        <v>0</v>
      </c>
      <c r="J208" t="n">
        <v>0</v>
      </c>
      <c r="K208" t="n">
        <v>0</v>
      </c>
      <c r="L208" t="n">
        <v>0</v>
      </c>
      <c r="M208" t="n">
        <v>0</v>
      </c>
      <c r="N208" t="n">
        <v>0</v>
      </c>
      <c r="O208" t="n">
        <v>0</v>
      </c>
      <c r="P208" t="n">
        <v>0</v>
      </c>
      <c r="Q208" t="n">
        <v>0</v>
      </c>
      <c r="R208" s="2" t="inlineStr"/>
    </row>
    <row r="209" ht="15" customHeight="1">
      <c r="A209" t="inlineStr">
        <is>
          <t>A 40730-2024</t>
        </is>
      </c>
      <c r="B209" s="1" t="n">
        <v>45558.44914351852</v>
      </c>
      <c r="C209" s="1" t="n">
        <v>46178</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59598-2023</t>
        </is>
      </c>
      <c r="B210" s="1" t="n">
        <v>45254.62489583333</v>
      </c>
      <c r="C210" s="1" t="n">
        <v>46178</v>
      </c>
      <c r="D210" t="inlineStr">
        <is>
          <t>KALMAR LÄN</t>
        </is>
      </c>
      <c r="E210" t="inlineStr">
        <is>
          <t>VIMMERBY</t>
        </is>
      </c>
      <c r="F210" t="inlineStr">
        <is>
          <t>Övriga Aktiebolag</t>
        </is>
      </c>
      <c r="G210" t="n">
        <v>4</v>
      </c>
      <c r="H210" t="n">
        <v>0</v>
      </c>
      <c r="I210" t="n">
        <v>0</v>
      </c>
      <c r="J210" t="n">
        <v>0</v>
      </c>
      <c r="K210" t="n">
        <v>0</v>
      </c>
      <c r="L210" t="n">
        <v>0</v>
      </c>
      <c r="M210" t="n">
        <v>0</v>
      </c>
      <c r="N210" t="n">
        <v>0</v>
      </c>
      <c r="O210" t="n">
        <v>0</v>
      </c>
      <c r="P210" t="n">
        <v>0</v>
      </c>
      <c r="Q210" t="n">
        <v>0</v>
      </c>
      <c r="R210" s="2" t="inlineStr"/>
    </row>
    <row r="211" ht="15" customHeight="1">
      <c r="A211" t="inlineStr">
        <is>
          <t>A 7944-2024</t>
        </is>
      </c>
      <c r="B211" s="1" t="n">
        <v>45350.53306712963</v>
      </c>
      <c r="C211" s="1" t="n">
        <v>46178</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21496-2023</t>
        </is>
      </c>
      <c r="B212" s="1" t="n">
        <v>45063.49936342592</v>
      </c>
      <c r="C212" s="1" t="n">
        <v>46178</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2157-2024</t>
        </is>
      </c>
      <c r="B213" s="1" t="n">
        <v>45309.59487268519</v>
      </c>
      <c r="C213" s="1" t="n">
        <v>46178</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35082-2024</t>
        </is>
      </c>
      <c r="B214" s="1" t="n">
        <v>45527.68784722222</v>
      </c>
      <c r="C214" s="1" t="n">
        <v>46178</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49461-2022</t>
        </is>
      </c>
      <c r="B215" s="1" t="n">
        <v>44861</v>
      </c>
      <c r="C215" s="1" t="n">
        <v>46178</v>
      </c>
      <c r="D215" t="inlineStr">
        <is>
          <t>KALMAR LÄN</t>
        </is>
      </c>
      <c r="E215" t="inlineStr">
        <is>
          <t>VIMMERBY</t>
        </is>
      </c>
      <c r="G215" t="n">
        <v>3.2</v>
      </c>
      <c r="H215" t="n">
        <v>0</v>
      </c>
      <c r="I215" t="n">
        <v>0</v>
      </c>
      <c r="J215" t="n">
        <v>0</v>
      </c>
      <c r="K215" t="n">
        <v>0</v>
      </c>
      <c r="L215" t="n">
        <v>0</v>
      </c>
      <c r="M215" t="n">
        <v>0</v>
      </c>
      <c r="N215" t="n">
        <v>0</v>
      </c>
      <c r="O215" t="n">
        <v>0</v>
      </c>
      <c r="P215" t="n">
        <v>0</v>
      </c>
      <c r="Q215" t="n">
        <v>0</v>
      </c>
      <c r="R215" s="2" t="inlineStr"/>
    </row>
    <row r="216" ht="15" customHeight="1">
      <c r="A216" t="inlineStr">
        <is>
          <t>A 29783-2024</t>
        </is>
      </c>
      <c r="B216" s="1" t="n">
        <v>45485.45778935185</v>
      </c>
      <c r="C216" s="1" t="n">
        <v>46178</v>
      </c>
      <c r="D216" t="inlineStr">
        <is>
          <t>KALMAR LÄN</t>
        </is>
      </c>
      <c r="E216" t="inlineStr">
        <is>
          <t>VIMMERBY</t>
        </is>
      </c>
      <c r="G216" t="n">
        <v>3.1</v>
      </c>
      <c r="H216" t="n">
        <v>0</v>
      </c>
      <c r="I216" t="n">
        <v>0</v>
      </c>
      <c r="J216" t="n">
        <v>0</v>
      </c>
      <c r="K216" t="n">
        <v>0</v>
      </c>
      <c r="L216" t="n">
        <v>0</v>
      </c>
      <c r="M216" t="n">
        <v>0</v>
      </c>
      <c r="N216" t="n">
        <v>0</v>
      </c>
      <c r="O216" t="n">
        <v>0</v>
      </c>
      <c r="P216" t="n">
        <v>0</v>
      </c>
      <c r="Q216" t="n">
        <v>0</v>
      </c>
      <c r="R216" s="2" t="inlineStr"/>
    </row>
    <row r="217" ht="15" customHeight="1">
      <c r="A217" t="inlineStr">
        <is>
          <t>A 694-2024</t>
        </is>
      </c>
      <c r="B217" s="1" t="n">
        <v>45300.3794212963</v>
      </c>
      <c r="C217" s="1" t="n">
        <v>46178</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51278-2024</t>
        </is>
      </c>
      <c r="B218" s="1" t="n">
        <v>45603.74959490741</v>
      </c>
      <c r="C218" s="1" t="n">
        <v>46178</v>
      </c>
      <c r="D218" t="inlineStr">
        <is>
          <t>KALMAR LÄN</t>
        </is>
      </c>
      <c r="E218" t="inlineStr">
        <is>
          <t>VIMMERBY</t>
        </is>
      </c>
      <c r="G218" t="n">
        <v>3.4</v>
      </c>
      <c r="H218" t="n">
        <v>0</v>
      </c>
      <c r="I218" t="n">
        <v>0</v>
      </c>
      <c r="J218" t="n">
        <v>0</v>
      </c>
      <c r="K218" t="n">
        <v>0</v>
      </c>
      <c r="L218" t="n">
        <v>0</v>
      </c>
      <c r="M218" t="n">
        <v>0</v>
      </c>
      <c r="N218" t="n">
        <v>0</v>
      </c>
      <c r="O218" t="n">
        <v>0</v>
      </c>
      <c r="P218" t="n">
        <v>0</v>
      </c>
      <c r="Q218" t="n">
        <v>0</v>
      </c>
      <c r="R218" s="2" t="inlineStr"/>
    </row>
    <row r="219" ht="15" customHeight="1">
      <c r="A219" t="inlineStr">
        <is>
          <t>A 9456-2025</t>
        </is>
      </c>
      <c r="B219" s="1" t="n">
        <v>45715.44159722222</v>
      </c>
      <c r="C219" s="1" t="n">
        <v>46178</v>
      </c>
      <c r="D219" t="inlineStr">
        <is>
          <t>KALMAR LÄN</t>
        </is>
      </c>
      <c r="E219" t="inlineStr">
        <is>
          <t>VIMMERBY</t>
        </is>
      </c>
      <c r="G219" t="n">
        <v>1.5</v>
      </c>
      <c r="H219" t="n">
        <v>0</v>
      </c>
      <c r="I219" t="n">
        <v>0</v>
      </c>
      <c r="J219" t="n">
        <v>0</v>
      </c>
      <c r="K219" t="n">
        <v>0</v>
      </c>
      <c r="L219" t="n">
        <v>0</v>
      </c>
      <c r="M219" t="n">
        <v>0</v>
      </c>
      <c r="N219" t="n">
        <v>0</v>
      </c>
      <c r="O219" t="n">
        <v>0</v>
      </c>
      <c r="P219" t="n">
        <v>0</v>
      </c>
      <c r="Q219" t="n">
        <v>0</v>
      </c>
      <c r="R219" s="2" t="inlineStr"/>
    </row>
    <row r="220" ht="15" customHeight="1">
      <c r="A220" t="inlineStr">
        <is>
          <t>A 63758-2025</t>
        </is>
      </c>
      <c r="B220" s="1" t="n">
        <v>46018.46483796297</v>
      </c>
      <c r="C220" s="1" t="n">
        <v>46178</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63848-2025</t>
        </is>
      </c>
      <c r="B221" s="1" t="n">
        <v>46020.44902777778</v>
      </c>
      <c r="C221" s="1" t="n">
        <v>46178</v>
      </c>
      <c r="D221" t="inlineStr">
        <is>
          <t>KALMAR LÄN</t>
        </is>
      </c>
      <c r="E221" t="inlineStr">
        <is>
          <t>VIMMERBY</t>
        </is>
      </c>
      <c r="G221" t="n">
        <v>3.4</v>
      </c>
      <c r="H221" t="n">
        <v>0</v>
      </c>
      <c r="I221" t="n">
        <v>0</v>
      </c>
      <c r="J221" t="n">
        <v>0</v>
      </c>
      <c r="K221" t="n">
        <v>0</v>
      </c>
      <c r="L221" t="n">
        <v>0</v>
      </c>
      <c r="M221" t="n">
        <v>0</v>
      </c>
      <c r="N221" t="n">
        <v>0</v>
      </c>
      <c r="O221" t="n">
        <v>0</v>
      </c>
      <c r="P221" t="n">
        <v>0</v>
      </c>
      <c r="Q221" t="n">
        <v>0</v>
      </c>
      <c r="R221" s="2" t="inlineStr"/>
    </row>
    <row r="222" ht="15" customHeight="1">
      <c r="A222" t="inlineStr">
        <is>
          <t>A 11111-2023</t>
        </is>
      </c>
      <c r="B222" s="1" t="n">
        <v>44992.4255787037</v>
      </c>
      <c r="C222" s="1" t="n">
        <v>46178</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35198-2023</t>
        </is>
      </c>
      <c r="B223" s="1" t="n">
        <v>45145</v>
      </c>
      <c r="C223" s="1" t="n">
        <v>46178</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44582-2024</t>
        </is>
      </c>
      <c r="B224" s="1" t="n">
        <v>45574.49298611111</v>
      </c>
      <c r="C224" s="1" t="n">
        <v>46178</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43853-2023</t>
        </is>
      </c>
      <c r="B225" s="1" t="n">
        <v>45187.60813657408</v>
      </c>
      <c r="C225" s="1" t="n">
        <v>46178</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15494-2024</t>
        </is>
      </c>
      <c r="B226" s="1" t="n">
        <v>45401.53033564815</v>
      </c>
      <c r="C226" s="1" t="n">
        <v>46178</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38604-2025</t>
        </is>
      </c>
      <c r="B227" s="1" t="n">
        <v>45884.50613425926</v>
      </c>
      <c r="C227" s="1" t="n">
        <v>46178</v>
      </c>
      <c r="D227" t="inlineStr">
        <is>
          <t>KALMAR LÄN</t>
        </is>
      </c>
      <c r="E227" t="inlineStr">
        <is>
          <t>VIMMERBY</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9511-2023</t>
        </is>
      </c>
      <c r="B228" s="1" t="n">
        <v>44981.64725694444</v>
      </c>
      <c r="C228" s="1" t="n">
        <v>46178</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38757-2023</t>
        </is>
      </c>
      <c r="B229" s="1" t="n">
        <v>45163.41376157408</v>
      </c>
      <c r="C229" s="1" t="n">
        <v>46178</v>
      </c>
      <c r="D229" t="inlineStr">
        <is>
          <t>KALMAR LÄN</t>
        </is>
      </c>
      <c r="E229" t="inlineStr">
        <is>
          <t>VIMMERBY</t>
        </is>
      </c>
      <c r="G229" t="n">
        <v>2.5</v>
      </c>
      <c r="H229" t="n">
        <v>0</v>
      </c>
      <c r="I229" t="n">
        <v>0</v>
      </c>
      <c r="J229" t="n">
        <v>0</v>
      </c>
      <c r="K229" t="n">
        <v>0</v>
      </c>
      <c r="L229" t="n">
        <v>0</v>
      </c>
      <c r="M229" t="n">
        <v>0</v>
      </c>
      <c r="N229" t="n">
        <v>0</v>
      </c>
      <c r="O229" t="n">
        <v>0</v>
      </c>
      <c r="P229" t="n">
        <v>0</v>
      </c>
      <c r="Q229" t="n">
        <v>0</v>
      </c>
      <c r="R229" s="2" t="inlineStr"/>
    </row>
    <row r="230" ht="15" customHeight="1">
      <c r="A230" t="inlineStr">
        <is>
          <t>A 579-2026</t>
        </is>
      </c>
      <c r="B230" s="1" t="n">
        <v>46029.47912037037</v>
      </c>
      <c r="C230" s="1" t="n">
        <v>46178</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29973-2023</t>
        </is>
      </c>
      <c r="B231" s="1" t="n">
        <v>45108.703125</v>
      </c>
      <c r="C231" s="1" t="n">
        <v>46178</v>
      </c>
      <c r="D231" t="inlineStr">
        <is>
          <t>KALMAR LÄN</t>
        </is>
      </c>
      <c r="E231" t="inlineStr">
        <is>
          <t>VIMMERBY</t>
        </is>
      </c>
      <c r="G231" t="n">
        <v>4</v>
      </c>
      <c r="H231" t="n">
        <v>0</v>
      </c>
      <c r="I231" t="n">
        <v>0</v>
      </c>
      <c r="J231" t="n">
        <v>0</v>
      </c>
      <c r="K231" t="n">
        <v>0</v>
      </c>
      <c r="L231" t="n">
        <v>0</v>
      </c>
      <c r="M231" t="n">
        <v>0</v>
      </c>
      <c r="N231" t="n">
        <v>0</v>
      </c>
      <c r="O231" t="n">
        <v>0</v>
      </c>
      <c r="P231" t="n">
        <v>0</v>
      </c>
      <c r="Q231" t="n">
        <v>0</v>
      </c>
      <c r="R231" s="2" t="inlineStr"/>
    </row>
    <row r="232" ht="15" customHeight="1">
      <c r="A232" t="inlineStr">
        <is>
          <t>A 64143-2021</t>
        </is>
      </c>
      <c r="B232" s="1" t="n">
        <v>44510.52157407408</v>
      </c>
      <c r="C232" s="1" t="n">
        <v>46178</v>
      </c>
      <c r="D232" t="inlineStr">
        <is>
          <t>KALMAR LÄN</t>
        </is>
      </c>
      <c r="E232" t="inlineStr">
        <is>
          <t>VIMMERBY</t>
        </is>
      </c>
      <c r="G232" t="n">
        <v>1.6</v>
      </c>
      <c r="H232" t="n">
        <v>0</v>
      </c>
      <c r="I232" t="n">
        <v>0</v>
      </c>
      <c r="J232" t="n">
        <v>0</v>
      </c>
      <c r="K232" t="n">
        <v>0</v>
      </c>
      <c r="L232" t="n">
        <v>0</v>
      </c>
      <c r="M232" t="n">
        <v>0</v>
      </c>
      <c r="N232" t="n">
        <v>0</v>
      </c>
      <c r="O232" t="n">
        <v>0</v>
      </c>
      <c r="P232" t="n">
        <v>0</v>
      </c>
      <c r="Q232" t="n">
        <v>0</v>
      </c>
      <c r="R232" s="2" t="inlineStr"/>
    </row>
    <row r="233" ht="15" customHeight="1">
      <c r="A233" t="inlineStr">
        <is>
          <t>A 58724-2024</t>
        </is>
      </c>
      <c r="B233" s="1" t="n">
        <v>45635.66409722222</v>
      </c>
      <c r="C233" s="1" t="n">
        <v>46178</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409-2026</t>
        </is>
      </c>
      <c r="B234" s="1" t="n">
        <v>46028.69432870371</v>
      </c>
      <c r="C234" s="1" t="n">
        <v>46178</v>
      </c>
      <c r="D234" t="inlineStr">
        <is>
          <t>KALMAR LÄN</t>
        </is>
      </c>
      <c r="E234" t="inlineStr">
        <is>
          <t>VIMMERBY</t>
        </is>
      </c>
      <c r="G234" t="n">
        <v>2.2</v>
      </c>
      <c r="H234" t="n">
        <v>0</v>
      </c>
      <c r="I234" t="n">
        <v>0</v>
      </c>
      <c r="J234" t="n">
        <v>0</v>
      </c>
      <c r="K234" t="n">
        <v>0</v>
      </c>
      <c r="L234" t="n">
        <v>0</v>
      </c>
      <c r="M234" t="n">
        <v>0</v>
      </c>
      <c r="N234" t="n">
        <v>0</v>
      </c>
      <c r="O234" t="n">
        <v>0</v>
      </c>
      <c r="P234" t="n">
        <v>0</v>
      </c>
      <c r="Q234" t="n">
        <v>0</v>
      </c>
      <c r="R234" s="2" t="inlineStr"/>
    </row>
    <row r="235" ht="15" customHeight="1">
      <c r="A235" t="inlineStr">
        <is>
          <t>A 406-2026</t>
        </is>
      </c>
      <c r="B235" s="1" t="n">
        <v>46028.68663194445</v>
      </c>
      <c r="C235" s="1" t="n">
        <v>46178</v>
      </c>
      <c r="D235" t="inlineStr">
        <is>
          <t>KALMAR LÄN</t>
        </is>
      </c>
      <c r="E235" t="inlineStr">
        <is>
          <t>VIMMERBY</t>
        </is>
      </c>
      <c r="G235" t="n">
        <v>1.8</v>
      </c>
      <c r="H235" t="n">
        <v>0</v>
      </c>
      <c r="I235" t="n">
        <v>0</v>
      </c>
      <c r="J235" t="n">
        <v>0</v>
      </c>
      <c r="K235" t="n">
        <v>0</v>
      </c>
      <c r="L235" t="n">
        <v>0</v>
      </c>
      <c r="M235" t="n">
        <v>0</v>
      </c>
      <c r="N235" t="n">
        <v>0</v>
      </c>
      <c r="O235" t="n">
        <v>0</v>
      </c>
      <c r="P235" t="n">
        <v>0</v>
      </c>
      <c r="Q235" t="n">
        <v>0</v>
      </c>
      <c r="R235" s="2" t="inlineStr"/>
    </row>
    <row r="236" ht="15" customHeight="1">
      <c r="A236" t="inlineStr">
        <is>
          <t>A 73938-2021</t>
        </is>
      </c>
      <c r="B236" s="1" t="n">
        <v>44553</v>
      </c>
      <c r="C236" s="1" t="n">
        <v>46178</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25792-2025</t>
        </is>
      </c>
      <c r="B237" s="1" t="n">
        <v>45804.39141203704</v>
      </c>
      <c r="C237" s="1" t="n">
        <v>46178</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26046-2025</t>
        </is>
      </c>
      <c r="B238" s="1" t="n">
        <v>45804.708125</v>
      </c>
      <c r="C238" s="1" t="n">
        <v>46178</v>
      </c>
      <c r="D238" t="inlineStr">
        <is>
          <t>KALMAR LÄN</t>
        </is>
      </c>
      <c r="E238" t="inlineStr">
        <is>
          <t>VIMMERBY</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40076-2021</t>
        </is>
      </c>
      <c r="B239" s="1" t="n">
        <v>44418</v>
      </c>
      <c r="C239" s="1" t="n">
        <v>46178</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26124-2025</t>
        </is>
      </c>
      <c r="B240" s="1" t="n">
        <v>45805.39247685186</v>
      </c>
      <c r="C240" s="1" t="n">
        <v>46178</v>
      </c>
      <c r="D240" t="inlineStr">
        <is>
          <t>KALMAR LÄN</t>
        </is>
      </c>
      <c r="E240" t="inlineStr">
        <is>
          <t>VIMMERBY</t>
        </is>
      </c>
      <c r="G240" t="n">
        <v>6.6</v>
      </c>
      <c r="H240" t="n">
        <v>0</v>
      </c>
      <c r="I240" t="n">
        <v>0</v>
      </c>
      <c r="J240" t="n">
        <v>0</v>
      </c>
      <c r="K240" t="n">
        <v>0</v>
      </c>
      <c r="L240" t="n">
        <v>0</v>
      </c>
      <c r="M240" t="n">
        <v>0</v>
      </c>
      <c r="N240" t="n">
        <v>0</v>
      </c>
      <c r="O240" t="n">
        <v>0</v>
      </c>
      <c r="P240" t="n">
        <v>0</v>
      </c>
      <c r="Q240" t="n">
        <v>0</v>
      </c>
      <c r="R240" s="2" t="inlineStr"/>
    </row>
    <row r="241" ht="15" customHeight="1">
      <c r="A241" t="inlineStr">
        <is>
          <t>A 26207-2025</t>
        </is>
      </c>
      <c r="B241" s="1" t="n">
        <v>45805.52983796296</v>
      </c>
      <c r="C241" s="1" t="n">
        <v>46178</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50648-2023</t>
        </is>
      </c>
      <c r="B242" s="1" t="n">
        <v>45217.47834490741</v>
      </c>
      <c r="C242" s="1" t="n">
        <v>46178</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46178</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529-2022</t>
        </is>
      </c>
      <c r="B244" s="1" t="n">
        <v>44566</v>
      </c>
      <c r="C244" s="1" t="n">
        <v>46178</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58318-2021</t>
        </is>
      </c>
      <c r="B245" s="1" t="n">
        <v>44488.35878472222</v>
      </c>
      <c r="C245" s="1" t="n">
        <v>46178</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26254-2025</t>
        </is>
      </c>
      <c r="B246" s="1" t="n">
        <v>45805</v>
      </c>
      <c r="C246" s="1" t="n">
        <v>46178</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89-2023</t>
        </is>
      </c>
      <c r="B247" s="1" t="n">
        <v>44918</v>
      </c>
      <c r="C247" s="1" t="n">
        <v>46178</v>
      </c>
      <c r="D247" t="inlineStr">
        <is>
          <t>KALMAR LÄN</t>
        </is>
      </c>
      <c r="E247" t="inlineStr">
        <is>
          <t>VIMMERBY</t>
        </is>
      </c>
      <c r="G247" t="n">
        <v>16.1</v>
      </c>
      <c r="H247" t="n">
        <v>0</v>
      </c>
      <c r="I247" t="n">
        <v>0</v>
      </c>
      <c r="J247" t="n">
        <v>0</v>
      </c>
      <c r="K247" t="n">
        <v>0</v>
      </c>
      <c r="L247" t="n">
        <v>0</v>
      </c>
      <c r="M247" t="n">
        <v>0</v>
      </c>
      <c r="N247" t="n">
        <v>0</v>
      </c>
      <c r="O247" t="n">
        <v>0</v>
      </c>
      <c r="P247" t="n">
        <v>0</v>
      </c>
      <c r="Q247" t="n">
        <v>0</v>
      </c>
      <c r="R247" s="2" t="inlineStr"/>
    </row>
    <row r="248" ht="15" customHeight="1">
      <c r="A248" t="inlineStr">
        <is>
          <t>A 23088-2024</t>
        </is>
      </c>
      <c r="B248" s="1" t="n">
        <v>45450.51092592593</v>
      </c>
      <c r="C248" s="1" t="n">
        <v>46178</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842-2026</t>
        </is>
      </c>
      <c r="B249" s="1" t="n">
        <v>46030.380625</v>
      </c>
      <c r="C249" s="1" t="n">
        <v>46178</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38851-2023</t>
        </is>
      </c>
      <c r="B250" s="1" t="n">
        <v>45163</v>
      </c>
      <c r="C250" s="1" t="n">
        <v>46178</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1069-2026</t>
        </is>
      </c>
      <c r="B251" s="1" t="n">
        <v>46030</v>
      </c>
      <c r="C251" s="1" t="n">
        <v>46178</v>
      </c>
      <c r="D251" t="inlineStr">
        <is>
          <t>KALMAR LÄN</t>
        </is>
      </c>
      <c r="E251" t="inlineStr">
        <is>
          <t>VIMMERBY</t>
        </is>
      </c>
      <c r="G251" t="n">
        <v>3.3</v>
      </c>
      <c r="H251" t="n">
        <v>0</v>
      </c>
      <c r="I251" t="n">
        <v>0</v>
      </c>
      <c r="J251" t="n">
        <v>0</v>
      </c>
      <c r="K251" t="n">
        <v>0</v>
      </c>
      <c r="L251" t="n">
        <v>0</v>
      </c>
      <c r="M251" t="n">
        <v>0</v>
      </c>
      <c r="N251" t="n">
        <v>0</v>
      </c>
      <c r="O251" t="n">
        <v>0</v>
      </c>
      <c r="P251" t="n">
        <v>0</v>
      </c>
      <c r="Q251" t="n">
        <v>0</v>
      </c>
      <c r="R251" s="2" t="inlineStr"/>
    </row>
    <row r="252" ht="15" customHeight="1">
      <c r="A252" t="inlineStr">
        <is>
          <t>A 1734-2026</t>
        </is>
      </c>
      <c r="B252" s="1" t="n">
        <v>46034</v>
      </c>
      <c r="C252" s="1" t="n">
        <v>46178</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1743-2026</t>
        </is>
      </c>
      <c r="B253" s="1" t="n">
        <v>46034</v>
      </c>
      <c r="C253" s="1" t="n">
        <v>46178</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1748-2026</t>
        </is>
      </c>
      <c r="B254" s="1" t="n">
        <v>46034.65589120371</v>
      </c>
      <c r="C254" s="1" t="n">
        <v>46178</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10759-2023</t>
        </is>
      </c>
      <c r="B255" s="1" t="n">
        <v>44988</v>
      </c>
      <c r="C255" s="1" t="n">
        <v>46178</v>
      </c>
      <c r="D255" t="inlineStr">
        <is>
          <t>KALMAR LÄN</t>
        </is>
      </c>
      <c r="E255" t="inlineStr">
        <is>
          <t>VIMMERBY</t>
        </is>
      </c>
      <c r="G255" t="n">
        <v>0.4</v>
      </c>
      <c r="H255" t="n">
        <v>0</v>
      </c>
      <c r="I255" t="n">
        <v>0</v>
      </c>
      <c r="J255" t="n">
        <v>0</v>
      </c>
      <c r="K255" t="n">
        <v>0</v>
      </c>
      <c r="L255" t="n">
        <v>0</v>
      </c>
      <c r="M255" t="n">
        <v>0</v>
      </c>
      <c r="N255" t="n">
        <v>0</v>
      </c>
      <c r="O255" t="n">
        <v>0</v>
      </c>
      <c r="P255" t="n">
        <v>0</v>
      </c>
      <c r="Q255" t="n">
        <v>0</v>
      </c>
      <c r="R255" s="2" t="inlineStr"/>
    </row>
    <row r="256" ht="15" customHeight="1">
      <c r="A256" t="inlineStr">
        <is>
          <t>A 1862-2026</t>
        </is>
      </c>
      <c r="B256" s="1" t="n">
        <v>46035.44689814815</v>
      </c>
      <c r="C256" s="1" t="n">
        <v>46178</v>
      </c>
      <c r="D256" t="inlineStr">
        <is>
          <t>KALMAR LÄN</t>
        </is>
      </c>
      <c r="E256" t="inlineStr">
        <is>
          <t>VIMMERBY</t>
        </is>
      </c>
      <c r="G256" t="n">
        <v>3.1</v>
      </c>
      <c r="H256" t="n">
        <v>0</v>
      </c>
      <c r="I256" t="n">
        <v>0</v>
      </c>
      <c r="J256" t="n">
        <v>0</v>
      </c>
      <c r="K256" t="n">
        <v>0</v>
      </c>
      <c r="L256" t="n">
        <v>0</v>
      </c>
      <c r="M256" t="n">
        <v>0</v>
      </c>
      <c r="N256" t="n">
        <v>0</v>
      </c>
      <c r="O256" t="n">
        <v>0</v>
      </c>
      <c r="P256" t="n">
        <v>0</v>
      </c>
      <c r="Q256" t="n">
        <v>0</v>
      </c>
      <c r="R256" s="2" t="inlineStr"/>
    </row>
    <row r="257" ht="15" customHeight="1">
      <c r="A257" t="inlineStr">
        <is>
          <t>A 2518-2026</t>
        </is>
      </c>
      <c r="B257" s="1" t="n">
        <v>46037.42511574074</v>
      </c>
      <c r="C257" s="1" t="n">
        <v>46178</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63583-2023</t>
        </is>
      </c>
      <c r="B258" s="1" t="n">
        <v>45275.41833333333</v>
      </c>
      <c r="C258" s="1" t="n">
        <v>46178</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39807-2025</t>
        </is>
      </c>
      <c r="B259" s="1" t="n">
        <v>45891.50986111111</v>
      </c>
      <c r="C259" s="1" t="n">
        <v>46178</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40079-2023</t>
        </is>
      </c>
      <c r="B260" s="1" t="n">
        <v>45168.89298611111</v>
      </c>
      <c r="C260" s="1" t="n">
        <v>46178</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39736-2025</t>
        </is>
      </c>
      <c r="B261" s="1" t="n">
        <v>45891</v>
      </c>
      <c r="C261" s="1" t="n">
        <v>46178</v>
      </c>
      <c r="D261" t="inlineStr">
        <is>
          <t>KALMAR LÄN</t>
        </is>
      </c>
      <c r="E261" t="inlineStr">
        <is>
          <t>VIMMERBY</t>
        </is>
      </c>
      <c r="G261" t="n">
        <v>12.8</v>
      </c>
      <c r="H261" t="n">
        <v>0</v>
      </c>
      <c r="I261" t="n">
        <v>0</v>
      </c>
      <c r="J261" t="n">
        <v>0</v>
      </c>
      <c r="K261" t="n">
        <v>0</v>
      </c>
      <c r="L261" t="n">
        <v>0</v>
      </c>
      <c r="M261" t="n">
        <v>0</v>
      </c>
      <c r="N261" t="n">
        <v>0</v>
      </c>
      <c r="O261" t="n">
        <v>0</v>
      </c>
      <c r="P261" t="n">
        <v>0</v>
      </c>
      <c r="Q261" t="n">
        <v>0</v>
      </c>
      <c r="R261" s="2" t="inlineStr"/>
    </row>
    <row r="262" ht="15" customHeight="1">
      <c r="A262" t="inlineStr">
        <is>
          <t>A 43774-2023</t>
        </is>
      </c>
      <c r="B262" s="1" t="n">
        <v>45187</v>
      </c>
      <c r="C262" s="1" t="n">
        <v>46178</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29616-2022</t>
        </is>
      </c>
      <c r="B263" s="1" t="n">
        <v>44754</v>
      </c>
      <c r="C263" s="1" t="n">
        <v>46178</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2514-2026</t>
        </is>
      </c>
      <c r="B264" s="1" t="n">
        <v>46037.42219907408</v>
      </c>
      <c r="C264" s="1" t="n">
        <v>46178</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39578-2024</t>
        </is>
      </c>
      <c r="B265" s="1" t="n">
        <v>45552.36484953704</v>
      </c>
      <c r="C265" s="1" t="n">
        <v>46178</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39803-2025</t>
        </is>
      </c>
      <c r="B266" s="1" t="n">
        <v>45891.50525462963</v>
      </c>
      <c r="C266" s="1" t="n">
        <v>46178</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24707-2024</t>
        </is>
      </c>
      <c r="B267" s="1" t="n">
        <v>45460.62172453704</v>
      </c>
      <c r="C267" s="1" t="n">
        <v>46178</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39889-2025</t>
        </is>
      </c>
      <c r="B268" s="1" t="n">
        <v>45891</v>
      </c>
      <c r="C268" s="1" t="n">
        <v>46178</v>
      </c>
      <c r="D268" t="inlineStr">
        <is>
          <t>KALMAR LÄN</t>
        </is>
      </c>
      <c r="E268" t="inlineStr">
        <is>
          <t>VIMMERBY</t>
        </is>
      </c>
      <c r="G268" t="n">
        <v>4.5</v>
      </c>
      <c r="H268" t="n">
        <v>0</v>
      </c>
      <c r="I268" t="n">
        <v>0</v>
      </c>
      <c r="J268" t="n">
        <v>0</v>
      </c>
      <c r="K268" t="n">
        <v>0</v>
      </c>
      <c r="L268" t="n">
        <v>0</v>
      </c>
      <c r="M268" t="n">
        <v>0</v>
      </c>
      <c r="N268" t="n">
        <v>0</v>
      </c>
      <c r="O268" t="n">
        <v>0</v>
      </c>
      <c r="P268" t="n">
        <v>0</v>
      </c>
      <c r="Q268" t="n">
        <v>0</v>
      </c>
      <c r="R268" s="2" t="inlineStr"/>
    </row>
    <row r="269" ht="15" customHeight="1">
      <c r="A269" t="inlineStr">
        <is>
          <t>A 2523-2026</t>
        </is>
      </c>
      <c r="B269" s="1" t="n">
        <v>46037.42825231481</v>
      </c>
      <c r="C269" s="1" t="n">
        <v>46178</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31056-2022</t>
        </is>
      </c>
      <c r="B270" s="1" t="n">
        <v>44769.45805555556</v>
      </c>
      <c r="C270" s="1" t="n">
        <v>46178</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3266-2026</t>
        </is>
      </c>
      <c r="B271" s="1" t="n">
        <v>46041</v>
      </c>
      <c r="C271" s="1" t="n">
        <v>46178</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33383-2023</t>
        </is>
      </c>
      <c r="B272" s="1" t="n">
        <v>45128.58414351852</v>
      </c>
      <c r="C272" s="1" t="n">
        <v>46178</v>
      </c>
      <c r="D272" t="inlineStr">
        <is>
          <t>KALMAR LÄN</t>
        </is>
      </c>
      <c r="E272" t="inlineStr">
        <is>
          <t>VIMMERBY</t>
        </is>
      </c>
      <c r="G272" t="n">
        <v>2.3</v>
      </c>
      <c r="H272" t="n">
        <v>0</v>
      </c>
      <c r="I272" t="n">
        <v>0</v>
      </c>
      <c r="J272" t="n">
        <v>0</v>
      </c>
      <c r="K272" t="n">
        <v>0</v>
      </c>
      <c r="L272" t="n">
        <v>0</v>
      </c>
      <c r="M272" t="n">
        <v>0</v>
      </c>
      <c r="N272" t="n">
        <v>0</v>
      </c>
      <c r="O272" t="n">
        <v>0</v>
      </c>
      <c r="P272" t="n">
        <v>0</v>
      </c>
      <c r="Q272" t="n">
        <v>0</v>
      </c>
      <c r="R272" s="2" t="inlineStr"/>
    </row>
    <row r="273" ht="15" customHeight="1">
      <c r="A273" t="inlineStr">
        <is>
          <t>A 40828-2023</t>
        </is>
      </c>
      <c r="B273" s="1" t="n">
        <v>45171.96248842592</v>
      </c>
      <c r="C273" s="1" t="n">
        <v>46178</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61861-2024</t>
        </is>
      </c>
      <c r="B274" s="1" t="n">
        <v>45650.37370370371</v>
      </c>
      <c r="C274" s="1" t="n">
        <v>46178</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8650-2022</t>
        </is>
      </c>
      <c r="B275" s="1" t="n">
        <v>44613</v>
      </c>
      <c r="C275" s="1" t="n">
        <v>46178</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33340-2023</t>
        </is>
      </c>
      <c r="B276" s="1" t="n">
        <v>45128.37305555555</v>
      </c>
      <c r="C276" s="1" t="n">
        <v>46178</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44423-2023</t>
        </is>
      </c>
      <c r="B277" s="1" t="n">
        <v>45189</v>
      </c>
      <c r="C277" s="1" t="n">
        <v>46178</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37323-2024</t>
        </is>
      </c>
      <c r="B278" s="1" t="n">
        <v>45540.50098379629</v>
      </c>
      <c r="C278" s="1" t="n">
        <v>46178</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41591-2025</t>
        </is>
      </c>
      <c r="B279" s="1" t="n">
        <v>45901.6327662037</v>
      </c>
      <c r="C279" s="1" t="n">
        <v>46178</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40971-2025</t>
        </is>
      </c>
      <c r="B280" s="1" t="n">
        <v>45897.88836805556</v>
      </c>
      <c r="C280" s="1" t="n">
        <v>46178</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41589-2025</t>
        </is>
      </c>
      <c r="B281" s="1" t="n">
        <v>45901.63219907408</v>
      </c>
      <c r="C281" s="1" t="n">
        <v>46178</v>
      </c>
      <c r="D281" t="inlineStr">
        <is>
          <t>KALMAR LÄN</t>
        </is>
      </c>
      <c r="E281" t="inlineStr">
        <is>
          <t>VIMMERBY</t>
        </is>
      </c>
      <c r="G281" t="n">
        <v>1.7</v>
      </c>
      <c r="H281" t="n">
        <v>0</v>
      </c>
      <c r="I281" t="n">
        <v>0</v>
      </c>
      <c r="J281" t="n">
        <v>0</v>
      </c>
      <c r="K281" t="n">
        <v>0</v>
      </c>
      <c r="L281" t="n">
        <v>0</v>
      </c>
      <c r="M281" t="n">
        <v>0</v>
      </c>
      <c r="N281" t="n">
        <v>0</v>
      </c>
      <c r="O281" t="n">
        <v>0</v>
      </c>
      <c r="P281" t="n">
        <v>0</v>
      </c>
      <c r="Q281" t="n">
        <v>0</v>
      </c>
      <c r="R281" s="2" t="inlineStr"/>
    </row>
    <row r="282" ht="15" customHeight="1">
      <c r="A282" t="inlineStr">
        <is>
          <t>A 28294-2025</t>
        </is>
      </c>
      <c r="B282" s="1" t="n">
        <v>45818.595625</v>
      </c>
      <c r="C282" s="1" t="n">
        <v>46178</v>
      </c>
      <c r="D282" t="inlineStr">
        <is>
          <t>KALMAR LÄN</t>
        </is>
      </c>
      <c r="E282" t="inlineStr">
        <is>
          <t>VIMMERBY</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40970-2025</t>
        </is>
      </c>
      <c r="B283" s="1" t="n">
        <v>45897.88706018519</v>
      </c>
      <c r="C283" s="1" t="n">
        <v>46178</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40973-2025</t>
        </is>
      </c>
      <c r="B284" s="1" t="n">
        <v>45897.89737268518</v>
      </c>
      <c r="C284" s="1" t="n">
        <v>46178</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28290-2025</t>
        </is>
      </c>
      <c r="B285" s="1" t="n">
        <v>45818.59261574074</v>
      </c>
      <c r="C285" s="1" t="n">
        <v>46178</v>
      </c>
      <c r="D285" t="inlineStr">
        <is>
          <t>KALMAR LÄN</t>
        </is>
      </c>
      <c r="E285" t="inlineStr">
        <is>
          <t>VIMMERBY</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28280-2025</t>
        </is>
      </c>
      <c r="B286" s="1" t="n">
        <v>45818.5862037037</v>
      </c>
      <c r="C286" s="1" t="n">
        <v>46178</v>
      </c>
      <c r="D286" t="inlineStr">
        <is>
          <t>KALMAR LÄN</t>
        </is>
      </c>
      <c r="E286" t="inlineStr">
        <is>
          <t>VIMMERBY</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18501-2024</t>
        </is>
      </c>
      <c r="B287" s="1" t="n">
        <v>45425.57538194444</v>
      </c>
      <c r="C287" s="1" t="n">
        <v>46178</v>
      </c>
      <c r="D287" t="inlineStr">
        <is>
          <t>KALMAR LÄN</t>
        </is>
      </c>
      <c r="E287" t="inlineStr">
        <is>
          <t>VIMMERBY</t>
        </is>
      </c>
      <c r="G287" t="n">
        <v>2</v>
      </c>
      <c r="H287" t="n">
        <v>0</v>
      </c>
      <c r="I287" t="n">
        <v>0</v>
      </c>
      <c r="J287" t="n">
        <v>0</v>
      </c>
      <c r="K287" t="n">
        <v>0</v>
      </c>
      <c r="L287" t="n">
        <v>0</v>
      </c>
      <c r="M287" t="n">
        <v>0</v>
      </c>
      <c r="N287" t="n">
        <v>0</v>
      </c>
      <c r="O287" t="n">
        <v>0</v>
      </c>
      <c r="P287" t="n">
        <v>0</v>
      </c>
      <c r="Q287" t="n">
        <v>0</v>
      </c>
      <c r="R287" s="2" t="inlineStr"/>
    </row>
    <row r="288" ht="15" customHeight="1">
      <c r="A288" t="inlineStr">
        <is>
          <t>A 34090-2025</t>
        </is>
      </c>
      <c r="B288" s="1" t="n">
        <v>45845</v>
      </c>
      <c r="C288" s="1" t="n">
        <v>46178</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3868-2026</t>
        </is>
      </c>
      <c r="B289" s="1" t="n">
        <v>46043.6360300926</v>
      </c>
      <c r="C289" s="1" t="n">
        <v>46178</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28714-2025</t>
        </is>
      </c>
      <c r="B290" s="1" t="n">
        <v>45820.34128472222</v>
      </c>
      <c r="C290" s="1" t="n">
        <v>46178</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27758-2024</t>
        </is>
      </c>
      <c r="B291" s="1" t="n">
        <v>45475.48303240741</v>
      </c>
      <c r="C291" s="1" t="n">
        <v>46178</v>
      </c>
      <c r="D291" t="inlineStr">
        <is>
          <t>KALMAR LÄN</t>
        </is>
      </c>
      <c r="E291" t="inlineStr">
        <is>
          <t>VIMMERBY</t>
        </is>
      </c>
      <c r="G291" t="n">
        <v>2.6</v>
      </c>
      <c r="H291" t="n">
        <v>0</v>
      </c>
      <c r="I291" t="n">
        <v>0</v>
      </c>
      <c r="J291" t="n">
        <v>0</v>
      </c>
      <c r="K291" t="n">
        <v>0</v>
      </c>
      <c r="L291" t="n">
        <v>0</v>
      </c>
      <c r="M291" t="n">
        <v>0</v>
      </c>
      <c r="N291" t="n">
        <v>0</v>
      </c>
      <c r="O291" t="n">
        <v>0</v>
      </c>
      <c r="P291" t="n">
        <v>0</v>
      </c>
      <c r="Q291" t="n">
        <v>0</v>
      </c>
      <c r="R291" s="2" t="inlineStr"/>
    </row>
    <row r="292" ht="15" customHeight="1">
      <c r="A292" t="inlineStr">
        <is>
          <t>A 28713-2025</t>
        </is>
      </c>
      <c r="B292" s="1" t="n">
        <v>45820.33930555556</v>
      </c>
      <c r="C292" s="1" t="n">
        <v>46178</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3869-2026</t>
        </is>
      </c>
      <c r="B293" s="1" t="n">
        <v>46043.63940972222</v>
      </c>
      <c r="C293" s="1" t="n">
        <v>46178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55716-2023</t>
        </is>
      </c>
      <c r="B294" s="1" t="n">
        <v>45232</v>
      </c>
      <c r="C294" s="1" t="n">
        <v>46178</v>
      </c>
      <c r="D294" t="inlineStr">
        <is>
          <t>KALMAR LÄN</t>
        </is>
      </c>
      <c r="E294" t="inlineStr">
        <is>
          <t>VIMMERBY</t>
        </is>
      </c>
      <c r="G294" t="n">
        <v>2.3</v>
      </c>
      <c r="H294" t="n">
        <v>0</v>
      </c>
      <c r="I294" t="n">
        <v>0</v>
      </c>
      <c r="J294" t="n">
        <v>0</v>
      </c>
      <c r="K294" t="n">
        <v>0</v>
      </c>
      <c r="L294" t="n">
        <v>0</v>
      </c>
      <c r="M294" t="n">
        <v>0</v>
      </c>
      <c r="N294" t="n">
        <v>0</v>
      </c>
      <c r="O294" t="n">
        <v>0</v>
      </c>
      <c r="P294" t="n">
        <v>0</v>
      </c>
      <c r="Q294" t="n">
        <v>0</v>
      </c>
      <c r="R294" s="2" t="inlineStr"/>
    </row>
    <row r="295" ht="15" customHeight="1">
      <c r="A295" t="inlineStr">
        <is>
          <t>A 29737-2025</t>
        </is>
      </c>
      <c r="B295" s="1" t="n">
        <v>45825.58672453704</v>
      </c>
      <c r="C295" s="1" t="n">
        <v>46178</v>
      </c>
      <c r="D295" t="inlineStr">
        <is>
          <t>KALMAR LÄN</t>
        </is>
      </c>
      <c r="E295" t="inlineStr">
        <is>
          <t>VIMMERBY</t>
        </is>
      </c>
      <c r="G295" t="n">
        <v>1.2</v>
      </c>
      <c r="H295" t="n">
        <v>0</v>
      </c>
      <c r="I295" t="n">
        <v>0</v>
      </c>
      <c r="J295" t="n">
        <v>0</v>
      </c>
      <c r="K295" t="n">
        <v>0</v>
      </c>
      <c r="L295" t="n">
        <v>0</v>
      </c>
      <c r="M295" t="n">
        <v>0</v>
      </c>
      <c r="N295" t="n">
        <v>0</v>
      </c>
      <c r="O295" t="n">
        <v>0</v>
      </c>
      <c r="P295" t="n">
        <v>0</v>
      </c>
      <c r="Q295" t="n">
        <v>0</v>
      </c>
      <c r="R295" s="2" t="inlineStr"/>
    </row>
    <row r="296" ht="15" customHeight="1">
      <c r="A296" t="inlineStr">
        <is>
          <t>A 18329-2023</t>
        </is>
      </c>
      <c r="B296" s="1" t="n">
        <v>45041.63380787037</v>
      </c>
      <c r="C296" s="1" t="n">
        <v>46178</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13015-2023</t>
        </is>
      </c>
      <c r="B297" s="1" t="n">
        <v>45002</v>
      </c>
      <c r="C297" s="1" t="n">
        <v>46178</v>
      </c>
      <c r="D297" t="inlineStr">
        <is>
          <t>KALMAR LÄN</t>
        </is>
      </c>
      <c r="E297" t="inlineStr">
        <is>
          <t>VIMMERBY</t>
        </is>
      </c>
      <c r="G297" t="n">
        <v>3.2</v>
      </c>
      <c r="H297" t="n">
        <v>0</v>
      </c>
      <c r="I297" t="n">
        <v>0</v>
      </c>
      <c r="J297" t="n">
        <v>0</v>
      </c>
      <c r="K297" t="n">
        <v>0</v>
      </c>
      <c r="L297" t="n">
        <v>0</v>
      </c>
      <c r="M297" t="n">
        <v>0</v>
      </c>
      <c r="N297" t="n">
        <v>0</v>
      </c>
      <c r="O297" t="n">
        <v>0</v>
      </c>
      <c r="P297" t="n">
        <v>0</v>
      </c>
      <c r="Q297" t="n">
        <v>0</v>
      </c>
      <c r="R297" s="2" t="inlineStr"/>
    </row>
    <row r="298" ht="15" customHeight="1">
      <c r="A298" t="inlineStr">
        <is>
          <t>A 3965-2026</t>
        </is>
      </c>
      <c r="B298" s="1" t="n">
        <v>46044.34563657407</v>
      </c>
      <c r="C298" s="1" t="n">
        <v>46178</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30293-2025</t>
        </is>
      </c>
      <c r="B299" s="1" t="n">
        <v>45827</v>
      </c>
      <c r="C299" s="1" t="n">
        <v>46178</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29186-2024</t>
        </is>
      </c>
      <c r="B300" s="1" t="n">
        <v>45482.54844907407</v>
      </c>
      <c r="C300" s="1" t="n">
        <v>46178</v>
      </c>
      <c r="D300" t="inlineStr">
        <is>
          <t>KALMAR LÄN</t>
        </is>
      </c>
      <c r="E300" t="inlineStr">
        <is>
          <t>VIMMERBY</t>
        </is>
      </c>
      <c r="G300" t="n">
        <v>2.6</v>
      </c>
      <c r="H300" t="n">
        <v>0</v>
      </c>
      <c r="I300" t="n">
        <v>0</v>
      </c>
      <c r="J300" t="n">
        <v>0</v>
      </c>
      <c r="K300" t="n">
        <v>0</v>
      </c>
      <c r="L300" t="n">
        <v>0</v>
      </c>
      <c r="M300" t="n">
        <v>0</v>
      </c>
      <c r="N300" t="n">
        <v>0</v>
      </c>
      <c r="O300" t="n">
        <v>0</v>
      </c>
      <c r="P300" t="n">
        <v>0</v>
      </c>
      <c r="Q300" t="n">
        <v>0</v>
      </c>
      <c r="R300" s="2" t="inlineStr"/>
    </row>
    <row r="301" ht="15" customHeight="1">
      <c r="A301" t="inlineStr">
        <is>
          <t>A 50993-2022</t>
        </is>
      </c>
      <c r="B301" s="1" t="n">
        <v>44867</v>
      </c>
      <c r="C301" s="1" t="n">
        <v>46178</v>
      </c>
      <c r="D301" t="inlineStr">
        <is>
          <t>KALMAR LÄN</t>
        </is>
      </c>
      <c r="E301" t="inlineStr">
        <is>
          <t>VIMMERBY</t>
        </is>
      </c>
      <c r="G301" t="n">
        <v>1.7</v>
      </c>
      <c r="H301" t="n">
        <v>0</v>
      </c>
      <c r="I301" t="n">
        <v>0</v>
      </c>
      <c r="J301" t="n">
        <v>0</v>
      </c>
      <c r="K301" t="n">
        <v>0</v>
      </c>
      <c r="L301" t="n">
        <v>0</v>
      </c>
      <c r="M301" t="n">
        <v>0</v>
      </c>
      <c r="N301" t="n">
        <v>0</v>
      </c>
      <c r="O301" t="n">
        <v>0</v>
      </c>
      <c r="P301" t="n">
        <v>0</v>
      </c>
      <c r="Q301" t="n">
        <v>0</v>
      </c>
      <c r="R301" s="2" t="inlineStr"/>
    </row>
    <row r="302" ht="15" customHeight="1">
      <c r="A302" t="inlineStr">
        <is>
          <t>A 30850-2025</t>
        </is>
      </c>
      <c r="B302" s="1" t="n">
        <v>45831</v>
      </c>
      <c r="C302" s="1" t="n">
        <v>46178</v>
      </c>
      <c r="D302" t="inlineStr">
        <is>
          <t>KALMAR LÄN</t>
        </is>
      </c>
      <c r="E302" t="inlineStr">
        <is>
          <t>VIMMERBY</t>
        </is>
      </c>
      <c r="G302" t="n">
        <v>2.7</v>
      </c>
      <c r="H302" t="n">
        <v>0</v>
      </c>
      <c r="I302" t="n">
        <v>0</v>
      </c>
      <c r="J302" t="n">
        <v>0</v>
      </c>
      <c r="K302" t="n">
        <v>0</v>
      </c>
      <c r="L302" t="n">
        <v>0</v>
      </c>
      <c r="M302" t="n">
        <v>0</v>
      </c>
      <c r="N302" t="n">
        <v>0</v>
      </c>
      <c r="O302" t="n">
        <v>0</v>
      </c>
      <c r="P302" t="n">
        <v>0</v>
      </c>
      <c r="Q302" t="n">
        <v>0</v>
      </c>
      <c r="R302" s="2" t="inlineStr"/>
    </row>
    <row r="303" ht="15" customHeight="1">
      <c r="A303" t="inlineStr">
        <is>
          <t>A 41735-2025</t>
        </is>
      </c>
      <c r="B303" s="1" t="n">
        <v>45902.47164351852</v>
      </c>
      <c r="C303" s="1" t="n">
        <v>46178</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54787-2023</t>
        </is>
      </c>
      <c r="B304" s="1" t="n">
        <v>45236</v>
      </c>
      <c r="C304" s="1" t="n">
        <v>46178</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32614-2023</t>
        </is>
      </c>
      <c r="B305" s="1" t="n">
        <v>45121</v>
      </c>
      <c r="C305" s="1" t="n">
        <v>46178</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6850-2023</t>
        </is>
      </c>
      <c r="B306" s="1" t="n">
        <v>44967.44255787037</v>
      </c>
      <c r="C306" s="1" t="n">
        <v>46178</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58750-2022</t>
        </is>
      </c>
      <c r="B307" s="1" t="n">
        <v>44903.33363425926</v>
      </c>
      <c r="C307" s="1" t="n">
        <v>46178</v>
      </c>
      <c r="D307" t="inlineStr">
        <is>
          <t>KALMAR LÄN</t>
        </is>
      </c>
      <c r="E307" t="inlineStr">
        <is>
          <t>VIMMERBY</t>
        </is>
      </c>
      <c r="G307" t="n">
        <v>3.3</v>
      </c>
      <c r="H307" t="n">
        <v>0</v>
      </c>
      <c r="I307" t="n">
        <v>0</v>
      </c>
      <c r="J307" t="n">
        <v>0</v>
      </c>
      <c r="K307" t="n">
        <v>0</v>
      </c>
      <c r="L307" t="n">
        <v>0</v>
      </c>
      <c r="M307" t="n">
        <v>0</v>
      </c>
      <c r="N307" t="n">
        <v>0</v>
      </c>
      <c r="O307" t="n">
        <v>0</v>
      </c>
      <c r="P307" t="n">
        <v>0</v>
      </c>
      <c r="Q307" t="n">
        <v>0</v>
      </c>
      <c r="R307" s="2" t="inlineStr"/>
    </row>
    <row r="308" ht="15" customHeight="1">
      <c r="A308" t="inlineStr">
        <is>
          <t>A 41158-2023</t>
        </is>
      </c>
      <c r="B308" s="1" t="n">
        <v>45174.31395833333</v>
      </c>
      <c r="C308" s="1" t="n">
        <v>46178</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2510-2023</t>
        </is>
      </c>
      <c r="B309" s="1" t="n">
        <v>44943.57309027778</v>
      </c>
      <c r="C309" s="1" t="n">
        <v>46178</v>
      </c>
      <c r="D309" t="inlineStr">
        <is>
          <t>KALMAR LÄN</t>
        </is>
      </c>
      <c r="E309" t="inlineStr">
        <is>
          <t>VIMMERBY</t>
        </is>
      </c>
      <c r="G309" t="n">
        <v>8.6</v>
      </c>
      <c r="H309" t="n">
        <v>0</v>
      </c>
      <c r="I309" t="n">
        <v>0</v>
      </c>
      <c r="J309" t="n">
        <v>0</v>
      </c>
      <c r="K309" t="n">
        <v>0</v>
      </c>
      <c r="L309" t="n">
        <v>0</v>
      </c>
      <c r="M309" t="n">
        <v>0</v>
      </c>
      <c r="N309" t="n">
        <v>0</v>
      </c>
      <c r="O309" t="n">
        <v>0</v>
      </c>
      <c r="P309" t="n">
        <v>0</v>
      </c>
      <c r="Q309" t="n">
        <v>0</v>
      </c>
      <c r="R309" s="2" t="inlineStr"/>
    </row>
    <row r="310" ht="15" customHeight="1">
      <c r="A310" t="inlineStr">
        <is>
          <t>A 31552-2025</t>
        </is>
      </c>
      <c r="B310" s="1" t="n">
        <v>45833.64563657407</v>
      </c>
      <c r="C310" s="1" t="n">
        <v>46178</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31555-2025</t>
        </is>
      </c>
      <c r="B311" s="1" t="n">
        <v>45833.64814814815</v>
      </c>
      <c r="C311" s="1" t="n">
        <v>46178</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30971-2025</t>
        </is>
      </c>
      <c r="B312" s="1" t="n">
        <v>45832.46146990741</v>
      </c>
      <c r="C312" s="1" t="n">
        <v>46178</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31551-2025</t>
        </is>
      </c>
      <c r="B313" s="1" t="n">
        <v>45833.64237268519</v>
      </c>
      <c r="C313" s="1" t="n">
        <v>46178</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30882-2025</t>
        </is>
      </c>
      <c r="B314" s="1" t="n">
        <v>45832.34540509259</v>
      </c>
      <c r="C314" s="1" t="n">
        <v>46178</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3269-2024</t>
        </is>
      </c>
      <c r="B315" s="1" t="n">
        <v>45317.40372685185</v>
      </c>
      <c r="C315" s="1" t="n">
        <v>46178</v>
      </c>
      <c r="D315" t="inlineStr">
        <is>
          <t>KALMAR LÄN</t>
        </is>
      </c>
      <c r="E315" t="inlineStr">
        <is>
          <t>VIMMERBY</t>
        </is>
      </c>
      <c r="F315" t="inlineStr">
        <is>
          <t>Övriga Aktiebolag</t>
        </is>
      </c>
      <c r="G315" t="n">
        <v>1.7</v>
      </c>
      <c r="H315" t="n">
        <v>0</v>
      </c>
      <c r="I315" t="n">
        <v>0</v>
      </c>
      <c r="J315" t="n">
        <v>0</v>
      </c>
      <c r="K315" t="n">
        <v>0</v>
      </c>
      <c r="L315" t="n">
        <v>0</v>
      </c>
      <c r="M315" t="n">
        <v>0</v>
      </c>
      <c r="N315" t="n">
        <v>0</v>
      </c>
      <c r="O315" t="n">
        <v>0</v>
      </c>
      <c r="P315" t="n">
        <v>0</v>
      </c>
      <c r="Q315" t="n">
        <v>0</v>
      </c>
      <c r="R315" s="2" t="inlineStr"/>
    </row>
    <row r="316" ht="15" customHeight="1">
      <c r="A316" t="inlineStr">
        <is>
          <t>A 48120-2022</t>
        </is>
      </c>
      <c r="B316" s="1" t="n">
        <v>44857.65989583333</v>
      </c>
      <c r="C316" s="1" t="n">
        <v>46178</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6368-2023</t>
        </is>
      </c>
      <c r="B317" s="1" t="n">
        <v>44965</v>
      </c>
      <c r="C317" s="1" t="n">
        <v>46178</v>
      </c>
      <c r="D317" t="inlineStr">
        <is>
          <t>KALMAR LÄN</t>
        </is>
      </c>
      <c r="E317" t="inlineStr">
        <is>
          <t>VIMMERBY</t>
        </is>
      </c>
      <c r="G317" t="n">
        <v>1.3</v>
      </c>
      <c r="H317" t="n">
        <v>0</v>
      </c>
      <c r="I317" t="n">
        <v>0</v>
      </c>
      <c r="J317" t="n">
        <v>0</v>
      </c>
      <c r="K317" t="n">
        <v>0</v>
      </c>
      <c r="L317" t="n">
        <v>0</v>
      </c>
      <c r="M317" t="n">
        <v>0</v>
      </c>
      <c r="N317" t="n">
        <v>0</v>
      </c>
      <c r="O317" t="n">
        <v>0</v>
      </c>
      <c r="P317" t="n">
        <v>0</v>
      </c>
      <c r="Q317" t="n">
        <v>0</v>
      </c>
      <c r="R317" s="2" t="inlineStr"/>
    </row>
    <row r="318" ht="15" customHeight="1">
      <c r="A318" t="inlineStr">
        <is>
          <t>A 9416-2024</t>
        </is>
      </c>
      <c r="B318" s="1" t="n">
        <v>45359.44837962963</v>
      </c>
      <c r="C318" s="1" t="n">
        <v>46178</v>
      </c>
      <c r="D318" t="inlineStr">
        <is>
          <t>KALMAR LÄN</t>
        </is>
      </c>
      <c r="E318" t="inlineStr">
        <is>
          <t>VIMMERBY</t>
        </is>
      </c>
      <c r="G318" t="n">
        <v>3.2</v>
      </c>
      <c r="H318" t="n">
        <v>0</v>
      </c>
      <c r="I318" t="n">
        <v>0</v>
      </c>
      <c r="J318" t="n">
        <v>0</v>
      </c>
      <c r="K318" t="n">
        <v>0</v>
      </c>
      <c r="L318" t="n">
        <v>0</v>
      </c>
      <c r="M318" t="n">
        <v>0</v>
      </c>
      <c r="N318" t="n">
        <v>0</v>
      </c>
      <c r="O318" t="n">
        <v>0</v>
      </c>
      <c r="P318" t="n">
        <v>0</v>
      </c>
      <c r="Q318" t="n">
        <v>0</v>
      </c>
      <c r="R318" s="2" t="inlineStr"/>
    </row>
    <row r="319" ht="15" customHeight="1">
      <c r="A319" t="inlineStr">
        <is>
          <t>A 8559-2025</t>
        </is>
      </c>
      <c r="B319" s="1" t="n">
        <v>45709.62280092593</v>
      </c>
      <c r="C319" s="1" t="n">
        <v>46178</v>
      </c>
      <c r="D319" t="inlineStr">
        <is>
          <t>KALMAR LÄN</t>
        </is>
      </c>
      <c r="E319" t="inlineStr">
        <is>
          <t>VIMMERBY</t>
        </is>
      </c>
      <c r="G319" t="n">
        <v>8.9</v>
      </c>
      <c r="H319" t="n">
        <v>0</v>
      </c>
      <c r="I319" t="n">
        <v>0</v>
      </c>
      <c r="J319" t="n">
        <v>0</v>
      </c>
      <c r="K319" t="n">
        <v>0</v>
      </c>
      <c r="L319" t="n">
        <v>0</v>
      </c>
      <c r="M319" t="n">
        <v>0</v>
      </c>
      <c r="N319" t="n">
        <v>0</v>
      </c>
      <c r="O319" t="n">
        <v>0</v>
      </c>
      <c r="P319" t="n">
        <v>0</v>
      </c>
      <c r="Q319" t="n">
        <v>0</v>
      </c>
      <c r="R319" s="2" t="inlineStr"/>
    </row>
    <row r="320" ht="15" customHeight="1">
      <c r="A320" t="inlineStr">
        <is>
          <t>A 2797-2023</t>
        </is>
      </c>
      <c r="B320" s="1" t="n">
        <v>44944.71386574074</v>
      </c>
      <c r="C320" s="1" t="n">
        <v>46178</v>
      </c>
      <c r="D320" t="inlineStr">
        <is>
          <t>KALMAR LÄN</t>
        </is>
      </c>
      <c r="E320" t="inlineStr">
        <is>
          <t>VIMMERBY</t>
        </is>
      </c>
      <c r="G320" t="n">
        <v>3.4</v>
      </c>
      <c r="H320" t="n">
        <v>0</v>
      </c>
      <c r="I320" t="n">
        <v>0</v>
      </c>
      <c r="J320" t="n">
        <v>0</v>
      </c>
      <c r="K320" t="n">
        <v>0</v>
      </c>
      <c r="L320" t="n">
        <v>0</v>
      </c>
      <c r="M320" t="n">
        <v>0</v>
      </c>
      <c r="N320" t="n">
        <v>0</v>
      </c>
      <c r="O320" t="n">
        <v>0</v>
      </c>
      <c r="P320" t="n">
        <v>0</v>
      </c>
      <c r="Q320" t="n">
        <v>0</v>
      </c>
      <c r="R320" s="2" t="inlineStr"/>
    </row>
    <row r="321" ht="15" customHeight="1">
      <c r="A321" t="inlineStr">
        <is>
          <t>A 2799-2023</t>
        </is>
      </c>
      <c r="B321" s="1" t="n">
        <v>44944.72100694444</v>
      </c>
      <c r="C321" s="1" t="n">
        <v>46178</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32109-2025</t>
        </is>
      </c>
      <c r="B322" s="1" t="n">
        <v>45835.48267361111</v>
      </c>
      <c r="C322" s="1" t="n">
        <v>46178</v>
      </c>
      <c r="D322" t="inlineStr">
        <is>
          <t>KALMAR LÄN</t>
        </is>
      </c>
      <c r="E322" t="inlineStr">
        <is>
          <t>VIMMERBY</t>
        </is>
      </c>
      <c r="G322" t="n">
        <v>2.5</v>
      </c>
      <c r="H322" t="n">
        <v>0</v>
      </c>
      <c r="I322" t="n">
        <v>0</v>
      </c>
      <c r="J322" t="n">
        <v>0</v>
      </c>
      <c r="K322" t="n">
        <v>0</v>
      </c>
      <c r="L322" t="n">
        <v>0</v>
      </c>
      <c r="M322" t="n">
        <v>0</v>
      </c>
      <c r="N322" t="n">
        <v>0</v>
      </c>
      <c r="O322" t="n">
        <v>0</v>
      </c>
      <c r="P322" t="n">
        <v>0</v>
      </c>
      <c r="Q322" t="n">
        <v>0</v>
      </c>
      <c r="R322" s="2" t="inlineStr"/>
    </row>
    <row r="323" ht="15" customHeight="1">
      <c r="A323" t="inlineStr">
        <is>
          <t>A 32116-2025</t>
        </is>
      </c>
      <c r="B323" s="1" t="n">
        <v>45835.48862268519</v>
      </c>
      <c r="C323" s="1" t="n">
        <v>46178</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25987-2024</t>
        </is>
      </c>
      <c r="B324" s="1" t="n">
        <v>45467.74417824074</v>
      </c>
      <c r="C324" s="1" t="n">
        <v>46178</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31987-2025</t>
        </is>
      </c>
      <c r="B325" s="1" t="n">
        <v>45835.36229166666</v>
      </c>
      <c r="C325" s="1" t="n">
        <v>46178</v>
      </c>
      <c r="D325" t="inlineStr">
        <is>
          <t>KALMAR LÄN</t>
        </is>
      </c>
      <c r="E325" t="inlineStr">
        <is>
          <t>VIMMERBY</t>
        </is>
      </c>
      <c r="F325" t="inlineStr">
        <is>
          <t>Kyrkan</t>
        </is>
      </c>
      <c r="G325" t="n">
        <v>1.2</v>
      </c>
      <c r="H325" t="n">
        <v>0</v>
      </c>
      <c r="I325" t="n">
        <v>0</v>
      </c>
      <c r="J325" t="n">
        <v>0</v>
      </c>
      <c r="K325" t="n">
        <v>0</v>
      </c>
      <c r="L325" t="n">
        <v>0</v>
      </c>
      <c r="M325" t="n">
        <v>0</v>
      </c>
      <c r="N325" t="n">
        <v>0</v>
      </c>
      <c r="O325" t="n">
        <v>0</v>
      </c>
      <c r="P325" t="n">
        <v>0</v>
      </c>
      <c r="Q325" t="n">
        <v>0</v>
      </c>
      <c r="R325" s="2" t="inlineStr"/>
    </row>
    <row r="326" ht="15" customHeight="1">
      <c r="A326" t="inlineStr">
        <is>
          <t>A 32077-2025</t>
        </is>
      </c>
      <c r="B326" s="1" t="n">
        <v>45835.45099537037</v>
      </c>
      <c r="C326" s="1" t="n">
        <v>46178</v>
      </c>
      <c r="D326" t="inlineStr">
        <is>
          <t>KALMAR LÄN</t>
        </is>
      </c>
      <c r="E326" t="inlineStr">
        <is>
          <t>VIMMERBY</t>
        </is>
      </c>
      <c r="G326" t="n">
        <v>1.8</v>
      </c>
      <c r="H326" t="n">
        <v>0</v>
      </c>
      <c r="I326" t="n">
        <v>0</v>
      </c>
      <c r="J326" t="n">
        <v>0</v>
      </c>
      <c r="K326" t="n">
        <v>0</v>
      </c>
      <c r="L326" t="n">
        <v>0</v>
      </c>
      <c r="M326" t="n">
        <v>0</v>
      </c>
      <c r="N326" t="n">
        <v>0</v>
      </c>
      <c r="O326" t="n">
        <v>0</v>
      </c>
      <c r="P326" t="n">
        <v>0</v>
      </c>
      <c r="Q326" t="n">
        <v>0</v>
      </c>
      <c r="R326" s="2" t="inlineStr"/>
    </row>
    <row r="327" ht="15" customHeight="1">
      <c r="A327" t="inlineStr">
        <is>
          <t>A 31876-2025</t>
        </is>
      </c>
      <c r="B327" s="1" t="n">
        <v>45834.65197916667</v>
      </c>
      <c r="C327" s="1" t="n">
        <v>46178</v>
      </c>
      <c r="D327" t="inlineStr">
        <is>
          <t>KALMAR LÄN</t>
        </is>
      </c>
      <c r="E327" t="inlineStr">
        <is>
          <t>VIMMERBY</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12630-2023</t>
        </is>
      </c>
      <c r="B328" s="1" t="n">
        <v>45000.47998842593</v>
      </c>
      <c r="C328" s="1" t="n">
        <v>46178</v>
      </c>
      <c r="D328" t="inlineStr">
        <is>
          <t>KALMAR LÄN</t>
        </is>
      </c>
      <c r="E328" t="inlineStr">
        <is>
          <t>VIMMERBY</t>
        </is>
      </c>
      <c r="G328" t="n">
        <v>2.1</v>
      </c>
      <c r="H328" t="n">
        <v>0</v>
      </c>
      <c r="I328" t="n">
        <v>0</v>
      </c>
      <c r="J328" t="n">
        <v>0</v>
      </c>
      <c r="K328" t="n">
        <v>0</v>
      </c>
      <c r="L328" t="n">
        <v>0</v>
      </c>
      <c r="M328" t="n">
        <v>0</v>
      </c>
      <c r="N328" t="n">
        <v>0</v>
      </c>
      <c r="O328" t="n">
        <v>0</v>
      </c>
      <c r="P328" t="n">
        <v>0</v>
      </c>
      <c r="Q328" t="n">
        <v>0</v>
      </c>
      <c r="R328" s="2" t="inlineStr"/>
    </row>
    <row r="329" ht="15" customHeight="1">
      <c r="A329" t="inlineStr">
        <is>
          <t>A 21109-2024</t>
        </is>
      </c>
      <c r="B329" s="1" t="n">
        <v>45440.28329861111</v>
      </c>
      <c r="C329" s="1" t="n">
        <v>46178</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30634-2024</t>
        </is>
      </c>
      <c r="B330" s="1" t="n">
        <v>45495</v>
      </c>
      <c r="C330" s="1" t="n">
        <v>46178</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40260-2024</t>
        </is>
      </c>
      <c r="B331" s="1" t="n">
        <v>45554.63225694445</v>
      </c>
      <c r="C331" s="1" t="n">
        <v>46178</v>
      </c>
      <c r="D331" t="inlineStr">
        <is>
          <t>KALMAR LÄN</t>
        </is>
      </c>
      <c r="E331" t="inlineStr">
        <is>
          <t>VIMMERBY</t>
        </is>
      </c>
      <c r="G331" t="n">
        <v>1.2</v>
      </c>
      <c r="H331" t="n">
        <v>0</v>
      </c>
      <c r="I331" t="n">
        <v>0</v>
      </c>
      <c r="J331" t="n">
        <v>0</v>
      </c>
      <c r="K331" t="n">
        <v>0</v>
      </c>
      <c r="L331" t="n">
        <v>0</v>
      </c>
      <c r="M331" t="n">
        <v>0</v>
      </c>
      <c r="N331" t="n">
        <v>0</v>
      </c>
      <c r="O331" t="n">
        <v>0</v>
      </c>
      <c r="P331" t="n">
        <v>0</v>
      </c>
      <c r="Q331" t="n">
        <v>0</v>
      </c>
      <c r="R331" s="2" t="inlineStr"/>
    </row>
    <row r="332" ht="15" customHeight="1">
      <c r="A332" t="inlineStr">
        <is>
          <t>A 43465-2025</t>
        </is>
      </c>
      <c r="B332" s="1" t="n">
        <v>45911.47138888889</v>
      </c>
      <c r="C332" s="1" t="n">
        <v>46178</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59943-2023</t>
        </is>
      </c>
      <c r="B333" s="1" t="n">
        <v>45257.67958333333</v>
      </c>
      <c r="C333" s="1" t="n">
        <v>46178</v>
      </c>
      <c r="D333" t="inlineStr">
        <is>
          <t>KALMAR LÄN</t>
        </is>
      </c>
      <c r="E333" t="inlineStr">
        <is>
          <t>VIMMERBY</t>
        </is>
      </c>
      <c r="G333" t="n">
        <v>6.4</v>
      </c>
      <c r="H333" t="n">
        <v>0</v>
      </c>
      <c r="I333" t="n">
        <v>0</v>
      </c>
      <c r="J333" t="n">
        <v>0</v>
      </c>
      <c r="K333" t="n">
        <v>0</v>
      </c>
      <c r="L333" t="n">
        <v>0</v>
      </c>
      <c r="M333" t="n">
        <v>0</v>
      </c>
      <c r="N333" t="n">
        <v>0</v>
      </c>
      <c r="O333" t="n">
        <v>0</v>
      </c>
      <c r="P333" t="n">
        <v>0</v>
      </c>
      <c r="Q333" t="n">
        <v>0</v>
      </c>
      <c r="R333" s="2" t="inlineStr"/>
    </row>
    <row r="334" ht="15" customHeight="1">
      <c r="A334" t="inlineStr">
        <is>
          <t>A 5527-2022</t>
        </is>
      </c>
      <c r="B334" s="1" t="n">
        <v>44595.583125</v>
      </c>
      <c r="C334" s="1" t="n">
        <v>46178</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12325-2023</t>
        </is>
      </c>
      <c r="B335" s="1" t="n">
        <v>44999.35858796296</v>
      </c>
      <c r="C335" s="1" t="n">
        <v>46178</v>
      </c>
      <c r="D335" t="inlineStr">
        <is>
          <t>KALMAR LÄN</t>
        </is>
      </c>
      <c r="E335" t="inlineStr">
        <is>
          <t>VIMMERBY</t>
        </is>
      </c>
      <c r="G335" t="n">
        <v>3.4</v>
      </c>
      <c r="H335" t="n">
        <v>0</v>
      </c>
      <c r="I335" t="n">
        <v>0</v>
      </c>
      <c r="J335" t="n">
        <v>0</v>
      </c>
      <c r="K335" t="n">
        <v>0</v>
      </c>
      <c r="L335" t="n">
        <v>0</v>
      </c>
      <c r="M335" t="n">
        <v>0</v>
      </c>
      <c r="N335" t="n">
        <v>0</v>
      </c>
      <c r="O335" t="n">
        <v>0</v>
      </c>
      <c r="P335" t="n">
        <v>0</v>
      </c>
      <c r="Q335" t="n">
        <v>0</v>
      </c>
      <c r="R335" s="2" t="inlineStr"/>
    </row>
    <row r="336" ht="15" customHeight="1">
      <c r="A336" t="inlineStr">
        <is>
          <t>A 32380-2025</t>
        </is>
      </c>
      <c r="B336" s="1" t="n">
        <v>45837.77701388889</v>
      </c>
      <c r="C336" s="1" t="n">
        <v>46178</v>
      </c>
      <c r="D336" t="inlineStr">
        <is>
          <t>KALMAR LÄN</t>
        </is>
      </c>
      <c r="E336" t="inlineStr">
        <is>
          <t>VIMMERBY</t>
        </is>
      </c>
      <c r="G336" t="n">
        <v>3.1</v>
      </c>
      <c r="H336" t="n">
        <v>0</v>
      </c>
      <c r="I336" t="n">
        <v>0</v>
      </c>
      <c r="J336" t="n">
        <v>0</v>
      </c>
      <c r="K336" t="n">
        <v>0</v>
      </c>
      <c r="L336" t="n">
        <v>0</v>
      </c>
      <c r="M336" t="n">
        <v>0</v>
      </c>
      <c r="N336" t="n">
        <v>0</v>
      </c>
      <c r="O336" t="n">
        <v>0</v>
      </c>
      <c r="P336" t="n">
        <v>0</v>
      </c>
      <c r="Q336" t="n">
        <v>0</v>
      </c>
      <c r="R336" s="2" t="inlineStr"/>
    </row>
    <row r="337" ht="15" customHeight="1">
      <c r="A337" t="inlineStr">
        <is>
          <t>A 33186-2025</t>
        </is>
      </c>
      <c r="B337" s="1" t="n">
        <v>45840.59474537037</v>
      </c>
      <c r="C337" s="1" t="n">
        <v>46178</v>
      </c>
      <c r="D337" t="inlineStr">
        <is>
          <t>KALMAR LÄN</t>
        </is>
      </c>
      <c r="E337" t="inlineStr">
        <is>
          <t>VIMMERBY</t>
        </is>
      </c>
      <c r="G337" t="n">
        <v>2.6</v>
      </c>
      <c r="H337" t="n">
        <v>0</v>
      </c>
      <c r="I337" t="n">
        <v>0</v>
      </c>
      <c r="J337" t="n">
        <v>0</v>
      </c>
      <c r="K337" t="n">
        <v>0</v>
      </c>
      <c r="L337" t="n">
        <v>0</v>
      </c>
      <c r="M337" t="n">
        <v>0</v>
      </c>
      <c r="N337" t="n">
        <v>0</v>
      </c>
      <c r="O337" t="n">
        <v>0</v>
      </c>
      <c r="P337" t="n">
        <v>0</v>
      </c>
      <c r="Q337" t="n">
        <v>0</v>
      </c>
      <c r="R337" s="2" t="inlineStr"/>
    </row>
    <row r="338" ht="15" customHeight="1">
      <c r="A338" t="inlineStr">
        <is>
          <t>A 44095-2025</t>
        </is>
      </c>
      <c r="B338" s="1" t="n">
        <v>45915.56430555556</v>
      </c>
      <c r="C338" s="1" t="n">
        <v>46178</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1016-2024</t>
        </is>
      </c>
      <c r="B339" s="1" t="n">
        <v>45301</v>
      </c>
      <c r="C339" s="1" t="n">
        <v>46178</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30977-2025</t>
        </is>
      </c>
      <c r="B340" s="1" t="n">
        <v>45832.46649305556</v>
      </c>
      <c r="C340" s="1" t="n">
        <v>46178</v>
      </c>
      <c r="D340" t="inlineStr">
        <is>
          <t>KALMAR LÄN</t>
        </is>
      </c>
      <c r="E340" t="inlineStr">
        <is>
          <t>VIMMERBY</t>
        </is>
      </c>
      <c r="G340" t="n">
        <v>0.6</v>
      </c>
      <c r="H340" t="n">
        <v>0</v>
      </c>
      <c r="I340" t="n">
        <v>0</v>
      </c>
      <c r="J340" t="n">
        <v>0</v>
      </c>
      <c r="K340" t="n">
        <v>0</v>
      </c>
      <c r="L340" t="n">
        <v>0</v>
      </c>
      <c r="M340" t="n">
        <v>0</v>
      </c>
      <c r="N340" t="n">
        <v>0</v>
      </c>
      <c r="O340" t="n">
        <v>0</v>
      </c>
      <c r="P340" t="n">
        <v>0</v>
      </c>
      <c r="Q340" t="n">
        <v>0</v>
      </c>
      <c r="R340" s="2" t="inlineStr"/>
    </row>
    <row r="341" ht="15" customHeight="1">
      <c r="A341" t="inlineStr">
        <is>
          <t>A 33681-2022</t>
        </is>
      </c>
      <c r="B341" s="1" t="n">
        <v>44789</v>
      </c>
      <c r="C341" s="1" t="n">
        <v>46178</v>
      </c>
      <c r="D341" t="inlineStr">
        <is>
          <t>KALMAR LÄN</t>
        </is>
      </c>
      <c r="E341" t="inlineStr">
        <is>
          <t>VIMMERBY</t>
        </is>
      </c>
      <c r="G341" t="n">
        <v>3.2</v>
      </c>
      <c r="H341" t="n">
        <v>0</v>
      </c>
      <c r="I341" t="n">
        <v>0</v>
      </c>
      <c r="J341" t="n">
        <v>0</v>
      </c>
      <c r="K341" t="n">
        <v>0</v>
      </c>
      <c r="L341" t="n">
        <v>0</v>
      </c>
      <c r="M341" t="n">
        <v>0</v>
      </c>
      <c r="N341" t="n">
        <v>0</v>
      </c>
      <c r="O341" t="n">
        <v>0</v>
      </c>
      <c r="P341" t="n">
        <v>0</v>
      </c>
      <c r="Q341" t="n">
        <v>0</v>
      </c>
      <c r="R341" s="2" t="inlineStr"/>
    </row>
    <row r="342" ht="15" customHeight="1">
      <c r="A342" t="inlineStr">
        <is>
          <t>A 44091-2025</t>
        </is>
      </c>
      <c r="B342" s="1" t="n">
        <v>45915.55950231481</v>
      </c>
      <c r="C342" s="1" t="n">
        <v>46178</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26956-2025</t>
        </is>
      </c>
      <c r="B343" s="1" t="n">
        <v>45811.45460648148</v>
      </c>
      <c r="C343" s="1" t="n">
        <v>46178</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6817-2026</t>
        </is>
      </c>
      <c r="B344" s="1" t="n">
        <v>46057.38412037037</v>
      </c>
      <c r="C344" s="1" t="n">
        <v>46178</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5074-2023</t>
        </is>
      </c>
      <c r="B345" s="1" t="n">
        <v>44958.61047453704</v>
      </c>
      <c r="C345" s="1" t="n">
        <v>46178</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28702-2025</t>
        </is>
      </c>
      <c r="B346" s="1" t="n">
        <v>45820.03976851852</v>
      </c>
      <c r="C346" s="1" t="n">
        <v>46178</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51187-2023</t>
        </is>
      </c>
      <c r="B347" s="1" t="n">
        <v>45219.40528935185</v>
      </c>
      <c r="C347" s="1" t="n">
        <v>46178</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44742-2025</t>
        </is>
      </c>
      <c r="B348" s="1" t="n">
        <v>45917.67054398148</v>
      </c>
      <c r="C348" s="1" t="n">
        <v>46178</v>
      </c>
      <c r="D348" t="inlineStr">
        <is>
          <t>KALMAR LÄN</t>
        </is>
      </c>
      <c r="E348" t="inlineStr">
        <is>
          <t>VIMMERBY</t>
        </is>
      </c>
      <c r="G348" t="n">
        <v>4.7</v>
      </c>
      <c r="H348" t="n">
        <v>0</v>
      </c>
      <c r="I348" t="n">
        <v>0</v>
      </c>
      <c r="J348" t="n">
        <v>0</v>
      </c>
      <c r="K348" t="n">
        <v>0</v>
      </c>
      <c r="L348" t="n">
        <v>0</v>
      </c>
      <c r="M348" t="n">
        <v>0</v>
      </c>
      <c r="N348" t="n">
        <v>0</v>
      </c>
      <c r="O348" t="n">
        <v>0</v>
      </c>
      <c r="P348" t="n">
        <v>0</v>
      </c>
      <c r="Q348" t="n">
        <v>0</v>
      </c>
      <c r="R348" s="2" t="inlineStr"/>
    </row>
    <row r="349" ht="15" customHeight="1">
      <c r="A349" t="inlineStr">
        <is>
          <t>A 44329-2025</t>
        </is>
      </c>
      <c r="B349" s="1" t="n">
        <v>45916.41019675926</v>
      </c>
      <c r="C349" s="1" t="n">
        <v>46178</v>
      </c>
      <c r="D349" t="inlineStr">
        <is>
          <t>KALMAR LÄN</t>
        </is>
      </c>
      <c r="E349" t="inlineStr">
        <is>
          <t>VIMMERBY</t>
        </is>
      </c>
      <c r="G349" t="n">
        <v>4.3</v>
      </c>
      <c r="H349" t="n">
        <v>0</v>
      </c>
      <c r="I349" t="n">
        <v>0</v>
      </c>
      <c r="J349" t="n">
        <v>0</v>
      </c>
      <c r="K349" t="n">
        <v>0</v>
      </c>
      <c r="L349" t="n">
        <v>0</v>
      </c>
      <c r="M349" t="n">
        <v>0</v>
      </c>
      <c r="N349" t="n">
        <v>0</v>
      </c>
      <c r="O349" t="n">
        <v>0</v>
      </c>
      <c r="P349" t="n">
        <v>0</v>
      </c>
      <c r="Q349" t="n">
        <v>0</v>
      </c>
      <c r="R349" s="2" t="inlineStr"/>
    </row>
    <row r="350" ht="15" customHeight="1">
      <c r="A350" t="inlineStr">
        <is>
          <t>A 15715-2022</t>
        </is>
      </c>
      <c r="B350" s="1" t="n">
        <v>44663</v>
      </c>
      <c r="C350" s="1" t="n">
        <v>46178</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43093-2024</t>
        </is>
      </c>
      <c r="B351" s="1" t="n">
        <v>45567</v>
      </c>
      <c r="C351" s="1" t="n">
        <v>46178</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56022-2024</t>
        </is>
      </c>
      <c r="B352" s="1" t="n">
        <v>45623.95947916667</v>
      </c>
      <c r="C352" s="1" t="n">
        <v>46178</v>
      </c>
      <c r="D352" t="inlineStr">
        <is>
          <t>KALMAR LÄN</t>
        </is>
      </c>
      <c r="E352" t="inlineStr">
        <is>
          <t>VIMMERBY</t>
        </is>
      </c>
      <c r="G352" t="n">
        <v>0.3</v>
      </c>
      <c r="H352" t="n">
        <v>0</v>
      </c>
      <c r="I352" t="n">
        <v>0</v>
      </c>
      <c r="J352" t="n">
        <v>0</v>
      </c>
      <c r="K352" t="n">
        <v>0</v>
      </c>
      <c r="L352" t="n">
        <v>0</v>
      </c>
      <c r="M352" t="n">
        <v>0</v>
      </c>
      <c r="N352" t="n">
        <v>0</v>
      </c>
      <c r="O352" t="n">
        <v>0</v>
      </c>
      <c r="P352" t="n">
        <v>0</v>
      </c>
      <c r="Q352" t="n">
        <v>0</v>
      </c>
      <c r="R352" s="2" t="inlineStr"/>
    </row>
    <row r="353" ht="15" customHeight="1">
      <c r="A353" t="inlineStr">
        <is>
          <t>A 18330-2023</t>
        </is>
      </c>
      <c r="B353" s="1" t="n">
        <v>45041</v>
      </c>
      <c r="C353" s="1" t="n">
        <v>46178</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34628-2025</t>
        </is>
      </c>
      <c r="B354" s="1" t="n">
        <v>45847.91280092593</v>
      </c>
      <c r="C354" s="1" t="n">
        <v>46178</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20126-2024</t>
        </is>
      </c>
      <c r="B355" s="1" t="n">
        <v>45434.55471064815</v>
      </c>
      <c r="C355" s="1" t="n">
        <v>46178</v>
      </c>
      <c r="D355" t="inlineStr">
        <is>
          <t>KALMAR LÄN</t>
        </is>
      </c>
      <c r="E355" t="inlineStr">
        <is>
          <t>VIMMERBY</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20136-2024</t>
        </is>
      </c>
      <c r="B356" s="1" t="n">
        <v>45434.56291666667</v>
      </c>
      <c r="C356" s="1" t="n">
        <v>46178</v>
      </c>
      <c r="D356" t="inlineStr">
        <is>
          <t>KALMAR LÄN</t>
        </is>
      </c>
      <c r="E356" t="inlineStr">
        <is>
          <t>VIMMERBY</t>
        </is>
      </c>
      <c r="F356" t="inlineStr">
        <is>
          <t>Sveaskog</t>
        </is>
      </c>
      <c r="G356" t="n">
        <v>8.4</v>
      </c>
      <c r="H356" t="n">
        <v>0</v>
      </c>
      <c r="I356" t="n">
        <v>0</v>
      </c>
      <c r="J356" t="n">
        <v>0</v>
      </c>
      <c r="K356" t="n">
        <v>0</v>
      </c>
      <c r="L356" t="n">
        <v>0</v>
      </c>
      <c r="M356" t="n">
        <v>0</v>
      </c>
      <c r="N356" t="n">
        <v>0</v>
      </c>
      <c r="O356" t="n">
        <v>0</v>
      </c>
      <c r="P356" t="n">
        <v>0</v>
      </c>
      <c r="Q356" t="n">
        <v>0</v>
      </c>
      <c r="R356" s="2" t="inlineStr"/>
    </row>
    <row r="357" ht="15" customHeight="1">
      <c r="A357" t="inlineStr">
        <is>
          <t>A 46921-2023</t>
        </is>
      </c>
      <c r="B357" s="1" t="n">
        <v>45201.39996527778</v>
      </c>
      <c r="C357" s="1" t="n">
        <v>46178</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25236-2023</t>
        </is>
      </c>
      <c r="B358" s="1" t="n">
        <v>45086.63334490741</v>
      </c>
      <c r="C358" s="1" t="n">
        <v>46178</v>
      </c>
      <c r="D358" t="inlineStr">
        <is>
          <t>KALMAR LÄN</t>
        </is>
      </c>
      <c r="E358" t="inlineStr">
        <is>
          <t>VIMMERBY</t>
        </is>
      </c>
      <c r="G358" t="n">
        <v>0.9</v>
      </c>
      <c r="H358" t="n">
        <v>0</v>
      </c>
      <c r="I358" t="n">
        <v>0</v>
      </c>
      <c r="J358" t="n">
        <v>0</v>
      </c>
      <c r="K358" t="n">
        <v>0</v>
      </c>
      <c r="L358" t="n">
        <v>0</v>
      </c>
      <c r="M358" t="n">
        <v>0</v>
      </c>
      <c r="N358" t="n">
        <v>0</v>
      </c>
      <c r="O358" t="n">
        <v>0</v>
      </c>
      <c r="P358" t="n">
        <v>0</v>
      </c>
      <c r="Q358" t="n">
        <v>0</v>
      </c>
      <c r="R358" s="2" t="inlineStr"/>
    </row>
    <row r="359" ht="15" customHeight="1">
      <c r="A359" t="inlineStr">
        <is>
          <t>A 45319-2025</t>
        </is>
      </c>
      <c r="B359" s="1" t="n">
        <v>45921.95611111111</v>
      </c>
      <c r="C359" s="1" t="n">
        <v>46178</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45320-2025</t>
        </is>
      </c>
      <c r="B360" s="1" t="n">
        <v>45921.96395833333</v>
      </c>
      <c r="C360" s="1" t="n">
        <v>46178</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35271-2025</t>
        </is>
      </c>
      <c r="B361" s="1" t="n">
        <v>45853.87599537037</v>
      </c>
      <c r="C361" s="1" t="n">
        <v>46178</v>
      </c>
      <c r="D361" t="inlineStr">
        <is>
          <t>KALMAR LÄN</t>
        </is>
      </c>
      <c r="E361" t="inlineStr">
        <is>
          <t>VIMMERBY</t>
        </is>
      </c>
      <c r="G361" t="n">
        <v>0.4</v>
      </c>
      <c r="H361" t="n">
        <v>0</v>
      </c>
      <c r="I361" t="n">
        <v>0</v>
      </c>
      <c r="J361" t="n">
        <v>0</v>
      </c>
      <c r="K361" t="n">
        <v>0</v>
      </c>
      <c r="L361" t="n">
        <v>0</v>
      </c>
      <c r="M361" t="n">
        <v>0</v>
      </c>
      <c r="N361" t="n">
        <v>0</v>
      </c>
      <c r="O361" t="n">
        <v>0</v>
      </c>
      <c r="P361" t="n">
        <v>0</v>
      </c>
      <c r="Q361" t="n">
        <v>0</v>
      </c>
      <c r="R361" s="2" t="inlineStr"/>
    </row>
    <row r="362" ht="15" customHeight="1">
      <c r="A362" t="inlineStr">
        <is>
          <t>A 35272-2025</t>
        </is>
      </c>
      <c r="B362" s="1" t="n">
        <v>45853.88070601852</v>
      </c>
      <c r="C362" s="1" t="n">
        <v>46178</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6082-2022</t>
        </is>
      </c>
      <c r="B363" s="1" t="n">
        <v>44599</v>
      </c>
      <c r="C363" s="1" t="n">
        <v>46178</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16953-2025</t>
        </is>
      </c>
      <c r="B364" s="1" t="n">
        <v>45755.44333333334</v>
      </c>
      <c r="C364" s="1" t="n">
        <v>46178</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2801-2023</t>
        </is>
      </c>
      <c r="B365" s="1" t="n">
        <v>44944.73487268519</v>
      </c>
      <c r="C365" s="1" t="n">
        <v>46178</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5146-2024</t>
        </is>
      </c>
      <c r="B366" s="1" t="n">
        <v>45330</v>
      </c>
      <c r="C366" s="1" t="n">
        <v>46178</v>
      </c>
      <c r="D366" t="inlineStr">
        <is>
          <t>KALMAR LÄN</t>
        </is>
      </c>
      <c r="E366" t="inlineStr">
        <is>
          <t>VIMMERBY</t>
        </is>
      </c>
      <c r="G366" t="n">
        <v>5.3</v>
      </c>
      <c r="H366" t="n">
        <v>0</v>
      </c>
      <c r="I366" t="n">
        <v>0</v>
      </c>
      <c r="J366" t="n">
        <v>0</v>
      </c>
      <c r="K366" t="n">
        <v>0</v>
      </c>
      <c r="L366" t="n">
        <v>0</v>
      </c>
      <c r="M366" t="n">
        <v>0</v>
      </c>
      <c r="N366" t="n">
        <v>0</v>
      </c>
      <c r="O366" t="n">
        <v>0</v>
      </c>
      <c r="P366" t="n">
        <v>0</v>
      </c>
      <c r="Q366" t="n">
        <v>0</v>
      </c>
      <c r="R366" s="2" t="inlineStr"/>
    </row>
    <row r="367" ht="15" customHeight="1">
      <c r="A367" t="inlineStr">
        <is>
          <t>A 5148-2024</t>
        </is>
      </c>
      <c r="B367" s="1" t="n">
        <v>45330</v>
      </c>
      <c r="C367" s="1" t="n">
        <v>46178</v>
      </c>
      <c r="D367" t="inlineStr">
        <is>
          <t>KALMAR LÄN</t>
        </is>
      </c>
      <c r="E367" t="inlineStr">
        <is>
          <t>VIMMERBY</t>
        </is>
      </c>
      <c r="G367" t="n">
        <v>5.6</v>
      </c>
      <c r="H367" t="n">
        <v>0</v>
      </c>
      <c r="I367" t="n">
        <v>0</v>
      </c>
      <c r="J367" t="n">
        <v>0</v>
      </c>
      <c r="K367" t="n">
        <v>0</v>
      </c>
      <c r="L367" t="n">
        <v>0</v>
      </c>
      <c r="M367" t="n">
        <v>0</v>
      </c>
      <c r="N367" t="n">
        <v>0</v>
      </c>
      <c r="O367" t="n">
        <v>0</v>
      </c>
      <c r="P367" t="n">
        <v>0</v>
      </c>
      <c r="Q367" t="n">
        <v>0</v>
      </c>
      <c r="R367" s="2" t="inlineStr"/>
    </row>
    <row r="368" ht="15" customHeight="1">
      <c r="A368" t="inlineStr">
        <is>
          <t>A 46361-2025</t>
        </is>
      </c>
      <c r="B368" s="1" t="n">
        <v>45925.49670138889</v>
      </c>
      <c r="C368" s="1" t="n">
        <v>46178</v>
      </c>
      <c r="D368" t="inlineStr">
        <is>
          <t>KALMAR LÄN</t>
        </is>
      </c>
      <c r="E368" t="inlineStr">
        <is>
          <t>VIMMERBY</t>
        </is>
      </c>
      <c r="G368" t="n">
        <v>4.2</v>
      </c>
      <c r="H368" t="n">
        <v>0</v>
      </c>
      <c r="I368" t="n">
        <v>0</v>
      </c>
      <c r="J368" t="n">
        <v>0</v>
      </c>
      <c r="K368" t="n">
        <v>0</v>
      </c>
      <c r="L368" t="n">
        <v>0</v>
      </c>
      <c r="M368" t="n">
        <v>0</v>
      </c>
      <c r="N368" t="n">
        <v>0</v>
      </c>
      <c r="O368" t="n">
        <v>0</v>
      </c>
      <c r="P368" t="n">
        <v>0</v>
      </c>
      <c r="Q368" t="n">
        <v>0</v>
      </c>
      <c r="R368" s="2" t="inlineStr"/>
    </row>
    <row r="369" ht="15" customHeight="1">
      <c r="A369" t="inlineStr">
        <is>
          <t>A 58278-2023</t>
        </is>
      </c>
      <c r="B369" s="1" t="n">
        <v>45250.5278587963</v>
      </c>
      <c r="C369" s="1" t="n">
        <v>46178</v>
      </c>
      <c r="D369" t="inlineStr">
        <is>
          <t>KALMAR LÄN</t>
        </is>
      </c>
      <c r="E369" t="inlineStr">
        <is>
          <t>VIMMERBY</t>
        </is>
      </c>
      <c r="G369" t="n">
        <v>1.8</v>
      </c>
      <c r="H369" t="n">
        <v>0</v>
      </c>
      <c r="I369" t="n">
        <v>0</v>
      </c>
      <c r="J369" t="n">
        <v>0</v>
      </c>
      <c r="K369" t="n">
        <v>0</v>
      </c>
      <c r="L369" t="n">
        <v>0</v>
      </c>
      <c r="M369" t="n">
        <v>0</v>
      </c>
      <c r="N369" t="n">
        <v>0</v>
      </c>
      <c r="O369" t="n">
        <v>0</v>
      </c>
      <c r="P369" t="n">
        <v>0</v>
      </c>
      <c r="Q369" t="n">
        <v>0</v>
      </c>
      <c r="R369" s="2" t="inlineStr"/>
    </row>
    <row r="370" ht="15" customHeight="1">
      <c r="A370" t="inlineStr">
        <is>
          <t>A 22266-2023</t>
        </is>
      </c>
      <c r="B370" s="1" t="n">
        <v>45070</v>
      </c>
      <c r="C370" s="1" t="n">
        <v>46178</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52588-2023</t>
        </is>
      </c>
      <c r="B371" s="1" t="n">
        <v>45225.60192129629</v>
      </c>
      <c r="C371" s="1" t="n">
        <v>46178</v>
      </c>
      <c r="D371" t="inlineStr">
        <is>
          <t>KALMAR LÄN</t>
        </is>
      </c>
      <c r="E371" t="inlineStr">
        <is>
          <t>VIMMERBY</t>
        </is>
      </c>
      <c r="G371" t="n">
        <v>2.9</v>
      </c>
      <c r="H371" t="n">
        <v>0</v>
      </c>
      <c r="I371" t="n">
        <v>0</v>
      </c>
      <c r="J371" t="n">
        <v>0</v>
      </c>
      <c r="K371" t="n">
        <v>0</v>
      </c>
      <c r="L371" t="n">
        <v>0</v>
      </c>
      <c r="M371" t="n">
        <v>0</v>
      </c>
      <c r="N371" t="n">
        <v>0</v>
      </c>
      <c r="O371" t="n">
        <v>0</v>
      </c>
      <c r="P371" t="n">
        <v>0</v>
      </c>
      <c r="Q371" t="n">
        <v>0</v>
      </c>
      <c r="R371" s="2" t="inlineStr"/>
    </row>
    <row r="372" ht="15" customHeight="1">
      <c r="A372" t="inlineStr">
        <is>
          <t>A 36246-2025</t>
        </is>
      </c>
      <c r="B372" s="1" t="n">
        <v>45867.56320601852</v>
      </c>
      <c r="C372" s="1" t="n">
        <v>46178</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46887-2025</t>
        </is>
      </c>
      <c r="B373" s="1" t="n">
        <v>45929.3672337963</v>
      </c>
      <c r="C373" s="1" t="n">
        <v>46178</v>
      </c>
      <c r="D373" t="inlineStr">
        <is>
          <t>KALMAR LÄN</t>
        </is>
      </c>
      <c r="E373" t="inlineStr">
        <is>
          <t>VIMMERBY</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36297-2025</t>
        </is>
      </c>
      <c r="B374" s="1" t="n">
        <v>45867.68625</v>
      </c>
      <c r="C374" s="1" t="n">
        <v>46178</v>
      </c>
      <c r="D374" t="inlineStr">
        <is>
          <t>KALMAR LÄN</t>
        </is>
      </c>
      <c r="E374" t="inlineStr">
        <is>
          <t>VIMMERBY</t>
        </is>
      </c>
      <c r="G374" t="n">
        <v>4.9</v>
      </c>
      <c r="H374" t="n">
        <v>0</v>
      </c>
      <c r="I374" t="n">
        <v>0</v>
      </c>
      <c r="J374" t="n">
        <v>0</v>
      </c>
      <c r="K374" t="n">
        <v>0</v>
      </c>
      <c r="L374" t="n">
        <v>0</v>
      </c>
      <c r="M374" t="n">
        <v>0</v>
      </c>
      <c r="N374" t="n">
        <v>0</v>
      </c>
      <c r="O374" t="n">
        <v>0</v>
      </c>
      <c r="P374" t="n">
        <v>0</v>
      </c>
      <c r="Q374" t="n">
        <v>0</v>
      </c>
      <c r="R374" s="2" t="inlineStr"/>
    </row>
    <row r="375" ht="15" customHeight="1">
      <c r="A375" t="inlineStr">
        <is>
          <t>A 6802-2025</t>
        </is>
      </c>
      <c r="B375" s="1" t="n">
        <v>45700.68289351852</v>
      </c>
      <c r="C375" s="1" t="n">
        <v>46178</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71793-2021</t>
        </is>
      </c>
      <c r="B376" s="1" t="n">
        <v>44539</v>
      </c>
      <c r="C376" s="1" t="n">
        <v>46178</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8595-2026</t>
        </is>
      </c>
      <c r="B377" s="1" t="n">
        <v>46065.7372337963</v>
      </c>
      <c r="C377" s="1" t="n">
        <v>46178</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19502-2025</t>
        </is>
      </c>
      <c r="B378" s="1" t="n">
        <v>45769</v>
      </c>
      <c r="C378" s="1" t="n">
        <v>46178</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36299-2025</t>
        </is>
      </c>
      <c r="B379" s="1" t="n">
        <v>45867.69346064814</v>
      </c>
      <c r="C379" s="1" t="n">
        <v>46178</v>
      </c>
      <c r="D379" t="inlineStr">
        <is>
          <t>KALMAR LÄN</t>
        </is>
      </c>
      <c r="E379" t="inlineStr">
        <is>
          <t>VIMMERBY</t>
        </is>
      </c>
      <c r="G379" t="n">
        <v>7.6</v>
      </c>
      <c r="H379" t="n">
        <v>0</v>
      </c>
      <c r="I379" t="n">
        <v>0</v>
      </c>
      <c r="J379" t="n">
        <v>0</v>
      </c>
      <c r="K379" t="n">
        <v>0</v>
      </c>
      <c r="L379" t="n">
        <v>0</v>
      </c>
      <c r="M379" t="n">
        <v>0</v>
      </c>
      <c r="N379" t="n">
        <v>0</v>
      </c>
      <c r="O379" t="n">
        <v>0</v>
      </c>
      <c r="P379" t="n">
        <v>0</v>
      </c>
      <c r="Q379" t="n">
        <v>0</v>
      </c>
      <c r="R379" s="2" t="inlineStr"/>
    </row>
    <row r="380" ht="15" customHeight="1">
      <c r="A380" t="inlineStr">
        <is>
          <t>A 8696-2026</t>
        </is>
      </c>
      <c r="B380" s="1" t="n">
        <v>46066.45273148148</v>
      </c>
      <c r="C380" s="1" t="n">
        <v>46178</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36538-2025</t>
        </is>
      </c>
      <c r="B381" s="1" t="n">
        <v>45869.62276620371</v>
      </c>
      <c r="C381" s="1" t="n">
        <v>46178</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36598-2025</t>
        </is>
      </c>
      <c r="B382" s="1" t="n">
        <v>45870.51708333333</v>
      </c>
      <c r="C382" s="1" t="n">
        <v>46178</v>
      </c>
      <c r="D382" t="inlineStr">
        <is>
          <t>KALMAR LÄN</t>
        </is>
      </c>
      <c r="E382" t="inlineStr">
        <is>
          <t>VIMMERBY</t>
        </is>
      </c>
      <c r="G382" t="n">
        <v>3.7</v>
      </c>
      <c r="H382" t="n">
        <v>0</v>
      </c>
      <c r="I382" t="n">
        <v>0</v>
      </c>
      <c r="J382" t="n">
        <v>0</v>
      </c>
      <c r="K382" t="n">
        <v>0</v>
      </c>
      <c r="L382" t="n">
        <v>0</v>
      </c>
      <c r="M382" t="n">
        <v>0</v>
      </c>
      <c r="N382" t="n">
        <v>0</v>
      </c>
      <c r="O382" t="n">
        <v>0</v>
      </c>
      <c r="P382" t="n">
        <v>0</v>
      </c>
      <c r="Q382" t="n">
        <v>0</v>
      </c>
      <c r="R382" s="2" t="inlineStr"/>
    </row>
    <row r="383" ht="15" customHeight="1">
      <c r="A383" t="inlineStr">
        <is>
          <t>A 36602-2025</t>
        </is>
      </c>
      <c r="B383" s="1" t="n">
        <v>45870.52111111111</v>
      </c>
      <c r="C383" s="1" t="n">
        <v>46178</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527-2024</t>
        </is>
      </c>
      <c r="B384" s="1" t="n">
        <v>45299.47513888889</v>
      </c>
      <c r="C384" s="1" t="n">
        <v>46178</v>
      </c>
      <c r="D384" t="inlineStr">
        <is>
          <t>KALMAR LÄN</t>
        </is>
      </c>
      <c r="E384" t="inlineStr">
        <is>
          <t>VIMMERBY</t>
        </is>
      </c>
      <c r="G384" t="n">
        <v>2.2</v>
      </c>
      <c r="H384" t="n">
        <v>0</v>
      </c>
      <c r="I384" t="n">
        <v>0</v>
      </c>
      <c r="J384" t="n">
        <v>0</v>
      </c>
      <c r="K384" t="n">
        <v>0</v>
      </c>
      <c r="L384" t="n">
        <v>0</v>
      </c>
      <c r="M384" t="n">
        <v>0</v>
      </c>
      <c r="N384" t="n">
        <v>0</v>
      </c>
      <c r="O384" t="n">
        <v>0</v>
      </c>
      <c r="P384" t="n">
        <v>0</v>
      </c>
      <c r="Q384" t="n">
        <v>0</v>
      </c>
      <c r="R384" s="2" t="inlineStr"/>
    </row>
    <row r="385" ht="15" customHeight="1">
      <c r="A385" t="inlineStr">
        <is>
          <t>A 60230-2022</t>
        </is>
      </c>
      <c r="B385" s="1" t="n">
        <v>44910</v>
      </c>
      <c r="C385" s="1" t="n">
        <v>46178</v>
      </c>
      <c r="D385" t="inlineStr">
        <is>
          <t>KALMAR LÄN</t>
        </is>
      </c>
      <c r="E385" t="inlineStr">
        <is>
          <t>VIMMERBY</t>
        </is>
      </c>
      <c r="G385" t="n">
        <v>11.3</v>
      </c>
      <c r="H385" t="n">
        <v>0</v>
      </c>
      <c r="I385" t="n">
        <v>0</v>
      </c>
      <c r="J385" t="n">
        <v>0</v>
      </c>
      <c r="K385" t="n">
        <v>0</v>
      </c>
      <c r="L385" t="n">
        <v>0</v>
      </c>
      <c r="M385" t="n">
        <v>0</v>
      </c>
      <c r="N385" t="n">
        <v>0</v>
      </c>
      <c r="O385" t="n">
        <v>0</v>
      </c>
      <c r="P385" t="n">
        <v>0</v>
      </c>
      <c r="Q385" t="n">
        <v>0</v>
      </c>
      <c r="R385" s="2" t="inlineStr"/>
    </row>
    <row r="386" ht="15" customHeight="1">
      <c r="A386" t="inlineStr">
        <is>
          <t>A 47227-2025</t>
        </is>
      </c>
      <c r="B386" s="1" t="n">
        <v>45930.39769675926</v>
      </c>
      <c r="C386" s="1" t="n">
        <v>46178</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5925-2022</t>
        </is>
      </c>
      <c r="B387" s="1" t="n">
        <v>44598.7384837963</v>
      </c>
      <c r="C387" s="1" t="n">
        <v>46178</v>
      </c>
      <c r="D387" t="inlineStr">
        <is>
          <t>KALMAR LÄN</t>
        </is>
      </c>
      <c r="E387" t="inlineStr">
        <is>
          <t>VIMMERBY</t>
        </is>
      </c>
      <c r="G387" t="n">
        <v>2.1</v>
      </c>
      <c r="H387" t="n">
        <v>0</v>
      </c>
      <c r="I387" t="n">
        <v>0</v>
      </c>
      <c r="J387" t="n">
        <v>0</v>
      </c>
      <c r="K387" t="n">
        <v>0</v>
      </c>
      <c r="L387" t="n">
        <v>0</v>
      </c>
      <c r="M387" t="n">
        <v>0</v>
      </c>
      <c r="N387" t="n">
        <v>0</v>
      </c>
      <c r="O387" t="n">
        <v>0</v>
      </c>
      <c r="P387" t="n">
        <v>0</v>
      </c>
      <c r="Q387" t="n">
        <v>0</v>
      </c>
      <c r="R387" s="2" t="inlineStr"/>
    </row>
    <row r="388" ht="15" customHeight="1">
      <c r="A388" t="inlineStr">
        <is>
          <t>A 36603-2025</t>
        </is>
      </c>
      <c r="B388" s="1" t="n">
        <v>45870.52142361111</v>
      </c>
      <c r="C388" s="1" t="n">
        <v>46178</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46522-2022</t>
        </is>
      </c>
      <c r="B389" s="1" t="n">
        <v>44848.59133101852</v>
      </c>
      <c r="C389" s="1" t="n">
        <v>46178</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36600-2025</t>
        </is>
      </c>
      <c r="B390" s="1" t="n">
        <v>45870.51958333333</v>
      </c>
      <c r="C390" s="1" t="n">
        <v>46178</v>
      </c>
      <c r="D390" t="inlineStr">
        <is>
          <t>KALMAR LÄN</t>
        </is>
      </c>
      <c r="E390" t="inlineStr">
        <is>
          <t>VIMMERBY</t>
        </is>
      </c>
      <c r="G390" t="n">
        <v>2</v>
      </c>
      <c r="H390" t="n">
        <v>0</v>
      </c>
      <c r="I390" t="n">
        <v>0</v>
      </c>
      <c r="J390" t="n">
        <v>0</v>
      </c>
      <c r="K390" t="n">
        <v>0</v>
      </c>
      <c r="L390" t="n">
        <v>0</v>
      </c>
      <c r="M390" t="n">
        <v>0</v>
      </c>
      <c r="N390" t="n">
        <v>0</v>
      </c>
      <c r="O390" t="n">
        <v>0</v>
      </c>
      <c r="P390" t="n">
        <v>0</v>
      </c>
      <c r="Q390" t="n">
        <v>0</v>
      </c>
      <c r="R390" s="2" t="inlineStr"/>
    </row>
    <row r="391" ht="15" customHeight="1">
      <c r="A391" t="inlineStr">
        <is>
          <t>A 36601-2025</t>
        </is>
      </c>
      <c r="B391" s="1" t="n">
        <v>45870.52005787037</v>
      </c>
      <c r="C391" s="1" t="n">
        <v>46178</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41066-2024</t>
        </is>
      </c>
      <c r="B392" s="1" t="n">
        <v>45559.38876157408</v>
      </c>
      <c r="C392" s="1" t="n">
        <v>46178</v>
      </c>
      <c r="D392" t="inlineStr">
        <is>
          <t>KALMAR LÄN</t>
        </is>
      </c>
      <c r="E392" t="inlineStr">
        <is>
          <t>VIMMERBY</t>
        </is>
      </c>
      <c r="G392" t="n">
        <v>2.4</v>
      </c>
      <c r="H392" t="n">
        <v>0</v>
      </c>
      <c r="I392" t="n">
        <v>0</v>
      </c>
      <c r="J392" t="n">
        <v>0</v>
      </c>
      <c r="K392" t="n">
        <v>0</v>
      </c>
      <c r="L392" t="n">
        <v>0</v>
      </c>
      <c r="M392" t="n">
        <v>0</v>
      </c>
      <c r="N392" t="n">
        <v>0</v>
      </c>
      <c r="O392" t="n">
        <v>0</v>
      </c>
      <c r="P392" t="n">
        <v>0</v>
      </c>
      <c r="Q392" t="n">
        <v>0</v>
      </c>
      <c r="R392" s="2" t="inlineStr"/>
    </row>
    <row r="393" ht="15" customHeight="1">
      <c r="A393" t="inlineStr">
        <is>
          <t>A 52279-2023</t>
        </is>
      </c>
      <c r="B393" s="1" t="n">
        <v>45224</v>
      </c>
      <c r="C393" s="1" t="n">
        <v>46178</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47965-2025</t>
        </is>
      </c>
      <c r="B394" s="1" t="n">
        <v>45932.59597222223</v>
      </c>
      <c r="C394" s="1" t="n">
        <v>46178</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17486-2024</t>
        </is>
      </c>
      <c r="B395" s="1" t="n">
        <v>45415.48979166667</v>
      </c>
      <c r="C395" s="1" t="n">
        <v>46178</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37088-2025</t>
        </is>
      </c>
      <c r="B396" s="1" t="n">
        <v>45875.45716435185</v>
      </c>
      <c r="C396" s="1" t="n">
        <v>46178</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37102-2025</t>
        </is>
      </c>
      <c r="B397" s="1" t="n">
        <v>45875.47454861111</v>
      </c>
      <c r="C397" s="1" t="n">
        <v>46178</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71631-2021</t>
        </is>
      </c>
      <c r="B398" s="1" t="n">
        <v>44542.90072916666</v>
      </c>
      <c r="C398" s="1" t="n">
        <v>46178</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36934-2025</t>
        </is>
      </c>
      <c r="B399" s="1" t="n">
        <v>45874.57109953704</v>
      </c>
      <c r="C399" s="1" t="n">
        <v>46178</v>
      </c>
      <c r="D399" t="inlineStr">
        <is>
          <t>KALMAR LÄN</t>
        </is>
      </c>
      <c r="E399" t="inlineStr">
        <is>
          <t>VIMMERBY</t>
        </is>
      </c>
      <c r="G399" t="n">
        <v>4.2</v>
      </c>
      <c r="H399" t="n">
        <v>0</v>
      </c>
      <c r="I399" t="n">
        <v>0</v>
      </c>
      <c r="J399" t="n">
        <v>0</v>
      </c>
      <c r="K399" t="n">
        <v>0</v>
      </c>
      <c r="L399" t="n">
        <v>0</v>
      </c>
      <c r="M399" t="n">
        <v>0</v>
      </c>
      <c r="N399" t="n">
        <v>0</v>
      </c>
      <c r="O399" t="n">
        <v>0</v>
      </c>
      <c r="P399" t="n">
        <v>0</v>
      </c>
      <c r="Q399" t="n">
        <v>0</v>
      </c>
      <c r="R399" s="2" t="inlineStr"/>
    </row>
    <row r="400" ht="15" customHeight="1">
      <c r="A400" t="inlineStr">
        <is>
          <t>A 48408-2025</t>
        </is>
      </c>
      <c r="B400" s="1" t="n">
        <v>45934.40527777778</v>
      </c>
      <c r="C400" s="1" t="n">
        <v>46178</v>
      </c>
      <c r="D400" t="inlineStr">
        <is>
          <t>KALMAR LÄN</t>
        </is>
      </c>
      <c r="E400" t="inlineStr">
        <is>
          <t>VIMMERBY</t>
        </is>
      </c>
      <c r="G400" t="n">
        <v>2.4</v>
      </c>
      <c r="H400" t="n">
        <v>0</v>
      </c>
      <c r="I400" t="n">
        <v>0</v>
      </c>
      <c r="J400" t="n">
        <v>0</v>
      </c>
      <c r="K400" t="n">
        <v>0</v>
      </c>
      <c r="L400" t="n">
        <v>0</v>
      </c>
      <c r="M400" t="n">
        <v>0</v>
      </c>
      <c r="N400" t="n">
        <v>0</v>
      </c>
      <c r="O400" t="n">
        <v>0</v>
      </c>
      <c r="P400" t="n">
        <v>0</v>
      </c>
      <c r="Q400" t="n">
        <v>0</v>
      </c>
      <c r="R400" s="2" t="inlineStr"/>
    </row>
    <row r="401" ht="15" customHeight="1">
      <c r="A401" t="inlineStr">
        <is>
          <t>A 48600-2025</t>
        </is>
      </c>
      <c r="B401" s="1" t="n">
        <v>45935</v>
      </c>
      <c r="C401" s="1" t="n">
        <v>46178</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9694-2023</t>
        </is>
      </c>
      <c r="B402" s="1" t="n">
        <v>44984.45895833334</v>
      </c>
      <c r="C402" s="1" t="n">
        <v>46178</v>
      </c>
      <c r="D402" t="inlineStr">
        <is>
          <t>KALMAR LÄN</t>
        </is>
      </c>
      <c r="E402" t="inlineStr">
        <is>
          <t>VIMMERBY</t>
        </is>
      </c>
      <c r="G402" t="n">
        <v>2.1</v>
      </c>
      <c r="H402" t="n">
        <v>0</v>
      </c>
      <c r="I402" t="n">
        <v>0</v>
      </c>
      <c r="J402" t="n">
        <v>0</v>
      </c>
      <c r="K402" t="n">
        <v>0</v>
      </c>
      <c r="L402" t="n">
        <v>0</v>
      </c>
      <c r="M402" t="n">
        <v>0</v>
      </c>
      <c r="N402" t="n">
        <v>0</v>
      </c>
      <c r="O402" t="n">
        <v>0</v>
      </c>
      <c r="P402" t="n">
        <v>0</v>
      </c>
      <c r="Q402" t="n">
        <v>0</v>
      </c>
      <c r="R402" s="2" t="inlineStr"/>
    </row>
    <row r="403" ht="15" customHeight="1">
      <c r="A403" t="inlineStr">
        <is>
          <t>A 37578-2025</t>
        </is>
      </c>
      <c r="B403" s="1" t="n">
        <v>45880.38380787037</v>
      </c>
      <c r="C403" s="1" t="n">
        <v>46178</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22198-2024</t>
        </is>
      </c>
      <c r="B404" s="1" t="n">
        <v>45446.36865740741</v>
      </c>
      <c r="C404" s="1" t="n">
        <v>46178</v>
      </c>
      <c r="D404" t="inlineStr">
        <is>
          <t>KALMAR LÄN</t>
        </is>
      </c>
      <c r="E404" t="inlineStr">
        <is>
          <t>VIMMERBY</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57311-2023</t>
        </is>
      </c>
      <c r="B405" s="1" t="n">
        <v>45245.63574074074</v>
      </c>
      <c r="C405" s="1" t="n">
        <v>46178</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12588-2025</t>
        </is>
      </c>
      <c r="B406" s="1" t="n">
        <v>45732.76936342593</v>
      </c>
      <c r="C406" s="1" t="n">
        <v>46178</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10965-2026</t>
        </is>
      </c>
      <c r="B407" s="1" t="n">
        <v>46079.43295138889</v>
      </c>
      <c r="C407" s="1" t="n">
        <v>46178</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7932-2025</t>
        </is>
      </c>
      <c r="B408" s="1" t="n">
        <v>45707.3793287037</v>
      </c>
      <c r="C408" s="1" t="n">
        <v>46178</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11273-2026</t>
        </is>
      </c>
      <c r="B409" s="1" t="n">
        <v>46080.57634259259</v>
      </c>
      <c r="C409" s="1" t="n">
        <v>46178</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37668-2025</t>
        </is>
      </c>
      <c r="B410" s="1" t="n">
        <v>45880.51550925926</v>
      </c>
      <c r="C410" s="1" t="n">
        <v>46178</v>
      </c>
      <c r="D410" t="inlineStr">
        <is>
          <t>KALMAR LÄN</t>
        </is>
      </c>
      <c r="E410" t="inlineStr">
        <is>
          <t>VIMMERBY</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2121-2022</t>
        </is>
      </c>
      <c r="B411" s="1" t="n">
        <v>44578.32717592592</v>
      </c>
      <c r="C411" s="1" t="n">
        <v>46178</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11415-2026</t>
        </is>
      </c>
      <c r="B412" s="1" t="n">
        <v>46083</v>
      </c>
      <c r="C412" s="1" t="n">
        <v>46178</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34386-2024</t>
        </is>
      </c>
      <c r="B413" s="1" t="n">
        <v>45525.41762731481</v>
      </c>
      <c r="C413" s="1" t="n">
        <v>46178</v>
      </c>
      <c r="D413" t="inlineStr">
        <is>
          <t>KALMAR LÄN</t>
        </is>
      </c>
      <c r="E413" t="inlineStr">
        <is>
          <t>VIMMERBY</t>
        </is>
      </c>
      <c r="G413" t="n">
        <v>0.3</v>
      </c>
      <c r="H413" t="n">
        <v>0</v>
      </c>
      <c r="I413" t="n">
        <v>0</v>
      </c>
      <c r="J413" t="n">
        <v>0</v>
      </c>
      <c r="K413" t="n">
        <v>0</v>
      </c>
      <c r="L413" t="n">
        <v>0</v>
      </c>
      <c r="M413" t="n">
        <v>0</v>
      </c>
      <c r="N413" t="n">
        <v>0</v>
      </c>
      <c r="O413" t="n">
        <v>0</v>
      </c>
      <c r="P413" t="n">
        <v>0</v>
      </c>
      <c r="Q413" t="n">
        <v>0</v>
      </c>
      <c r="R413" s="2" t="inlineStr"/>
    </row>
    <row r="414" ht="15" customHeight="1">
      <c r="A414" t="inlineStr">
        <is>
          <t>A 6069-2023</t>
        </is>
      </c>
      <c r="B414" s="1" t="n">
        <v>44964.5115162037</v>
      </c>
      <c r="C414" s="1" t="n">
        <v>46178</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11407-2026</t>
        </is>
      </c>
      <c r="B415" s="1" t="n">
        <v>46083</v>
      </c>
      <c r="C415" s="1" t="n">
        <v>46178</v>
      </c>
      <c r="D415" t="inlineStr">
        <is>
          <t>KALMAR LÄN</t>
        </is>
      </c>
      <c r="E415" t="inlineStr">
        <is>
          <t>VIMMERBY</t>
        </is>
      </c>
      <c r="G415" t="n">
        <v>2.3</v>
      </c>
      <c r="H415" t="n">
        <v>0</v>
      </c>
      <c r="I415" t="n">
        <v>0</v>
      </c>
      <c r="J415" t="n">
        <v>0</v>
      </c>
      <c r="K415" t="n">
        <v>0</v>
      </c>
      <c r="L415" t="n">
        <v>0</v>
      </c>
      <c r="M415" t="n">
        <v>0</v>
      </c>
      <c r="N415" t="n">
        <v>0</v>
      </c>
      <c r="O415" t="n">
        <v>0</v>
      </c>
      <c r="P415" t="n">
        <v>0</v>
      </c>
      <c r="Q415" t="n">
        <v>0</v>
      </c>
      <c r="R415" s="2" t="inlineStr"/>
    </row>
    <row r="416" ht="15" customHeight="1">
      <c r="A416" t="inlineStr">
        <is>
          <t>A 11798-2026</t>
        </is>
      </c>
      <c r="B416" s="1" t="n">
        <v>46085.34020833333</v>
      </c>
      <c r="C416" s="1" t="n">
        <v>46178</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49871-2025</t>
        </is>
      </c>
      <c r="B417" s="1" t="n">
        <v>45940.54104166666</v>
      </c>
      <c r="C417" s="1" t="n">
        <v>46178</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32633-2023</t>
        </is>
      </c>
      <c r="B418" s="1" t="n">
        <v>45121.58699074074</v>
      </c>
      <c r="C418" s="1" t="n">
        <v>46178</v>
      </c>
      <c r="D418" t="inlineStr">
        <is>
          <t>KALMAR LÄN</t>
        </is>
      </c>
      <c r="E418" t="inlineStr">
        <is>
          <t>VIMMERBY</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49461-2023</t>
        </is>
      </c>
      <c r="B419" s="1" t="n">
        <v>45211.52642361111</v>
      </c>
      <c r="C419" s="1" t="n">
        <v>46178</v>
      </c>
      <c r="D419" t="inlineStr">
        <is>
          <t>KALMAR LÄN</t>
        </is>
      </c>
      <c r="E419" t="inlineStr">
        <is>
          <t>VIMMERBY</t>
        </is>
      </c>
      <c r="G419" t="n">
        <v>1.5</v>
      </c>
      <c r="H419" t="n">
        <v>0</v>
      </c>
      <c r="I419" t="n">
        <v>0</v>
      </c>
      <c r="J419" t="n">
        <v>0</v>
      </c>
      <c r="K419" t="n">
        <v>0</v>
      </c>
      <c r="L419" t="n">
        <v>0</v>
      </c>
      <c r="M419" t="n">
        <v>0</v>
      </c>
      <c r="N419" t="n">
        <v>0</v>
      </c>
      <c r="O419" t="n">
        <v>0</v>
      </c>
      <c r="P419" t="n">
        <v>0</v>
      </c>
      <c r="Q419" t="n">
        <v>0</v>
      </c>
      <c r="R419" s="2" t="inlineStr"/>
    </row>
    <row r="420" ht="15" customHeight="1">
      <c r="A420" t="inlineStr">
        <is>
          <t>A 23095-2023</t>
        </is>
      </c>
      <c r="B420" s="1" t="n">
        <v>45075.43059027778</v>
      </c>
      <c r="C420" s="1" t="n">
        <v>46178</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11429-2022</t>
        </is>
      </c>
      <c r="B421" s="1" t="n">
        <v>44630</v>
      </c>
      <c r="C421" s="1" t="n">
        <v>46178</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50324-2025</t>
        </is>
      </c>
      <c r="B422" s="1" t="n">
        <v>45944.45962962963</v>
      </c>
      <c r="C422" s="1" t="n">
        <v>46178</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11141-2024</t>
        </is>
      </c>
      <c r="B423" s="1" t="n">
        <v>45371.45865740741</v>
      </c>
      <c r="C423" s="1" t="n">
        <v>46178</v>
      </c>
      <c r="D423" t="inlineStr">
        <is>
          <t>KALMAR LÄN</t>
        </is>
      </c>
      <c r="E423" t="inlineStr">
        <is>
          <t>VIMMERBY</t>
        </is>
      </c>
      <c r="G423" t="n">
        <v>0.7</v>
      </c>
      <c r="H423" t="n">
        <v>0</v>
      </c>
      <c r="I423" t="n">
        <v>0</v>
      </c>
      <c r="J423" t="n">
        <v>0</v>
      </c>
      <c r="K423" t="n">
        <v>0</v>
      </c>
      <c r="L423" t="n">
        <v>0</v>
      </c>
      <c r="M423" t="n">
        <v>0</v>
      </c>
      <c r="N423" t="n">
        <v>0</v>
      </c>
      <c r="O423" t="n">
        <v>0</v>
      </c>
      <c r="P423" t="n">
        <v>0</v>
      </c>
      <c r="Q423" t="n">
        <v>0</v>
      </c>
      <c r="R423" s="2" t="inlineStr"/>
    </row>
    <row r="424" ht="15" customHeight="1">
      <c r="A424" t="inlineStr">
        <is>
          <t>A 28395-2023</t>
        </is>
      </c>
      <c r="B424" s="1" t="n">
        <v>45100.4062962963</v>
      </c>
      <c r="C424" s="1" t="n">
        <v>46178</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34597-2022</t>
        </is>
      </c>
      <c r="B425" s="1" t="n">
        <v>44795</v>
      </c>
      <c r="C425" s="1" t="n">
        <v>46178</v>
      </c>
      <c r="D425" t="inlineStr">
        <is>
          <t>KALMAR LÄN</t>
        </is>
      </c>
      <c r="E425" t="inlineStr">
        <is>
          <t>VIMMERBY</t>
        </is>
      </c>
      <c r="G425" t="n">
        <v>2.2</v>
      </c>
      <c r="H425" t="n">
        <v>0</v>
      </c>
      <c r="I425" t="n">
        <v>0</v>
      </c>
      <c r="J425" t="n">
        <v>0</v>
      </c>
      <c r="K425" t="n">
        <v>0</v>
      </c>
      <c r="L425" t="n">
        <v>0</v>
      </c>
      <c r="M425" t="n">
        <v>0</v>
      </c>
      <c r="N425" t="n">
        <v>0</v>
      </c>
      <c r="O425" t="n">
        <v>0</v>
      </c>
      <c r="P425" t="n">
        <v>0</v>
      </c>
      <c r="Q425" t="n">
        <v>0</v>
      </c>
      <c r="R425" s="2" t="inlineStr"/>
    </row>
    <row r="426" ht="15" customHeight="1">
      <c r="A426" t="inlineStr">
        <is>
          <t>A 51062-2025</t>
        </is>
      </c>
      <c r="B426" s="1" t="n">
        <v>45947.44685185186</v>
      </c>
      <c r="C426" s="1" t="n">
        <v>46178</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64428-2023</t>
        </is>
      </c>
      <c r="B427" s="1" t="n">
        <v>45280.66769675926</v>
      </c>
      <c r="C427" s="1" t="n">
        <v>46178</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30588-2023</t>
        </is>
      </c>
      <c r="B428" s="1" t="n">
        <v>45112.33599537037</v>
      </c>
      <c r="C428" s="1" t="n">
        <v>46178</v>
      </c>
      <c r="D428" t="inlineStr">
        <is>
          <t>KALMAR LÄN</t>
        </is>
      </c>
      <c r="E428" t="inlineStr">
        <is>
          <t>VIMMERBY</t>
        </is>
      </c>
      <c r="G428" t="n">
        <v>2.7</v>
      </c>
      <c r="H428" t="n">
        <v>0</v>
      </c>
      <c r="I428" t="n">
        <v>0</v>
      </c>
      <c r="J428" t="n">
        <v>0</v>
      </c>
      <c r="K428" t="n">
        <v>0</v>
      </c>
      <c r="L428" t="n">
        <v>0</v>
      </c>
      <c r="M428" t="n">
        <v>0</v>
      </c>
      <c r="N428" t="n">
        <v>0</v>
      </c>
      <c r="O428" t="n">
        <v>0</v>
      </c>
      <c r="P428" t="n">
        <v>0</v>
      </c>
      <c r="Q428" t="n">
        <v>0</v>
      </c>
      <c r="R428" s="2" t="inlineStr"/>
    </row>
    <row r="429" ht="15" customHeight="1">
      <c r="A429" t="inlineStr">
        <is>
          <t>A 30503-2023</t>
        </is>
      </c>
      <c r="B429" s="1" t="n">
        <v>45111</v>
      </c>
      <c r="C429" s="1" t="n">
        <v>46178</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47263-2023</t>
        </is>
      </c>
      <c r="B430" s="1" t="n">
        <v>45202.4209837963</v>
      </c>
      <c r="C430" s="1" t="n">
        <v>46178</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51990-2025</t>
        </is>
      </c>
      <c r="B431" s="1" t="n">
        <v>45952.58061342593</v>
      </c>
      <c r="C431" s="1" t="n">
        <v>46178</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58100-2024</t>
        </is>
      </c>
      <c r="B432" s="1" t="n">
        <v>45632.36706018518</v>
      </c>
      <c r="C432" s="1" t="n">
        <v>46178</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12730-2026</t>
        </is>
      </c>
      <c r="B433" s="1" t="n">
        <v>46091</v>
      </c>
      <c r="C433" s="1" t="n">
        <v>46178</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12820-2026</t>
        </is>
      </c>
      <c r="B434" s="1" t="n">
        <v>46092.40909722223</v>
      </c>
      <c r="C434" s="1" t="n">
        <v>46178</v>
      </c>
      <c r="D434" t="inlineStr">
        <is>
          <t>KALMAR LÄN</t>
        </is>
      </c>
      <c r="E434" t="inlineStr">
        <is>
          <t>VIMMERBY</t>
        </is>
      </c>
      <c r="G434" t="n">
        <v>4.3</v>
      </c>
      <c r="H434" t="n">
        <v>0</v>
      </c>
      <c r="I434" t="n">
        <v>0</v>
      </c>
      <c r="J434" t="n">
        <v>0</v>
      </c>
      <c r="K434" t="n">
        <v>0</v>
      </c>
      <c r="L434" t="n">
        <v>0</v>
      </c>
      <c r="M434" t="n">
        <v>0</v>
      </c>
      <c r="N434" t="n">
        <v>0</v>
      </c>
      <c r="O434" t="n">
        <v>0</v>
      </c>
      <c r="P434" t="n">
        <v>0</v>
      </c>
      <c r="Q434" t="n">
        <v>0</v>
      </c>
      <c r="R434" s="2" t="inlineStr"/>
    </row>
    <row r="435" ht="15" customHeight="1">
      <c r="A435" t="inlineStr">
        <is>
          <t>A 12821-2026</t>
        </is>
      </c>
      <c r="B435" s="1" t="n">
        <v>46092.41256944444</v>
      </c>
      <c r="C435" s="1" t="n">
        <v>46178</v>
      </c>
      <c r="D435" t="inlineStr">
        <is>
          <t>KALMAR LÄN</t>
        </is>
      </c>
      <c r="E435" t="inlineStr">
        <is>
          <t>VIMMERBY</t>
        </is>
      </c>
      <c r="G435" t="n">
        <v>2.5</v>
      </c>
      <c r="H435" t="n">
        <v>0</v>
      </c>
      <c r="I435" t="n">
        <v>0</v>
      </c>
      <c r="J435" t="n">
        <v>0</v>
      </c>
      <c r="K435" t="n">
        <v>0</v>
      </c>
      <c r="L435" t="n">
        <v>0</v>
      </c>
      <c r="M435" t="n">
        <v>0</v>
      </c>
      <c r="N435" t="n">
        <v>0</v>
      </c>
      <c r="O435" t="n">
        <v>0</v>
      </c>
      <c r="P435" t="n">
        <v>0</v>
      </c>
      <c r="Q435" t="n">
        <v>0</v>
      </c>
      <c r="R435" s="2" t="inlineStr"/>
    </row>
    <row r="436" ht="15" customHeight="1">
      <c r="A436" t="inlineStr">
        <is>
          <t>A 12825-2026</t>
        </is>
      </c>
      <c r="B436" s="1" t="n">
        <v>46092.41561342592</v>
      </c>
      <c r="C436" s="1" t="n">
        <v>46178</v>
      </c>
      <c r="D436" t="inlineStr">
        <is>
          <t>KALMAR LÄN</t>
        </is>
      </c>
      <c r="E436" t="inlineStr">
        <is>
          <t>VIMMERBY</t>
        </is>
      </c>
      <c r="G436" t="n">
        <v>2.6</v>
      </c>
      <c r="H436" t="n">
        <v>0</v>
      </c>
      <c r="I436" t="n">
        <v>0</v>
      </c>
      <c r="J436" t="n">
        <v>0</v>
      </c>
      <c r="K436" t="n">
        <v>0</v>
      </c>
      <c r="L436" t="n">
        <v>0</v>
      </c>
      <c r="M436" t="n">
        <v>0</v>
      </c>
      <c r="N436" t="n">
        <v>0</v>
      </c>
      <c r="O436" t="n">
        <v>0</v>
      </c>
      <c r="P436" t="n">
        <v>0</v>
      </c>
      <c r="Q436" t="n">
        <v>0</v>
      </c>
      <c r="R436" s="2" t="inlineStr"/>
    </row>
    <row r="437" ht="15" customHeight="1">
      <c r="A437" t="inlineStr">
        <is>
          <t>A 57114-2023</t>
        </is>
      </c>
      <c r="B437" s="1" t="n">
        <v>45245.36174768519</v>
      </c>
      <c r="C437" s="1" t="n">
        <v>46178</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3423-2022</t>
        </is>
      </c>
      <c r="B438" s="1" t="n">
        <v>44585.50431712963</v>
      </c>
      <c r="C438" s="1" t="n">
        <v>46178</v>
      </c>
      <c r="D438" t="inlineStr">
        <is>
          <t>KALMAR LÄN</t>
        </is>
      </c>
      <c r="E438" t="inlineStr">
        <is>
          <t>VIMMERBY</t>
        </is>
      </c>
      <c r="G438" t="n">
        <v>1.7</v>
      </c>
      <c r="H438" t="n">
        <v>0</v>
      </c>
      <c r="I438" t="n">
        <v>0</v>
      </c>
      <c r="J438" t="n">
        <v>0</v>
      </c>
      <c r="K438" t="n">
        <v>0</v>
      </c>
      <c r="L438" t="n">
        <v>0</v>
      </c>
      <c r="M438" t="n">
        <v>0</v>
      </c>
      <c r="N438" t="n">
        <v>0</v>
      </c>
      <c r="O438" t="n">
        <v>0</v>
      </c>
      <c r="P438" t="n">
        <v>0</v>
      </c>
      <c r="Q438" t="n">
        <v>0</v>
      </c>
      <c r="R438" s="2" t="inlineStr"/>
    </row>
    <row r="439" ht="15" customHeight="1">
      <c r="A439" t="inlineStr">
        <is>
          <t>A 51993-2025</t>
        </is>
      </c>
      <c r="B439" s="1" t="n">
        <v>45952.58194444444</v>
      </c>
      <c r="C439" s="1" t="n">
        <v>46178</v>
      </c>
      <c r="D439" t="inlineStr">
        <is>
          <t>KALMAR LÄN</t>
        </is>
      </c>
      <c r="E439" t="inlineStr">
        <is>
          <t>VIMMERBY</t>
        </is>
      </c>
      <c r="G439" t="n">
        <v>2.8</v>
      </c>
      <c r="H439" t="n">
        <v>0</v>
      </c>
      <c r="I439" t="n">
        <v>0</v>
      </c>
      <c r="J439" t="n">
        <v>0</v>
      </c>
      <c r="K439" t="n">
        <v>0</v>
      </c>
      <c r="L439" t="n">
        <v>0</v>
      </c>
      <c r="M439" t="n">
        <v>0</v>
      </c>
      <c r="N439" t="n">
        <v>0</v>
      </c>
      <c r="O439" t="n">
        <v>0</v>
      </c>
      <c r="P439" t="n">
        <v>0</v>
      </c>
      <c r="Q439" t="n">
        <v>0</v>
      </c>
      <c r="R439" s="2" t="inlineStr"/>
    </row>
    <row r="440" ht="15" customHeight="1">
      <c r="A440" t="inlineStr">
        <is>
          <t>A 52465-2025</t>
        </is>
      </c>
      <c r="B440" s="1" t="n">
        <v>45954.44543981482</v>
      </c>
      <c r="C440" s="1" t="n">
        <v>46178</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40665-2023</t>
        </is>
      </c>
      <c r="B441" s="1" t="n">
        <v>45170</v>
      </c>
      <c r="C441" s="1" t="n">
        <v>46178</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52451-2025</t>
        </is>
      </c>
      <c r="B442" s="1" t="n">
        <v>45954.42326388889</v>
      </c>
      <c r="C442" s="1" t="n">
        <v>46178</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20017-2026</t>
        </is>
      </c>
      <c r="B443" s="1" t="n">
        <v>46136.49986111111</v>
      </c>
      <c r="C443" s="1" t="n">
        <v>46178</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52516-2025</t>
        </is>
      </c>
      <c r="B444" s="1" t="n">
        <v>45954.51412037037</v>
      </c>
      <c r="C444" s="1" t="n">
        <v>46178</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52466-2025</t>
        </is>
      </c>
      <c r="B445" s="1" t="n">
        <v>45954.44707175926</v>
      </c>
      <c r="C445" s="1" t="n">
        <v>46178</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52475-2025</t>
        </is>
      </c>
      <c r="B446" s="1" t="n">
        <v>45954.468125</v>
      </c>
      <c r="C446" s="1" t="n">
        <v>46178</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50860-2022</t>
        </is>
      </c>
      <c r="B447" s="1" t="n">
        <v>44867</v>
      </c>
      <c r="C447" s="1" t="n">
        <v>46178</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25370-2022</t>
        </is>
      </c>
      <c r="B448" s="1" t="n">
        <v>44732.3659837963</v>
      </c>
      <c r="C448" s="1" t="n">
        <v>46178</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53396-2025</t>
        </is>
      </c>
      <c r="B449" s="1" t="n">
        <v>45959.55577546296</v>
      </c>
      <c r="C449" s="1" t="n">
        <v>46178</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58577-2024</t>
        </is>
      </c>
      <c r="B450" s="1" t="n">
        <v>45635.4874537037</v>
      </c>
      <c r="C450" s="1" t="n">
        <v>46178</v>
      </c>
      <c r="D450" t="inlineStr">
        <is>
          <t>KALMAR LÄN</t>
        </is>
      </c>
      <c r="E450" t="inlineStr">
        <is>
          <t>VIMMERBY</t>
        </is>
      </c>
      <c r="G450" t="n">
        <v>1.1</v>
      </c>
      <c r="H450" t="n">
        <v>0</v>
      </c>
      <c r="I450" t="n">
        <v>0</v>
      </c>
      <c r="J450" t="n">
        <v>0</v>
      </c>
      <c r="K450" t="n">
        <v>0</v>
      </c>
      <c r="L450" t="n">
        <v>0</v>
      </c>
      <c r="M450" t="n">
        <v>0</v>
      </c>
      <c r="N450" t="n">
        <v>0</v>
      </c>
      <c r="O450" t="n">
        <v>0</v>
      </c>
      <c r="P450" t="n">
        <v>0</v>
      </c>
      <c r="Q450" t="n">
        <v>0</v>
      </c>
      <c r="R450" s="2" t="inlineStr"/>
    </row>
    <row r="451" ht="15" customHeight="1">
      <c r="A451" t="inlineStr">
        <is>
          <t>A 53398-2025</t>
        </is>
      </c>
      <c r="B451" s="1" t="n">
        <v>45959.56247685185</v>
      </c>
      <c r="C451" s="1" t="n">
        <v>46178</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20018-2026</t>
        </is>
      </c>
      <c r="B452" s="1" t="n">
        <v>46136.50282407407</v>
      </c>
      <c r="C452" s="1" t="n">
        <v>46178</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53397-2025</t>
        </is>
      </c>
      <c r="B453" s="1" t="n">
        <v>45959.55918981481</v>
      </c>
      <c r="C453" s="1" t="n">
        <v>46178</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29440-2024</t>
        </is>
      </c>
      <c r="B454" s="1" t="n">
        <v>45483.82479166667</v>
      </c>
      <c r="C454" s="1" t="n">
        <v>46178</v>
      </c>
      <c r="D454" t="inlineStr">
        <is>
          <t>KALMAR LÄN</t>
        </is>
      </c>
      <c r="E454" t="inlineStr">
        <is>
          <t>VIMMERBY</t>
        </is>
      </c>
      <c r="G454" t="n">
        <v>4.5</v>
      </c>
      <c r="H454" t="n">
        <v>0</v>
      </c>
      <c r="I454" t="n">
        <v>0</v>
      </c>
      <c r="J454" t="n">
        <v>0</v>
      </c>
      <c r="K454" t="n">
        <v>0</v>
      </c>
      <c r="L454" t="n">
        <v>0</v>
      </c>
      <c r="M454" t="n">
        <v>0</v>
      </c>
      <c r="N454" t="n">
        <v>0</v>
      </c>
      <c r="O454" t="n">
        <v>0</v>
      </c>
      <c r="P454" t="n">
        <v>0</v>
      </c>
      <c r="Q454" t="n">
        <v>0</v>
      </c>
      <c r="R454" s="2" t="inlineStr"/>
    </row>
    <row r="455" ht="15" customHeight="1">
      <c r="A455" t="inlineStr">
        <is>
          <t>A 53393-2025</t>
        </is>
      </c>
      <c r="B455" s="1" t="n">
        <v>45959.55284722222</v>
      </c>
      <c r="C455" s="1" t="n">
        <v>46178</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13667-2026</t>
        </is>
      </c>
      <c r="B456" s="1" t="n">
        <v>46097</v>
      </c>
      <c r="C456" s="1" t="n">
        <v>46178</v>
      </c>
      <c r="D456" t="inlineStr">
        <is>
          <t>KALMAR LÄN</t>
        </is>
      </c>
      <c r="E456" t="inlineStr">
        <is>
          <t>VIMMERBY</t>
        </is>
      </c>
      <c r="G456" t="n">
        <v>6.8</v>
      </c>
      <c r="H456" t="n">
        <v>0</v>
      </c>
      <c r="I456" t="n">
        <v>0</v>
      </c>
      <c r="J456" t="n">
        <v>0</v>
      </c>
      <c r="K456" t="n">
        <v>0</v>
      </c>
      <c r="L456" t="n">
        <v>0</v>
      </c>
      <c r="M456" t="n">
        <v>0</v>
      </c>
      <c r="N456" t="n">
        <v>0</v>
      </c>
      <c r="O456" t="n">
        <v>0</v>
      </c>
      <c r="P456" t="n">
        <v>0</v>
      </c>
      <c r="Q456" t="n">
        <v>0</v>
      </c>
      <c r="R456" s="2" t="inlineStr"/>
    </row>
    <row r="457" ht="15" customHeight="1">
      <c r="A457" t="inlineStr">
        <is>
          <t>A 53413-2025</t>
        </is>
      </c>
      <c r="B457" s="1" t="n">
        <v>45959.5787037037</v>
      </c>
      <c r="C457" s="1" t="n">
        <v>46178</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13793-2026</t>
        </is>
      </c>
      <c r="B458" s="1" t="n">
        <v>46097.79199074074</v>
      </c>
      <c r="C458" s="1" t="n">
        <v>46178</v>
      </c>
      <c r="D458" t="inlineStr">
        <is>
          <t>KALMAR LÄN</t>
        </is>
      </c>
      <c r="E458" t="inlineStr">
        <is>
          <t>VIMMERBY</t>
        </is>
      </c>
      <c r="G458" t="n">
        <v>2.9</v>
      </c>
      <c r="H458" t="n">
        <v>0</v>
      </c>
      <c r="I458" t="n">
        <v>0</v>
      </c>
      <c r="J458" t="n">
        <v>0</v>
      </c>
      <c r="K458" t="n">
        <v>0</v>
      </c>
      <c r="L458" t="n">
        <v>0</v>
      </c>
      <c r="M458" t="n">
        <v>0</v>
      </c>
      <c r="N458" t="n">
        <v>0</v>
      </c>
      <c r="O458" t="n">
        <v>0</v>
      </c>
      <c r="P458" t="n">
        <v>0</v>
      </c>
      <c r="Q458" t="n">
        <v>0</v>
      </c>
      <c r="R458" s="2" t="inlineStr"/>
    </row>
    <row r="459" ht="15" customHeight="1">
      <c r="A459" t="inlineStr">
        <is>
          <t>A 53903-2025</t>
        </is>
      </c>
      <c r="B459" s="1" t="n">
        <v>45961.43738425926</v>
      </c>
      <c r="C459" s="1" t="n">
        <v>46178</v>
      </c>
      <c r="D459" t="inlineStr">
        <is>
          <t>KALMAR LÄN</t>
        </is>
      </c>
      <c r="E459" t="inlineStr">
        <is>
          <t>VIMMERBY</t>
        </is>
      </c>
      <c r="G459" t="n">
        <v>0.8</v>
      </c>
      <c r="H459" t="n">
        <v>0</v>
      </c>
      <c r="I459" t="n">
        <v>0</v>
      </c>
      <c r="J459" t="n">
        <v>0</v>
      </c>
      <c r="K459" t="n">
        <v>0</v>
      </c>
      <c r="L459" t="n">
        <v>0</v>
      </c>
      <c r="M459" t="n">
        <v>0</v>
      </c>
      <c r="N459" t="n">
        <v>0</v>
      </c>
      <c r="O459" t="n">
        <v>0</v>
      </c>
      <c r="P459" t="n">
        <v>0</v>
      </c>
      <c r="Q459" t="n">
        <v>0</v>
      </c>
      <c r="R459" s="2" t="inlineStr"/>
    </row>
    <row r="460" ht="15" customHeight="1">
      <c r="A460" t="inlineStr">
        <is>
          <t>A 53920-2025</t>
        </is>
      </c>
      <c r="B460" s="1" t="n">
        <v>45961.44951388889</v>
      </c>
      <c r="C460" s="1" t="n">
        <v>46178</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9129-2025</t>
        </is>
      </c>
      <c r="B461" s="1" t="n">
        <v>45713.92412037037</v>
      </c>
      <c r="C461" s="1" t="n">
        <v>46178</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22197-2024</t>
        </is>
      </c>
      <c r="B462" s="1" t="n">
        <v>45446.36774305555</v>
      </c>
      <c r="C462" s="1" t="n">
        <v>46178</v>
      </c>
      <c r="D462" t="inlineStr">
        <is>
          <t>KALMAR LÄN</t>
        </is>
      </c>
      <c r="E462" t="inlineStr">
        <is>
          <t>VIMMERBY</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53752-2024</t>
        </is>
      </c>
      <c r="B463" s="1" t="n">
        <v>45615.48927083334</v>
      </c>
      <c r="C463" s="1" t="n">
        <v>46178</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53789-2025</t>
        </is>
      </c>
      <c r="B464" s="1" t="n">
        <v>45960</v>
      </c>
      <c r="C464" s="1" t="n">
        <v>46178</v>
      </c>
      <c r="D464" t="inlineStr">
        <is>
          <t>KALMAR LÄN</t>
        </is>
      </c>
      <c r="E464" t="inlineStr">
        <is>
          <t>VIMMERBY</t>
        </is>
      </c>
      <c r="F464" t="inlineStr">
        <is>
          <t>Övriga statliga verk och myndigheter</t>
        </is>
      </c>
      <c r="G464" t="n">
        <v>1.6</v>
      </c>
      <c r="H464" t="n">
        <v>0</v>
      </c>
      <c r="I464" t="n">
        <v>0</v>
      </c>
      <c r="J464" t="n">
        <v>0</v>
      </c>
      <c r="K464" t="n">
        <v>0</v>
      </c>
      <c r="L464" t="n">
        <v>0</v>
      </c>
      <c r="M464" t="n">
        <v>0</v>
      </c>
      <c r="N464" t="n">
        <v>0</v>
      </c>
      <c r="O464" t="n">
        <v>0</v>
      </c>
      <c r="P464" t="n">
        <v>0</v>
      </c>
      <c r="Q464" t="n">
        <v>0</v>
      </c>
      <c r="R464" s="2" t="inlineStr"/>
    </row>
    <row r="465" ht="15" customHeight="1">
      <c r="A465" t="inlineStr">
        <is>
          <t>A 53923-2025</t>
        </is>
      </c>
      <c r="B465" s="1" t="n">
        <v>45961.4569212963</v>
      </c>
      <c r="C465" s="1" t="n">
        <v>46178</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13714-2026</t>
        </is>
      </c>
      <c r="B466" s="1" t="n">
        <v>46097.58472222222</v>
      </c>
      <c r="C466" s="1" t="n">
        <v>46178</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14318-2026</t>
        </is>
      </c>
      <c r="B467" s="1" t="n">
        <v>46099.87961805556</v>
      </c>
      <c r="C467" s="1" t="n">
        <v>46178</v>
      </c>
      <c r="D467" t="inlineStr">
        <is>
          <t>KALMAR LÄN</t>
        </is>
      </c>
      <c r="E467" t="inlineStr">
        <is>
          <t>VIMMERBY</t>
        </is>
      </c>
      <c r="G467" t="n">
        <v>0.7</v>
      </c>
      <c r="H467" t="n">
        <v>0</v>
      </c>
      <c r="I467" t="n">
        <v>0</v>
      </c>
      <c r="J467" t="n">
        <v>0</v>
      </c>
      <c r="K467" t="n">
        <v>0</v>
      </c>
      <c r="L467" t="n">
        <v>0</v>
      </c>
      <c r="M467" t="n">
        <v>0</v>
      </c>
      <c r="N467" t="n">
        <v>0</v>
      </c>
      <c r="O467" t="n">
        <v>0</v>
      </c>
      <c r="P467" t="n">
        <v>0</v>
      </c>
      <c r="Q467" t="n">
        <v>0</v>
      </c>
      <c r="R467" s="2" t="inlineStr"/>
    </row>
    <row r="468" ht="15" customHeight="1">
      <c r="A468" t="inlineStr">
        <is>
          <t>A 53933-2025</t>
        </is>
      </c>
      <c r="B468" s="1" t="n">
        <v>45961.47650462963</v>
      </c>
      <c r="C468" s="1" t="n">
        <v>46178</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14279-2026</t>
        </is>
      </c>
      <c r="B469" s="1" t="n">
        <v>46099.66826388889</v>
      </c>
      <c r="C469" s="1" t="n">
        <v>46178</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14320-2026</t>
        </is>
      </c>
      <c r="B470" s="1" t="n">
        <v>46099.88449074074</v>
      </c>
      <c r="C470" s="1" t="n">
        <v>46178</v>
      </c>
      <c r="D470" t="inlineStr">
        <is>
          <t>KALMAR LÄN</t>
        </is>
      </c>
      <c r="E470" t="inlineStr">
        <is>
          <t>VIMMERBY</t>
        </is>
      </c>
      <c r="G470" t="n">
        <v>2.3</v>
      </c>
      <c r="H470" t="n">
        <v>0</v>
      </c>
      <c r="I470" t="n">
        <v>0</v>
      </c>
      <c r="J470" t="n">
        <v>0</v>
      </c>
      <c r="K470" t="n">
        <v>0</v>
      </c>
      <c r="L470" t="n">
        <v>0</v>
      </c>
      <c r="M470" t="n">
        <v>0</v>
      </c>
      <c r="N470" t="n">
        <v>0</v>
      </c>
      <c r="O470" t="n">
        <v>0</v>
      </c>
      <c r="P470" t="n">
        <v>0</v>
      </c>
      <c r="Q470" t="n">
        <v>0</v>
      </c>
      <c r="R470" s="2" t="inlineStr"/>
    </row>
    <row r="471" ht="15" customHeight="1">
      <c r="A471" t="inlineStr">
        <is>
          <t>A 54236-2025</t>
        </is>
      </c>
      <c r="B471" s="1" t="n">
        <v>45964.62671296296</v>
      </c>
      <c r="C471" s="1" t="n">
        <v>46178</v>
      </c>
      <c r="D471" t="inlineStr">
        <is>
          <t>KALMAR LÄN</t>
        </is>
      </c>
      <c r="E471" t="inlineStr">
        <is>
          <t>VIMMERBY</t>
        </is>
      </c>
      <c r="G471" t="n">
        <v>1.3</v>
      </c>
      <c r="H471" t="n">
        <v>0</v>
      </c>
      <c r="I471" t="n">
        <v>0</v>
      </c>
      <c r="J471" t="n">
        <v>0</v>
      </c>
      <c r="K471" t="n">
        <v>0</v>
      </c>
      <c r="L471" t="n">
        <v>0</v>
      </c>
      <c r="M471" t="n">
        <v>0</v>
      </c>
      <c r="N471" t="n">
        <v>0</v>
      </c>
      <c r="O471" t="n">
        <v>0</v>
      </c>
      <c r="P471" t="n">
        <v>0</v>
      </c>
      <c r="Q471" t="n">
        <v>0</v>
      </c>
      <c r="R471" s="2" t="inlineStr"/>
    </row>
    <row r="472" ht="15" customHeight="1">
      <c r="A472" t="inlineStr">
        <is>
          <t>A 14277-2026</t>
        </is>
      </c>
      <c r="B472" s="1" t="n">
        <v>46099.66305555555</v>
      </c>
      <c r="C472" s="1" t="n">
        <v>46178</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14793-2026</t>
        </is>
      </c>
      <c r="B473" s="1" t="n">
        <v>46101.92108796296</v>
      </c>
      <c r="C473" s="1" t="n">
        <v>46178</v>
      </c>
      <c r="D473" t="inlineStr">
        <is>
          <t>KALMAR LÄN</t>
        </is>
      </c>
      <c r="E473" t="inlineStr">
        <is>
          <t>VIMMERBY</t>
        </is>
      </c>
      <c r="G473" t="n">
        <v>5.7</v>
      </c>
      <c r="H473" t="n">
        <v>0</v>
      </c>
      <c r="I473" t="n">
        <v>0</v>
      </c>
      <c r="J473" t="n">
        <v>0</v>
      </c>
      <c r="K473" t="n">
        <v>0</v>
      </c>
      <c r="L473" t="n">
        <v>0</v>
      </c>
      <c r="M473" t="n">
        <v>0</v>
      </c>
      <c r="N473" t="n">
        <v>0</v>
      </c>
      <c r="O473" t="n">
        <v>0</v>
      </c>
      <c r="P473" t="n">
        <v>0</v>
      </c>
      <c r="Q473" t="n">
        <v>0</v>
      </c>
      <c r="R473" s="2" t="inlineStr"/>
    </row>
    <row r="474" ht="15" customHeight="1">
      <c r="A474" t="inlineStr">
        <is>
          <t>A 9710-2023</t>
        </is>
      </c>
      <c r="B474" s="1" t="n">
        <v>44984</v>
      </c>
      <c r="C474" s="1" t="n">
        <v>46178</v>
      </c>
      <c r="D474" t="inlineStr">
        <is>
          <t>KALMAR LÄN</t>
        </is>
      </c>
      <c r="E474" t="inlineStr">
        <is>
          <t>VIMMERBY</t>
        </is>
      </c>
      <c r="G474" t="n">
        <v>3.7</v>
      </c>
      <c r="H474" t="n">
        <v>0</v>
      </c>
      <c r="I474" t="n">
        <v>0</v>
      </c>
      <c r="J474" t="n">
        <v>0</v>
      </c>
      <c r="K474" t="n">
        <v>0</v>
      </c>
      <c r="L474" t="n">
        <v>0</v>
      </c>
      <c r="M474" t="n">
        <v>0</v>
      </c>
      <c r="N474" t="n">
        <v>0</v>
      </c>
      <c r="O474" t="n">
        <v>0</v>
      </c>
      <c r="P474" t="n">
        <v>0</v>
      </c>
      <c r="Q474" t="n">
        <v>0</v>
      </c>
      <c r="R474" s="2" t="inlineStr"/>
    </row>
    <row r="475" ht="15" customHeight="1">
      <c r="A475" t="inlineStr">
        <is>
          <t>A 54234-2025</t>
        </is>
      </c>
      <c r="B475" s="1" t="n">
        <v>45964.62486111111</v>
      </c>
      <c r="C475" s="1" t="n">
        <v>46178</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9720-2023</t>
        </is>
      </c>
      <c r="B476" s="1" t="n">
        <v>44984</v>
      </c>
      <c r="C476" s="1" t="n">
        <v>46178</v>
      </c>
      <c r="D476" t="inlineStr">
        <is>
          <t>KALMAR LÄN</t>
        </is>
      </c>
      <c r="E476" t="inlineStr">
        <is>
          <t>VIMMERBY</t>
        </is>
      </c>
      <c r="G476" t="n">
        <v>4.4</v>
      </c>
      <c r="H476" t="n">
        <v>0</v>
      </c>
      <c r="I476" t="n">
        <v>0</v>
      </c>
      <c r="J476" t="n">
        <v>0</v>
      </c>
      <c r="K476" t="n">
        <v>0</v>
      </c>
      <c r="L476" t="n">
        <v>0</v>
      </c>
      <c r="M476" t="n">
        <v>0</v>
      </c>
      <c r="N476" t="n">
        <v>0</v>
      </c>
      <c r="O476" t="n">
        <v>0</v>
      </c>
      <c r="P476" t="n">
        <v>0</v>
      </c>
      <c r="Q476" t="n">
        <v>0</v>
      </c>
      <c r="R476" s="2" t="inlineStr"/>
    </row>
    <row r="477" ht="15" customHeight="1">
      <c r="A477" t="inlineStr">
        <is>
          <t>A 15493-2023</t>
        </is>
      </c>
      <c r="B477" s="1" t="n">
        <v>45018</v>
      </c>
      <c r="C477" s="1" t="n">
        <v>46178</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14792-2026</t>
        </is>
      </c>
      <c r="B478" s="1" t="n">
        <v>46101.91993055555</v>
      </c>
      <c r="C478" s="1" t="n">
        <v>46178</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15054-2026</t>
        </is>
      </c>
      <c r="B479" s="1" t="n">
        <v>46104.6815162037</v>
      </c>
      <c r="C479" s="1" t="n">
        <v>46178</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15205-2026</t>
        </is>
      </c>
      <c r="B480" s="1" t="n">
        <v>46105.48628472222</v>
      </c>
      <c r="C480" s="1" t="n">
        <v>46178</v>
      </c>
      <c r="D480" t="inlineStr">
        <is>
          <t>KALMAR LÄN</t>
        </is>
      </c>
      <c r="E480" t="inlineStr">
        <is>
          <t>VIMMERBY</t>
        </is>
      </c>
      <c r="G480" t="n">
        <v>2.1</v>
      </c>
      <c r="H480" t="n">
        <v>0</v>
      </c>
      <c r="I480" t="n">
        <v>0</v>
      </c>
      <c r="J480" t="n">
        <v>0</v>
      </c>
      <c r="K480" t="n">
        <v>0</v>
      </c>
      <c r="L480" t="n">
        <v>0</v>
      </c>
      <c r="M480" t="n">
        <v>0</v>
      </c>
      <c r="N480" t="n">
        <v>0</v>
      </c>
      <c r="O480" t="n">
        <v>0</v>
      </c>
      <c r="P480" t="n">
        <v>0</v>
      </c>
      <c r="Q480" t="n">
        <v>0</v>
      </c>
      <c r="R480" s="2" t="inlineStr"/>
    </row>
    <row r="481" ht="15" customHeight="1">
      <c r="A481" t="inlineStr">
        <is>
          <t>A 29093-2023</t>
        </is>
      </c>
      <c r="B481" s="1" t="n">
        <v>45105</v>
      </c>
      <c r="C481" s="1" t="n">
        <v>46178</v>
      </c>
      <c r="D481" t="inlineStr">
        <is>
          <t>KALMAR LÄN</t>
        </is>
      </c>
      <c r="E481" t="inlineStr">
        <is>
          <t>VIMMERBY</t>
        </is>
      </c>
      <c r="G481" t="n">
        <v>2.9</v>
      </c>
      <c r="H481" t="n">
        <v>0</v>
      </c>
      <c r="I481" t="n">
        <v>0</v>
      </c>
      <c r="J481" t="n">
        <v>0</v>
      </c>
      <c r="K481" t="n">
        <v>0</v>
      </c>
      <c r="L481" t="n">
        <v>0</v>
      </c>
      <c r="M481" t="n">
        <v>0</v>
      </c>
      <c r="N481" t="n">
        <v>0</v>
      </c>
      <c r="O481" t="n">
        <v>0</v>
      </c>
      <c r="P481" t="n">
        <v>0</v>
      </c>
      <c r="Q481" t="n">
        <v>0</v>
      </c>
      <c r="R481" s="2" t="inlineStr"/>
    </row>
    <row r="482" ht="15" customHeight="1">
      <c r="A482" t="inlineStr">
        <is>
          <t>A 33352-2022</t>
        </is>
      </c>
      <c r="B482" s="1" t="n">
        <v>44788</v>
      </c>
      <c r="C482" s="1" t="n">
        <v>46178</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22264-2023</t>
        </is>
      </c>
      <c r="B483" s="1" t="n">
        <v>45070.3665625</v>
      </c>
      <c r="C483" s="1" t="n">
        <v>46178</v>
      </c>
      <c r="D483" t="inlineStr">
        <is>
          <t>KALMAR LÄN</t>
        </is>
      </c>
      <c r="E483" t="inlineStr">
        <is>
          <t>VIMMERBY</t>
        </is>
      </c>
      <c r="G483" t="n">
        <v>1</v>
      </c>
      <c r="H483" t="n">
        <v>0</v>
      </c>
      <c r="I483" t="n">
        <v>0</v>
      </c>
      <c r="J483" t="n">
        <v>0</v>
      </c>
      <c r="K483" t="n">
        <v>0</v>
      </c>
      <c r="L483" t="n">
        <v>0</v>
      </c>
      <c r="M483" t="n">
        <v>0</v>
      </c>
      <c r="N483" t="n">
        <v>0</v>
      </c>
      <c r="O483" t="n">
        <v>0</v>
      </c>
      <c r="P483" t="n">
        <v>0</v>
      </c>
      <c r="Q483" t="n">
        <v>0</v>
      </c>
      <c r="R483" s="2" t="inlineStr"/>
    </row>
    <row r="484" ht="15" customHeight="1">
      <c r="A484" t="inlineStr">
        <is>
          <t>A 55603-2025</t>
        </is>
      </c>
      <c r="B484" s="1" t="n">
        <v>45971</v>
      </c>
      <c r="C484" s="1" t="n">
        <v>46178</v>
      </c>
      <c r="D484" t="inlineStr">
        <is>
          <t>KALMAR LÄN</t>
        </is>
      </c>
      <c r="E484" t="inlineStr">
        <is>
          <t>VIMMERBY</t>
        </is>
      </c>
      <c r="G484" t="n">
        <v>0.9</v>
      </c>
      <c r="H484" t="n">
        <v>0</v>
      </c>
      <c r="I484" t="n">
        <v>0</v>
      </c>
      <c r="J484" t="n">
        <v>0</v>
      </c>
      <c r="K484" t="n">
        <v>0</v>
      </c>
      <c r="L484" t="n">
        <v>0</v>
      </c>
      <c r="M484" t="n">
        <v>0</v>
      </c>
      <c r="N484" t="n">
        <v>0</v>
      </c>
      <c r="O484" t="n">
        <v>0</v>
      </c>
      <c r="P484" t="n">
        <v>0</v>
      </c>
      <c r="Q484" t="n">
        <v>0</v>
      </c>
      <c r="R484" s="2" t="inlineStr"/>
    </row>
    <row r="485" ht="15" customHeight="1">
      <c r="A485" t="inlineStr">
        <is>
          <t>A 16676-2023</t>
        </is>
      </c>
      <c r="B485" s="1" t="n">
        <v>45028</v>
      </c>
      <c r="C485" s="1" t="n">
        <v>46178</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21882-2026</t>
        </is>
      </c>
      <c r="B486" s="1" t="n">
        <v>46150.59287037037</v>
      </c>
      <c r="C486" s="1" t="n">
        <v>46178</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55385-2025</t>
        </is>
      </c>
      <c r="B487" s="1" t="n">
        <v>45971.43350694444</v>
      </c>
      <c r="C487" s="1" t="n">
        <v>46178</v>
      </c>
      <c r="D487" t="inlineStr">
        <is>
          <t>KALMAR LÄN</t>
        </is>
      </c>
      <c r="E487" t="inlineStr">
        <is>
          <t>VIMMERBY</t>
        </is>
      </c>
      <c r="G487" t="n">
        <v>5</v>
      </c>
      <c r="H487" t="n">
        <v>0</v>
      </c>
      <c r="I487" t="n">
        <v>0</v>
      </c>
      <c r="J487" t="n">
        <v>0</v>
      </c>
      <c r="K487" t="n">
        <v>0</v>
      </c>
      <c r="L487" t="n">
        <v>0</v>
      </c>
      <c r="M487" t="n">
        <v>0</v>
      </c>
      <c r="N487" t="n">
        <v>0</v>
      </c>
      <c r="O487" t="n">
        <v>0</v>
      </c>
      <c r="P487" t="n">
        <v>0</v>
      </c>
      <c r="Q487" t="n">
        <v>0</v>
      </c>
      <c r="R487" s="2" t="inlineStr"/>
    </row>
    <row r="488" ht="15" customHeight="1">
      <c r="A488" t="inlineStr">
        <is>
          <t>A 24096-2024</t>
        </is>
      </c>
      <c r="B488" s="1" t="n">
        <v>45456.59289351852</v>
      </c>
      <c r="C488" s="1" t="n">
        <v>46178</v>
      </c>
      <c r="D488" t="inlineStr">
        <is>
          <t>KALMAR LÄN</t>
        </is>
      </c>
      <c r="E488" t="inlineStr">
        <is>
          <t>VIMMERBY</t>
        </is>
      </c>
      <c r="G488" t="n">
        <v>2.3</v>
      </c>
      <c r="H488" t="n">
        <v>0</v>
      </c>
      <c r="I488" t="n">
        <v>0</v>
      </c>
      <c r="J488" t="n">
        <v>0</v>
      </c>
      <c r="K488" t="n">
        <v>0</v>
      </c>
      <c r="L488" t="n">
        <v>0</v>
      </c>
      <c r="M488" t="n">
        <v>0</v>
      </c>
      <c r="N488" t="n">
        <v>0</v>
      </c>
      <c r="O488" t="n">
        <v>0</v>
      </c>
      <c r="P488" t="n">
        <v>0</v>
      </c>
      <c r="Q488" t="n">
        <v>0</v>
      </c>
      <c r="R488" s="2" t="inlineStr"/>
    </row>
    <row r="489" ht="15" customHeight="1">
      <c r="A489" t="inlineStr">
        <is>
          <t>A 29013-2024</t>
        </is>
      </c>
      <c r="B489" s="1" t="n">
        <v>45481.55984953704</v>
      </c>
      <c r="C489" s="1" t="n">
        <v>46178</v>
      </c>
      <c r="D489" t="inlineStr">
        <is>
          <t>KALMAR LÄN</t>
        </is>
      </c>
      <c r="E489" t="inlineStr">
        <is>
          <t>VIMMERBY</t>
        </is>
      </c>
      <c r="G489" t="n">
        <v>3.4</v>
      </c>
      <c r="H489" t="n">
        <v>0</v>
      </c>
      <c r="I489" t="n">
        <v>0</v>
      </c>
      <c r="J489" t="n">
        <v>0</v>
      </c>
      <c r="K489" t="n">
        <v>0</v>
      </c>
      <c r="L489" t="n">
        <v>0</v>
      </c>
      <c r="M489" t="n">
        <v>0</v>
      </c>
      <c r="N489" t="n">
        <v>0</v>
      </c>
      <c r="O489" t="n">
        <v>0</v>
      </c>
      <c r="P489" t="n">
        <v>0</v>
      </c>
      <c r="Q489" t="n">
        <v>0</v>
      </c>
      <c r="R489" s="2" t="inlineStr"/>
    </row>
    <row r="490" ht="15" customHeight="1">
      <c r="A490" t="inlineStr">
        <is>
          <t>A 6066-2023</t>
        </is>
      </c>
      <c r="B490" s="1" t="n">
        <v>44964.50894675926</v>
      </c>
      <c r="C490" s="1" t="n">
        <v>46178</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59955-2023</t>
        </is>
      </c>
      <c r="B491" s="1" t="n">
        <v>45257.70313657408</v>
      </c>
      <c r="C491" s="1" t="n">
        <v>46178</v>
      </c>
      <c r="D491" t="inlineStr">
        <is>
          <t>KALMAR LÄN</t>
        </is>
      </c>
      <c r="E491" t="inlineStr">
        <is>
          <t>VIMMERBY</t>
        </is>
      </c>
      <c r="G491" t="n">
        <v>13.8</v>
      </c>
      <c r="H491" t="n">
        <v>0</v>
      </c>
      <c r="I491" t="n">
        <v>0</v>
      </c>
      <c r="J491" t="n">
        <v>0</v>
      </c>
      <c r="K491" t="n">
        <v>0</v>
      </c>
      <c r="L491" t="n">
        <v>0</v>
      </c>
      <c r="M491" t="n">
        <v>0</v>
      </c>
      <c r="N491" t="n">
        <v>0</v>
      </c>
      <c r="O491" t="n">
        <v>0</v>
      </c>
      <c r="P491" t="n">
        <v>0</v>
      </c>
      <c r="Q491" t="n">
        <v>0</v>
      </c>
      <c r="R491" s="2" t="inlineStr"/>
    </row>
    <row r="492" ht="15" customHeight="1">
      <c r="A492" t="inlineStr">
        <is>
          <t>A 36040-2024</t>
        </is>
      </c>
      <c r="B492" s="1" t="n">
        <v>45533.60232638889</v>
      </c>
      <c r="C492" s="1" t="n">
        <v>46178</v>
      </c>
      <c r="D492" t="inlineStr">
        <is>
          <t>KALMAR LÄN</t>
        </is>
      </c>
      <c r="E492" t="inlineStr">
        <is>
          <t>VIMMERBY</t>
        </is>
      </c>
      <c r="F492" t="inlineStr">
        <is>
          <t>Kommuner</t>
        </is>
      </c>
      <c r="G492" t="n">
        <v>3.6</v>
      </c>
      <c r="H492" t="n">
        <v>0</v>
      </c>
      <c r="I492" t="n">
        <v>0</v>
      </c>
      <c r="J492" t="n">
        <v>0</v>
      </c>
      <c r="K492" t="n">
        <v>0</v>
      </c>
      <c r="L492" t="n">
        <v>0</v>
      </c>
      <c r="M492" t="n">
        <v>0</v>
      </c>
      <c r="N492" t="n">
        <v>0</v>
      </c>
      <c r="O492" t="n">
        <v>0</v>
      </c>
      <c r="P492" t="n">
        <v>0</v>
      </c>
      <c r="Q492" t="n">
        <v>0</v>
      </c>
      <c r="R492" s="2" t="inlineStr"/>
    </row>
    <row r="493" ht="15" customHeight="1">
      <c r="A493" t="inlineStr">
        <is>
          <t>A 36043-2024</t>
        </is>
      </c>
      <c r="B493" s="1" t="n">
        <v>45533.60770833334</v>
      </c>
      <c r="C493" s="1" t="n">
        <v>46178</v>
      </c>
      <c r="D493" t="inlineStr">
        <is>
          <t>KALMAR LÄN</t>
        </is>
      </c>
      <c r="E493" t="inlineStr">
        <is>
          <t>VIMMERBY</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12890-2023</t>
        </is>
      </c>
      <c r="B494" s="1" t="n">
        <v>45001.59209490741</v>
      </c>
      <c r="C494" s="1" t="n">
        <v>46178</v>
      </c>
      <c r="D494" t="inlineStr">
        <is>
          <t>KALMAR LÄN</t>
        </is>
      </c>
      <c r="E494" t="inlineStr">
        <is>
          <t>VIMMERBY</t>
        </is>
      </c>
      <c r="G494" t="n">
        <v>2.8</v>
      </c>
      <c r="H494" t="n">
        <v>0</v>
      </c>
      <c r="I494" t="n">
        <v>0</v>
      </c>
      <c r="J494" t="n">
        <v>0</v>
      </c>
      <c r="K494" t="n">
        <v>0</v>
      </c>
      <c r="L494" t="n">
        <v>0</v>
      </c>
      <c r="M494" t="n">
        <v>0</v>
      </c>
      <c r="N494" t="n">
        <v>0</v>
      </c>
      <c r="O494" t="n">
        <v>0</v>
      </c>
      <c r="P494" t="n">
        <v>0</v>
      </c>
      <c r="Q494" t="n">
        <v>0</v>
      </c>
      <c r="R494" s="2" t="inlineStr"/>
    </row>
    <row r="495" ht="15" customHeight="1">
      <c r="A495" t="inlineStr">
        <is>
          <t>A 43594-2024</t>
        </is>
      </c>
      <c r="B495" s="1" t="n">
        <v>45569.44295138889</v>
      </c>
      <c r="C495" s="1" t="n">
        <v>46178</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53482-2022</t>
        </is>
      </c>
      <c r="B496" s="1" t="n">
        <v>44879</v>
      </c>
      <c r="C496" s="1" t="n">
        <v>46178</v>
      </c>
      <c r="D496" t="inlineStr">
        <is>
          <t>KALMAR LÄN</t>
        </is>
      </c>
      <c r="E496" t="inlineStr">
        <is>
          <t>VIMMERBY</t>
        </is>
      </c>
      <c r="G496" t="n">
        <v>10.1</v>
      </c>
      <c r="H496" t="n">
        <v>0</v>
      </c>
      <c r="I496" t="n">
        <v>0</v>
      </c>
      <c r="J496" t="n">
        <v>0</v>
      </c>
      <c r="K496" t="n">
        <v>0</v>
      </c>
      <c r="L496" t="n">
        <v>0</v>
      </c>
      <c r="M496" t="n">
        <v>0</v>
      </c>
      <c r="N496" t="n">
        <v>0</v>
      </c>
      <c r="O496" t="n">
        <v>0</v>
      </c>
      <c r="P496" t="n">
        <v>0</v>
      </c>
      <c r="Q496" t="n">
        <v>0</v>
      </c>
      <c r="R496" s="2" t="inlineStr"/>
    </row>
    <row r="497" ht="15" customHeight="1">
      <c r="A497" t="inlineStr">
        <is>
          <t>A 16183-2026</t>
        </is>
      </c>
      <c r="B497" s="1" t="n">
        <v>46111</v>
      </c>
      <c r="C497" s="1" t="n">
        <v>46178</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16648-2026</t>
        </is>
      </c>
      <c r="B498" s="1" t="n">
        <v>46112.64032407408</v>
      </c>
      <c r="C498" s="1" t="n">
        <v>46178</v>
      </c>
      <c r="D498" t="inlineStr">
        <is>
          <t>KALMAR LÄN</t>
        </is>
      </c>
      <c r="E498" t="inlineStr">
        <is>
          <t>VIMMERBY</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16656-2026</t>
        </is>
      </c>
      <c r="B499" s="1" t="n">
        <v>46112.65111111111</v>
      </c>
      <c r="C499" s="1" t="n">
        <v>46178</v>
      </c>
      <c r="D499" t="inlineStr">
        <is>
          <t>KALMAR LÄN</t>
        </is>
      </c>
      <c r="E499" t="inlineStr">
        <is>
          <t>VIMMERBY</t>
        </is>
      </c>
      <c r="F499" t="inlineStr">
        <is>
          <t>Kommuner</t>
        </is>
      </c>
      <c r="G499" t="n">
        <v>5.5</v>
      </c>
      <c r="H499" t="n">
        <v>0</v>
      </c>
      <c r="I499" t="n">
        <v>0</v>
      </c>
      <c r="J499" t="n">
        <v>0</v>
      </c>
      <c r="K499" t="n">
        <v>0</v>
      </c>
      <c r="L499" t="n">
        <v>0</v>
      </c>
      <c r="M499" t="n">
        <v>0</v>
      </c>
      <c r="N499" t="n">
        <v>0</v>
      </c>
      <c r="O499" t="n">
        <v>0</v>
      </c>
      <c r="P499" t="n">
        <v>0</v>
      </c>
      <c r="Q499" t="n">
        <v>0</v>
      </c>
      <c r="R499" s="2" t="inlineStr"/>
    </row>
    <row r="500" ht="15" customHeight="1">
      <c r="A500" t="inlineStr">
        <is>
          <t>A 27761-2024</t>
        </is>
      </c>
      <c r="B500" s="1" t="n">
        <v>45475.49018518518</v>
      </c>
      <c r="C500" s="1" t="n">
        <v>46178</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64203-2021</t>
        </is>
      </c>
      <c r="B501" s="1" t="n">
        <v>44510.60921296296</v>
      </c>
      <c r="C501" s="1" t="n">
        <v>46178</v>
      </c>
      <c r="D501" t="inlineStr">
        <is>
          <t>KALMAR LÄN</t>
        </is>
      </c>
      <c r="E501" t="inlineStr">
        <is>
          <t>VIMMERBY</t>
        </is>
      </c>
      <c r="F501" t="inlineStr">
        <is>
          <t>Övriga Aktiebolag</t>
        </is>
      </c>
      <c r="G501" t="n">
        <v>5.4</v>
      </c>
      <c r="H501" t="n">
        <v>0</v>
      </c>
      <c r="I501" t="n">
        <v>0</v>
      </c>
      <c r="J501" t="n">
        <v>0</v>
      </c>
      <c r="K501" t="n">
        <v>0</v>
      </c>
      <c r="L501" t="n">
        <v>0</v>
      </c>
      <c r="M501" t="n">
        <v>0</v>
      </c>
      <c r="N501" t="n">
        <v>0</v>
      </c>
      <c r="O501" t="n">
        <v>0</v>
      </c>
      <c r="P501" t="n">
        <v>0</v>
      </c>
      <c r="Q501" t="n">
        <v>0</v>
      </c>
      <c r="R501" s="2" t="inlineStr"/>
    </row>
    <row r="502" ht="15" customHeight="1">
      <c r="A502" t="inlineStr">
        <is>
          <t>A 16617-2026</t>
        </is>
      </c>
      <c r="B502" s="1" t="n">
        <v>46112.60607638889</v>
      </c>
      <c r="C502" s="1" t="n">
        <v>46178</v>
      </c>
      <c r="D502" t="inlineStr">
        <is>
          <t>KALMAR LÄN</t>
        </is>
      </c>
      <c r="E502" t="inlineStr">
        <is>
          <t>VIMMERBY</t>
        </is>
      </c>
      <c r="F502" t="inlineStr">
        <is>
          <t>Kommuner</t>
        </is>
      </c>
      <c r="G502" t="n">
        <v>0.6</v>
      </c>
      <c r="H502" t="n">
        <v>0</v>
      </c>
      <c r="I502" t="n">
        <v>0</v>
      </c>
      <c r="J502" t="n">
        <v>0</v>
      </c>
      <c r="K502" t="n">
        <v>0</v>
      </c>
      <c r="L502" t="n">
        <v>0</v>
      </c>
      <c r="M502" t="n">
        <v>0</v>
      </c>
      <c r="N502" t="n">
        <v>0</v>
      </c>
      <c r="O502" t="n">
        <v>0</v>
      </c>
      <c r="P502" t="n">
        <v>0</v>
      </c>
      <c r="Q502" t="n">
        <v>0</v>
      </c>
      <c r="R502" s="2" t="inlineStr"/>
    </row>
    <row r="503" ht="15" customHeight="1">
      <c r="A503" t="inlineStr">
        <is>
          <t>A 5720-2023</t>
        </is>
      </c>
      <c r="B503" s="1" t="n">
        <v>44961</v>
      </c>
      <c r="C503" s="1" t="n">
        <v>46178</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16672-2026</t>
        </is>
      </c>
      <c r="B504" s="1" t="n">
        <v>46112.67336805556</v>
      </c>
      <c r="C504" s="1" t="n">
        <v>46178</v>
      </c>
      <c r="D504" t="inlineStr">
        <is>
          <t>KALMAR LÄN</t>
        </is>
      </c>
      <c r="E504" t="inlineStr">
        <is>
          <t>VIMMERBY</t>
        </is>
      </c>
      <c r="F504" t="inlineStr">
        <is>
          <t>Kommuner</t>
        </is>
      </c>
      <c r="G504" t="n">
        <v>1.4</v>
      </c>
      <c r="H504" t="n">
        <v>0</v>
      </c>
      <c r="I504" t="n">
        <v>0</v>
      </c>
      <c r="J504" t="n">
        <v>0</v>
      </c>
      <c r="K504" t="n">
        <v>0</v>
      </c>
      <c r="L504" t="n">
        <v>0</v>
      </c>
      <c r="M504" t="n">
        <v>0</v>
      </c>
      <c r="N504" t="n">
        <v>0</v>
      </c>
      <c r="O504" t="n">
        <v>0</v>
      </c>
      <c r="P504" t="n">
        <v>0</v>
      </c>
      <c r="Q504" t="n">
        <v>0</v>
      </c>
      <c r="R504" s="2" t="inlineStr"/>
    </row>
    <row r="505" ht="15" customHeight="1">
      <c r="A505" t="inlineStr">
        <is>
          <t>A 9643-2023</t>
        </is>
      </c>
      <c r="B505" s="1" t="n">
        <v>44984</v>
      </c>
      <c r="C505" s="1" t="n">
        <v>46178</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16653-2026</t>
        </is>
      </c>
      <c r="B506" s="1" t="n">
        <v>46112.64597222222</v>
      </c>
      <c r="C506" s="1" t="n">
        <v>46178</v>
      </c>
      <c r="D506" t="inlineStr">
        <is>
          <t>KALMAR LÄN</t>
        </is>
      </c>
      <c r="E506" t="inlineStr">
        <is>
          <t>VIMMERBY</t>
        </is>
      </c>
      <c r="F506" t="inlineStr">
        <is>
          <t>Kommuner</t>
        </is>
      </c>
      <c r="G506" t="n">
        <v>4.4</v>
      </c>
      <c r="H506" t="n">
        <v>0</v>
      </c>
      <c r="I506" t="n">
        <v>0</v>
      </c>
      <c r="J506" t="n">
        <v>0</v>
      </c>
      <c r="K506" t="n">
        <v>0</v>
      </c>
      <c r="L506" t="n">
        <v>0</v>
      </c>
      <c r="M506" t="n">
        <v>0</v>
      </c>
      <c r="N506" t="n">
        <v>0</v>
      </c>
      <c r="O506" t="n">
        <v>0</v>
      </c>
      <c r="P506" t="n">
        <v>0</v>
      </c>
      <c r="Q506" t="n">
        <v>0</v>
      </c>
      <c r="R506" s="2" t="inlineStr"/>
    </row>
    <row r="507" ht="15" customHeight="1">
      <c r="A507" t="inlineStr">
        <is>
          <t>A 16675-2026</t>
        </is>
      </c>
      <c r="B507" s="1" t="n">
        <v>46112.68202546296</v>
      </c>
      <c r="C507" s="1" t="n">
        <v>46178</v>
      </c>
      <c r="D507" t="inlineStr">
        <is>
          <t>KALMAR LÄN</t>
        </is>
      </c>
      <c r="E507" t="inlineStr">
        <is>
          <t>VIMMERBY</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16632-2026</t>
        </is>
      </c>
      <c r="B508" s="1" t="n">
        <v>46112.62212962963</v>
      </c>
      <c r="C508" s="1" t="n">
        <v>46178</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16678-2026</t>
        </is>
      </c>
      <c r="B509" s="1" t="n">
        <v>46112.69435185185</v>
      </c>
      <c r="C509" s="1" t="n">
        <v>46178</v>
      </c>
      <c r="D509" t="inlineStr">
        <is>
          <t>KALMAR LÄN</t>
        </is>
      </c>
      <c r="E509" t="inlineStr">
        <is>
          <t>VIMMERBY</t>
        </is>
      </c>
      <c r="F509" t="inlineStr">
        <is>
          <t>Kommuner</t>
        </is>
      </c>
      <c r="G509" t="n">
        <v>1.6</v>
      </c>
      <c r="H509" t="n">
        <v>0</v>
      </c>
      <c r="I509" t="n">
        <v>0</v>
      </c>
      <c r="J509" t="n">
        <v>0</v>
      </c>
      <c r="K509" t="n">
        <v>0</v>
      </c>
      <c r="L509" t="n">
        <v>0</v>
      </c>
      <c r="M509" t="n">
        <v>0</v>
      </c>
      <c r="N509" t="n">
        <v>0</v>
      </c>
      <c r="O509" t="n">
        <v>0</v>
      </c>
      <c r="P509" t="n">
        <v>0</v>
      </c>
      <c r="Q509" t="n">
        <v>0</v>
      </c>
      <c r="R509" s="2" t="inlineStr"/>
    </row>
    <row r="510" ht="15" customHeight="1">
      <c r="A510" t="inlineStr">
        <is>
          <t>A 25728-2023</t>
        </is>
      </c>
      <c r="B510" s="1" t="n">
        <v>45090.38012731481</v>
      </c>
      <c r="C510" s="1" t="n">
        <v>46178</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16799-2026</t>
        </is>
      </c>
      <c r="B511" s="1" t="n">
        <v>46113.47913194444</v>
      </c>
      <c r="C511" s="1" t="n">
        <v>46178</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16823-2026</t>
        </is>
      </c>
      <c r="B512" s="1" t="n">
        <v>46113.51649305555</v>
      </c>
      <c r="C512" s="1" t="n">
        <v>46178</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16870-2026</t>
        </is>
      </c>
      <c r="B513" s="1" t="n">
        <v>46113.5822800926</v>
      </c>
      <c r="C513" s="1" t="n">
        <v>46178</v>
      </c>
      <c r="D513" t="inlineStr">
        <is>
          <t>KALMAR LÄN</t>
        </is>
      </c>
      <c r="E513" t="inlineStr">
        <is>
          <t>VIMMERBY</t>
        </is>
      </c>
      <c r="G513" t="n">
        <v>2</v>
      </c>
      <c r="H513" t="n">
        <v>0</v>
      </c>
      <c r="I513" t="n">
        <v>0</v>
      </c>
      <c r="J513" t="n">
        <v>0</v>
      </c>
      <c r="K513" t="n">
        <v>0</v>
      </c>
      <c r="L513" t="n">
        <v>0</v>
      </c>
      <c r="M513" t="n">
        <v>0</v>
      </c>
      <c r="N513" t="n">
        <v>0</v>
      </c>
      <c r="O513" t="n">
        <v>0</v>
      </c>
      <c r="P513" t="n">
        <v>0</v>
      </c>
      <c r="Q513" t="n">
        <v>0</v>
      </c>
      <c r="R513" s="2" t="inlineStr"/>
    </row>
    <row r="514" ht="15" customHeight="1">
      <c r="A514" t="inlineStr">
        <is>
          <t>A 16801-2026</t>
        </is>
      </c>
      <c r="B514" s="1" t="n">
        <v>46113.48400462963</v>
      </c>
      <c r="C514" s="1" t="n">
        <v>46178</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41311-2023</t>
        </is>
      </c>
      <c r="B515" s="1" t="n">
        <v>45174</v>
      </c>
      <c r="C515" s="1" t="n">
        <v>46178</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16795-2026</t>
        </is>
      </c>
      <c r="B516" s="1" t="n">
        <v>46113.47216435185</v>
      </c>
      <c r="C516" s="1" t="n">
        <v>46178</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26318-2023</t>
        </is>
      </c>
      <c r="B517" s="1" t="n">
        <v>45091.67936342592</v>
      </c>
      <c r="C517" s="1" t="n">
        <v>46178</v>
      </c>
      <c r="D517" t="inlineStr">
        <is>
          <t>KALMAR LÄN</t>
        </is>
      </c>
      <c r="E517" t="inlineStr">
        <is>
          <t>VIMMERBY</t>
        </is>
      </c>
      <c r="G517" t="n">
        <v>3.8</v>
      </c>
      <c r="H517" t="n">
        <v>0</v>
      </c>
      <c r="I517" t="n">
        <v>0</v>
      </c>
      <c r="J517" t="n">
        <v>0</v>
      </c>
      <c r="K517" t="n">
        <v>0</v>
      </c>
      <c r="L517" t="n">
        <v>0</v>
      </c>
      <c r="M517" t="n">
        <v>0</v>
      </c>
      <c r="N517" t="n">
        <v>0</v>
      </c>
      <c r="O517" t="n">
        <v>0</v>
      </c>
      <c r="P517" t="n">
        <v>0</v>
      </c>
      <c r="Q517" t="n">
        <v>0</v>
      </c>
      <c r="R517" s="2" t="inlineStr"/>
    </row>
    <row r="518" ht="15" customHeight="1">
      <c r="A518" t="inlineStr">
        <is>
          <t>A 57728-2025</t>
        </is>
      </c>
      <c r="B518" s="1" t="n">
        <v>45981</v>
      </c>
      <c r="C518" s="1" t="n">
        <v>46178</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58503-2025</t>
        </is>
      </c>
      <c r="B519" s="1" t="n">
        <v>45985.69509259259</v>
      </c>
      <c r="C519" s="1" t="n">
        <v>46178</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58498-2025</t>
        </is>
      </c>
      <c r="B520" s="1" t="n">
        <v>45985.68671296296</v>
      </c>
      <c r="C520" s="1" t="n">
        <v>46178</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58501-2025</t>
        </is>
      </c>
      <c r="B521" s="1" t="n">
        <v>45985.69153935185</v>
      </c>
      <c r="C521" s="1" t="n">
        <v>46178</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61355-2024</t>
        </is>
      </c>
      <c r="B522" s="1" t="n">
        <v>45646.38200231481</v>
      </c>
      <c r="C522" s="1" t="n">
        <v>46178</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58446-2025</t>
        </is>
      </c>
      <c r="B523" s="1" t="n">
        <v>45985.62168981481</v>
      </c>
      <c r="C523" s="1" t="n">
        <v>46178</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58500-2025</t>
        </is>
      </c>
      <c r="B524" s="1" t="n">
        <v>45985.69008101852</v>
      </c>
      <c r="C524" s="1" t="n">
        <v>46178</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36802-2021</t>
        </is>
      </c>
      <c r="B525" s="1" t="n">
        <v>44392</v>
      </c>
      <c r="C525" s="1" t="n">
        <v>46178</v>
      </c>
      <c r="D525" t="inlineStr">
        <is>
          <t>KALMAR LÄN</t>
        </is>
      </c>
      <c r="E525" t="inlineStr">
        <is>
          <t>VIMMERBY</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58841-2025</t>
        </is>
      </c>
      <c r="B526" s="1" t="n">
        <v>45987.36275462963</v>
      </c>
      <c r="C526" s="1" t="n">
        <v>46178</v>
      </c>
      <c r="D526" t="inlineStr">
        <is>
          <t>KALMAR LÄN</t>
        </is>
      </c>
      <c r="E526" t="inlineStr">
        <is>
          <t>VIMMERBY</t>
        </is>
      </c>
      <c r="G526" t="n">
        <v>3.5</v>
      </c>
      <c r="H526" t="n">
        <v>0</v>
      </c>
      <c r="I526" t="n">
        <v>0</v>
      </c>
      <c r="J526" t="n">
        <v>0</v>
      </c>
      <c r="K526" t="n">
        <v>0</v>
      </c>
      <c r="L526" t="n">
        <v>0</v>
      </c>
      <c r="M526" t="n">
        <v>0</v>
      </c>
      <c r="N526" t="n">
        <v>0</v>
      </c>
      <c r="O526" t="n">
        <v>0</v>
      </c>
      <c r="P526" t="n">
        <v>0</v>
      </c>
      <c r="Q526" t="n">
        <v>0</v>
      </c>
      <c r="R526" s="2" t="inlineStr"/>
    </row>
    <row r="527" ht="15" customHeight="1">
      <c r="A527" t="inlineStr">
        <is>
          <t>A 58858-2025</t>
        </is>
      </c>
      <c r="B527" s="1" t="n">
        <v>45987.4243287037</v>
      </c>
      <c r="C527" s="1" t="n">
        <v>46178</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17713-2026</t>
        </is>
      </c>
      <c r="B528" s="1" t="n">
        <v>46121.72810185186</v>
      </c>
      <c r="C528" s="1" t="n">
        <v>46178</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38198-2024</t>
        </is>
      </c>
      <c r="B529" s="1" t="n">
        <v>45545.49508101852</v>
      </c>
      <c r="C529" s="1" t="n">
        <v>46178</v>
      </c>
      <c r="D529" t="inlineStr">
        <is>
          <t>KALMAR LÄN</t>
        </is>
      </c>
      <c r="E529" t="inlineStr">
        <is>
          <t>VIMMERBY</t>
        </is>
      </c>
      <c r="G529" t="n">
        <v>7.9</v>
      </c>
      <c r="H529" t="n">
        <v>0</v>
      </c>
      <c r="I529" t="n">
        <v>0</v>
      </c>
      <c r="J529" t="n">
        <v>0</v>
      </c>
      <c r="K529" t="n">
        <v>0</v>
      </c>
      <c r="L529" t="n">
        <v>0</v>
      </c>
      <c r="M529" t="n">
        <v>0</v>
      </c>
      <c r="N529" t="n">
        <v>0</v>
      </c>
      <c r="O529" t="n">
        <v>0</v>
      </c>
      <c r="P529" t="n">
        <v>0</v>
      </c>
      <c r="Q529" t="n">
        <v>0</v>
      </c>
      <c r="R529" s="2" t="inlineStr"/>
    </row>
    <row r="530" ht="15" customHeight="1">
      <c r="A530" t="inlineStr">
        <is>
          <t>A 9623-2024</t>
        </is>
      </c>
      <c r="B530" s="1" t="n">
        <v>45361.87975694444</v>
      </c>
      <c r="C530" s="1" t="n">
        <v>46178</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58967-2022</t>
        </is>
      </c>
      <c r="B531" s="1" t="n">
        <v>44896</v>
      </c>
      <c r="C531" s="1" t="n">
        <v>46178</v>
      </c>
      <c r="D531" t="inlineStr">
        <is>
          <t>KALMAR LÄN</t>
        </is>
      </c>
      <c r="E531" t="inlineStr">
        <is>
          <t>VIMMERBY</t>
        </is>
      </c>
      <c r="G531" t="n">
        <v>5</v>
      </c>
      <c r="H531" t="n">
        <v>0</v>
      </c>
      <c r="I531" t="n">
        <v>0</v>
      </c>
      <c r="J531" t="n">
        <v>0</v>
      </c>
      <c r="K531" t="n">
        <v>0</v>
      </c>
      <c r="L531" t="n">
        <v>0</v>
      </c>
      <c r="M531" t="n">
        <v>0</v>
      </c>
      <c r="N531" t="n">
        <v>0</v>
      </c>
      <c r="O531" t="n">
        <v>0</v>
      </c>
      <c r="P531" t="n">
        <v>0</v>
      </c>
      <c r="Q531" t="n">
        <v>0</v>
      </c>
      <c r="R531" s="2" t="inlineStr"/>
    </row>
    <row r="532" ht="15" customHeight="1">
      <c r="A532" t="inlineStr">
        <is>
          <t>A 59039-2025</t>
        </is>
      </c>
      <c r="B532" s="1" t="n">
        <v>45988.36790509259</v>
      </c>
      <c r="C532" s="1" t="n">
        <v>46178</v>
      </c>
      <c r="D532" t="inlineStr">
        <is>
          <t>KALMAR LÄN</t>
        </is>
      </c>
      <c r="E532" t="inlineStr">
        <is>
          <t>VIMMERBY</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6399-2025</t>
        </is>
      </c>
      <c r="B533" s="1" t="n">
        <v>45699.44291666667</v>
      </c>
      <c r="C533" s="1" t="n">
        <v>46178</v>
      </c>
      <c r="D533" t="inlineStr">
        <is>
          <t>KALMAR LÄN</t>
        </is>
      </c>
      <c r="E533" t="inlineStr">
        <is>
          <t>VIMMERBY</t>
        </is>
      </c>
      <c r="G533" t="n">
        <v>3.1</v>
      </c>
      <c r="H533" t="n">
        <v>0</v>
      </c>
      <c r="I533" t="n">
        <v>0</v>
      </c>
      <c r="J533" t="n">
        <v>0</v>
      </c>
      <c r="K533" t="n">
        <v>0</v>
      </c>
      <c r="L533" t="n">
        <v>0</v>
      </c>
      <c r="M533" t="n">
        <v>0</v>
      </c>
      <c r="N533" t="n">
        <v>0</v>
      </c>
      <c r="O533" t="n">
        <v>0</v>
      </c>
      <c r="P533" t="n">
        <v>0</v>
      </c>
      <c r="Q533" t="n">
        <v>0</v>
      </c>
      <c r="R533" s="2" t="inlineStr"/>
    </row>
    <row r="534" ht="15" customHeight="1">
      <c r="A534" t="inlineStr">
        <is>
          <t>A 31355-2023</t>
        </is>
      </c>
      <c r="B534" s="1" t="n">
        <v>45114.49505787037</v>
      </c>
      <c r="C534" s="1" t="n">
        <v>46178</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59034-2025</t>
        </is>
      </c>
      <c r="B535" s="1" t="n">
        <v>45988.36243055556</v>
      </c>
      <c r="C535" s="1" t="n">
        <v>46178</v>
      </c>
      <c r="D535" t="inlineStr">
        <is>
          <t>KALMAR LÄN</t>
        </is>
      </c>
      <c r="E535" t="inlineStr">
        <is>
          <t>VIMMERBY</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18122-2026</t>
        </is>
      </c>
      <c r="B536" s="1" t="n">
        <v>46125.58524305555</v>
      </c>
      <c r="C536" s="1" t="n">
        <v>46178</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30400-2023</t>
        </is>
      </c>
      <c r="B537" s="1" t="n">
        <v>45111.48225694444</v>
      </c>
      <c r="C537" s="1" t="n">
        <v>46178</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30404-2023</t>
        </is>
      </c>
      <c r="B538" s="1" t="n">
        <v>45111.48636574074</v>
      </c>
      <c r="C538" s="1" t="n">
        <v>46178</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59037-2025</t>
        </is>
      </c>
      <c r="B539" s="1" t="n">
        <v>45988.36508101852</v>
      </c>
      <c r="C539" s="1" t="n">
        <v>46178</v>
      </c>
      <c r="D539" t="inlineStr">
        <is>
          <t>KALMAR LÄN</t>
        </is>
      </c>
      <c r="E539" t="inlineStr">
        <is>
          <t>VIMMERBY</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59068-2025</t>
        </is>
      </c>
      <c r="B540" s="1" t="n">
        <v>45988.41725694444</v>
      </c>
      <c r="C540" s="1" t="n">
        <v>46178</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27705-2023</t>
        </is>
      </c>
      <c r="B541" s="1" t="n">
        <v>45098.30535879629</v>
      </c>
      <c r="C541" s="1" t="n">
        <v>46178</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59579-2025</t>
        </is>
      </c>
      <c r="B542" s="1" t="n">
        <v>45992.30569444445</v>
      </c>
      <c r="C542" s="1" t="n">
        <v>46178</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18633-2026</t>
        </is>
      </c>
      <c r="B543" s="1" t="n">
        <v>46128.26289351852</v>
      </c>
      <c r="C543" s="1" t="n">
        <v>46178</v>
      </c>
      <c r="D543" t="inlineStr">
        <is>
          <t>KALMAR LÄN</t>
        </is>
      </c>
      <c r="E543" t="inlineStr">
        <is>
          <t>VIMMERBY</t>
        </is>
      </c>
      <c r="G543" t="n">
        <v>2</v>
      </c>
      <c r="H543" t="n">
        <v>0</v>
      </c>
      <c r="I543" t="n">
        <v>0</v>
      </c>
      <c r="J543" t="n">
        <v>0</v>
      </c>
      <c r="K543" t="n">
        <v>0</v>
      </c>
      <c r="L543" t="n">
        <v>0</v>
      </c>
      <c r="M543" t="n">
        <v>0</v>
      </c>
      <c r="N543" t="n">
        <v>0</v>
      </c>
      <c r="O543" t="n">
        <v>0</v>
      </c>
      <c r="P543" t="n">
        <v>0</v>
      </c>
      <c r="Q543" t="n">
        <v>0</v>
      </c>
      <c r="R543" s="2" t="inlineStr"/>
    </row>
    <row r="544" ht="15" customHeight="1">
      <c r="A544" t="inlineStr">
        <is>
          <t>A 36843-2023</t>
        </is>
      </c>
      <c r="B544" s="1" t="n">
        <v>45154.49831018518</v>
      </c>
      <c r="C544" s="1" t="n">
        <v>46178</v>
      </c>
      <c r="D544" t="inlineStr">
        <is>
          <t>KALMAR LÄN</t>
        </is>
      </c>
      <c r="E544" t="inlineStr">
        <is>
          <t>VIMMERBY</t>
        </is>
      </c>
      <c r="G544" t="n">
        <v>2</v>
      </c>
      <c r="H544" t="n">
        <v>0</v>
      </c>
      <c r="I544" t="n">
        <v>0</v>
      </c>
      <c r="J544" t="n">
        <v>0</v>
      </c>
      <c r="K544" t="n">
        <v>0</v>
      </c>
      <c r="L544" t="n">
        <v>0</v>
      </c>
      <c r="M544" t="n">
        <v>0</v>
      </c>
      <c r="N544" t="n">
        <v>0</v>
      </c>
      <c r="O544" t="n">
        <v>0</v>
      </c>
      <c r="P544" t="n">
        <v>0</v>
      </c>
      <c r="Q544" t="n">
        <v>0</v>
      </c>
      <c r="R544" s="2" t="inlineStr"/>
    </row>
    <row r="545" ht="15" customHeight="1">
      <c r="A545" t="inlineStr">
        <is>
          <t>A 60180-2025</t>
        </is>
      </c>
      <c r="B545" s="1" t="n">
        <v>45994.46428240741</v>
      </c>
      <c r="C545" s="1" t="n">
        <v>46178</v>
      </c>
      <c r="D545" t="inlineStr">
        <is>
          <t>KALMAR LÄN</t>
        </is>
      </c>
      <c r="E545" t="inlineStr">
        <is>
          <t>VIMMERBY</t>
        </is>
      </c>
      <c r="G545" t="n">
        <v>6.8</v>
      </c>
      <c r="H545" t="n">
        <v>0</v>
      </c>
      <c r="I545" t="n">
        <v>0</v>
      </c>
      <c r="J545" t="n">
        <v>0</v>
      </c>
      <c r="K545" t="n">
        <v>0</v>
      </c>
      <c r="L545" t="n">
        <v>0</v>
      </c>
      <c r="M545" t="n">
        <v>0</v>
      </c>
      <c r="N545" t="n">
        <v>0</v>
      </c>
      <c r="O545" t="n">
        <v>0</v>
      </c>
      <c r="P545" t="n">
        <v>0</v>
      </c>
      <c r="Q545" t="n">
        <v>0</v>
      </c>
      <c r="R545" s="2" t="inlineStr"/>
    </row>
    <row r="546" ht="15" customHeight="1">
      <c r="A546" t="inlineStr">
        <is>
          <t>A 10785-2025</t>
        </is>
      </c>
      <c r="B546" s="1" t="n">
        <v>45722.48634259259</v>
      </c>
      <c r="C546" s="1" t="n">
        <v>46178</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60297-2025</t>
        </is>
      </c>
      <c r="B547" s="1" t="n">
        <v>45994</v>
      </c>
      <c r="C547" s="1" t="n">
        <v>46178</v>
      </c>
      <c r="D547" t="inlineStr">
        <is>
          <t>KALMAR LÄN</t>
        </is>
      </c>
      <c r="E547" t="inlineStr">
        <is>
          <t>VIMMERBY</t>
        </is>
      </c>
      <c r="G547" t="n">
        <v>4.2</v>
      </c>
      <c r="H547" t="n">
        <v>0</v>
      </c>
      <c r="I547" t="n">
        <v>0</v>
      </c>
      <c r="J547" t="n">
        <v>0</v>
      </c>
      <c r="K547" t="n">
        <v>0</v>
      </c>
      <c r="L547" t="n">
        <v>0</v>
      </c>
      <c r="M547" t="n">
        <v>0</v>
      </c>
      <c r="N547" t="n">
        <v>0</v>
      </c>
      <c r="O547" t="n">
        <v>0</v>
      </c>
      <c r="P547" t="n">
        <v>0</v>
      </c>
      <c r="Q547" t="n">
        <v>0</v>
      </c>
      <c r="R547" s="2" t="inlineStr"/>
    </row>
    <row r="548" ht="15" customHeight="1">
      <c r="A548" t="inlineStr">
        <is>
          <t>A 29017-2024</t>
        </is>
      </c>
      <c r="B548" s="1" t="n">
        <v>45481.56722222222</v>
      </c>
      <c r="C548" s="1" t="n">
        <v>46178</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23263-2024</t>
        </is>
      </c>
      <c r="B549" s="1" t="n">
        <v>45453.36854166666</v>
      </c>
      <c r="C549" s="1" t="n">
        <v>46178</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11074-2023</t>
        </is>
      </c>
      <c r="B550" s="1" t="n">
        <v>44992.34151620371</v>
      </c>
      <c r="C550" s="1" t="n">
        <v>46178</v>
      </c>
      <c r="D550" t="inlineStr">
        <is>
          <t>KALMAR LÄN</t>
        </is>
      </c>
      <c r="E550" t="inlineStr">
        <is>
          <t>VIMMERBY</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61939-2021</t>
        </is>
      </c>
      <c r="B551" s="1" t="n">
        <v>44502</v>
      </c>
      <c r="C551" s="1" t="n">
        <v>46178</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12215-2024</t>
        </is>
      </c>
      <c r="B552" s="1" t="n">
        <v>45378.32185185186</v>
      </c>
      <c r="C552" s="1" t="n">
        <v>46178</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12033-2024</t>
        </is>
      </c>
      <c r="B553" s="1" t="n">
        <v>45377.40043981482</v>
      </c>
      <c r="C553" s="1" t="n">
        <v>46178</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51408-2023</t>
        </is>
      </c>
      <c r="B554" s="1" t="n">
        <v>45219.69356481481</v>
      </c>
      <c r="C554" s="1" t="n">
        <v>46178</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49488-2023</t>
        </is>
      </c>
      <c r="B555" s="1" t="n">
        <v>45211.55472222222</v>
      </c>
      <c r="C555" s="1" t="n">
        <v>46178</v>
      </c>
      <c r="D555" t="inlineStr">
        <is>
          <t>KALMAR LÄN</t>
        </is>
      </c>
      <c r="E555" t="inlineStr">
        <is>
          <t>VIMMERBY</t>
        </is>
      </c>
      <c r="F555" t="inlineStr">
        <is>
          <t>Sveaskog</t>
        </is>
      </c>
      <c r="G555" t="n">
        <v>6.2</v>
      </c>
      <c r="H555" t="n">
        <v>0</v>
      </c>
      <c r="I555" t="n">
        <v>0</v>
      </c>
      <c r="J555" t="n">
        <v>0</v>
      </c>
      <c r="K555" t="n">
        <v>0</v>
      </c>
      <c r="L555" t="n">
        <v>0</v>
      </c>
      <c r="M555" t="n">
        <v>0</v>
      </c>
      <c r="N555" t="n">
        <v>0</v>
      </c>
      <c r="O555" t="n">
        <v>0</v>
      </c>
      <c r="P555" t="n">
        <v>0</v>
      </c>
      <c r="Q555" t="n">
        <v>0</v>
      </c>
      <c r="R555" s="2" t="inlineStr"/>
    </row>
    <row r="556" ht="15" customHeight="1">
      <c r="A556" t="inlineStr">
        <is>
          <t>A 8410-2023</t>
        </is>
      </c>
      <c r="B556" s="1" t="n">
        <v>44977</v>
      </c>
      <c r="C556" s="1" t="n">
        <v>46178</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30920-2024</t>
        </is>
      </c>
      <c r="B557" s="1" t="n">
        <v>45498.673125</v>
      </c>
      <c r="C557" s="1" t="n">
        <v>46178</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61725-2025</t>
        </is>
      </c>
      <c r="B558" s="1" t="n">
        <v>46002.58680555555</v>
      </c>
      <c r="C558" s="1" t="n">
        <v>46178</v>
      </c>
      <c r="D558" t="inlineStr">
        <is>
          <t>KALMAR LÄN</t>
        </is>
      </c>
      <c r="E558" t="inlineStr">
        <is>
          <t>VIMMERBY</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61790-2025</t>
        </is>
      </c>
      <c r="B559" s="1" t="n">
        <v>46002.68768518518</v>
      </c>
      <c r="C559" s="1" t="n">
        <v>46178</v>
      </c>
      <c r="D559" t="inlineStr">
        <is>
          <t>KALMAR LÄN</t>
        </is>
      </c>
      <c r="E559" t="inlineStr">
        <is>
          <t>VIMMERBY</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40929-2022</t>
        </is>
      </c>
      <c r="B560" s="1" t="n">
        <v>44825.4336574074</v>
      </c>
      <c r="C560" s="1" t="n">
        <v>46178</v>
      </c>
      <c r="D560" t="inlineStr">
        <is>
          <t>KALMAR LÄN</t>
        </is>
      </c>
      <c r="E560" t="inlineStr">
        <is>
          <t>VIMMERBY</t>
        </is>
      </c>
      <c r="G560" t="n">
        <v>2.5</v>
      </c>
      <c r="H560" t="n">
        <v>0</v>
      </c>
      <c r="I560" t="n">
        <v>0</v>
      </c>
      <c r="J560" t="n">
        <v>0</v>
      </c>
      <c r="K560" t="n">
        <v>0</v>
      </c>
      <c r="L560" t="n">
        <v>0</v>
      </c>
      <c r="M560" t="n">
        <v>0</v>
      </c>
      <c r="N560" t="n">
        <v>0</v>
      </c>
      <c r="O560" t="n">
        <v>0</v>
      </c>
      <c r="P560" t="n">
        <v>0</v>
      </c>
      <c r="Q560" t="n">
        <v>0</v>
      </c>
      <c r="R560" s="2" t="inlineStr"/>
    </row>
    <row r="561" ht="15" customHeight="1">
      <c r="A561" t="inlineStr">
        <is>
          <t>A 24932-2026</t>
        </is>
      </c>
      <c r="B561" s="1" t="n">
        <v>46174.5197800926</v>
      </c>
      <c r="C561" s="1" t="n">
        <v>46178</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61726-2025</t>
        </is>
      </c>
      <c r="B562" s="1" t="n">
        <v>46002.58822916666</v>
      </c>
      <c r="C562" s="1" t="n">
        <v>46178</v>
      </c>
      <c r="D562" t="inlineStr">
        <is>
          <t>KALMAR LÄN</t>
        </is>
      </c>
      <c r="E562" t="inlineStr">
        <is>
          <t>VIMMERBY</t>
        </is>
      </c>
      <c r="F562" t="inlineStr">
        <is>
          <t>Sveaskog</t>
        </is>
      </c>
      <c r="G562" t="n">
        <v>0.2</v>
      </c>
      <c r="H562" t="n">
        <v>0</v>
      </c>
      <c r="I562" t="n">
        <v>0</v>
      </c>
      <c r="J562" t="n">
        <v>0</v>
      </c>
      <c r="K562" t="n">
        <v>0</v>
      </c>
      <c r="L562" t="n">
        <v>0</v>
      </c>
      <c r="M562" t="n">
        <v>0</v>
      </c>
      <c r="N562" t="n">
        <v>0</v>
      </c>
      <c r="O562" t="n">
        <v>0</v>
      </c>
      <c r="P562" t="n">
        <v>0</v>
      </c>
      <c r="Q562" t="n">
        <v>0</v>
      </c>
      <c r="R562" s="2" t="inlineStr"/>
    </row>
    <row r="563" ht="15" customHeight="1">
      <c r="A563" t="inlineStr">
        <is>
          <t>A 50091-2023</t>
        </is>
      </c>
      <c r="B563" s="1" t="n">
        <v>45215.60199074074</v>
      </c>
      <c r="C563" s="1" t="n">
        <v>46178</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36008-2024</t>
        </is>
      </c>
      <c r="B564" s="1" t="n">
        <v>45533.55362268518</v>
      </c>
      <c r="C564" s="1" t="n">
        <v>46178</v>
      </c>
      <c r="D564" t="inlineStr">
        <is>
          <t>KALMAR LÄN</t>
        </is>
      </c>
      <c r="E564" t="inlineStr">
        <is>
          <t>VIMMERBY</t>
        </is>
      </c>
      <c r="G564" t="n">
        <v>3.7</v>
      </c>
      <c r="H564" t="n">
        <v>0</v>
      </c>
      <c r="I564" t="n">
        <v>0</v>
      </c>
      <c r="J564" t="n">
        <v>0</v>
      </c>
      <c r="K564" t="n">
        <v>0</v>
      </c>
      <c r="L564" t="n">
        <v>0</v>
      </c>
      <c r="M564" t="n">
        <v>0</v>
      </c>
      <c r="N564" t="n">
        <v>0</v>
      </c>
      <c r="O564" t="n">
        <v>0</v>
      </c>
      <c r="P564" t="n">
        <v>0</v>
      </c>
      <c r="Q564" t="n">
        <v>0</v>
      </c>
      <c r="R564" s="2" t="inlineStr"/>
    </row>
    <row r="565" ht="15" customHeight="1">
      <c r="A565" t="inlineStr">
        <is>
          <t>A 16622-2025</t>
        </is>
      </c>
      <c r="B565" s="1" t="n">
        <v>45754.33641203704</v>
      </c>
      <c r="C565" s="1" t="n">
        <v>46178</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25106-2026</t>
        </is>
      </c>
      <c r="B566" s="1" t="n">
        <v>46175.35026620371</v>
      </c>
      <c r="C566" s="1" t="n">
        <v>46178</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17511-2024</t>
        </is>
      </c>
      <c r="B567" s="1" t="n">
        <v>45415.57682870371</v>
      </c>
      <c r="C567" s="1" t="n">
        <v>46178</v>
      </c>
      <c r="D567" t="inlineStr">
        <is>
          <t>KALMAR LÄN</t>
        </is>
      </c>
      <c r="E567" t="inlineStr">
        <is>
          <t>VIMMERBY</t>
        </is>
      </c>
      <c r="G567" t="n">
        <v>5.3</v>
      </c>
      <c r="H567" t="n">
        <v>0</v>
      </c>
      <c r="I567" t="n">
        <v>0</v>
      </c>
      <c r="J567" t="n">
        <v>0</v>
      </c>
      <c r="K567" t="n">
        <v>0</v>
      </c>
      <c r="L567" t="n">
        <v>0</v>
      </c>
      <c r="M567" t="n">
        <v>0</v>
      </c>
      <c r="N567" t="n">
        <v>0</v>
      </c>
      <c r="O567" t="n">
        <v>0</v>
      </c>
      <c r="P567" t="n">
        <v>0</v>
      </c>
      <c r="Q567" t="n">
        <v>0</v>
      </c>
      <c r="R567" s="2" t="inlineStr"/>
    </row>
    <row r="568" ht="15" customHeight="1">
      <c r="A568" t="inlineStr">
        <is>
          <t>A 43705-2023</t>
        </is>
      </c>
      <c r="B568" s="1" t="n">
        <v>45187.42854166667</v>
      </c>
      <c r="C568" s="1" t="n">
        <v>46178</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25105-2026</t>
        </is>
      </c>
      <c r="B569" s="1" t="n">
        <v>46175.34893518518</v>
      </c>
      <c r="C569" s="1" t="n">
        <v>46178</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25158-2026</t>
        </is>
      </c>
      <c r="B570" s="1" t="n">
        <v>46175.45645833333</v>
      </c>
      <c r="C570" s="1" t="n">
        <v>46178</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25194-2026</t>
        </is>
      </c>
      <c r="B571" s="1" t="n">
        <v>46175.58986111111</v>
      </c>
      <c r="C571" s="1" t="n">
        <v>46178</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24930-2026</t>
        </is>
      </c>
      <c r="B572" s="1" t="n">
        <v>46174.51430555555</v>
      </c>
      <c r="C572" s="1" t="n">
        <v>46178</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55300-2021</t>
        </is>
      </c>
      <c r="B573" s="1" t="n">
        <v>44475</v>
      </c>
      <c r="C573" s="1" t="n">
        <v>46178</v>
      </c>
      <c r="D573" t="inlineStr">
        <is>
          <t>KALMAR LÄN</t>
        </is>
      </c>
      <c r="E573" t="inlineStr">
        <is>
          <t>VIMMERBY</t>
        </is>
      </c>
      <c r="G573" t="n">
        <v>3.4</v>
      </c>
      <c r="H573" t="n">
        <v>0</v>
      </c>
      <c r="I573" t="n">
        <v>0</v>
      </c>
      <c r="J573" t="n">
        <v>0</v>
      </c>
      <c r="K573" t="n">
        <v>0</v>
      </c>
      <c r="L573" t="n">
        <v>0</v>
      </c>
      <c r="M573" t="n">
        <v>0</v>
      </c>
      <c r="N573" t="n">
        <v>0</v>
      </c>
      <c r="O573" t="n">
        <v>0</v>
      </c>
      <c r="P573" t="n">
        <v>0</v>
      </c>
      <c r="Q573" t="n">
        <v>0</v>
      </c>
      <c r="R573" s="2" t="inlineStr"/>
    </row>
    <row r="574" ht="15" customHeight="1">
      <c r="A574" t="inlineStr">
        <is>
          <t>A 44179-2022</t>
        </is>
      </c>
      <c r="B574" s="1" t="n">
        <v>44839.4528125</v>
      </c>
      <c r="C574" s="1" t="n">
        <v>46178</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52755-2022</t>
        </is>
      </c>
      <c r="B575" s="1" t="n">
        <v>44875.27736111111</v>
      </c>
      <c r="C575" s="1" t="n">
        <v>46178</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35998-2024</t>
        </is>
      </c>
      <c r="B576" s="1" t="n">
        <v>45533.54429398148</v>
      </c>
      <c r="C576" s="1" t="n">
        <v>46178</v>
      </c>
      <c r="D576" t="inlineStr">
        <is>
          <t>KALMAR LÄN</t>
        </is>
      </c>
      <c r="E576" t="inlineStr">
        <is>
          <t>VIMMERBY</t>
        </is>
      </c>
      <c r="G576" t="n">
        <v>8.6</v>
      </c>
      <c r="H576" t="n">
        <v>0</v>
      </c>
      <c r="I576" t="n">
        <v>0</v>
      </c>
      <c r="J576" t="n">
        <v>0</v>
      </c>
      <c r="K576" t="n">
        <v>0</v>
      </c>
      <c r="L576" t="n">
        <v>0</v>
      </c>
      <c r="M576" t="n">
        <v>0</v>
      </c>
      <c r="N576" t="n">
        <v>0</v>
      </c>
      <c r="O576" t="n">
        <v>0</v>
      </c>
      <c r="P576" t="n">
        <v>0</v>
      </c>
      <c r="Q576" t="n">
        <v>0</v>
      </c>
      <c r="R576" s="2" t="inlineStr"/>
    </row>
    <row r="577" ht="15" customHeight="1">
      <c r="A577" t="inlineStr">
        <is>
          <t>A 7797-2023</t>
        </is>
      </c>
      <c r="B577" s="1" t="n">
        <v>44973.43075231482</v>
      </c>
      <c r="C577" s="1" t="n">
        <v>46178</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29351-2023</t>
        </is>
      </c>
      <c r="B578" s="1" t="n">
        <v>45106.2610300926</v>
      </c>
      <c r="C578" s="1" t="n">
        <v>46178</v>
      </c>
      <c r="D578" t="inlineStr">
        <is>
          <t>KALMAR LÄN</t>
        </is>
      </c>
      <c r="E578" t="inlineStr">
        <is>
          <t>VIMMERBY</t>
        </is>
      </c>
      <c r="G578" t="n">
        <v>0.4</v>
      </c>
      <c r="H578" t="n">
        <v>0</v>
      </c>
      <c r="I578" t="n">
        <v>0</v>
      </c>
      <c r="J578" t="n">
        <v>0</v>
      </c>
      <c r="K578" t="n">
        <v>0</v>
      </c>
      <c r="L578" t="n">
        <v>0</v>
      </c>
      <c r="M578" t="n">
        <v>0</v>
      </c>
      <c r="N578" t="n">
        <v>0</v>
      </c>
      <c r="O578" t="n">
        <v>0</v>
      </c>
      <c r="P578" t="n">
        <v>0</v>
      </c>
      <c r="Q578" t="n">
        <v>0</v>
      </c>
      <c r="R578" s="2" t="inlineStr"/>
    </row>
    <row r="579" ht="15" customHeight="1">
      <c r="A579" t="inlineStr">
        <is>
          <t>A 1024-2024</t>
        </is>
      </c>
      <c r="B579" s="1" t="n">
        <v>45301.68237268519</v>
      </c>
      <c r="C579" s="1" t="n">
        <v>46178</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10787-2025</t>
        </is>
      </c>
      <c r="B580" s="1" t="n">
        <v>45722.48915509259</v>
      </c>
      <c r="C580" s="1" t="n">
        <v>46178</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25192-2026</t>
        </is>
      </c>
      <c r="B581" s="1" t="n">
        <v>46175.5820949074</v>
      </c>
      <c r="C581" s="1" t="n">
        <v>46178</v>
      </c>
      <c r="D581" t="inlineStr">
        <is>
          <t>KALMAR LÄN</t>
        </is>
      </c>
      <c r="E581" t="inlineStr">
        <is>
          <t>VIMMERBY</t>
        </is>
      </c>
      <c r="G581" t="n">
        <v>3.2</v>
      </c>
      <c r="H581" t="n">
        <v>0</v>
      </c>
      <c r="I581" t="n">
        <v>0</v>
      </c>
      <c r="J581" t="n">
        <v>0</v>
      </c>
      <c r="K581" t="n">
        <v>0</v>
      </c>
      <c r="L581" t="n">
        <v>0</v>
      </c>
      <c r="M581" t="n">
        <v>0</v>
      </c>
      <c r="N581" t="n">
        <v>0</v>
      </c>
      <c r="O581" t="n">
        <v>0</v>
      </c>
      <c r="P581" t="n">
        <v>0</v>
      </c>
      <c r="Q581" t="n">
        <v>0</v>
      </c>
      <c r="R581" s="2" t="inlineStr"/>
    </row>
    <row r="582" ht="15" customHeight="1">
      <c r="A582" t="inlineStr">
        <is>
          <t>A 29350-2023</t>
        </is>
      </c>
      <c r="B582" s="1" t="n">
        <v>45106</v>
      </c>
      <c r="C582" s="1" t="n">
        <v>46178</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14855-2025</t>
        </is>
      </c>
      <c r="B583" s="1" t="n">
        <v>45743.41148148148</v>
      </c>
      <c r="C583" s="1" t="n">
        <v>46178</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43601-2024</t>
        </is>
      </c>
      <c r="B584" s="1" t="n">
        <v>45569.44684027778</v>
      </c>
      <c r="C584" s="1" t="n">
        <v>46178</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35913-2023</t>
        </is>
      </c>
      <c r="B585" s="1" t="n">
        <v>45148</v>
      </c>
      <c r="C585" s="1" t="n">
        <v>46178</v>
      </c>
      <c r="D585" t="inlineStr">
        <is>
          <t>KALMAR LÄN</t>
        </is>
      </c>
      <c r="E585" t="inlineStr">
        <is>
          <t>VIMMERBY</t>
        </is>
      </c>
      <c r="G585" t="n">
        <v>6.9</v>
      </c>
      <c r="H585" t="n">
        <v>0</v>
      </c>
      <c r="I585" t="n">
        <v>0</v>
      </c>
      <c r="J585" t="n">
        <v>0</v>
      </c>
      <c r="K585" t="n">
        <v>0</v>
      </c>
      <c r="L585" t="n">
        <v>0</v>
      </c>
      <c r="M585" t="n">
        <v>0</v>
      </c>
      <c r="N585" t="n">
        <v>0</v>
      </c>
      <c r="O585" t="n">
        <v>0</v>
      </c>
      <c r="P585" t="n">
        <v>0</v>
      </c>
      <c r="Q585" t="n">
        <v>0</v>
      </c>
      <c r="R585" s="2" t="inlineStr"/>
    </row>
    <row r="586" ht="15" customHeight="1">
      <c r="A586" t="inlineStr">
        <is>
          <t>A 26039-2025</t>
        </is>
      </c>
      <c r="B586" s="1" t="n">
        <v>45804.6953587963</v>
      </c>
      <c r="C586" s="1" t="n">
        <v>46178</v>
      </c>
      <c r="D586" t="inlineStr">
        <is>
          <t>KALMAR LÄN</t>
        </is>
      </c>
      <c r="E586" t="inlineStr">
        <is>
          <t>VIMMERBY</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48299-2025</t>
        </is>
      </c>
      <c r="B587" s="1" t="n">
        <v>45933.60982638889</v>
      </c>
      <c r="C587" s="1" t="n">
        <v>46178</v>
      </c>
      <c r="D587" t="inlineStr">
        <is>
          <t>KALMAR LÄN</t>
        </is>
      </c>
      <c r="E587" t="inlineStr">
        <is>
          <t>VIMMERBY</t>
        </is>
      </c>
      <c r="G587" t="n">
        <v>1.8</v>
      </c>
      <c r="H587" t="n">
        <v>0</v>
      </c>
      <c r="I587" t="n">
        <v>0</v>
      </c>
      <c r="J587" t="n">
        <v>0</v>
      </c>
      <c r="K587" t="n">
        <v>0</v>
      </c>
      <c r="L587" t="n">
        <v>0</v>
      </c>
      <c r="M587" t="n">
        <v>0</v>
      </c>
      <c r="N587" t="n">
        <v>0</v>
      </c>
      <c r="O587" t="n">
        <v>0</v>
      </c>
      <c r="P587" t="n">
        <v>0</v>
      </c>
      <c r="Q587" t="n">
        <v>0</v>
      </c>
      <c r="R587" s="2" t="inlineStr"/>
    </row>
    <row r="588" ht="15" customHeight="1">
      <c r="A588" t="inlineStr">
        <is>
          <t>A 9624-2024</t>
        </is>
      </c>
      <c r="B588" s="1" t="n">
        <v>45361.90282407407</v>
      </c>
      <c r="C588" s="1" t="n">
        <v>46178</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3938-2023</t>
        </is>
      </c>
      <c r="B589" s="1" t="n">
        <v>44952.35775462963</v>
      </c>
      <c r="C589" s="1" t="n">
        <v>46178</v>
      </c>
      <c r="D589" t="inlineStr">
        <is>
          <t>KALMAR LÄN</t>
        </is>
      </c>
      <c r="E589" t="inlineStr">
        <is>
          <t>VIMMERBY</t>
        </is>
      </c>
      <c r="G589" t="n">
        <v>0.9</v>
      </c>
      <c r="H589" t="n">
        <v>0</v>
      </c>
      <c r="I589" t="n">
        <v>0</v>
      </c>
      <c r="J589" t="n">
        <v>0</v>
      </c>
      <c r="K589" t="n">
        <v>0</v>
      </c>
      <c r="L589" t="n">
        <v>0</v>
      </c>
      <c r="M589" t="n">
        <v>0</v>
      </c>
      <c r="N589" t="n">
        <v>0</v>
      </c>
      <c r="O589" t="n">
        <v>0</v>
      </c>
      <c r="P589" t="n">
        <v>0</v>
      </c>
      <c r="Q589" t="n">
        <v>0</v>
      </c>
      <c r="R589" s="2" t="inlineStr"/>
    </row>
    <row r="590" ht="15" customHeight="1">
      <c r="A590" t="inlineStr">
        <is>
          <t>A 45854-2025</t>
        </is>
      </c>
      <c r="B590" s="1" t="n">
        <v>45923</v>
      </c>
      <c r="C590" s="1" t="n">
        <v>46178</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39053-2024</t>
        </is>
      </c>
      <c r="B591" s="1" t="n">
        <v>45548</v>
      </c>
      <c r="C591" s="1" t="n">
        <v>46178</v>
      </c>
      <c r="D591" t="inlineStr">
        <is>
          <t>KALMAR LÄN</t>
        </is>
      </c>
      <c r="E591" t="inlineStr">
        <is>
          <t>VIMMERBY</t>
        </is>
      </c>
      <c r="G591" t="n">
        <v>5</v>
      </c>
      <c r="H591" t="n">
        <v>0</v>
      </c>
      <c r="I591" t="n">
        <v>0</v>
      </c>
      <c r="J591" t="n">
        <v>0</v>
      </c>
      <c r="K591" t="n">
        <v>0</v>
      </c>
      <c r="L591" t="n">
        <v>0</v>
      </c>
      <c r="M591" t="n">
        <v>0</v>
      </c>
      <c r="N591" t="n">
        <v>0</v>
      </c>
      <c r="O591" t="n">
        <v>0</v>
      </c>
      <c r="P591" t="n">
        <v>0</v>
      </c>
      <c r="Q591" t="n">
        <v>0</v>
      </c>
      <c r="R591" s="2" t="inlineStr"/>
    </row>
    <row r="592" ht="15" customHeight="1">
      <c r="A592" t="inlineStr">
        <is>
          <t>A 31870-2025</t>
        </is>
      </c>
      <c r="B592" s="1" t="n">
        <v>45834.64667824074</v>
      </c>
      <c r="C592" s="1" t="n">
        <v>46178</v>
      </c>
      <c r="D592" t="inlineStr">
        <is>
          <t>KALMAR LÄN</t>
        </is>
      </c>
      <c r="E592" t="inlineStr">
        <is>
          <t>VIMMERBY</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52294-2023</t>
        </is>
      </c>
      <c r="B593" s="1" t="n">
        <v>45224.60075231481</v>
      </c>
      <c r="C593" s="1" t="n">
        <v>46178</v>
      </c>
      <c r="D593" t="inlineStr">
        <is>
          <t>KALMAR LÄN</t>
        </is>
      </c>
      <c r="E593" t="inlineStr">
        <is>
          <t>VIMMERBY</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14451-2024</t>
        </is>
      </c>
      <c r="B594" s="1" t="n">
        <v>45394.50028935185</v>
      </c>
      <c r="C594" s="1" t="n">
        <v>46178</v>
      </c>
      <c r="D594" t="inlineStr">
        <is>
          <t>KALMAR LÄN</t>
        </is>
      </c>
      <c r="E594" t="inlineStr">
        <is>
          <t>VIMMERBY</t>
        </is>
      </c>
      <c r="G594" t="n">
        <v>1.9</v>
      </c>
      <c r="H594" t="n">
        <v>0</v>
      </c>
      <c r="I594" t="n">
        <v>0</v>
      </c>
      <c r="J594" t="n">
        <v>0</v>
      </c>
      <c r="K594" t="n">
        <v>0</v>
      </c>
      <c r="L594" t="n">
        <v>0</v>
      </c>
      <c r="M594" t="n">
        <v>0</v>
      </c>
      <c r="N594" t="n">
        <v>0</v>
      </c>
      <c r="O594" t="n">
        <v>0</v>
      </c>
      <c r="P594" t="n">
        <v>0</v>
      </c>
      <c r="Q594" t="n">
        <v>0</v>
      </c>
      <c r="R594" s="2" t="inlineStr"/>
    </row>
    <row r="595" ht="15" customHeight="1">
      <c r="A595" t="inlineStr">
        <is>
          <t>A 61937-2025</t>
        </is>
      </c>
      <c r="B595" s="1" t="n">
        <v>46003</v>
      </c>
      <c r="C595" s="1" t="n">
        <v>46178</v>
      </c>
      <c r="D595" t="inlineStr">
        <is>
          <t>KALMAR LÄN</t>
        </is>
      </c>
      <c r="E595" t="inlineStr">
        <is>
          <t>VIMMERBY</t>
        </is>
      </c>
      <c r="G595" t="n">
        <v>3.4</v>
      </c>
      <c r="H595" t="n">
        <v>0</v>
      </c>
      <c r="I595" t="n">
        <v>0</v>
      </c>
      <c r="J595" t="n">
        <v>0</v>
      </c>
      <c r="K595" t="n">
        <v>0</v>
      </c>
      <c r="L595" t="n">
        <v>0</v>
      </c>
      <c r="M595" t="n">
        <v>0</v>
      </c>
      <c r="N595" t="n">
        <v>0</v>
      </c>
      <c r="O595" t="n">
        <v>0</v>
      </c>
      <c r="P595" t="n">
        <v>0</v>
      </c>
      <c r="Q595" t="n">
        <v>0</v>
      </c>
      <c r="R595" s="2" t="inlineStr"/>
    </row>
    <row r="596" ht="15" customHeight="1">
      <c r="A596" t="inlineStr">
        <is>
          <t>A 16015-2025</t>
        </is>
      </c>
      <c r="B596" s="1" t="n">
        <v>45749.60487268519</v>
      </c>
      <c r="C596" s="1" t="n">
        <v>46178</v>
      </c>
      <c r="D596" t="inlineStr">
        <is>
          <t>KALMAR LÄN</t>
        </is>
      </c>
      <c r="E596" t="inlineStr">
        <is>
          <t>VIMMERBY</t>
        </is>
      </c>
      <c r="F596" t="inlineStr">
        <is>
          <t>Kyrkan</t>
        </is>
      </c>
      <c r="G596" t="n">
        <v>2.7</v>
      </c>
      <c r="H596" t="n">
        <v>0</v>
      </c>
      <c r="I596" t="n">
        <v>0</v>
      </c>
      <c r="J596" t="n">
        <v>0</v>
      </c>
      <c r="K596" t="n">
        <v>0</v>
      </c>
      <c r="L596" t="n">
        <v>0</v>
      </c>
      <c r="M596" t="n">
        <v>0</v>
      </c>
      <c r="N596" t="n">
        <v>0</v>
      </c>
      <c r="O596" t="n">
        <v>0</v>
      </c>
      <c r="P596" t="n">
        <v>0</v>
      </c>
      <c r="Q596" t="n">
        <v>0</v>
      </c>
      <c r="R596" s="2" t="inlineStr"/>
    </row>
    <row r="597" ht="15" customHeight="1">
      <c r="A597" t="inlineStr">
        <is>
          <t>A 47955-2025</t>
        </is>
      </c>
      <c r="B597" s="1" t="n">
        <v>45932.58896990741</v>
      </c>
      <c r="C597" s="1" t="n">
        <v>46178</v>
      </c>
      <c r="D597" t="inlineStr">
        <is>
          <t>KALMAR LÄN</t>
        </is>
      </c>
      <c r="E597" t="inlineStr">
        <is>
          <t>VIMMERBY</t>
        </is>
      </c>
      <c r="G597" t="n">
        <v>3.4</v>
      </c>
      <c r="H597" t="n">
        <v>0</v>
      </c>
      <c r="I597" t="n">
        <v>0</v>
      </c>
      <c r="J597" t="n">
        <v>0</v>
      </c>
      <c r="K597" t="n">
        <v>0</v>
      </c>
      <c r="L597" t="n">
        <v>0</v>
      </c>
      <c r="M597" t="n">
        <v>0</v>
      </c>
      <c r="N597" t="n">
        <v>0</v>
      </c>
      <c r="O597" t="n">
        <v>0</v>
      </c>
      <c r="P597" t="n">
        <v>0</v>
      </c>
      <c r="Q597" t="n">
        <v>0</v>
      </c>
      <c r="R597" s="2" t="inlineStr"/>
    </row>
    <row r="598" ht="15" customHeight="1">
      <c r="A598" t="inlineStr">
        <is>
          <t>A 34205-2023</t>
        </is>
      </c>
      <c r="B598" s="1" t="n">
        <v>45138</v>
      </c>
      <c r="C598" s="1" t="n">
        <v>46178</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28620-2025</t>
        </is>
      </c>
      <c r="B599" s="1" t="n">
        <v>45819.61060185185</v>
      </c>
      <c r="C599" s="1" t="n">
        <v>46178</v>
      </c>
      <c r="D599" t="inlineStr">
        <is>
          <t>KALMAR LÄN</t>
        </is>
      </c>
      <c r="E599" t="inlineStr">
        <is>
          <t>VIMMERBY</t>
        </is>
      </c>
      <c r="G599" t="n">
        <v>5.6</v>
      </c>
      <c r="H599" t="n">
        <v>0</v>
      </c>
      <c r="I599" t="n">
        <v>0</v>
      </c>
      <c r="J599" t="n">
        <v>0</v>
      </c>
      <c r="K599" t="n">
        <v>0</v>
      </c>
      <c r="L599" t="n">
        <v>0</v>
      </c>
      <c r="M599" t="n">
        <v>0</v>
      </c>
      <c r="N599" t="n">
        <v>0</v>
      </c>
      <c r="O599" t="n">
        <v>0</v>
      </c>
      <c r="P599" t="n">
        <v>0</v>
      </c>
      <c r="Q599" t="n">
        <v>0</v>
      </c>
      <c r="R599" s="2" t="inlineStr"/>
    </row>
    <row r="600" ht="15" customHeight="1">
      <c r="A600" t="inlineStr">
        <is>
          <t>A 32639-2023</t>
        </is>
      </c>
      <c r="B600" s="1" t="n">
        <v>45121.5965162037</v>
      </c>
      <c r="C600" s="1" t="n">
        <v>46178</v>
      </c>
      <c r="D600" t="inlineStr">
        <is>
          <t>KALMAR LÄN</t>
        </is>
      </c>
      <c r="E600" t="inlineStr">
        <is>
          <t>VIMMERBY</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3268-2024</t>
        </is>
      </c>
      <c r="B601" s="1" t="n">
        <v>45317</v>
      </c>
      <c r="C601" s="1" t="n">
        <v>46178</v>
      </c>
      <c r="D601" t="inlineStr">
        <is>
          <t>KALMAR LÄN</t>
        </is>
      </c>
      <c r="E601" t="inlineStr">
        <is>
          <t>VIMMERBY</t>
        </is>
      </c>
      <c r="F601" t="inlineStr">
        <is>
          <t>Övriga Aktiebolag</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60215-2022</t>
        </is>
      </c>
      <c r="B602" s="1" t="n">
        <v>44910.41346064815</v>
      </c>
      <c r="C602" s="1" t="n">
        <v>46178</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12819-2024</t>
        </is>
      </c>
      <c r="B603" s="1" t="n">
        <v>45384.66917824074</v>
      </c>
      <c r="C603" s="1" t="n">
        <v>46178</v>
      </c>
      <c r="D603" t="inlineStr">
        <is>
          <t>KALMAR LÄN</t>
        </is>
      </c>
      <c r="E603" t="inlineStr">
        <is>
          <t>VIMMERBY</t>
        </is>
      </c>
      <c r="G603" t="n">
        <v>5.1</v>
      </c>
      <c r="H603" t="n">
        <v>0</v>
      </c>
      <c r="I603" t="n">
        <v>0</v>
      </c>
      <c r="J603" t="n">
        <v>0</v>
      </c>
      <c r="K603" t="n">
        <v>0</v>
      </c>
      <c r="L603" t="n">
        <v>0</v>
      </c>
      <c r="M603" t="n">
        <v>0</v>
      </c>
      <c r="N603" t="n">
        <v>0</v>
      </c>
      <c r="O603" t="n">
        <v>0</v>
      </c>
      <c r="P603" t="n">
        <v>0</v>
      </c>
      <c r="Q603" t="n">
        <v>0</v>
      </c>
      <c r="R603" s="2" t="inlineStr"/>
    </row>
    <row r="604" ht="15" customHeight="1">
      <c r="A604" t="inlineStr">
        <is>
          <t>A 34036-2021</t>
        </is>
      </c>
      <c r="B604" s="1" t="n">
        <v>44379</v>
      </c>
      <c r="C604" s="1" t="n">
        <v>46178</v>
      </c>
      <c r="D604" t="inlineStr">
        <is>
          <t>KALMAR LÄN</t>
        </is>
      </c>
      <c r="E604" t="inlineStr">
        <is>
          <t>VIMMERBY</t>
        </is>
      </c>
      <c r="F604" t="inlineStr">
        <is>
          <t>Sveaskog</t>
        </is>
      </c>
      <c r="G604" t="n">
        <v>7</v>
      </c>
      <c r="H604" t="n">
        <v>0</v>
      </c>
      <c r="I604" t="n">
        <v>0</v>
      </c>
      <c r="J604" t="n">
        <v>0</v>
      </c>
      <c r="K604" t="n">
        <v>0</v>
      </c>
      <c r="L604" t="n">
        <v>0</v>
      </c>
      <c r="M604" t="n">
        <v>0</v>
      </c>
      <c r="N604" t="n">
        <v>0</v>
      </c>
      <c r="O604" t="n">
        <v>0</v>
      </c>
      <c r="P604" t="n">
        <v>0</v>
      </c>
      <c r="Q604" t="n">
        <v>0</v>
      </c>
      <c r="R604" s="2" t="inlineStr"/>
    </row>
    <row r="605" ht="15" customHeight="1">
      <c r="A605" t="inlineStr">
        <is>
          <t>A 34071-2025</t>
        </is>
      </c>
      <c r="B605" s="1" t="n">
        <v>45845.43803240741</v>
      </c>
      <c r="C605" s="1" t="n">
        <v>46178</v>
      </c>
      <c r="D605" t="inlineStr">
        <is>
          <t>KALMAR LÄN</t>
        </is>
      </c>
      <c r="E605" t="inlineStr">
        <is>
          <t>VIMMERBY</t>
        </is>
      </c>
      <c r="G605" t="n">
        <v>6.8</v>
      </c>
      <c r="H605" t="n">
        <v>0</v>
      </c>
      <c r="I605" t="n">
        <v>0</v>
      </c>
      <c r="J605" t="n">
        <v>0</v>
      </c>
      <c r="K605" t="n">
        <v>0</v>
      </c>
      <c r="L605" t="n">
        <v>0</v>
      </c>
      <c r="M605" t="n">
        <v>0</v>
      </c>
      <c r="N605" t="n">
        <v>0</v>
      </c>
      <c r="O605" t="n">
        <v>0</v>
      </c>
      <c r="P605" t="n">
        <v>0</v>
      </c>
      <c r="Q605" t="n">
        <v>0</v>
      </c>
      <c r="R605" s="2" t="inlineStr"/>
    </row>
    <row r="606" ht="15" customHeight="1">
      <c r="A606" t="inlineStr">
        <is>
          <t>A 32569-2024</t>
        </is>
      </c>
      <c r="B606" s="1" t="n">
        <v>45513.55840277778</v>
      </c>
      <c r="C606" s="1" t="n">
        <v>46178</v>
      </c>
      <c r="D606" t="inlineStr">
        <is>
          <t>KALMAR LÄN</t>
        </is>
      </c>
      <c r="E606" t="inlineStr">
        <is>
          <t>VIMMERBY</t>
        </is>
      </c>
      <c r="G606" t="n">
        <v>3.7</v>
      </c>
      <c r="H606" t="n">
        <v>0</v>
      </c>
      <c r="I606" t="n">
        <v>0</v>
      </c>
      <c r="J606" t="n">
        <v>0</v>
      </c>
      <c r="K606" t="n">
        <v>0</v>
      </c>
      <c r="L606" t="n">
        <v>0</v>
      </c>
      <c r="M606" t="n">
        <v>0</v>
      </c>
      <c r="N606" t="n">
        <v>0</v>
      </c>
      <c r="O606" t="n">
        <v>0</v>
      </c>
      <c r="P606" t="n">
        <v>0</v>
      </c>
      <c r="Q606" t="n">
        <v>0</v>
      </c>
      <c r="R606" s="2" t="inlineStr"/>
    </row>
    <row r="607" ht="15" customHeight="1">
      <c r="A607" t="inlineStr">
        <is>
          <t>A 32575-2024</t>
        </is>
      </c>
      <c r="B607" s="1" t="n">
        <v>45513.56527777778</v>
      </c>
      <c r="C607" s="1" t="n">
        <v>46178</v>
      </c>
      <c r="D607" t="inlineStr">
        <is>
          <t>KALMAR LÄN</t>
        </is>
      </c>
      <c r="E607" t="inlineStr">
        <is>
          <t>VIMMERBY</t>
        </is>
      </c>
      <c r="G607" t="n">
        <v>1.5</v>
      </c>
      <c r="H607" t="n">
        <v>0</v>
      </c>
      <c r="I607" t="n">
        <v>0</v>
      </c>
      <c r="J607" t="n">
        <v>0</v>
      </c>
      <c r="K607" t="n">
        <v>0</v>
      </c>
      <c r="L607" t="n">
        <v>0</v>
      </c>
      <c r="M607" t="n">
        <v>0</v>
      </c>
      <c r="N607" t="n">
        <v>0</v>
      </c>
      <c r="O607" t="n">
        <v>0</v>
      </c>
      <c r="P607" t="n">
        <v>0</v>
      </c>
      <c r="Q607" t="n">
        <v>0</v>
      </c>
      <c r="R607" s="2" t="inlineStr"/>
    </row>
    <row r="608" ht="15" customHeight="1">
      <c r="A608" t="inlineStr">
        <is>
          <t>A 25395-2026</t>
        </is>
      </c>
      <c r="B608" s="1" t="n">
        <v>46176.73450231482</v>
      </c>
      <c r="C608" s="1" t="n">
        <v>46178</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20054-2023</t>
        </is>
      </c>
      <c r="B609" s="1" t="n">
        <v>45054.6750462963</v>
      </c>
      <c r="C609" s="1" t="n">
        <v>46178</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28282-2025</t>
        </is>
      </c>
      <c r="B610" s="1" t="n">
        <v>45818.58769675926</v>
      </c>
      <c r="C610" s="1" t="n">
        <v>46178</v>
      </c>
      <c r="D610" t="inlineStr">
        <is>
          <t>KALMAR LÄN</t>
        </is>
      </c>
      <c r="E610" t="inlineStr">
        <is>
          <t>VIMMERBY</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38969-2023</t>
        </is>
      </c>
      <c r="B611" s="1" t="n">
        <v>45163.63621527778</v>
      </c>
      <c r="C611" s="1" t="n">
        <v>46178</v>
      </c>
      <c r="D611" t="inlineStr">
        <is>
          <t>KALMAR LÄN</t>
        </is>
      </c>
      <c r="E611" t="inlineStr">
        <is>
          <t>VIMMERBY</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36226-2025</t>
        </is>
      </c>
      <c r="B612" s="1" t="n">
        <v>45867.51630787037</v>
      </c>
      <c r="C612" s="1" t="n">
        <v>46178</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32064-2025</t>
        </is>
      </c>
      <c r="B613" s="1" t="n">
        <v>45835.44709490741</v>
      </c>
      <c r="C613" s="1" t="n">
        <v>46178</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53788-2025</t>
        </is>
      </c>
      <c r="B614" s="1" t="n">
        <v>45960</v>
      </c>
      <c r="C614" s="1" t="n">
        <v>46178</v>
      </c>
      <c r="D614" t="inlineStr">
        <is>
          <t>KALMAR LÄN</t>
        </is>
      </c>
      <c r="E614" t="inlineStr">
        <is>
          <t>VIMMERBY</t>
        </is>
      </c>
      <c r="F614" t="inlineStr">
        <is>
          <t>Övriga statliga verk och myndigheter</t>
        </is>
      </c>
      <c r="G614" t="n">
        <v>6.3</v>
      </c>
      <c r="H614" t="n">
        <v>0</v>
      </c>
      <c r="I614" t="n">
        <v>0</v>
      </c>
      <c r="J614" t="n">
        <v>0</v>
      </c>
      <c r="K614" t="n">
        <v>0</v>
      </c>
      <c r="L614" t="n">
        <v>0</v>
      </c>
      <c r="M614" t="n">
        <v>0</v>
      </c>
      <c r="N614" t="n">
        <v>0</v>
      </c>
      <c r="O614" t="n">
        <v>0</v>
      </c>
      <c r="P614" t="n">
        <v>0</v>
      </c>
      <c r="Q614" t="n">
        <v>0</v>
      </c>
      <c r="R614" s="2" t="inlineStr"/>
    </row>
    <row r="615" ht="15" customHeight="1">
      <c r="A615" t="inlineStr">
        <is>
          <t>A 35596-2025</t>
        </is>
      </c>
      <c r="B615" s="1" t="n">
        <v>45858.60641203704</v>
      </c>
      <c r="C615" s="1" t="n">
        <v>46178</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25830-2025</t>
        </is>
      </c>
      <c r="B616" s="1" t="n">
        <v>45804.44519675926</v>
      </c>
      <c r="C616" s="1" t="n">
        <v>46178</v>
      </c>
      <c r="D616" t="inlineStr">
        <is>
          <t>KALMAR LÄN</t>
        </is>
      </c>
      <c r="E616" t="inlineStr">
        <is>
          <t>VIMMERBY</t>
        </is>
      </c>
      <c r="G616" t="n">
        <v>4.9</v>
      </c>
      <c r="H616" t="n">
        <v>0</v>
      </c>
      <c r="I616" t="n">
        <v>0</v>
      </c>
      <c r="J616" t="n">
        <v>0</v>
      </c>
      <c r="K616" t="n">
        <v>0</v>
      </c>
      <c r="L616" t="n">
        <v>0</v>
      </c>
      <c r="M616" t="n">
        <v>0</v>
      </c>
      <c r="N616" t="n">
        <v>0</v>
      </c>
      <c r="O616" t="n">
        <v>0</v>
      </c>
      <c r="P616" t="n">
        <v>0</v>
      </c>
      <c r="Q616" t="n">
        <v>0</v>
      </c>
      <c r="R616" s="2" t="inlineStr"/>
    </row>
    <row r="617" ht="15" customHeight="1">
      <c r="A617" t="inlineStr">
        <is>
          <t>A 59300-2024</t>
        </is>
      </c>
      <c r="B617" s="1" t="n">
        <v>45637.66542824074</v>
      </c>
      <c r="C617" s="1" t="n">
        <v>46178</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3292-2026</t>
        </is>
      </c>
      <c r="B618" s="1" t="n">
        <v>46041</v>
      </c>
      <c r="C618" s="1" t="n">
        <v>46178</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59768-2024</t>
        </is>
      </c>
      <c r="B619" s="1" t="n">
        <v>45639.56185185185</v>
      </c>
      <c r="C619" s="1" t="n">
        <v>46178</v>
      </c>
      <c r="D619" t="inlineStr">
        <is>
          <t>KALMAR LÄN</t>
        </is>
      </c>
      <c r="E619" t="inlineStr">
        <is>
          <t>VIMMERBY</t>
        </is>
      </c>
      <c r="G619" t="n">
        <v>5.9</v>
      </c>
      <c r="H619" t="n">
        <v>0</v>
      </c>
      <c r="I619" t="n">
        <v>0</v>
      </c>
      <c r="J619" t="n">
        <v>0</v>
      </c>
      <c r="K619" t="n">
        <v>0</v>
      </c>
      <c r="L619" t="n">
        <v>0</v>
      </c>
      <c r="M619" t="n">
        <v>0</v>
      </c>
      <c r="N619" t="n">
        <v>0</v>
      </c>
      <c r="O619" t="n">
        <v>0</v>
      </c>
      <c r="P619" t="n">
        <v>0</v>
      </c>
      <c r="Q619" t="n">
        <v>0</v>
      </c>
      <c r="R619" s="2" t="inlineStr"/>
    </row>
    <row r="620" ht="15" customHeight="1">
      <c r="A620" t="inlineStr">
        <is>
          <t>A 36526-2023</t>
        </is>
      </c>
      <c r="B620" s="1" t="n">
        <v>45153.32778935185</v>
      </c>
      <c r="C620" s="1" t="n">
        <v>46178</v>
      </c>
      <c r="D620" t="inlineStr">
        <is>
          <t>KALMAR LÄN</t>
        </is>
      </c>
      <c r="E620" t="inlineStr">
        <is>
          <t>VIMMERBY</t>
        </is>
      </c>
      <c r="G620" t="n">
        <v>2.7</v>
      </c>
      <c r="H620" t="n">
        <v>0</v>
      </c>
      <c r="I620" t="n">
        <v>0</v>
      </c>
      <c r="J620" t="n">
        <v>0</v>
      </c>
      <c r="K620" t="n">
        <v>0</v>
      </c>
      <c r="L620" t="n">
        <v>0</v>
      </c>
      <c r="M620" t="n">
        <v>0</v>
      </c>
      <c r="N620" t="n">
        <v>0</v>
      </c>
      <c r="O620" t="n">
        <v>0</v>
      </c>
      <c r="P620" t="n">
        <v>0</v>
      </c>
      <c r="Q620" t="n">
        <v>0</v>
      </c>
      <c r="R620" s="2" t="inlineStr"/>
    </row>
    <row r="621" ht="15" customHeight="1">
      <c r="A621" t="inlineStr">
        <is>
          <t>A 45114-2025</t>
        </is>
      </c>
      <c r="B621" s="1" t="n">
        <v>45919.42387731482</v>
      </c>
      <c r="C621" s="1" t="n">
        <v>46178</v>
      </c>
      <c r="D621" t="inlineStr">
        <is>
          <t>KALMAR LÄN</t>
        </is>
      </c>
      <c r="E621" t="inlineStr">
        <is>
          <t>VIMMERBY</t>
        </is>
      </c>
      <c r="G621" t="n">
        <v>2.7</v>
      </c>
      <c r="H621" t="n">
        <v>0</v>
      </c>
      <c r="I621" t="n">
        <v>0</v>
      </c>
      <c r="J621" t="n">
        <v>0</v>
      </c>
      <c r="K621" t="n">
        <v>0</v>
      </c>
      <c r="L621" t="n">
        <v>0</v>
      </c>
      <c r="M621" t="n">
        <v>0</v>
      </c>
      <c r="N621" t="n">
        <v>0</v>
      </c>
      <c r="O621" t="n">
        <v>0</v>
      </c>
      <c r="P621" t="n">
        <v>0</v>
      </c>
      <c r="Q621" t="n">
        <v>0</v>
      </c>
      <c r="R621" s="2" t="inlineStr"/>
    </row>
    <row r="622" ht="15" customHeight="1">
      <c r="A622" t="inlineStr">
        <is>
          <t>A 58728-2024</t>
        </is>
      </c>
      <c r="B622" s="1" t="n">
        <v>45635.66695601852</v>
      </c>
      <c r="C622" s="1" t="n">
        <v>46178</v>
      </c>
      <c r="D622" t="inlineStr">
        <is>
          <t>KALMAR LÄN</t>
        </is>
      </c>
      <c r="E622" t="inlineStr">
        <is>
          <t>VIMMERBY</t>
        </is>
      </c>
      <c r="G622" t="n">
        <v>0.4</v>
      </c>
      <c r="H622" t="n">
        <v>0</v>
      </c>
      <c r="I622" t="n">
        <v>0</v>
      </c>
      <c r="J622" t="n">
        <v>0</v>
      </c>
      <c r="K622" t="n">
        <v>0</v>
      </c>
      <c r="L622" t="n">
        <v>0</v>
      </c>
      <c r="M622" t="n">
        <v>0</v>
      </c>
      <c r="N622" t="n">
        <v>0</v>
      </c>
      <c r="O622" t="n">
        <v>0</v>
      </c>
      <c r="P622" t="n">
        <v>0</v>
      </c>
      <c r="Q622" t="n">
        <v>0</v>
      </c>
      <c r="R622" s="2" t="inlineStr"/>
    </row>
    <row r="623" ht="15" customHeight="1">
      <c r="A623" t="inlineStr">
        <is>
          <t>A 11303-2025</t>
        </is>
      </c>
      <c r="B623" s="1" t="n">
        <v>45726.44471064815</v>
      </c>
      <c r="C623" s="1" t="n">
        <v>46178</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49474-2023</t>
        </is>
      </c>
      <c r="B624" s="1" t="n">
        <v>45211.541875</v>
      </c>
      <c r="C624" s="1" t="n">
        <v>46178</v>
      </c>
      <c r="D624" t="inlineStr">
        <is>
          <t>KALMAR LÄN</t>
        </is>
      </c>
      <c r="E624" t="inlineStr">
        <is>
          <t>VIMMERBY</t>
        </is>
      </c>
      <c r="G624" t="n">
        <v>3.6</v>
      </c>
      <c r="H624" t="n">
        <v>0</v>
      </c>
      <c r="I624" t="n">
        <v>0</v>
      </c>
      <c r="J624" t="n">
        <v>0</v>
      </c>
      <c r="K624" t="n">
        <v>0</v>
      </c>
      <c r="L624" t="n">
        <v>0</v>
      </c>
      <c r="M624" t="n">
        <v>0</v>
      </c>
      <c r="N624" t="n">
        <v>0</v>
      </c>
      <c r="O624" t="n">
        <v>0</v>
      </c>
      <c r="P624" t="n">
        <v>0</v>
      </c>
      <c r="Q624" t="n">
        <v>0</v>
      </c>
      <c r="R624" s="2" t="inlineStr"/>
    </row>
    <row r="625" ht="15" customHeight="1">
      <c r="A625" t="inlineStr">
        <is>
          <t>A 57682-2022</t>
        </is>
      </c>
      <c r="B625" s="1" t="n">
        <v>44890</v>
      </c>
      <c r="C625" s="1" t="n">
        <v>46178</v>
      </c>
      <c r="D625" t="inlineStr">
        <is>
          <t>KALMAR LÄN</t>
        </is>
      </c>
      <c r="E625" t="inlineStr">
        <is>
          <t>VIMMERBY</t>
        </is>
      </c>
      <c r="G625" t="n">
        <v>1.5</v>
      </c>
      <c r="H625" t="n">
        <v>0</v>
      </c>
      <c r="I625" t="n">
        <v>0</v>
      </c>
      <c r="J625" t="n">
        <v>0</v>
      </c>
      <c r="K625" t="n">
        <v>0</v>
      </c>
      <c r="L625" t="n">
        <v>0</v>
      </c>
      <c r="M625" t="n">
        <v>0</v>
      </c>
      <c r="N625" t="n">
        <v>0</v>
      </c>
      <c r="O625" t="n">
        <v>0</v>
      </c>
      <c r="P625" t="n">
        <v>0</v>
      </c>
      <c r="Q625" t="n">
        <v>0</v>
      </c>
      <c r="R625" s="2" t="inlineStr"/>
    </row>
    <row r="626" ht="15" customHeight="1">
      <c r="A626" t="inlineStr">
        <is>
          <t>A 25345-2026</t>
        </is>
      </c>
      <c r="B626" s="1" t="n">
        <v>46176.58015046296</v>
      </c>
      <c r="C626" s="1" t="n">
        <v>46178</v>
      </c>
      <c r="D626" t="inlineStr">
        <is>
          <t>KALMAR LÄN</t>
        </is>
      </c>
      <c r="E626" t="inlineStr">
        <is>
          <t>VIMMERBY</t>
        </is>
      </c>
      <c r="G626" t="n">
        <v>1.9</v>
      </c>
      <c r="H626" t="n">
        <v>0</v>
      </c>
      <c r="I626" t="n">
        <v>0</v>
      </c>
      <c r="J626" t="n">
        <v>0</v>
      </c>
      <c r="K626" t="n">
        <v>0</v>
      </c>
      <c r="L626" t="n">
        <v>0</v>
      </c>
      <c r="M626" t="n">
        <v>0</v>
      </c>
      <c r="N626" t="n">
        <v>0</v>
      </c>
      <c r="O626" t="n">
        <v>0</v>
      </c>
      <c r="P626" t="n">
        <v>0</v>
      </c>
      <c r="Q626" t="n">
        <v>0</v>
      </c>
      <c r="R626" s="2" t="inlineStr"/>
    </row>
    <row r="627" ht="15" customHeight="1">
      <c r="A627" t="inlineStr">
        <is>
          <t>A 63839-2025</t>
        </is>
      </c>
      <c r="B627" s="1" t="n">
        <v>46020.41998842593</v>
      </c>
      <c r="C627" s="1" t="n">
        <v>46178</v>
      </c>
      <c r="D627" t="inlineStr">
        <is>
          <t>KALMAR LÄN</t>
        </is>
      </c>
      <c r="E627" t="inlineStr">
        <is>
          <t>VIMMERBY</t>
        </is>
      </c>
      <c r="G627" t="n">
        <v>2.9</v>
      </c>
      <c r="H627" t="n">
        <v>0</v>
      </c>
      <c r="I627" t="n">
        <v>0</v>
      </c>
      <c r="J627" t="n">
        <v>0</v>
      </c>
      <c r="K627" t="n">
        <v>0</v>
      </c>
      <c r="L627" t="n">
        <v>0</v>
      </c>
      <c r="M627" t="n">
        <v>0</v>
      </c>
      <c r="N627" t="n">
        <v>0</v>
      </c>
      <c r="O627" t="n">
        <v>0</v>
      </c>
      <c r="P627" t="n">
        <v>0</v>
      </c>
      <c r="Q627" t="n">
        <v>0</v>
      </c>
      <c r="R627" s="2" t="inlineStr"/>
    </row>
    <row r="628" ht="15" customHeight="1">
      <c r="A628" t="inlineStr">
        <is>
          <t>A 63950-2023</t>
        </is>
      </c>
      <c r="B628" s="1" t="n">
        <v>45278</v>
      </c>
      <c r="C628" s="1" t="n">
        <v>46178</v>
      </c>
      <c r="D628" t="inlineStr">
        <is>
          <t>KALMAR LÄN</t>
        </is>
      </c>
      <c r="E628" t="inlineStr">
        <is>
          <t>VIMMERBY</t>
        </is>
      </c>
      <c r="F628" t="inlineStr">
        <is>
          <t>Kyrkan</t>
        </is>
      </c>
      <c r="G628" t="n">
        <v>2.7</v>
      </c>
      <c r="H628" t="n">
        <v>0</v>
      </c>
      <c r="I628" t="n">
        <v>0</v>
      </c>
      <c r="J628" t="n">
        <v>0</v>
      </c>
      <c r="K628" t="n">
        <v>0</v>
      </c>
      <c r="L628" t="n">
        <v>0</v>
      </c>
      <c r="M628" t="n">
        <v>0</v>
      </c>
      <c r="N628" t="n">
        <v>0</v>
      </c>
      <c r="O628" t="n">
        <v>0</v>
      </c>
      <c r="P628" t="n">
        <v>0</v>
      </c>
      <c r="Q628" t="n">
        <v>0</v>
      </c>
      <c r="R628" s="2" t="inlineStr"/>
    </row>
    <row r="629" ht="15" customHeight="1">
      <c r="A629" t="inlineStr">
        <is>
          <t>A 46118-2025</t>
        </is>
      </c>
      <c r="B629" s="1" t="n">
        <v>45924.57697916667</v>
      </c>
      <c r="C629" s="1" t="n">
        <v>46178</v>
      </c>
      <c r="D629" t="inlineStr">
        <is>
          <t>KALMAR LÄN</t>
        </is>
      </c>
      <c r="E629" t="inlineStr">
        <is>
          <t>VIMMERBY</t>
        </is>
      </c>
      <c r="G629" t="n">
        <v>2.9</v>
      </c>
      <c r="H629" t="n">
        <v>0</v>
      </c>
      <c r="I629" t="n">
        <v>0</v>
      </c>
      <c r="J629" t="n">
        <v>0</v>
      </c>
      <c r="K629" t="n">
        <v>0</v>
      </c>
      <c r="L629" t="n">
        <v>0</v>
      </c>
      <c r="M629" t="n">
        <v>0</v>
      </c>
      <c r="N629" t="n">
        <v>0</v>
      </c>
      <c r="O629" t="n">
        <v>0</v>
      </c>
      <c r="P629" t="n">
        <v>0</v>
      </c>
      <c r="Q629" t="n">
        <v>0</v>
      </c>
      <c r="R629" s="2" t="inlineStr"/>
    </row>
    <row r="630" ht="15" customHeight="1">
      <c r="A630" t="inlineStr">
        <is>
          <t>A 25284-2026</t>
        </is>
      </c>
      <c r="B630" s="1" t="n">
        <v>46176.40210648148</v>
      </c>
      <c r="C630" s="1" t="n">
        <v>46178</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16516-2023</t>
        </is>
      </c>
      <c r="B631" s="1" t="n">
        <v>45029</v>
      </c>
      <c r="C631" s="1" t="n">
        <v>46178</v>
      </c>
      <c r="D631" t="inlineStr">
        <is>
          <t>KALMAR LÄN</t>
        </is>
      </c>
      <c r="E631" t="inlineStr">
        <is>
          <t>VIMMERBY</t>
        </is>
      </c>
      <c r="G631" t="n">
        <v>4.3</v>
      </c>
      <c r="H631" t="n">
        <v>0</v>
      </c>
      <c r="I631" t="n">
        <v>0</v>
      </c>
      <c r="J631" t="n">
        <v>0</v>
      </c>
      <c r="K631" t="n">
        <v>0</v>
      </c>
      <c r="L631" t="n">
        <v>0</v>
      </c>
      <c r="M631" t="n">
        <v>0</v>
      </c>
      <c r="N631" t="n">
        <v>0</v>
      </c>
      <c r="O631" t="n">
        <v>0</v>
      </c>
      <c r="P631" t="n">
        <v>0</v>
      </c>
      <c r="Q631" t="n">
        <v>0</v>
      </c>
      <c r="R631" s="2" t="inlineStr"/>
    </row>
    <row r="632" ht="15" customHeight="1">
      <c r="A632" t="inlineStr">
        <is>
          <t>A 58374-2024</t>
        </is>
      </c>
      <c r="B632" s="1" t="n">
        <v>45632.72635416667</v>
      </c>
      <c r="C632" s="1" t="n">
        <v>46178</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47842-2024</t>
        </is>
      </c>
      <c r="B633" s="1" t="n">
        <v>45588.65545138889</v>
      </c>
      <c r="C633" s="1" t="n">
        <v>46178</v>
      </c>
      <c r="D633" t="inlineStr">
        <is>
          <t>KALMAR LÄN</t>
        </is>
      </c>
      <c r="E633" t="inlineStr">
        <is>
          <t>VIMMERBY</t>
        </is>
      </c>
      <c r="G633" t="n">
        <v>2.4</v>
      </c>
      <c r="H633" t="n">
        <v>0</v>
      </c>
      <c r="I633" t="n">
        <v>0</v>
      </c>
      <c r="J633" t="n">
        <v>0</v>
      </c>
      <c r="K633" t="n">
        <v>0</v>
      </c>
      <c r="L633" t="n">
        <v>0</v>
      </c>
      <c r="M633" t="n">
        <v>0</v>
      </c>
      <c r="N633" t="n">
        <v>0</v>
      </c>
      <c r="O633" t="n">
        <v>0</v>
      </c>
      <c r="P633" t="n">
        <v>0</v>
      </c>
      <c r="Q633" t="n">
        <v>0</v>
      </c>
      <c r="R633" s="2" t="inlineStr"/>
    </row>
    <row r="634" ht="15" customHeight="1">
      <c r="A634" t="inlineStr">
        <is>
          <t>A 15391-2025</t>
        </is>
      </c>
      <c r="B634" s="1" t="n">
        <v>45747.42958333333</v>
      </c>
      <c r="C634" s="1" t="n">
        <v>46178</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35597-2025</t>
        </is>
      </c>
      <c r="B635" s="1" t="n">
        <v>45858.66019675926</v>
      </c>
      <c r="C635" s="1" t="n">
        <v>46178</v>
      </c>
      <c r="D635" t="inlineStr">
        <is>
          <t>KALMAR LÄN</t>
        </is>
      </c>
      <c r="E635" t="inlineStr">
        <is>
          <t>VIMMERBY</t>
        </is>
      </c>
      <c r="G635" t="n">
        <v>6.4</v>
      </c>
      <c r="H635" t="n">
        <v>0</v>
      </c>
      <c r="I635" t="n">
        <v>0</v>
      </c>
      <c r="J635" t="n">
        <v>0</v>
      </c>
      <c r="K635" t="n">
        <v>0</v>
      </c>
      <c r="L635" t="n">
        <v>0</v>
      </c>
      <c r="M635" t="n">
        <v>0</v>
      </c>
      <c r="N635" t="n">
        <v>0</v>
      </c>
      <c r="O635" t="n">
        <v>0</v>
      </c>
      <c r="P635" t="n">
        <v>0</v>
      </c>
      <c r="Q635" t="n">
        <v>0</v>
      </c>
      <c r="R635" s="2" t="inlineStr"/>
    </row>
    <row r="636" ht="15" customHeight="1">
      <c r="A636" t="inlineStr">
        <is>
          <t>A 36273-2025</t>
        </is>
      </c>
      <c r="B636" s="1" t="n">
        <v>45867.63094907408</v>
      </c>
      <c r="C636" s="1" t="n">
        <v>46178</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36282-2025</t>
        </is>
      </c>
      <c r="B637" s="1" t="n">
        <v>45867.64663194444</v>
      </c>
      <c r="C637" s="1" t="n">
        <v>46178</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6408-2025</t>
        </is>
      </c>
      <c r="B638" s="1" t="n">
        <v>45699.45671296296</v>
      </c>
      <c r="C638" s="1" t="n">
        <v>46178</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25109-2023</t>
        </is>
      </c>
      <c r="B639" s="1" t="n">
        <v>45086</v>
      </c>
      <c r="C639" s="1" t="n">
        <v>46178</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33380-2023</t>
        </is>
      </c>
      <c r="B640" s="1" t="n">
        <v>45128</v>
      </c>
      <c r="C640" s="1" t="n">
        <v>46178</v>
      </c>
      <c r="D640" t="inlineStr">
        <is>
          <t>KALMAR LÄN</t>
        </is>
      </c>
      <c r="E640" t="inlineStr">
        <is>
          <t>VIMMERBY</t>
        </is>
      </c>
      <c r="G640" t="n">
        <v>5.2</v>
      </c>
      <c r="H640" t="n">
        <v>0</v>
      </c>
      <c r="I640" t="n">
        <v>0</v>
      </c>
      <c r="J640" t="n">
        <v>0</v>
      </c>
      <c r="K640" t="n">
        <v>0</v>
      </c>
      <c r="L640" t="n">
        <v>0</v>
      </c>
      <c r="M640" t="n">
        <v>0</v>
      </c>
      <c r="N640" t="n">
        <v>0</v>
      </c>
      <c r="O640" t="n">
        <v>0</v>
      </c>
      <c r="P640" t="n">
        <v>0</v>
      </c>
      <c r="Q640" t="n">
        <v>0</v>
      </c>
      <c r="R640" s="2" t="inlineStr"/>
    </row>
    <row r="641" ht="15" customHeight="1">
      <c r="A641" t="inlineStr">
        <is>
          <t>A 37866-2025</t>
        </is>
      </c>
      <c r="B641" s="1" t="n">
        <v>45881</v>
      </c>
      <c r="C641" s="1" t="n">
        <v>46178</v>
      </c>
      <c r="D641" t="inlineStr">
        <is>
          <t>KALMAR LÄN</t>
        </is>
      </c>
      <c r="E641" t="inlineStr">
        <is>
          <t>VIMMERBY</t>
        </is>
      </c>
      <c r="G641" t="n">
        <v>3.4</v>
      </c>
      <c r="H641" t="n">
        <v>0</v>
      </c>
      <c r="I641" t="n">
        <v>0</v>
      </c>
      <c r="J641" t="n">
        <v>0</v>
      </c>
      <c r="K641" t="n">
        <v>0</v>
      </c>
      <c r="L641" t="n">
        <v>0</v>
      </c>
      <c r="M641" t="n">
        <v>0</v>
      </c>
      <c r="N641" t="n">
        <v>0</v>
      </c>
      <c r="O641" t="n">
        <v>0</v>
      </c>
      <c r="P641" t="n">
        <v>0</v>
      </c>
      <c r="Q641" t="n">
        <v>0</v>
      </c>
      <c r="R641" s="2" t="inlineStr"/>
    </row>
    <row r="642" ht="15" customHeight="1">
      <c r="A642" t="inlineStr">
        <is>
          <t>A 58159-2024</t>
        </is>
      </c>
      <c r="B642" s="1" t="n">
        <v>45632.44886574074</v>
      </c>
      <c r="C642" s="1" t="n">
        <v>46178</v>
      </c>
      <c r="D642" t="inlineStr">
        <is>
          <t>KALMAR LÄN</t>
        </is>
      </c>
      <c r="E642" t="inlineStr">
        <is>
          <t>VIMMERBY</t>
        </is>
      </c>
      <c r="G642" t="n">
        <v>7.5</v>
      </c>
      <c r="H642" t="n">
        <v>0</v>
      </c>
      <c r="I642" t="n">
        <v>0</v>
      </c>
      <c r="J642" t="n">
        <v>0</v>
      </c>
      <c r="K642" t="n">
        <v>0</v>
      </c>
      <c r="L642" t="n">
        <v>0</v>
      </c>
      <c r="M642" t="n">
        <v>0</v>
      </c>
      <c r="N642" t="n">
        <v>0</v>
      </c>
      <c r="O642" t="n">
        <v>0</v>
      </c>
      <c r="P642" t="n">
        <v>0</v>
      </c>
      <c r="Q642" t="n">
        <v>0</v>
      </c>
      <c r="R642" s="2" t="inlineStr"/>
    </row>
    <row r="643" ht="15" customHeight="1">
      <c r="A643" t="inlineStr">
        <is>
          <t>A 29727-2025</t>
        </is>
      </c>
      <c r="B643" s="1" t="n">
        <v>45825.5796875</v>
      </c>
      <c r="C643" s="1" t="n">
        <v>46178</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32642-2023</t>
        </is>
      </c>
      <c r="B644" s="1" t="n">
        <v>45121.59954861111</v>
      </c>
      <c r="C644" s="1" t="n">
        <v>46178</v>
      </c>
      <c r="D644" t="inlineStr">
        <is>
          <t>KALMAR LÄN</t>
        </is>
      </c>
      <c r="E644" t="inlineStr">
        <is>
          <t>VIMMERBY</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32651-2023</t>
        </is>
      </c>
      <c r="B645" s="1" t="n">
        <v>45121.6096875</v>
      </c>
      <c r="C645" s="1" t="n">
        <v>46178</v>
      </c>
      <c r="D645" t="inlineStr">
        <is>
          <t>KALMAR LÄN</t>
        </is>
      </c>
      <c r="E645" t="inlineStr">
        <is>
          <t>VIMMERBY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11928-2022</t>
        </is>
      </c>
      <c r="B646" s="1" t="n">
        <v>44635</v>
      </c>
      <c r="C646" s="1" t="n">
        <v>46178</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55602-2025</t>
        </is>
      </c>
      <c r="B647" s="1" t="n">
        <v>45971</v>
      </c>
      <c r="C647" s="1" t="n">
        <v>46178</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48409-2025</t>
        </is>
      </c>
      <c r="B648" s="1" t="n">
        <v>45934.41387731482</v>
      </c>
      <c r="C648" s="1" t="n">
        <v>46178</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36221-2025</t>
        </is>
      </c>
      <c r="B649" s="1" t="n">
        <v>45867.50792824074</v>
      </c>
      <c r="C649" s="1" t="n">
        <v>46178</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17-2025</t>
        </is>
      </c>
      <c r="B650" s="1" t="n">
        <v>45658.78774305555</v>
      </c>
      <c r="C650" s="1" t="n">
        <v>46178</v>
      </c>
      <c r="D650" t="inlineStr">
        <is>
          <t>KALMAR LÄN</t>
        </is>
      </c>
      <c r="E650" t="inlineStr">
        <is>
          <t>VIMMERBY</t>
        </is>
      </c>
      <c r="G650" t="n">
        <v>4.4</v>
      </c>
      <c r="H650" t="n">
        <v>0</v>
      </c>
      <c r="I650" t="n">
        <v>0</v>
      </c>
      <c r="J650" t="n">
        <v>0</v>
      </c>
      <c r="K650" t="n">
        <v>0</v>
      </c>
      <c r="L650" t="n">
        <v>0</v>
      </c>
      <c r="M650" t="n">
        <v>0</v>
      </c>
      <c r="N650" t="n">
        <v>0</v>
      </c>
      <c r="O650" t="n">
        <v>0</v>
      </c>
      <c r="P650" t="n">
        <v>0</v>
      </c>
      <c r="Q650" t="n">
        <v>0</v>
      </c>
      <c r="R650" s="2" t="inlineStr"/>
    </row>
    <row r="651" ht="15" customHeight="1">
      <c r="A651" t="inlineStr">
        <is>
          <t>A 7068-2024</t>
        </is>
      </c>
      <c r="B651" s="1" t="n">
        <v>45343.68038194445</v>
      </c>
      <c r="C651" s="1" t="n">
        <v>46178</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46234-2024</t>
        </is>
      </c>
      <c r="B652" s="1" t="n">
        <v>45581.57958333333</v>
      </c>
      <c r="C652" s="1" t="n">
        <v>46178</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37187-2024</t>
        </is>
      </c>
      <c r="B653" s="1" t="n">
        <v>45539.65212962963</v>
      </c>
      <c r="C653" s="1" t="n">
        <v>46178</v>
      </c>
      <c r="D653" t="inlineStr">
        <is>
          <t>KALMAR LÄN</t>
        </is>
      </c>
      <c r="E653" t="inlineStr">
        <is>
          <t>VIMMERBY</t>
        </is>
      </c>
      <c r="G653" t="n">
        <v>2.7</v>
      </c>
      <c r="H653" t="n">
        <v>0</v>
      </c>
      <c r="I653" t="n">
        <v>0</v>
      </c>
      <c r="J653" t="n">
        <v>0</v>
      </c>
      <c r="K653" t="n">
        <v>0</v>
      </c>
      <c r="L653" t="n">
        <v>0</v>
      </c>
      <c r="M653" t="n">
        <v>0</v>
      </c>
      <c r="N653" t="n">
        <v>0</v>
      </c>
      <c r="O653" t="n">
        <v>0</v>
      </c>
      <c r="P653" t="n">
        <v>0</v>
      </c>
      <c r="Q653" t="n">
        <v>0</v>
      </c>
      <c r="R653" s="2" t="inlineStr"/>
    </row>
    <row r="654" ht="15" customHeight="1">
      <c r="A654" t="inlineStr">
        <is>
          <t>A 1021-2024</t>
        </is>
      </c>
      <c r="B654" s="1" t="n">
        <v>45301.67736111111</v>
      </c>
      <c r="C654" s="1" t="n">
        <v>46178</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72701-2021</t>
        </is>
      </c>
      <c r="B655" s="1" t="n">
        <v>44546</v>
      </c>
      <c r="C655" s="1" t="n">
        <v>46178</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19111-2025</t>
        </is>
      </c>
      <c r="B656" s="1" t="n">
        <v>45768.65611111111</v>
      </c>
      <c r="C656" s="1" t="n">
        <v>46178</v>
      </c>
      <c r="D656" t="inlineStr">
        <is>
          <t>KALMAR LÄN</t>
        </is>
      </c>
      <c r="E656" t="inlineStr">
        <is>
          <t>VIMMERBY</t>
        </is>
      </c>
      <c r="G656" t="n">
        <v>6.2</v>
      </c>
      <c r="H656" t="n">
        <v>0</v>
      </c>
      <c r="I656" t="n">
        <v>0</v>
      </c>
      <c r="J656" t="n">
        <v>0</v>
      </c>
      <c r="K656" t="n">
        <v>0</v>
      </c>
      <c r="L656" t="n">
        <v>0</v>
      </c>
      <c r="M656" t="n">
        <v>0</v>
      </c>
      <c r="N656" t="n">
        <v>0</v>
      </c>
      <c r="O656" t="n">
        <v>0</v>
      </c>
      <c r="P656" t="n">
        <v>0</v>
      </c>
      <c r="Q656" t="n">
        <v>0</v>
      </c>
      <c r="R656" s="2" t="inlineStr"/>
    </row>
    <row r="657" ht="15" customHeight="1">
      <c r="A657" t="inlineStr">
        <is>
          <t>A 33374-2021</t>
        </is>
      </c>
      <c r="B657" s="1" t="n">
        <v>44377</v>
      </c>
      <c r="C657" s="1" t="n">
        <v>46178</v>
      </c>
      <c r="D657" t="inlineStr">
        <is>
          <t>KALMAR LÄN</t>
        </is>
      </c>
      <c r="E657" t="inlineStr">
        <is>
          <t>VIMMERBY</t>
        </is>
      </c>
      <c r="G657" t="n">
        <v>3.3</v>
      </c>
      <c r="H657" t="n">
        <v>0</v>
      </c>
      <c r="I657" t="n">
        <v>0</v>
      </c>
      <c r="J657" t="n">
        <v>0</v>
      </c>
      <c r="K657" t="n">
        <v>0</v>
      </c>
      <c r="L657" t="n">
        <v>0</v>
      </c>
      <c r="M657" t="n">
        <v>0</v>
      </c>
      <c r="N657" t="n">
        <v>0</v>
      </c>
      <c r="O657" t="n">
        <v>0</v>
      </c>
      <c r="P657" t="n">
        <v>0</v>
      </c>
      <c r="Q657" t="n">
        <v>0</v>
      </c>
      <c r="R657" s="2" t="inlineStr"/>
    </row>
    <row r="658" ht="15" customHeight="1">
      <c r="A658" t="inlineStr">
        <is>
          <t>A 10807-2024</t>
        </is>
      </c>
      <c r="B658" s="1" t="n">
        <v>45369.62780092593</v>
      </c>
      <c r="C658" s="1" t="n">
        <v>46178</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33359-2021</t>
        </is>
      </c>
      <c r="B659" s="1" t="n">
        <v>44377.49684027778</v>
      </c>
      <c r="C659" s="1" t="n">
        <v>46178</v>
      </c>
      <c r="D659" t="inlineStr">
        <is>
          <t>KALMAR LÄN</t>
        </is>
      </c>
      <c r="E659" t="inlineStr">
        <is>
          <t>VIMMERBY</t>
        </is>
      </c>
      <c r="F659" t="inlineStr">
        <is>
          <t>Kommuner</t>
        </is>
      </c>
      <c r="G659" t="n">
        <v>8</v>
      </c>
      <c r="H659" t="n">
        <v>0</v>
      </c>
      <c r="I659" t="n">
        <v>0</v>
      </c>
      <c r="J659" t="n">
        <v>0</v>
      </c>
      <c r="K659" t="n">
        <v>0</v>
      </c>
      <c r="L659" t="n">
        <v>0</v>
      </c>
      <c r="M659" t="n">
        <v>0</v>
      </c>
      <c r="N659" t="n">
        <v>0</v>
      </c>
      <c r="O659" t="n">
        <v>0</v>
      </c>
      <c r="P659" t="n">
        <v>0</v>
      </c>
      <c r="Q659" t="n">
        <v>0</v>
      </c>
      <c r="R659" s="2" t="inlineStr"/>
    </row>
    <row r="660" ht="15" customHeight="1">
      <c r="A660" t="inlineStr">
        <is>
          <t>A 34588-2024</t>
        </is>
      </c>
      <c r="B660" s="1" t="n">
        <v>45526.3865625</v>
      </c>
      <c r="C660" s="1" t="n">
        <v>46178</v>
      </c>
      <c r="D660" t="inlineStr">
        <is>
          <t>KALMAR LÄN</t>
        </is>
      </c>
      <c r="E660" t="inlineStr">
        <is>
          <t>VIMMERBY</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17084-2025</t>
        </is>
      </c>
      <c r="B661" s="1" t="n">
        <v>45755.64450231481</v>
      </c>
      <c r="C661" s="1" t="n">
        <v>46178</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33161-2024</t>
        </is>
      </c>
      <c r="B662" s="1" t="n">
        <v>45518.40657407408</v>
      </c>
      <c r="C662" s="1" t="n">
        <v>46178</v>
      </c>
      <c r="D662" t="inlineStr">
        <is>
          <t>KALMAR LÄN</t>
        </is>
      </c>
      <c r="E662" t="inlineStr">
        <is>
          <t>VIMMERBY</t>
        </is>
      </c>
      <c r="G662" t="n">
        <v>4.7</v>
      </c>
      <c r="H662" t="n">
        <v>0</v>
      </c>
      <c r="I662" t="n">
        <v>0</v>
      </c>
      <c r="J662" t="n">
        <v>0</v>
      </c>
      <c r="K662" t="n">
        <v>0</v>
      </c>
      <c r="L662" t="n">
        <v>0</v>
      </c>
      <c r="M662" t="n">
        <v>0</v>
      </c>
      <c r="N662" t="n">
        <v>0</v>
      </c>
      <c r="O662" t="n">
        <v>0</v>
      </c>
      <c r="P662" t="n">
        <v>0</v>
      </c>
      <c r="Q662" t="n">
        <v>0</v>
      </c>
      <c r="R662" s="2" t="inlineStr"/>
    </row>
    <row r="663" ht="15" customHeight="1">
      <c r="A663" t="inlineStr">
        <is>
          <t>A 14359-2025</t>
        </is>
      </c>
      <c r="B663" s="1" t="n">
        <v>45741.37270833334</v>
      </c>
      <c r="C663" s="1" t="n">
        <v>46178</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55605-2024</t>
        </is>
      </c>
      <c r="B664" s="1" t="n">
        <v>45622</v>
      </c>
      <c r="C664" s="1" t="n">
        <v>46178</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44464-2024</t>
        </is>
      </c>
      <c r="B665" s="1" t="n">
        <v>45574.35809027778</v>
      </c>
      <c r="C665" s="1" t="n">
        <v>46178</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36049-2024</t>
        </is>
      </c>
      <c r="B666" s="1" t="n">
        <v>45533.61996527778</v>
      </c>
      <c r="C666" s="1" t="n">
        <v>46178</v>
      </c>
      <c r="D666" t="inlineStr">
        <is>
          <t>KALMAR LÄN</t>
        </is>
      </c>
      <c r="E666" t="inlineStr">
        <is>
          <t>VIMMERBY</t>
        </is>
      </c>
      <c r="F666" t="inlineStr">
        <is>
          <t>Kommuner</t>
        </is>
      </c>
      <c r="G666" t="n">
        <v>2.6</v>
      </c>
      <c r="H666" t="n">
        <v>0</v>
      </c>
      <c r="I666" t="n">
        <v>0</v>
      </c>
      <c r="J666" t="n">
        <v>0</v>
      </c>
      <c r="K666" t="n">
        <v>0</v>
      </c>
      <c r="L666" t="n">
        <v>0</v>
      </c>
      <c r="M666" t="n">
        <v>0</v>
      </c>
      <c r="N666" t="n">
        <v>0</v>
      </c>
      <c r="O666" t="n">
        <v>0</v>
      </c>
      <c r="P666" t="n">
        <v>0</v>
      </c>
      <c r="Q666" t="n">
        <v>0</v>
      </c>
      <c r="R666" s="2" t="inlineStr"/>
    </row>
    <row r="667" ht="15" customHeight="1">
      <c r="A667" t="inlineStr">
        <is>
          <t>A 4297-2022</t>
        </is>
      </c>
      <c r="B667" s="1" t="n">
        <v>44588</v>
      </c>
      <c r="C667" s="1" t="n">
        <v>46178</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43038-2022</t>
        </is>
      </c>
      <c r="B668" s="1" t="n">
        <v>44833.60123842592</v>
      </c>
      <c r="C668" s="1" t="n">
        <v>46178</v>
      </c>
      <c r="D668" t="inlineStr">
        <is>
          <t>KALMAR LÄN</t>
        </is>
      </c>
      <c r="E668" t="inlineStr">
        <is>
          <t>VIMMERBY</t>
        </is>
      </c>
      <c r="G668" t="n">
        <v>4.2</v>
      </c>
      <c r="H668" t="n">
        <v>0</v>
      </c>
      <c r="I668" t="n">
        <v>0</v>
      </c>
      <c r="J668" t="n">
        <v>0</v>
      </c>
      <c r="K668" t="n">
        <v>0</v>
      </c>
      <c r="L668" t="n">
        <v>0</v>
      </c>
      <c r="M668" t="n">
        <v>0</v>
      </c>
      <c r="N668" t="n">
        <v>0</v>
      </c>
      <c r="O668" t="n">
        <v>0</v>
      </c>
      <c r="P668" t="n">
        <v>0</v>
      </c>
      <c r="Q668" t="n">
        <v>0</v>
      </c>
      <c r="R668" s="2" t="inlineStr"/>
    </row>
    <row r="669" ht="15" customHeight="1">
      <c r="A669" t="inlineStr">
        <is>
          <t>A 57799-2022</t>
        </is>
      </c>
      <c r="B669" s="1" t="n">
        <v>44897</v>
      </c>
      <c r="C669" s="1" t="n">
        <v>46178</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30921-2024</t>
        </is>
      </c>
      <c r="B670" s="1" t="n">
        <v>45498</v>
      </c>
      <c r="C670" s="1" t="n">
        <v>46178</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14137-2023</t>
        </is>
      </c>
      <c r="B671" s="1" t="n">
        <v>45009.4671875</v>
      </c>
      <c r="C671" s="1" t="n">
        <v>46178</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11152-2023</t>
        </is>
      </c>
      <c r="B672" s="1" t="n">
        <v>44992</v>
      </c>
      <c r="C672" s="1" t="n">
        <v>46178</v>
      </c>
      <c r="D672" t="inlineStr">
        <is>
          <t>KALMAR LÄN</t>
        </is>
      </c>
      <c r="E672" t="inlineStr">
        <is>
          <t>VIMMERBY</t>
        </is>
      </c>
      <c r="G672" t="n">
        <v>10.6</v>
      </c>
      <c r="H672" t="n">
        <v>0</v>
      </c>
      <c r="I672" t="n">
        <v>0</v>
      </c>
      <c r="J672" t="n">
        <v>0</v>
      </c>
      <c r="K672" t="n">
        <v>0</v>
      </c>
      <c r="L672" t="n">
        <v>0</v>
      </c>
      <c r="M672" t="n">
        <v>0</v>
      </c>
      <c r="N672" t="n">
        <v>0</v>
      </c>
      <c r="O672" t="n">
        <v>0</v>
      </c>
      <c r="P672" t="n">
        <v>0</v>
      </c>
      <c r="Q672" t="n">
        <v>0</v>
      </c>
      <c r="R672" s="2" t="inlineStr"/>
    </row>
    <row r="673" ht="15" customHeight="1">
      <c r="A673" t="inlineStr">
        <is>
          <t>A 12499-2023</t>
        </is>
      </c>
      <c r="B673" s="1" t="n">
        <v>44999.86172453704</v>
      </c>
      <c r="C673" s="1" t="n">
        <v>46178</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12500-2023</t>
        </is>
      </c>
      <c r="B674" s="1" t="n">
        <v>44999.8625</v>
      </c>
      <c r="C674" s="1" t="n">
        <v>46178</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35846-2023</t>
        </is>
      </c>
      <c r="B675" s="1" t="n">
        <v>45148</v>
      </c>
      <c r="C675" s="1" t="n">
        <v>46178</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49039-2021</t>
        </is>
      </c>
      <c r="B676" s="1" t="n">
        <v>44453.56578703703</v>
      </c>
      <c r="C676" s="1" t="n">
        <v>46178</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46224-2024</t>
        </is>
      </c>
      <c r="B677" s="1" t="n">
        <v>45581.57016203704</v>
      </c>
      <c r="C677" s="1" t="n">
        <v>46178</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46238-2024</t>
        </is>
      </c>
      <c r="B678" s="1" t="n">
        <v>45581.58418981481</v>
      </c>
      <c r="C678" s="1" t="n">
        <v>46178</v>
      </c>
      <c r="D678" t="inlineStr">
        <is>
          <t>KALMAR LÄN</t>
        </is>
      </c>
      <c r="E678" t="inlineStr">
        <is>
          <t>VIMMERBY</t>
        </is>
      </c>
      <c r="G678" t="n">
        <v>2.1</v>
      </c>
      <c r="H678" t="n">
        <v>0</v>
      </c>
      <c r="I678" t="n">
        <v>0</v>
      </c>
      <c r="J678" t="n">
        <v>0</v>
      </c>
      <c r="K678" t="n">
        <v>0</v>
      </c>
      <c r="L678" t="n">
        <v>0</v>
      </c>
      <c r="M678" t="n">
        <v>0</v>
      </c>
      <c r="N678" t="n">
        <v>0</v>
      </c>
      <c r="O678" t="n">
        <v>0</v>
      </c>
      <c r="P678" t="n">
        <v>0</v>
      </c>
      <c r="Q678" t="n">
        <v>0</v>
      </c>
      <c r="R678" s="2" t="inlineStr"/>
    </row>
    <row r="679" ht="15" customHeight="1">
      <c r="A679" t="inlineStr">
        <is>
          <t>A 30633-2024</t>
        </is>
      </c>
      <c r="B679" s="1" t="n">
        <v>45495</v>
      </c>
      <c r="C679" s="1" t="n">
        <v>46178</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54838-2024</t>
        </is>
      </c>
      <c r="B680" s="1" t="n">
        <v>45618.56787037037</v>
      </c>
      <c r="C680" s="1" t="n">
        <v>46178</v>
      </c>
      <c r="D680" t="inlineStr">
        <is>
          <t>KALMAR LÄN</t>
        </is>
      </c>
      <c r="E680" t="inlineStr">
        <is>
          <t>VIMMERBY</t>
        </is>
      </c>
      <c r="G680" t="n">
        <v>3.3</v>
      </c>
      <c r="H680" t="n">
        <v>0</v>
      </c>
      <c r="I680" t="n">
        <v>0</v>
      </c>
      <c r="J680" t="n">
        <v>0</v>
      </c>
      <c r="K680" t="n">
        <v>0</v>
      </c>
      <c r="L680" t="n">
        <v>0</v>
      </c>
      <c r="M680" t="n">
        <v>0</v>
      </c>
      <c r="N680" t="n">
        <v>0</v>
      </c>
      <c r="O680" t="n">
        <v>0</v>
      </c>
      <c r="P680" t="n">
        <v>0</v>
      </c>
      <c r="Q680" t="n">
        <v>0</v>
      </c>
      <c r="R680" s="2" t="inlineStr"/>
    </row>
    <row r="681" ht="15" customHeight="1">
      <c r="A681" t="inlineStr">
        <is>
          <t>A 6405-2025</t>
        </is>
      </c>
      <c r="B681" s="1" t="n">
        <v>45699.45392361111</v>
      </c>
      <c r="C681" s="1" t="n">
        <v>46178</v>
      </c>
      <c r="D681" t="inlineStr">
        <is>
          <t>KALMAR LÄN</t>
        </is>
      </c>
      <c r="E681" t="inlineStr">
        <is>
          <t>VIMMERBY</t>
        </is>
      </c>
      <c r="G681" t="n">
        <v>1.2</v>
      </c>
      <c r="H681" t="n">
        <v>0</v>
      </c>
      <c r="I681" t="n">
        <v>0</v>
      </c>
      <c r="J681" t="n">
        <v>0</v>
      </c>
      <c r="K681" t="n">
        <v>0</v>
      </c>
      <c r="L681" t="n">
        <v>0</v>
      </c>
      <c r="M681" t="n">
        <v>0</v>
      </c>
      <c r="N681" t="n">
        <v>0</v>
      </c>
      <c r="O681" t="n">
        <v>0</v>
      </c>
      <c r="P681" t="n">
        <v>0</v>
      </c>
      <c r="Q681" t="n">
        <v>0</v>
      </c>
      <c r="R681" s="2" t="inlineStr"/>
    </row>
    <row r="682" ht="15" customHeight="1">
      <c r="A682" t="inlineStr">
        <is>
          <t>A 60437-2023</t>
        </is>
      </c>
      <c r="B682" s="1" t="n">
        <v>45259.51916666667</v>
      </c>
      <c r="C682" s="1" t="n">
        <v>46178</v>
      </c>
      <c r="D682" t="inlineStr">
        <is>
          <t>KALMAR LÄN</t>
        </is>
      </c>
      <c r="E682" t="inlineStr">
        <is>
          <t>VIMMERBY</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60438-2023</t>
        </is>
      </c>
      <c r="B683" s="1" t="n">
        <v>45259.52020833334</v>
      </c>
      <c r="C683" s="1" t="n">
        <v>46178</v>
      </c>
      <c r="D683" t="inlineStr">
        <is>
          <t>KALMAR LÄN</t>
        </is>
      </c>
      <c r="E683" t="inlineStr">
        <is>
          <t>VIMMERBY</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42165-2024</t>
        </is>
      </c>
      <c r="B684" s="1" t="n">
        <v>45562.46342592593</v>
      </c>
      <c r="C684" s="1" t="n">
        <v>46178</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25244-2023</t>
        </is>
      </c>
      <c r="B685" s="1" t="n">
        <v>45086</v>
      </c>
      <c r="C685" s="1" t="n">
        <v>46178</v>
      </c>
      <c r="D685" t="inlineStr">
        <is>
          <t>KALMAR LÄN</t>
        </is>
      </c>
      <c r="E685" t="inlineStr">
        <is>
          <t>VIMMERBY</t>
        </is>
      </c>
      <c r="G685" t="n">
        <v>4.7</v>
      </c>
      <c r="H685" t="n">
        <v>0</v>
      </c>
      <c r="I685" t="n">
        <v>0</v>
      </c>
      <c r="J685" t="n">
        <v>0</v>
      </c>
      <c r="K685" t="n">
        <v>0</v>
      </c>
      <c r="L685" t="n">
        <v>0</v>
      </c>
      <c r="M685" t="n">
        <v>0</v>
      </c>
      <c r="N685" t="n">
        <v>0</v>
      </c>
      <c r="O685" t="n">
        <v>0</v>
      </c>
      <c r="P685" t="n">
        <v>0</v>
      </c>
      <c r="Q685" t="n">
        <v>0</v>
      </c>
      <c r="R685" s="2" t="inlineStr"/>
    </row>
    <row r="686" ht="15" customHeight="1">
      <c r="A686" t="inlineStr">
        <is>
          <t>A 66022-2021</t>
        </is>
      </c>
      <c r="B686" s="1" t="n">
        <v>44517</v>
      </c>
      <c r="C686" s="1" t="n">
        <v>46178</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35895-2024</t>
        </is>
      </c>
      <c r="B687" s="1" t="n">
        <v>45533.38870370371</v>
      </c>
      <c r="C687" s="1" t="n">
        <v>46178</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11073-2023</t>
        </is>
      </c>
      <c r="B688" s="1" t="n">
        <v>44992</v>
      </c>
      <c r="C688" s="1" t="n">
        <v>46178</v>
      </c>
      <c r="D688" t="inlineStr">
        <is>
          <t>KALMAR LÄN</t>
        </is>
      </c>
      <c r="E688" t="inlineStr">
        <is>
          <t>VIMMERBY</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32655-2023</t>
        </is>
      </c>
      <c r="B689" s="1" t="n">
        <v>45121.61318287037</v>
      </c>
      <c r="C689" s="1" t="n">
        <v>46178</v>
      </c>
      <c r="D689" t="inlineStr">
        <is>
          <t>KALMAR LÄN</t>
        </is>
      </c>
      <c r="E689" t="inlineStr">
        <is>
          <t>VIMMERBY</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63541-2023</t>
        </is>
      </c>
      <c r="B690" s="1" t="n">
        <v>45275.32266203704</v>
      </c>
      <c r="C690" s="1" t="n">
        <v>46178</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28034-2022</t>
        </is>
      </c>
      <c r="B691" s="1" t="n">
        <v>44746.38834490741</v>
      </c>
      <c r="C691" s="1" t="n">
        <v>46178</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5938-2022</t>
        </is>
      </c>
      <c r="B692" s="1" t="n">
        <v>44598</v>
      </c>
      <c r="C692" s="1" t="n">
        <v>46178</v>
      </c>
      <c r="D692" t="inlineStr">
        <is>
          <t>KALMAR LÄN</t>
        </is>
      </c>
      <c r="E692" t="inlineStr">
        <is>
          <t>VIMMERBY</t>
        </is>
      </c>
      <c r="G692" t="n">
        <v>2.4</v>
      </c>
      <c r="H692" t="n">
        <v>0</v>
      </c>
      <c r="I692" t="n">
        <v>0</v>
      </c>
      <c r="J692" t="n">
        <v>0</v>
      </c>
      <c r="K692" t="n">
        <v>0</v>
      </c>
      <c r="L692" t="n">
        <v>0</v>
      </c>
      <c r="M692" t="n">
        <v>0</v>
      </c>
      <c r="N692" t="n">
        <v>0</v>
      </c>
      <c r="O692" t="n">
        <v>0</v>
      </c>
      <c r="P692" t="n">
        <v>0</v>
      </c>
      <c r="Q692" t="n">
        <v>0</v>
      </c>
      <c r="R692" s="2" t="inlineStr"/>
    </row>
    <row r="693" ht="15" customHeight="1">
      <c r="A693" t="inlineStr">
        <is>
          <t>A 24283-2023</t>
        </is>
      </c>
      <c r="B693" s="1" t="n">
        <v>45079.87827546296</v>
      </c>
      <c r="C693" s="1" t="n">
        <v>46178</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2462-2022</t>
        </is>
      </c>
      <c r="B694" s="1" t="n">
        <v>44579.62225694444</v>
      </c>
      <c r="C694" s="1" t="n">
        <v>46178</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60228-2021</t>
        </is>
      </c>
      <c r="B695" s="1" t="n">
        <v>44495</v>
      </c>
      <c r="C695" s="1" t="n">
        <v>46178</v>
      </c>
      <c r="D695" t="inlineStr">
        <is>
          <t>KALMAR LÄN</t>
        </is>
      </c>
      <c r="E695" t="inlineStr">
        <is>
          <t>VIMMERBY</t>
        </is>
      </c>
      <c r="G695" t="n">
        <v>4.1</v>
      </c>
      <c r="H695" t="n">
        <v>0</v>
      </c>
      <c r="I695" t="n">
        <v>0</v>
      </c>
      <c r="J695" t="n">
        <v>0</v>
      </c>
      <c r="K695" t="n">
        <v>0</v>
      </c>
      <c r="L695" t="n">
        <v>0</v>
      </c>
      <c r="M695" t="n">
        <v>0</v>
      </c>
      <c r="N695" t="n">
        <v>0</v>
      </c>
      <c r="O695" t="n">
        <v>0</v>
      </c>
      <c r="P695" t="n">
        <v>0</v>
      </c>
      <c r="Q695" t="n">
        <v>0</v>
      </c>
      <c r="R695" s="2" t="inlineStr"/>
    </row>
    <row r="696" ht="15" customHeight="1">
      <c r="A696" t="inlineStr">
        <is>
          <t>A 25979-2023</t>
        </is>
      </c>
      <c r="B696" s="1" t="n">
        <v>45090.89653935185</v>
      </c>
      <c r="C696" s="1" t="n">
        <v>46178</v>
      </c>
      <c r="D696" t="inlineStr">
        <is>
          <t>KALMAR LÄN</t>
        </is>
      </c>
      <c r="E696" t="inlineStr">
        <is>
          <t>VIMMERBY</t>
        </is>
      </c>
      <c r="G696" t="n">
        <v>2</v>
      </c>
      <c r="H696" t="n">
        <v>0</v>
      </c>
      <c r="I696" t="n">
        <v>0</v>
      </c>
      <c r="J696" t="n">
        <v>0</v>
      </c>
      <c r="K696" t="n">
        <v>0</v>
      </c>
      <c r="L696" t="n">
        <v>0</v>
      </c>
      <c r="M696" t="n">
        <v>0</v>
      </c>
      <c r="N696" t="n">
        <v>0</v>
      </c>
      <c r="O696" t="n">
        <v>0</v>
      </c>
      <c r="P696" t="n">
        <v>0</v>
      </c>
      <c r="Q696" t="n">
        <v>0</v>
      </c>
      <c r="R696" s="2" t="inlineStr"/>
    </row>
    <row r="697" ht="15" customHeight="1">
      <c r="A697" t="inlineStr">
        <is>
          <t>A 25980-2023</t>
        </is>
      </c>
      <c r="B697" s="1" t="n">
        <v>45090.89880787037</v>
      </c>
      <c r="C697" s="1" t="n">
        <v>46178</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12510-2022</t>
        </is>
      </c>
      <c r="B698" s="1" t="n">
        <v>44638.55256944444</v>
      </c>
      <c r="C698" s="1" t="n">
        <v>46178</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6358-2022</t>
        </is>
      </c>
      <c r="B699" s="1" t="n">
        <v>44600</v>
      </c>
      <c r="C699" s="1" t="n">
        <v>46178</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48373-2021</t>
        </is>
      </c>
      <c r="B700" s="1" t="n">
        <v>44451</v>
      </c>
      <c r="C700" s="1" t="n">
        <v>46178</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57256-2023</t>
        </is>
      </c>
      <c r="B701" s="1" t="n">
        <v>45245.5735300926</v>
      </c>
      <c r="C701" s="1" t="n">
        <v>46178</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17482-2024</t>
        </is>
      </c>
      <c r="B702" s="1" t="n">
        <v>45415.47848379629</v>
      </c>
      <c r="C702" s="1" t="n">
        <v>46178</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55123-2024</t>
        </is>
      </c>
      <c r="B703" s="1" t="n">
        <v>45621.46103009259</v>
      </c>
      <c r="C703" s="1" t="n">
        <v>46178</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44861.52505787037</v>
      </c>
      <c r="C704" s="1" t="n">
        <v>46178</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1987-2024</t>
        </is>
      </c>
      <c r="B705" s="1" t="n">
        <v>45308.61152777778</v>
      </c>
      <c r="C705" s="1" t="n">
        <v>46178</v>
      </c>
      <c r="D705" t="inlineStr">
        <is>
          <t>KALMAR LÄN</t>
        </is>
      </c>
      <c r="E705" t="inlineStr">
        <is>
          <t>VIMMERBY</t>
        </is>
      </c>
      <c r="G705" t="n">
        <v>3</v>
      </c>
      <c r="H705" t="n">
        <v>0</v>
      </c>
      <c r="I705" t="n">
        <v>0</v>
      </c>
      <c r="J705" t="n">
        <v>0</v>
      </c>
      <c r="K705" t="n">
        <v>0</v>
      </c>
      <c r="L705" t="n">
        <v>0</v>
      </c>
      <c r="M705" t="n">
        <v>0</v>
      </c>
      <c r="N705" t="n">
        <v>0</v>
      </c>
      <c r="O705" t="n">
        <v>0</v>
      </c>
      <c r="P705" t="n">
        <v>0</v>
      </c>
      <c r="Q705" t="n">
        <v>0</v>
      </c>
      <c r="R705" s="2" t="inlineStr"/>
    </row>
    <row r="706" ht="15" customHeight="1">
      <c r="A706" t="inlineStr">
        <is>
          <t>A 21507-2023</t>
        </is>
      </c>
      <c r="B706" s="1" t="n">
        <v>45063.508125</v>
      </c>
      <c r="C706" s="1" t="n">
        <v>46178</v>
      </c>
      <c r="D706" t="inlineStr">
        <is>
          <t>KALMAR LÄN</t>
        </is>
      </c>
      <c r="E706" t="inlineStr">
        <is>
          <t>VIMMERBY</t>
        </is>
      </c>
      <c r="G706" t="n">
        <v>2.8</v>
      </c>
      <c r="H706" t="n">
        <v>0</v>
      </c>
      <c r="I706" t="n">
        <v>0</v>
      </c>
      <c r="J706" t="n">
        <v>0</v>
      </c>
      <c r="K706" t="n">
        <v>0</v>
      </c>
      <c r="L706" t="n">
        <v>0</v>
      </c>
      <c r="M706" t="n">
        <v>0</v>
      </c>
      <c r="N706" t="n">
        <v>0</v>
      </c>
      <c r="O706" t="n">
        <v>0</v>
      </c>
      <c r="P706" t="n">
        <v>0</v>
      </c>
      <c r="Q706" t="n">
        <v>0</v>
      </c>
      <c r="R706" s="2" t="inlineStr"/>
    </row>
    <row r="707" ht="15" customHeight="1">
      <c r="A707" t="inlineStr">
        <is>
          <t>A 57189-2022</t>
        </is>
      </c>
      <c r="B707" s="1" t="n">
        <v>44895.62296296296</v>
      </c>
      <c r="C707" s="1" t="n">
        <v>46178</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48673-2021</t>
        </is>
      </c>
      <c r="B708" s="1" t="n">
        <v>44452</v>
      </c>
      <c r="C708" s="1" t="n">
        <v>46178</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14248-2023</t>
        </is>
      </c>
      <c r="B709" s="1" t="n">
        <v>45009</v>
      </c>
      <c r="C709" s="1" t="n">
        <v>46178</v>
      </c>
      <c r="D709" t="inlineStr">
        <is>
          <t>KALMAR LÄN</t>
        </is>
      </c>
      <c r="E709" t="inlineStr">
        <is>
          <t>VIMMERBY</t>
        </is>
      </c>
      <c r="G709" t="n">
        <v>2.6</v>
      </c>
      <c r="H709" t="n">
        <v>0</v>
      </c>
      <c r="I709" t="n">
        <v>0</v>
      </c>
      <c r="J709" t="n">
        <v>0</v>
      </c>
      <c r="K709" t="n">
        <v>0</v>
      </c>
      <c r="L709" t="n">
        <v>0</v>
      </c>
      <c r="M709" t="n">
        <v>0</v>
      </c>
      <c r="N709" t="n">
        <v>0</v>
      </c>
      <c r="O709" t="n">
        <v>0</v>
      </c>
      <c r="P709" t="n">
        <v>0</v>
      </c>
      <c r="Q709" t="n">
        <v>0</v>
      </c>
      <c r="R709" s="2" t="inlineStr"/>
    </row>
    <row r="710" ht="15" customHeight="1">
      <c r="A710" t="inlineStr">
        <is>
          <t>A 40095-2022</t>
        </is>
      </c>
      <c r="B710" s="1" t="n">
        <v>44820</v>
      </c>
      <c r="C710" s="1" t="n">
        <v>46178</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50085-2023</t>
        </is>
      </c>
      <c r="B711" s="1" t="n">
        <v>45215.5959375</v>
      </c>
      <c r="C711" s="1" t="n">
        <v>46178</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50087-2023</t>
        </is>
      </c>
      <c r="B712" s="1" t="n">
        <v>45215.59743055556</v>
      </c>
      <c r="C712" s="1" t="n">
        <v>46178</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8167-2024</t>
        </is>
      </c>
      <c r="B713" s="1" t="n">
        <v>45351.6062962963</v>
      </c>
      <c r="C713" s="1" t="n">
        <v>46178</v>
      </c>
      <c r="D713" t="inlineStr">
        <is>
          <t>KALMAR LÄN</t>
        </is>
      </c>
      <c r="E713" t="inlineStr">
        <is>
          <t>VIMMERBY</t>
        </is>
      </c>
      <c r="G713" t="n">
        <v>3.8</v>
      </c>
      <c r="H713" t="n">
        <v>0</v>
      </c>
      <c r="I713" t="n">
        <v>0</v>
      </c>
      <c r="J713" t="n">
        <v>0</v>
      </c>
      <c r="K713" t="n">
        <v>0</v>
      </c>
      <c r="L713" t="n">
        <v>0</v>
      </c>
      <c r="M713" t="n">
        <v>0</v>
      </c>
      <c r="N713" t="n">
        <v>0</v>
      </c>
      <c r="O713" t="n">
        <v>0</v>
      </c>
      <c r="P713" t="n">
        <v>0</v>
      </c>
      <c r="Q713" t="n">
        <v>0</v>
      </c>
      <c r="R713" s="2" t="inlineStr"/>
    </row>
    <row r="714" ht="15" customHeight="1">
      <c r="A714" t="inlineStr">
        <is>
          <t>A 2604-2025</t>
        </is>
      </c>
      <c r="B714" s="1" t="n">
        <v>45674.74094907408</v>
      </c>
      <c r="C714" s="1" t="n">
        <v>46178</v>
      </c>
      <c r="D714" t="inlineStr">
        <is>
          <t>KALMAR LÄN</t>
        </is>
      </c>
      <c r="E714" t="inlineStr">
        <is>
          <t>VIMMERBY</t>
        </is>
      </c>
      <c r="G714" t="n">
        <v>7.6</v>
      </c>
      <c r="H714" t="n">
        <v>0</v>
      </c>
      <c r="I714" t="n">
        <v>0</v>
      </c>
      <c r="J714" t="n">
        <v>0</v>
      </c>
      <c r="K714" t="n">
        <v>0</v>
      </c>
      <c r="L714" t="n">
        <v>0</v>
      </c>
      <c r="M714" t="n">
        <v>0</v>
      </c>
      <c r="N714" t="n">
        <v>0</v>
      </c>
      <c r="O714" t="n">
        <v>0</v>
      </c>
      <c r="P714" t="n">
        <v>0</v>
      </c>
      <c r="Q714" t="n">
        <v>0</v>
      </c>
      <c r="R714" s="2" t="inlineStr"/>
    </row>
    <row r="715" ht="15" customHeight="1">
      <c r="A715" t="inlineStr">
        <is>
          <t>A 37192-2024</t>
        </is>
      </c>
      <c r="B715" s="1" t="n">
        <v>45539.66027777778</v>
      </c>
      <c r="C715" s="1" t="n">
        <v>46178</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42429-2024</t>
        </is>
      </c>
      <c r="B716" s="1" t="n">
        <v>45565.40657407408</v>
      </c>
      <c r="C716" s="1" t="n">
        <v>46178</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29180-2024</t>
        </is>
      </c>
      <c r="B717" s="1" t="n">
        <v>45482.54108796296</v>
      </c>
      <c r="C717" s="1" t="n">
        <v>46178</v>
      </c>
      <c r="D717" t="inlineStr">
        <is>
          <t>KALMAR LÄN</t>
        </is>
      </c>
      <c r="E717" t="inlineStr">
        <is>
          <t>VIMMERBY</t>
        </is>
      </c>
      <c r="G717" t="n">
        <v>3.8</v>
      </c>
      <c r="H717" t="n">
        <v>0</v>
      </c>
      <c r="I717" t="n">
        <v>0</v>
      </c>
      <c r="J717" t="n">
        <v>0</v>
      </c>
      <c r="K717" t="n">
        <v>0</v>
      </c>
      <c r="L717" t="n">
        <v>0</v>
      </c>
      <c r="M717" t="n">
        <v>0</v>
      </c>
      <c r="N717" t="n">
        <v>0</v>
      </c>
      <c r="O717" t="n">
        <v>0</v>
      </c>
      <c r="P717" t="n">
        <v>0</v>
      </c>
      <c r="Q717" t="n">
        <v>0</v>
      </c>
      <c r="R717" s="2" t="inlineStr"/>
    </row>
    <row r="718" ht="15" customHeight="1">
      <c r="A718" t="inlineStr">
        <is>
          <t>A 45846-2023</t>
        </is>
      </c>
      <c r="B718" s="1" t="n">
        <v>45195.58452546296</v>
      </c>
      <c r="C718" s="1" t="n">
        <v>46178</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16020-2023</t>
        </is>
      </c>
      <c r="B719" s="1" t="n">
        <v>45026.82216435186</v>
      </c>
      <c r="C719" s="1" t="n">
        <v>46178</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61820-2023</t>
        </is>
      </c>
      <c r="B720" s="1" t="n">
        <v>45266.32614583334</v>
      </c>
      <c r="C720" s="1" t="n">
        <v>46178</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45560-2021</t>
        </is>
      </c>
      <c r="B721" s="1" t="n">
        <v>44440</v>
      </c>
      <c r="C721" s="1" t="n">
        <v>46178</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40256-2024</t>
        </is>
      </c>
      <c r="B722" s="1" t="n">
        <v>45554.62944444444</v>
      </c>
      <c r="C722" s="1" t="n">
        <v>46178</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58104-2024</t>
        </is>
      </c>
      <c r="B723" s="1" t="n">
        <v>45632.37459490741</v>
      </c>
      <c r="C723" s="1" t="n">
        <v>46178</v>
      </c>
      <c r="D723" t="inlineStr">
        <is>
          <t>KALMAR LÄN</t>
        </is>
      </c>
      <c r="E723" t="inlineStr">
        <is>
          <t>VIMMERBY</t>
        </is>
      </c>
      <c r="G723" t="n">
        <v>5</v>
      </c>
      <c r="H723" t="n">
        <v>0</v>
      </c>
      <c r="I723" t="n">
        <v>0</v>
      </c>
      <c r="J723" t="n">
        <v>0</v>
      </c>
      <c r="K723" t="n">
        <v>0</v>
      </c>
      <c r="L723" t="n">
        <v>0</v>
      </c>
      <c r="M723" t="n">
        <v>0</v>
      </c>
      <c r="N723" t="n">
        <v>0</v>
      </c>
      <c r="O723" t="n">
        <v>0</v>
      </c>
      <c r="P723" t="n">
        <v>0</v>
      </c>
      <c r="Q723" t="n">
        <v>0</v>
      </c>
      <c r="R723" s="2" t="inlineStr"/>
    </row>
    <row r="724" ht="15" customHeight="1">
      <c r="A724" t="inlineStr">
        <is>
          <t>A 36259-2022</t>
        </is>
      </c>
      <c r="B724" s="1" t="n">
        <v>44803.59118055556</v>
      </c>
      <c r="C724" s="1" t="n">
        <v>46178</v>
      </c>
      <c r="D724" t="inlineStr">
        <is>
          <t>KALMAR LÄN</t>
        </is>
      </c>
      <c r="E724" t="inlineStr">
        <is>
          <t>VIMMERBY</t>
        </is>
      </c>
      <c r="G724" t="n">
        <v>3.9</v>
      </c>
      <c r="H724" t="n">
        <v>0</v>
      </c>
      <c r="I724" t="n">
        <v>0</v>
      </c>
      <c r="J724" t="n">
        <v>0</v>
      </c>
      <c r="K724" t="n">
        <v>0</v>
      </c>
      <c r="L724" t="n">
        <v>0</v>
      </c>
      <c r="M724" t="n">
        <v>0</v>
      </c>
      <c r="N724" t="n">
        <v>0</v>
      </c>
      <c r="O724" t="n">
        <v>0</v>
      </c>
      <c r="P724" t="n">
        <v>0</v>
      </c>
      <c r="Q724" t="n">
        <v>0</v>
      </c>
      <c r="R724" s="2" t="inlineStr"/>
    </row>
    <row r="725" ht="15" customHeight="1">
      <c r="A725" t="inlineStr">
        <is>
          <t>A 43034-2024</t>
        </is>
      </c>
      <c r="B725" s="1" t="n">
        <v>45567.42011574074</v>
      </c>
      <c r="C725" s="1" t="n">
        <v>46178</v>
      </c>
      <c r="D725" t="inlineStr">
        <is>
          <t>KALMAR LÄN</t>
        </is>
      </c>
      <c r="E725" t="inlineStr">
        <is>
          <t>VIMMERBY</t>
        </is>
      </c>
      <c r="G725" t="n">
        <v>1.8</v>
      </c>
      <c r="H725" t="n">
        <v>0</v>
      </c>
      <c r="I725" t="n">
        <v>0</v>
      </c>
      <c r="J725" t="n">
        <v>0</v>
      </c>
      <c r="K725" t="n">
        <v>0</v>
      </c>
      <c r="L725" t="n">
        <v>0</v>
      </c>
      <c r="M725" t="n">
        <v>0</v>
      </c>
      <c r="N725" t="n">
        <v>0</v>
      </c>
      <c r="O725" t="n">
        <v>0</v>
      </c>
      <c r="P725" t="n">
        <v>0</v>
      </c>
      <c r="Q725" t="n">
        <v>0</v>
      </c>
      <c r="R725" s="2" t="inlineStr"/>
    </row>
    <row r="726" ht="15" customHeight="1">
      <c r="A726" t="inlineStr">
        <is>
          <t>A 3902-2022</t>
        </is>
      </c>
      <c r="B726" s="1" t="n">
        <v>44587.48847222222</v>
      </c>
      <c r="C726" s="1" t="n">
        <v>46178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30070-2023</t>
        </is>
      </c>
      <c r="B727" s="1" t="n">
        <v>45110.4275</v>
      </c>
      <c r="C727" s="1" t="n">
        <v>46178</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31209-2024</t>
        </is>
      </c>
      <c r="B728" s="1" t="n">
        <v>45503.5658912037</v>
      </c>
      <c r="C728" s="1" t="n">
        <v>46178</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4527-2023</t>
        </is>
      </c>
      <c r="B729" s="1" t="n">
        <v>44956</v>
      </c>
      <c r="C729" s="1" t="n">
        <v>46178</v>
      </c>
      <c r="D729" t="inlineStr">
        <is>
          <t>KALMAR LÄN</t>
        </is>
      </c>
      <c r="E729" t="inlineStr">
        <is>
          <t>VIMMERBY</t>
        </is>
      </c>
      <c r="F729" t="inlineStr">
        <is>
          <t>Kommuner</t>
        </is>
      </c>
      <c r="G729" t="n">
        <v>8.5</v>
      </c>
      <c r="H729" t="n">
        <v>0</v>
      </c>
      <c r="I729" t="n">
        <v>0</v>
      </c>
      <c r="J729" t="n">
        <v>0</v>
      </c>
      <c r="K729" t="n">
        <v>0</v>
      </c>
      <c r="L729" t="n">
        <v>0</v>
      </c>
      <c r="M729" t="n">
        <v>0</v>
      </c>
      <c r="N729" t="n">
        <v>0</v>
      </c>
      <c r="O729" t="n">
        <v>0</v>
      </c>
      <c r="P729" t="n">
        <v>0</v>
      </c>
      <c r="Q729" t="n">
        <v>0</v>
      </c>
      <c r="R729" s="2" t="inlineStr"/>
    </row>
    <row r="730" ht="15" customHeight="1">
      <c r="A730" t="inlineStr">
        <is>
          <t>A 5864-2022</t>
        </is>
      </c>
      <c r="B730" s="1" t="n">
        <v>44596</v>
      </c>
      <c r="C730" s="1" t="n">
        <v>46178</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30912-2023</t>
        </is>
      </c>
      <c r="B731" s="1" t="n">
        <v>45113.41633101852</v>
      </c>
      <c r="C731" s="1" t="n">
        <v>46178</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1146-2025</t>
        </is>
      </c>
      <c r="B732" s="1" t="n">
        <v>45666</v>
      </c>
      <c r="C732" s="1" t="n">
        <v>46178</v>
      </c>
      <c r="D732" t="inlineStr">
        <is>
          <t>KALMAR LÄN</t>
        </is>
      </c>
      <c r="E732" t="inlineStr">
        <is>
          <t>VIMMERBY</t>
        </is>
      </c>
      <c r="G732" t="n">
        <v>4</v>
      </c>
      <c r="H732" t="n">
        <v>0</v>
      </c>
      <c r="I732" t="n">
        <v>0</v>
      </c>
      <c r="J732" t="n">
        <v>0</v>
      </c>
      <c r="K732" t="n">
        <v>0</v>
      </c>
      <c r="L732" t="n">
        <v>0</v>
      </c>
      <c r="M732" t="n">
        <v>0</v>
      </c>
      <c r="N732" t="n">
        <v>0</v>
      </c>
      <c r="O732" t="n">
        <v>0</v>
      </c>
      <c r="P732" t="n">
        <v>0</v>
      </c>
      <c r="Q732" t="n">
        <v>0</v>
      </c>
      <c r="R732" s="2" t="inlineStr"/>
    </row>
    <row r="733" ht="15" customHeight="1">
      <c r="A733" t="inlineStr">
        <is>
          <t>A 62023-2022</t>
        </is>
      </c>
      <c r="B733" s="1" t="n">
        <v>44918.50106481482</v>
      </c>
      <c r="C733" s="1" t="n">
        <v>46178</v>
      </c>
      <c r="D733" t="inlineStr">
        <is>
          <t>KALMAR LÄN</t>
        </is>
      </c>
      <c r="E733" t="inlineStr">
        <is>
          <t>VIMMERBY</t>
        </is>
      </c>
      <c r="G733" t="n">
        <v>0.3</v>
      </c>
      <c r="H733" t="n">
        <v>0</v>
      </c>
      <c r="I733" t="n">
        <v>0</v>
      </c>
      <c r="J733" t="n">
        <v>0</v>
      </c>
      <c r="K733" t="n">
        <v>0</v>
      </c>
      <c r="L733" t="n">
        <v>0</v>
      </c>
      <c r="M733" t="n">
        <v>0</v>
      </c>
      <c r="N733" t="n">
        <v>0</v>
      </c>
      <c r="O733" t="n">
        <v>0</v>
      </c>
      <c r="P733" t="n">
        <v>0</v>
      </c>
      <c r="Q733" t="n">
        <v>0</v>
      </c>
      <c r="R733" s="2" t="inlineStr"/>
    </row>
    <row r="734" ht="15" customHeight="1">
      <c r="A734" t="inlineStr">
        <is>
          <t>A 16119-2023</t>
        </is>
      </c>
      <c r="B734" s="1" t="n">
        <v>45027.59450231482</v>
      </c>
      <c r="C734" s="1" t="n">
        <v>46178</v>
      </c>
      <c r="D734" t="inlineStr">
        <is>
          <t>KALMAR LÄN</t>
        </is>
      </c>
      <c r="E734" t="inlineStr">
        <is>
          <t>VIMMERBY</t>
        </is>
      </c>
      <c r="F734" t="inlineStr">
        <is>
          <t>Kommuner</t>
        </is>
      </c>
      <c r="G734" t="n">
        <v>4.4</v>
      </c>
      <c r="H734" t="n">
        <v>0</v>
      </c>
      <c r="I734" t="n">
        <v>0</v>
      </c>
      <c r="J734" t="n">
        <v>0</v>
      </c>
      <c r="K734" t="n">
        <v>0</v>
      </c>
      <c r="L734" t="n">
        <v>0</v>
      </c>
      <c r="M734" t="n">
        <v>0</v>
      </c>
      <c r="N734" t="n">
        <v>0</v>
      </c>
      <c r="O734" t="n">
        <v>0</v>
      </c>
      <c r="P734" t="n">
        <v>0</v>
      </c>
      <c r="Q734" t="n">
        <v>0</v>
      </c>
      <c r="R734" s="2" t="inlineStr"/>
    </row>
    <row r="735" ht="15" customHeight="1">
      <c r="A735" t="inlineStr">
        <is>
          <t>A 52327-2023</t>
        </is>
      </c>
      <c r="B735" s="1" t="n">
        <v>45224.6515162037</v>
      </c>
      <c r="C735" s="1" t="n">
        <v>46178</v>
      </c>
      <c r="D735" t="inlineStr">
        <is>
          <t>KALMAR LÄN</t>
        </is>
      </c>
      <c r="E735" t="inlineStr">
        <is>
          <t>VIMMERBY</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12075-2024</t>
        </is>
      </c>
      <c r="B736" s="1" t="n">
        <v>45377</v>
      </c>
      <c r="C736" s="1" t="n">
        <v>46178</v>
      </c>
      <c r="D736" t="inlineStr">
        <is>
          <t>KALMAR LÄN</t>
        </is>
      </c>
      <c r="E736" t="inlineStr">
        <is>
          <t>VIMMERBY</t>
        </is>
      </c>
      <c r="G736" t="n">
        <v>3.7</v>
      </c>
      <c r="H736" t="n">
        <v>0</v>
      </c>
      <c r="I736" t="n">
        <v>0</v>
      </c>
      <c r="J736" t="n">
        <v>0</v>
      </c>
      <c r="K736" t="n">
        <v>0</v>
      </c>
      <c r="L736" t="n">
        <v>0</v>
      </c>
      <c r="M736" t="n">
        <v>0</v>
      </c>
      <c r="N736" t="n">
        <v>0</v>
      </c>
      <c r="O736" t="n">
        <v>0</v>
      </c>
      <c r="P736" t="n">
        <v>0</v>
      </c>
      <c r="Q736" t="n">
        <v>0</v>
      </c>
      <c r="R736" s="2" t="inlineStr"/>
    </row>
    <row r="737" ht="15" customHeight="1">
      <c r="A737" t="inlineStr">
        <is>
          <t>A 31340-2023</t>
        </is>
      </c>
      <c r="B737" s="1" t="n">
        <v>45114.47895833333</v>
      </c>
      <c r="C737" s="1" t="n">
        <v>46178</v>
      </c>
      <c r="D737" t="inlineStr">
        <is>
          <t>KALMAR LÄN</t>
        </is>
      </c>
      <c r="E737" t="inlineStr">
        <is>
          <t>VIMMERBY</t>
        </is>
      </c>
      <c r="G737" t="n">
        <v>1.8</v>
      </c>
      <c r="H737" t="n">
        <v>0</v>
      </c>
      <c r="I737" t="n">
        <v>0</v>
      </c>
      <c r="J737" t="n">
        <v>0</v>
      </c>
      <c r="K737" t="n">
        <v>0</v>
      </c>
      <c r="L737" t="n">
        <v>0</v>
      </c>
      <c r="M737" t="n">
        <v>0</v>
      </c>
      <c r="N737" t="n">
        <v>0</v>
      </c>
      <c r="O737" t="n">
        <v>0</v>
      </c>
      <c r="P737" t="n">
        <v>0</v>
      </c>
      <c r="Q737" t="n">
        <v>0</v>
      </c>
      <c r="R737" s="2" t="inlineStr"/>
    </row>
    <row r="738" ht="15" customHeight="1">
      <c r="A738" t="inlineStr">
        <is>
          <t>A 7758-2024</t>
        </is>
      </c>
      <c r="B738" s="1" t="n">
        <v>45349.54434027777</v>
      </c>
      <c r="C738" s="1" t="n">
        <v>46178</v>
      </c>
      <c r="D738" t="inlineStr">
        <is>
          <t>KALMAR LÄN</t>
        </is>
      </c>
      <c r="E738" t="inlineStr">
        <is>
          <t>VIMMERBY</t>
        </is>
      </c>
      <c r="G738" t="n">
        <v>3.5</v>
      </c>
      <c r="H738" t="n">
        <v>0</v>
      </c>
      <c r="I738" t="n">
        <v>0</v>
      </c>
      <c r="J738" t="n">
        <v>0</v>
      </c>
      <c r="K738" t="n">
        <v>0</v>
      </c>
      <c r="L738" t="n">
        <v>0</v>
      </c>
      <c r="M738" t="n">
        <v>0</v>
      </c>
      <c r="N738" t="n">
        <v>0</v>
      </c>
      <c r="O738" t="n">
        <v>0</v>
      </c>
      <c r="P738" t="n">
        <v>0</v>
      </c>
      <c r="Q738" t="n">
        <v>0</v>
      </c>
      <c r="R738" s="2" t="inlineStr"/>
    </row>
    <row r="739" ht="15" customHeight="1">
      <c r="A739" t="inlineStr">
        <is>
          <t>A 5701-2024</t>
        </is>
      </c>
      <c r="B739" s="1" t="n">
        <v>45334.78826388889</v>
      </c>
      <c r="C739" s="1" t="n">
        <v>46178</v>
      </c>
      <c r="D739" t="inlineStr">
        <is>
          <t>KALMAR LÄN</t>
        </is>
      </c>
      <c r="E739" t="inlineStr">
        <is>
          <t>VIMMERBY</t>
        </is>
      </c>
      <c r="G739" t="n">
        <v>2.3</v>
      </c>
      <c r="H739" t="n">
        <v>0</v>
      </c>
      <c r="I739" t="n">
        <v>0</v>
      </c>
      <c r="J739" t="n">
        <v>0</v>
      </c>
      <c r="K739" t="n">
        <v>0</v>
      </c>
      <c r="L739" t="n">
        <v>0</v>
      </c>
      <c r="M739" t="n">
        <v>0</v>
      </c>
      <c r="N739" t="n">
        <v>0</v>
      </c>
      <c r="O739" t="n">
        <v>0</v>
      </c>
      <c r="P739" t="n">
        <v>0</v>
      </c>
      <c r="Q739" t="n">
        <v>0</v>
      </c>
      <c r="R739" s="2" t="inlineStr"/>
    </row>
    <row r="740" ht="15" customHeight="1">
      <c r="A740" t="inlineStr">
        <is>
          <t>A 31405-2023</t>
        </is>
      </c>
      <c r="B740" s="1" t="n">
        <v>45114.58148148148</v>
      </c>
      <c r="C740" s="1" t="n">
        <v>46178</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6355-2022</t>
        </is>
      </c>
      <c r="B741" s="1" t="n">
        <v>44600</v>
      </c>
      <c r="C741" s="1" t="n">
        <v>46178</v>
      </c>
      <c r="D741" t="inlineStr">
        <is>
          <t>KALMAR LÄN</t>
        </is>
      </c>
      <c r="E741" t="inlineStr">
        <is>
          <t>VIMMERBY</t>
        </is>
      </c>
      <c r="G741" t="n">
        <v>4.9</v>
      </c>
      <c r="H741" t="n">
        <v>0</v>
      </c>
      <c r="I741" t="n">
        <v>0</v>
      </c>
      <c r="J741" t="n">
        <v>0</v>
      </c>
      <c r="K741" t="n">
        <v>0</v>
      </c>
      <c r="L741" t="n">
        <v>0</v>
      </c>
      <c r="M741" t="n">
        <v>0</v>
      </c>
      <c r="N741" t="n">
        <v>0</v>
      </c>
      <c r="O741" t="n">
        <v>0</v>
      </c>
      <c r="P741" t="n">
        <v>0</v>
      </c>
      <c r="Q741" t="n">
        <v>0</v>
      </c>
      <c r="R741" s="2" t="inlineStr"/>
    </row>
    <row r="742" ht="15" customHeight="1">
      <c r="A742" t="inlineStr">
        <is>
          <t>A 46225-2024</t>
        </is>
      </c>
      <c r="B742" s="1" t="n">
        <v>45581.57333333333</v>
      </c>
      <c r="C742" s="1" t="n">
        <v>46178</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9418-2024</t>
        </is>
      </c>
      <c r="B743" s="1" t="n">
        <v>45359.45038194444</v>
      </c>
      <c r="C743" s="1" t="n">
        <v>46178</v>
      </c>
      <c r="D743" t="inlineStr">
        <is>
          <t>KALMAR LÄN</t>
        </is>
      </c>
      <c r="E743" t="inlineStr">
        <is>
          <t>VIMMERBY</t>
        </is>
      </c>
      <c r="G743" t="n">
        <v>1.9</v>
      </c>
      <c r="H743" t="n">
        <v>0</v>
      </c>
      <c r="I743" t="n">
        <v>0</v>
      </c>
      <c r="J743" t="n">
        <v>0</v>
      </c>
      <c r="K743" t="n">
        <v>0</v>
      </c>
      <c r="L743" t="n">
        <v>0</v>
      </c>
      <c r="M743" t="n">
        <v>0</v>
      </c>
      <c r="N743" t="n">
        <v>0</v>
      </c>
      <c r="O743" t="n">
        <v>0</v>
      </c>
      <c r="P743" t="n">
        <v>0</v>
      </c>
      <c r="Q743" t="n">
        <v>0</v>
      </c>
      <c r="R743" s="2" t="inlineStr"/>
    </row>
    <row r="744" ht="15" customHeight="1">
      <c r="A744" t="inlineStr">
        <is>
          <t>A 57091-2022</t>
        </is>
      </c>
      <c r="B744" s="1" t="n">
        <v>44895.46524305556</v>
      </c>
      <c r="C744" s="1" t="n">
        <v>46178</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3816-2022</t>
        </is>
      </c>
      <c r="B745" s="1" t="n">
        <v>44587</v>
      </c>
      <c r="C745" s="1" t="n">
        <v>46178</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43606-2024</t>
        </is>
      </c>
      <c r="B746" s="1" t="n">
        <v>45569.45017361111</v>
      </c>
      <c r="C746" s="1" t="n">
        <v>46178</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47859-2024</t>
        </is>
      </c>
      <c r="B747" s="1" t="n">
        <v>45588.67070601852</v>
      </c>
      <c r="C747" s="1" t="n">
        <v>46178</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8540-2024</t>
        </is>
      </c>
      <c r="B748" s="1" t="n">
        <v>45355.54138888889</v>
      </c>
      <c r="C748" s="1" t="n">
        <v>46178</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3331-2023</t>
        </is>
      </c>
      <c r="B749" s="1" t="n">
        <v>44949</v>
      </c>
      <c r="C749" s="1" t="n">
        <v>46178</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25799-2023</t>
        </is>
      </c>
      <c r="B750" s="1" t="n">
        <v>45090</v>
      </c>
      <c r="C750" s="1" t="n">
        <v>46178</v>
      </c>
      <c r="D750" t="inlineStr">
        <is>
          <t>KALMAR LÄN</t>
        </is>
      </c>
      <c r="E750" t="inlineStr">
        <is>
          <t>VIMMERBY</t>
        </is>
      </c>
      <c r="G750" t="n">
        <v>7.7</v>
      </c>
      <c r="H750" t="n">
        <v>0</v>
      </c>
      <c r="I750" t="n">
        <v>0</v>
      </c>
      <c r="J750" t="n">
        <v>0</v>
      </c>
      <c r="K750" t="n">
        <v>0</v>
      </c>
      <c r="L750" t="n">
        <v>0</v>
      </c>
      <c r="M750" t="n">
        <v>0</v>
      </c>
      <c r="N750" t="n">
        <v>0</v>
      </c>
      <c r="O750" t="n">
        <v>0</v>
      </c>
      <c r="P750" t="n">
        <v>0</v>
      </c>
      <c r="Q750" t="n">
        <v>0</v>
      </c>
      <c r="R750" s="2" t="inlineStr"/>
    </row>
    <row r="751" ht="15" customHeight="1">
      <c r="A751" t="inlineStr">
        <is>
          <t>A 53083-2021</t>
        </is>
      </c>
      <c r="B751" s="1" t="n">
        <v>44467.83386574074</v>
      </c>
      <c r="C751" s="1" t="n">
        <v>46178</v>
      </c>
      <c r="D751" t="inlineStr">
        <is>
          <t>KALMAR LÄN</t>
        </is>
      </c>
      <c r="E751" t="inlineStr">
        <is>
          <t>VIMMERBY</t>
        </is>
      </c>
      <c r="G751" t="n">
        <v>6.8</v>
      </c>
      <c r="H751" t="n">
        <v>0</v>
      </c>
      <c r="I751" t="n">
        <v>0</v>
      </c>
      <c r="J751" t="n">
        <v>0</v>
      </c>
      <c r="K751" t="n">
        <v>0</v>
      </c>
      <c r="L751" t="n">
        <v>0</v>
      </c>
      <c r="M751" t="n">
        <v>0</v>
      </c>
      <c r="N751" t="n">
        <v>0</v>
      </c>
      <c r="O751" t="n">
        <v>0</v>
      </c>
      <c r="P751" t="n">
        <v>0</v>
      </c>
      <c r="Q751" t="n">
        <v>0</v>
      </c>
      <c r="R751" s="2" t="inlineStr"/>
    </row>
    <row r="752" ht="15" customHeight="1">
      <c r="A752" t="inlineStr">
        <is>
          <t>A 33838-2022</t>
        </is>
      </c>
      <c r="B752" s="1" t="n">
        <v>44790.49040509259</v>
      </c>
      <c r="C752" s="1" t="n">
        <v>46178</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32835-2022</t>
        </is>
      </c>
      <c r="B753" s="1" t="n">
        <v>44784.42528935185</v>
      </c>
      <c r="C753" s="1" t="n">
        <v>46178</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46178</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47063-2022</t>
        </is>
      </c>
      <c r="B755" s="1" t="n">
        <v>44852</v>
      </c>
      <c r="C755" s="1" t="n">
        <v>46178</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28403-2023</t>
        </is>
      </c>
      <c r="B756" s="1" t="n">
        <v>45100.85270833333</v>
      </c>
      <c r="C756" s="1" t="n">
        <v>46178</v>
      </c>
      <c r="D756" t="inlineStr">
        <is>
          <t>KALMAR LÄN</t>
        </is>
      </c>
      <c r="E756" t="inlineStr">
        <is>
          <t>VIMMERBY</t>
        </is>
      </c>
      <c r="G756" t="n">
        <v>1.8</v>
      </c>
      <c r="H756" t="n">
        <v>0</v>
      </c>
      <c r="I756" t="n">
        <v>0</v>
      </c>
      <c r="J756" t="n">
        <v>0</v>
      </c>
      <c r="K756" t="n">
        <v>0</v>
      </c>
      <c r="L756" t="n">
        <v>0</v>
      </c>
      <c r="M756" t="n">
        <v>0</v>
      </c>
      <c r="N756" t="n">
        <v>0</v>
      </c>
      <c r="O756" t="n">
        <v>0</v>
      </c>
      <c r="P756" t="n">
        <v>0</v>
      </c>
      <c r="Q756" t="n">
        <v>0</v>
      </c>
      <c r="R756" s="2" t="inlineStr"/>
    </row>
    <row r="757" ht="15" customHeight="1">
      <c r="A757" t="inlineStr">
        <is>
          <t>A 33103-2024</t>
        </is>
      </c>
      <c r="B757" s="1" t="n">
        <v>45517.8162037037</v>
      </c>
      <c r="C757" s="1" t="n">
        <v>46178</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2260-2022</t>
        </is>
      </c>
      <c r="B758" s="1" t="n">
        <v>44578.62943287037</v>
      </c>
      <c r="C758" s="1" t="n">
        <v>46178</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11661-2023</t>
        </is>
      </c>
      <c r="B759" s="1" t="n">
        <v>44994.46908564815</v>
      </c>
      <c r="C759" s="1" t="n">
        <v>46178</v>
      </c>
      <c r="D759" t="inlineStr">
        <is>
          <t>KALMAR LÄN</t>
        </is>
      </c>
      <c r="E759" t="inlineStr">
        <is>
          <t>VIMMERBY</t>
        </is>
      </c>
      <c r="G759" t="n">
        <v>2.7</v>
      </c>
      <c r="H759" t="n">
        <v>0</v>
      </c>
      <c r="I759" t="n">
        <v>0</v>
      </c>
      <c r="J759" t="n">
        <v>0</v>
      </c>
      <c r="K759" t="n">
        <v>0</v>
      </c>
      <c r="L759" t="n">
        <v>0</v>
      </c>
      <c r="M759" t="n">
        <v>0</v>
      </c>
      <c r="N759" t="n">
        <v>0</v>
      </c>
      <c r="O759" t="n">
        <v>0</v>
      </c>
      <c r="P759" t="n">
        <v>0</v>
      </c>
      <c r="Q759" t="n">
        <v>0</v>
      </c>
      <c r="R759" s="2" t="inlineStr"/>
    </row>
    <row r="760" ht="15" customHeight="1">
      <c r="A760" t="inlineStr">
        <is>
          <t>A 58046-2022</t>
        </is>
      </c>
      <c r="B760" s="1" t="n">
        <v>44900.57393518519</v>
      </c>
      <c r="C760" s="1" t="n">
        <v>46178</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45528-2021</t>
        </is>
      </c>
      <c r="B761" s="1" t="n">
        <v>44440.60415509259</v>
      </c>
      <c r="C761" s="1" t="n">
        <v>46178</v>
      </c>
      <c r="D761" t="inlineStr">
        <is>
          <t>KALMAR LÄN</t>
        </is>
      </c>
      <c r="E761" t="inlineStr">
        <is>
          <t>VIMMERBY</t>
        </is>
      </c>
      <c r="G761" t="n">
        <v>2.2</v>
      </c>
      <c r="H761" t="n">
        <v>0</v>
      </c>
      <c r="I761" t="n">
        <v>0</v>
      </c>
      <c r="J761" t="n">
        <v>0</v>
      </c>
      <c r="K761" t="n">
        <v>0</v>
      </c>
      <c r="L761" t="n">
        <v>0</v>
      </c>
      <c r="M761" t="n">
        <v>0</v>
      </c>
      <c r="N761" t="n">
        <v>0</v>
      </c>
      <c r="O761" t="n">
        <v>0</v>
      </c>
      <c r="P761" t="n">
        <v>0</v>
      </c>
      <c r="Q761" t="n">
        <v>0</v>
      </c>
      <c r="R761" s="2" t="inlineStr"/>
    </row>
    <row r="762" ht="15" customHeight="1">
      <c r="A762" t="inlineStr">
        <is>
          <t>A 46979-2023</t>
        </is>
      </c>
      <c r="B762" s="1" t="n">
        <v>45201</v>
      </c>
      <c r="C762" s="1" t="n">
        <v>46178</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46178</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4058-2024</t>
        </is>
      </c>
      <c r="B764" s="1" t="n">
        <v>45323.53744212963</v>
      </c>
      <c r="C764" s="1" t="n">
        <v>46178</v>
      </c>
      <c r="D764" t="inlineStr">
        <is>
          <t>KALMAR LÄN</t>
        </is>
      </c>
      <c r="E764" t="inlineStr">
        <is>
          <t>VIMMERBY</t>
        </is>
      </c>
      <c r="G764" t="n">
        <v>6.5</v>
      </c>
      <c r="H764" t="n">
        <v>0</v>
      </c>
      <c r="I764" t="n">
        <v>0</v>
      </c>
      <c r="J764" t="n">
        <v>0</v>
      </c>
      <c r="K764" t="n">
        <v>0</v>
      </c>
      <c r="L764" t="n">
        <v>0</v>
      </c>
      <c r="M764" t="n">
        <v>0</v>
      </c>
      <c r="N764" t="n">
        <v>0</v>
      </c>
      <c r="O764" t="n">
        <v>0</v>
      </c>
      <c r="P764" t="n">
        <v>0</v>
      </c>
      <c r="Q764" t="n">
        <v>0</v>
      </c>
      <c r="R764" s="2" t="inlineStr"/>
    </row>
    <row r="765" ht="15" customHeight="1">
      <c r="A765" t="inlineStr">
        <is>
          <t>A 1978-2024</t>
        </is>
      </c>
      <c r="B765" s="1" t="n">
        <v>45308.59001157407</v>
      </c>
      <c r="C765" s="1" t="n">
        <v>46178</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30318-2023</t>
        </is>
      </c>
      <c r="B766" s="1" t="n">
        <v>45111.30824074074</v>
      </c>
      <c r="C766" s="1" t="n">
        <v>46178</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25234-2023</t>
        </is>
      </c>
      <c r="B767" s="1" t="n">
        <v>45086.63194444445</v>
      </c>
      <c r="C767" s="1" t="n">
        <v>46178</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46078-2023</t>
        </is>
      </c>
      <c r="B768" s="1" t="n">
        <v>45196</v>
      </c>
      <c r="C768" s="1" t="n">
        <v>46178</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3609-2024</t>
        </is>
      </c>
      <c r="B769" s="1" t="n">
        <v>45320.89128472222</v>
      </c>
      <c r="C769" s="1" t="n">
        <v>46178</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10424-2023</t>
        </is>
      </c>
      <c r="B770" s="1" t="n">
        <v>44987.54104166666</v>
      </c>
      <c r="C770" s="1" t="n">
        <v>46178</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49382-2023</t>
        </is>
      </c>
      <c r="B771" s="1" t="n">
        <v>45208</v>
      </c>
      <c r="C771" s="1" t="n">
        <v>46178</v>
      </c>
      <c r="D771" t="inlineStr">
        <is>
          <t>KALMAR LÄN</t>
        </is>
      </c>
      <c r="E771" t="inlineStr">
        <is>
          <t>VIMMERBY</t>
        </is>
      </c>
      <c r="G771" t="n">
        <v>2.2</v>
      </c>
      <c r="H771" t="n">
        <v>0</v>
      </c>
      <c r="I771" t="n">
        <v>0</v>
      </c>
      <c r="J771" t="n">
        <v>0</v>
      </c>
      <c r="K771" t="n">
        <v>0</v>
      </c>
      <c r="L771" t="n">
        <v>0</v>
      </c>
      <c r="M771" t="n">
        <v>0</v>
      </c>
      <c r="N771" t="n">
        <v>0</v>
      </c>
      <c r="O771" t="n">
        <v>0</v>
      </c>
      <c r="P771" t="n">
        <v>0</v>
      </c>
      <c r="Q771" t="n">
        <v>0</v>
      </c>
      <c r="R771" s="2" t="inlineStr"/>
    </row>
    <row r="772" ht="15" customHeight="1">
      <c r="A772" t="inlineStr">
        <is>
          <t>A 12810-2023</t>
        </is>
      </c>
      <c r="B772" s="1" t="n">
        <v>45001.43854166667</v>
      </c>
      <c r="C772" s="1" t="n">
        <v>46178</v>
      </c>
      <c r="D772" t="inlineStr">
        <is>
          <t>KALMAR LÄN</t>
        </is>
      </c>
      <c r="E772" t="inlineStr">
        <is>
          <t>VIMMERBY</t>
        </is>
      </c>
      <c r="G772" t="n">
        <v>1.5</v>
      </c>
      <c r="H772" t="n">
        <v>0</v>
      </c>
      <c r="I772" t="n">
        <v>0</v>
      </c>
      <c r="J772" t="n">
        <v>0</v>
      </c>
      <c r="K772" t="n">
        <v>0</v>
      </c>
      <c r="L772" t="n">
        <v>0</v>
      </c>
      <c r="M772" t="n">
        <v>0</v>
      </c>
      <c r="N772" t="n">
        <v>0</v>
      </c>
      <c r="O772" t="n">
        <v>0</v>
      </c>
      <c r="P772" t="n">
        <v>0</v>
      </c>
      <c r="Q772" t="n">
        <v>0</v>
      </c>
      <c r="R772" s="2" t="inlineStr"/>
    </row>
    <row r="773" ht="15" customHeight="1">
      <c r="A773" t="inlineStr">
        <is>
          <t>A 3425-2022</t>
        </is>
      </c>
      <c r="B773" s="1" t="n">
        <v>44585.51060185185</v>
      </c>
      <c r="C773" s="1" t="n">
        <v>46178</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60675-2023</t>
        </is>
      </c>
      <c r="B774" s="1" t="n">
        <v>45260.4716550926</v>
      </c>
      <c r="C774" s="1" t="n">
        <v>46178</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2536-2023</t>
        </is>
      </c>
      <c r="B775" s="1" t="n">
        <v>44943.62954861111</v>
      </c>
      <c r="C775" s="1" t="n">
        <v>46178</v>
      </c>
      <c r="D775" t="inlineStr">
        <is>
          <t>KALMAR LÄN</t>
        </is>
      </c>
      <c r="E775" t="inlineStr">
        <is>
          <t>VIMMERBY</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11111-2024</t>
        </is>
      </c>
      <c r="B776" s="1" t="n">
        <v>45371.36359953704</v>
      </c>
      <c r="C776" s="1" t="n">
        <v>46178</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1687-2023</t>
        </is>
      </c>
      <c r="B777" s="1" t="n">
        <v>44938</v>
      </c>
      <c r="C777" s="1" t="n">
        <v>46178</v>
      </c>
      <c r="D777" t="inlineStr">
        <is>
          <t>KALMAR LÄN</t>
        </is>
      </c>
      <c r="E777" t="inlineStr">
        <is>
          <t>VIMMERBY</t>
        </is>
      </c>
      <c r="F777" t="inlineStr">
        <is>
          <t>Kommuner</t>
        </is>
      </c>
      <c r="G777" t="n">
        <v>2.5</v>
      </c>
      <c r="H777" t="n">
        <v>0</v>
      </c>
      <c r="I777" t="n">
        <v>0</v>
      </c>
      <c r="J777" t="n">
        <v>0</v>
      </c>
      <c r="K777" t="n">
        <v>0</v>
      </c>
      <c r="L777" t="n">
        <v>0</v>
      </c>
      <c r="M777" t="n">
        <v>0</v>
      </c>
      <c r="N777" t="n">
        <v>0</v>
      </c>
      <c r="O777" t="n">
        <v>0</v>
      </c>
      <c r="P777" t="n">
        <v>0</v>
      </c>
      <c r="Q777" t="n">
        <v>0</v>
      </c>
      <c r="R777" s="2" t="inlineStr"/>
    </row>
    <row r="778" ht="15" customHeight="1">
      <c r="A778" t="inlineStr">
        <is>
          <t>A 3494-2023</t>
        </is>
      </c>
      <c r="B778" s="1" t="n">
        <v>44949</v>
      </c>
      <c r="C778" s="1" t="n">
        <v>46178</v>
      </c>
      <c r="D778" t="inlineStr">
        <is>
          <t>KALMAR LÄN</t>
        </is>
      </c>
      <c r="E778" t="inlineStr">
        <is>
          <t>VIMMERBY</t>
        </is>
      </c>
      <c r="F778" t="inlineStr">
        <is>
          <t>Kyrkan</t>
        </is>
      </c>
      <c r="G778" t="n">
        <v>0.8</v>
      </c>
      <c r="H778" t="n">
        <v>0</v>
      </c>
      <c r="I778" t="n">
        <v>0</v>
      </c>
      <c r="J778" t="n">
        <v>0</v>
      </c>
      <c r="K778" t="n">
        <v>0</v>
      </c>
      <c r="L778" t="n">
        <v>0</v>
      </c>
      <c r="M778" t="n">
        <v>0</v>
      </c>
      <c r="N778" t="n">
        <v>0</v>
      </c>
      <c r="O778" t="n">
        <v>0</v>
      </c>
      <c r="P778" t="n">
        <v>0</v>
      </c>
      <c r="Q778" t="n">
        <v>0</v>
      </c>
      <c r="R778" s="2" t="inlineStr"/>
    </row>
    <row r="779" ht="15" customHeight="1">
      <c r="A779" t="inlineStr">
        <is>
          <t>A 15449-2023</t>
        </is>
      </c>
      <c r="B779" s="1" t="n">
        <v>45020</v>
      </c>
      <c r="C779" s="1" t="n">
        <v>46178</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43242-2024</t>
        </is>
      </c>
      <c r="B780" s="1" t="n">
        <v>45568.30189814815</v>
      </c>
      <c r="C780" s="1" t="n">
        <v>46178</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56853-2022</t>
        </is>
      </c>
      <c r="B781" s="1" t="n">
        <v>44894.49538194444</v>
      </c>
      <c r="C781" s="1" t="n">
        <v>46178</v>
      </c>
      <c r="D781" t="inlineStr">
        <is>
          <t>KALMAR LÄN</t>
        </is>
      </c>
      <c r="E781" t="inlineStr">
        <is>
          <t>VIMMERBY</t>
        </is>
      </c>
      <c r="G781" t="n">
        <v>4.3</v>
      </c>
      <c r="H781" t="n">
        <v>0</v>
      </c>
      <c r="I781" t="n">
        <v>0</v>
      </c>
      <c r="J781" t="n">
        <v>0</v>
      </c>
      <c r="K781" t="n">
        <v>0</v>
      </c>
      <c r="L781" t="n">
        <v>0</v>
      </c>
      <c r="M781" t="n">
        <v>0</v>
      </c>
      <c r="N781" t="n">
        <v>0</v>
      </c>
      <c r="O781" t="n">
        <v>0</v>
      </c>
      <c r="P781" t="n">
        <v>0</v>
      </c>
      <c r="Q781" t="n">
        <v>0</v>
      </c>
      <c r="R781" s="2" t="inlineStr"/>
    </row>
    <row r="782" ht="15" customHeight="1">
      <c r="A782" t="inlineStr">
        <is>
          <t>A 33815-2022</t>
        </is>
      </c>
      <c r="B782" s="1" t="n">
        <v>44790.45876157407</v>
      </c>
      <c r="C782" s="1" t="n">
        <v>46178</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33842-2022</t>
        </is>
      </c>
      <c r="B783" s="1" t="n">
        <v>44790.49523148148</v>
      </c>
      <c r="C783" s="1" t="n">
        <v>46178</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49408-2023</t>
        </is>
      </c>
      <c r="B784" s="1" t="n">
        <v>45211.43555555555</v>
      </c>
      <c r="C784" s="1" t="n">
        <v>46178</v>
      </c>
      <c r="D784" t="inlineStr">
        <is>
          <t>KALMAR LÄN</t>
        </is>
      </c>
      <c r="E784" t="inlineStr">
        <is>
          <t>VIMMERBY</t>
        </is>
      </c>
      <c r="G784" t="n">
        <v>13.1</v>
      </c>
      <c r="H784" t="n">
        <v>0</v>
      </c>
      <c r="I784" t="n">
        <v>0</v>
      </c>
      <c r="J784" t="n">
        <v>0</v>
      </c>
      <c r="K784" t="n">
        <v>0</v>
      </c>
      <c r="L784" t="n">
        <v>0</v>
      </c>
      <c r="M784" t="n">
        <v>0</v>
      </c>
      <c r="N784" t="n">
        <v>0</v>
      </c>
      <c r="O784" t="n">
        <v>0</v>
      </c>
      <c r="P784" t="n">
        <v>0</v>
      </c>
      <c r="Q784" t="n">
        <v>0</v>
      </c>
      <c r="R784" s="2" t="inlineStr"/>
    </row>
    <row r="785" ht="15" customHeight="1">
      <c r="A785" t="inlineStr">
        <is>
          <t>A 56536-2022</t>
        </is>
      </c>
      <c r="B785" s="1" t="n">
        <v>44893</v>
      </c>
      <c r="C785" s="1" t="n">
        <v>46178</v>
      </c>
      <c r="D785" t="inlineStr">
        <is>
          <t>KALMAR LÄN</t>
        </is>
      </c>
      <c r="E785" t="inlineStr">
        <is>
          <t>VIMMERBY</t>
        </is>
      </c>
      <c r="G785" t="n">
        <v>3.2</v>
      </c>
      <c r="H785" t="n">
        <v>0</v>
      </c>
      <c r="I785" t="n">
        <v>0</v>
      </c>
      <c r="J785" t="n">
        <v>0</v>
      </c>
      <c r="K785" t="n">
        <v>0</v>
      </c>
      <c r="L785" t="n">
        <v>0</v>
      </c>
      <c r="M785" t="n">
        <v>0</v>
      </c>
      <c r="N785" t="n">
        <v>0</v>
      </c>
      <c r="O785" t="n">
        <v>0</v>
      </c>
      <c r="P785" t="n">
        <v>0</v>
      </c>
      <c r="Q785" t="n">
        <v>0</v>
      </c>
      <c r="R785" s="2" t="inlineStr"/>
    </row>
    <row r="786" ht="15" customHeight="1">
      <c r="A786" t="inlineStr">
        <is>
          <t>A 41199-2023</t>
        </is>
      </c>
      <c r="B786" s="1" t="n">
        <v>45174.40454861111</v>
      </c>
      <c r="C786" s="1" t="n">
        <v>46178</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11619-2023</t>
        </is>
      </c>
      <c r="B787" s="1" t="n">
        <v>44994.42113425926</v>
      </c>
      <c r="C787" s="1" t="n">
        <v>46178</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41896-2023</t>
        </is>
      </c>
      <c r="B788" s="1" t="n">
        <v>45176.72427083334</v>
      </c>
      <c r="C788" s="1" t="n">
        <v>46178</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17926-2025</t>
        </is>
      </c>
      <c r="B789" s="1" t="n">
        <v>45759.38987268518</v>
      </c>
      <c r="C789" s="1" t="n">
        <v>46178</v>
      </c>
      <c r="D789" t="inlineStr">
        <is>
          <t>KALMAR LÄN</t>
        </is>
      </c>
      <c r="E789" t="inlineStr">
        <is>
          <t>VIMMERBY</t>
        </is>
      </c>
      <c r="G789" t="n">
        <v>1</v>
      </c>
      <c r="H789" t="n">
        <v>0</v>
      </c>
      <c r="I789" t="n">
        <v>0</v>
      </c>
      <c r="J789" t="n">
        <v>0</v>
      </c>
      <c r="K789" t="n">
        <v>0</v>
      </c>
      <c r="L789" t="n">
        <v>0</v>
      </c>
      <c r="M789" t="n">
        <v>0</v>
      </c>
      <c r="N789" t="n">
        <v>0</v>
      </c>
      <c r="O789" t="n">
        <v>0</v>
      </c>
      <c r="P789" t="n">
        <v>0</v>
      </c>
      <c r="Q789" t="n">
        <v>0</v>
      </c>
      <c r="R789" s="2" t="inlineStr"/>
    </row>
    <row r="790" ht="15" customHeight="1">
      <c r="A790" t="inlineStr">
        <is>
          <t>A 21028-2023</t>
        </is>
      </c>
      <c r="B790" s="1" t="n">
        <v>45061</v>
      </c>
      <c r="C790" s="1" t="n">
        <v>46178</v>
      </c>
      <c r="D790" t="inlineStr">
        <is>
          <t>KALMAR LÄN</t>
        </is>
      </c>
      <c r="E790" t="inlineStr">
        <is>
          <t>VIMMERBY</t>
        </is>
      </c>
      <c r="F790" t="inlineStr">
        <is>
          <t>Övriga Aktiebolag</t>
        </is>
      </c>
      <c r="G790" t="n">
        <v>0.7</v>
      </c>
      <c r="H790" t="n">
        <v>0</v>
      </c>
      <c r="I790" t="n">
        <v>0</v>
      </c>
      <c r="J790" t="n">
        <v>0</v>
      </c>
      <c r="K790" t="n">
        <v>0</v>
      </c>
      <c r="L790" t="n">
        <v>0</v>
      </c>
      <c r="M790" t="n">
        <v>0</v>
      </c>
      <c r="N790" t="n">
        <v>0</v>
      </c>
      <c r="O790" t="n">
        <v>0</v>
      </c>
      <c r="P790" t="n">
        <v>0</v>
      </c>
      <c r="Q790" t="n">
        <v>0</v>
      </c>
      <c r="R790" s="2" t="inlineStr"/>
    </row>
    <row r="791" ht="15" customHeight="1">
      <c r="A791" t="inlineStr">
        <is>
          <t>A 27122-2023</t>
        </is>
      </c>
      <c r="B791" s="1" t="n">
        <v>45096.45247685185</v>
      </c>
      <c r="C791" s="1" t="n">
        <v>46178</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13813-2024</t>
        </is>
      </c>
      <c r="B792" s="1" t="n">
        <v>45391.41310185185</v>
      </c>
      <c r="C792" s="1" t="n">
        <v>46178</v>
      </c>
      <c r="D792" t="inlineStr">
        <is>
          <t>KALMAR LÄN</t>
        </is>
      </c>
      <c r="E792" t="inlineStr">
        <is>
          <t>VIMMERBY</t>
        </is>
      </c>
      <c r="G792" t="n">
        <v>0.4</v>
      </c>
      <c r="H792" t="n">
        <v>0</v>
      </c>
      <c r="I792" t="n">
        <v>0</v>
      </c>
      <c r="J792" t="n">
        <v>0</v>
      </c>
      <c r="K792" t="n">
        <v>0</v>
      </c>
      <c r="L792" t="n">
        <v>0</v>
      </c>
      <c r="M792" t="n">
        <v>0</v>
      </c>
      <c r="N792" t="n">
        <v>0</v>
      </c>
      <c r="O792" t="n">
        <v>0</v>
      </c>
      <c r="P792" t="n">
        <v>0</v>
      </c>
      <c r="Q792" t="n">
        <v>0</v>
      </c>
      <c r="R792" s="2" t="inlineStr"/>
    </row>
    <row r="793" ht="15" customHeight="1">
      <c r="A793" t="inlineStr">
        <is>
          <t>A 57486-2024</t>
        </is>
      </c>
      <c r="B793" s="1" t="n">
        <v>45630.35827546296</v>
      </c>
      <c r="C793" s="1" t="n">
        <v>46178</v>
      </c>
      <c r="D793" t="inlineStr">
        <is>
          <t>KALMAR LÄN</t>
        </is>
      </c>
      <c r="E793" t="inlineStr">
        <is>
          <t>VIMMERBY</t>
        </is>
      </c>
      <c r="G793" t="n">
        <v>0.4</v>
      </c>
      <c r="H793" t="n">
        <v>0</v>
      </c>
      <c r="I793" t="n">
        <v>0</v>
      </c>
      <c r="J793" t="n">
        <v>0</v>
      </c>
      <c r="K793" t="n">
        <v>0</v>
      </c>
      <c r="L793" t="n">
        <v>0</v>
      </c>
      <c r="M793" t="n">
        <v>0</v>
      </c>
      <c r="N793" t="n">
        <v>0</v>
      </c>
      <c r="O793" t="n">
        <v>0</v>
      </c>
      <c r="P793" t="n">
        <v>0</v>
      </c>
      <c r="Q793" t="n">
        <v>0</v>
      </c>
      <c r="R793" s="2" t="inlineStr"/>
    </row>
    <row r="794" ht="15" customHeight="1">
      <c r="A794" t="inlineStr">
        <is>
          <t>A 43186-2021</t>
        </is>
      </c>
      <c r="B794" s="1" t="n">
        <v>44431.84840277778</v>
      </c>
      <c r="C794" s="1" t="n">
        <v>46178</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30063-2023</t>
        </is>
      </c>
      <c r="B795" s="1" t="n">
        <v>45110.4184375</v>
      </c>
      <c r="C795" s="1" t="n">
        <v>46178</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43068-2023</t>
        </is>
      </c>
      <c r="B796" s="1" t="n">
        <v>45182.78834490741</v>
      </c>
      <c r="C796" s="1" t="n">
        <v>46178</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18020-2025</t>
        </is>
      </c>
      <c r="B797" s="1" t="n">
        <v>45761.4437962963</v>
      </c>
      <c r="C797" s="1" t="n">
        <v>46178</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33424-2023</t>
        </is>
      </c>
      <c r="B798" s="1" t="n">
        <v>45128.9325</v>
      </c>
      <c r="C798" s="1" t="n">
        <v>46178</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33425-2023</t>
        </is>
      </c>
      <c r="B799" s="1" t="n">
        <v>45128.93540509259</v>
      </c>
      <c r="C799" s="1" t="n">
        <v>46178</v>
      </c>
      <c r="D799" t="inlineStr">
        <is>
          <t>KALMAR LÄN</t>
        </is>
      </c>
      <c r="E799" t="inlineStr">
        <is>
          <t>VIMMERBY</t>
        </is>
      </c>
      <c r="G799" t="n">
        <v>1.4</v>
      </c>
      <c r="H799" t="n">
        <v>0</v>
      </c>
      <c r="I799" t="n">
        <v>0</v>
      </c>
      <c r="J799" t="n">
        <v>0</v>
      </c>
      <c r="K799" t="n">
        <v>0</v>
      </c>
      <c r="L799" t="n">
        <v>0</v>
      </c>
      <c r="M799" t="n">
        <v>0</v>
      </c>
      <c r="N799" t="n">
        <v>0</v>
      </c>
      <c r="O799" t="n">
        <v>0</v>
      </c>
      <c r="P799" t="n">
        <v>0</v>
      </c>
      <c r="Q799" t="n">
        <v>0</v>
      </c>
      <c r="R799" s="2" t="inlineStr"/>
    </row>
    <row r="800" ht="15" customHeight="1">
      <c r="A800" t="inlineStr">
        <is>
          <t>A 12327-2023</t>
        </is>
      </c>
      <c r="B800" s="1" t="n">
        <v>44999.36081018519</v>
      </c>
      <c r="C800" s="1" t="n">
        <v>46178</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43092-2024</t>
        </is>
      </c>
      <c r="B801" s="1" t="n">
        <v>45567</v>
      </c>
      <c r="C801" s="1" t="n">
        <v>46178</v>
      </c>
      <c r="D801" t="inlineStr">
        <is>
          <t>KALMAR LÄN</t>
        </is>
      </c>
      <c r="E801" t="inlineStr">
        <is>
          <t>VIMMERBY</t>
        </is>
      </c>
      <c r="G801" t="n">
        <v>2.7</v>
      </c>
      <c r="H801" t="n">
        <v>0</v>
      </c>
      <c r="I801" t="n">
        <v>0</v>
      </c>
      <c r="J801" t="n">
        <v>0</v>
      </c>
      <c r="K801" t="n">
        <v>0</v>
      </c>
      <c r="L801" t="n">
        <v>0</v>
      </c>
      <c r="M801" t="n">
        <v>0</v>
      </c>
      <c r="N801" t="n">
        <v>0</v>
      </c>
      <c r="O801" t="n">
        <v>0</v>
      </c>
      <c r="P801" t="n">
        <v>0</v>
      </c>
      <c r="Q801" t="n">
        <v>0</v>
      </c>
      <c r="R801" s="2" t="inlineStr"/>
    </row>
    <row r="802" ht="15" customHeight="1">
      <c r="A802" t="inlineStr">
        <is>
          <t>A 52435-2021</t>
        </is>
      </c>
      <c r="B802" s="1" t="n">
        <v>44466.34962962963</v>
      </c>
      <c r="C802" s="1" t="n">
        <v>46178</v>
      </c>
      <c r="D802" t="inlineStr">
        <is>
          <t>KALMAR LÄN</t>
        </is>
      </c>
      <c r="E802" t="inlineStr">
        <is>
          <t>VIMMERBY</t>
        </is>
      </c>
      <c r="G802" t="n">
        <v>2.8</v>
      </c>
      <c r="H802" t="n">
        <v>0</v>
      </c>
      <c r="I802" t="n">
        <v>0</v>
      </c>
      <c r="J802" t="n">
        <v>0</v>
      </c>
      <c r="K802" t="n">
        <v>0</v>
      </c>
      <c r="L802" t="n">
        <v>0</v>
      </c>
      <c r="M802" t="n">
        <v>0</v>
      </c>
      <c r="N802" t="n">
        <v>0</v>
      </c>
      <c r="O802" t="n">
        <v>0</v>
      </c>
      <c r="P802" t="n">
        <v>0</v>
      </c>
      <c r="Q802" t="n">
        <v>0</v>
      </c>
      <c r="R802" s="2" t="inlineStr"/>
    </row>
    <row r="803" ht="15" customHeight="1">
      <c r="A803" t="inlineStr">
        <is>
          <t>A 35127-2024</t>
        </is>
      </c>
      <c r="B803" s="1" t="n">
        <v>45530.33202546297</v>
      </c>
      <c r="C803" s="1" t="n">
        <v>46178</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29441-2024</t>
        </is>
      </c>
      <c r="B804" s="1" t="n">
        <v>45483.82834490741</v>
      </c>
      <c r="C804" s="1" t="n">
        <v>46178</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62779-2023</t>
        </is>
      </c>
      <c r="B805" s="1" t="n">
        <v>45271.66576388889</v>
      </c>
      <c r="C805" s="1" t="n">
        <v>46178</v>
      </c>
      <c r="D805" t="inlineStr">
        <is>
          <t>KALMAR LÄN</t>
        </is>
      </c>
      <c r="E805" t="inlineStr">
        <is>
          <t>VIMMERBY</t>
        </is>
      </c>
      <c r="G805" t="n">
        <v>1.1</v>
      </c>
      <c r="H805" t="n">
        <v>0</v>
      </c>
      <c r="I805" t="n">
        <v>0</v>
      </c>
      <c r="J805" t="n">
        <v>0</v>
      </c>
      <c r="K805" t="n">
        <v>0</v>
      </c>
      <c r="L805" t="n">
        <v>0</v>
      </c>
      <c r="M805" t="n">
        <v>0</v>
      </c>
      <c r="N805" t="n">
        <v>0</v>
      </c>
      <c r="O805" t="n">
        <v>0</v>
      </c>
      <c r="P805" t="n">
        <v>0</v>
      </c>
      <c r="Q805" t="n">
        <v>0</v>
      </c>
      <c r="R805" s="2" t="inlineStr"/>
    </row>
    <row r="806" ht="15" customHeight="1">
      <c r="A806" t="inlineStr">
        <is>
          <t>A 31013-2023</t>
        </is>
      </c>
      <c r="B806" s="1" t="n">
        <v>45113.56574074074</v>
      </c>
      <c r="C806" s="1" t="n">
        <v>46178</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72067-2021</t>
        </is>
      </c>
      <c r="B807" s="1" t="n">
        <v>44540</v>
      </c>
      <c r="C807" s="1" t="n">
        <v>46178</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61538-2022</t>
        </is>
      </c>
      <c r="B808" s="1" t="n">
        <v>44916.55414351852</v>
      </c>
      <c r="C808" s="1" t="n">
        <v>46178</v>
      </c>
      <c r="D808" t="inlineStr">
        <is>
          <t>KALMAR LÄN</t>
        </is>
      </c>
      <c r="E808" t="inlineStr">
        <is>
          <t>VIMMERBY</t>
        </is>
      </c>
      <c r="G808" t="n">
        <v>1.5</v>
      </c>
      <c r="H808" t="n">
        <v>0</v>
      </c>
      <c r="I808" t="n">
        <v>0</v>
      </c>
      <c r="J808" t="n">
        <v>0</v>
      </c>
      <c r="K808" t="n">
        <v>0</v>
      </c>
      <c r="L808" t="n">
        <v>0</v>
      </c>
      <c r="M808" t="n">
        <v>0</v>
      </c>
      <c r="N808" t="n">
        <v>0</v>
      </c>
      <c r="O808" t="n">
        <v>0</v>
      </c>
      <c r="P808" t="n">
        <v>0</v>
      </c>
      <c r="Q808" t="n">
        <v>0</v>
      </c>
      <c r="R808" s="2" t="inlineStr"/>
    </row>
    <row r="809" ht="15" customHeight="1">
      <c r="A809" t="inlineStr">
        <is>
          <t>A 36155-2023</t>
        </is>
      </c>
      <c r="B809" s="1" t="n">
        <v>45149.60917824074</v>
      </c>
      <c r="C809" s="1" t="n">
        <v>46178</v>
      </c>
      <c r="D809" t="inlineStr">
        <is>
          <t>KALMAR LÄN</t>
        </is>
      </c>
      <c r="E809" t="inlineStr">
        <is>
          <t>VIMMERBY</t>
        </is>
      </c>
      <c r="G809" t="n">
        <v>5</v>
      </c>
      <c r="H809" t="n">
        <v>0</v>
      </c>
      <c r="I809" t="n">
        <v>0</v>
      </c>
      <c r="J809" t="n">
        <v>0</v>
      </c>
      <c r="K809" t="n">
        <v>0</v>
      </c>
      <c r="L809" t="n">
        <v>0</v>
      </c>
      <c r="M809" t="n">
        <v>0</v>
      </c>
      <c r="N809" t="n">
        <v>0</v>
      </c>
      <c r="O809" t="n">
        <v>0</v>
      </c>
      <c r="P809" t="n">
        <v>0</v>
      </c>
      <c r="Q809" t="n">
        <v>0</v>
      </c>
      <c r="R809" s="2" t="inlineStr"/>
    </row>
    <row r="810" ht="15" customHeight="1">
      <c r="A810" t="inlineStr">
        <is>
          <t>A 29173-2024</t>
        </is>
      </c>
      <c r="B810" s="1" t="n">
        <v>45482.52887731481</v>
      </c>
      <c r="C810" s="1" t="n">
        <v>46178</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53542-2022</t>
        </is>
      </c>
      <c r="B811" s="1" t="n">
        <v>44879.62173611111</v>
      </c>
      <c r="C811" s="1" t="n">
        <v>46178</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6807-2025</t>
        </is>
      </c>
      <c r="B812" s="1" t="n">
        <v>45700.68672453704</v>
      </c>
      <c r="C812" s="1" t="n">
        <v>46178</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7047-2022</t>
        </is>
      </c>
      <c r="B813" s="1" t="n">
        <v>44603</v>
      </c>
      <c r="C813" s="1" t="n">
        <v>46178</v>
      </c>
      <c r="D813" t="inlineStr">
        <is>
          <t>KALMAR LÄN</t>
        </is>
      </c>
      <c r="E813" t="inlineStr">
        <is>
          <t>VIMMERBY</t>
        </is>
      </c>
      <c r="G813" t="n">
        <v>0.6</v>
      </c>
      <c r="H813" t="n">
        <v>0</v>
      </c>
      <c r="I813" t="n">
        <v>0</v>
      </c>
      <c r="J813" t="n">
        <v>0</v>
      </c>
      <c r="K813" t="n">
        <v>0</v>
      </c>
      <c r="L813" t="n">
        <v>0</v>
      </c>
      <c r="M813" t="n">
        <v>0</v>
      </c>
      <c r="N813" t="n">
        <v>0</v>
      </c>
      <c r="O813" t="n">
        <v>0</v>
      </c>
      <c r="P813" t="n">
        <v>0</v>
      </c>
      <c r="Q813" t="n">
        <v>0</v>
      </c>
      <c r="R813" s="2" t="inlineStr"/>
    </row>
    <row r="814" ht="15" customHeight="1">
      <c r="A814" t="inlineStr">
        <is>
          <t>A 35711-2023</t>
        </is>
      </c>
      <c r="B814" s="1" t="n">
        <v>45147.67172453704</v>
      </c>
      <c r="C814" s="1" t="n">
        <v>46178</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5382-2023</t>
        </is>
      </c>
      <c r="B815" s="1" t="n">
        <v>44959.66407407408</v>
      </c>
      <c r="C815" s="1" t="n">
        <v>46178</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40823-2023</t>
        </is>
      </c>
      <c r="B816" s="1" t="n">
        <v>45171.77335648148</v>
      </c>
      <c r="C816" s="1" t="n">
        <v>46178</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6218-2025</t>
        </is>
      </c>
      <c r="B817" s="1" t="n">
        <v>45698.53336805556</v>
      </c>
      <c r="C817" s="1" t="n">
        <v>46178</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30920-2023</t>
        </is>
      </c>
      <c r="B818" s="1" t="n">
        <v>45113.43921296296</v>
      </c>
      <c r="C818" s="1" t="n">
        <v>46178</v>
      </c>
      <c r="D818" t="inlineStr">
        <is>
          <t>KALMAR LÄN</t>
        </is>
      </c>
      <c r="E818" t="inlineStr">
        <is>
          <t>VIMMERBY</t>
        </is>
      </c>
      <c r="G818" t="n">
        <v>3.1</v>
      </c>
      <c r="H818" t="n">
        <v>0</v>
      </c>
      <c r="I818" t="n">
        <v>0</v>
      </c>
      <c r="J818" t="n">
        <v>0</v>
      </c>
      <c r="K818" t="n">
        <v>0</v>
      </c>
      <c r="L818" t="n">
        <v>0</v>
      </c>
      <c r="M818" t="n">
        <v>0</v>
      </c>
      <c r="N818" t="n">
        <v>0</v>
      </c>
      <c r="O818" t="n">
        <v>0</v>
      </c>
      <c r="P818" t="n">
        <v>0</v>
      </c>
      <c r="Q818" t="n">
        <v>0</v>
      </c>
      <c r="R818" s="2" t="inlineStr"/>
    </row>
    <row r="819" ht="15" customHeight="1">
      <c r="A819" t="inlineStr">
        <is>
          <t>A 6857-2023</t>
        </is>
      </c>
      <c r="B819" s="1" t="n">
        <v>44967.45122685185</v>
      </c>
      <c r="C819" s="1" t="n">
        <v>46178</v>
      </c>
      <c r="D819" t="inlineStr">
        <is>
          <t>KALMAR LÄN</t>
        </is>
      </c>
      <c r="E819" t="inlineStr">
        <is>
          <t>VIMMERBY</t>
        </is>
      </c>
      <c r="G819" t="n">
        <v>2.1</v>
      </c>
      <c r="H819" t="n">
        <v>0</v>
      </c>
      <c r="I819" t="n">
        <v>0</v>
      </c>
      <c r="J819" t="n">
        <v>0</v>
      </c>
      <c r="K819" t="n">
        <v>0</v>
      </c>
      <c r="L819" t="n">
        <v>0</v>
      </c>
      <c r="M819" t="n">
        <v>0</v>
      </c>
      <c r="N819" t="n">
        <v>0</v>
      </c>
      <c r="O819" t="n">
        <v>0</v>
      </c>
      <c r="P819" t="n">
        <v>0</v>
      </c>
      <c r="Q819" t="n">
        <v>0</v>
      </c>
      <c r="R819" s="2" t="inlineStr"/>
    </row>
    <row r="820" ht="15" customHeight="1">
      <c r="A820" t="inlineStr">
        <is>
          <t>A 5792-2023</t>
        </is>
      </c>
      <c r="B820" s="1" t="n">
        <v>44963.44769675926</v>
      </c>
      <c r="C820" s="1" t="n">
        <v>46178</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10303-2025</t>
        </is>
      </c>
      <c r="B821" s="1" t="n">
        <v>45720.44217592593</v>
      </c>
      <c r="C821" s="1" t="n">
        <v>46178</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60110-2022</t>
        </is>
      </c>
      <c r="B822" s="1" t="n">
        <v>44909</v>
      </c>
      <c r="C822" s="1" t="n">
        <v>46178</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15394-2025</t>
        </is>
      </c>
      <c r="B823" s="1" t="n">
        <v>45747.43196759259</v>
      </c>
      <c r="C823" s="1" t="n">
        <v>46178</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6474-2025</t>
        </is>
      </c>
      <c r="B824" s="1" t="n">
        <v>45699.60055555555</v>
      </c>
      <c r="C824" s="1" t="n">
        <v>46178</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32919-2022</t>
        </is>
      </c>
      <c r="B825" s="1" t="n">
        <v>44784.62724537037</v>
      </c>
      <c r="C825" s="1" t="n">
        <v>46178</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56659-2023</t>
        </is>
      </c>
      <c r="B826" s="1" t="n">
        <v>45243.84869212963</v>
      </c>
      <c r="C826" s="1" t="n">
        <v>46178</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13015-2022</t>
        </is>
      </c>
      <c r="B827" s="1" t="n">
        <v>44643</v>
      </c>
      <c r="C827" s="1" t="n">
        <v>46178</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6028-2023</t>
        </is>
      </c>
      <c r="B828" s="1" t="n">
        <v>44964.44356481481</v>
      </c>
      <c r="C828" s="1" t="n">
        <v>46178</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55436-2023</t>
        </is>
      </c>
      <c r="B829" s="1" t="n">
        <v>45238.4328587963</v>
      </c>
      <c r="C829" s="1" t="n">
        <v>46178</v>
      </c>
      <c r="D829" t="inlineStr">
        <is>
          <t>KALMAR LÄN</t>
        </is>
      </c>
      <c r="E829" t="inlineStr">
        <is>
          <t>VIMMERBY</t>
        </is>
      </c>
      <c r="G829" t="n">
        <v>5.6</v>
      </c>
      <c r="H829" t="n">
        <v>0</v>
      </c>
      <c r="I829" t="n">
        <v>0</v>
      </c>
      <c r="J829" t="n">
        <v>0</v>
      </c>
      <c r="K829" t="n">
        <v>0</v>
      </c>
      <c r="L829" t="n">
        <v>0</v>
      </c>
      <c r="M829" t="n">
        <v>0</v>
      </c>
      <c r="N829" t="n">
        <v>0</v>
      </c>
      <c r="O829" t="n">
        <v>0</v>
      </c>
      <c r="P829" t="n">
        <v>0</v>
      </c>
      <c r="Q829" t="n">
        <v>0</v>
      </c>
      <c r="R829" s="2" t="inlineStr"/>
    </row>
    <row r="830" ht="15" customHeight="1">
      <c r="A830" t="inlineStr">
        <is>
          <t>A 56582-2022</t>
        </is>
      </c>
      <c r="B830" s="1" t="n">
        <v>44893</v>
      </c>
      <c r="C830" s="1" t="n">
        <v>46178</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20-2025</t>
        </is>
      </c>
      <c r="B831" s="1" t="n">
        <v>45658.80232638889</v>
      </c>
      <c r="C831" s="1" t="n">
        <v>46178</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43962-2024</t>
        </is>
      </c>
      <c r="B832" s="1" t="n">
        <v>45572.48293981481</v>
      </c>
      <c r="C832" s="1" t="n">
        <v>46178</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35713-2023</t>
        </is>
      </c>
      <c r="B833" s="1" t="n">
        <v>45147</v>
      </c>
      <c r="C833" s="1" t="n">
        <v>46178</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40147-2023</t>
        </is>
      </c>
      <c r="B834" s="1" t="n">
        <v>45169</v>
      </c>
      <c r="C834" s="1" t="n">
        <v>46178</v>
      </c>
      <c r="D834" t="inlineStr">
        <is>
          <t>KALMAR LÄN</t>
        </is>
      </c>
      <c r="E834" t="inlineStr">
        <is>
          <t>VIMMERBY</t>
        </is>
      </c>
      <c r="G834" t="n">
        <v>1.7</v>
      </c>
      <c r="H834" t="n">
        <v>0</v>
      </c>
      <c r="I834" t="n">
        <v>0</v>
      </c>
      <c r="J834" t="n">
        <v>0</v>
      </c>
      <c r="K834" t="n">
        <v>0</v>
      </c>
      <c r="L834" t="n">
        <v>0</v>
      </c>
      <c r="M834" t="n">
        <v>0</v>
      </c>
      <c r="N834" t="n">
        <v>0</v>
      </c>
      <c r="O834" t="n">
        <v>0</v>
      </c>
      <c r="P834" t="n">
        <v>0</v>
      </c>
      <c r="Q834" t="n">
        <v>0</v>
      </c>
      <c r="R834" s="2" t="inlineStr"/>
    </row>
    <row r="835" ht="15" customHeight="1">
      <c r="A835" t="inlineStr">
        <is>
          <t>A 50995-2022</t>
        </is>
      </c>
      <c r="B835" s="1" t="n">
        <v>44867</v>
      </c>
      <c r="C835" s="1" t="n">
        <v>46178</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27993-2022</t>
        </is>
      </c>
      <c r="B836" s="1" t="n">
        <v>44745.84396990741</v>
      </c>
      <c r="C836" s="1" t="n">
        <v>46178</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57555-2024</t>
        </is>
      </c>
      <c r="B837" s="1" t="n">
        <v>45630.45069444444</v>
      </c>
      <c r="C837" s="1" t="n">
        <v>46178</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36014-2024</t>
        </is>
      </c>
      <c r="B838" s="1" t="n">
        <v>45533.56108796296</v>
      </c>
      <c r="C838" s="1" t="n">
        <v>46178</v>
      </c>
      <c r="D838" t="inlineStr">
        <is>
          <t>KALMAR LÄN</t>
        </is>
      </c>
      <c r="E838" t="inlineStr">
        <is>
          <t>VIMMERBY</t>
        </is>
      </c>
      <c r="G838" t="n">
        <v>2.3</v>
      </c>
      <c r="H838" t="n">
        <v>0</v>
      </c>
      <c r="I838" t="n">
        <v>0</v>
      </c>
      <c r="J838" t="n">
        <v>0</v>
      </c>
      <c r="K838" t="n">
        <v>0</v>
      </c>
      <c r="L838" t="n">
        <v>0</v>
      </c>
      <c r="M838" t="n">
        <v>0</v>
      </c>
      <c r="N838" t="n">
        <v>0</v>
      </c>
      <c r="O838" t="n">
        <v>0</v>
      </c>
      <c r="P838" t="n">
        <v>0</v>
      </c>
      <c r="Q838" t="n">
        <v>0</v>
      </c>
      <c r="R838" s="2" t="inlineStr"/>
    </row>
    <row r="839" ht="15" customHeight="1">
      <c r="A839" t="inlineStr">
        <is>
          <t>A 36030-2024</t>
        </is>
      </c>
      <c r="B839" s="1" t="n">
        <v>45533.58302083334</v>
      </c>
      <c r="C839" s="1" t="n">
        <v>46178</v>
      </c>
      <c r="D839" t="inlineStr">
        <is>
          <t>KALMAR LÄN</t>
        </is>
      </c>
      <c r="E839" t="inlineStr">
        <is>
          <t>VIMMERBY</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32865-2023</t>
        </is>
      </c>
      <c r="B840" s="1" t="n">
        <v>45124</v>
      </c>
      <c r="C840" s="1" t="n">
        <v>46178</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42918-2021</t>
        </is>
      </c>
      <c r="B841" s="1" t="n">
        <v>44431</v>
      </c>
      <c r="C841" s="1" t="n">
        <v>46178</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22643-2023</t>
        </is>
      </c>
      <c r="B842" s="1" t="n">
        <v>45071</v>
      </c>
      <c r="C842" s="1" t="n">
        <v>46178</v>
      </c>
      <c r="D842" t="inlineStr">
        <is>
          <t>KALMAR LÄN</t>
        </is>
      </c>
      <c r="E842" t="inlineStr">
        <is>
          <t>VIMMERBY</t>
        </is>
      </c>
      <c r="G842" t="n">
        <v>3.9</v>
      </c>
      <c r="H842" t="n">
        <v>0</v>
      </c>
      <c r="I842" t="n">
        <v>0</v>
      </c>
      <c r="J842" t="n">
        <v>0</v>
      </c>
      <c r="K842" t="n">
        <v>0</v>
      </c>
      <c r="L842" t="n">
        <v>0</v>
      </c>
      <c r="M842" t="n">
        <v>0</v>
      </c>
      <c r="N842" t="n">
        <v>0</v>
      </c>
      <c r="O842" t="n">
        <v>0</v>
      </c>
      <c r="P842" t="n">
        <v>0</v>
      </c>
      <c r="Q842" t="n">
        <v>0</v>
      </c>
      <c r="R842" s="2" t="inlineStr"/>
    </row>
    <row r="843" ht="15" customHeight="1">
      <c r="A843" t="inlineStr">
        <is>
          <t>A 38780-2021</t>
        </is>
      </c>
      <c r="B843" s="1" t="n">
        <v>44410</v>
      </c>
      <c r="C843" s="1" t="n">
        <v>46178</v>
      </c>
      <c r="D843" t="inlineStr">
        <is>
          <t>KALMAR LÄN</t>
        </is>
      </c>
      <c r="E843" t="inlineStr">
        <is>
          <t>VIMMERBY</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29020-2024</t>
        </is>
      </c>
      <c r="B844" s="1" t="n">
        <v>45481.58048611111</v>
      </c>
      <c r="C844" s="1" t="n">
        <v>46178</v>
      </c>
      <c r="D844" t="inlineStr">
        <is>
          <t>KALMAR LÄN</t>
        </is>
      </c>
      <c r="E844" t="inlineStr">
        <is>
          <t>VIMMERBY</t>
        </is>
      </c>
      <c r="G844" t="n">
        <v>2.3</v>
      </c>
      <c r="H844" t="n">
        <v>0</v>
      </c>
      <c r="I844" t="n">
        <v>0</v>
      </c>
      <c r="J844" t="n">
        <v>0</v>
      </c>
      <c r="K844" t="n">
        <v>0</v>
      </c>
      <c r="L844" t="n">
        <v>0</v>
      </c>
      <c r="M844" t="n">
        <v>0</v>
      </c>
      <c r="N844" t="n">
        <v>0</v>
      </c>
      <c r="O844" t="n">
        <v>0</v>
      </c>
      <c r="P844" t="n">
        <v>0</v>
      </c>
      <c r="Q844" t="n">
        <v>0</v>
      </c>
      <c r="R844" s="2" t="inlineStr"/>
    </row>
    <row r="845" ht="15" customHeight="1">
      <c r="A845" t="inlineStr">
        <is>
          <t>A 30406-2023</t>
        </is>
      </c>
      <c r="B845" s="1" t="n">
        <v>45111.48787037037</v>
      </c>
      <c r="C845" s="1" t="n">
        <v>46178</v>
      </c>
      <c r="D845" t="inlineStr">
        <is>
          <t>KALMAR LÄN</t>
        </is>
      </c>
      <c r="E845" t="inlineStr">
        <is>
          <t>VIMMERBY</t>
        </is>
      </c>
      <c r="G845" t="n">
        <v>2.4</v>
      </c>
      <c r="H845" t="n">
        <v>0</v>
      </c>
      <c r="I845" t="n">
        <v>0</v>
      </c>
      <c r="J845" t="n">
        <v>0</v>
      </c>
      <c r="K845" t="n">
        <v>0</v>
      </c>
      <c r="L845" t="n">
        <v>0</v>
      </c>
      <c r="M845" t="n">
        <v>0</v>
      </c>
      <c r="N845" t="n">
        <v>0</v>
      </c>
      <c r="O845" t="n">
        <v>0</v>
      </c>
      <c r="P845" t="n">
        <v>0</v>
      </c>
      <c r="Q845" t="n">
        <v>0</v>
      </c>
      <c r="R845" s="2" t="inlineStr"/>
    </row>
    <row r="846" ht="15" customHeight="1">
      <c r="A846" t="inlineStr">
        <is>
          <t>A 13817-2024</t>
        </is>
      </c>
      <c r="B846" s="1" t="n">
        <v>45391.41976851852</v>
      </c>
      <c r="C846" s="1" t="n">
        <v>46178</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22399-2025</t>
        </is>
      </c>
      <c r="B847" s="1" t="n">
        <v>45786.52996527778</v>
      </c>
      <c r="C847" s="1" t="n">
        <v>46178</v>
      </c>
      <c r="D847" t="inlineStr">
        <is>
          <t>KALMAR LÄN</t>
        </is>
      </c>
      <c r="E847" t="inlineStr">
        <is>
          <t>VIMMERBY</t>
        </is>
      </c>
      <c r="G847" t="n">
        <v>2.1</v>
      </c>
      <c r="H847" t="n">
        <v>0</v>
      </c>
      <c r="I847" t="n">
        <v>0</v>
      </c>
      <c r="J847" t="n">
        <v>0</v>
      </c>
      <c r="K847" t="n">
        <v>0</v>
      </c>
      <c r="L847" t="n">
        <v>0</v>
      </c>
      <c r="M847" t="n">
        <v>0</v>
      </c>
      <c r="N847" t="n">
        <v>0</v>
      </c>
      <c r="O847" t="n">
        <v>0</v>
      </c>
      <c r="P847" t="n">
        <v>0</v>
      </c>
      <c r="Q847" t="n">
        <v>0</v>
      </c>
      <c r="R847" s="2" t="inlineStr"/>
    </row>
    <row r="848" ht="15" customHeight="1">
      <c r="A848" t="inlineStr">
        <is>
          <t>A 22397-2025</t>
        </is>
      </c>
      <c r="B848" s="1" t="n">
        <v>45786.52878472222</v>
      </c>
      <c r="C848" s="1" t="n">
        <v>46178</v>
      </c>
      <c r="D848" t="inlineStr">
        <is>
          <t>KALMAR LÄN</t>
        </is>
      </c>
      <c r="E848" t="inlineStr">
        <is>
          <t>VIMMERBY</t>
        </is>
      </c>
      <c r="G848" t="n">
        <v>0.8</v>
      </c>
      <c r="H848" t="n">
        <v>0</v>
      </c>
      <c r="I848" t="n">
        <v>0</v>
      </c>
      <c r="J848" t="n">
        <v>0</v>
      </c>
      <c r="K848" t="n">
        <v>0</v>
      </c>
      <c r="L848" t="n">
        <v>0</v>
      </c>
      <c r="M848" t="n">
        <v>0</v>
      </c>
      <c r="N848" t="n">
        <v>0</v>
      </c>
      <c r="O848" t="n">
        <v>0</v>
      </c>
      <c r="P848" t="n">
        <v>0</v>
      </c>
      <c r="Q848" t="n">
        <v>0</v>
      </c>
      <c r="R848" s="2" t="inlineStr"/>
    </row>
    <row r="849" ht="15" customHeight="1">
      <c r="A849" t="inlineStr">
        <is>
          <t>A 25582-2024</t>
        </is>
      </c>
      <c r="B849" s="1" t="n">
        <v>45463</v>
      </c>
      <c r="C849" s="1" t="n">
        <v>46178</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57578-2024</t>
        </is>
      </c>
      <c r="B850" s="1" t="n">
        <v>45630.47564814815</v>
      </c>
      <c r="C850" s="1" t="n">
        <v>46178</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6307-2025</t>
        </is>
      </c>
      <c r="B851" s="1" t="n">
        <v>45698.69016203703</v>
      </c>
      <c r="C851" s="1" t="n">
        <v>46178</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11442-2025</t>
        </is>
      </c>
      <c r="B852" s="1" t="n">
        <v>45726.62721064815</v>
      </c>
      <c r="C852" s="1" t="n">
        <v>46178</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23394-2025</t>
        </is>
      </c>
      <c r="B853" s="1" t="n">
        <v>45791.89865740741</v>
      </c>
      <c r="C853" s="1" t="n">
        <v>46178</v>
      </c>
      <c r="D853" t="inlineStr">
        <is>
          <t>KALMAR LÄN</t>
        </is>
      </c>
      <c r="E853" t="inlineStr">
        <is>
          <t>VIMMERBY</t>
        </is>
      </c>
      <c r="G853" t="n">
        <v>3.1</v>
      </c>
      <c r="H853" t="n">
        <v>0</v>
      </c>
      <c r="I853" t="n">
        <v>0</v>
      </c>
      <c r="J853" t="n">
        <v>0</v>
      </c>
      <c r="K853" t="n">
        <v>0</v>
      </c>
      <c r="L853" t="n">
        <v>0</v>
      </c>
      <c r="M853" t="n">
        <v>0</v>
      </c>
      <c r="N853" t="n">
        <v>0</v>
      </c>
      <c r="O853" t="n">
        <v>0</v>
      </c>
      <c r="P853" t="n">
        <v>0</v>
      </c>
      <c r="Q853" t="n">
        <v>0</v>
      </c>
      <c r="R853" s="2" t="inlineStr"/>
    </row>
    <row r="854">
      <c r="A854" t="inlineStr">
        <is>
          <t>A 23984-2025</t>
        </is>
      </c>
      <c r="B854" s="1" t="n">
        <v>45796</v>
      </c>
      <c r="C854" s="1" t="n">
        <v>46178</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2026-06-05T10:53:41Z</dcterms:created>
  <dcterms:modified xmlns:dcterms="http://purl.org/dc/terms/" xmlns:xsi="http://www.w3.org/2001/XMLSchema-instance" xsi:type="dcterms:W3CDTF">2026-06-05T10:53:42Z</dcterms:modified>
</cp:coreProperties>
</file>