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46164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46164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46164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46164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46164</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46164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46164</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46164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46164</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46164</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46164</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46164</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46164</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46164</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46164</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46164</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46164</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46164</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46164</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40684-2025</t>
        </is>
      </c>
      <c r="B26" s="1" t="n">
        <v>45896.86820601852</v>
      </c>
      <c r="C26" s="1" t="n">
        <v>46164</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22825-2023</t>
        </is>
      </c>
      <c r="B27" s="1" t="n">
        <v>45072</v>
      </c>
      <c r="C27" s="1" t="n">
        <v>46164</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42802-2025</t>
        </is>
      </c>
      <c r="B28" s="1" t="n">
        <v>45908</v>
      </c>
      <c r="C28" s="1" t="n">
        <v>46164</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46164</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53787-2025</t>
        </is>
      </c>
      <c r="B30" s="1" t="n">
        <v>45960</v>
      </c>
      <c r="C30" s="1" t="n">
        <v>46164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14024-2023</t>
        </is>
      </c>
      <c r="B31" s="1" t="n">
        <v>45008.60878472222</v>
      </c>
      <c r="C31" s="1" t="n">
        <v>46164</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14426-2026</t>
        </is>
      </c>
      <c r="B32" s="1" t="n">
        <v>46100.46956018519</v>
      </c>
      <c r="C32" s="1" t="n">
        <v>46164</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22396-2025</t>
        </is>
      </c>
      <c r="B33" s="1" t="n">
        <v>45786.52827546297</v>
      </c>
      <c r="C33" s="1" t="n">
        <v>46164</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46164</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46164</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46164</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46164</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46164</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46164</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23602-2023</t>
        </is>
      </c>
      <c r="B40" s="1" t="n">
        <v>45077</v>
      </c>
      <c r="C40" s="1" t="n">
        <v>46164</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53400-2025</t>
        </is>
      </c>
      <c r="B41" s="1" t="n">
        <v>45959.56684027778</v>
      </c>
      <c r="C41" s="1" t="n">
        <v>46164</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53404-2025</t>
        </is>
      </c>
      <c r="B42" s="1" t="n">
        <v>45959.57126157408</v>
      </c>
      <c r="C42" s="1" t="n">
        <v>46164</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55384-2025</t>
        </is>
      </c>
      <c r="B43" s="1" t="n">
        <v>45971.43178240741</v>
      </c>
      <c r="C43" s="1" t="n">
        <v>46164</v>
      </c>
      <c r="D43" t="inlineStr">
        <is>
          <t>KALMAR LÄN</t>
        </is>
      </c>
      <c r="E43" t="inlineStr">
        <is>
          <t>VIMMERBY</t>
        </is>
      </c>
      <c r="G43" t="n">
        <v>1.7</v>
      </c>
      <c r="H43" t="n">
        <v>1</v>
      </c>
      <c r="I43" t="n">
        <v>0</v>
      </c>
      <c r="J43" t="n">
        <v>1</v>
      </c>
      <c r="K43" t="n">
        <v>0</v>
      </c>
      <c r="L43" t="n">
        <v>0</v>
      </c>
      <c r="M43" t="n">
        <v>0</v>
      </c>
      <c r="N43" t="n">
        <v>0</v>
      </c>
      <c r="O43" t="n">
        <v>1</v>
      </c>
      <c r="P43" t="n">
        <v>0</v>
      </c>
      <c r="Q43" t="n">
        <v>1</v>
      </c>
      <c r="R43" s="2" t="inlineStr">
        <is>
          <t>Talltita</t>
        </is>
      </c>
      <c r="S43">
        <f>HYPERLINK("https://klasma.github.io/Logging_0884/artfynd/A 55384-2025 artfynd.xlsx", "A 55384-2025")</f>
        <v/>
      </c>
      <c r="T43">
        <f>HYPERLINK("https://klasma.github.io/Logging_0884/kartor/A 55384-2025 karta.png", "A 55384-2025")</f>
        <v/>
      </c>
      <c r="V43">
        <f>HYPERLINK("https://klasma.github.io/Logging_0884/klagomål/A 55384-2025 FSC-klagomål.docx", "A 55384-2025")</f>
        <v/>
      </c>
      <c r="W43">
        <f>HYPERLINK("https://klasma.github.io/Logging_0884/klagomålsmail/A 55384-2025 FSC-klagomål mail.docx", "A 55384-2025")</f>
        <v/>
      </c>
      <c r="X43">
        <f>HYPERLINK("https://klasma.github.io/Logging_0884/tillsyn/A 55384-2025 tillsynsbegäran.docx", "A 55384-2025")</f>
        <v/>
      </c>
      <c r="Y43">
        <f>HYPERLINK("https://klasma.github.io/Logging_0884/tillsynsmail/A 55384-2025 tillsynsbegäran mail.docx", "A 55384-2025")</f>
        <v/>
      </c>
      <c r="Z43">
        <f>HYPERLINK("https://klasma.github.io/Logging_0884/fåglar/A 55384-2025 prioriterade fågelarter.docx", "A 55384-2025")</f>
        <v/>
      </c>
    </row>
    <row r="44" ht="15" customHeight="1">
      <c r="A44" t="inlineStr">
        <is>
          <t>A 57062-2025</t>
        </is>
      </c>
      <c r="B44" s="1" t="n">
        <v>45979.37598379629</v>
      </c>
      <c r="C44" s="1" t="n">
        <v>46164</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15122-2024</t>
        </is>
      </c>
      <c r="B45" s="1" t="n">
        <v>45399.71412037037</v>
      </c>
      <c r="C45" s="1" t="n">
        <v>46164</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46164</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46164</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61860-2024</t>
        </is>
      </c>
      <c r="B48" s="1" t="n">
        <v>45649</v>
      </c>
      <c r="C48" s="1" t="n">
        <v>46164</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44515-2024</t>
        </is>
      </c>
      <c r="B49" s="1" t="n">
        <v>45574.42767361111</v>
      </c>
      <c r="C49" s="1" t="n">
        <v>46164</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46164</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46164</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46164</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47205-2021</t>
        </is>
      </c>
      <c r="B53" s="1" t="n">
        <v>44447</v>
      </c>
      <c r="C53" s="1" t="n">
        <v>46164</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46164</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46164</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46164</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46164</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46164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46164</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46164</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46164</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38348-2021</t>
        </is>
      </c>
      <c r="B62" s="1" t="n">
        <v>44406</v>
      </c>
      <c r="C62" s="1" t="n">
        <v>46164</v>
      </c>
      <c r="D62" t="inlineStr">
        <is>
          <t>KALMAR LÄN</t>
        </is>
      </c>
      <c r="E62" t="inlineStr">
        <is>
          <t>VIMMERBY</t>
        </is>
      </c>
      <c r="G62" t="n">
        <v>2.2</v>
      </c>
      <c r="H62" t="n">
        <v>0</v>
      </c>
      <c r="I62" t="n">
        <v>0</v>
      </c>
      <c r="J62" t="n">
        <v>0</v>
      </c>
      <c r="K62" t="n">
        <v>0</v>
      </c>
      <c r="L62" t="n">
        <v>0</v>
      </c>
      <c r="M62" t="n">
        <v>0</v>
      </c>
      <c r="N62" t="n">
        <v>0</v>
      </c>
      <c r="O62" t="n">
        <v>0</v>
      </c>
      <c r="P62" t="n">
        <v>0</v>
      </c>
      <c r="Q62" t="n">
        <v>0</v>
      </c>
      <c r="R62" s="2" t="inlineStr"/>
    </row>
    <row r="63" ht="15" customHeight="1">
      <c r="A63" t="inlineStr">
        <is>
          <t>A 63926-2021</t>
        </is>
      </c>
      <c r="B63" s="1" t="n">
        <v>44509</v>
      </c>
      <c r="C63" s="1" t="n">
        <v>46164</v>
      </c>
      <c r="D63" t="inlineStr">
        <is>
          <t>KALMAR LÄN</t>
        </is>
      </c>
      <c r="E63" t="inlineStr">
        <is>
          <t>VIMMERBY</t>
        </is>
      </c>
      <c r="G63" t="n">
        <v>0.7</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46164</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46164</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46164</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46164</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46164</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2183-2022</t>
        </is>
      </c>
      <c r="B69" s="1" t="n">
        <v>44578.47597222222</v>
      </c>
      <c r="C69" s="1" t="n">
        <v>46164</v>
      </c>
      <c r="D69" t="inlineStr">
        <is>
          <t>KALMAR LÄN</t>
        </is>
      </c>
      <c r="E69" t="inlineStr">
        <is>
          <t>VIMMERBY</t>
        </is>
      </c>
      <c r="G69" t="n">
        <v>4.8</v>
      </c>
      <c r="H69" t="n">
        <v>0</v>
      </c>
      <c r="I69" t="n">
        <v>0</v>
      </c>
      <c r="J69" t="n">
        <v>0</v>
      </c>
      <c r="K69" t="n">
        <v>0</v>
      </c>
      <c r="L69" t="n">
        <v>0</v>
      </c>
      <c r="M69" t="n">
        <v>0</v>
      </c>
      <c r="N69" t="n">
        <v>0</v>
      </c>
      <c r="O69" t="n">
        <v>0</v>
      </c>
      <c r="P69" t="n">
        <v>0</v>
      </c>
      <c r="Q69" t="n">
        <v>0</v>
      </c>
      <c r="R69" s="2" t="inlineStr"/>
    </row>
    <row r="70" ht="15" customHeight="1">
      <c r="A70" t="inlineStr">
        <is>
          <t>A 65670-2021</t>
        </is>
      </c>
      <c r="B70" s="1" t="n">
        <v>44516.59703703703</v>
      </c>
      <c r="C70" s="1" t="n">
        <v>46164</v>
      </c>
      <c r="D70" t="inlineStr">
        <is>
          <t>KALMAR LÄN</t>
        </is>
      </c>
      <c r="E70" t="inlineStr">
        <is>
          <t>VIMMERBY</t>
        </is>
      </c>
      <c r="G70" t="n">
        <v>1.9</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46164</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46164</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46164</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46164</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46164</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46164</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46164</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46164</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46164</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27762-2021</t>
        </is>
      </c>
      <c r="B80" s="1" t="n">
        <v>44354</v>
      </c>
      <c r="C80" s="1" t="n">
        <v>46164</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46164</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46164</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46164</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46164</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46164</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46164</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46164</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46164</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46164</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46164</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46164</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46164</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46164</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46164</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46164</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46164</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46164</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46164</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46164</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46164</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51972-2021</t>
        </is>
      </c>
      <c r="B101" s="1" t="n">
        <v>44463.29439814815</v>
      </c>
      <c r="C101" s="1" t="n">
        <v>46164</v>
      </c>
      <c r="D101" t="inlineStr">
        <is>
          <t>KALMAR LÄN</t>
        </is>
      </c>
      <c r="E101" t="inlineStr">
        <is>
          <t>VIMMERBY</t>
        </is>
      </c>
      <c r="G101" t="n">
        <v>4.5</v>
      </c>
      <c r="H101" t="n">
        <v>0</v>
      </c>
      <c r="I101" t="n">
        <v>0</v>
      </c>
      <c r="J101" t="n">
        <v>0</v>
      </c>
      <c r="K101" t="n">
        <v>0</v>
      </c>
      <c r="L101" t="n">
        <v>0</v>
      </c>
      <c r="M101" t="n">
        <v>0</v>
      </c>
      <c r="N101" t="n">
        <v>0</v>
      </c>
      <c r="O101" t="n">
        <v>0</v>
      </c>
      <c r="P101" t="n">
        <v>0</v>
      </c>
      <c r="Q101" t="n">
        <v>0</v>
      </c>
      <c r="R101" s="2" t="inlineStr"/>
    </row>
    <row r="102" ht="15" customHeight="1">
      <c r="A102" t="inlineStr">
        <is>
          <t>A 4042-2022</t>
        </is>
      </c>
      <c r="B102" s="1" t="n">
        <v>44588</v>
      </c>
      <c r="C102" s="1" t="n">
        <v>46164</v>
      </c>
      <c r="D102" t="inlineStr">
        <is>
          <t>KALMAR LÄN</t>
        </is>
      </c>
      <c r="E102" t="inlineStr">
        <is>
          <t>VIMMERBY</t>
        </is>
      </c>
      <c r="G102" t="n">
        <v>4.7</v>
      </c>
      <c r="H102" t="n">
        <v>0</v>
      </c>
      <c r="I102" t="n">
        <v>0</v>
      </c>
      <c r="J102" t="n">
        <v>0</v>
      </c>
      <c r="K102" t="n">
        <v>0</v>
      </c>
      <c r="L102" t="n">
        <v>0</v>
      </c>
      <c r="M102" t="n">
        <v>0</v>
      </c>
      <c r="N102" t="n">
        <v>0</v>
      </c>
      <c r="O102" t="n">
        <v>0</v>
      </c>
      <c r="P102" t="n">
        <v>0</v>
      </c>
      <c r="Q102" t="n">
        <v>0</v>
      </c>
      <c r="R102" s="2" t="inlineStr"/>
    </row>
    <row r="103" ht="15" customHeight="1">
      <c r="A103" t="inlineStr">
        <is>
          <t>A 33690-2022</t>
        </is>
      </c>
      <c r="B103" s="1" t="n">
        <v>44789</v>
      </c>
      <c r="C103" s="1" t="n">
        <v>46164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35198-2021</t>
        </is>
      </c>
      <c r="B104" s="1" t="n">
        <v>44377</v>
      </c>
      <c r="C104" s="1" t="n">
        <v>46164</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34036-2021</t>
        </is>
      </c>
      <c r="B105" s="1" t="n">
        <v>44379</v>
      </c>
      <c r="C105" s="1" t="n">
        <v>46164</v>
      </c>
      <c r="D105" t="inlineStr">
        <is>
          <t>KALMAR LÄN</t>
        </is>
      </c>
      <c r="E105" t="inlineStr">
        <is>
          <t>VIMMERBY</t>
        </is>
      </c>
      <c r="F105" t="inlineStr">
        <is>
          <t>Sveaskog</t>
        </is>
      </c>
      <c r="G105" t="n">
        <v>7</v>
      </c>
      <c r="H105" t="n">
        <v>0</v>
      </c>
      <c r="I105" t="n">
        <v>0</v>
      </c>
      <c r="J105" t="n">
        <v>0</v>
      </c>
      <c r="K105" t="n">
        <v>0</v>
      </c>
      <c r="L105" t="n">
        <v>0</v>
      </c>
      <c r="M105" t="n">
        <v>0</v>
      </c>
      <c r="N105" t="n">
        <v>0</v>
      </c>
      <c r="O105" t="n">
        <v>0</v>
      </c>
      <c r="P105" t="n">
        <v>0</v>
      </c>
      <c r="Q105" t="n">
        <v>0</v>
      </c>
      <c r="R105" s="2" t="inlineStr"/>
    </row>
    <row r="106" ht="15" customHeight="1">
      <c r="A106" t="inlineStr">
        <is>
          <t>A 63244-2021</t>
        </is>
      </c>
      <c r="B106" s="1" t="n">
        <v>44508</v>
      </c>
      <c r="C106" s="1" t="n">
        <v>46164</v>
      </c>
      <c r="D106" t="inlineStr">
        <is>
          <t>KALMAR LÄN</t>
        </is>
      </c>
      <c r="E106" t="inlineStr">
        <is>
          <t>VIMMERBY</t>
        </is>
      </c>
      <c r="F106" t="inlineStr">
        <is>
          <t>Övriga statliga verk och myndigheter</t>
        </is>
      </c>
      <c r="G106" t="n">
        <v>0.6</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46164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46164</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24738-2021</t>
        </is>
      </c>
      <c r="B109" s="1" t="n">
        <v>44340.58002314815</v>
      </c>
      <c r="C109" s="1" t="n">
        <v>46164</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31053-2022</t>
        </is>
      </c>
      <c r="B110" s="1" t="n">
        <v>44769.45422453704</v>
      </c>
      <c r="C110" s="1" t="n">
        <v>46164</v>
      </c>
      <c r="D110" t="inlineStr">
        <is>
          <t>KALMAR LÄN</t>
        </is>
      </c>
      <c r="E110" t="inlineStr">
        <is>
          <t>VIMMERBY</t>
        </is>
      </c>
      <c r="G110" t="n">
        <v>1.9</v>
      </c>
      <c r="H110" t="n">
        <v>0</v>
      </c>
      <c r="I110" t="n">
        <v>0</v>
      </c>
      <c r="J110" t="n">
        <v>0</v>
      </c>
      <c r="K110" t="n">
        <v>0</v>
      </c>
      <c r="L110" t="n">
        <v>0</v>
      </c>
      <c r="M110" t="n">
        <v>0</v>
      </c>
      <c r="N110" t="n">
        <v>0</v>
      </c>
      <c r="O110" t="n">
        <v>0</v>
      </c>
      <c r="P110" t="n">
        <v>0</v>
      </c>
      <c r="Q110" t="n">
        <v>0</v>
      </c>
      <c r="R110" s="2" t="inlineStr"/>
    </row>
    <row r="111" ht="15" customHeight="1">
      <c r="A111" t="inlineStr">
        <is>
          <t>A 8454-2022</t>
        </is>
      </c>
      <c r="B111" s="1" t="n">
        <v>44612.86762731482</v>
      </c>
      <c r="C111" s="1" t="n">
        <v>46164</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65887-2021</t>
        </is>
      </c>
      <c r="B112" s="1" t="n">
        <v>44517</v>
      </c>
      <c r="C112" s="1" t="n">
        <v>46164</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39959-2022</t>
        </is>
      </c>
      <c r="B113" s="1" t="n">
        <v>44819</v>
      </c>
      <c r="C113" s="1" t="n">
        <v>46164</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24999-2021</t>
        </is>
      </c>
      <c r="B114" s="1" t="n">
        <v>44341</v>
      </c>
      <c r="C114" s="1" t="n">
        <v>46164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7917-2022</t>
        </is>
      </c>
      <c r="B115" s="1" t="n">
        <v>44608</v>
      </c>
      <c r="C115" s="1" t="n">
        <v>46164</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47208-2021</t>
        </is>
      </c>
      <c r="B116" s="1" t="n">
        <v>44447.34237268518</v>
      </c>
      <c r="C116" s="1" t="n">
        <v>46164</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56389-2021</t>
        </is>
      </c>
      <c r="B117" s="1" t="n">
        <v>44480</v>
      </c>
      <c r="C117" s="1" t="n">
        <v>46164</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67952-2021</t>
        </is>
      </c>
      <c r="B118" s="1" t="n">
        <v>44525.63913194444</v>
      </c>
      <c r="C118" s="1" t="n">
        <v>46164</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15533-2022</t>
        </is>
      </c>
      <c r="B119" s="1" t="n">
        <v>44662</v>
      </c>
      <c r="C119" s="1" t="n">
        <v>46164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165-2022</t>
        </is>
      </c>
      <c r="B120" s="1" t="n">
        <v>44564</v>
      </c>
      <c r="C120" s="1" t="n">
        <v>46164</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46164</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12107-2022</t>
        </is>
      </c>
      <c r="B122" s="1" t="n">
        <v>44636</v>
      </c>
      <c r="C122" s="1" t="n">
        <v>46164</v>
      </c>
      <c r="D122" t="inlineStr">
        <is>
          <t>KALMAR LÄN</t>
        </is>
      </c>
      <c r="E122" t="inlineStr">
        <is>
          <t>VIMMERBY</t>
        </is>
      </c>
      <c r="G122" t="n">
        <v>1.8</v>
      </c>
      <c r="H122" t="n">
        <v>0</v>
      </c>
      <c r="I122" t="n">
        <v>0</v>
      </c>
      <c r="J122" t="n">
        <v>0</v>
      </c>
      <c r="K122" t="n">
        <v>0</v>
      </c>
      <c r="L122" t="n">
        <v>0</v>
      </c>
      <c r="M122" t="n">
        <v>0</v>
      </c>
      <c r="N122" t="n">
        <v>0</v>
      </c>
      <c r="O122" t="n">
        <v>0</v>
      </c>
      <c r="P122" t="n">
        <v>0</v>
      </c>
      <c r="Q122" t="n">
        <v>0</v>
      </c>
      <c r="R122" s="2" t="inlineStr"/>
    </row>
    <row r="123" ht="15" customHeight="1">
      <c r="A123" t="inlineStr">
        <is>
          <t>A 39225-2022</t>
        </is>
      </c>
      <c r="B123" s="1" t="n">
        <v>44817.57988425926</v>
      </c>
      <c r="C123" s="1" t="n">
        <v>46164</v>
      </c>
      <c r="D123" t="inlineStr">
        <is>
          <t>KALMAR LÄN</t>
        </is>
      </c>
      <c r="E123" t="inlineStr">
        <is>
          <t>VIMMERBY</t>
        </is>
      </c>
      <c r="G123" t="n">
        <v>2.2</v>
      </c>
      <c r="H123" t="n">
        <v>0</v>
      </c>
      <c r="I123" t="n">
        <v>0</v>
      </c>
      <c r="J123" t="n">
        <v>0</v>
      </c>
      <c r="K123" t="n">
        <v>0</v>
      </c>
      <c r="L123" t="n">
        <v>0</v>
      </c>
      <c r="M123" t="n">
        <v>0</v>
      </c>
      <c r="N123" t="n">
        <v>0</v>
      </c>
      <c r="O123" t="n">
        <v>0</v>
      </c>
      <c r="P123" t="n">
        <v>0</v>
      </c>
      <c r="Q123" t="n">
        <v>0</v>
      </c>
      <c r="R123" s="2" t="inlineStr"/>
    </row>
    <row r="124" ht="15" customHeight="1">
      <c r="A124" t="inlineStr">
        <is>
          <t>A 17029-2022</t>
        </is>
      </c>
      <c r="B124" s="1" t="n">
        <v>44676.85248842592</v>
      </c>
      <c r="C124" s="1" t="n">
        <v>46164</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7167-2022</t>
        </is>
      </c>
      <c r="B125" s="1" t="n">
        <v>44604</v>
      </c>
      <c r="C125" s="1" t="n">
        <v>46164</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35001-2021</t>
        </is>
      </c>
      <c r="B126" s="1" t="n">
        <v>44383</v>
      </c>
      <c r="C126" s="1" t="n">
        <v>46164</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40077-2021</t>
        </is>
      </c>
      <c r="B127" s="1" t="n">
        <v>44418</v>
      </c>
      <c r="C127" s="1" t="n">
        <v>46164</v>
      </c>
      <c r="D127" t="inlineStr">
        <is>
          <t>KALMAR LÄN</t>
        </is>
      </c>
      <c r="E127" t="inlineStr">
        <is>
          <t>VIMMERBY</t>
        </is>
      </c>
      <c r="G127" t="n">
        <v>2.9</v>
      </c>
      <c r="H127" t="n">
        <v>0</v>
      </c>
      <c r="I127" t="n">
        <v>0</v>
      </c>
      <c r="J127" t="n">
        <v>0</v>
      </c>
      <c r="K127" t="n">
        <v>0</v>
      </c>
      <c r="L127" t="n">
        <v>0</v>
      </c>
      <c r="M127" t="n">
        <v>0</v>
      </c>
      <c r="N127" t="n">
        <v>0</v>
      </c>
      <c r="O127" t="n">
        <v>0</v>
      </c>
      <c r="P127" t="n">
        <v>0</v>
      </c>
      <c r="Q127" t="n">
        <v>0</v>
      </c>
      <c r="R127" s="2" t="inlineStr"/>
    </row>
    <row r="128" ht="15" customHeight="1">
      <c r="A128" t="inlineStr">
        <is>
          <t>A 47769-2022</t>
        </is>
      </c>
      <c r="B128" s="1" t="n">
        <v>44854</v>
      </c>
      <c r="C128" s="1" t="n">
        <v>46164</v>
      </c>
      <c r="D128" t="inlineStr">
        <is>
          <t>KALMAR LÄN</t>
        </is>
      </c>
      <c r="E128" t="inlineStr">
        <is>
          <t>VIMMERBY</t>
        </is>
      </c>
      <c r="G128" t="n">
        <v>1.1</v>
      </c>
      <c r="H128" t="n">
        <v>0</v>
      </c>
      <c r="I128" t="n">
        <v>0</v>
      </c>
      <c r="J128" t="n">
        <v>0</v>
      </c>
      <c r="K128" t="n">
        <v>0</v>
      </c>
      <c r="L128" t="n">
        <v>0</v>
      </c>
      <c r="M128" t="n">
        <v>0</v>
      </c>
      <c r="N128" t="n">
        <v>0</v>
      </c>
      <c r="O128" t="n">
        <v>0</v>
      </c>
      <c r="P128" t="n">
        <v>0</v>
      </c>
      <c r="Q128" t="n">
        <v>0</v>
      </c>
      <c r="R128" s="2" t="inlineStr"/>
    </row>
    <row r="129" ht="15" customHeight="1">
      <c r="A129" t="inlineStr">
        <is>
          <t>A 55674-2021</t>
        </is>
      </c>
      <c r="B129" s="1" t="n">
        <v>44476</v>
      </c>
      <c r="C129" s="1" t="n">
        <v>46164</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48377-2021</t>
        </is>
      </c>
      <c r="B130" s="1" t="n">
        <v>44451.8375</v>
      </c>
      <c r="C130" s="1" t="n">
        <v>46164</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40472-2022</t>
        </is>
      </c>
      <c r="B131" s="1" t="n">
        <v>44823</v>
      </c>
      <c r="C131" s="1" t="n">
        <v>46164</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35316-2021</t>
        </is>
      </c>
      <c r="B132" s="1" t="n">
        <v>44384</v>
      </c>
      <c r="C132" s="1" t="n">
        <v>46164</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33831-2022</t>
        </is>
      </c>
      <c r="B133" s="1" t="n">
        <v>44790.48503472222</v>
      </c>
      <c r="C133" s="1" t="n">
        <v>46164</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47708-2022</t>
        </is>
      </c>
      <c r="B134" s="1" t="n">
        <v>44854.59157407407</v>
      </c>
      <c r="C134" s="1" t="n">
        <v>46164</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9918-2022</t>
        </is>
      </c>
      <c r="B135" s="1" t="n">
        <v>44620</v>
      </c>
      <c r="C135" s="1" t="n">
        <v>46164</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23825-2022</t>
        </is>
      </c>
      <c r="B136" s="1" t="n">
        <v>44722.48768518519</v>
      </c>
      <c r="C136" s="1" t="n">
        <v>46164</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46164</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41056-2022</t>
        </is>
      </c>
      <c r="B138" s="1" t="n">
        <v>44824</v>
      </c>
      <c r="C138" s="1" t="n">
        <v>46164</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31660-2021</t>
        </is>
      </c>
      <c r="B139" s="1" t="n">
        <v>44369</v>
      </c>
      <c r="C139" s="1" t="n">
        <v>46164</v>
      </c>
      <c r="D139" t="inlineStr">
        <is>
          <t>KALMAR LÄN</t>
        </is>
      </c>
      <c r="E139" t="inlineStr">
        <is>
          <t>VIMMERBY</t>
        </is>
      </c>
      <c r="G139" t="n">
        <v>4.2</v>
      </c>
      <c r="H139" t="n">
        <v>0</v>
      </c>
      <c r="I139" t="n">
        <v>0</v>
      </c>
      <c r="J139" t="n">
        <v>0</v>
      </c>
      <c r="K139" t="n">
        <v>0</v>
      </c>
      <c r="L139" t="n">
        <v>0</v>
      </c>
      <c r="M139" t="n">
        <v>0</v>
      </c>
      <c r="N139" t="n">
        <v>0</v>
      </c>
      <c r="O139" t="n">
        <v>0</v>
      </c>
      <c r="P139" t="n">
        <v>0</v>
      </c>
      <c r="Q139" t="n">
        <v>0</v>
      </c>
      <c r="R139" s="2" t="inlineStr"/>
    </row>
    <row r="140" ht="15" customHeight="1">
      <c r="A140" t="inlineStr">
        <is>
          <t>A 27455-2022</t>
        </is>
      </c>
      <c r="B140" s="1" t="n">
        <v>44742</v>
      </c>
      <c r="C140" s="1" t="n">
        <v>46164</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32603-2021</t>
        </is>
      </c>
      <c r="B141" s="1" t="n">
        <v>44375.38789351852</v>
      </c>
      <c r="C141" s="1" t="n">
        <v>46164</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36117-2021</t>
        </is>
      </c>
      <c r="B142" s="1" t="n">
        <v>44386</v>
      </c>
      <c r="C142" s="1" t="n">
        <v>46164</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42521-2021</t>
        </is>
      </c>
      <c r="B143" s="1" t="n">
        <v>44427</v>
      </c>
      <c r="C143" s="1" t="n">
        <v>46164</v>
      </c>
      <c r="D143" t="inlineStr">
        <is>
          <t>KALMAR LÄN</t>
        </is>
      </c>
      <c r="E143" t="inlineStr">
        <is>
          <t>VIMMERBY</t>
        </is>
      </c>
      <c r="G143" t="n">
        <v>5.4</v>
      </c>
      <c r="H143" t="n">
        <v>0</v>
      </c>
      <c r="I143" t="n">
        <v>0</v>
      </c>
      <c r="J143" t="n">
        <v>0</v>
      </c>
      <c r="K143" t="n">
        <v>0</v>
      </c>
      <c r="L143" t="n">
        <v>0</v>
      </c>
      <c r="M143" t="n">
        <v>0</v>
      </c>
      <c r="N143" t="n">
        <v>0</v>
      </c>
      <c r="O143" t="n">
        <v>0</v>
      </c>
      <c r="P143" t="n">
        <v>0</v>
      </c>
      <c r="Q143" t="n">
        <v>0</v>
      </c>
      <c r="R143" s="2" t="inlineStr"/>
    </row>
    <row r="144" ht="15" customHeight="1">
      <c r="A144" t="inlineStr">
        <is>
          <t>A 46964-2022</t>
        </is>
      </c>
      <c r="B144" s="1" t="n">
        <v>44851.95016203704</v>
      </c>
      <c r="C144" s="1" t="n">
        <v>46164</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13180-2022</t>
        </is>
      </c>
      <c r="B145" s="1" t="n">
        <v>44644</v>
      </c>
      <c r="C145" s="1" t="n">
        <v>46164</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42850-2022</t>
        </is>
      </c>
      <c r="B146" s="1" t="n">
        <v>44832.67608796297</v>
      </c>
      <c r="C146" s="1" t="n">
        <v>46164</v>
      </c>
      <c r="D146" t="inlineStr">
        <is>
          <t>KALMAR LÄN</t>
        </is>
      </c>
      <c r="E146" t="inlineStr">
        <is>
          <t>VIMMERBY</t>
        </is>
      </c>
      <c r="G146" t="n">
        <v>5.9</v>
      </c>
      <c r="H146" t="n">
        <v>0</v>
      </c>
      <c r="I146" t="n">
        <v>0</v>
      </c>
      <c r="J146" t="n">
        <v>0</v>
      </c>
      <c r="K146" t="n">
        <v>0</v>
      </c>
      <c r="L146" t="n">
        <v>0</v>
      </c>
      <c r="M146" t="n">
        <v>0</v>
      </c>
      <c r="N146" t="n">
        <v>0</v>
      </c>
      <c r="O146" t="n">
        <v>0</v>
      </c>
      <c r="P146" t="n">
        <v>0</v>
      </c>
      <c r="Q146" t="n">
        <v>0</v>
      </c>
      <c r="R146" s="2" t="inlineStr"/>
    </row>
    <row r="147" ht="15" customHeight="1">
      <c r="A147" t="inlineStr">
        <is>
          <t>A 10086-2022</t>
        </is>
      </c>
      <c r="B147" s="1" t="n">
        <v>44621</v>
      </c>
      <c r="C147" s="1" t="n">
        <v>46164</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53145-2022</t>
        </is>
      </c>
      <c r="B148" s="1" t="n">
        <v>44876.48346064815</v>
      </c>
      <c r="C148" s="1" t="n">
        <v>46164</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25738-2022</t>
        </is>
      </c>
      <c r="B149" s="1" t="n">
        <v>44733.43092592592</v>
      </c>
      <c r="C149" s="1" t="n">
        <v>46164</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8194-2022</t>
        </is>
      </c>
      <c r="B150" s="1" t="n">
        <v>44609</v>
      </c>
      <c r="C150" s="1" t="n">
        <v>46164</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40971-2021</t>
        </is>
      </c>
      <c r="B151" s="1" t="n">
        <v>44421</v>
      </c>
      <c r="C151" s="1" t="n">
        <v>46164</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8453-2022</t>
        </is>
      </c>
      <c r="B152" s="1" t="n">
        <v>44612.86554398148</v>
      </c>
      <c r="C152" s="1" t="n">
        <v>46164</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52433-2021</t>
        </is>
      </c>
      <c r="B153" s="1" t="n">
        <v>44466.34726851852</v>
      </c>
      <c r="C153" s="1" t="n">
        <v>46164</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50621-2022</t>
        </is>
      </c>
      <c r="B154" s="1" t="n">
        <v>44866.81100694444</v>
      </c>
      <c r="C154" s="1" t="n">
        <v>46164</v>
      </c>
      <c r="D154" t="inlineStr">
        <is>
          <t>KALMAR LÄN</t>
        </is>
      </c>
      <c r="E154" t="inlineStr">
        <is>
          <t>VIMMERBY</t>
        </is>
      </c>
      <c r="F154" t="inlineStr">
        <is>
          <t>Övriga Aktiebolag</t>
        </is>
      </c>
      <c r="G154" t="n">
        <v>5.1</v>
      </c>
      <c r="H154" t="n">
        <v>0</v>
      </c>
      <c r="I154" t="n">
        <v>0</v>
      </c>
      <c r="J154" t="n">
        <v>0</v>
      </c>
      <c r="K154" t="n">
        <v>0</v>
      </c>
      <c r="L154" t="n">
        <v>0</v>
      </c>
      <c r="M154" t="n">
        <v>0</v>
      </c>
      <c r="N154" t="n">
        <v>0</v>
      </c>
      <c r="O154" t="n">
        <v>0</v>
      </c>
      <c r="P154" t="n">
        <v>0</v>
      </c>
      <c r="Q154" t="n">
        <v>0</v>
      </c>
      <c r="R154" s="2" t="inlineStr"/>
    </row>
    <row r="155" ht="15" customHeight="1">
      <c r="A155" t="inlineStr">
        <is>
          <t>A 54065-2021</t>
        </is>
      </c>
      <c r="B155" s="1" t="n">
        <v>44470.44232638889</v>
      </c>
      <c r="C155" s="1" t="n">
        <v>46164</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46164</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46164</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7804-2022</t>
        </is>
      </c>
      <c r="B158" s="1" t="n">
        <v>44608.50458333334</v>
      </c>
      <c r="C158" s="1" t="n">
        <v>46164</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39042-2022</t>
        </is>
      </c>
      <c r="B159" s="1" t="n">
        <v>44817</v>
      </c>
      <c r="C159" s="1" t="n">
        <v>46164</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29441-2024</t>
        </is>
      </c>
      <c r="B160" s="1" t="n">
        <v>45483.82834490741</v>
      </c>
      <c r="C160" s="1" t="n">
        <v>46164</v>
      </c>
      <c r="D160" t="inlineStr">
        <is>
          <t>KALMAR LÄN</t>
        </is>
      </c>
      <c r="E160" t="inlineStr">
        <is>
          <t>VIMMERBY</t>
        </is>
      </c>
      <c r="G160" t="n">
        <v>1.3</v>
      </c>
      <c r="H160" t="n">
        <v>0</v>
      </c>
      <c r="I160" t="n">
        <v>0</v>
      </c>
      <c r="J160" t="n">
        <v>0</v>
      </c>
      <c r="K160" t="n">
        <v>0</v>
      </c>
      <c r="L160" t="n">
        <v>0</v>
      </c>
      <c r="M160" t="n">
        <v>0</v>
      </c>
      <c r="N160" t="n">
        <v>0</v>
      </c>
      <c r="O160" t="n">
        <v>0</v>
      </c>
      <c r="P160" t="n">
        <v>0</v>
      </c>
      <c r="Q160" t="n">
        <v>0</v>
      </c>
      <c r="R160" s="2" t="inlineStr"/>
    </row>
    <row r="161" ht="15" customHeight="1">
      <c r="A161" t="inlineStr">
        <is>
          <t>A 25728-2023</t>
        </is>
      </c>
      <c r="B161" s="1" t="n">
        <v>45090.38012731481</v>
      </c>
      <c r="C161" s="1" t="n">
        <v>46164</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33359-2021</t>
        </is>
      </c>
      <c r="B162" s="1" t="n">
        <v>44377.49684027778</v>
      </c>
      <c r="C162" s="1" t="n">
        <v>46164</v>
      </c>
      <c r="D162" t="inlineStr">
        <is>
          <t>KALMAR LÄN</t>
        </is>
      </c>
      <c r="E162" t="inlineStr">
        <is>
          <t>VIMMERBY</t>
        </is>
      </c>
      <c r="F162" t="inlineStr">
        <is>
          <t>Kommuner</t>
        </is>
      </c>
      <c r="G162" t="n">
        <v>8</v>
      </c>
      <c r="H162" t="n">
        <v>0</v>
      </c>
      <c r="I162" t="n">
        <v>0</v>
      </c>
      <c r="J162" t="n">
        <v>0</v>
      </c>
      <c r="K162" t="n">
        <v>0</v>
      </c>
      <c r="L162" t="n">
        <v>0</v>
      </c>
      <c r="M162" t="n">
        <v>0</v>
      </c>
      <c r="N162" t="n">
        <v>0</v>
      </c>
      <c r="O162" t="n">
        <v>0</v>
      </c>
      <c r="P162" t="n">
        <v>0</v>
      </c>
      <c r="Q162" t="n">
        <v>0</v>
      </c>
      <c r="R162" s="2" t="inlineStr"/>
    </row>
    <row r="163" ht="15" customHeight="1">
      <c r="A163" t="inlineStr">
        <is>
          <t>A 52435-2021</t>
        </is>
      </c>
      <c r="B163" s="1" t="n">
        <v>44466.34962962963</v>
      </c>
      <c r="C163" s="1" t="n">
        <v>46164</v>
      </c>
      <c r="D163" t="inlineStr">
        <is>
          <t>KALMAR LÄN</t>
        </is>
      </c>
      <c r="E163" t="inlineStr">
        <is>
          <t>VIMMERBY</t>
        </is>
      </c>
      <c r="G163" t="n">
        <v>2.8</v>
      </c>
      <c r="H163" t="n">
        <v>0</v>
      </c>
      <c r="I163" t="n">
        <v>0</v>
      </c>
      <c r="J163" t="n">
        <v>0</v>
      </c>
      <c r="K163" t="n">
        <v>0</v>
      </c>
      <c r="L163" t="n">
        <v>0</v>
      </c>
      <c r="M163" t="n">
        <v>0</v>
      </c>
      <c r="N163" t="n">
        <v>0</v>
      </c>
      <c r="O163" t="n">
        <v>0</v>
      </c>
      <c r="P163" t="n">
        <v>0</v>
      </c>
      <c r="Q163" t="n">
        <v>0</v>
      </c>
      <c r="R163" s="2" t="inlineStr"/>
    </row>
    <row r="164" ht="15" customHeight="1">
      <c r="A164" t="inlineStr">
        <is>
          <t>A 29093-2023</t>
        </is>
      </c>
      <c r="B164" s="1" t="n">
        <v>45105</v>
      </c>
      <c r="C164" s="1" t="n">
        <v>46164</v>
      </c>
      <c r="D164" t="inlineStr">
        <is>
          <t>KALMAR LÄN</t>
        </is>
      </c>
      <c r="E164" t="inlineStr">
        <is>
          <t>VIMMERBY</t>
        </is>
      </c>
      <c r="G164" t="n">
        <v>2.9</v>
      </c>
      <c r="H164" t="n">
        <v>0</v>
      </c>
      <c r="I164" t="n">
        <v>0</v>
      </c>
      <c r="J164" t="n">
        <v>0</v>
      </c>
      <c r="K164" t="n">
        <v>0</v>
      </c>
      <c r="L164" t="n">
        <v>0</v>
      </c>
      <c r="M164" t="n">
        <v>0</v>
      </c>
      <c r="N164" t="n">
        <v>0</v>
      </c>
      <c r="O164" t="n">
        <v>0</v>
      </c>
      <c r="P164" t="n">
        <v>0</v>
      </c>
      <c r="Q164" t="n">
        <v>0</v>
      </c>
      <c r="R164" s="2" t="inlineStr"/>
    </row>
    <row r="165" ht="15" customHeight="1">
      <c r="A165" t="inlineStr">
        <is>
          <t>A 43038-2022</t>
        </is>
      </c>
      <c r="B165" s="1" t="n">
        <v>44833.60123842592</v>
      </c>
      <c r="C165" s="1" t="n">
        <v>46164</v>
      </c>
      <c r="D165" t="inlineStr">
        <is>
          <t>KALMAR LÄN</t>
        </is>
      </c>
      <c r="E165" t="inlineStr">
        <is>
          <t>VIMMERBY</t>
        </is>
      </c>
      <c r="G165" t="n">
        <v>4.2</v>
      </c>
      <c r="H165" t="n">
        <v>0</v>
      </c>
      <c r="I165" t="n">
        <v>0</v>
      </c>
      <c r="J165" t="n">
        <v>0</v>
      </c>
      <c r="K165" t="n">
        <v>0</v>
      </c>
      <c r="L165" t="n">
        <v>0</v>
      </c>
      <c r="M165" t="n">
        <v>0</v>
      </c>
      <c r="N165" t="n">
        <v>0</v>
      </c>
      <c r="O165" t="n">
        <v>0</v>
      </c>
      <c r="P165" t="n">
        <v>0</v>
      </c>
      <c r="Q165" t="n">
        <v>0</v>
      </c>
      <c r="R165" s="2" t="inlineStr"/>
    </row>
    <row r="166" ht="15" customHeight="1">
      <c r="A166" t="inlineStr">
        <is>
          <t>A 50087-2023</t>
        </is>
      </c>
      <c r="B166" s="1" t="n">
        <v>45215.59743055556</v>
      </c>
      <c r="C166" s="1" t="n">
        <v>46164</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33681-2022</t>
        </is>
      </c>
      <c r="B167" s="1" t="n">
        <v>44789</v>
      </c>
      <c r="C167" s="1" t="n">
        <v>46164</v>
      </c>
      <c r="D167" t="inlineStr">
        <is>
          <t>KALMAR LÄN</t>
        </is>
      </c>
      <c r="E167" t="inlineStr">
        <is>
          <t>VIMMERBY</t>
        </is>
      </c>
      <c r="G167" t="n">
        <v>3.2</v>
      </c>
      <c r="H167" t="n">
        <v>0</v>
      </c>
      <c r="I167" t="n">
        <v>0</v>
      </c>
      <c r="J167" t="n">
        <v>0</v>
      </c>
      <c r="K167" t="n">
        <v>0</v>
      </c>
      <c r="L167" t="n">
        <v>0</v>
      </c>
      <c r="M167" t="n">
        <v>0</v>
      </c>
      <c r="N167" t="n">
        <v>0</v>
      </c>
      <c r="O167" t="n">
        <v>0</v>
      </c>
      <c r="P167" t="n">
        <v>0</v>
      </c>
      <c r="Q167" t="n">
        <v>0</v>
      </c>
      <c r="R167" s="2" t="inlineStr"/>
    </row>
    <row r="168" ht="15" customHeight="1">
      <c r="A168" t="inlineStr">
        <is>
          <t>A 12033-2024</t>
        </is>
      </c>
      <c r="B168" s="1" t="n">
        <v>45377.40043981482</v>
      </c>
      <c r="C168" s="1" t="n">
        <v>46164</v>
      </c>
      <c r="D168" t="inlineStr">
        <is>
          <t>KALMAR LÄN</t>
        </is>
      </c>
      <c r="E168" t="inlineStr">
        <is>
          <t>VIMMERBY</t>
        </is>
      </c>
      <c r="G168" t="n">
        <v>1.6</v>
      </c>
      <c r="H168" t="n">
        <v>0</v>
      </c>
      <c r="I168" t="n">
        <v>0</v>
      </c>
      <c r="J168" t="n">
        <v>0</v>
      </c>
      <c r="K168" t="n">
        <v>0</v>
      </c>
      <c r="L168" t="n">
        <v>0</v>
      </c>
      <c r="M168" t="n">
        <v>0</v>
      </c>
      <c r="N168" t="n">
        <v>0</v>
      </c>
      <c r="O168" t="n">
        <v>0</v>
      </c>
      <c r="P168" t="n">
        <v>0</v>
      </c>
      <c r="Q168" t="n">
        <v>0</v>
      </c>
      <c r="R168" s="2" t="inlineStr"/>
    </row>
    <row r="169" ht="15" customHeight="1">
      <c r="A169" t="inlineStr">
        <is>
          <t>A 16825-2024</t>
        </is>
      </c>
      <c r="B169" s="1" t="n">
        <v>45411.47335648148</v>
      </c>
      <c r="C169" s="1" t="n">
        <v>46164</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6214-2025</t>
        </is>
      </c>
      <c r="B170" s="1" t="n">
        <v>45698.51711805556</v>
      </c>
      <c r="C170" s="1" t="n">
        <v>46164</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49408-2023</t>
        </is>
      </c>
      <c r="B171" s="1" t="n">
        <v>45211.43555555555</v>
      </c>
      <c r="C171" s="1" t="n">
        <v>46164</v>
      </c>
      <c r="D171" t="inlineStr">
        <is>
          <t>KALMAR LÄN</t>
        </is>
      </c>
      <c r="E171" t="inlineStr">
        <is>
          <t>VIMMERBY</t>
        </is>
      </c>
      <c r="G171" t="n">
        <v>13.1</v>
      </c>
      <c r="H171" t="n">
        <v>0</v>
      </c>
      <c r="I171" t="n">
        <v>0</v>
      </c>
      <c r="J171" t="n">
        <v>0</v>
      </c>
      <c r="K171" t="n">
        <v>0</v>
      </c>
      <c r="L171" t="n">
        <v>0</v>
      </c>
      <c r="M171" t="n">
        <v>0</v>
      </c>
      <c r="N171" t="n">
        <v>0</v>
      </c>
      <c r="O171" t="n">
        <v>0</v>
      </c>
      <c r="P171" t="n">
        <v>0</v>
      </c>
      <c r="Q171" t="n">
        <v>0</v>
      </c>
      <c r="R171" s="2" t="inlineStr"/>
    </row>
    <row r="172" ht="15" customHeight="1">
      <c r="A172" t="inlineStr">
        <is>
          <t>A 28395-2023</t>
        </is>
      </c>
      <c r="B172" s="1" t="n">
        <v>45100.4062962963</v>
      </c>
      <c r="C172" s="1" t="n">
        <v>46164</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18501-2024</t>
        </is>
      </c>
      <c r="B173" s="1" t="n">
        <v>45425.57538194444</v>
      </c>
      <c r="C173" s="1" t="n">
        <v>46164</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27443-2023</t>
        </is>
      </c>
      <c r="B174" s="1" t="n">
        <v>45097.40524305555</v>
      </c>
      <c r="C174" s="1" t="n">
        <v>46164</v>
      </c>
      <c r="D174" t="inlineStr">
        <is>
          <t>KALMAR LÄN</t>
        </is>
      </c>
      <c r="E174" t="inlineStr">
        <is>
          <t>VIMMERBY</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25799-2023</t>
        </is>
      </c>
      <c r="B175" s="1" t="n">
        <v>45090</v>
      </c>
      <c r="C175" s="1" t="n">
        <v>46164</v>
      </c>
      <c r="D175" t="inlineStr">
        <is>
          <t>KALMAR LÄN</t>
        </is>
      </c>
      <c r="E175" t="inlineStr">
        <is>
          <t>VIMMERBY</t>
        </is>
      </c>
      <c r="G175" t="n">
        <v>7.7</v>
      </c>
      <c r="H175" t="n">
        <v>0</v>
      </c>
      <c r="I175" t="n">
        <v>0</v>
      </c>
      <c r="J175" t="n">
        <v>0</v>
      </c>
      <c r="K175" t="n">
        <v>0</v>
      </c>
      <c r="L175" t="n">
        <v>0</v>
      </c>
      <c r="M175" t="n">
        <v>0</v>
      </c>
      <c r="N175" t="n">
        <v>0</v>
      </c>
      <c r="O175" t="n">
        <v>0</v>
      </c>
      <c r="P175" t="n">
        <v>0</v>
      </c>
      <c r="Q175" t="n">
        <v>0</v>
      </c>
      <c r="R175" s="2" t="inlineStr"/>
    </row>
    <row r="176" ht="15" customHeight="1">
      <c r="A176" t="inlineStr">
        <is>
          <t>A 16015-2025</t>
        </is>
      </c>
      <c r="B176" s="1" t="n">
        <v>45749.60487268519</v>
      </c>
      <c r="C176" s="1" t="n">
        <v>46164</v>
      </c>
      <c r="D176" t="inlineStr">
        <is>
          <t>KALMAR LÄN</t>
        </is>
      </c>
      <c r="E176" t="inlineStr">
        <is>
          <t>VIMMERBY</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1987-2024</t>
        </is>
      </c>
      <c r="B177" s="1" t="n">
        <v>45308.61152777778</v>
      </c>
      <c r="C177" s="1" t="n">
        <v>46164</v>
      </c>
      <c r="D177" t="inlineStr">
        <is>
          <t>KALMAR LÄN</t>
        </is>
      </c>
      <c r="E177" t="inlineStr">
        <is>
          <t>VIMMERBY</t>
        </is>
      </c>
      <c r="G177" t="n">
        <v>3</v>
      </c>
      <c r="H177" t="n">
        <v>0</v>
      </c>
      <c r="I177" t="n">
        <v>0</v>
      </c>
      <c r="J177" t="n">
        <v>0</v>
      </c>
      <c r="K177" t="n">
        <v>0</v>
      </c>
      <c r="L177" t="n">
        <v>0</v>
      </c>
      <c r="M177" t="n">
        <v>0</v>
      </c>
      <c r="N177" t="n">
        <v>0</v>
      </c>
      <c r="O177" t="n">
        <v>0</v>
      </c>
      <c r="P177" t="n">
        <v>0</v>
      </c>
      <c r="Q177" t="n">
        <v>0</v>
      </c>
      <c r="R177" s="2" t="inlineStr"/>
    </row>
    <row r="178" ht="15" customHeight="1">
      <c r="A178" t="inlineStr">
        <is>
          <t>A 527-2024</t>
        </is>
      </c>
      <c r="B178" s="1" t="n">
        <v>45299.47513888889</v>
      </c>
      <c r="C178" s="1" t="n">
        <v>46164</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57189-2022</t>
        </is>
      </c>
      <c r="B179" s="1" t="n">
        <v>44895.62296296296</v>
      </c>
      <c r="C179" s="1" t="n">
        <v>46164</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57256-2023</t>
        </is>
      </c>
      <c r="B180" s="1" t="n">
        <v>45245.5735300926</v>
      </c>
      <c r="C180" s="1" t="n">
        <v>46164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47063-2022</t>
        </is>
      </c>
      <c r="B181" s="1" t="n">
        <v>44852</v>
      </c>
      <c r="C181" s="1" t="n">
        <v>46164</v>
      </c>
      <c r="D181" t="inlineStr">
        <is>
          <t>KALMAR LÄN</t>
        </is>
      </c>
      <c r="E181" t="inlineStr">
        <is>
          <t>VIMMERBY</t>
        </is>
      </c>
      <c r="G181" t="n">
        <v>2.5</v>
      </c>
      <c r="H181" t="n">
        <v>0</v>
      </c>
      <c r="I181" t="n">
        <v>0</v>
      </c>
      <c r="J181" t="n">
        <v>0</v>
      </c>
      <c r="K181" t="n">
        <v>0</v>
      </c>
      <c r="L181" t="n">
        <v>0</v>
      </c>
      <c r="M181" t="n">
        <v>0</v>
      </c>
      <c r="N181" t="n">
        <v>0</v>
      </c>
      <c r="O181" t="n">
        <v>0</v>
      </c>
      <c r="P181" t="n">
        <v>0</v>
      </c>
      <c r="Q181" t="n">
        <v>0</v>
      </c>
      <c r="R181" s="2" t="inlineStr"/>
    </row>
    <row r="182" ht="15" customHeight="1">
      <c r="A182" t="inlineStr">
        <is>
          <t>A 12819-2024</t>
        </is>
      </c>
      <c r="B182" s="1" t="n">
        <v>45384.66917824074</v>
      </c>
      <c r="C182" s="1" t="n">
        <v>46164</v>
      </c>
      <c r="D182" t="inlineStr">
        <is>
          <t>KALMAR LÄN</t>
        </is>
      </c>
      <c r="E182" t="inlineStr">
        <is>
          <t>VIMMERBY</t>
        </is>
      </c>
      <c r="G182" t="n">
        <v>5.1</v>
      </c>
      <c r="H182" t="n">
        <v>0</v>
      </c>
      <c r="I182" t="n">
        <v>0</v>
      </c>
      <c r="J182" t="n">
        <v>0</v>
      </c>
      <c r="K182" t="n">
        <v>0</v>
      </c>
      <c r="L182" t="n">
        <v>0</v>
      </c>
      <c r="M182" t="n">
        <v>0</v>
      </c>
      <c r="N182" t="n">
        <v>0</v>
      </c>
      <c r="O182" t="n">
        <v>0</v>
      </c>
      <c r="P182" t="n">
        <v>0</v>
      </c>
      <c r="Q182" t="n">
        <v>0</v>
      </c>
      <c r="R182" s="2" t="inlineStr"/>
    </row>
    <row r="183" ht="15" customHeight="1">
      <c r="A183" t="inlineStr">
        <is>
          <t>A 37192-2024</t>
        </is>
      </c>
      <c r="B183" s="1" t="n">
        <v>45539.66027777778</v>
      </c>
      <c r="C183" s="1" t="n">
        <v>46164</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31382-2023</t>
        </is>
      </c>
      <c r="B184" s="1" t="n">
        <v>45114.55136574074</v>
      </c>
      <c r="C184" s="1" t="n">
        <v>46164</v>
      </c>
      <c r="D184" t="inlineStr">
        <is>
          <t>KALMAR LÄN</t>
        </is>
      </c>
      <c r="E184" t="inlineStr">
        <is>
          <t>VIMMERBY</t>
        </is>
      </c>
      <c r="G184" t="n">
        <v>3.7</v>
      </c>
      <c r="H184" t="n">
        <v>0</v>
      </c>
      <c r="I184" t="n">
        <v>0</v>
      </c>
      <c r="J184" t="n">
        <v>0</v>
      </c>
      <c r="K184" t="n">
        <v>0</v>
      </c>
      <c r="L184" t="n">
        <v>0</v>
      </c>
      <c r="M184" t="n">
        <v>0</v>
      </c>
      <c r="N184" t="n">
        <v>0</v>
      </c>
      <c r="O184" t="n">
        <v>0</v>
      </c>
      <c r="P184" t="n">
        <v>0</v>
      </c>
      <c r="Q184" t="n">
        <v>0</v>
      </c>
      <c r="R184" s="2" t="inlineStr"/>
    </row>
    <row r="185" ht="15" customHeight="1">
      <c r="A185" t="inlineStr">
        <is>
          <t>A 11073-2023</t>
        </is>
      </c>
      <c r="B185" s="1" t="n">
        <v>44992</v>
      </c>
      <c r="C185" s="1" t="n">
        <v>46164</v>
      </c>
      <c r="D185" t="inlineStr">
        <is>
          <t>KALMAR LÄN</t>
        </is>
      </c>
      <c r="E185" t="inlineStr">
        <is>
          <t>VIMMERBY</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61820-2023</t>
        </is>
      </c>
      <c r="B186" s="1" t="n">
        <v>45266.32614583334</v>
      </c>
      <c r="C186" s="1" t="n">
        <v>46164</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3269-2024</t>
        </is>
      </c>
      <c r="B187" s="1" t="n">
        <v>45317.40372685185</v>
      </c>
      <c r="C187" s="1" t="n">
        <v>46164</v>
      </c>
      <c r="D187" t="inlineStr">
        <is>
          <t>KALMAR LÄN</t>
        </is>
      </c>
      <c r="E187" t="inlineStr">
        <is>
          <t>VIMMERBY</t>
        </is>
      </c>
      <c r="F187" t="inlineStr">
        <is>
          <t>Övriga Aktiebolag</t>
        </is>
      </c>
      <c r="G187" t="n">
        <v>1.7</v>
      </c>
      <c r="H187" t="n">
        <v>0</v>
      </c>
      <c r="I187" t="n">
        <v>0</v>
      </c>
      <c r="J187" t="n">
        <v>0</v>
      </c>
      <c r="K187" t="n">
        <v>0</v>
      </c>
      <c r="L187" t="n">
        <v>0</v>
      </c>
      <c r="M187" t="n">
        <v>0</v>
      </c>
      <c r="N187" t="n">
        <v>0</v>
      </c>
      <c r="O187" t="n">
        <v>0</v>
      </c>
      <c r="P187" t="n">
        <v>0</v>
      </c>
      <c r="Q187" t="n">
        <v>0</v>
      </c>
      <c r="R187" s="2" t="inlineStr"/>
    </row>
    <row r="188" ht="15" customHeight="1">
      <c r="A188" t="inlineStr">
        <is>
          <t>A 36802-2021</t>
        </is>
      </c>
      <c r="B188" s="1" t="n">
        <v>44392</v>
      </c>
      <c r="C188" s="1" t="n">
        <v>46164</v>
      </c>
      <c r="D188" t="inlineStr">
        <is>
          <t>KALMAR LÄN</t>
        </is>
      </c>
      <c r="E188" t="inlineStr">
        <is>
          <t>VIMMERBY</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2157-2024</t>
        </is>
      </c>
      <c r="B189" s="1" t="n">
        <v>45309.59487268519</v>
      </c>
      <c r="C189" s="1" t="n">
        <v>46164</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9416-2024</t>
        </is>
      </c>
      <c r="B190" s="1" t="n">
        <v>45359.44837962963</v>
      </c>
      <c r="C190" s="1" t="n">
        <v>46164</v>
      </c>
      <c r="D190" t="inlineStr">
        <is>
          <t>KALMAR LÄN</t>
        </is>
      </c>
      <c r="E190" t="inlineStr">
        <is>
          <t>VIMMERBY</t>
        </is>
      </c>
      <c r="G190" t="n">
        <v>3.2</v>
      </c>
      <c r="H190" t="n">
        <v>0</v>
      </c>
      <c r="I190" t="n">
        <v>0</v>
      </c>
      <c r="J190" t="n">
        <v>0</v>
      </c>
      <c r="K190" t="n">
        <v>0</v>
      </c>
      <c r="L190" t="n">
        <v>0</v>
      </c>
      <c r="M190" t="n">
        <v>0</v>
      </c>
      <c r="N190" t="n">
        <v>0</v>
      </c>
      <c r="O190" t="n">
        <v>0</v>
      </c>
      <c r="P190" t="n">
        <v>0</v>
      </c>
      <c r="Q190" t="n">
        <v>0</v>
      </c>
      <c r="R190" s="2" t="inlineStr"/>
    </row>
    <row r="191" ht="15" customHeight="1">
      <c r="A191" t="inlineStr">
        <is>
          <t>A 58318-2021</t>
        </is>
      </c>
      <c r="B191" s="1" t="n">
        <v>44488.35878472222</v>
      </c>
      <c r="C191" s="1" t="n">
        <v>46164</v>
      </c>
      <c r="D191" t="inlineStr">
        <is>
          <t>KALMAR LÄN</t>
        </is>
      </c>
      <c r="E191" t="inlineStr">
        <is>
          <t>VIMMERBY</t>
        </is>
      </c>
      <c r="G191" t="n">
        <v>4</v>
      </c>
      <c r="H191" t="n">
        <v>0</v>
      </c>
      <c r="I191" t="n">
        <v>0</v>
      </c>
      <c r="J191" t="n">
        <v>0</v>
      </c>
      <c r="K191" t="n">
        <v>0</v>
      </c>
      <c r="L191" t="n">
        <v>0</v>
      </c>
      <c r="M191" t="n">
        <v>0</v>
      </c>
      <c r="N191" t="n">
        <v>0</v>
      </c>
      <c r="O191" t="n">
        <v>0</v>
      </c>
      <c r="P191" t="n">
        <v>0</v>
      </c>
      <c r="Q191" t="n">
        <v>0</v>
      </c>
      <c r="R191" s="2" t="inlineStr"/>
    </row>
    <row r="192" ht="15" customHeight="1">
      <c r="A192" t="inlineStr">
        <is>
          <t>A 53083-2021</t>
        </is>
      </c>
      <c r="B192" s="1" t="n">
        <v>44467.83386574074</v>
      </c>
      <c r="C192" s="1" t="n">
        <v>46164</v>
      </c>
      <c r="D192" t="inlineStr">
        <is>
          <t>KALMAR LÄN</t>
        </is>
      </c>
      <c r="E192" t="inlineStr">
        <is>
          <t>VIMMERBY</t>
        </is>
      </c>
      <c r="G192" t="n">
        <v>6.8</v>
      </c>
      <c r="H192" t="n">
        <v>0</v>
      </c>
      <c r="I192" t="n">
        <v>0</v>
      </c>
      <c r="J192" t="n">
        <v>0</v>
      </c>
      <c r="K192" t="n">
        <v>0</v>
      </c>
      <c r="L192" t="n">
        <v>0</v>
      </c>
      <c r="M192" t="n">
        <v>0</v>
      </c>
      <c r="N192" t="n">
        <v>0</v>
      </c>
      <c r="O192" t="n">
        <v>0</v>
      </c>
      <c r="P192" t="n">
        <v>0</v>
      </c>
      <c r="Q192" t="n">
        <v>0</v>
      </c>
      <c r="R192" s="2" t="inlineStr"/>
    </row>
    <row r="193" ht="15" customHeight="1">
      <c r="A193" t="inlineStr">
        <is>
          <t>A 29173-2024</t>
        </is>
      </c>
      <c r="B193" s="1" t="n">
        <v>45482.52887731481</v>
      </c>
      <c r="C193" s="1" t="n">
        <v>46164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59955-2023</t>
        </is>
      </c>
      <c r="B194" s="1" t="n">
        <v>45257.70313657408</v>
      </c>
      <c r="C194" s="1" t="n">
        <v>46164</v>
      </c>
      <c r="D194" t="inlineStr">
        <is>
          <t>KALMAR LÄN</t>
        </is>
      </c>
      <c r="E194" t="inlineStr">
        <is>
          <t>VIMMERBY</t>
        </is>
      </c>
      <c r="G194" t="n">
        <v>13.8</v>
      </c>
      <c r="H194" t="n">
        <v>0</v>
      </c>
      <c r="I194" t="n">
        <v>0</v>
      </c>
      <c r="J194" t="n">
        <v>0</v>
      </c>
      <c r="K194" t="n">
        <v>0</v>
      </c>
      <c r="L194" t="n">
        <v>0</v>
      </c>
      <c r="M194" t="n">
        <v>0</v>
      </c>
      <c r="N194" t="n">
        <v>0</v>
      </c>
      <c r="O194" t="n">
        <v>0</v>
      </c>
      <c r="P194" t="n">
        <v>0</v>
      </c>
      <c r="Q194" t="n">
        <v>0</v>
      </c>
      <c r="R194" s="2" t="inlineStr"/>
    </row>
    <row r="195" ht="15" customHeight="1">
      <c r="A195" t="inlineStr">
        <is>
          <t>A 9418-2024</t>
        </is>
      </c>
      <c r="B195" s="1" t="n">
        <v>45359.45038194444</v>
      </c>
      <c r="C195" s="1" t="n">
        <v>46164</v>
      </c>
      <c r="D195" t="inlineStr">
        <is>
          <t>KALMAR LÄN</t>
        </is>
      </c>
      <c r="E195" t="inlineStr">
        <is>
          <t>VIMMERBY</t>
        </is>
      </c>
      <c r="G195" t="n">
        <v>1.9</v>
      </c>
      <c r="H195" t="n">
        <v>0</v>
      </c>
      <c r="I195" t="n">
        <v>0</v>
      </c>
      <c r="J195" t="n">
        <v>0</v>
      </c>
      <c r="K195" t="n">
        <v>0</v>
      </c>
      <c r="L195" t="n">
        <v>0</v>
      </c>
      <c r="M195" t="n">
        <v>0</v>
      </c>
      <c r="N195" t="n">
        <v>0</v>
      </c>
      <c r="O195" t="n">
        <v>0</v>
      </c>
      <c r="P195" t="n">
        <v>0</v>
      </c>
      <c r="Q195" t="n">
        <v>0</v>
      </c>
      <c r="R195" s="2" t="inlineStr"/>
    </row>
    <row r="196" ht="15" customHeight="1">
      <c r="A196" t="inlineStr">
        <is>
          <t>A 11111-2024</t>
        </is>
      </c>
      <c r="B196" s="1" t="n">
        <v>45371.36359953704</v>
      </c>
      <c r="C196" s="1" t="n">
        <v>46164</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11141-2024</t>
        </is>
      </c>
      <c r="B197" s="1" t="n">
        <v>45371.45865740741</v>
      </c>
      <c r="C197" s="1" t="n">
        <v>46164</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23088-2024</t>
        </is>
      </c>
      <c r="B198" s="1" t="n">
        <v>45450.51092592593</v>
      </c>
      <c r="C198" s="1" t="n">
        <v>46164</v>
      </c>
      <c r="D198" t="inlineStr">
        <is>
          <t>KALMAR LÄN</t>
        </is>
      </c>
      <c r="E198" t="inlineStr">
        <is>
          <t>VIMMERBY</t>
        </is>
      </c>
      <c r="G198" t="n">
        <v>1.9</v>
      </c>
      <c r="H198" t="n">
        <v>0</v>
      </c>
      <c r="I198" t="n">
        <v>0</v>
      </c>
      <c r="J198" t="n">
        <v>0</v>
      </c>
      <c r="K198" t="n">
        <v>0</v>
      </c>
      <c r="L198" t="n">
        <v>0</v>
      </c>
      <c r="M198" t="n">
        <v>0</v>
      </c>
      <c r="N198" t="n">
        <v>0</v>
      </c>
      <c r="O198" t="n">
        <v>0</v>
      </c>
      <c r="P198" t="n">
        <v>0</v>
      </c>
      <c r="Q198" t="n">
        <v>0</v>
      </c>
      <c r="R198" s="2" t="inlineStr"/>
    </row>
    <row r="199" ht="15" customHeight="1">
      <c r="A199" t="inlineStr">
        <is>
          <t>A 22197-2024</t>
        </is>
      </c>
      <c r="B199" s="1" t="n">
        <v>45446.36774305555</v>
      </c>
      <c r="C199" s="1" t="n">
        <v>46164</v>
      </c>
      <c r="D199" t="inlineStr">
        <is>
          <t>KALMAR LÄN</t>
        </is>
      </c>
      <c r="E199" t="inlineStr">
        <is>
          <t>VIMMERBY</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49313-2022</t>
        </is>
      </c>
      <c r="B200" s="1" t="n">
        <v>44861.52505787037</v>
      </c>
      <c r="C200" s="1" t="n">
        <v>46164</v>
      </c>
      <c r="D200" t="inlineStr">
        <is>
          <t>KALMAR LÄN</t>
        </is>
      </c>
      <c r="E200" t="inlineStr">
        <is>
          <t>VIMMERBY</t>
        </is>
      </c>
      <c r="G200" t="n">
        <v>1.9</v>
      </c>
      <c r="H200" t="n">
        <v>0</v>
      </c>
      <c r="I200" t="n">
        <v>0</v>
      </c>
      <c r="J200" t="n">
        <v>0</v>
      </c>
      <c r="K200" t="n">
        <v>0</v>
      </c>
      <c r="L200" t="n">
        <v>0</v>
      </c>
      <c r="M200" t="n">
        <v>0</v>
      </c>
      <c r="N200" t="n">
        <v>0</v>
      </c>
      <c r="O200" t="n">
        <v>0</v>
      </c>
      <c r="P200" t="n">
        <v>0</v>
      </c>
      <c r="Q200" t="n">
        <v>0</v>
      </c>
      <c r="R200" s="2" t="inlineStr"/>
    </row>
    <row r="201" ht="15" customHeight="1">
      <c r="A201" t="inlineStr">
        <is>
          <t>A 35998-2024</t>
        </is>
      </c>
      <c r="B201" s="1" t="n">
        <v>45533.54429398148</v>
      </c>
      <c r="C201" s="1" t="n">
        <v>46164</v>
      </c>
      <c r="D201" t="inlineStr">
        <is>
          <t>KALMAR LÄN</t>
        </is>
      </c>
      <c r="E201" t="inlineStr">
        <is>
          <t>VIMMERBY</t>
        </is>
      </c>
      <c r="G201" t="n">
        <v>8.6</v>
      </c>
      <c r="H201" t="n">
        <v>0</v>
      </c>
      <c r="I201" t="n">
        <v>0</v>
      </c>
      <c r="J201" t="n">
        <v>0</v>
      </c>
      <c r="K201" t="n">
        <v>0</v>
      </c>
      <c r="L201" t="n">
        <v>0</v>
      </c>
      <c r="M201" t="n">
        <v>0</v>
      </c>
      <c r="N201" t="n">
        <v>0</v>
      </c>
      <c r="O201" t="n">
        <v>0</v>
      </c>
      <c r="P201" t="n">
        <v>0</v>
      </c>
      <c r="Q201" t="n">
        <v>0</v>
      </c>
      <c r="R201" s="2" t="inlineStr"/>
    </row>
    <row r="202" ht="15" customHeight="1">
      <c r="A202" t="inlineStr">
        <is>
          <t>A 36040-2024</t>
        </is>
      </c>
      <c r="B202" s="1" t="n">
        <v>45533.60232638889</v>
      </c>
      <c r="C202" s="1" t="n">
        <v>46164</v>
      </c>
      <c r="D202" t="inlineStr">
        <is>
          <t>KALMAR LÄN</t>
        </is>
      </c>
      <c r="E202" t="inlineStr">
        <is>
          <t>VIMMERBY</t>
        </is>
      </c>
      <c r="F202" t="inlineStr">
        <is>
          <t>Kommuner</t>
        </is>
      </c>
      <c r="G202" t="n">
        <v>3.6</v>
      </c>
      <c r="H202" t="n">
        <v>0</v>
      </c>
      <c r="I202" t="n">
        <v>0</v>
      </c>
      <c r="J202" t="n">
        <v>0</v>
      </c>
      <c r="K202" t="n">
        <v>0</v>
      </c>
      <c r="L202" t="n">
        <v>0</v>
      </c>
      <c r="M202" t="n">
        <v>0</v>
      </c>
      <c r="N202" t="n">
        <v>0</v>
      </c>
      <c r="O202" t="n">
        <v>0</v>
      </c>
      <c r="P202" t="n">
        <v>0</v>
      </c>
      <c r="Q202" t="n">
        <v>0</v>
      </c>
      <c r="R202" s="2" t="inlineStr"/>
    </row>
    <row r="203" ht="15" customHeight="1">
      <c r="A203" t="inlineStr">
        <is>
          <t>A 36043-2024</t>
        </is>
      </c>
      <c r="B203" s="1" t="n">
        <v>45533.60770833334</v>
      </c>
      <c r="C203" s="1" t="n">
        <v>46164</v>
      </c>
      <c r="D203" t="inlineStr">
        <is>
          <t>KALMAR LÄN</t>
        </is>
      </c>
      <c r="E203" t="inlineStr">
        <is>
          <t>VIMMERBY</t>
        </is>
      </c>
      <c r="F203" t="inlineStr">
        <is>
          <t>Kommuner</t>
        </is>
      </c>
      <c r="G203" t="n">
        <v>1.5</v>
      </c>
      <c r="H203" t="n">
        <v>0</v>
      </c>
      <c r="I203" t="n">
        <v>0</v>
      </c>
      <c r="J203" t="n">
        <v>0</v>
      </c>
      <c r="K203" t="n">
        <v>0</v>
      </c>
      <c r="L203" t="n">
        <v>0</v>
      </c>
      <c r="M203" t="n">
        <v>0</v>
      </c>
      <c r="N203" t="n">
        <v>0</v>
      </c>
      <c r="O203" t="n">
        <v>0</v>
      </c>
      <c r="P203" t="n">
        <v>0</v>
      </c>
      <c r="Q203" t="n">
        <v>0</v>
      </c>
      <c r="R203" s="2" t="inlineStr"/>
    </row>
    <row r="204" ht="15" customHeight="1">
      <c r="A204" t="inlineStr">
        <is>
          <t>A 34588-2024</t>
        </is>
      </c>
      <c r="B204" s="1" t="n">
        <v>45526.3865625</v>
      </c>
      <c r="C204" s="1" t="n">
        <v>46164</v>
      </c>
      <c r="D204" t="inlineStr">
        <is>
          <t>KALMAR LÄN</t>
        </is>
      </c>
      <c r="E204" t="inlineStr">
        <is>
          <t>VIMMERBY</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35710-2023</t>
        </is>
      </c>
      <c r="B205" s="1" t="n">
        <v>45147.67096064815</v>
      </c>
      <c r="C205" s="1" t="n">
        <v>46164</v>
      </c>
      <c r="D205" t="inlineStr">
        <is>
          <t>KALMAR LÄN</t>
        </is>
      </c>
      <c r="E205" t="inlineStr">
        <is>
          <t>VIMMERBY</t>
        </is>
      </c>
      <c r="G205" t="n">
        <v>3.1</v>
      </c>
      <c r="H205" t="n">
        <v>0</v>
      </c>
      <c r="I205" t="n">
        <v>0</v>
      </c>
      <c r="J205" t="n">
        <v>0</v>
      </c>
      <c r="K205" t="n">
        <v>0</v>
      </c>
      <c r="L205" t="n">
        <v>0</v>
      </c>
      <c r="M205" t="n">
        <v>0</v>
      </c>
      <c r="N205" t="n">
        <v>0</v>
      </c>
      <c r="O205" t="n">
        <v>0</v>
      </c>
      <c r="P205" t="n">
        <v>0</v>
      </c>
      <c r="Q205" t="n">
        <v>0</v>
      </c>
      <c r="R205" s="2" t="inlineStr"/>
    </row>
    <row r="206" ht="15" customHeight="1">
      <c r="A206" t="inlineStr">
        <is>
          <t>A 35711-2023</t>
        </is>
      </c>
      <c r="B206" s="1" t="n">
        <v>45147.67172453704</v>
      </c>
      <c r="C206" s="1" t="n">
        <v>46164</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56659-2023</t>
        </is>
      </c>
      <c r="B207" s="1" t="n">
        <v>45243.84869212963</v>
      </c>
      <c r="C207" s="1" t="n">
        <v>46164</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16734-2023</t>
        </is>
      </c>
      <c r="B208" s="1" t="n">
        <v>45030.71012731481</v>
      </c>
      <c r="C208" s="1" t="n">
        <v>46164</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40828-2023</t>
        </is>
      </c>
      <c r="B209" s="1" t="n">
        <v>45171.96248842592</v>
      </c>
      <c r="C209" s="1" t="n">
        <v>46164</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1687-2023</t>
        </is>
      </c>
      <c r="B210" s="1" t="n">
        <v>44938</v>
      </c>
      <c r="C210" s="1" t="n">
        <v>46164</v>
      </c>
      <c r="D210" t="inlineStr">
        <is>
          <t>KALMAR LÄN</t>
        </is>
      </c>
      <c r="E210" t="inlineStr">
        <is>
          <t>VIMMERBY</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29440-2024</t>
        </is>
      </c>
      <c r="B211" s="1" t="n">
        <v>45483.82479166667</v>
      </c>
      <c r="C211" s="1" t="n">
        <v>46164</v>
      </c>
      <c r="D211" t="inlineStr">
        <is>
          <t>KALMAR LÄN</t>
        </is>
      </c>
      <c r="E211" t="inlineStr">
        <is>
          <t>VIMMERBY</t>
        </is>
      </c>
      <c r="G211" t="n">
        <v>4.5</v>
      </c>
      <c r="H211" t="n">
        <v>0</v>
      </c>
      <c r="I211" t="n">
        <v>0</v>
      </c>
      <c r="J211" t="n">
        <v>0</v>
      </c>
      <c r="K211" t="n">
        <v>0</v>
      </c>
      <c r="L211" t="n">
        <v>0</v>
      </c>
      <c r="M211" t="n">
        <v>0</v>
      </c>
      <c r="N211" t="n">
        <v>0</v>
      </c>
      <c r="O211" t="n">
        <v>0</v>
      </c>
      <c r="P211" t="n">
        <v>0</v>
      </c>
      <c r="Q211" t="n">
        <v>0</v>
      </c>
      <c r="R211" s="2" t="inlineStr"/>
    </row>
    <row r="212" ht="15" customHeight="1">
      <c r="A212" t="inlineStr">
        <is>
          <t>A 30921-2024</t>
        </is>
      </c>
      <c r="B212" s="1" t="n">
        <v>45498</v>
      </c>
      <c r="C212" s="1" t="n">
        <v>46164</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53482-2022</t>
        </is>
      </c>
      <c r="B213" s="1" t="n">
        <v>44879</v>
      </c>
      <c r="C213" s="1" t="n">
        <v>46164</v>
      </c>
      <c r="D213" t="inlineStr">
        <is>
          <t>KALMAR LÄN</t>
        </is>
      </c>
      <c r="E213" t="inlineStr">
        <is>
          <t>VIMMERBY</t>
        </is>
      </c>
      <c r="G213" t="n">
        <v>10.1</v>
      </c>
      <c r="H213" t="n">
        <v>0</v>
      </c>
      <c r="I213" t="n">
        <v>0</v>
      </c>
      <c r="J213" t="n">
        <v>0</v>
      </c>
      <c r="K213" t="n">
        <v>0</v>
      </c>
      <c r="L213" t="n">
        <v>0</v>
      </c>
      <c r="M213" t="n">
        <v>0</v>
      </c>
      <c r="N213" t="n">
        <v>0</v>
      </c>
      <c r="O213" t="n">
        <v>0</v>
      </c>
      <c r="P213" t="n">
        <v>0</v>
      </c>
      <c r="Q213" t="n">
        <v>0</v>
      </c>
      <c r="R213" s="2" t="inlineStr"/>
    </row>
    <row r="214" ht="15" customHeight="1">
      <c r="A214" t="inlineStr">
        <is>
          <t>A 64143-2021</t>
        </is>
      </c>
      <c r="B214" s="1" t="n">
        <v>44510.52157407408</v>
      </c>
      <c r="C214" s="1" t="n">
        <v>46164</v>
      </c>
      <c r="D214" t="inlineStr">
        <is>
          <t>KALMAR LÄN</t>
        </is>
      </c>
      <c r="E214" t="inlineStr">
        <is>
          <t>VIMMERBY</t>
        </is>
      </c>
      <c r="G214" t="n">
        <v>1.6</v>
      </c>
      <c r="H214" t="n">
        <v>0</v>
      </c>
      <c r="I214" t="n">
        <v>0</v>
      </c>
      <c r="J214" t="n">
        <v>0</v>
      </c>
      <c r="K214" t="n">
        <v>0</v>
      </c>
      <c r="L214" t="n">
        <v>0</v>
      </c>
      <c r="M214" t="n">
        <v>0</v>
      </c>
      <c r="N214" t="n">
        <v>0</v>
      </c>
      <c r="O214" t="n">
        <v>0</v>
      </c>
      <c r="P214" t="n">
        <v>0</v>
      </c>
      <c r="Q214" t="n">
        <v>0</v>
      </c>
      <c r="R214" s="2" t="inlineStr"/>
    </row>
    <row r="215" ht="15" customHeight="1">
      <c r="A215" t="inlineStr">
        <is>
          <t>A 9720-2023</t>
        </is>
      </c>
      <c r="B215" s="1" t="n">
        <v>44984</v>
      </c>
      <c r="C215" s="1" t="n">
        <v>46164</v>
      </c>
      <c r="D215" t="inlineStr">
        <is>
          <t>KALMAR LÄN</t>
        </is>
      </c>
      <c r="E215" t="inlineStr">
        <is>
          <t>VIMMERBY</t>
        </is>
      </c>
      <c r="G215" t="n">
        <v>4.4</v>
      </c>
      <c r="H215" t="n">
        <v>0</v>
      </c>
      <c r="I215" t="n">
        <v>0</v>
      </c>
      <c r="J215" t="n">
        <v>0</v>
      </c>
      <c r="K215" t="n">
        <v>0</v>
      </c>
      <c r="L215" t="n">
        <v>0</v>
      </c>
      <c r="M215" t="n">
        <v>0</v>
      </c>
      <c r="N215" t="n">
        <v>0</v>
      </c>
      <c r="O215" t="n">
        <v>0</v>
      </c>
      <c r="P215" t="n">
        <v>0</v>
      </c>
      <c r="Q215" t="n">
        <v>0</v>
      </c>
      <c r="R215" s="2" t="inlineStr"/>
    </row>
    <row r="216" ht="15" customHeight="1">
      <c r="A216" t="inlineStr">
        <is>
          <t>A 5938-2022</t>
        </is>
      </c>
      <c r="B216" s="1" t="n">
        <v>44598</v>
      </c>
      <c r="C216" s="1" t="n">
        <v>46164</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54838-2024</t>
        </is>
      </c>
      <c r="B217" s="1" t="n">
        <v>45618.56787037037</v>
      </c>
      <c r="C217" s="1" t="n">
        <v>46164</v>
      </c>
      <c r="D217" t="inlineStr">
        <is>
          <t>KALMAR LÄN</t>
        </is>
      </c>
      <c r="E217" t="inlineStr">
        <is>
          <t>VIMMERBY</t>
        </is>
      </c>
      <c r="G217" t="n">
        <v>3.3</v>
      </c>
      <c r="H217" t="n">
        <v>0</v>
      </c>
      <c r="I217" t="n">
        <v>0</v>
      </c>
      <c r="J217" t="n">
        <v>0</v>
      </c>
      <c r="K217" t="n">
        <v>0</v>
      </c>
      <c r="L217" t="n">
        <v>0</v>
      </c>
      <c r="M217" t="n">
        <v>0</v>
      </c>
      <c r="N217" t="n">
        <v>0</v>
      </c>
      <c r="O217" t="n">
        <v>0</v>
      </c>
      <c r="P217" t="n">
        <v>0</v>
      </c>
      <c r="Q217" t="n">
        <v>0</v>
      </c>
      <c r="R217" s="2" t="inlineStr"/>
    </row>
    <row r="218" ht="15" customHeight="1">
      <c r="A218" t="inlineStr">
        <is>
          <t>A 29180-2024</t>
        </is>
      </c>
      <c r="B218" s="1" t="n">
        <v>45482.54108796296</v>
      </c>
      <c r="C218" s="1" t="n">
        <v>46164</v>
      </c>
      <c r="D218" t="inlineStr">
        <is>
          <t>KALMAR LÄN</t>
        </is>
      </c>
      <c r="E218" t="inlineStr">
        <is>
          <t>VIMMERBY</t>
        </is>
      </c>
      <c r="G218" t="n">
        <v>3.8</v>
      </c>
      <c r="H218" t="n">
        <v>0</v>
      </c>
      <c r="I218" t="n">
        <v>0</v>
      </c>
      <c r="J218" t="n">
        <v>0</v>
      </c>
      <c r="K218" t="n">
        <v>0</v>
      </c>
      <c r="L218" t="n">
        <v>0</v>
      </c>
      <c r="M218" t="n">
        <v>0</v>
      </c>
      <c r="N218" t="n">
        <v>0</v>
      </c>
      <c r="O218" t="n">
        <v>0</v>
      </c>
      <c r="P218" t="n">
        <v>0</v>
      </c>
      <c r="Q218" t="n">
        <v>0</v>
      </c>
      <c r="R218" s="2" t="inlineStr"/>
    </row>
    <row r="219" ht="15" customHeight="1">
      <c r="A219" t="inlineStr">
        <is>
          <t>A 25987-2024</t>
        </is>
      </c>
      <c r="B219" s="1" t="n">
        <v>45467.74417824074</v>
      </c>
      <c r="C219" s="1" t="n">
        <v>46164</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25109-2023</t>
        </is>
      </c>
      <c r="B220" s="1" t="n">
        <v>45086</v>
      </c>
      <c r="C220" s="1" t="n">
        <v>46164</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29783-2024</t>
        </is>
      </c>
      <c r="B221" s="1" t="n">
        <v>45485.45778935185</v>
      </c>
      <c r="C221" s="1" t="n">
        <v>46164</v>
      </c>
      <c r="D221" t="inlineStr">
        <is>
          <t>KALMAR LÄN</t>
        </is>
      </c>
      <c r="E221" t="inlineStr">
        <is>
          <t>VIMMERBY</t>
        </is>
      </c>
      <c r="G221" t="n">
        <v>3.1</v>
      </c>
      <c r="H221" t="n">
        <v>0</v>
      </c>
      <c r="I221" t="n">
        <v>0</v>
      </c>
      <c r="J221" t="n">
        <v>0</v>
      </c>
      <c r="K221" t="n">
        <v>0</v>
      </c>
      <c r="L221" t="n">
        <v>0</v>
      </c>
      <c r="M221" t="n">
        <v>0</v>
      </c>
      <c r="N221" t="n">
        <v>0</v>
      </c>
      <c r="O221" t="n">
        <v>0</v>
      </c>
      <c r="P221" t="n">
        <v>0</v>
      </c>
      <c r="Q221" t="n">
        <v>0</v>
      </c>
      <c r="R221" s="2" t="inlineStr"/>
    </row>
    <row r="222" ht="15" customHeight="1">
      <c r="A222" t="inlineStr">
        <is>
          <t>A 58104-2024</t>
        </is>
      </c>
      <c r="B222" s="1" t="n">
        <v>45632.37459490741</v>
      </c>
      <c r="C222" s="1" t="n">
        <v>46164</v>
      </c>
      <c r="D222" t="inlineStr">
        <is>
          <t>KALMAR LÄN</t>
        </is>
      </c>
      <c r="E222" t="inlineStr">
        <is>
          <t>VIMMERBY</t>
        </is>
      </c>
      <c r="G222" t="n">
        <v>5</v>
      </c>
      <c r="H222" t="n">
        <v>0</v>
      </c>
      <c r="I222" t="n">
        <v>0</v>
      </c>
      <c r="J222" t="n">
        <v>0</v>
      </c>
      <c r="K222" t="n">
        <v>0</v>
      </c>
      <c r="L222" t="n">
        <v>0</v>
      </c>
      <c r="M222" t="n">
        <v>0</v>
      </c>
      <c r="N222" t="n">
        <v>0</v>
      </c>
      <c r="O222" t="n">
        <v>0</v>
      </c>
      <c r="P222" t="n">
        <v>0</v>
      </c>
      <c r="Q222" t="n">
        <v>0</v>
      </c>
      <c r="R222" s="2" t="inlineStr"/>
    </row>
    <row r="223" ht="15" customHeight="1">
      <c r="A223" t="inlineStr">
        <is>
          <t>A 12215-2024</t>
        </is>
      </c>
      <c r="B223" s="1" t="n">
        <v>45378.32185185186</v>
      </c>
      <c r="C223" s="1" t="n">
        <v>46164</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62023-2022</t>
        </is>
      </c>
      <c r="B224" s="1" t="n">
        <v>44918.50106481482</v>
      </c>
      <c r="C224" s="1" t="n">
        <v>46164</v>
      </c>
      <c r="D224" t="inlineStr">
        <is>
          <t>KALMAR LÄN</t>
        </is>
      </c>
      <c r="E224" t="inlineStr">
        <is>
          <t>VIMMERBY</t>
        </is>
      </c>
      <c r="G224" t="n">
        <v>0.3</v>
      </c>
      <c r="H224" t="n">
        <v>0</v>
      </c>
      <c r="I224" t="n">
        <v>0</v>
      </c>
      <c r="J224" t="n">
        <v>0</v>
      </c>
      <c r="K224" t="n">
        <v>0</v>
      </c>
      <c r="L224" t="n">
        <v>0</v>
      </c>
      <c r="M224" t="n">
        <v>0</v>
      </c>
      <c r="N224" t="n">
        <v>0</v>
      </c>
      <c r="O224" t="n">
        <v>0</v>
      </c>
      <c r="P224" t="n">
        <v>0</v>
      </c>
      <c r="Q224" t="n">
        <v>0</v>
      </c>
      <c r="R224" s="2" t="inlineStr"/>
    </row>
    <row r="225" ht="15" customHeight="1">
      <c r="A225" t="inlineStr">
        <is>
          <t>A 30920-2024</t>
        </is>
      </c>
      <c r="B225" s="1" t="n">
        <v>45498.673125</v>
      </c>
      <c r="C225" s="1" t="n">
        <v>46164</v>
      </c>
      <c r="D225" t="inlineStr">
        <is>
          <t>KALMAR LÄN</t>
        </is>
      </c>
      <c r="E225" t="inlineStr">
        <is>
          <t>VIMMERBY</t>
        </is>
      </c>
      <c r="G225" t="n">
        <v>1.3</v>
      </c>
      <c r="H225" t="n">
        <v>0</v>
      </c>
      <c r="I225" t="n">
        <v>0</v>
      </c>
      <c r="J225" t="n">
        <v>0</v>
      </c>
      <c r="K225" t="n">
        <v>0</v>
      </c>
      <c r="L225" t="n">
        <v>0</v>
      </c>
      <c r="M225" t="n">
        <v>0</v>
      </c>
      <c r="N225" t="n">
        <v>0</v>
      </c>
      <c r="O225" t="n">
        <v>0</v>
      </c>
      <c r="P225" t="n">
        <v>0</v>
      </c>
      <c r="Q225" t="n">
        <v>0</v>
      </c>
      <c r="R225" s="2" t="inlineStr"/>
    </row>
    <row r="226" ht="15" customHeight="1">
      <c r="A226" t="inlineStr">
        <is>
          <t>A 56536-2022</t>
        </is>
      </c>
      <c r="B226" s="1" t="n">
        <v>44893</v>
      </c>
      <c r="C226" s="1" t="n">
        <v>46164</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63541-2023</t>
        </is>
      </c>
      <c r="B227" s="1" t="n">
        <v>45275.32266203704</v>
      </c>
      <c r="C227" s="1" t="n">
        <v>46164</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37323-2024</t>
        </is>
      </c>
      <c r="B228" s="1" t="n">
        <v>45540.50098379629</v>
      </c>
      <c r="C228" s="1" t="n">
        <v>46164</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11429-2022</t>
        </is>
      </c>
      <c r="B229" s="1" t="n">
        <v>44630</v>
      </c>
      <c r="C229" s="1" t="n">
        <v>46164</v>
      </c>
      <c r="D229" t="inlineStr">
        <is>
          <t>KALMAR LÄN</t>
        </is>
      </c>
      <c r="E229" t="inlineStr">
        <is>
          <t>VIMMERBY</t>
        </is>
      </c>
      <c r="G229" t="n">
        <v>2.6</v>
      </c>
      <c r="H229" t="n">
        <v>0</v>
      </c>
      <c r="I229" t="n">
        <v>0</v>
      </c>
      <c r="J229" t="n">
        <v>0</v>
      </c>
      <c r="K229" t="n">
        <v>0</v>
      </c>
      <c r="L229" t="n">
        <v>0</v>
      </c>
      <c r="M229" t="n">
        <v>0</v>
      </c>
      <c r="N229" t="n">
        <v>0</v>
      </c>
      <c r="O229" t="n">
        <v>0</v>
      </c>
      <c r="P229" t="n">
        <v>0</v>
      </c>
      <c r="Q229" t="n">
        <v>0</v>
      </c>
      <c r="R229" s="2" t="inlineStr"/>
    </row>
    <row r="230" ht="15" customHeight="1">
      <c r="A230" t="inlineStr">
        <is>
          <t>A 56582-2022</t>
        </is>
      </c>
      <c r="B230" s="1" t="n">
        <v>44893</v>
      </c>
      <c r="C230" s="1" t="n">
        <v>46164</v>
      </c>
      <c r="D230" t="inlineStr">
        <is>
          <t>KALMAR LÄN</t>
        </is>
      </c>
      <c r="E230" t="inlineStr">
        <is>
          <t>VIMMERBY</t>
        </is>
      </c>
      <c r="G230" t="n">
        <v>2.2</v>
      </c>
      <c r="H230" t="n">
        <v>0</v>
      </c>
      <c r="I230" t="n">
        <v>0</v>
      </c>
      <c r="J230" t="n">
        <v>0</v>
      </c>
      <c r="K230" t="n">
        <v>0</v>
      </c>
      <c r="L230" t="n">
        <v>0</v>
      </c>
      <c r="M230" t="n">
        <v>0</v>
      </c>
      <c r="N230" t="n">
        <v>0</v>
      </c>
      <c r="O230" t="n">
        <v>0</v>
      </c>
      <c r="P230" t="n">
        <v>0</v>
      </c>
      <c r="Q230" t="n">
        <v>0</v>
      </c>
      <c r="R230" s="2" t="inlineStr"/>
    </row>
    <row r="231" ht="15" customHeight="1">
      <c r="A231" t="inlineStr">
        <is>
          <t>A 3331-2023</t>
        </is>
      </c>
      <c r="B231" s="1" t="n">
        <v>44949</v>
      </c>
      <c r="C231" s="1" t="n">
        <v>46164</v>
      </c>
      <c r="D231" t="inlineStr">
        <is>
          <t>KALMAR LÄN</t>
        </is>
      </c>
      <c r="E231" t="inlineStr">
        <is>
          <t>VIMMERBY</t>
        </is>
      </c>
      <c r="G231" t="n">
        <v>6.2</v>
      </c>
      <c r="H231" t="n">
        <v>0</v>
      </c>
      <c r="I231" t="n">
        <v>0</v>
      </c>
      <c r="J231" t="n">
        <v>0</v>
      </c>
      <c r="K231" t="n">
        <v>0</v>
      </c>
      <c r="L231" t="n">
        <v>0</v>
      </c>
      <c r="M231" t="n">
        <v>0</v>
      </c>
      <c r="N231" t="n">
        <v>0</v>
      </c>
      <c r="O231" t="n">
        <v>0</v>
      </c>
      <c r="P231" t="n">
        <v>0</v>
      </c>
      <c r="Q231" t="n">
        <v>0</v>
      </c>
      <c r="R231" s="2" t="inlineStr"/>
    </row>
    <row r="232" ht="15" customHeight="1">
      <c r="A232" t="inlineStr">
        <is>
          <t>A 25830-2025</t>
        </is>
      </c>
      <c r="B232" s="1" t="n">
        <v>45804.44519675926</v>
      </c>
      <c r="C232" s="1" t="n">
        <v>46164</v>
      </c>
      <c r="D232" t="inlineStr">
        <is>
          <t>KALMAR LÄN</t>
        </is>
      </c>
      <c r="E232" t="inlineStr">
        <is>
          <t>VIMMERBY</t>
        </is>
      </c>
      <c r="G232" t="n">
        <v>4.9</v>
      </c>
      <c r="H232" t="n">
        <v>0</v>
      </c>
      <c r="I232" t="n">
        <v>0</v>
      </c>
      <c r="J232" t="n">
        <v>0</v>
      </c>
      <c r="K232" t="n">
        <v>0</v>
      </c>
      <c r="L232" t="n">
        <v>0</v>
      </c>
      <c r="M232" t="n">
        <v>0</v>
      </c>
      <c r="N232" t="n">
        <v>0</v>
      </c>
      <c r="O232" t="n">
        <v>0</v>
      </c>
      <c r="P232" t="n">
        <v>0</v>
      </c>
      <c r="Q232" t="n">
        <v>0</v>
      </c>
      <c r="R232" s="2" t="inlineStr"/>
    </row>
    <row r="233" ht="15" customHeight="1">
      <c r="A233" t="inlineStr">
        <is>
          <t>A 6408-2025</t>
        </is>
      </c>
      <c r="B233" s="1" t="n">
        <v>45699.45671296296</v>
      </c>
      <c r="C233" s="1" t="n">
        <v>46164</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26124-2025</t>
        </is>
      </c>
      <c r="B234" s="1" t="n">
        <v>45805.39247685186</v>
      </c>
      <c r="C234" s="1" t="n">
        <v>46164</v>
      </c>
      <c r="D234" t="inlineStr">
        <is>
          <t>KALMAR LÄN</t>
        </is>
      </c>
      <c r="E234" t="inlineStr">
        <is>
          <t>VIMMERBY</t>
        </is>
      </c>
      <c r="G234" t="n">
        <v>6.6</v>
      </c>
      <c r="H234" t="n">
        <v>0</v>
      </c>
      <c r="I234" t="n">
        <v>0</v>
      </c>
      <c r="J234" t="n">
        <v>0</v>
      </c>
      <c r="K234" t="n">
        <v>0</v>
      </c>
      <c r="L234" t="n">
        <v>0</v>
      </c>
      <c r="M234" t="n">
        <v>0</v>
      </c>
      <c r="N234" t="n">
        <v>0</v>
      </c>
      <c r="O234" t="n">
        <v>0</v>
      </c>
      <c r="P234" t="n">
        <v>0</v>
      </c>
      <c r="Q234" t="n">
        <v>0</v>
      </c>
      <c r="R234" s="2" t="inlineStr"/>
    </row>
    <row r="235" ht="15" customHeight="1">
      <c r="A235" t="inlineStr">
        <is>
          <t>A 11609-2023</t>
        </is>
      </c>
      <c r="B235" s="1" t="n">
        <v>44994.40635416667</v>
      </c>
      <c r="C235" s="1" t="n">
        <v>46164</v>
      </c>
      <c r="D235" t="inlineStr">
        <is>
          <t>KALMAR LÄN</t>
        </is>
      </c>
      <c r="E235" t="inlineStr">
        <is>
          <t>VIMMERBY</t>
        </is>
      </c>
      <c r="G235" t="n">
        <v>4.9</v>
      </c>
      <c r="H235" t="n">
        <v>0</v>
      </c>
      <c r="I235" t="n">
        <v>0</v>
      </c>
      <c r="J235" t="n">
        <v>0</v>
      </c>
      <c r="K235" t="n">
        <v>0</v>
      </c>
      <c r="L235" t="n">
        <v>0</v>
      </c>
      <c r="M235" t="n">
        <v>0</v>
      </c>
      <c r="N235" t="n">
        <v>0</v>
      </c>
      <c r="O235" t="n">
        <v>0</v>
      </c>
      <c r="P235" t="n">
        <v>0</v>
      </c>
      <c r="Q235" t="n">
        <v>0</v>
      </c>
      <c r="R235" s="2" t="inlineStr"/>
    </row>
    <row r="236" ht="15" customHeight="1">
      <c r="A236" t="inlineStr">
        <is>
          <t>A 26254-2025</t>
        </is>
      </c>
      <c r="B236" s="1" t="n">
        <v>45805</v>
      </c>
      <c r="C236" s="1" t="n">
        <v>46164</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44464-2024</t>
        </is>
      </c>
      <c r="B237" s="1" t="n">
        <v>45574.35809027778</v>
      </c>
      <c r="C237" s="1" t="n">
        <v>46164</v>
      </c>
      <c r="D237" t="inlineStr">
        <is>
          <t>KALMAR LÄN</t>
        </is>
      </c>
      <c r="E237" t="inlineStr">
        <is>
          <t>VIMMERBY</t>
        </is>
      </c>
      <c r="G237" t="n">
        <v>0.7</v>
      </c>
      <c r="H237" t="n">
        <v>0</v>
      </c>
      <c r="I237" t="n">
        <v>0</v>
      </c>
      <c r="J237" t="n">
        <v>0</v>
      </c>
      <c r="K237" t="n">
        <v>0</v>
      </c>
      <c r="L237" t="n">
        <v>0</v>
      </c>
      <c r="M237" t="n">
        <v>0</v>
      </c>
      <c r="N237" t="n">
        <v>0</v>
      </c>
      <c r="O237" t="n">
        <v>0</v>
      </c>
      <c r="P237" t="n">
        <v>0</v>
      </c>
      <c r="Q237" t="n">
        <v>0</v>
      </c>
      <c r="R237" s="2" t="inlineStr"/>
    </row>
    <row r="238" ht="15" customHeight="1">
      <c r="A238" t="inlineStr">
        <is>
          <t>A 38604-2025</t>
        </is>
      </c>
      <c r="B238" s="1" t="n">
        <v>45884.50613425926</v>
      </c>
      <c r="C238" s="1" t="n">
        <v>46164</v>
      </c>
      <c r="D238" t="inlineStr">
        <is>
          <t>KALMAR LÄN</t>
        </is>
      </c>
      <c r="E238" t="inlineStr">
        <is>
          <t>VIMMERBY</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41066-2024</t>
        </is>
      </c>
      <c r="B239" s="1" t="n">
        <v>45559.38876157408</v>
      </c>
      <c r="C239" s="1" t="n">
        <v>46164</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26207-2025</t>
        </is>
      </c>
      <c r="B240" s="1" t="n">
        <v>45805.52983796296</v>
      </c>
      <c r="C240" s="1" t="n">
        <v>46164</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3816-2022</t>
        </is>
      </c>
      <c r="B241" s="1" t="n">
        <v>44587</v>
      </c>
      <c r="C241" s="1" t="n">
        <v>46164</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3266-2026</t>
        </is>
      </c>
      <c r="B242" s="1" t="n">
        <v>46041</v>
      </c>
      <c r="C242" s="1" t="n">
        <v>46164</v>
      </c>
      <c r="D242" t="inlineStr">
        <is>
          <t>KALMAR LÄN</t>
        </is>
      </c>
      <c r="E242" t="inlineStr">
        <is>
          <t>VIMMERBY</t>
        </is>
      </c>
      <c r="G242" t="n">
        <v>1.2</v>
      </c>
      <c r="H242" t="n">
        <v>0</v>
      </c>
      <c r="I242" t="n">
        <v>0</v>
      </c>
      <c r="J242" t="n">
        <v>0</v>
      </c>
      <c r="K242" t="n">
        <v>0</v>
      </c>
      <c r="L242" t="n">
        <v>0</v>
      </c>
      <c r="M242" t="n">
        <v>0</v>
      </c>
      <c r="N242" t="n">
        <v>0</v>
      </c>
      <c r="O242" t="n">
        <v>0</v>
      </c>
      <c r="P242" t="n">
        <v>0</v>
      </c>
      <c r="Q242" t="n">
        <v>0</v>
      </c>
      <c r="R242" s="2" t="inlineStr"/>
    </row>
    <row r="243" ht="15" customHeight="1">
      <c r="A243" t="inlineStr">
        <is>
          <t>A 1081-2023</t>
        </is>
      </c>
      <c r="B243" s="1" t="n">
        <v>44935</v>
      </c>
      <c r="C243" s="1" t="n">
        <v>46164</v>
      </c>
      <c r="D243" t="inlineStr">
        <is>
          <t>KALMAR LÄN</t>
        </is>
      </c>
      <c r="E243" t="inlineStr">
        <is>
          <t>VIMMERBY</t>
        </is>
      </c>
      <c r="G243" t="n">
        <v>1.3</v>
      </c>
      <c r="H243" t="n">
        <v>0</v>
      </c>
      <c r="I243" t="n">
        <v>0</v>
      </c>
      <c r="J243" t="n">
        <v>0</v>
      </c>
      <c r="K243" t="n">
        <v>0</v>
      </c>
      <c r="L243" t="n">
        <v>0</v>
      </c>
      <c r="M243" t="n">
        <v>0</v>
      </c>
      <c r="N243" t="n">
        <v>0</v>
      </c>
      <c r="O243" t="n">
        <v>0</v>
      </c>
      <c r="P243" t="n">
        <v>0</v>
      </c>
      <c r="Q243" t="n">
        <v>0</v>
      </c>
      <c r="R243" s="2" t="inlineStr"/>
    </row>
    <row r="244" ht="15" customHeight="1">
      <c r="A244" t="inlineStr">
        <is>
          <t>A 7047-2022</t>
        </is>
      </c>
      <c r="B244" s="1" t="n">
        <v>44603</v>
      </c>
      <c r="C244" s="1" t="n">
        <v>46164</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3292-2026</t>
        </is>
      </c>
      <c r="B245" s="1" t="n">
        <v>46041</v>
      </c>
      <c r="C245" s="1" t="n">
        <v>46164</v>
      </c>
      <c r="D245" t="inlineStr">
        <is>
          <t>KALMAR LÄN</t>
        </is>
      </c>
      <c r="E245" t="inlineStr">
        <is>
          <t>VIMMERBY</t>
        </is>
      </c>
      <c r="G245" t="n">
        <v>3.9</v>
      </c>
      <c r="H245" t="n">
        <v>0</v>
      </c>
      <c r="I245" t="n">
        <v>0</v>
      </c>
      <c r="J245" t="n">
        <v>0</v>
      </c>
      <c r="K245" t="n">
        <v>0</v>
      </c>
      <c r="L245" t="n">
        <v>0</v>
      </c>
      <c r="M245" t="n">
        <v>0</v>
      </c>
      <c r="N245" t="n">
        <v>0</v>
      </c>
      <c r="O245" t="n">
        <v>0</v>
      </c>
      <c r="P245" t="n">
        <v>0</v>
      </c>
      <c r="Q245" t="n">
        <v>0</v>
      </c>
      <c r="R245" s="2" t="inlineStr"/>
    </row>
    <row r="246" ht="15" customHeight="1">
      <c r="A246" t="inlineStr">
        <is>
          <t>A 12499-2023</t>
        </is>
      </c>
      <c r="B246" s="1" t="n">
        <v>44999.86172453704</v>
      </c>
      <c r="C246" s="1" t="n">
        <v>46164</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12500-2023</t>
        </is>
      </c>
      <c r="B247" s="1" t="n">
        <v>44999.8625</v>
      </c>
      <c r="C247" s="1" t="n">
        <v>46164</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6066-2023</t>
        </is>
      </c>
      <c r="B248" s="1" t="n">
        <v>44964.50894675926</v>
      </c>
      <c r="C248" s="1" t="n">
        <v>46164</v>
      </c>
      <c r="D248" t="inlineStr">
        <is>
          <t>KALMAR LÄN</t>
        </is>
      </c>
      <c r="E248" t="inlineStr">
        <is>
          <t>VIMMERBY</t>
        </is>
      </c>
      <c r="G248" t="n">
        <v>2.8</v>
      </c>
      <c r="H248" t="n">
        <v>0</v>
      </c>
      <c r="I248" t="n">
        <v>0</v>
      </c>
      <c r="J248" t="n">
        <v>0</v>
      </c>
      <c r="K248" t="n">
        <v>0</v>
      </c>
      <c r="L248" t="n">
        <v>0</v>
      </c>
      <c r="M248" t="n">
        <v>0</v>
      </c>
      <c r="N248" t="n">
        <v>0</v>
      </c>
      <c r="O248" t="n">
        <v>0</v>
      </c>
      <c r="P248" t="n">
        <v>0</v>
      </c>
      <c r="Q248" t="n">
        <v>0</v>
      </c>
      <c r="R248" s="2" t="inlineStr"/>
    </row>
    <row r="249" ht="15" customHeight="1">
      <c r="A249" t="inlineStr">
        <is>
          <t>A 3965-2026</t>
        </is>
      </c>
      <c r="B249" s="1" t="n">
        <v>46044.34563657407</v>
      </c>
      <c r="C249" s="1" t="n">
        <v>46164</v>
      </c>
      <c r="D249" t="inlineStr">
        <is>
          <t>KALMAR LÄN</t>
        </is>
      </c>
      <c r="E249" t="inlineStr">
        <is>
          <t>VIMMERBY</t>
        </is>
      </c>
      <c r="G249" t="n">
        <v>2.6</v>
      </c>
      <c r="H249" t="n">
        <v>0</v>
      </c>
      <c r="I249" t="n">
        <v>0</v>
      </c>
      <c r="J249" t="n">
        <v>0</v>
      </c>
      <c r="K249" t="n">
        <v>0</v>
      </c>
      <c r="L249" t="n">
        <v>0</v>
      </c>
      <c r="M249" t="n">
        <v>0</v>
      </c>
      <c r="N249" t="n">
        <v>0</v>
      </c>
      <c r="O249" t="n">
        <v>0</v>
      </c>
      <c r="P249" t="n">
        <v>0</v>
      </c>
      <c r="Q249" t="n">
        <v>0</v>
      </c>
      <c r="R249" s="2" t="inlineStr"/>
    </row>
    <row r="250" ht="15" customHeight="1">
      <c r="A250" t="inlineStr">
        <is>
          <t>A 33103-2024</t>
        </is>
      </c>
      <c r="B250" s="1" t="n">
        <v>45517.8162037037</v>
      </c>
      <c r="C250" s="1" t="n">
        <v>46164</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33161-2024</t>
        </is>
      </c>
      <c r="B251" s="1" t="n">
        <v>45518.40657407408</v>
      </c>
      <c r="C251" s="1" t="n">
        <v>46164</v>
      </c>
      <c r="D251" t="inlineStr">
        <is>
          <t>KALMAR LÄN</t>
        </is>
      </c>
      <c r="E251" t="inlineStr">
        <is>
          <t>VIMMERBY</t>
        </is>
      </c>
      <c r="G251" t="n">
        <v>4.7</v>
      </c>
      <c r="H251" t="n">
        <v>0</v>
      </c>
      <c r="I251" t="n">
        <v>0</v>
      </c>
      <c r="J251" t="n">
        <v>0</v>
      </c>
      <c r="K251" t="n">
        <v>0</v>
      </c>
      <c r="L251" t="n">
        <v>0</v>
      </c>
      <c r="M251" t="n">
        <v>0</v>
      </c>
      <c r="N251" t="n">
        <v>0</v>
      </c>
      <c r="O251" t="n">
        <v>0</v>
      </c>
      <c r="P251" t="n">
        <v>0</v>
      </c>
      <c r="Q251" t="n">
        <v>0</v>
      </c>
      <c r="R251" s="2" t="inlineStr"/>
    </row>
    <row r="252" ht="15" customHeight="1">
      <c r="A252" t="inlineStr">
        <is>
          <t>A 12510-2022</t>
        </is>
      </c>
      <c r="B252" s="1" t="n">
        <v>44638.55256944444</v>
      </c>
      <c r="C252" s="1" t="n">
        <v>46164</v>
      </c>
      <c r="D252" t="inlineStr">
        <is>
          <t>KALMAR LÄN</t>
        </is>
      </c>
      <c r="E252" t="inlineStr">
        <is>
          <t>VIMMERBY</t>
        </is>
      </c>
      <c r="G252" t="n">
        <v>2.4</v>
      </c>
      <c r="H252" t="n">
        <v>0</v>
      </c>
      <c r="I252" t="n">
        <v>0</v>
      </c>
      <c r="J252" t="n">
        <v>0</v>
      </c>
      <c r="K252" t="n">
        <v>0</v>
      </c>
      <c r="L252" t="n">
        <v>0</v>
      </c>
      <c r="M252" t="n">
        <v>0</v>
      </c>
      <c r="N252" t="n">
        <v>0</v>
      </c>
      <c r="O252" t="n">
        <v>0</v>
      </c>
      <c r="P252" t="n">
        <v>0</v>
      </c>
      <c r="Q252" t="n">
        <v>0</v>
      </c>
      <c r="R252" s="2" t="inlineStr"/>
    </row>
    <row r="253" ht="15" customHeight="1">
      <c r="A253" t="inlineStr">
        <is>
          <t>A 3868-2026</t>
        </is>
      </c>
      <c r="B253" s="1" t="n">
        <v>46043.6360300926</v>
      </c>
      <c r="C253" s="1" t="n">
        <v>46164</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3869-2026</t>
        </is>
      </c>
      <c r="B254" s="1" t="n">
        <v>46043.63940972222</v>
      </c>
      <c r="C254" s="1" t="n">
        <v>46164</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1146-2025</t>
        </is>
      </c>
      <c r="B255" s="1" t="n">
        <v>45666</v>
      </c>
      <c r="C255" s="1" t="n">
        <v>46164</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12890-2023</t>
        </is>
      </c>
      <c r="B256" s="1" t="n">
        <v>45001.59209490741</v>
      </c>
      <c r="C256" s="1" t="n">
        <v>46164</v>
      </c>
      <c r="D256" t="inlineStr">
        <is>
          <t>KALMAR LÄN</t>
        </is>
      </c>
      <c r="E256" t="inlineStr">
        <is>
          <t>VIMMERBY</t>
        </is>
      </c>
      <c r="G256" t="n">
        <v>2.8</v>
      </c>
      <c r="H256" t="n">
        <v>0</v>
      </c>
      <c r="I256" t="n">
        <v>0</v>
      </c>
      <c r="J256" t="n">
        <v>0</v>
      </c>
      <c r="K256" t="n">
        <v>0</v>
      </c>
      <c r="L256" t="n">
        <v>0</v>
      </c>
      <c r="M256" t="n">
        <v>0</v>
      </c>
      <c r="N256" t="n">
        <v>0</v>
      </c>
      <c r="O256" t="n">
        <v>0</v>
      </c>
      <c r="P256" t="n">
        <v>0</v>
      </c>
      <c r="Q256" t="n">
        <v>0</v>
      </c>
      <c r="R256" s="2" t="inlineStr"/>
    </row>
    <row r="257" ht="15" customHeight="1">
      <c r="A257" t="inlineStr">
        <is>
          <t>A 3902-2022</t>
        </is>
      </c>
      <c r="B257" s="1" t="n">
        <v>44587.48847222222</v>
      </c>
      <c r="C257" s="1" t="n">
        <v>46164</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89-2023</t>
        </is>
      </c>
      <c r="B258" s="1" t="n">
        <v>44918</v>
      </c>
      <c r="C258" s="1" t="n">
        <v>46164</v>
      </c>
      <c r="D258" t="inlineStr">
        <is>
          <t>KALMAR LÄN</t>
        </is>
      </c>
      <c r="E258" t="inlineStr">
        <is>
          <t>VIMMERBY</t>
        </is>
      </c>
      <c r="G258" t="n">
        <v>16.1</v>
      </c>
      <c r="H258" t="n">
        <v>0</v>
      </c>
      <c r="I258" t="n">
        <v>0</v>
      </c>
      <c r="J258" t="n">
        <v>0</v>
      </c>
      <c r="K258" t="n">
        <v>0</v>
      </c>
      <c r="L258" t="n">
        <v>0</v>
      </c>
      <c r="M258" t="n">
        <v>0</v>
      </c>
      <c r="N258" t="n">
        <v>0</v>
      </c>
      <c r="O258" t="n">
        <v>0</v>
      </c>
      <c r="P258" t="n">
        <v>0</v>
      </c>
      <c r="Q258" t="n">
        <v>0</v>
      </c>
      <c r="R258" s="2" t="inlineStr"/>
    </row>
    <row r="259" ht="15" customHeight="1">
      <c r="A259" t="inlineStr">
        <is>
          <t>A 5382-2023</t>
        </is>
      </c>
      <c r="B259" s="1" t="n">
        <v>44959.66407407408</v>
      </c>
      <c r="C259" s="1" t="n">
        <v>46164</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6668-2023</t>
        </is>
      </c>
      <c r="B260" s="1" t="n">
        <v>44966</v>
      </c>
      <c r="C260" s="1" t="n">
        <v>46164</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172-2022</t>
        </is>
      </c>
      <c r="B261" s="1" t="n">
        <v>44564.62598379629</v>
      </c>
      <c r="C261" s="1" t="n">
        <v>46164</v>
      </c>
      <c r="D261" t="inlineStr">
        <is>
          <t>KALMAR LÄN</t>
        </is>
      </c>
      <c r="E261" t="inlineStr">
        <is>
          <t>VIMMERBY</t>
        </is>
      </c>
      <c r="G261" t="n">
        <v>2.1</v>
      </c>
      <c r="H261" t="n">
        <v>0</v>
      </c>
      <c r="I261" t="n">
        <v>0</v>
      </c>
      <c r="J261" t="n">
        <v>0</v>
      </c>
      <c r="K261" t="n">
        <v>0</v>
      </c>
      <c r="L261" t="n">
        <v>0</v>
      </c>
      <c r="M261" t="n">
        <v>0</v>
      </c>
      <c r="N261" t="n">
        <v>0</v>
      </c>
      <c r="O261" t="n">
        <v>0</v>
      </c>
      <c r="P261" t="n">
        <v>0</v>
      </c>
      <c r="Q261" t="n">
        <v>0</v>
      </c>
      <c r="R261" s="2" t="inlineStr"/>
    </row>
    <row r="262" ht="15" customHeight="1">
      <c r="A262" t="inlineStr">
        <is>
          <t>A 30634-2024</t>
        </is>
      </c>
      <c r="B262" s="1" t="n">
        <v>45495</v>
      </c>
      <c r="C262" s="1" t="n">
        <v>46164</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6355-2022</t>
        </is>
      </c>
      <c r="B263" s="1" t="n">
        <v>44600</v>
      </c>
      <c r="C263" s="1" t="n">
        <v>46164</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29726-2025</t>
        </is>
      </c>
      <c r="B264" s="1" t="n">
        <v>45825.57805555555</v>
      </c>
      <c r="C264" s="1" t="n">
        <v>46164</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16020-2023</t>
        </is>
      </c>
      <c r="B265" s="1" t="n">
        <v>45026.82216435186</v>
      </c>
      <c r="C265" s="1" t="n">
        <v>46164</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28290-2025</t>
        </is>
      </c>
      <c r="B266" s="1" t="n">
        <v>45818.59261574074</v>
      </c>
      <c r="C266" s="1" t="n">
        <v>46164</v>
      </c>
      <c r="D266" t="inlineStr">
        <is>
          <t>KALMAR LÄN</t>
        </is>
      </c>
      <c r="E266" t="inlineStr">
        <is>
          <t>VIMMERBY</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28280-2025</t>
        </is>
      </c>
      <c r="B267" s="1" t="n">
        <v>45818.5862037037</v>
      </c>
      <c r="C267" s="1" t="n">
        <v>46164</v>
      </c>
      <c r="D267" t="inlineStr">
        <is>
          <t>KALMAR LÄN</t>
        </is>
      </c>
      <c r="E267" t="inlineStr">
        <is>
          <t>VIMMERBY</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28286-2025</t>
        </is>
      </c>
      <c r="B268" s="1" t="n">
        <v>45818.58993055556</v>
      </c>
      <c r="C268" s="1" t="n">
        <v>46164</v>
      </c>
      <c r="D268" t="inlineStr">
        <is>
          <t>KALMAR LÄN</t>
        </is>
      </c>
      <c r="E268" t="inlineStr">
        <is>
          <t>VIMMERBY</t>
        </is>
      </c>
      <c r="F268" t="inlineStr">
        <is>
          <t>Sveaskog</t>
        </is>
      </c>
      <c r="G268" t="n">
        <v>8</v>
      </c>
      <c r="H268" t="n">
        <v>0</v>
      </c>
      <c r="I268" t="n">
        <v>0</v>
      </c>
      <c r="J268" t="n">
        <v>0</v>
      </c>
      <c r="K268" t="n">
        <v>0</v>
      </c>
      <c r="L268" t="n">
        <v>0</v>
      </c>
      <c r="M268" t="n">
        <v>0</v>
      </c>
      <c r="N268" t="n">
        <v>0</v>
      </c>
      <c r="O268" t="n">
        <v>0</v>
      </c>
      <c r="P268" t="n">
        <v>0</v>
      </c>
      <c r="Q268" t="n">
        <v>0</v>
      </c>
      <c r="R268" s="2" t="inlineStr"/>
    </row>
    <row r="269" ht="15" customHeight="1">
      <c r="A269" t="inlineStr">
        <is>
          <t>A 60292-2022</t>
        </is>
      </c>
      <c r="B269" s="1" t="n">
        <v>44910.54231481482</v>
      </c>
      <c r="C269" s="1" t="n">
        <v>46164</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38964-2025</t>
        </is>
      </c>
      <c r="B270" s="1" t="n">
        <v>45887.68759259259</v>
      </c>
      <c r="C270" s="1" t="n">
        <v>46164</v>
      </c>
      <c r="D270" t="inlineStr">
        <is>
          <t>KALMAR LÄN</t>
        </is>
      </c>
      <c r="E270" t="inlineStr">
        <is>
          <t>VIMMERBY</t>
        </is>
      </c>
      <c r="G270" t="n">
        <v>7.5</v>
      </c>
      <c r="H270" t="n">
        <v>0</v>
      </c>
      <c r="I270" t="n">
        <v>0</v>
      </c>
      <c r="J270" t="n">
        <v>0</v>
      </c>
      <c r="K270" t="n">
        <v>0</v>
      </c>
      <c r="L270" t="n">
        <v>0</v>
      </c>
      <c r="M270" t="n">
        <v>0</v>
      </c>
      <c r="N270" t="n">
        <v>0</v>
      </c>
      <c r="O270" t="n">
        <v>0</v>
      </c>
      <c r="P270" t="n">
        <v>0</v>
      </c>
      <c r="Q270" t="n">
        <v>0</v>
      </c>
      <c r="R270" s="2" t="inlineStr"/>
    </row>
    <row r="271" ht="15" customHeight="1">
      <c r="A271" t="inlineStr">
        <is>
          <t>A 43034-2024</t>
        </is>
      </c>
      <c r="B271" s="1" t="n">
        <v>45567.42011574074</v>
      </c>
      <c r="C271" s="1" t="n">
        <v>46164</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40256-2024</t>
        </is>
      </c>
      <c r="B272" s="1" t="n">
        <v>45554.62944444444</v>
      </c>
      <c r="C272" s="1" t="n">
        <v>46164</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28282-2025</t>
        </is>
      </c>
      <c r="B273" s="1" t="n">
        <v>45818.58769675926</v>
      </c>
      <c r="C273" s="1" t="n">
        <v>46164</v>
      </c>
      <c r="D273" t="inlineStr">
        <is>
          <t>KALMAR LÄN</t>
        </is>
      </c>
      <c r="E273" t="inlineStr">
        <is>
          <t>VIMMERBY</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28294-2025</t>
        </is>
      </c>
      <c r="B274" s="1" t="n">
        <v>45818.595625</v>
      </c>
      <c r="C274" s="1" t="n">
        <v>46164</v>
      </c>
      <c r="D274" t="inlineStr">
        <is>
          <t>KALMAR LÄN</t>
        </is>
      </c>
      <c r="E274" t="inlineStr">
        <is>
          <t>VIMMERBY</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43093-2024</t>
        </is>
      </c>
      <c r="B275" s="1" t="n">
        <v>45567</v>
      </c>
      <c r="C275" s="1" t="n">
        <v>46164</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35198-2023</t>
        </is>
      </c>
      <c r="B276" s="1" t="n">
        <v>45145</v>
      </c>
      <c r="C276" s="1" t="n">
        <v>46164</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39801-2025</t>
        </is>
      </c>
      <c r="B277" s="1" t="n">
        <v>45891.50216435185</v>
      </c>
      <c r="C277" s="1" t="n">
        <v>46164</v>
      </c>
      <c r="D277" t="inlineStr">
        <is>
          <t>KALMAR LÄN</t>
        </is>
      </c>
      <c r="E277" t="inlineStr">
        <is>
          <t>VIMMERBY</t>
        </is>
      </c>
      <c r="G277" t="n">
        <v>2</v>
      </c>
      <c r="H277" t="n">
        <v>0</v>
      </c>
      <c r="I277" t="n">
        <v>0</v>
      </c>
      <c r="J277" t="n">
        <v>0</v>
      </c>
      <c r="K277" t="n">
        <v>0</v>
      </c>
      <c r="L277" t="n">
        <v>0</v>
      </c>
      <c r="M277" t="n">
        <v>0</v>
      </c>
      <c r="N277" t="n">
        <v>0</v>
      </c>
      <c r="O277" t="n">
        <v>0</v>
      </c>
      <c r="P277" t="n">
        <v>0</v>
      </c>
      <c r="Q277" t="n">
        <v>0</v>
      </c>
      <c r="R277" s="2" t="inlineStr"/>
    </row>
    <row r="278" ht="15" customHeight="1">
      <c r="A278" t="inlineStr">
        <is>
          <t>A 39807-2025</t>
        </is>
      </c>
      <c r="B278" s="1" t="n">
        <v>45891.50986111111</v>
      </c>
      <c r="C278" s="1" t="n">
        <v>46164</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28713-2025</t>
        </is>
      </c>
      <c r="B279" s="1" t="n">
        <v>45820.33930555556</v>
      </c>
      <c r="C279" s="1" t="n">
        <v>46164</v>
      </c>
      <c r="D279" t="inlineStr">
        <is>
          <t>KALMAR LÄN</t>
        </is>
      </c>
      <c r="E279" t="inlineStr">
        <is>
          <t>VIMMERBY</t>
        </is>
      </c>
      <c r="G279" t="n">
        <v>2.3</v>
      </c>
      <c r="H279" t="n">
        <v>0</v>
      </c>
      <c r="I279" t="n">
        <v>0</v>
      </c>
      <c r="J279" t="n">
        <v>0</v>
      </c>
      <c r="K279" t="n">
        <v>0</v>
      </c>
      <c r="L279" t="n">
        <v>0</v>
      </c>
      <c r="M279" t="n">
        <v>0</v>
      </c>
      <c r="N279" t="n">
        <v>0</v>
      </c>
      <c r="O279" t="n">
        <v>0</v>
      </c>
      <c r="P279" t="n">
        <v>0</v>
      </c>
      <c r="Q279" t="n">
        <v>0</v>
      </c>
      <c r="R279" s="2" t="inlineStr"/>
    </row>
    <row r="280" ht="15" customHeight="1">
      <c r="A280" t="inlineStr">
        <is>
          <t>A 28712-2025</t>
        </is>
      </c>
      <c r="B280" s="1" t="n">
        <v>45820.33708333333</v>
      </c>
      <c r="C280" s="1" t="n">
        <v>46164</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28714-2025</t>
        </is>
      </c>
      <c r="B281" s="1" t="n">
        <v>45820.34128472222</v>
      </c>
      <c r="C281" s="1" t="n">
        <v>46164</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28620-2025</t>
        </is>
      </c>
      <c r="B282" s="1" t="n">
        <v>45819.61060185185</v>
      </c>
      <c r="C282" s="1" t="n">
        <v>46164</v>
      </c>
      <c r="D282" t="inlineStr">
        <is>
          <t>KALMAR LÄN</t>
        </is>
      </c>
      <c r="E282" t="inlineStr">
        <is>
          <t>VIMMERBY</t>
        </is>
      </c>
      <c r="G282" t="n">
        <v>5.6</v>
      </c>
      <c r="H282" t="n">
        <v>0</v>
      </c>
      <c r="I282" t="n">
        <v>0</v>
      </c>
      <c r="J282" t="n">
        <v>0</v>
      </c>
      <c r="K282" t="n">
        <v>0</v>
      </c>
      <c r="L282" t="n">
        <v>0</v>
      </c>
      <c r="M282" t="n">
        <v>0</v>
      </c>
      <c r="N282" t="n">
        <v>0</v>
      </c>
      <c r="O282" t="n">
        <v>0</v>
      </c>
      <c r="P282" t="n">
        <v>0</v>
      </c>
      <c r="Q282" t="n">
        <v>0</v>
      </c>
      <c r="R282" s="2" t="inlineStr"/>
    </row>
    <row r="283" ht="15" customHeight="1">
      <c r="A283" t="inlineStr">
        <is>
          <t>A 39736-2025</t>
        </is>
      </c>
      <c r="B283" s="1" t="n">
        <v>45891</v>
      </c>
      <c r="C283" s="1" t="n">
        <v>46164</v>
      </c>
      <c r="D283" t="inlineStr">
        <is>
          <t>KALMAR LÄN</t>
        </is>
      </c>
      <c r="E283" t="inlineStr">
        <is>
          <t>VIMMERBY</t>
        </is>
      </c>
      <c r="G283" t="n">
        <v>12.8</v>
      </c>
      <c r="H283" t="n">
        <v>0</v>
      </c>
      <c r="I283" t="n">
        <v>0</v>
      </c>
      <c r="J283" t="n">
        <v>0</v>
      </c>
      <c r="K283" t="n">
        <v>0</v>
      </c>
      <c r="L283" t="n">
        <v>0</v>
      </c>
      <c r="M283" t="n">
        <v>0</v>
      </c>
      <c r="N283" t="n">
        <v>0</v>
      </c>
      <c r="O283" t="n">
        <v>0</v>
      </c>
      <c r="P283" t="n">
        <v>0</v>
      </c>
      <c r="Q283" t="n">
        <v>0</v>
      </c>
      <c r="R283" s="2" t="inlineStr"/>
    </row>
    <row r="284" ht="15" customHeight="1">
      <c r="A284" t="inlineStr">
        <is>
          <t>A 39803-2025</t>
        </is>
      </c>
      <c r="B284" s="1" t="n">
        <v>45891.50525462963</v>
      </c>
      <c r="C284" s="1" t="n">
        <v>46164</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39889-2025</t>
        </is>
      </c>
      <c r="B285" s="1" t="n">
        <v>45891</v>
      </c>
      <c r="C285" s="1" t="n">
        <v>46164</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58374-2024</t>
        </is>
      </c>
      <c r="B286" s="1" t="n">
        <v>45632.72635416667</v>
      </c>
      <c r="C286" s="1" t="n">
        <v>46164</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29727-2025</t>
        </is>
      </c>
      <c r="B287" s="1" t="n">
        <v>45825.5796875</v>
      </c>
      <c r="C287" s="1" t="n">
        <v>46164</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29737-2025</t>
        </is>
      </c>
      <c r="B288" s="1" t="n">
        <v>45825.58672453704</v>
      </c>
      <c r="C288" s="1" t="n">
        <v>46164</v>
      </c>
      <c r="D288" t="inlineStr">
        <is>
          <t>KALMAR LÄN</t>
        </is>
      </c>
      <c r="E288" t="inlineStr">
        <is>
          <t>VIMMERBY</t>
        </is>
      </c>
      <c r="G288" t="n">
        <v>1.2</v>
      </c>
      <c r="H288" t="n">
        <v>0</v>
      </c>
      <c r="I288" t="n">
        <v>0</v>
      </c>
      <c r="J288" t="n">
        <v>0</v>
      </c>
      <c r="K288" t="n">
        <v>0</v>
      </c>
      <c r="L288" t="n">
        <v>0</v>
      </c>
      <c r="M288" t="n">
        <v>0</v>
      </c>
      <c r="N288" t="n">
        <v>0</v>
      </c>
      <c r="O288" t="n">
        <v>0</v>
      </c>
      <c r="P288" t="n">
        <v>0</v>
      </c>
      <c r="Q288" t="n">
        <v>0</v>
      </c>
      <c r="R288" s="2" t="inlineStr"/>
    </row>
    <row r="289" ht="15" customHeight="1">
      <c r="A289" t="inlineStr">
        <is>
          <t>A 55300-2021</t>
        </is>
      </c>
      <c r="B289" s="1" t="n">
        <v>44475</v>
      </c>
      <c r="C289" s="1" t="n">
        <v>46164</v>
      </c>
      <c r="D289" t="inlineStr">
        <is>
          <t>KALMAR LÄN</t>
        </is>
      </c>
      <c r="E289" t="inlineStr">
        <is>
          <t>VIMMERBY</t>
        </is>
      </c>
      <c r="G289" t="n">
        <v>3.4</v>
      </c>
      <c r="H289" t="n">
        <v>0</v>
      </c>
      <c r="I289" t="n">
        <v>0</v>
      </c>
      <c r="J289" t="n">
        <v>0</v>
      </c>
      <c r="K289" t="n">
        <v>0</v>
      </c>
      <c r="L289" t="n">
        <v>0</v>
      </c>
      <c r="M289" t="n">
        <v>0</v>
      </c>
      <c r="N289" t="n">
        <v>0</v>
      </c>
      <c r="O289" t="n">
        <v>0</v>
      </c>
      <c r="P289" t="n">
        <v>0</v>
      </c>
      <c r="Q289" t="n">
        <v>0</v>
      </c>
      <c r="R289" s="2" t="inlineStr"/>
    </row>
    <row r="290" ht="15" customHeight="1">
      <c r="A290" t="inlineStr">
        <is>
          <t>A 47263-2023</t>
        </is>
      </c>
      <c r="B290" s="1" t="n">
        <v>45202.4209837963</v>
      </c>
      <c r="C290" s="1" t="n">
        <v>46164</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40970-2025</t>
        </is>
      </c>
      <c r="B291" s="1" t="n">
        <v>45897.88706018519</v>
      </c>
      <c r="C291" s="1" t="n">
        <v>46164</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40973-2025</t>
        </is>
      </c>
      <c r="B292" s="1" t="n">
        <v>45897.89737268518</v>
      </c>
      <c r="C292" s="1" t="n">
        <v>46164</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41224-2025</t>
        </is>
      </c>
      <c r="B293" s="1" t="n">
        <v>45898.58861111111</v>
      </c>
      <c r="C293" s="1" t="n">
        <v>46164</v>
      </c>
      <c r="D293" t="inlineStr">
        <is>
          <t>KALMAR LÄN</t>
        </is>
      </c>
      <c r="E293" t="inlineStr">
        <is>
          <t>VIMMERBY</t>
        </is>
      </c>
      <c r="G293" t="n">
        <v>4.4</v>
      </c>
      <c r="H293" t="n">
        <v>0</v>
      </c>
      <c r="I293" t="n">
        <v>0</v>
      </c>
      <c r="J293" t="n">
        <v>0</v>
      </c>
      <c r="K293" t="n">
        <v>0</v>
      </c>
      <c r="L293" t="n">
        <v>0</v>
      </c>
      <c r="M293" t="n">
        <v>0</v>
      </c>
      <c r="N293" t="n">
        <v>0</v>
      </c>
      <c r="O293" t="n">
        <v>0</v>
      </c>
      <c r="P293" t="n">
        <v>0</v>
      </c>
      <c r="Q293" t="n">
        <v>0</v>
      </c>
      <c r="R293" s="2" t="inlineStr"/>
    </row>
    <row r="294" ht="15" customHeight="1">
      <c r="A294" t="inlineStr">
        <is>
          <t>A 2536-2023</t>
        </is>
      </c>
      <c r="B294" s="1" t="n">
        <v>44943.62954861111</v>
      </c>
      <c r="C294" s="1" t="n">
        <v>46164</v>
      </c>
      <c r="D294" t="inlineStr">
        <is>
          <t>KALMAR LÄN</t>
        </is>
      </c>
      <c r="E294" t="inlineStr">
        <is>
          <t>VIMMERBY</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2801-2023</t>
        </is>
      </c>
      <c r="B295" s="1" t="n">
        <v>44944.73487268519</v>
      </c>
      <c r="C295" s="1" t="n">
        <v>46164</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17968-2025</t>
        </is>
      </c>
      <c r="B296" s="1" t="n">
        <v>45761.35990740741</v>
      </c>
      <c r="C296" s="1" t="n">
        <v>46164</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30293-2025</t>
        </is>
      </c>
      <c r="B297" s="1" t="n">
        <v>45827</v>
      </c>
      <c r="C297" s="1" t="n">
        <v>46164</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40925-2025</t>
        </is>
      </c>
      <c r="B298" s="1" t="n">
        <v>45897.64208333333</v>
      </c>
      <c r="C298" s="1" t="n">
        <v>46164</v>
      </c>
      <c r="D298" t="inlineStr">
        <is>
          <t>KALMAR LÄN</t>
        </is>
      </c>
      <c r="E298" t="inlineStr">
        <is>
          <t>VIMMERBY</t>
        </is>
      </c>
      <c r="G298" t="n">
        <v>1.9</v>
      </c>
      <c r="H298" t="n">
        <v>0</v>
      </c>
      <c r="I298" t="n">
        <v>0</v>
      </c>
      <c r="J298" t="n">
        <v>0</v>
      </c>
      <c r="K298" t="n">
        <v>0</v>
      </c>
      <c r="L298" t="n">
        <v>0</v>
      </c>
      <c r="M298" t="n">
        <v>0</v>
      </c>
      <c r="N298" t="n">
        <v>0</v>
      </c>
      <c r="O298" t="n">
        <v>0</v>
      </c>
      <c r="P298" t="n">
        <v>0</v>
      </c>
      <c r="Q298" t="n">
        <v>0</v>
      </c>
      <c r="R298" s="2" t="inlineStr"/>
    </row>
    <row r="299" ht="15" customHeight="1">
      <c r="A299" t="inlineStr">
        <is>
          <t>A 14451-2024</t>
        </is>
      </c>
      <c r="B299" s="1" t="n">
        <v>45394.50028935185</v>
      </c>
      <c r="C299" s="1" t="n">
        <v>46164</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40921-2025</t>
        </is>
      </c>
      <c r="B300" s="1" t="n">
        <v>45897.63520833333</v>
      </c>
      <c r="C300" s="1" t="n">
        <v>46164</v>
      </c>
      <c r="D300" t="inlineStr">
        <is>
          <t>KALMAR LÄN</t>
        </is>
      </c>
      <c r="E300" t="inlineStr">
        <is>
          <t>VIMMERBY</t>
        </is>
      </c>
      <c r="G300" t="n">
        <v>4.2</v>
      </c>
      <c r="H300" t="n">
        <v>0</v>
      </c>
      <c r="I300" t="n">
        <v>0</v>
      </c>
      <c r="J300" t="n">
        <v>0</v>
      </c>
      <c r="K300" t="n">
        <v>0</v>
      </c>
      <c r="L300" t="n">
        <v>0</v>
      </c>
      <c r="M300" t="n">
        <v>0</v>
      </c>
      <c r="N300" t="n">
        <v>0</v>
      </c>
      <c r="O300" t="n">
        <v>0</v>
      </c>
      <c r="P300" t="n">
        <v>0</v>
      </c>
      <c r="Q300" t="n">
        <v>0</v>
      </c>
      <c r="R300" s="2" t="inlineStr"/>
    </row>
    <row r="301" ht="15" customHeight="1">
      <c r="A301" t="inlineStr">
        <is>
          <t>A 30290-2025</t>
        </is>
      </c>
      <c r="B301" s="1" t="n">
        <v>45827</v>
      </c>
      <c r="C301" s="1" t="n">
        <v>46164</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40971-2025</t>
        </is>
      </c>
      <c r="B302" s="1" t="n">
        <v>45897.88836805556</v>
      </c>
      <c r="C302" s="1" t="n">
        <v>46164</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46238-2024</t>
        </is>
      </c>
      <c r="B303" s="1" t="n">
        <v>45581.58418981481</v>
      </c>
      <c r="C303" s="1" t="n">
        <v>46164</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50993-2022</t>
        </is>
      </c>
      <c r="B304" s="1" t="n">
        <v>44867</v>
      </c>
      <c r="C304" s="1" t="n">
        <v>46164</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46225-2024</t>
        </is>
      </c>
      <c r="B305" s="1" t="n">
        <v>45581.57333333333</v>
      </c>
      <c r="C305" s="1" t="n">
        <v>46164</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30850-2025</t>
        </is>
      </c>
      <c r="B306" s="1" t="n">
        <v>45831</v>
      </c>
      <c r="C306" s="1" t="n">
        <v>46164</v>
      </c>
      <c r="D306" t="inlineStr">
        <is>
          <t>KALMAR LÄN</t>
        </is>
      </c>
      <c r="E306" t="inlineStr">
        <is>
          <t>VIMMERBY</t>
        </is>
      </c>
      <c r="G306" t="n">
        <v>2.7</v>
      </c>
      <c r="H306" t="n">
        <v>0</v>
      </c>
      <c r="I306" t="n">
        <v>0</v>
      </c>
      <c r="J306" t="n">
        <v>0</v>
      </c>
      <c r="K306" t="n">
        <v>0</v>
      </c>
      <c r="L306" t="n">
        <v>0</v>
      </c>
      <c r="M306" t="n">
        <v>0</v>
      </c>
      <c r="N306" t="n">
        <v>0</v>
      </c>
      <c r="O306" t="n">
        <v>0</v>
      </c>
      <c r="P306" t="n">
        <v>0</v>
      </c>
      <c r="Q306" t="n">
        <v>0</v>
      </c>
      <c r="R306" s="2" t="inlineStr"/>
    </row>
    <row r="307" ht="15" customHeight="1">
      <c r="A307" t="inlineStr">
        <is>
          <t>A 36055-2024</t>
        </is>
      </c>
      <c r="B307" s="1" t="n">
        <v>45533.63056712963</v>
      </c>
      <c r="C307" s="1" t="n">
        <v>46164</v>
      </c>
      <c r="D307" t="inlineStr">
        <is>
          <t>KALMAR LÄN</t>
        </is>
      </c>
      <c r="E307" t="inlineStr">
        <is>
          <t>VIMMERBY</t>
        </is>
      </c>
      <c r="F307" t="inlineStr">
        <is>
          <t>Kommuner</t>
        </is>
      </c>
      <c r="G307" t="n">
        <v>1.9</v>
      </c>
      <c r="H307" t="n">
        <v>0</v>
      </c>
      <c r="I307" t="n">
        <v>0</v>
      </c>
      <c r="J307" t="n">
        <v>0</v>
      </c>
      <c r="K307" t="n">
        <v>0</v>
      </c>
      <c r="L307" t="n">
        <v>0</v>
      </c>
      <c r="M307" t="n">
        <v>0</v>
      </c>
      <c r="N307" t="n">
        <v>0</v>
      </c>
      <c r="O307" t="n">
        <v>0</v>
      </c>
      <c r="P307" t="n">
        <v>0</v>
      </c>
      <c r="Q307" t="n">
        <v>0</v>
      </c>
      <c r="R307" s="2" t="inlineStr"/>
    </row>
    <row r="308" ht="15" customHeight="1">
      <c r="A308" t="inlineStr">
        <is>
          <t>A 41591-2025</t>
        </is>
      </c>
      <c r="B308" s="1" t="n">
        <v>45901.6327662037</v>
      </c>
      <c r="C308" s="1" t="n">
        <v>46164</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47859-2024</t>
        </is>
      </c>
      <c r="B309" s="1" t="n">
        <v>45588.67070601852</v>
      </c>
      <c r="C309" s="1" t="n">
        <v>46164</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41589-2025</t>
        </is>
      </c>
      <c r="B310" s="1" t="n">
        <v>45901.63219907408</v>
      </c>
      <c r="C310" s="1" t="n">
        <v>46164</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32835-2022</t>
        </is>
      </c>
      <c r="B311" s="1" t="n">
        <v>44784.42528935185</v>
      </c>
      <c r="C311" s="1" t="n">
        <v>46164</v>
      </c>
      <c r="D311" t="inlineStr">
        <is>
          <t>KALMAR LÄN</t>
        </is>
      </c>
      <c r="E311" t="inlineStr">
        <is>
          <t>VIMMERBY</t>
        </is>
      </c>
      <c r="G311" t="n">
        <v>1.6</v>
      </c>
      <c r="H311" t="n">
        <v>0</v>
      </c>
      <c r="I311" t="n">
        <v>0</v>
      </c>
      <c r="J311" t="n">
        <v>0</v>
      </c>
      <c r="K311" t="n">
        <v>0</v>
      </c>
      <c r="L311" t="n">
        <v>0</v>
      </c>
      <c r="M311" t="n">
        <v>0</v>
      </c>
      <c r="N311" t="n">
        <v>0</v>
      </c>
      <c r="O311" t="n">
        <v>0</v>
      </c>
      <c r="P311" t="n">
        <v>0</v>
      </c>
      <c r="Q311" t="n">
        <v>0</v>
      </c>
      <c r="R311" s="2" t="inlineStr"/>
    </row>
    <row r="312" ht="15" customHeight="1">
      <c r="A312" t="inlineStr">
        <is>
          <t>A 30882-2025</t>
        </is>
      </c>
      <c r="B312" s="1" t="n">
        <v>45832.34540509259</v>
      </c>
      <c r="C312" s="1" t="n">
        <v>46164</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30971-2025</t>
        </is>
      </c>
      <c r="B313" s="1" t="n">
        <v>45832.46146990741</v>
      </c>
      <c r="C313" s="1" t="n">
        <v>46164</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41896-2023</t>
        </is>
      </c>
      <c r="B314" s="1" t="n">
        <v>45176.72427083334</v>
      </c>
      <c r="C314" s="1" t="n">
        <v>46164</v>
      </c>
      <c r="D314" t="inlineStr">
        <is>
          <t>KALMAR LÄN</t>
        </is>
      </c>
      <c r="E314" t="inlineStr">
        <is>
          <t>VIMMERBY</t>
        </is>
      </c>
      <c r="G314" t="n">
        <v>1.3</v>
      </c>
      <c r="H314" t="n">
        <v>0</v>
      </c>
      <c r="I314" t="n">
        <v>0</v>
      </c>
      <c r="J314" t="n">
        <v>0</v>
      </c>
      <c r="K314" t="n">
        <v>0</v>
      </c>
      <c r="L314" t="n">
        <v>0</v>
      </c>
      <c r="M314" t="n">
        <v>0</v>
      </c>
      <c r="N314" t="n">
        <v>0</v>
      </c>
      <c r="O314" t="n">
        <v>0</v>
      </c>
      <c r="P314" t="n">
        <v>0</v>
      </c>
      <c r="Q314" t="n">
        <v>0</v>
      </c>
      <c r="R314" s="2" t="inlineStr"/>
    </row>
    <row r="315" ht="15" customHeight="1">
      <c r="A315" t="inlineStr">
        <is>
          <t>A 31552-2025</t>
        </is>
      </c>
      <c r="B315" s="1" t="n">
        <v>45833.64563657407</v>
      </c>
      <c r="C315" s="1" t="n">
        <v>46164</v>
      </c>
      <c r="D315" t="inlineStr">
        <is>
          <t>KALMAR LÄN</t>
        </is>
      </c>
      <c r="E315" t="inlineStr">
        <is>
          <t>VIMMERBY</t>
        </is>
      </c>
      <c r="G315" t="n">
        <v>1.7</v>
      </c>
      <c r="H315" t="n">
        <v>0</v>
      </c>
      <c r="I315" t="n">
        <v>0</v>
      </c>
      <c r="J315" t="n">
        <v>0</v>
      </c>
      <c r="K315" t="n">
        <v>0</v>
      </c>
      <c r="L315" t="n">
        <v>0</v>
      </c>
      <c r="M315" t="n">
        <v>0</v>
      </c>
      <c r="N315" t="n">
        <v>0</v>
      </c>
      <c r="O315" t="n">
        <v>0</v>
      </c>
      <c r="P315" t="n">
        <v>0</v>
      </c>
      <c r="Q315" t="n">
        <v>0</v>
      </c>
      <c r="R315" s="2" t="inlineStr"/>
    </row>
    <row r="316" ht="15" customHeight="1">
      <c r="A316" t="inlineStr">
        <is>
          <t>A 31555-2025</t>
        </is>
      </c>
      <c r="B316" s="1" t="n">
        <v>45833.64814814815</v>
      </c>
      <c r="C316" s="1" t="n">
        <v>46164</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34090-2025</t>
        </is>
      </c>
      <c r="B317" s="1" t="n">
        <v>45845</v>
      </c>
      <c r="C317" s="1" t="n">
        <v>46164</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43606-2024</t>
        </is>
      </c>
      <c r="B318" s="1" t="n">
        <v>45569.45017361111</v>
      </c>
      <c r="C318" s="1" t="n">
        <v>46164</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46164</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12325-2023</t>
        </is>
      </c>
      <c r="B320" s="1" t="n">
        <v>44999.35858796296</v>
      </c>
      <c r="C320" s="1" t="n">
        <v>46164</v>
      </c>
      <c r="D320" t="inlineStr">
        <is>
          <t>KALMAR LÄN</t>
        </is>
      </c>
      <c r="E320" t="inlineStr">
        <is>
          <t>VIMMERBY</t>
        </is>
      </c>
      <c r="G320" t="n">
        <v>3.4</v>
      </c>
      <c r="H320" t="n">
        <v>0</v>
      </c>
      <c r="I320" t="n">
        <v>0</v>
      </c>
      <c r="J320" t="n">
        <v>0</v>
      </c>
      <c r="K320" t="n">
        <v>0</v>
      </c>
      <c r="L320" t="n">
        <v>0</v>
      </c>
      <c r="M320" t="n">
        <v>0</v>
      </c>
      <c r="N320" t="n">
        <v>0</v>
      </c>
      <c r="O320" t="n">
        <v>0</v>
      </c>
      <c r="P320" t="n">
        <v>0</v>
      </c>
      <c r="Q320" t="n">
        <v>0</v>
      </c>
      <c r="R320" s="2" t="inlineStr"/>
    </row>
    <row r="321" ht="15" customHeight="1">
      <c r="A321" t="inlineStr">
        <is>
          <t>A 8945-2025</t>
        </is>
      </c>
      <c r="B321" s="1" t="n">
        <v>45713.45311342592</v>
      </c>
      <c r="C321" s="1" t="n">
        <v>46164</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31870-2025</t>
        </is>
      </c>
      <c r="B322" s="1" t="n">
        <v>45834.64667824074</v>
      </c>
      <c r="C322" s="1" t="n">
        <v>46164</v>
      </c>
      <c r="D322" t="inlineStr">
        <is>
          <t>KALMAR LÄN</t>
        </is>
      </c>
      <c r="E322" t="inlineStr">
        <is>
          <t>VIMMERBY</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40665-2023</t>
        </is>
      </c>
      <c r="B323" s="1" t="n">
        <v>45170</v>
      </c>
      <c r="C323" s="1" t="n">
        <v>46164</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13307-2025</t>
        </is>
      </c>
      <c r="B324" s="1" t="n">
        <v>45735.58024305556</v>
      </c>
      <c r="C324" s="1" t="n">
        <v>46164</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28034-2022</t>
        </is>
      </c>
      <c r="B325" s="1" t="n">
        <v>44746.38834490741</v>
      </c>
      <c r="C325" s="1" t="n">
        <v>46164</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8559-2025</t>
        </is>
      </c>
      <c r="B326" s="1" t="n">
        <v>45709.62280092593</v>
      </c>
      <c r="C326" s="1" t="n">
        <v>46164</v>
      </c>
      <c r="D326" t="inlineStr">
        <is>
          <t>KALMAR LÄN</t>
        </is>
      </c>
      <c r="E326" t="inlineStr">
        <is>
          <t>VIMMERBY</t>
        </is>
      </c>
      <c r="G326" t="n">
        <v>8.9</v>
      </c>
      <c r="H326" t="n">
        <v>0</v>
      </c>
      <c r="I326" t="n">
        <v>0</v>
      </c>
      <c r="J326" t="n">
        <v>0</v>
      </c>
      <c r="K326" t="n">
        <v>0</v>
      </c>
      <c r="L326" t="n">
        <v>0</v>
      </c>
      <c r="M326" t="n">
        <v>0</v>
      </c>
      <c r="N326" t="n">
        <v>0</v>
      </c>
      <c r="O326" t="n">
        <v>0</v>
      </c>
      <c r="P326" t="n">
        <v>0</v>
      </c>
      <c r="Q326" t="n">
        <v>0</v>
      </c>
      <c r="R326" s="2" t="inlineStr"/>
    </row>
    <row r="327" ht="15" customHeight="1">
      <c r="A327" t="inlineStr">
        <is>
          <t>A 31872-2025</t>
        </is>
      </c>
      <c r="B327" s="1" t="n">
        <v>45834.65040509259</v>
      </c>
      <c r="C327" s="1" t="n">
        <v>46164</v>
      </c>
      <c r="D327" t="inlineStr">
        <is>
          <t>KALMAR LÄN</t>
        </is>
      </c>
      <c r="E327" t="inlineStr">
        <is>
          <t>VIMMERBY</t>
        </is>
      </c>
      <c r="F327" t="inlineStr">
        <is>
          <t>Sveaskog</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31876-2025</t>
        </is>
      </c>
      <c r="B328" s="1" t="n">
        <v>45834.65197916667</v>
      </c>
      <c r="C328" s="1" t="n">
        <v>46164</v>
      </c>
      <c r="D328" t="inlineStr">
        <is>
          <t>KALMAR LÄN</t>
        </is>
      </c>
      <c r="E328" t="inlineStr">
        <is>
          <t>VIMMERBY</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31551-2025</t>
        </is>
      </c>
      <c r="B329" s="1" t="n">
        <v>45833.64237268519</v>
      </c>
      <c r="C329" s="1" t="n">
        <v>46164</v>
      </c>
      <c r="D329" t="inlineStr">
        <is>
          <t>KALMAR LÄN</t>
        </is>
      </c>
      <c r="E329" t="inlineStr">
        <is>
          <t>VIMMERBY</t>
        </is>
      </c>
      <c r="G329" t="n">
        <v>1.9</v>
      </c>
      <c r="H329" t="n">
        <v>0</v>
      </c>
      <c r="I329" t="n">
        <v>0</v>
      </c>
      <c r="J329" t="n">
        <v>0</v>
      </c>
      <c r="K329" t="n">
        <v>0</v>
      </c>
      <c r="L329" t="n">
        <v>0</v>
      </c>
      <c r="M329" t="n">
        <v>0</v>
      </c>
      <c r="N329" t="n">
        <v>0</v>
      </c>
      <c r="O329" t="n">
        <v>0</v>
      </c>
      <c r="P329" t="n">
        <v>0</v>
      </c>
      <c r="Q329" t="n">
        <v>0</v>
      </c>
      <c r="R329" s="2" t="inlineStr"/>
    </row>
    <row r="330" ht="15" customHeight="1">
      <c r="A330" t="inlineStr">
        <is>
          <t>A 31987-2025</t>
        </is>
      </c>
      <c r="B330" s="1" t="n">
        <v>45835.36229166666</v>
      </c>
      <c r="C330" s="1" t="n">
        <v>46164</v>
      </c>
      <c r="D330" t="inlineStr">
        <is>
          <t>KALMAR LÄN</t>
        </is>
      </c>
      <c r="E330" t="inlineStr">
        <is>
          <t>VIMMERBY</t>
        </is>
      </c>
      <c r="F330" t="inlineStr">
        <is>
          <t>Kyrkan</t>
        </is>
      </c>
      <c r="G330" t="n">
        <v>1.2</v>
      </c>
      <c r="H330" t="n">
        <v>0</v>
      </c>
      <c r="I330" t="n">
        <v>0</v>
      </c>
      <c r="J330" t="n">
        <v>0</v>
      </c>
      <c r="K330" t="n">
        <v>0</v>
      </c>
      <c r="L330" t="n">
        <v>0</v>
      </c>
      <c r="M330" t="n">
        <v>0</v>
      </c>
      <c r="N330" t="n">
        <v>0</v>
      </c>
      <c r="O330" t="n">
        <v>0</v>
      </c>
      <c r="P330" t="n">
        <v>0</v>
      </c>
      <c r="Q330" t="n">
        <v>0</v>
      </c>
      <c r="R330" s="2" t="inlineStr"/>
    </row>
    <row r="331" ht="15" customHeight="1">
      <c r="A331" t="inlineStr">
        <is>
          <t>A 55605-2024</t>
        </is>
      </c>
      <c r="B331" s="1" t="n">
        <v>45622</v>
      </c>
      <c r="C331" s="1" t="n">
        <v>46164</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42165-2024</t>
        </is>
      </c>
      <c r="B332" s="1" t="n">
        <v>45562.46342592593</v>
      </c>
      <c r="C332" s="1" t="n">
        <v>46164</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32120-2025</t>
        </is>
      </c>
      <c r="B333" s="1" t="n">
        <v>45835.4924537037</v>
      </c>
      <c r="C333" s="1" t="n">
        <v>46164</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20129-2024</t>
        </is>
      </c>
      <c r="B334" s="1" t="n">
        <v>45434.55831018519</v>
      </c>
      <c r="C334" s="1" t="n">
        <v>46164</v>
      </c>
      <c r="D334" t="inlineStr">
        <is>
          <t>KALMAR LÄN</t>
        </is>
      </c>
      <c r="E334" t="inlineStr">
        <is>
          <t>VIMMERBY</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20137-2024</t>
        </is>
      </c>
      <c r="B335" s="1" t="n">
        <v>45434.56398148148</v>
      </c>
      <c r="C335" s="1" t="n">
        <v>46164</v>
      </c>
      <c r="D335" t="inlineStr">
        <is>
          <t>KALMAR LÄN</t>
        </is>
      </c>
      <c r="E335" t="inlineStr">
        <is>
          <t>VIMMERBY</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42828-2025</t>
        </is>
      </c>
      <c r="B336" s="1" t="n">
        <v>45908.57716435185</v>
      </c>
      <c r="C336" s="1" t="n">
        <v>46164</v>
      </c>
      <c r="D336" t="inlineStr">
        <is>
          <t>KALMAR LÄN</t>
        </is>
      </c>
      <c r="E336" t="inlineStr">
        <is>
          <t>VIMMERBY</t>
        </is>
      </c>
      <c r="G336" t="n">
        <v>5.2</v>
      </c>
      <c r="H336" t="n">
        <v>0</v>
      </c>
      <c r="I336" t="n">
        <v>0</v>
      </c>
      <c r="J336" t="n">
        <v>0</v>
      </c>
      <c r="K336" t="n">
        <v>0</v>
      </c>
      <c r="L336" t="n">
        <v>0</v>
      </c>
      <c r="M336" t="n">
        <v>0</v>
      </c>
      <c r="N336" t="n">
        <v>0</v>
      </c>
      <c r="O336" t="n">
        <v>0</v>
      </c>
      <c r="P336" t="n">
        <v>0</v>
      </c>
      <c r="Q336" t="n">
        <v>0</v>
      </c>
      <c r="R336" s="2" t="inlineStr"/>
    </row>
    <row r="337" ht="15" customHeight="1">
      <c r="A337" t="inlineStr">
        <is>
          <t>A 32116-2025</t>
        </is>
      </c>
      <c r="B337" s="1" t="n">
        <v>45835.48862268519</v>
      </c>
      <c r="C337" s="1" t="n">
        <v>46164</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23095-2023</t>
        </is>
      </c>
      <c r="B338" s="1" t="n">
        <v>45075.43059027778</v>
      </c>
      <c r="C338" s="1" t="n">
        <v>46164</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32919-2022</t>
        </is>
      </c>
      <c r="B339" s="1" t="n">
        <v>44784.62724537037</v>
      </c>
      <c r="C339" s="1" t="n">
        <v>46164</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42794-2025</t>
        </is>
      </c>
      <c r="B340" s="1" t="n">
        <v>45908</v>
      </c>
      <c r="C340" s="1" t="n">
        <v>46164</v>
      </c>
      <c r="D340" t="inlineStr">
        <is>
          <t>KALMAR LÄN</t>
        </is>
      </c>
      <c r="E340" t="inlineStr">
        <is>
          <t>VIMMERBY</t>
        </is>
      </c>
      <c r="G340" t="n">
        <v>0.9</v>
      </c>
      <c r="H340" t="n">
        <v>0</v>
      </c>
      <c r="I340" t="n">
        <v>0</v>
      </c>
      <c r="J340" t="n">
        <v>0</v>
      </c>
      <c r="K340" t="n">
        <v>0</v>
      </c>
      <c r="L340" t="n">
        <v>0</v>
      </c>
      <c r="M340" t="n">
        <v>0</v>
      </c>
      <c r="N340" t="n">
        <v>0</v>
      </c>
      <c r="O340" t="n">
        <v>0</v>
      </c>
      <c r="P340" t="n">
        <v>0</v>
      </c>
      <c r="Q340" t="n">
        <v>0</v>
      </c>
      <c r="R340" s="2" t="inlineStr"/>
    </row>
    <row r="341" ht="15" customHeight="1">
      <c r="A341" t="inlineStr">
        <is>
          <t>A 32380-2025</t>
        </is>
      </c>
      <c r="B341" s="1" t="n">
        <v>45837.77701388889</v>
      </c>
      <c r="C341" s="1" t="n">
        <v>46164</v>
      </c>
      <c r="D341" t="inlineStr">
        <is>
          <t>KALMAR LÄN</t>
        </is>
      </c>
      <c r="E341" t="inlineStr">
        <is>
          <t>VIMMERBY</t>
        </is>
      </c>
      <c r="G341" t="n">
        <v>3.1</v>
      </c>
      <c r="H341" t="n">
        <v>0</v>
      </c>
      <c r="I341" t="n">
        <v>0</v>
      </c>
      <c r="J341" t="n">
        <v>0</v>
      </c>
      <c r="K341" t="n">
        <v>0</v>
      </c>
      <c r="L341" t="n">
        <v>0</v>
      </c>
      <c r="M341" t="n">
        <v>0</v>
      </c>
      <c r="N341" t="n">
        <v>0</v>
      </c>
      <c r="O341" t="n">
        <v>0</v>
      </c>
      <c r="P341" t="n">
        <v>0</v>
      </c>
      <c r="Q341" t="n">
        <v>0</v>
      </c>
      <c r="R341" s="2" t="inlineStr"/>
    </row>
    <row r="342" ht="15" customHeight="1">
      <c r="A342" t="inlineStr">
        <is>
          <t>A 32109-2025</t>
        </is>
      </c>
      <c r="B342" s="1" t="n">
        <v>45835.48267361111</v>
      </c>
      <c r="C342" s="1" t="n">
        <v>46164</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32113-2025</t>
        </is>
      </c>
      <c r="B343" s="1" t="n">
        <v>45835.48445601852</v>
      </c>
      <c r="C343" s="1" t="n">
        <v>46164</v>
      </c>
      <c r="D343" t="inlineStr">
        <is>
          <t>KALMAR LÄN</t>
        </is>
      </c>
      <c r="E343" t="inlineStr">
        <is>
          <t>VIMMERBY</t>
        </is>
      </c>
      <c r="G343" t="n">
        <v>3.5</v>
      </c>
      <c r="H343" t="n">
        <v>0</v>
      </c>
      <c r="I343" t="n">
        <v>0</v>
      </c>
      <c r="J343" t="n">
        <v>0</v>
      </c>
      <c r="K343" t="n">
        <v>0</v>
      </c>
      <c r="L343" t="n">
        <v>0</v>
      </c>
      <c r="M343" t="n">
        <v>0</v>
      </c>
      <c r="N343" t="n">
        <v>0</v>
      </c>
      <c r="O343" t="n">
        <v>0</v>
      </c>
      <c r="P343" t="n">
        <v>0</v>
      </c>
      <c r="Q343" t="n">
        <v>0</v>
      </c>
      <c r="R343" s="2" t="inlineStr"/>
    </row>
    <row r="344" ht="15" customHeight="1">
      <c r="A344" t="inlineStr">
        <is>
          <t>A 32077-2025</t>
        </is>
      </c>
      <c r="B344" s="1" t="n">
        <v>45835.45099537037</v>
      </c>
      <c r="C344" s="1" t="n">
        <v>46164</v>
      </c>
      <c r="D344" t="inlineStr">
        <is>
          <t>KALMAR LÄN</t>
        </is>
      </c>
      <c r="E344" t="inlineStr">
        <is>
          <t>VIMMERBY</t>
        </is>
      </c>
      <c r="G344" t="n">
        <v>1.8</v>
      </c>
      <c r="H344" t="n">
        <v>0</v>
      </c>
      <c r="I344" t="n">
        <v>0</v>
      </c>
      <c r="J344" t="n">
        <v>0</v>
      </c>
      <c r="K344" t="n">
        <v>0</v>
      </c>
      <c r="L344" t="n">
        <v>0</v>
      </c>
      <c r="M344" t="n">
        <v>0</v>
      </c>
      <c r="N344" t="n">
        <v>0</v>
      </c>
      <c r="O344" t="n">
        <v>0</v>
      </c>
      <c r="P344" t="n">
        <v>0</v>
      </c>
      <c r="Q344" t="n">
        <v>0</v>
      </c>
      <c r="R344" s="2" t="inlineStr"/>
    </row>
    <row r="345" ht="15" customHeight="1">
      <c r="A345" t="inlineStr">
        <is>
          <t>A 32064-2025</t>
        </is>
      </c>
      <c r="B345" s="1" t="n">
        <v>45835.44709490741</v>
      </c>
      <c r="C345" s="1" t="n">
        <v>46164</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32065-2025</t>
        </is>
      </c>
      <c r="B346" s="1" t="n">
        <v>45835.44732638889</v>
      </c>
      <c r="C346" s="1" t="n">
        <v>46164</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7068-2024</t>
        </is>
      </c>
      <c r="B347" s="1" t="n">
        <v>45343.68038194445</v>
      </c>
      <c r="C347" s="1" t="n">
        <v>46164</v>
      </c>
      <c r="D347" t="inlineStr">
        <is>
          <t>KALMAR LÄN</t>
        </is>
      </c>
      <c r="E347" t="inlineStr">
        <is>
          <t>VIMMERBY</t>
        </is>
      </c>
      <c r="G347" t="n">
        <v>2.5</v>
      </c>
      <c r="H347" t="n">
        <v>0</v>
      </c>
      <c r="I347" t="n">
        <v>0</v>
      </c>
      <c r="J347" t="n">
        <v>0</v>
      </c>
      <c r="K347" t="n">
        <v>0</v>
      </c>
      <c r="L347" t="n">
        <v>0</v>
      </c>
      <c r="M347" t="n">
        <v>0</v>
      </c>
      <c r="N347" t="n">
        <v>0</v>
      </c>
      <c r="O347" t="n">
        <v>0</v>
      </c>
      <c r="P347" t="n">
        <v>0</v>
      </c>
      <c r="Q347" t="n">
        <v>0</v>
      </c>
      <c r="R347" s="2" t="inlineStr"/>
    </row>
    <row r="348" ht="15" customHeight="1">
      <c r="A348" t="inlineStr">
        <is>
          <t>A 42820-2025</t>
        </is>
      </c>
      <c r="B348" s="1" t="n">
        <v>45908</v>
      </c>
      <c r="C348" s="1" t="n">
        <v>46164</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32655-2023</t>
        </is>
      </c>
      <c r="B349" s="1" t="n">
        <v>45121.61318287037</v>
      </c>
      <c r="C349" s="1" t="n">
        <v>46164</v>
      </c>
      <c r="D349" t="inlineStr">
        <is>
          <t>KALMAR LÄN</t>
        </is>
      </c>
      <c r="E349" t="inlineStr">
        <is>
          <t>VIMMERBY</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34060-2025</t>
        </is>
      </c>
      <c r="B350" s="1" t="n">
        <v>45845.42015046296</v>
      </c>
      <c r="C350" s="1" t="n">
        <v>46164</v>
      </c>
      <c r="D350" t="inlineStr">
        <is>
          <t>KALMAR LÄN</t>
        </is>
      </c>
      <c r="E350" t="inlineStr">
        <is>
          <t>VIMMERBY</t>
        </is>
      </c>
      <c r="G350" t="n">
        <v>5.7</v>
      </c>
      <c r="H350" t="n">
        <v>0</v>
      </c>
      <c r="I350" t="n">
        <v>0</v>
      </c>
      <c r="J350" t="n">
        <v>0</v>
      </c>
      <c r="K350" t="n">
        <v>0</v>
      </c>
      <c r="L350" t="n">
        <v>0</v>
      </c>
      <c r="M350" t="n">
        <v>0</v>
      </c>
      <c r="N350" t="n">
        <v>0</v>
      </c>
      <c r="O350" t="n">
        <v>0</v>
      </c>
      <c r="P350" t="n">
        <v>0</v>
      </c>
      <c r="Q350" t="n">
        <v>0</v>
      </c>
      <c r="R350" s="2" t="inlineStr"/>
    </row>
    <row r="351" ht="15" customHeight="1">
      <c r="A351" t="inlineStr">
        <is>
          <t>A 33186-2025</t>
        </is>
      </c>
      <c r="B351" s="1" t="n">
        <v>45840.59474537037</v>
      </c>
      <c r="C351" s="1" t="n">
        <v>46164</v>
      </c>
      <c r="D351" t="inlineStr">
        <is>
          <t>KALMAR LÄN</t>
        </is>
      </c>
      <c r="E351" t="inlineStr">
        <is>
          <t>VIMMERBY</t>
        </is>
      </c>
      <c r="G351" t="n">
        <v>2.6</v>
      </c>
      <c r="H351" t="n">
        <v>0</v>
      </c>
      <c r="I351" t="n">
        <v>0</v>
      </c>
      <c r="J351" t="n">
        <v>0</v>
      </c>
      <c r="K351" t="n">
        <v>0</v>
      </c>
      <c r="L351" t="n">
        <v>0</v>
      </c>
      <c r="M351" t="n">
        <v>0</v>
      </c>
      <c r="N351" t="n">
        <v>0</v>
      </c>
      <c r="O351" t="n">
        <v>0</v>
      </c>
      <c r="P351" t="n">
        <v>0</v>
      </c>
      <c r="Q351" t="n">
        <v>0</v>
      </c>
      <c r="R351" s="2" t="inlineStr"/>
    </row>
    <row r="352" ht="15" customHeight="1">
      <c r="A352" t="inlineStr">
        <is>
          <t>A 54409-2024</t>
        </is>
      </c>
      <c r="B352" s="1" t="n">
        <v>45617.47570601852</v>
      </c>
      <c r="C352" s="1" t="n">
        <v>46164</v>
      </c>
      <c r="D352" t="inlineStr">
        <is>
          <t>KALMAR LÄN</t>
        </is>
      </c>
      <c r="E352" t="inlineStr">
        <is>
          <t>VIMMERBY</t>
        </is>
      </c>
      <c r="G352" t="n">
        <v>4.3</v>
      </c>
      <c r="H352" t="n">
        <v>0</v>
      </c>
      <c r="I352" t="n">
        <v>0</v>
      </c>
      <c r="J352" t="n">
        <v>0</v>
      </c>
      <c r="K352" t="n">
        <v>0</v>
      </c>
      <c r="L352" t="n">
        <v>0</v>
      </c>
      <c r="M352" t="n">
        <v>0</v>
      </c>
      <c r="N352" t="n">
        <v>0</v>
      </c>
      <c r="O352" t="n">
        <v>0</v>
      </c>
      <c r="P352" t="n">
        <v>0</v>
      </c>
      <c r="Q352" t="n">
        <v>0</v>
      </c>
      <c r="R352" s="2" t="inlineStr"/>
    </row>
    <row r="353" ht="15" customHeight="1">
      <c r="A353" t="inlineStr">
        <is>
          <t>A 30977-2025</t>
        </is>
      </c>
      <c r="B353" s="1" t="n">
        <v>45832.46649305556</v>
      </c>
      <c r="C353" s="1" t="n">
        <v>46164</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33695-2025</t>
        </is>
      </c>
      <c r="B354" s="1" t="n">
        <v>45841.70569444444</v>
      </c>
      <c r="C354" s="1" t="n">
        <v>46164</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33698-2025</t>
        </is>
      </c>
      <c r="B355" s="1" t="n">
        <v>45841.70868055556</v>
      </c>
      <c r="C355" s="1" t="n">
        <v>46164</v>
      </c>
      <c r="D355" t="inlineStr">
        <is>
          <t>KALMAR LÄN</t>
        </is>
      </c>
      <c r="E355" t="inlineStr">
        <is>
          <t>VIMMERBY</t>
        </is>
      </c>
      <c r="G355" t="n">
        <v>3.7</v>
      </c>
      <c r="H355" t="n">
        <v>0</v>
      </c>
      <c r="I355" t="n">
        <v>0</v>
      </c>
      <c r="J355" t="n">
        <v>0</v>
      </c>
      <c r="K355" t="n">
        <v>0</v>
      </c>
      <c r="L355" t="n">
        <v>0</v>
      </c>
      <c r="M355" t="n">
        <v>0</v>
      </c>
      <c r="N355" t="n">
        <v>0</v>
      </c>
      <c r="O355" t="n">
        <v>0</v>
      </c>
      <c r="P355" t="n">
        <v>0</v>
      </c>
      <c r="Q355" t="n">
        <v>0</v>
      </c>
      <c r="R355" s="2" t="inlineStr"/>
    </row>
    <row r="356" ht="15" customHeight="1">
      <c r="A356" t="inlineStr">
        <is>
          <t>A 43617-2025</t>
        </is>
      </c>
      <c r="B356" s="1" t="n">
        <v>45911.67798611111</v>
      </c>
      <c r="C356" s="1" t="n">
        <v>46164</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43465-2025</t>
        </is>
      </c>
      <c r="B357" s="1" t="n">
        <v>45911.47138888889</v>
      </c>
      <c r="C357" s="1" t="n">
        <v>46164</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9475-2023</t>
        </is>
      </c>
      <c r="B358" s="1" t="n">
        <v>44981.58834490741</v>
      </c>
      <c r="C358" s="1" t="n">
        <v>46164</v>
      </c>
      <c r="D358" t="inlineStr">
        <is>
          <t>KALMAR LÄN</t>
        </is>
      </c>
      <c r="E358" t="inlineStr">
        <is>
          <t>VIMMERBY</t>
        </is>
      </c>
      <c r="G358" t="n">
        <v>2</v>
      </c>
      <c r="H358" t="n">
        <v>0</v>
      </c>
      <c r="I358" t="n">
        <v>0</v>
      </c>
      <c r="J358" t="n">
        <v>0</v>
      </c>
      <c r="K358" t="n">
        <v>0</v>
      </c>
      <c r="L358" t="n">
        <v>0</v>
      </c>
      <c r="M358" t="n">
        <v>0</v>
      </c>
      <c r="N358" t="n">
        <v>0</v>
      </c>
      <c r="O358" t="n">
        <v>0</v>
      </c>
      <c r="P358" t="n">
        <v>0</v>
      </c>
      <c r="Q358" t="n">
        <v>0</v>
      </c>
      <c r="R358" s="2" t="inlineStr"/>
    </row>
    <row r="359" ht="15" customHeight="1">
      <c r="A359" t="inlineStr">
        <is>
          <t>A 33696-2025</t>
        </is>
      </c>
      <c r="B359" s="1" t="n">
        <v>45841.7072337963</v>
      </c>
      <c r="C359" s="1" t="n">
        <v>46164</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44329-2025</t>
        </is>
      </c>
      <c r="B360" s="1" t="n">
        <v>45916.41019675926</v>
      </c>
      <c r="C360" s="1" t="n">
        <v>46164</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43092-2024</t>
        </is>
      </c>
      <c r="B361" s="1" t="n">
        <v>45567</v>
      </c>
      <c r="C361" s="1" t="n">
        <v>46164</v>
      </c>
      <c r="D361" t="inlineStr">
        <is>
          <t>KALMAR LÄN</t>
        </is>
      </c>
      <c r="E361" t="inlineStr">
        <is>
          <t>VIMMERBY</t>
        </is>
      </c>
      <c r="G361" t="n">
        <v>2.7</v>
      </c>
      <c r="H361" t="n">
        <v>0</v>
      </c>
      <c r="I361" t="n">
        <v>0</v>
      </c>
      <c r="J361" t="n">
        <v>0</v>
      </c>
      <c r="K361" t="n">
        <v>0</v>
      </c>
      <c r="L361" t="n">
        <v>0</v>
      </c>
      <c r="M361" t="n">
        <v>0</v>
      </c>
      <c r="N361" t="n">
        <v>0</v>
      </c>
      <c r="O361" t="n">
        <v>0</v>
      </c>
      <c r="P361" t="n">
        <v>0</v>
      </c>
      <c r="Q361" t="n">
        <v>0</v>
      </c>
      <c r="R361" s="2" t="inlineStr"/>
    </row>
    <row r="362" ht="15" customHeight="1">
      <c r="A362" t="inlineStr">
        <is>
          <t>A 28702-2025</t>
        </is>
      </c>
      <c r="B362" s="1" t="n">
        <v>45820.03976851852</v>
      </c>
      <c r="C362" s="1" t="n">
        <v>46164</v>
      </c>
      <c r="D362" t="inlineStr">
        <is>
          <t>KALMAR LÄN</t>
        </is>
      </c>
      <c r="E362" t="inlineStr">
        <is>
          <t>VIMMERBY</t>
        </is>
      </c>
      <c r="G362" t="n">
        <v>2.1</v>
      </c>
      <c r="H362" t="n">
        <v>0</v>
      </c>
      <c r="I362" t="n">
        <v>0</v>
      </c>
      <c r="J362" t="n">
        <v>0</v>
      </c>
      <c r="K362" t="n">
        <v>0</v>
      </c>
      <c r="L362" t="n">
        <v>0</v>
      </c>
      <c r="M362" t="n">
        <v>0</v>
      </c>
      <c r="N362" t="n">
        <v>0</v>
      </c>
      <c r="O362" t="n">
        <v>0</v>
      </c>
      <c r="P362" t="n">
        <v>0</v>
      </c>
      <c r="Q362" t="n">
        <v>0</v>
      </c>
      <c r="R362" s="2" t="inlineStr"/>
    </row>
    <row r="363" ht="15" customHeight="1">
      <c r="A363" t="inlineStr">
        <is>
          <t>A 44517-2025</t>
        </is>
      </c>
      <c r="B363" s="1" t="n">
        <v>45916.7103587963</v>
      </c>
      <c r="C363" s="1" t="n">
        <v>46164</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11619-2023</t>
        </is>
      </c>
      <c r="B364" s="1" t="n">
        <v>44994.42113425926</v>
      </c>
      <c r="C364" s="1" t="n">
        <v>46164</v>
      </c>
      <c r="D364" t="inlineStr">
        <is>
          <t>KALMAR LÄN</t>
        </is>
      </c>
      <c r="E364" t="inlineStr">
        <is>
          <t>VIMMERBY</t>
        </is>
      </c>
      <c r="G364" t="n">
        <v>2.5</v>
      </c>
      <c r="H364" t="n">
        <v>0</v>
      </c>
      <c r="I364" t="n">
        <v>0</v>
      </c>
      <c r="J364" t="n">
        <v>0</v>
      </c>
      <c r="K364" t="n">
        <v>0</v>
      </c>
      <c r="L364" t="n">
        <v>0</v>
      </c>
      <c r="M364" t="n">
        <v>0</v>
      </c>
      <c r="N364" t="n">
        <v>0</v>
      </c>
      <c r="O364" t="n">
        <v>0</v>
      </c>
      <c r="P364" t="n">
        <v>0</v>
      </c>
      <c r="Q364" t="n">
        <v>0</v>
      </c>
      <c r="R364" s="2" t="inlineStr"/>
    </row>
    <row r="365" ht="15" customHeight="1">
      <c r="A365" t="inlineStr">
        <is>
          <t>A 5074-2023</t>
        </is>
      </c>
      <c r="B365" s="1" t="n">
        <v>44958.61047453704</v>
      </c>
      <c r="C365" s="1" t="n">
        <v>46164</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6368-2023</t>
        </is>
      </c>
      <c r="B366" s="1" t="n">
        <v>44965</v>
      </c>
      <c r="C366" s="1" t="n">
        <v>46164</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5701-2024</t>
        </is>
      </c>
      <c r="B367" s="1" t="n">
        <v>45334.78826388889</v>
      </c>
      <c r="C367" s="1" t="n">
        <v>46164</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44091-2025</t>
        </is>
      </c>
      <c r="B368" s="1" t="n">
        <v>45915.55950231481</v>
      </c>
      <c r="C368" s="1" t="n">
        <v>46164</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34071-2025</t>
        </is>
      </c>
      <c r="B369" s="1" t="n">
        <v>45845.43803240741</v>
      </c>
      <c r="C369" s="1" t="n">
        <v>46164</v>
      </c>
      <c r="D369" t="inlineStr">
        <is>
          <t>KALMAR LÄN</t>
        </is>
      </c>
      <c r="E369" t="inlineStr">
        <is>
          <t>VIMMERBY</t>
        </is>
      </c>
      <c r="G369" t="n">
        <v>6.8</v>
      </c>
      <c r="H369" t="n">
        <v>0</v>
      </c>
      <c r="I369" t="n">
        <v>0</v>
      </c>
      <c r="J369" t="n">
        <v>0</v>
      </c>
      <c r="K369" t="n">
        <v>0</v>
      </c>
      <c r="L369" t="n">
        <v>0</v>
      </c>
      <c r="M369" t="n">
        <v>0</v>
      </c>
      <c r="N369" t="n">
        <v>0</v>
      </c>
      <c r="O369" t="n">
        <v>0</v>
      </c>
      <c r="P369" t="n">
        <v>0</v>
      </c>
      <c r="Q369" t="n">
        <v>0</v>
      </c>
      <c r="R369" s="2" t="inlineStr"/>
    </row>
    <row r="370" ht="15" customHeight="1">
      <c r="A370" t="inlineStr">
        <is>
          <t>A 34106-2025</t>
        </is>
      </c>
      <c r="B370" s="1" t="n">
        <v>45845.49414351852</v>
      </c>
      <c r="C370" s="1" t="n">
        <v>46164</v>
      </c>
      <c r="D370" t="inlineStr">
        <is>
          <t>KALMAR LÄN</t>
        </is>
      </c>
      <c r="E370" t="inlineStr">
        <is>
          <t>VIMMERBY</t>
        </is>
      </c>
      <c r="G370" t="n">
        <v>6</v>
      </c>
      <c r="H370" t="n">
        <v>0</v>
      </c>
      <c r="I370" t="n">
        <v>0</v>
      </c>
      <c r="J370" t="n">
        <v>0</v>
      </c>
      <c r="K370" t="n">
        <v>0</v>
      </c>
      <c r="L370" t="n">
        <v>0</v>
      </c>
      <c r="M370" t="n">
        <v>0</v>
      </c>
      <c r="N370" t="n">
        <v>0</v>
      </c>
      <c r="O370" t="n">
        <v>0</v>
      </c>
      <c r="P370" t="n">
        <v>0</v>
      </c>
      <c r="Q370" t="n">
        <v>0</v>
      </c>
      <c r="R370" s="2" t="inlineStr"/>
    </row>
    <row r="371" ht="15" customHeight="1">
      <c r="A371" t="inlineStr">
        <is>
          <t>A 44095-2025</t>
        </is>
      </c>
      <c r="B371" s="1" t="n">
        <v>45915.56430555556</v>
      </c>
      <c r="C371" s="1" t="n">
        <v>46164</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26956-2025</t>
        </is>
      </c>
      <c r="B372" s="1" t="n">
        <v>45811.45460648148</v>
      </c>
      <c r="C372" s="1" t="n">
        <v>46164</v>
      </c>
      <c r="D372" t="inlineStr">
        <is>
          <t>KALMAR LÄN</t>
        </is>
      </c>
      <c r="E372" t="inlineStr">
        <is>
          <t>VIMMERBY</t>
        </is>
      </c>
      <c r="G372" t="n">
        <v>1.1</v>
      </c>
      <c r="H372" t="n">
        <v>0</v>
      </c>
      <c r="I372" t="n">
        <v>0</v>
      </c>
      <c r="J372" t="n">
        <v>0</v>
      </c>
      <c r="K372" t="n">
        <v>0</v>
      </c>
      <c r="L372" t="n">
        <v>0</v>
      </c>
      <c r="M372" t="n">
        <v>0</v>
      </c>
      <c r="N372" t="n">
        <v>0</v>
      </c>
      <c r="O372" t="n">
        <v>0</v>
      </c>
      <c r="P372" t="n">
        <v>0</v>
      </c>
      <c r="Q372" t="n">
        <v>0</v>
      </c>
      <c r="R372" s="2" t="inlineStr"/>
    </row>
    <row r="373" ht="15" customHeight="1">
      <c r="A373" t="inlineStr">
        <is>
          <t>A 7797-2023</t>
        </is>
      </c>
      <c r="B373" s="1" t="n">
        <v>44973.43075231482</v>
      </c>
      <c r="C373" s="1" t="n">
        <v>46164</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44742-2025</t>
        </is>
      </c>
      <c r="B374" s="1" t="n">
        <v>45917.67054398148</v>
      </c>
      <c r="C374" s="1" t="n">
        <v>46164</v>
      </c>
      <c r="D374" t="inlineStr">
        <is>
          <t>KALMAR LÄN</t>
        </is>
      </c>
      <c r="E374" t="inlineStr">
        <is>
          <t>VIMMERBY</t>
        </is>
      </c>
      <c r="G374" t="n">
        <v>4.7</v>
      </c>
      <c r="H374" t="n">
        <v>0</v>
      </c>
      <c r="I374" t="n">
        <v>0</v>
      </c>
      <c r="J374" t="n">
        <v>0</v>
      </c>
      <c r="K374" t="n">
        <v>0</v>
      </c>
      <c r="L374" t="n">
        <v>0</v>
      </c>
      <c r="M374" t="n">
        <v>0</v>
      </c>
      <c r="N374" t="n">
        <v>0</v>
      </c>
      <c r="O374" t="n">
        <v>0</v>
      </c>
      <c r="P374" t="n">
        <v>0</v>
      </c>
      <c r="Q374" t="n">
        <v>0</v>
      </c>
      <c r="R374" s="2" t="inlineStr"/>
    </row>
    <row r="375" ht="15" customHeight="1">
      <c r="A375" t="inlineStr">
        <is>
          <t>A 41896-2025</t>
        </is>
      </c>
      <c r="B375" s="1" t="n">
        <v>45903.38800925926</v>
      </c>
      <c r="C375" s="1" t="n">
        <v>46164</v>
      </c>
      <c r="D375" t="inlineStr">
        <is>
          <t>KALMAR LÄN</t>
        </is>
      </c>
      <c r="E375" t="inlineStr">
        <is>
          <t>VIMMERBY</t>
        </is>
      </c>
      <c r="G375" t="n">
        <v>2.9</v>
      </c>
      <c r="H375" t="n">
        <v>0</v>
      </c>
      <c r="I375" t="n">
        <v>0</v>
      </c>
      <c r="J375" t="n">
        <v>0</v>
      </c>
      <c r="K375" t="n">
        <v>0</v>
      </c>
      <c r="L375" t="n">
        <v>0</v>
      </c>
      <c r="M375" t="n">
        <v>0</v>
      </c>
      <c r="N375" t="n">
        <v>0</v>
      </c>
      <c r="O375" t="n">
        <v>0</v>
      </c>
      <c r="P375" t="n">
        <v>0</v>
      </c>
      <c r="Q375" t="n">
        <v>0</v>
      </c>
      <c r="R375" s="2" t="inlineStr"/>
    </row>
    <row r="376" ht="15" customHeight="1">
      <c r="A376" t="inlineStr">
        <is>
          <t>A 24655-2021</t>
        </is>
      </c>
      <c r="B376" s="1" t="n">
        <v>44340</v>
      </c>
      <c r="C376" s="1" t="n">
        <v>46164</v>
      </c>
      <c r="D376" t="inlineStr">
        <is>
          <t>KALMAR LÄN</t>
        </is>
      </c>
      <c r="E376" t="inlineStr">
        <is>
          <t>VIMMERBY</t>
        </is>
      </c>
      <c r="G376" t="n">
        <v>14.9</v>
      </c>
      <c r="H376" t="n">
        <v>0</v>
      </c>
      <c r="I376" t="n">
        <v>0</v>
      </c>
      <c r="J376" t="n">
        <v>0</v>
      </c>
      <c r="K376" t="n">
        <v>0</v>
      </c>
      <c r="L376" t="n">
        <v>0</v>
      </c>
      <c r="M376" t="n">
        <v>0</v>
      </c>
      <c r="N376" t="n">
        <v>0</v>
      </c>
      <c r="O376" t="n">
        <v>0</v>
      </c>
      <c r="P376" t="n">
        <v>0</v>
      </c>
      <c r="Q376" t="n">
        <v>0</v>
      </c>
      <c r="R376" s="2" t="inlineStr"/>
    </row>
    <row r="377" ht="15" customHeight="1">
      <c r="A377" t="inlineStr">
        <is>
          <t>A 34628-2025</t>
        </is>
      </c>
      <c r="B377" s="1" t="n">
        <v>45847.91280092593</v>
      </c>
      <c r="C377" s="1" t="n">
        <v>46164</v>
      </c>
      <c r="D377" t="inlineStr">
        <is>
          <t>KALMAR LÄN</t>
        </is>
      </c>
      <c r="E377" t="inlineStr">
        <is>
          <t>VIMMERBY</t>
        </is>
      </c>
      <c r="G377" t="n">
        <v>4.2</v>
      </c>
      <c r="H377" t="n">
        <v>0</v>
      </c>
      <c r="I377" t="n">
        <v>0</v>
      </c>
      <c r="J377" t="n">
        <v>0</v>
      </c>
      <c r="K377" t="n">
        <v>0</v>
      </c>
      <c r="L377" t="n">
        <v>0</v>
      </c>
      <c r="M377" t="n">
        <v>0</v>
      </c>
      <c r="N377" t="n">
        <v>0</v>
      </c>
      <c r="O377" t="n">
        <v>0</v>
      </c>
      <c r="P377" t="n">
        <v>0</v>
      </c>
      <c r="Q377" t="n">
        <v>0</v>
      </c>
      <c r="R377" s="2" t="inlineStr"/>
    </row>
    <row r="378" ht="15" customHeight="1">
      <c r="A378" t="inlineStr">
        <is>
          <t>A 6817-2026</t>
        </is>
      </c>
      <c r="B378" s="1" t="n">
        <v>46057.38412037037</v>
      </c>
      <c r="C378" s="1" t="n">
        <v>46164</v>
      </c>
      <c r="D378" t="inlineStr">
        <is>
          <t>KALMAR LÄN</t>
        </is>
      </c>
      <c r="E378" t="inlineStr">
        <is>
          <t>VIMMERBY</t>
        </is>
      </c>
      <c r="G378" t="n">
        <v>0.7</v>
      </c>
      <c r="H378" t="n">
        <v>0</v>
      </c>
      <c r="I378" t="n">
        <v>0</v>
      </c>
      <c r="J378" t="n">
        <v>0</v>
      </c>
      <c r="K378" t="n">
        <v>0</v>
      </c>
      <c r="L378" t="n">
        <v>0</v>
      </c>
      <c r="M378" t="n">
        <v>0</v>
      </c>
      <c r="N378" t="n">
        <v>0</v>
      </c>
      <c r="O378" t="n">
        <v>0</v>
      </c>
      <c r="P378" t="n">
        <v>0</v>
      </c>
      <c r="Q378" t="n">
        <v>0</v>
      </c>
      <c r="R378" s="2" t="inlineStr"/>
    </row>
    <row r="379" ht="15" customHeight="1">
      <c r="A379" t="inlineStr">
        <is>
          <t>A 45319-2025</t>
        </is>
      </c>
      <c r="B379" s="1" t="n">
        <v>45921.95611111111</v>
      </c>
      <c r="C379" s="1" t="n">
        <v>46164</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45320-2025</t>
        </is>
      </c>
      <c r="B380" s="1" t="n">
        <v>45921.96395833333</v>
      </c>
      <c r="C380" s="1" t="n">
        <v>46164</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45114-2025</t>
        </is>
      </c>
      <c r="B381" s="1" t="n">
        <v>45919.42387731482</v>
      </c>
      <c r="C381" s="1" t="n">
        <v>46164</v>
      </c>
      <c r="D381" t="inlineStr">
        <is>
          <t>KALMAR LÄN</t>
        </is>
      </c>
      <c r="E381" t="inlineStr">
        <is>
          <t>VIMMERBY</t>
        </is>
      </c>
      <c r="G381" t="n">
        <v>2.7</v>
      </c>
      <c r="H381" t="n">
        <v>0</v>
      </c>
      <c r="I381" t="n">
        <v>0</v>
      </c>
      <c r="J381" t="n">
        <v>0</v>
      </c>
      <c r="K381" t="n">
        <v>0</v>
      </c>
      <c r="L381" t="n">
        <v>0</v>
      </c>
      <c r="M381" t="n">
        <v>0</v>
      </c>
      <c r="N381" t="n">
        <v>0</v>
      </c>
      <c r="O381" t="n">
        <v>0</v>
      </c>
      <c r="P381" t="n">
        <v>0</v>
      </c>
      <c r="Q381" t="n">
        <v>0</v>
      </c>
      <c r="R381" s="2" t="inlineStr"/>
    </row>
    <row r="382" ht="15" customHeight="1">
      <c r="A382" t="inlineStr">
        <is>
          <t>A 8410-2023</t>
        </is>
      </c>
      <c r="B382" s="1" t="n">
        <v>44977</v>
      </c>
      <c r="C382" s="1" t="n">
        <v>46164</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6028-2023</t>
        </is>
      </c>
      <c r="B383" s="1" t="n">
        <v>44964.44356481481</v>
      </c>
      <c r="C383" s="1" t="n">
        <v>46164</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46118-2025</t>
        </is>
      </c>
      <c r="B384" s="1" t="n">
        <v>45924.57697916667</v>
      </c>
      <c r="C384" s="1" t="n">
        <v>46164</v>
      </c>
      <c r="D384" t="inlineStr">
        <is>
          <t>KALMAR LÄN</t>
        </is>
      </c>
      <c r="E384" t="inlineStr">
        <is>
          <t>VIMMERBY</t>
        </is>
      </c>
      <c r="G384" t="n">
        <v>2.9</v>
      </c>
      <c r="H384" t="n">
        <v>0</v>
      </c>
      <c r="I384" t="n">
        <v>0</v>
      </c>
      <c r="J384" t="n">
        <v>0</v>
      </c>
      <c r="K384" t="n">
        <v>0</v>
      </c>
      <c r="L384" t="n">
        <v>0</v>
      </c>
      <c r="M384" t="n">
        <v>0</v>
      </c>
      <c r="N384" t="n">
        <v>0</v>
      </c>
      <c r="O384" t="n">
        <v>0</v>
      </c>
      <c r="P384" t="n">
        <v>0</v>
      </c>
      <c r="Q384" t="n">
        <v>0</v>
      </c>
      <c r="R384" s="2" t="inlineStr"/>
    </row>
    <row r="385" ht="15" customHeight="1">
      <c r="A385" t="inlineStr">
        <is>
          <t>A 52823-2024</t>
        </is>
      </c>
      <c r="B385" s="1" t="n">
        <v>45610.59094907407</v>
      </c>
      <c r="C385" s="1" t="n">
        <v>46164</v>
      </c>
      <c r="D385" t="inlineStr">
        <is>
          <t>KALMAR LÄN</t>
        </is>
      </c>
      <c r="E385" t="inlineStr">
        <is>
          <t>VIMMERBY</t>
        </is>
      </c>
      <c r="G385" t="n">
        <v>0.6</v>
      </c>
      <c r="H385" t="n">
        <v>0</v>
      </c>
      <c r="I385" t="n">
        <v>0</v>
      </c>
      <c r="J385" t="n">
        <v>0</v>
      </c>
      <c r="K385" t="n">
        <v>0</v>
      </c>
      <c r="L385" t="n">
        <v>0</v>
      </c>
      <c r="M385" t="n">
        <v>0</v>
      </c>
      <c r="N385" t="n">
        <v>0</v>
      </c>
      <c r="O385" t="n">
        <v>0</v>
      </c>
      <c r="P385" t="n">
        <v>0</v>
      </c>
      <c r="Q385" t="n">
        <v>0</v>
      </c>
      <c r="R385" s="2" t="inlineStr"/>
    </row>
    <row r="386" ht="15" customHeight="1">
      <c r="A386" t="inlineStr">
        <is>
          <t>A 56853-2022</t>
        </is>
      </c>
      <c r="B386" s="1" t="n">
        <v>44894.49538194444</v>
      </c>
      <c r="C386" s="1" t="n">
        <v>46164</v>
      </c>
      <c r="D386" t="inlineStr">
        <is>
          <t>KALMAR LÄN</t>
        </is>
      </c>
      <c r="E386" t="inlineStr">
        <is>
          <t>VIMMERBY</t>
        </is>
      </c>
      <c r="G386" t="n">
        <v>4.3</v>
      </c>
      <c r="H386" t="n">
        <v>0</v>
      </c>
      <c r="I386" t="n">
        <v>0</v>
      </c>
      <c r="J386" t="n">
        <v>0</v>
      </c>
      <c r="K386" t="n">
        <v>0</v>
      </c>
      <c r="L386" t="n">
        <v>0</v>
      </c>
      <c r="M386" t="n">
        <v>0</v>
      </c>
      <c r="N386" t="n">
        <v>0</v>
      </c>
      <c r="O386" t="n">
        <v>0</v>
      </c>
      <c r="P386" t="n">
        <v>0</v>
      </c>
      <c r="Q386" t="n">
        <v>0</v>
      </c>
      <c r="R386" s="2" t="inlineStr"/>
    </row>
    <row r="387" ht="15" customHeight="1">
      <c r="A387" t="inlineStr">
        <is>
          <t>A 11152-2023</t>
        </is>
      </c>
      <c r="B387" s="1" t="n">
        <v>44992</v>
      </c>
      <c r="C387" s="1" t="n">
        <v>46164</v>
      </c>
      <c r="D387" t="inlineStr">
        <is>
          <t>KALMAR LÄN</t>
        </is>
      </c>
      <c r="E387" t="inlineStr">
        <is>
          <t>VIMMERBY</t>
        </is>
      </c>
      <c r="G387" t="n">
        <v>10.6</v>
      </c>
      <c r="H387" t="n">
        <v>0</v>
      </c>
      <c r="I387" t="n">
        <v>0</v>
      </c>
      <c r="J387" t="n">
        <v>0</v>
      </c>
      <c r="K387" t="n">
        <v>0</v>
      </c>
      <c r="L387" t="n">
        <v>0</v>
      </c>
      <c r="M387" t="n">
        <v>0</v>
      </c>
      <c r="N387" t="n">
        <v>0</v>
      </c>
      <c r="O387" t="n">
        <v>0</v>
      </c>
      <c r="P387" t="n">
        <v>0</v>
      </c>
      <c r="Q387" t="n">
        <v>0</v>
      </c>
      <c r="R387" s="2" t="inlineStr"/>
    </row>
    <row r="388" ht="15" customHeight="1">
      <c r="A388" t="inlineStr">
        <is>
          <t>A 35270-2025</t>
        </is>
      </c>
      <c r="B388" s="1" t="n">
        <v>45853.87112268519</v>
      </c>
      <c r="C388" s="1" t="n">
        <v>46164</v>
      </c>
      <c r="D388" t="inlineStr">
        <is>
          <t>KALMAR LÄN</t>
        </is>
      </c>
      <c r="E388" t="inlineStr">
        <is>
          <t>VIMMERBY</t>
        </is>
      </c>
      <c r="G388" t="n">
        <v>2.4</v>
      </c>
      <c r="H388" t="n">
        <v>0</v>
      </c>
      <c r="I388" t="n">
        <v>0</v>
      </c>
      <c r="J388" t="n">
        <v>0</v>
      </c>
      <c r="K388" t="n">
        <v>0</v>
      </c>
      <c r="L388" t="n">
        <v>0</v>
      </c>
      <c r="M388" t="n">
        <v>0</v>
      </c>
      <c r="N388" t="n">
        <v>0</v>
      </c>
      <c r="O388" t="n">
        <v>0</v>
      </c>
      <c r="P388" t="n">
        <v>0</v>
      </c>
      <c r="Q388" t="n">
        <v>0</v>
      </c>
      <c r="R388" s="2" t="inlineStr"/>
    </row>
    <row r="389" ht="15" customHeight="1">
      <c r="A389" t="inlineStr">
        <is>
          <t>A 15550-2023</t>
        </is>
      </c>
      <c r="B389" s="1" t="n">
        <v>45020</v>
      </c>
      <c r="C389" s="1" t="n">
        <v>46164</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35271-2025</t>
        </is>
      </c>
      <c r="B390" s="1" t="n">
        <v>45853.87599537037</v>
      </c>
      <c r="C390" s="1" t="n">
        <v>46164</v>
      </c>
      <c r="D390" t="inlineStr">
        <is>
          <t>KALMAR LÄN</t>
        </is>
      </c>
      <c r="E390" t="inlineStr">
        <is>
          <t>VIMMERBY</t>
        </is>
      </c>
      <c r="G390" t="n">
        <v>0.4</v>
      </c>
      <c r="H390" t="n">
        <v>0</v>
      </c>
      <c r="I390" t="n">
        <v>0</v>
      </c>
      <c r="J390" t="n">
        <v>0</v>
      </c>
      <c r="K390" t="n">
        <v>0</v>
      </c>
      <c r="L390" t="n">
        <v>0</v>
      </c>
      <c r="M390" t="n">
        <v>0</v>
      </c>
      <c r="N390" t="n">
        <v>0</v>
      </c>
      <c r="O390" t="n">
        <v>0</v>
      </c>
      <c r="P390" t="n">
        <v>0</v>
      </c>
      <c r="Q390" t="n">
        <v>0</v>
      </c>
      <c r="R390" s="2" t="inlineStr"/>
    </row>
    <row r="391" ht="15" customHeight="1">
      <c r="A391" t="inlineStr">
        <is>
          <t>A 35272-2025</t>
        </is>
      </c>
      <c r="B391" s="1" t="n">
        <v>45853.88070601852</v>
      </c>
      <c r="C391" s="1" t="n">
        <v>46164</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16953-2025</t>
        </is>
      </c>
      <c r="B392" s="1" t="n">
        <v>45755.44333333334</v>
      </c>
      <c r="C392" s="1" t="n">
        <v>46164</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8696-2026</t>
        </is>
      </c>
      <c r="B393" s="1" t="n">
        <v>46066.45273148148</v>
      </c>
      <c r="C393" s="1" t="n">
        <v>46164</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45854-2025</t>
        </is>
      </c>
      <c r="B394" s="1" t="n">
        <v>45923</v>
      </c>
      <c r="C394" s="1" t="n">
        <v>46164</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45855-2025</t>
        </is>
      </c>
      <c r="B395" s="1" t="n">
        <v>45923</v>
      </c>
      <c r="C395" s="1" t="n">
        <v>46164</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31355-2023</t>
        </is>
      </c>
      <c r="B396" s="1" t="n">
        <v>45114.49505787037</v>
      </c>
      <c r="C396" s="1" t="n">
        <v>46164</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18330-2023</t>
        </is>
      </c>
      <c r="B397" s="1" t="n">
        <v>45041</v>
      </c>
      <c r="C397" s="1" t="n">
        <v>46164</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46361-2025</t>
        </is>
      </c>
      <c r="B398" s="1" t="n">
        <v>45925.49670138889</v>
      </c>
      <c r="C398" s="1" t="n">
        <v>46164</v>
      </c>
      <c r="D398" t="inlineStr">
        <is>
          <t>KALMAR LÄN</t>
        </is>
      </c>
      <c r="E398" t="inlineStr">
        <is>
          <t>VIMMERBY</t>
        </is>
      </c>
      <c r="G398" t="n">
        <v>4.2</v>
      </c>
      <c r="H398" t="n">
        <v>0</v>
      </c>
      <c r="I398" t="n">
        <v>0</v>
      </c>
      <c r="J398" t="n">
        <v>0</v>
      </c>
      <c r="K398" t="n">
        <v>0</v>
      </c>
      <c r="L398" t="n">
        <v>0</v>
      </c>
      <c r="M398" t="n">
        <v>0</v>
      </c>
      <c r="N398" t="n">
        <v>0</v>
      </c>
      <c r="O398" t="n">
        <v>0</v>
      </c>
      <c r="P398" t="n">
        <v>0</v>
      </c>
      <c r="Q398" t="n">
        <v>0</v>
      </c>
      <c r="R398" s="2" t="inlineStr"/>
    </row>
    <row r="399" ht="15" customHeight="1">
      <c r="A399" t="inlineStr">
        <is>
          <t>A 46365-2025</t>
        </is>
      </c>
      <c r="B399" s="1" t="n">
        <v>45925.50075231482</v>
      </c>
      <c r="C399" s="1" t="n">
        <v>46164</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35597-2025</t>
        </is>
      </c>
      <c r="B400" s="1" t="n">
        <v>45858.66019675926</v>
      </c>
      <c r="C400" s="1" t="n">
        <v>46164</v>
      </c>
      <c r="D400" t="inlineStr">
        <is>
          <t>KALMAR LÄN</t>
        </is>
      </c>
      <c r="E400" t="inlineStr">
        <is>
          <t>VIMMERBY</t>
        </is>
      </c>
      <c r="G400" t="n">
        <v>6.4</v>
      </c>
      <c r="H400" t="n">
        <v>0</v>
      </c>
      <c r="I400" t="n">
        <v>0</v>
      </c>
      <c r="J400" t="n">
        <v>0</v>
      </c>
      <c r="K400" t="n">
        <v>0</v>
      </c>
      <c r="L400" t="n">
        <v>0</v>
      </c>
      <c r="M400" t="n">
        <v>0</v>
      </c>
      <c r="N400" t="n">
        <v>0</v>
      </c>
      <c r="O400" t="n">
        <v>0</v>
      </c>
      <c r="P400" t="n">
        <v>0</v>
      </c>
      <c r="Q400" t="n">
        <v>0</v>
      </c>
      <c r="R400" s="2" t="inlineStr"/>
    </row>
    <row r="401" ht="15" customHeight="1">
      <c r="A401" t="inlineStr">
        <is>
          <t>A 58100-2024</t>
        </is>
      </c>
      <c r="B401" s="1" t="n">
        <v>45632.36706018518</v>
      </c>
      <c r="C401" s="1" t="n">
        <v>46164</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27993-2022</t>
        </is>
      </c>
      <c r="B402" s="1" t="n">
        <v>44745.84396990741</v>
      </c>
      <c r="C402" s="1" t="n">
        <v>46164</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45856-2025</t>
        </is>
      </c>
      <c r="B403" s="1" t="n">
        <v>45923</v>
      </c>
      <c r="C403" s="1" t="n">
        <v>46164</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38969-2023</t>
        </is>
      </c>
      <c r="B404" s="1" t="n">
        <v>45163.63621527778</v>
      </c>
      <c r="C404" s="1" t="n">
        <v>46164</v>
      </c>
      <c r="D404" t="inlineStr">
        <is>
          <t>KALMAR LÄN</t>
        </is>
      </c>
      <c r="E404" t="inlineStr">
        <is>
          <t>VIMMERBY</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35596-2025</t>
        </is>
      </c>
      <c r="B405" s="1" t="n">
        <v>45858.60641203704</v>
      </c>
      <c r="C405" s="1" t="n">
        <v>46164</v>
      </c>
      <c r="D405" t="inlineStr">
        <is>
          <t>KALMAR LÄN</t>
        </is>
      </c>
      <c r="E405" t="inlineStr">
        <is>
          <t>VIMMERBY</t>
        </is>
      </c>
      <c r="G405" t="n">
        <v>2.8</v>
      </c>
      <c r="H405" t="n">
        <v>0</v>
      </c>
      <c r="I405" t="n">
        <v>0</v>
      </c>
      <c r="J405" t="n">
        <v>0</v>
      </c>
      <c r="K405" t="n">
        <v>0</v>
      </c>
      <c r="L405" t="n">
        <v>0</v>
      </c>
      <c r="M405" t="n">
        <v>0</v>
      </c>
      <c r="N405" t="n">
        <v>0</v>
      </c>
      <c r="O405" t="n">
        <v>0</v>
      </c>
      <c r="P405" t="n">
        <v>0</v>
      </c>
      <c r="Q405" t="n">
        <v>0</v>
      </c>
      <c r="R405" s="2" t="inlineStr"/>
    </row>
    <row r="406" ht="15" customHeight="1">
      <c r="A406" t="inlineStr">
        <is>
          <t>A 53752-2024</t>
        </is>
      </c>
      <c r="B406" s="1" t="n">
        <v>45615.48927083334</v>
      </c>
      <c r="C406" s="1" t="n">
        <v>46164</v>
      </c>
      <c r="D406" t="inlineStr">
        <is>
          <t>KALMAR LÄN</t>
        </is>
      </c>
      <c r="E406" t="inlineStr">
        <is>
          <t>VIMMERBY</t>
        </is>
      </c>
      <c r="G406" t="n">
        <v>2.4</v>
      </c>
      <c r="H406" t="n">
        <v>0</v>
      </c>
      <c r="I406" t="n">
        <v>0</v>
      </c>
      <c r="J406" t="n">
        <v>0</v>
      </c>
      <c r="K406" t="n">
        <v>0</v>
      </c>
      <c r="L406" t="n">
        <v>0</v>
      </c>
      <c r="M406" t="n">
        <v>0</v>
      </c>
      <c r="N406" t="n">
        <v>0</v>
      </c>
      <c r="O406" t="n">
        <v>0</v>
      </c>
      <c r="P406" t="n">
        <v>0</v>
      </c>
      <c r="Q406" t="n">
        <v>0</v>
      </c>
      <c r="R406" s="2" t="inlineStr"/>
    </row>
    <row r="407" ht="15" customHeight="1">
      <c r="A407" t="inlineStr">
        <is>
          <t>A 46887-2025</t>
        </is>
      </c>
      <c r="B407" s="1" t="n">
        <v>45929.3672337963</v>
      </c>
      <c r="C407" s="1" t="n">
        <v>46164</v>
      </c>
      <c r="D407" t="inlineStr">
        <is>
          <t>KALMAR LÄN</t>
        </is>
      </c>
      <c r="E407" t="inlineStr">
        <is>
          <t>VIMMERBY</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47227-2025</t>
        </is>
      </c>
      <c r="B408" s="1" t="n">
        <v>45930.39769675926</v>
      </c>
      <c r="C408" s="1" t="n">
        <v>46164</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19502-2025</t>
        </is>
      </c>
      <c r="B409" s="1" t="n">
        <v>45769</v>
      </c>
      <c r="C409" s="1" t="n">
        <v>46164</v>
      </c>
      <c r="D409" t="inlineStr">
        <is>
          <t>KALMAR LÄN</t>
        </is>
      </c>
      <c r="E409" t="inlineStr">
        <is>
          <t>VIMMERBY</t>
        </is>
      </c>
      <c r="G409" t="n">
        <v>1.9</v>
      </c>
      <c r="H409" t="n">
        <v>0</v>
      </c>
      <c r="I409" t="n">
        <v>0</v>
      </c>
      <c r="J409" t="n">
        <v>0</v>
      </c>
      <c r="K409" t="n">
        <v>0</v>
      </c>
      <c r="L409" t="n">
        <v>0</v>
      </c>
      <c r="M409" t="n">
        <v>0</v>
      </c>
      <c r="N409" t="n">
        <v>0</v>
      </c>
      <c r="O409" t="n">
        <v>0</v>
      </c>
      <c r="P409" t="n">
        <v>0</v>
      </c>
      <c r="Q409" t="n">
        <v>0</v>
      </c>
      <c r="R409" s="2" t="inlineStr"/>
    </row>
    <row r="410" ht="15" customHeight="1">
      <c r="A410" t="inlineStr">
        <is>
          <t>A 58728-2024</t>
        </is>
      </c>
      <c r="B410" s="1" t="n">
        <v>45635.66695601852</v>
      </c>
      <c r="C410" s="1" t="n">
        <v>46164</v>
      </c>
      <c r="D410" t="inlineStr">
        <is>
          <t>KALMAR LÄN</t>
        </is>
      </c>
      <c r="E410" t="inlineStr">
        <is>
          <t>VIMMERBY</t>
        </is>
      </c>
      <c r="G410" t="n">
        <v>0.4</v>
      </c>
      <c r="H410" t="n">
        <v>0</v>
      </c>
      <c r="I410" t="n">
        <v>0</v>
      </c>
      <c r="J410" t="n">
        <v>0</v>
      </c>
      <c r="K410" t="n">
        <v>0</v>
      </c>
      <c r="L410" t="n">
        <v>0</v>
      </c>
      <c r="M410" t="n">
        <v>0</v>
      </c>
      <c r="N410" t="n">
        <v>0</v>
      </c>
      <c r="O410" t="n">
        <v>0</v>
      </c>
      <c r="P410" t="n">
        <v>0</v>
      </c>
      <c r="Q410" t="n">
        <v>0</v>
      </c>
      <c r="R410" s="2" t="inlineStr"/>
    </row>
    <row r="411" ht="15" customHeight="1">
      <c r="A411" t="inlineStr">
        <is>
          <t>A 43242-2024</t>
        </is>
      </c>
      <c r="B411" s="1" t="n">
        <v>45568.30189814815</v>
      </c>
      <c r="C411" s="1" t="n">
        <v>46164</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16983-2023</t>
        </is>
      </c>
      <c r="B412" s="1" t="n">
        <v>45033.76043981482</v>
      </c>
      <c r="C412" s="1" t="n">
        <v>46164</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6405-2025</t>
        </is>
      </c>
      <c r="B413" s="1" t="n">
        <v>45699.45392361111</v>
      </c>
      <c r="C413" s="1" t="n">
        <v>46164</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36843-2023</t>
        </is>
      </c>
      <c r="B414" s="1" t="n">
        <v>45154.49831018518</v>
      </c>
      <c r="C414" s="1" t="n">
        <v>46164</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36273-2025</t>
        </is>
      </c>
      <c r="B415" s="1" t="n">
        <v>45867.63094907408</v>
      </c>
      <c r="C415" s="1" t="n">
        <v>46164</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57486-2024</t>
        </is>
      </c>
      <c r="B416" s="1" t="n">
        <v>45630.35827546296</v>
      </c>
      <c r="C416" s="1" t="n">
        <v>46164</v>
      </c>
      <c r="D416" t="inlineStr">
        <is>
          <t>KALMAR LÄN</t>
        </is>
      </c>
      <c r="E416" t="inlineStr">
        <is>
          <t>VIMMERBY</t>
        </is>
      </c>
      <c r="G416" t="n">
        <v>0.4</v>
      </c>
      <c r="H416" t="n">
        <v>0</v>
      </c>
      <c r="I416" t="n">
        <v>0</v>
      </c>
      <c r="J416" t="n">
        <v>0</v>
      </c>
      <c r="K416" t="n">
        <v>0</v>
      </c>
      <c r="L416" t="n">
        <v>0</v>
      </c>
      <c r="M416" t="n">
        <v>0</v>
      </c>
      <c r="N416" t="n">
        <v>0</v>
      </c>
      <c r="O416" t="n">
        <v>0</v>
      </c>
      <c r="P416" t="n">
        <v>0</v>
      </c>
      <c r="Q416" t="n">
        <v>0</v>
      </c>
      <c r="R416" s="2" t="inlineStr"/>
    </row>
    <row r="417" ht="15" customHeight="1">
      <c r="A417" t="inlineStr">
        <is>
          <t>A 36299-2025</t>
        </is>
      </c>
      <c r="B417" s="1" t="n">
        <v>45867.69346064814</v>
      </c>
      <c r="C417" s="1" t="n">
        <v>46164</v>
      </c>
      <c r="D417" t="inlineStr">
        <is>
          <t>KALMAR LÄN</t>
        </is>
      </c>
      <c r="E417" t="inlineStr">
        <is>
          <t>VIMMERBY</t>
        </is>
      </c>
      <c r="G417" t="n">
        <v>7.6</v>
      </c>
      <c r="H417" t="n">
        <v>0</v>
      </c>
      <c r="I417" t="n">
        <v>0</v>
      </c>
      <c r="J417" t="n">
        <v>0</v>
      </c>
      <c r="K417" t="n">
        <v>0</v>
      </c>
      <c r="L417" t="n">
        <v>0</v>
      </c>
      <c r="M417" t="n">
        <v>0</v>
      </c>
      <c r="N417" t="n">
        <v>0</v>
      </c>
      <c r="O417" t="n">
        <v>0</v>
      </c>
      <c r="P417" t="n">
        <v>0</v>
      </c>
      <c r="Q417" t="n">
        <v>0</v>
      </c>
      <c r="R417" s="2" t="inlineStr"/>
    </row>
    <row r="418" ht="15" customHeight="1">
      <c r="A418" t="inlineStr">
        <is>
          <t>A 36221-2025</t>
        </is>
      </c>
      <c r="B418" s="1" t="n">
        <v>45867.50792824074</v>
      </c>
      <c r="C418" s="1" t="n">
        <v>46164</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36226-2025</t>
        </is>
      </c>
      <c r="B419" s="1" t="n">
        <v>45867.51630787037</v>
      </c>
      <c r="C419" s="1" t="n">
        <v>46164</v>
      </c>
      <c r="D419" t="inlineStr">
        <is>
          <t>KALMAR LÄN</t>
        </is>
      </c>
      <c r="E419" t="inlineStr">
        <is>
          <t>VIMMERBY</t>
        </is>
      </c>
      <c r="G419" t="n">
        <v>3.1</v>
      </c>
      <c r="H419" t="n">
        <v>0</v>
      </c>
      <c r="I419" t="n">
        <v>0</v>
      </c>
      <c r="J419" t="n">
        <v>0</v>
      </c>
      <c r="K419" t="n">
        <v>0</v>
      </c>
      <c r="L419" t="n">
        <v>0</v>
      </c>
      <c r="M419" t="n">
        <v>0</v>
      </c>
      <c r="N419" t="n">
        <v>0</v>
      </c>
      <c r="O419" t="n">
        <v>0</v>
      </c>
      <c r="P419" t="n">
        <v>0</v>
      </c>
      <c r="Q419" t="n">
        <v>0</v>
      </c>
      <c r="R419" s="2" t="inlineStr"/>
    </row>
    <row r="420" ht="15" customHeight="1">
      <c r="A420" t="inlineStr">
        <is>
          <t>A 8595-2026</t>
        </is>
      </c>
      <c r="B420" s="1" t="n">
        <v>46065.7372337963</v>
      </c>
      <c r="C420" s="1" t="n">
        <v>46164</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36297-2025</t>
        </is>
      </c>
      <c r="B421" s="1" t="n">
        <v>45867.68625</v>
      </c>
      <c r="C421" s="1" t="n">
        <v>46164</v>
      </c>
      <c r="D421" t="inlineStr">
        <is>
          <t>KALMAR LÄN</t>
        </is>
      </c>
      <c r="E421" t="inlineStr">
        <is>
          <t>VIMMERBY</t>
        </is>
      </c>
      <c r="G421" t="n">
        <v>4.9</v>
      </c>
      <c r="H421" t="n">
        <v>0</v>
      </c>
      <c r="I421" t="n">
        <v>0</v>
      </c>
      <c r="J421" t="n">
        <v>0</v>
      </c>
      <c r="K421" t="n">
        <v>0</v>
      </c>
      <c r="L421" t="n">
        <v>0</v>
      </c>
      <c r="M421" t="n">
        <v>0</v>
      </c>
      <c r="N421" t="n">
        <v>0</v>
      </c>
      <c r="O421" t="n">
        <v>0</v>
      </c>
      <c r="P421" t="n">
        <v>0</v>
      </c>
      <c r="Q421" t="n">
        <v>0</v>
      </c>
      <c r="R421" s="2" t="inlineStr"/>
    </row>
    <row r="422" ht="15" customHeight="1">
      <c r="A422" t="inlineStr">
        <is>
          <t>A 36246-2025</t>
        </is>
      </c>
      <c r="B422" s="1" t="n">
        <v>45867.56320601852</v>
      </c>
      <c r="C422" s="1" t="n">
        <v>46164</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36282-2025</t>
        </is>
      </c>
      <c r="B423" s="1" t="n">
        <v>45867.64663194444</v>
      </c>
      <c r="C423" s="1" t="n">
        <v>46164</v>
      </c>
      <c r="D423" t="inlineStr">
        <is>
          <t>KALMAR LÄN</t>
        </is>
      </c>
      <c r="E423" t="inlineStr">
        <is>
          <t>VIMMERBY</t>
        </is>
      </c>
      <c r="G423" t="n">
        <v>1.4</v>
      </c>
      <c r="H423" t="n">
        <v>0</v>
      </c>
      <c r="I423" t="n">
        <v>0</v>
      </c>
      <c r="J423" t="n">
        <v>0</v>
      </c>
      <c r="K423" t="n">
        <v>0</v>
      </c>
      <c r="L423" t="n">
        <v>0</v>
      </c>
      <c r="M423" t="n">
        <v>0</v>
      </c>
      <c r="N423" t="n">
        <v>0</v>
      </c>
      <c r="O423" t="n">
        <v>0</v>
      </c>
      <c r="P423" t="n">
        <v>0</v>
      </c>
      <c r="Q423" t="n">
        <v>0</v>
      </c>
      <c r="R423" s="2" t="inlineStr"/>
    </row>
    <row r="424" ht="15" customHeight="1">
      <c r="A424" t="inlineStr">
        <is>
          <t>A 36538-2025</t>
        </is>
      </c>
      <c r="B424" s="1" t="n">
        <v>45869.62276620371</v>
      </c>
      <c r="C424" s="1" t="n">
        <v>46164</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47965-2025</t>
        </is>
      </c>
      <c r="B425" s="1" t="n">
        <v>45932.59597222223</v>
      </c>
      <c r="C425" s="1" t="n">
        <v>46164</v>
      </c>
      <c r="D425" t="inlineStr">
        <is>
          <t>KALMAR LÄN</t>
        </is>
      </c>
      <c r="E425" t="inlineStr">
        <is>
          <t>VIMMERBY</t>
        </is>
      </c>
      <c r="G425" t="n">
        <v>2.2</v>
      </c>
      <c r="H425" t="n">
        <v>0</v>
      </c>
      <c r="I425" t="n">
        <v>0</v>
      </c>
      <c r="J425" t="n">
        <v>0</v>
      </c>
      <c r="K425" t="n">
        <v>0</v>
      </c>
      <c r="L425" t="n">
        <v>0</v>
      </c>
      <c r="M425" t="n">
        <v>0</v>
      </c>
      <c r="N425" t="n">
        <v>0</v>
      </c>
      <c r="O425" t="n">
        <v>0</v>
      </c>
      <c r="P425" t="n">
        <v>0</v>
      </c>
      <c r="Q425" t="n">
        <v>0</v>
      </c>
      <c r="R425" s="2" t="inlineStr"/>
    </row>
    <row r="426" ht="15" customHeight="1">
      <c r="A426" t="inlineStr">
        <is>
          <t>A 44423-2023</t>
        </is>
      </c>
      <c r="B426" s="1" t="n">
        <v>45189</v>
      </c>
      <c r="C426" s="1" t="n">
        <v>46164</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36598-2025</t>
        </is>
      </c>
      <c r="B427" s="1" t="n">
        <v>45870.51708333333</v>
      </c>
      <c r="C427" s="1" t="n">
        <v>46164</v>
      </c>
      <c r="D427" t="inlineStr">
        <is>
          <t>KALMAR LÄN</t>
        </is>
      </c>
      <c r="E427" t="inlineStr">
        <is>
          <t>VIMMERBY</t>
        </is>
      </c>
      <c r="G427" t="n">
        <v>3.7</v>
      </c>
      <c r="H427" t="n">
        <v>0</v>
      </c>
      <c r="I427" t="n">
        <v>0</v>
      </c>
      <c r="J427" t="n">
        <v>0</v>
      </c>
      <c r="K427" t="n">
        <v>0</v>
      </c>
      <c r="L427" t="n">
        <v>0</v>
      </c>
      <c r="M427" t="n">
        <v>0</v>
      </c>
      <c r="N427" t="n">
        <v>0</v>
      </c>
      <c r="O427" t="n">
        <v>0</v>
      </c>
      <c r="P427" t="n">
        <v>0</v>
      </c>
      <c r="Q427" t="n">
        <v>0</v>
      </c>
      <c r="R427" s="2" t="inlineStr"/>
    </row>
    <row r="428" ht="15" customHeight="1">
      <c r="A428" t="inlineStr">
        <is>
          <t>A 36602-2025</t>
        </is>
      </c>
      <c r="B428" s="1" t="n">
        <v>45870.52111111111</v>
      </c>
      <c r="C428" s="1" t="n">
        <v>46164</v>
      </c>
      <c r="D428" t="inlineStr">
        <is>
          <t>KALMAR LÄN</t>
        </is>
      </c>
      <c r="E428" t="inlineStr">
        <is>
          <t>VIMMERBY</t>
        </is>
      </c>
      <c r="G428" t="n">
        <v>0.6</v>
      </c>
      <c r="H428" t="n">
        <v>0</v>
      </c>
      <c r="I428" t="n">
        <v>0</v>
      </c>
      <c r="J428" t="n">
        <v>0</v>
      </c>
      <c r="K428" t="n">
        <v>0</v>
      </c>
      <c r="L428" t="n">
        <v>0</v>
      </c>
      <c r="M428" t="n">
        <v>0</v>
      </c>
      <c r="N428" t="n">
        <v>0</v>
      </c>
      <c r="O428" t="n">
        <v>0</v>
      </c>
      <c r="P428" t="n">
        <v>0</v>
      </c>
      <c r="Q428" t="n">
        <v>0</v>
      </c>
      <c r="R428" s="2" t="inlineStr"/>
    </row>
    <row r="429" ht="15" customHeight="1">
      <c r="A429" t="inlineStr">
        <is>
          <t>A 20-2025</t>
        </is>
      </c>
      <c r="B429" s="1" t="n">
        <v>45658.80232638889</v>
      </c>
      <c r="C429" s="1" t="n">
        <v>46164</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23-2025</t>
        </is>
      </c>
      <c r="B430" s="1" t="n">
        <v>45658.80827546296</v>
      </c>
      <c r="C430" s="1" t="n">
        <v>46164</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21496-2023</t>
        </is>
      </c>
      <c r="B431" s="1" t="n">
        <v>45063.49936342592</v>
      </c>
      <c r="C431" s="1" t="n">
        <v>46164</v>
      </c>
      <c r="D431" t="inlineStr">
        <is>
          <t>KALMAR LÄN</t>
        </is>
      </c>
      <c r="E431" t="inlineStr">
        <is>
          <t>VIMMERBY</t>
        </is>
      </c>
      <c r="G431" t="n">
        <v>1.1</v>
      </c>
      <c r="H431" t="n">
        <v>0</v>
      </c>
      <c r="I431" t="n">
        <v>0</v>
      </c>
      <c r="J431" t="n">
        <v>0</v>
      </c>
      <c r="K431" t="n">
        <v>0</v>
      </c>
      <c r="L431" t="n">
        <v>0</v>
      </c>
      <c r="M431" t="n">
        <v>0</v>
      </c>
      <c r="N431" t="n">
        <v>0</v>
      </c>
      <c r="O431" t="n">
        <v>0</v>
      </c>
      <c r="P431" t="n">
        <v>0</v>
      </c>
      <c r="Q431" t="n">
        <v>0</v>
      </c>
      <c r="R431" s="2" t="inlineStr"/>
    </row>
    <row r="432" ht="15" customHeight="1">
      <c r="A432" t="inlineStr">
        <is>
          <t>A 36600-2025</t>
        </is>
      </c>
      <c r="B432" s="1" t="n">
        <v>45870.51958333333</v>
      </c>
      <c r="C432" s="1" t="n">
        <v>46164</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36601-2025</t>
        </is>
      </c>
      <c r="B433" s="1" t="n">
        <v>45870.52005787037</v>
      </c>
      <c r="C433" s="1" t="n">
        <v>46164</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36603-2025</t>
        </is>
      </c>
      <c r="B434" s="1" t="n">
        <v>45870.52142361111</v>
      </c>
      <c r="C434" s="1" t="n">
        <v>46164</v>
      </c>
      <c r="D434" t="inlineStr">
        <is>
          <t>KALMAR LÄN</t>
        </is>
      </c>
      <c r="E434" t="inlineStr">
        <is>
          <t>VIMMERBY</t>
        </is>
      </c>
      <c r="G434" t="n">
        <v>1.6</v>
      </c>
      <c r="H434" t="n">
        <v>0</v>
      </c>
      <c r="I434" t="n">
        <v>0</v>
      </c>
      <c r="J434" t="n">
        <v>0</v>
      </c>
      <c r="K434" t="n">
        <v>0</v>
      </c>
      <c r="L434" t="n">
        <v>0</v>
      </c>
      <c r="M434" t="n">
        <v>0</v>
      </c>
      <c r="N434" t="n">
        <v>0</v>
      </c>
      <c r="O434" t="n">
        <v>0</v>
      </c>
      <c r="P434" t="n">
        <v>0</v>
      </c>
      <c r="Q434" t="n">
        <v>0</v>
      </c>
      <c r="R434" s="2" t="inlineStr"/>
    </row>
    <row r="435" ht="15" customHeight="1">
      <c r="A435" t="inlineStr">
        <is>
          <t>A 31056-2022</t>
        </is>
      </c>
      <c r="B435" s="1" t="n">
        <v>44769.45805555556</v>
      </c>
      <c r="C435" s="1" t="n">
        <v>46164</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72701-2021</t>
        </is>
      </c>
      <c r="B436" s="1" t="n">
        <v>44546</v>
      </c>
      <c r="C436" s="1" t="n">
        <v>46164</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52294-2023</t>
        </is>
      </c>
      <c r="B437" s="1" t="n">
        <v>45224.60075231481</v>
      </c>
      <c r="C437" s="1" t="n">
        <v>46164</v>
      </c>
      <c r="D437" t="inlineStr">
        <is>
          <t>KALMAR LÄN</t>
        </is>
      </c>
      <c r="E437" t="inlineStr">
        <is>
          <t>VIMMERBY</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61355-2024</t>
        </is>
      </c>
      <c r="B438" s="1" t="n">
        <v>45646.38200231481</v>
      </c>
      <c r="C438" s="1" t="n">
        <v>46164</v>
      </c>
      <c r="D438" t="inlineStr">
        <is>
          <t>KALMAR LÄN</t>
        </is>
      </c>
      <c r="E438" t="inlineStr">
        <is>
          <t>VIMMERBY</t>
        </is>
      </c>
      <c r="G438" t="n">
        <v>2.7</v>
      </c>
      <c r="H438" t="n">
        <v>0</v>
      </c>
      <c r="I438" t="n">
        <v>0</v>
      </c>
      <c r="J438" t="n">
        <v>0</v>
      </c>
      <c r="K438" t="n">
        <v>0</v>
      </c>
      <c r="L438" t="n">
        <v>0</v>
      </c>
      <c r="M438" t="n">
        <v>0</v>
      </c>
      <c r="N438" t="n">
        <v>0</v>
      </c>
      <c r="O438" t="n">
        <v>0</v>
      </c>
      <c r="P438" t="n">
        <v>0</v>
      </c>
      <c r="Q438" t="n">
        <v>0</v>
      </c>
      <c r="R438" s="2" t="inlineStr"/>
    </row>
    <row r="439" ht="15" customHeight="1">
      <c r="A439" t="inlineStr">
        <is>
          <t>A 47955-2025</t>
        </is>
      </c>
      <c r="B439" s="1" t="n">
        <v>45932.58896990741</v>
      </c>
      <c r="C439" s="1" t="n">
        <v>46164</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48299-2025</t>
        </is>
      </c>
      <c r="B440" s="1" t="n">
        <v>45933.60982638889</v>
      </c>
      <c r="C440" s="1" t="n">
        <v>46164</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33374-2021</t>
        </is>
      </c>
      <c r="B441" s="1" t="n">
        <v>44377</v>
      </c>
      <c r="C441" s="1" t="n">
        <v>46164</v>
      </c>
      <c r="D441" t="inlineStr">
        <is>
          <t>KALMAR LÄN</t>
        </is>
      </c>
      <c r="E441" t="inlineStr">
        <is>
          <t>VIMMERBY</t>
        </is>
      </c>
      <c r="G441" t="n">
        <v>3.3</v>
      </c>
      <c r="H441" t="n">
        <v>0</v>
      </c>
      <c r="I441" t="n">
        <v>0</v>
      </c>
      <c r="J441" t="n">
        <v>0</v>
      </c>
      <c r="K441" t="n">
        <v>0</v>
      </c>
      <c r="L441" t="n">
        <v>0</v>
      </c>
      <c r="M441" t="n">
        <v>0</v>
      </c>
      <c r="N441" t="n">
        <v>0</v>
      </c>
      <c r="O441" t="n">
        <v>0</v>
      </c>
      <c r="P441" t="n">
        <v>0</v>
      </c>
      <c r="Q441" t="n">
        <v>0</v>
      </c>
      <c r="R441" s="2" t="inlineStr"/>
    </row>
    <row r="442" ht="15" customHeight="1">
      <c r="A442" t="inlineStr">
        <is>
          <t>A 10759-2023</t>
        </is>
      </c>
      <c r="B442" s="1" t="n">
        <v>44988</v>
      </c>
      <c r="C442" s="1" t="n">
        <v>46164</v>
      </c>
      <c r="D442" t="inlineStr">
        <is>
          <t>KALMAR LÄN</t>
        </is>
      </c>
      <c r="E442" t="inlineStr">
        <is>
          <t>VIMMERBY</t>
        </is>
      </c>
      <c r="G442" t="n">
        <v>0.4</v>
      </c>
      <c r="H442" t="n">
        <v>0</v>
      </c>
      <c r="I442" t="n">
        <v>0</v>
      </c>
      <c r="J442" t="n">
        <v>0</v>
      </c>
      <c r="K442" t="n">
        <v>0</v>
      </c>
      <c r="L442" t="n">
        <v>0</v>
      </c>
      <c r="M442" t="n">
        <v>0</v>
      </c>
      <c r="N442" t="n">
        <v>0</v>
      </c>
      <c r="O442" t="n">
        <v>0</v>
      </c>
      <c r="P442" t="n">
        <v>0</v>
      </c>
      <c r="Q442" t="n">
        <v>0</v>
      </c>
      <c r="R442" s="2" t="inlineStr"/>
    </row>
    <row r="443" ht="15" customHeight="1">
      <c r="A443" t="inlineStr">
        <is>
          <t>A 18899-2025</t>
        </is>
      </c>
      <c r="B443" s="1" t="n">
        <v>45764.44931712963</v>
      </c>
      <c r="C443" s="1" t="n">
        <v>46164</v>
      </c>
      <c r="D443" t="inlineStr">
        <is>
          <t>KALMAR LÄN</t>
        </is>
      </c>
      <c r="E443" t="inlineStr">
        <is>
          <t>VIMMERBY</t>
        </is>
      </c>
      <c r="F443" t="inlineStr">
        <is>
          <t>Kommuner</t>
        </is>
      </c>
      <c r="G443" t="n">
        <v>4</v>
      </c>
      <c r="H443" t="n">
        <v>0</v>
      </c>
      <c r="I443" t="n">
        <v>0</v>
      </c>
      <c r="J443" t="n">
        <v>0</v>
      </c>
      <c r="K443" t="n">
        <v>0</v>
      </c>
      <c r="L443" t="n">
        <v>0</v>
      </c>
      <c r="M443" t="n">
        <v>0</v>
      </c>
      <c r="N443" t="n">
        <v>0</v>
      </c>
      <c r="O443" t="n">
        <v>0</v>
      </c>
      <c r="P443" t="n">
        <v>0</v>
      </c>
      <c r="Q443" t="n">
        <v>0</v>
      </c>
      <c r="R443" s="2" t="inlineStr"/>
    </row>
    <row r="444" ht="15" customHeight="1">
      <c r="A444" t="inlineStr">
        <is>
          <t>A 48723-2025</t>
        </is>
      </c>
      <c r="B444" s="1" t="n">
        <v>45936.65121527778</v>
      </c>
      <c r="C444" s="1" t="n">
        <v>46164</v>
      </c>
      <c r="D444" t="inlineStr">
        <is>
          <t>KALMAR LÄN</t>
        </is>
      </c>
      <c r="E444" t="inlineStr">
        <is>
          <t>VIMMERBY</t>
        </is>
      </c>
      <c r="G444" t="n">
        <v>3</v>
      </c>
      <c r="H444" t="n">
        <v>0</v>
      </c>
      <c r="I444" t="n">
        <v>0</v>
      </c>
      <c r="J444" t="n">
        <v>0</v>
      </c>
      <c r="K444" t="n">
        <v>0</v>
      </c>
      <c r="L444" t="n">
        <v>0</v>
      </c>
      <c r="M444" t="n">
        <v>0</v>
      </c>
      <c r="N444" t="n">
        <v>0</v>
      </c>
      <c r="O444" t="n">
        <v>0</v>
      </c>
      <c r="P444" t="n">
        <v>0</v>
      </c>
      <c r="Q444" t="n">
        <v>0</v>
      </c>
      <c r="R444" s="2" t="inlineStr"/>
    </row>
    <row r="445" ht="15" customHeight="1">
      <c r="A445" t="inlineStr">
        <is>
          <t>A 36934-2025</t>
        </is>
      </c>
      <c r="B445" s="1" t="n">
        <v>45874.57109953704</v>
      </c>
      <c r="C445" s="1" t="n">
        <v>46164</v>
      </c>
      <c r="D445" t="inlineStr">
        <is>
          <t>KALMAR LÄN</t>
        </is>
      </c>
      <c r="E445" t="inlineStr">
        <is>
          <t>VIMMERBY</t>
        </is>
      </c>
      <c r="G445" t="n">
        <v>4.2</v>
      </c>
      <c r="H445" t="n">
        <v>0</v>
      </c>
      <c r="I445" t="n">
        <v>0</v>
      </c>
      <c r="J445" t="n">
        <v>0</v>
      </c>
      <c r="K445" t="n">
        <v>0</v>
      </c>
      <c r="L445" t="n">
        <v>0</v>
      </c>
      <c r="M445" t="n">
        <v>0</v>
      </c>
      <c r="N445" t="n">
        <v>0</v>
      </c>
      <c r="O445" t="n">
        <v>0</v>
      </c>
      <c r="P445" t="n">
        <v>0</v>
      </c>
      <c r="Q445" t="n">
        <v>0</v>
      </c>
      <c r="R445" s="2" t="inlineStr"/>
    </row>
    <row r="446" ht="15" customHeight="1">
      <c r="A446" t="inlineStr">
        <is>
          <t>A 48600-2025</t>
        </is>
      </c>
      <c r="B446" s="1" t="n">
        <v>45935</v>
      </c>
      <c r="C446" s="1" t="n">
        <v>46164</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37088-2025</t>
        </is>
      </c>
      <c r="B447" s="1" t="n">
        <v>45875.45716435185</v>
      </c>
      <c r="C447" s="1" t="n">
        <v>46164</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37102-2025</t>
        </is>
      </c>
      <c r="B448" s="1" t="n">
        <v>45875.47454861111</v>
      </c>
      <c r="C448" s="1" t="n">
        <v>46164</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48408-2025</t>
        </is>
      </c>
      <c r="B449" s="1" t="n">
        <v>45934.40527777778</v>
      </c>
      <c r="C449" s="1" t="n">
        <v>46164</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48409-2025</t>
        </is>
      </c>
      <c r="B450" s="1" t="n">
        <v>45934.41387731482</v>
      </c>
      <c r="C450" s="1" t="n">
        <v>46164</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32614-2023</t>
        </is>
      </c>
      <c r="B451" s="1" t="n">
        <v>45121</v>
      </c>
      <c r="C451" s="1" t="n">
        <v>46164</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48712-2025</t>
        </is>
      </c>
      <c r="B452" s="1" t="n">
        <v>45936.63373842592</v>
      </c>
      <c r="C452" s="1" t="n">
        <v>46164</v>
      </c>
      <c r="D452" t="inlineStr">
        <is>
          <t>KALMAR LÄN</t>
        </is>
      </c>
      <c r="E452" t="inlineStr">
        <is>
          <t>VIMMERBY</t>
        </is>
      </c>
      <c r="G452" t="n">
        <v>3</v>
      </c>
      <c r="H452" t="n">
        <v>0</v>
      </c>
      <c r="I452" t="n">
        <v>0</v>
      </c>
      <c r="J452" t="n">
        <v>0</v>
      </c>
      <c r="K452" t="n">
        <v>0</v>
      </c>
      <c r="L452" t="n">
        <v>0</v>
      </c>
      <c r="M452" t="n">
        <v>0</v>
      </c>
      <c r="N452" t="n">
        <v>0</v>
      </c>
      <c r="O452" t="n">
        <v>0</v>
      </c>
      <c r="P452" t="n">
        <v>0</v>
      </c>
      <c r="Q452" t="n">
        <v>0</v>
      </c>
      <c r="R452" s="2" t="inlineStr"/>
    </row>
    <row r="453" ht="15" customHeight="1">
      <c r="A453" t="inlineStr">
        <is>
          <t>A 61939-2021</t>
        </is>
      </c>
      <c r="B453" s="1" t="n">
        <v>44502</v>
      </c>
      <c r="C453" s="1" t="n">
        <v>46164</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37079-2025</t>
        </is>
      </c>
      <c r="B454" s="1" t="n">
        <v>45875.42716435185</v>
      </c>
      <c r="C454" s="1" t="n">
        <v>46164</v>
      </c>
      <c r="D454" t="inlineStr">
        <is>
          <t>KALMAR LÄN</t>
        </is>
      </c>
      <c r="E454" t="inlineStr">
        <is>
          <t>VIMMERBY</t>
        </is>
      </c>
      <c r="G454" t="n">
        <v>0.8</v>
      </c>
      <c r="H454" t="n">
        <v>0</v>
      </c>
      <c r="I454" t="n">
        <v>0</v>
      </c>
      <c r="J454" t="n">
        <v>0</v>
      </c>
      <c r="K454" t="n">
        <v>0</v>
      </c>
      <c r="L454" t="n">
        <v>0</v>
      </c>
      <c r="M454" t="n">
        <v>0</v>
      </c>
      <c r="N454" t="n">
        <v>0</v>
      </c>
      <c r="O454" t="n">
        <v>0</v>
      </c>
      <c r="P454" t="n">
        <v>0</v>
      </c>
      <c r="Q454" t="n">
        <v>0</v>
      </c>
      <c r="R454" s="2" t="inlineStr"/>
    </row>
    <row r="455" ht="15" customHeight="1">
      <c r="A455" t="inlineStr">
        <is>
          <t>A 37668-2025</t>
        </is>
      </c>
      <c r="B455" s="1" t="n">
        <v>45880.51550925926</v>
      </c>
      <c r="C455" s="1" t="n">
        <v>46164</v>
      </c>
      <c r="D455" t="inlineStr">
        <is>
          <t>KALMAR LÄN</t>
        </is>
      </c>
      <c r="E455" t="inlineStr">
        <is>
          <t>VIMMERBY</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37578-2025</t>
        </is>
      </c>
      <c r="B456" s="1" t="n">
        <v>45880.38380787037</v>
      </c>
      <c r="C456" s="1" t="n">
        <v>46164</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6218-2025</t>
        </is>
      </c>
      <c r="B457" s="1" t="n">
        <v>45698.53336805556</v>
      </c>
      <c r="C457" s="1" t="n">
        <v>46164</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40076-2021</t>
        </is>
      </c>
      <c r="B458" s="1" t="n">
        <v>44418</v>
      </c>
      <c r="C458" s="1" t="n">
        <v>46164</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37866-2025</t>
        </is>
      </c>
      <c r="B459" s="1" t="n">
        <v>45881</v>
      </c>
      <c r="C459" s="1" t="n">
        <v>46164</v>
      </c>
      <c r="D459" t="inlineStr">
        <is>
          <t>KALMAR LÄN</t>
        </is>
      </c>
      <c r="E459" t="inlineStr">
        <is>
          <t>VIMMERBY</t>
        </is>
      </c>
      <c r="G459" t="n">
        <v>3.4</v>
      </c>
      <c r="H459" t="n">
        <v>0</v>
      </c>
      <c r="I459" t="n">
        <v>0</v>
      </c>
      <c r="J459" t="n">
        <v>0</v>
      </c>
      <c r="K459" t="n">
        <v>0</v>
      </c>
      <c r="L459" t="n">
        <v>0</v>
      </c>
      <c r="M459" t="n">
        <v>0</v>
      </c>
      <c r="N459" t="n">
        <v>0</v>
      </c>
      <c r="O459" t="n">
        <v>0</v>
      </c>
      <c r="P459" t="n">
        <v>0</v>
      </c>
      <c r="Q459" t="n">
        <v>0</v>
      </c>
      <c r="R459" s="2" t="inlineStr"/>
    </row>
    <row r="460" ht="15" customHeight="1">
      <c r="A460" t="inlineStr">
        <is>
          <t>A 37939-2025</t>
        </is>
      </c>
      <c r="B460" s="1" t="n">
        <v>45881.59877314815</v>
      </c>
      <c r="C460" s="1" t="n">
        <v>46164</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49871-2025</t>
        </is>
      </c>
      <c r="B461" s="1" t="n">
        <v>45940.54104166666</v>
      </c>
      <c r="C461" s="1" t="n">
        <v>46164</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12588-2025</t>
        </is>
      </c>
      <c r="B462" s="1" t="n">
        <v>45732.76936342593</v>
      </c>
      <c r="C462" s="1" t="n">
        <v>46164</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25979-2023</t>
        </is>
      </c>
      <c r="B463" s="1" t="n">
        <v>45090.89653935185</v>
      </c>
      <c r="C463" s="1" t="n">
        <v>46164</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25980-2023</t>
        </is>
      </c>
      <c r="B464" s="1" t="n">
        <v>45090.89880787037</v>
      </c>
      <c r="C464" s="1" t="n">
        <v>46164</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50324-2025</t>
        </is>
      </c>
      <c r="B465" s="1" t="n">
        <v>45944.45962962963</v>
      </c>
      <c r="C465" s="1" t="n">
        <v>46164</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46921-2023</t>
        </is>
      </c>
      <c r="B466" s="1" t="n">
        <v>45201.39996527778</v>
      </c>
      <c r="C466" s="1" t="n">
        <v>46164</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10837-2023</t>
        </is>
      </c>
      <c r="B467" s="1" t="n">
        <v>44991.30547453704</v>
      </c>
      <c r="C467" s="1" t="n">
        <v>46164</v>
      </c>
      <c r="D467" t="inlineStr">
        <is>
          <t>KALMAR LÄN</t>
        </is>
      </c>
      <c r="E467" t="inlineStr">
        <is>
          <t>VIMMERBY</t>
        </is>
      </c>
      <c r="G467" t="n">
        <v>7.3</v>
      </c>
      <c r="H467" t="n">
        <v>0</v>
      </c>
      <c r="I467" t="n">
        <v>0</v>
      </c>
      <c r="J467" t="n">
        <v>0</v>
      </c>
      <c r="K467" t="n">
        <v>0</v>
      </c>
      <c r="L467" t="n">
        <v>0</v>
      </c>
      <c r="M467" t="n">
        <v>0</v>
      </c>
      <c r="N467" t="n">
        <v>0</v>
      </c>
      <c r="O467" t="n">
        <v>0</v>
      </c>
      <c r="P467" t="n">
        <v>0</v>
      </c>
      <c r="Q467" t="n">
        <v>0</v>
      </c>
      <c r="R467" s="2" t="inlineStr"/>
    </row>
    <row r="468" ht="15" customHeight="1">
      <c r="A468" t="inlineStr">
        <is>
          <t>A 10838-2023</t>
        </is>
      </c>
      <c r="B468" s="1" t="n">
        <v>44991</v>
      </c>
      <c r="C468" s="1" t="n">
        <v>46164</v>
      </c>
      <c r="D468" t="inlineStr">
        <is>
          <t>KALMAR LÄN</t>
        </is>
      </c>
      <c r="E468" t="inlineStr">
        <is>
          <t>VIMMERBY</t>
        </is>
      </c>
      <c r="G468" t="n">
        <v>5.1</v>
      </c>
      <c r="H468" t="n">
        <v>0</v>
      </c>
      <c r="I468" t="n">
        <v>0</v>
      </c>
      <c r="J468" t="n">
        <v>0</v>
      </c>
      <c r="K468" t="n">
        <v>0</v>
      </c>
      <c r="L468" t="n">
        <v>0</v>
      </c>
      <c r="M468" t="n">
        <v>0</v>
      </c>
      <c r="N468" t="n">
        <v>0</v>
      </c>
      <c r="O468" t="n">
        <v>0</v>
      </c>
      <c r="P468" t="n">
        <v>0</v>
      </c>
      <c r="Q468" t="n">
        <v>0</v>
      </c>
      <c r="R468" s="2" t="inlineStr"/>
    </row>
    <row r="469" ht="15" customHeight="1">
      <c r="A469" t="inlineStr">
        <is>
          <t>A 50544-2025</t>
        </is>
      </c>
      <c r="B469" s="1" t="n">
        <v>45945.50736111111</v>
      </c>
      <c r="C469" s="1" t="n">
        <v>46164</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51062-2025</t>
        </is>
      </c>
      <c r="B470" s="1" t="n">
        <v>45947.44685185186</v>
      </c>
      <c r="C470" s="1" t="n">
        <v>46164</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30912-2023</t>
        </is>
      </c>
      <c r="B471" s="1" t="n">
        <v>45113.41633101852</v>
      </c>
      <c r="C471" s="1" t="n">
        <v>46164</v>
      </c>
      <c r="D471" t="inlineStr">
        <is>
          <t>KALMAR LÄN</t>
        </is>
      </c>
      <c r="E471" t="inlineStr">
        <is>
          <t>VIMMERBY</t>
        </is>
      </c>
      <c r="G471" t="n">
        <v>5</v>
      </c>
      <c r="H471" t="n">
        <v>0</v>
      </c>
      <c r="I471" t="n">
        <v>0</v>
      </c>
      <c r="J471" t="n">
        <v>0</v>
      </c>
      <c r="K471" t="n">
        <v>0</v>
      </c>
      <c r="L471" t="n">
        <v>0</v>
      </c>
      <c r="M471" t="n">
        <v>0</v>
      </c>
      <c r="N471" t="n">
        <v>0</v>
      </c>
      <c r="O471" t="n">
        <v>0</v>
      </c>
      <c r="P471" t="n">
        <v>0</v>
      </c>
      <c r="Q471" t="n">
        <v>0</v>
      </c>
      <c r="R471" s="2" t="inlineStr"/>
    </row>
    <row r="472" ht="15" customHeight="1">
      <c r="A472" t="inlineStr">
        <is>
          <t>A 55436-2023</t>
        </is>
      </c>
      <c r="B472" s="1" t="n">
        <v>45238.4328587963</v>
      </c>
      <c r="C472" s="1" t="n">
        <v>46164</v>
      </c>
      <c r="D472" t="inlineStr">
        <is>
          <t>KALMAR LÄN</t>
        </is>
      </c>
      <c r="E472" t="inlineStr">
        <is>
          <t>VIMMERBY</t>
        </is>
      </c>
      <c r="G472" t="n">
        <v>5.6</v>
      </c>
      <c r="H472" t="n">
        <v>0</v>
      </c>
      <c r="I472" t="n">
        <v>0</v>
      </c>
      <c r="J472" t="n">
        <v>0</v>
      </c>
      <c r="K472" t="n">
        <v>0</v>
      </c>
      <c r="L472" t="n">
        <v>0</v>
      </c>
      <c r="M472" t="n">
        <v>0</v>
      </c>
      <c r="N472" t="n">
        <v>0</v>
      </c>
      <c r="O472" t="n">
        <v>0</v>
      </c>
      <c r="P472" t="n">
        <v>0</v>
      </c>
      <c r="Q472" t="n">
        <v>0</v>
      </c>
      <c r="R472" s="2" t="inlineStr"/>
    </row>
    <row r="473" ht="15" customHeight="1">
      <c r="A473" t="inlineStr">
        <is>
          <t>A 21507-2023</t>
        </is>
      </c>
      <c r="B473" s="1" t="n">
        <v>45063.508125</v>
      </c>
      <c r="C473" s="1" t="n">
        <v>46164</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51187-2023</t>
        </is>
      </c>
      <c r="B474" s="1" t="n">
        <v>45219.40528935185</v>
      </c>
      <c r="C474" s="1" t="n">
        <v>46164</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13290-2025</t>
        </is>
      </c>
      <c r="B475" s="1" t="n">
        <v>45735.56751157407</v>
      </c>
      <c r="C475" s="1" t="n">
        <v>46164</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45560-2021</t>
        </is>
      </c>
      <c r="B476" s="1" t="n">
        <v>44440</v>
      </c>
      <c r="C476" s="1" t="n">
        <v>46164</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10965-2026</t>
        </is>
      </c>
      <c r="B477" s="1" t="n">
        <v>46079.43295138889</v>
      </c>
      <c r="C477" s="1" t="n">
        <v>46164</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51993-2025</t>
        </is>
      </c>
      <c r="B478" s="1" t="n">
        <v>45952.58194444444</v>
      </c>
      <c r="C478" s="1" t="n">
        <v>46164</v>
      </c>
      <c r="D478" t="inlineStr">
        <is>
          <t>KALMAR LÄN</t>
        </is>
      </c>
      <c r="E478" t="inlineStr">
        <is>
          <t>VIMMERBY</t>
        </is>
      </c>
      <c r="G478" t="n">
        <v>2.8</v>
      </c>
      <c r="H478" t="n">
        <v>0</v>
      </c>
      <c r="I478" t="n">
        <v>0</v>
      </c>
      <c r="J478" t="n">
        <v>0</v>
      </c>
      <c r="K478" t="n">
        <v>0</v>
      </c>
      <c r="L478" t="n">
        <v>0</v>
      </c>
      <c r="M478" t="n">
        <v>0</v>
      </c>
      <c r="N478" t="n">
        <v>0</v>
      </c>
      <c r="O478" t="n">
        <v>0</v>
      </c>
      <c r="P478" t="n">
        <v>0</v>
      </c>
      <c r="Q478" t="n">
        <v>0</v>
      </c>
      <c r="R478" s="2" t="inlineStr"/>
    </row>
    <row r="479" ht="15" customHeight="1">
      <c r="A479" t="inlineStr">
        <is>
          <t>A 16622-2025</t>
        </is>
      </c>
      <c r="B479" s="1" t="n">
        <v>45754.33641203704</v>
      </c>
      <c r="C479" s="1" t="n">
        <v>46164</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51990-2025</t>
        </is>
      </c>
      <c r="B480" s="1" t="n">
        <v>45952.58061342593</v>
      </c>
      <c r="C480" s="1" t="n">
        <v>46164</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11407-2026</t>
        </is>
      </c>
      <c r="B481" s="1" t="n">
        <v>46083</v>
      </c>
      <c r="C481" s="1" t="n">
        <v>46164</v>
      </c>
      <c r="D481" t="inlineStr">
        <is>
          <t>KALMAR LÄN</t>
        </is>
      </c>
      <c r="E481" t="inlineStr">
        <is>
          <t>VIMMERBY</t>
        </is>
      </c>
      <c r="G481" t="n">
        <v>2.3</v>
      </c>
      <c r="H481" t="n">
        <v>0</v>
      </c>
      <c r="I481" t="n">
        <v>0</v>
      </c>
      <c r="J481" t="n">
        <v>0</v>
      </c>
      <c r="K481" t="n">
        <v>0</v>
      </c>
      <c r="L481" t="n">
        <v>0</v>
      </c>
      <c r="M481" t="n">
        <v>0</v>
      </c>
      <c r="N481" t="n">
        <v>0</v>
      </c>
      <c r="O481" t="n">
        <v>0</v>
      </c>
      <c r="P481" t="n">
        <v>0</v>
      </c>
      <c r="Q481" t="n">
        <v>0</v>
      </c>
      <c r="R481" s="2" t="inlineStr"/>
    </row>
    <row r="482" ht="15" customHeight="1">
      <c r="A482" t="inlineStr">
        <is>
          <t>A 52473-2025</t>
        </is>
      </c>
      <c r="B482" s="1" t="n">
        <v>45954.45947916667</v>
      </c>
      <c r="C482" s="1" t="n">
        <v>46164</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52480-2025</t>
        </is>
      </c>
      <c r="B483" s="1" t="n">
        <v>45954.47172453703</v>
      </c>
      <c r="C483" s="1" t="n">
        <v>46164</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52466-2025</t>
        </is>
      </c>
      <c r="B484" s="1" t="n">
        <v>45954.44707175926</v>
      </c>
      <c r="C484" s="1" t="n">
        <v>46164</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31340-2023</t>
        </is>
      </c>
      <c r="B485" s="1" t="n">
        <v>45114.47895833333</v>
      </c>
      <c r="C485" s="1" t="n">
        <v>46164</v>
      </c>
      <c r="D485" t="inlineStr">
        <is>
          <t>KALMAR LÄN</t>
        </is>
      </c>
      <c r="E485" t="inlineStr">
        <is>
          <t>VIMMERBY</t>
        </is>
      </c>
      <c r="G485" t="n">
        <v>1.8</v>
      </c>
      <c r="H485" t="n">
        <v>0</v>
      </c>
      <c r="I485" t="n">
        <v>0</v>
      </c>
      <c r="J485" t="n">
        <v>0</v>
      </c>
      <c r="K485" t="n">
        <v>0</v>
      </c>
      <c r="L485" t="n">
        <v>0</v>
      </c>
      <c r="M485" t="n">
        <v>0</v>
      </c>
      <c r="N485" t="n">
        <v>0</v>
      </c>
      <c r="O485" t="n">
        <v>0</v>
      </c>
      <c r="P485" t="n">
        <v>0</v>
      </c>
      <c r="Q485" t="n">
        <v>0</v>
      </c>
      <c r="R485" s="2" t="inlineStr"/>
    </row>
    <row r="486" ht="15" customHeight="1">
      <c r="A486" t="inlineStr">
        <is>
          <t>A 18122-2026</t>
        </is>
      </c>
      <c r="B486" s="1" t="n">
        <v>46125.58524305555</v>
      </c>
      <c r="C486" s="1" t="n">
        <v>46164</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52516-2025</t>
        </is>
      </c>
      <c r="B487" s="1" t="n">
        <v>45954.51412037037</v>
      </c>
      <c r="C487" s="1" t="n">
        <v>46164</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29168-2024</t>
        </is>
      </c>
      <c r="B488" s="1" t="n">
        <v>45482.49870370371</v>
      </c>
      <c r="C488" s="1" t="n">
        <v>46164</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29186-2024</t>
        </is>
      </c>
      <c r="B489" s="1" t="n">
        <v>45482.54844907407</v>
      </c>
      <c r="C489" s="1" t="n">
        <v>46164</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35895-2024</t>
        </is>
      </c>
      <c r="B490" s="1" t="n">
        <v>45533.38870370371</v>
      </c>
      <c r="C490" s="1" t="n">
        <v>46164</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12590-2025</t>
        </is>
      </c>
      <c r="B491" s="1" t="n">
        <v>45732.79925925926</v>
      </c>
      <c r="C491" s="1" t="n">
        <v>46164</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52465-2025</t>
        </is>
      </c>
      <c r="B492" s="1" t="n">
        <v>45954.44543981482</v>
      </c>
      <c r="C492" s="1" t="n">
        <v>46164</v>
      </c>
      <c r="D492" t="inlineStr">
        <is>
          <t>KALMAR LÄN</t>
        </is>
      </c>
      <c r="E492" t="inlineStr">
        <is>
          <t>VIMMERBY</t>
        </is>
      </c>
      <c r="G492" t="n">
        <v>0.9</v>
      </c>
      <c r="H492" t="n">
        <v>0</v>
      </c>
      <c r="I492" t="n">
        <v>0</v>
      </c>
      <c r="J492" t="n">
        <v>0</v>
      </c>
      <c r="K492" t="n">
        <v>0</v>
      </c>
      <c r="L492" t="n">
        <v>0</v>
      </c>
      <c r="M492" t="n">
        <v>0</v>
      </c>
      <c r="N492" t="n">
        <v>0</v>
      </c>
      <c r="O492" t="n">
        <v>0</v>
      </c>
      <c r="P492" t="n">
        <v>0</v>
      </c>
      <c r="Q492" t="n">
        <v>0</v>
      </c>
      <c r="R492" s="2" t="inlineStr"/>
    </row>
    <row r="493" ht="15" customHeight="1">
      <c r="A493" t="inlineStr">
        <is>
          <t>A 30318-2023</t>
        </is>
      </c>
      <c r="B493" s="1" t="n">
        <v>45111.30824074074</v>
      </c>
      <c r="C493" s="1" t="n">
        <v>46164</v>
      </c>
      <c r="D493" t="inlineStr">
        <is>
          <t>KALMAR LÄN</t>
        </is>
      </c>
      <c r="E493" t="inlineStr">
        <is>
          <t>VIMMERBY</t>
        </is>
      </c>
      <c r="G493" t="n">
        <v>2.6</v>
      </c>
      <c r="H493" t="n">
        <v>0</v>
      </c>
      <c r="I493" t="n">
        <v>0</v>
      </c>
      <c r="J493" t="n">
        <v>0</v>
      </c>
      <c r="K493" t="n">
        <v>0</v>
      </c>
      <c r="L493" t="n">
        <v>0</v>
      </c>
      <c r="M493" t="n">
        <v>0</v>
      </c>
      <c r="N493" t="n">
        <v>0</v>
      </c>
      <c r="O493" t="n">
        <v>0</v>
      </c>
      <c r="P493" t="n">
        <v>0</v>
      </c>
      <c r="Q493" t="n">
        <v>0</v>
      </c>
      <c r="R493" s="2" t="inlineStr"/>
    </row>
    <row r="494" ht="15" customHeight="1">
      <c r="A494" t="inlineStr">
        <is>
          <t>A 11273-2026</t>
        </is>
      </c>
      <c r="B494" s="1" t="n">
        <v>46080.57634259259</v>
      </c>
      <c r="C494" s="1" t="n">
        <v>46164</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11415-2026</t>
        </is>
      </c>
      <c r="B495" s="1" t="n">
        <v>46083</v>
      </c>
      <c r="C495" s="1" t="n">
        <v>46164</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43186-2021</t>
        </is>
      </c>
      <c r="B496" s="1" t="n">
        <v>44431.84840277778</v>
      </c>
      <c r="C496" s="1" t="n">
        <v>46164</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60215-2022</t>
        </is>
      </c>
      <c r="B497" s="1" t="n">
        <v>44910.41346064815</v>
      </c>
      <c r="C497" s="1" t="n">
        <v>46164</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60230-2022</t>
        </is>
      </c>
      <c r="B498" s="1" t="n">
        <v>44910</v>
      </c>
      <c r="C498" s="1" t="n">
        <v>46164</v>
      </c>
      <c r="D498" t="inlineStr">
        <is>
          <t>KALMAR LÄN</t>
        </is>
      </c>
      <c r="E498" t="inlineStr">
        <is>
          <t>VIMMERBY</t>
        </is>
      </c>
      <c r="G498" t="n">
        <v>11.3</v>
      </c>
      <c r="H498" t="n">
        <v>0</v>
      </c>
      <c r="I498" t="n">
        <v>0</v>
      </c>
      <c r="J498" t="n">
        <v>0</v>
      </c>
      <c r="K498" t="n">
        <v>0</v>
      </c>
      <c r="L498" t="n">
        <v>0</v>
      </c>
      <c r="M498" t="n">
        <v>0</v>
      </c>
      <c r="N498" t="n">
        <v>0</v>
      </c>
      <c r="O498" t="n">
        <v>0</v>
      </c>
      <c r="P498" t="n">
        <v>0</v>
      </c>
      <c r="Q498" t="n">
        <v>0</v>
      </c>
      <c r="R498" s="2" t="inlineStr"/>
    </row>
    <row r="499" ht="15" customHeight="1">
      <c r="A499" t="inlineStr">
        <is>
          <t>A 5925-2022</t>
        </is>
      </c>
      <c r="B499" s="1" t="n">
        <v>44598.7384837963</v>
      </c>
      <c r="C499" s="1" t="n">
        <v>46164</v>
      </c>
      <c r="D499" t="inlineStr">
        <is>
          <t>KALMAR LÄN</t>
        </is>
      </c>
      <c r="E499" t="inlineStr">
        <is>
          <t>VIMMERBY</t>
        </is>
      </c>
      <c r="G499" t="n">
        <v>2.1</v>
      </c>
      <c r="H499" t="n">
        <v>0</v>
      </c>
      <c r="I499" t="n">
        <v>0</v>
      </c>
      <c r="J499" t="n">
        <v>0</v>
      </c>
      <c r="K499" t="n">
        <v>0</v>
      </c>
      <c r="L499" t="n">
        <v>0</v>
      </c>
      <c r="M499" t="n">
        <v>0</v>
      </c>
      <c r="N499" t="n">
        <v>0</v>
      </c>
      <c r="O499" t="n">
        <v>0</v>
      </c>
      <c r="P499" t="n">
        <v>0</v>
      </c>
      <c r="Q499" t="n">
        <v>0</v>
      </c>
      <c r="R499" s="2" t="inlineStr"/>
    </row>
    <row r="500" ht="15" customHeight="1">
      <c r="A500" t="inlineStr">
        <is>
          <t>A 845-2023</t>
        </is>
      </c>
      <c r="B500" s="1" t="n">
        <v>44931</v>
      </c>
      <c r="C500" s="1" t="n">
        <v>46164</v>
      </c>
      <c r="D500" t="inlineStr">
        <is>
          <t>KALMAR LÄN</t>
        </is>
      </c>
      <c r="E500" t="inlineStr">
        <is>
          <t>VIMMERBY</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16119-2023</t>
        </is>
      </c>
      <c r="B501" s="1" t="n">
        <v>45027.59450231482</v>
      </c>
      <c r="C501" s="1" t="n">
        <v>46164</v>
      </c>
      <c r="D501" t="inlineStr">
        <is>
          <t>KALMAR LÄN</t>
        </is>
      </c>
      <c r="E501" t="inlineStr">
        <is>
          <t>VIMMERBY</t>
        </is>
      </c>
      <c r="F501" t="inlineStr">
        <is>
          <t>Kommuner</t>
        </is>
      </c>
      <c r="G501" t="n">
        <v>4.4</v>
      </c>
      <c r="H501" t="n">
        <v>0</v>
      </c>
      <c r="I501" t="n">
        <v>0</v>
      </c>
      <c r="J501" t="n">
        <v>0</v>
      </c>
      <c r="K501" t="n">
        <v>0</v>
      </c>
      <c r="L501" t="n">
        <v>0</v>
      </c>
      <c r="M501" t="n">
        <v>0</v>
      </c>
      <c r="N501" t="n">
        <v>0</v>
      </c>
      <c r="O501" t="n">
        <v>0</v>
      </c>
      <c r="P501" t="n">
        <v>0</v>
      </c>
      <c r="Q501" t="n">
        <v>0</v>
      </c>
      <c r="R501" s="2" t="inlineStr"/>
    </row>
    <row r="502" ht="15" customHeight="1">
      <c r="A502" t="inlineStr">
        <is>
          <t>A 30588-2023</t>
        </is>
      </c>
      <c r="B502" s="1" t="n">
        <v>45112.33599537037</v>
      </c>
      <c r="C502" s="1" t="n">
        <v>46164</v>
      </c>
      <c r="D502" t="inlineStr">
        <is>
          <t>KALMAR LÄN</t>
        </is>
      </c>
      <c r="E502" t="inlineStr">
        <is>
          <t>VIMMERBY</t>
        </is>
      </c>
      <c r="G502" t="n">
        <v>2.7</v>
      </c>
      <c r="H502" t="n">
        <v>0</v>
      </c>
      <c r="I502" t="n">
        <v>0</v>
      </c>
      <c r="J502" t="n">
        <v>0</v>
      </c>
      <c r="K502" t="n">
        <v>0</v>
      </c>
      <c r="L502" t="n">
        <v>0</v>
      </c>
      <c r="M502" t="n">
        <v>0</v>
      </c>
      <c r="N502" t="n">
        <v>0</v>
      </c>
      <c r="O502" t="n">
        <v>0</v>
      </c>
      <c r="P502" t="n">
        <v>0</v>
      </c>
      <c r="Q502" t="n">
        <v>0</v>
      </c>
      <c r="R502" s="2" t="inlineStr"/>
    </row>
    <row r="503" ht="15" customHeight="1">
      <c r="A503" t="inlineStr">
        <is>
          <t>A 52475-2025</t>
        </is>
      </c>
      <c r="B503" s="1" t="n">
        <v>45954.468125</v>
      </c>
      <c r="C503" s="1" t="n">
        <v>46164</v>
      </c>
      <c r="D503" t="inlineStr">
        <is>
          <t>KALMAR LÄN</t>
        </is>
      </c>
      <c r="E503" t="inlineStr">
        <is>
          <t>VIMMERBY</t>
        </is>
      </c>
      <c r="G503" t="n">
        <v>1.5</v>
      </c>
      <c r="H503" t="n">
        <v>0</v>
      </c>
      <c r="I503" t="n">
        <v>0</v>
      </c>
      <c r="J503" t="n">
        <v>0</v>
      </c>
      <c r="K503" t="n">
        <v>0</v>
      </c>
      <c r="L503" t="n">
        <v>0</v>
      </c>
      <c r="M503" t="n">
        <v>0</v>
      </c>
      <c r="N503" t="n">
        <v>0</v>
      </c>
      <c r="O503" t="n">
        <v>0</v>
      </c>
      <c r="P503" t="n">
        <v>0</v>
      </c>
      <c r="Q503" t="n">
        <v>0</v>
      </c>
      <c r="R503" s="2" t="inlineStr"/>
    </row>
    <row r="504" ht="15" customHeight="1">
      <c r="A504" t="inlineStr">
        <is>
          <t>A 53220-2025</t>
        </is>
      </c>
      <c r="B504" s="1" t="n">
        <v>45958.60146990741</v>
      </c>
      <c r="C504" s="1" t="n">
        <v>46164</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45528-2021</t>
        </is>
      </c>
      <c r="B505" s="1" t="n">
        <v>44440.60415509259</v>
      </c>
      <c r="C505" s="1" t="n">
        <v>46164</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52451-2025</t>
        </is>
      </c>
      <c r="B506" s="1" t="n">
        <v>45954.42326388889</v>
      </c>
      <c r="C506" s="1" t="n">
        <v>46164</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53393-2025</t>
        </is>
      </c>
      <c r="B507" s="1" t="n">
        <v>45959.55284722222</v>
      </c>
      <c r="C507" s="1" t="n">
        <v>46164</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53398-2025</t>
        </is>
      </c>
      <c r="B508" s="1" t="n">
        <v>45959.56247685185</v>
      </c>
      <c r="C508" s="1" t="n">
        <v>46164</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53397-2025</t>
        </is>
      </c>
      <c r="B509" s="1" t="n">
        <v>45959.55918981481</v>
      </c>
      <c r="C509" s="1" t="n">
        <v>46164</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53416-2025</t>
        </is>
      </c>
      <c r="B510" s="1" t="n">
        <v>45959.58387731481</v>
      </c>
      <c r="C510" s="1" t="n">
        <v>46164</v>
      </c>
      <c r="D510" t="inlineStr">
        <is>
          <t>KALMAR LÄN</t>
        </is>
      </c>
      <c r="E510" t="inlineStr">
        <is>
          <t>VIMMERBY</t>
        </is>
      </c>
      <c r="G510" t="n">
        <v>4.4</v>
      </c>
      <c r="H510" t="n">
        <v>0</v>
      </c>
      <c r="I510" t="n">
        <v>0</v>
      </c>
      <c r="J510" t="n">
        <v>0</v>
      </c>
      <c r="K510" t="n">
        <v>0</v>
      </c>
      <c r="L510" t="n">
        <v>0</v>
      </c>
      <c r="M510" t="n">
        <v>0</v>
      </c>
      <c r="N510" t="n">
        <v>0</v>
      </c>
      <c r="O510" t="n">
        <v>0</v>
      </c>
      <c r="P510" t="n">
        <v>0</v>
      </c>
      <c r="Q510" t="n">
        <v>0</v>
      </c>
      <c r="R510" s="2" t="inlineStr"/>
    </row>
    <row r="511" ht="15" customHeight="1">
      <c r="A511" t="inlineStr">
        <is>
          <t>A 53413-2025</t>
        </is>
      </c>
      <c r="B511" s="1" t="n">
        <v>45959.5787037037</v>
      </c>
      <c r="C511" s="1" t="n">
        <v>46164</v>
      </c>
      <c r="D511" t="inlineStr">
        <is>
          <t>KALMAR LÄN</t>
        </is>
      </c>
      <c r="E511" t="inlineStr">
        <is>
          <t>VIMMERBY</t>
        </is>
      </c>
      <c r="G511" t="n">
        <v>4.3</v>
      </c>
      <c r="H511" t="n">
        <v>0</v>
      </c>
      <c r="I511" t="n">
        <v>0</v>
      </c>
      <c r="J511" t="n">
        <v>0</v>
      </c>
      <c r="K511" t="n">
        <v>0</v>
      </c>
      <c r="L511" t="n">
        <v>0</v>
      </c>
      <c r="M511" t="n">
        <v>0</v>
      </c>
      <c r="N511" t="n">
        <v>0</v>
      </c>
      <c r="O511" t="n">
        <v>0</v>
      </c>
      <c r="P511" t="n">
        <v>0</v>
      </c>
      <c r="Q511" t="n">
        <v>0</v>
      </c>
      <c r="R511" s="2" t="inlineStr"/>
    </row>
    <row r="512" ht="15" customHeight="1">
      <c r="A512" t="inlineStr">
        <is>
          <t>A 16516-2023</t>
        </is>
      </c>
      <c r="B512" s="1" t="n">
        <v>45029</v>
      </c>
      <c r="C512" s="1" t="n">
        <v>46164</v>
      </c>
      <c r="D512" t="inlineStr">
        <is>
          <t>KALMAR LÄN</t>
        </is>
      </c>
      <c r="E512" t="inlineStr">
        <is>
          <t>VIMMERBY</t>
        </is>
      </c>
      <c r="G512" t="n">
        <v>4.3</v>
      </c>
      <c r="H512" t="n">
        <v>0</v>
      </c>
      <c r="I512" t="n">
        <v>0</v>
      </c>
      <c r="J512" t="n">
        <v>0</v>
      </c>
      <c r="K512" t="n">
        <v>0</v>
      </c>
      <c r="L512" t="n">
        <v>0</v>
      </c>
      <c r="M512" t="n">
        <v>0</v>
      </c>
      <c r="N512" t="n">
        <v>0</v>
      </c>
      <c r="O512" t="n">
        <v>0</v>
      </c>
      <c r="P512" t="n">
        <v>0</v>
      </c>
      <c r="Q512" t="n">
        <v>0</v>
      </c>
      <c r="R512" s="2" t="inlineStr"/>
    </row>
    <row r="513" ht="15" customHeight="1">
      <c r="A513" t="inlineStr">
        <is>
          <t>A 2510-2023</t>
        </is>
      </c>
      <c r="B513" s="1" t="n">
        <v>44943.57309027778</v>
      </c>
      <c r="C513" s="1" t="n">
        <v>46164</v>
      </c>
      <c r="D513" t="inlineStr">
        <is>
          <t>KALMAR LÄN</t>
        </is>
      </c>
      <c r="E513" t="inlineStr">
        <is>
          <t>VIMMERBY</t>
        </is>
      </c>
      <c r="G513" t="n">
        <v>8.6</v>
      </c>
      <c r="H513" t="n">
        <v>0</v>
      </c>
      <c r="I513" t="n">
        <v>0</v>
      </c>
      <c r="J513" t="n">
        <v>0</v>
      </c>
      <c r="K513" t="n">
        <v>0</v>
      </c>
      <c r="L513" t="n">
        <v>0</v>
      </c>
      <c r="M513" t="n">
        <v>0</v>
      </c>
      <c r="N513" t="n">
        <v>0</v>
      </c>
      <c r="O513" t="n">
        <v>0</v>
      </c>
      <c r="P513" t="n">
        <v>0</v>
      </c>
      <c r="Q513" t="n">
        <v>0</v>
      </c>
      <c r="R513" s="2" t="inlineStr"/>
    </row>
    <row r="514" ht="15" customHeight="1">
      <c r="A514" t="inlineStr">
        <is>
          <t>A 53396-2025</t>
        </is>
      </c>
      <c r="B514" s="1" t="n">
        <v>45959.55577546296</v>
      </c>
      <c r="C514" s="1" t="n">
        <v>46164</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53788-2025</t>
        </is>
      </c>
      <c r="B515" s="1" t="n">
        <v>45960</v>
      </c>
      <c r="C515" s="1" t="n">
        <v>46164</v>
      </c>
      <c r="D515" t="inlineStr">
        <is>
          <t>KALMAR LÄN</t>
        </is>
      </c>
      <c r="E515" t="inlineStr">
        <is>
          <t>VIMMERBY</t>
        </is>
      </c>
      <c r="F515" t="inlineStr">
        <is>
          <t>Övriga statliga verk och myndigheter</t>
        </is>
      </c>
      <c r="G515" t="n">
        <v>6.3</v>
      </c>
      <c r="H515" t="n">
        <v>0</v>
      </c>
      <c r="I515" t="n">
        <v>0</v>
      </c>
      <c r="J515" t="n">
        <v>0</v>
      </c>
      <c r="K515" t="n">
        <v>0</v>
      </c>
      <c r="L515" t="n">
        <v>0</v>
      </c>
      <c r="M515" t="n">
        <v>0</v>
      </c>
      <c r="N515" t="n">
        <v>0</v>
      </c>
      <c r="O515" t="n">
        <v>0</v>
      </c>
      <c r="P515" t="n">
        <v>0</v>
      </c>
      <c r="Q515" t="n">
        <v>0</v>
      </c>
      <c r="R515" s="2" t="inlineStr"/>
    </row>
    <row r="516" ht="15" customHeight="1">
      <c r="A516" t="inlineStr">
        <is>
          <t>A 53927-2025</t>
        </is>
      </c>
      <c r="B516" s="1" t="n">
        <v>45961.46740740741</v>
      </c>
      <c r="C516" s="1" t="n">
        <v>46164</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53933-2025</t>
        </is>
      </c>
      <c r="B517" s="1" t="n">
        <v>45961.47650462963</v>
      </c>
      <c r="C517" s="1" t="n">
        <v>46164</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54236-2025</t>
        </is>
      </c>
      <c r="B518" s="1" t="n">
        <v>45964.62671296296</v>
      </c>
      <c r="C518" s="1" t="n">
        <v>46164</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53923-2025</t>
        </is>
      </c>
      <c r="B519" s="1" t="n">
        <v>45961.4569212963</v>
      </c>
      <c r="C519" s="1" t="n">
        <v>46164</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53920-2025</t>
        </is>
      </c>
      <c r="B520" s="1" t="n">
        <v>45961.44951388889</v>
      </c>
      <c r="C520" s="1" t="n">
        <v>46164</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54234-2025</t>
        </is>
      </c>
      <c r="B521" s="1" t="n">
        <v>45964.62486111111</v>
      </c>
      <c r="C521" s="1" t="n">
        <v>46164</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48373-2021</t>
        </is>
      </c>
      <c r="B522" s="1" t="n">
        <v>44451</v>
      </c>
      <c r="C522" s="1" t="n">
        <v>46164</v>
      </c>
      <c r="D522" t="inlineStr">
        <is>
          <t>KALMAR LÄN</t>
        </is>
      </c>
      <c r="E522" t="inlineStr">
        <is>
          <t>VIMMERBY</t>
        </is>
      </c>
      <c r="G522" t="n">
        <v>2.2</v>
      </c>
      <c r="H522" t="n">
        <v>0</v>
      </c>
      <c r="I522" t="n">
        <v>0</v>
      </c>
      <c r="J522" t="n">
        <v>0</v>
      </c>
      <c r="K522" t="n">
        <v>0</v>
      </c>
      <c r="L522" t="n">
        <v>0</v>
      </c>
      <c r="M522" t="n">
        <v>0</v>
      </c>
      <c r="N522" t="n">
        <v>0</v>
      </c>
      <c r="O522" t="n">
        <v>0</v>
      </c>
      <c r="P522" t="n">
        <v>0</v>
      </c>
      <c r="Q522" t="n">
        <v>0</v>
      </c>
      <c r="R522" s="2" t="inlineStr"/>
    </row>
    <row r="523" ht="15" customHeight="1">
      <c r="A523" t="inlineStr">
        <is>
          <t>A 53789-2025</t>
        </is>
      </c>
      <c r="B523" s="1" t="n">
        <v>45960</v>
      </c>
      <c r="C523" s="1" t="n">
        <v>46164</v>
      </c>
      <c r="D523" t="inlineStr">
        <is>
          <t>KALMAR LÄN</t>
        </is>
      </c>
      <c r="E523" t="inlineStr">
        <is>
          <t>VIMMERBY</t>
        </is>
      </c>
      <c r="F523" t="inlineStr">
        <is>
          <t>Övriga statliga verk och myndigheter</t>
        </is>
      </c>
      <c r="G523" t="n">
        <v>1.6</v>
      </c>
      <c r="H523" t="n">
        <v>0</v>
      </c>
      <c r="I523" t="n">
        <v>0</v>
      </c>
      <c r="J523" t="n">
        <v>0</v>
      </c>
      <c r="K523" t="n">
        <v>0</v>
      </c>
      <c r="L523" t="n">
        <v>0</v>
      </c>
      <c r="M523" t="n">
        <v>0</v>
      </c>
      <c r="N523" t="n">
        <v>0</v>
      </c>
      <c r="O523" t="n">
        <v>0</v>
      </c>
      <c r="P523" t="n">
        <v>0</v>
      </c>
      <c r="Q523" t="n">
        <v>0</v>
      </c>
      <c r="R523" s="2" t="inlineStr"/>
    </row>
    <row r="524" ht="15" customHeight="1">
      <c r="A524" t="inlineStr">
        <is>
          <t>A 7485-2024</t>
        </is>
      </c>
      <c r="B524" s="1" t="n">
        <v>45346.67184027778</v>
      </c>
      <c r="C524" s="1" t="n">
        <v>46164</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53903-2025</t>
        </is>
      </c>
      <c r="B525" s="1" t="n">
        <v>45961.43738425926</v>
      </c>
      <c r="C525" s="1" t="n">
        <v>46164</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54737-2025</t>
        </is>
      </c>
      <c r="B526" s="1" t="n">
        <v>45966.56826388889</v>
      </c>
      <c r="C526" s="1" t="n">
        <v>46164</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6574-2023</t>
        </is>
      </c>
      <c r="B527" s="1" t="n">
        <v>44966</v>
      </c>
      <c r="C527" s="1" t="n">
        <v>46164</v>
      </c>
      <c r="D527" t="inlineStr">
        <is>
          <t>KALMAR LÄN</t>
        </is>
      </c>
      <c r="E527" t="inlineStr">
        <is>
          <t>VIMMERBY</t>
        </is>
      </c>
      <c r="G527" t="n">
        <v>2.5</v>
      </c>
      <c r="H527" t="n">
        <v>0</v>
      </c>
      <c r="I527" t="n">
        <v>0</v>
      </c>
      <c r="J527" t="n">
        <v>0</v>
      </c>
      <c r="K527" t="n">
        <v>0</v>
      </c>
      <c r="L527" t="n">
        <v>0</v>
      </c>
      <c r="M527" t="n">
        <v>0</v>
      </c>
      <c r="N527" t="n">
        <v>0</v>
      </c>
      <c r="O527" t="n">
        <v>0</v>
      </c>
      <c r="P527" t="n">
        <v>0</v>
      </c>
      <c r="Q527" t="n">
        <v>0</v>
      </c>
      <c r="R527" s="2" t="inlineStr"/>
    </row>
    <row r="528" ht="15" customHeight="1">
      <c r="A528" t="inlineStr">
        <is>
          <t>A 20054-2023</t>
        </is>
      </c>
      <c r="B528" s="1" t="n">
        <v>45054.6750462963</v>
      </c>
      <c r="C528" s="1" t="n">
        <v>46164</v>
      </c>
      <c r="D528" t="inlineStr">
        <is>
          <t>KALMAR LÄN</t>
        </is>
      </c>
      <c r="E528" t="inlineStr">
        <is>
          <t>VIMMERBY</t>
        </is>
      </c>
      <c r="G528" t="n">
        <v>2.4</v>
      </c>
      <c r="H528" t="n">
        <v>0</v>
      </c>
      <c r="I528" t="n">
        <v>0</v>
      </c>
      <c r="J528" t="n">
        <v>0</v>
      </c>
      <c r="K528" t="n">
        <v>0</v>
      </c>
      <c r="L528" t="n">
        <v>0</v>
      </c>
      <c r="M528" t="n">
        <v>0</v>
      </c>
      <c r="N528" t="n">
        <v>0</v>
      </c>
      <c r="O528" t="n">
        <v>0</v>
      </c>
      <c r="P528" t="n">
        <v>0</v>
      </c>
      <c r="Q528" t="n">
        <v>0</v>
      </c>
      <c r="R528" s="2" t="inlineStr"/>
    </row>
    <row r="529" ht="15" customHeight="1">
      <c r="A529" t="inlineStr">
        <is>
          <t>A 54813-2025</t>
        </is>
      </c>
      <c r="B529" s="1" t="n">
        <v>45966.64881944445</v>
      </c>
      <c r="C529" s="1" t="n">
        <v>46164</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58750-2022</t>
        </is>
      </c>
      <c r="B530" s="1" t="n">
        <v>44903.33363425926</v>
      </c>
      <c r="C530" s="1" t="n">
        <v>46164</v>
      </c>
      <c r="D530" t="inlineStr">
        <is>
          <t>KALMAR LÄN</t>
        </is>
      </c>
      <c r="E530" t="inlineStr">
        <is>
          <t>VIMMERBY</t>
        </is>
      </c>
      <c r="G530" t="n">
        <v>3.3</v>
      </c>
      <c r="H530" t="n">
        <v>0</v>
      </c>
      <c r="I530" t="n">
        <v>0</v>
      </c>
      <c r="J530" t="n">
        <v>0</v>
      </c>
      <c r="K530" t="n">
        <v>0</v>
      </c>
      <c r="L530" t="n">
        <v>0</v>
      </c>
      <c r="M530" t="n">
        <v>0</v>
      </c>
      <c r="N530" t="n">
        <v>0</v>
      </c>
      <c r="O530" t="n">
        <v>0</v>
      </c>
      <c r="P530" t="n">
        <v>0</v>
      </c>
      <c r="Q530" t="n">
        <v>0</v>
      </c>
      <c r="R530" s="2" t="inlineStr"/>
    </row>
    <row r="531" ht="15" customHeight="1">
      <c r="A531" t="inlineStr">
        <is>
          <t>A 2260-2022</t>
        </is>
      </c>
      <c r="B531" s="1" t="n">
        <v>44578.62943287037</v>
      </c>
      <c r="C531" s="1" t="n">
        <v>46164</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50860-2022</t>
        </is>
      </c>
      <c r="B532" s="1" t="n">
        <v>44867</v>
      </c>
      <c r="C532" s="1" t="n">
        <v>46164</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53483-2022</t>
        </is>
      </c>
      <c r="B533" s="1" t="n">
        <v>44879.55940972222</v>
      </c>
      <c r="C533" s="1" t="n">
        <v>46164</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55385-2025</t>
        </is>
      </c>
      <c r="B534" s="1" t="n">
        <v>45971.43350694444</v>
      </c>
      <c r="C534" s="1" t="n">
        <v>46164</v>
      </c>
      <c r="D534" t="inlineStr">
        <is>
          <t>KALMAR LÄN</t>
        </is>
      </c>
      <c r="E534" t="inlineStr">
        <is>
          <t>VIMMERBY</t>
        </is>
      </c>
      <c r="G534" t="n">
        <v>5</v>
      </c>
      <c r="H534" t="n">
        <v>0</v>
      </c>
      <c r="I534" t="n">
        <v>0</v>
      </c>
      <c r="J534" t="n">
        <v>0</v>
      </c>
      <c r="K534" t="n">
        <v>0</v>
      </c>
      <c r="L534" t="n">
        <v>0</v>
      </c>
      <c r="M534" t="n">
        <v>0</v>
      </c>
      <c r="N534" t="n">
        <v>0</v>
      </c>
      <c r="O534" t="n">
        <v>0</v>
      </c>
      <c r="P534" t="n">
        <v>0</v>
      </c>
      <c r="Q534" t="n">
        <v>0</v>
      </c>
      <c r="R534" s="2" t="inlineStr"/>
    </row>
    <row r="535" ht="15" customHeight="1">
      <c r="A535" t="inlineStr">
        <is>
          <t>A 58962-2022</t>
        </is>
      </c>
      <c r="B535" s="1" t="n">
        <v>44903</v>
      </c>
      <c r="C535" s="1" t="n">
        <v>46164</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58967-2022</t>
        </is>
      </c>
      <c r="B536" s="1" t="n">
        <v>44896</v>
      </c>
      <c r="C536" s="1" t="n">
        <v>46164</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57682-2022</t>
        </is>
      </c>
      <c r="B537" s="1" t="n">
        <v>44890</v>
      </c>
      <c r="C537" s="1" t="n">
        <v>46164</v>
      </c>
      <c r="D537" t="inlineStr">
        <is>
          <t>KALMAR LÄN</t>
        </is>
      </c>
      <c r="E537" t="inlineStr">
        <is>
          <t>VIMMERBY</t>
        </is>
      </c>
      <c r="G537" t="n">
        <v>1.5</v>
      </c>
      <c r="H537" t="n">
        <v>0</v>
      </c>
      <c r="I537" t="n">
        <v>0</v>
      </c>
      <c r="J537" t="n">
        <v>0</v>
      </c>
      <c r="K537" t="n">
        <v>0</v>
      </c>
      <c r="L537" t="n">
        <v>0</v>
      </c>
      <c r="M537" t="n">
        <v>0</v>
      </c>
      <c r="N537" t="n">
        <v>0</v>
      </c>
      <c r="O537" t="n">
        <v>0</v>
      </c>
      <c r="P537" t="n">
        <v>0</v>
      </c>
      <c r="Q537" t="n">
        <v>0</v>
      </c>
      <c r="R537" s="2" t="inlineStr"/>
    </row>
    <row r="538" ht="15" customHeight="1">
      <c r="A538" t="inlineStr">
        <is>
          <t>A 55602-2025</t>
        </is>
      </c>
      <c r="B538" s="1" t="n">
        <v>45971</v>
      </c>
      <c r="C538" s="1" t="n">
        <v>46164</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55603-2025</t>
        </is>
      </c>
      <c r="B539" s="1" t="n">
        <v>45971</v>
      </c>
      <c r="C539" s="1" t="n">
        <v>46164</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55605-2025</t>
        </is>
      </c>
      <c r="B540" s="1" t="n">
        <v>45971</v>
      </c>
      <c r="C540" s="1" t="n">
        <v>46164</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4076-2022</t>
        </is>
      </c>
      <c r="B541" s="1" t="n">
        <v>44588.37998842593</v>
      </c>
      <c r="C541" s="1" t="n">
        <v>46164</v>
      </c>
      <c r="D541" t="inlineStr">
        <is>
          <t>KALMAR LÄN</t>
        </is>
      </c>
      <c r="E541" t="inlineStr">
        <is>
          <t>VIMMERBY</t>
        </is>
      </c>
      <c r="G541" t="n">
        <v>3</v>
      </c>
      <c r="H541" t="n">
        <v>0</v>
      </c>
      <c r="I541" t="n">
        <v>0</v>
      </c>
      <c r="J541" t="n">
        <v>0</v>
      </c>
      <c r="K541" t="n">
        <v>0</v>
      </c>
      <c r="L541" t="n">
        <v>0</v>
      </c>
      <c r="M541" t="n">
        <v>0</v>
      </c>
      <c r="N541" t="n">
        <v>0</v>
      </c>
      <c r="O541" t="n">
        <v>0</v>
      </c>
      <c r="P541" t="n">
        <v>0</v>
      </c>
      <c r="Q541" t="n">
        <v>0</v>
      </c>
      <c r="R541" s="2" t="inlineStr"/>
    </row>
    <row r="542" ht="15" customHeight="1">
      <c r="A542" t="inlineStr">
        <is>
          <t>A 4122-2022</t>
        </is>
      </c>
      <c r="B542" s="1" t="n">
        <v>44588</v>
      </c>
      <c r="C542" s="1" t="n">
        <v>46164</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11798-2026</t>
        </is>
      </c>
      <c r="B543" s="1" t="n">
        <v>46085.34020833333</v>
      </c>
      <c r="C543" s="1" t="n">
        <v>46164</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9624-2024</t>
        </is>
      </c>
      <c r="B544" s="1" t="n">
        <v>45361.90282407407</v>
      </c>
      <c r="C544" s="1" t="n">
        <v>46164</v>
      </c>
      <c r="D544" t="inlineStr">
        <is>
          <t>KALMAR LÄN</t>
        </is>
      </c>
      <c r="E544" t="inlineStr">
        <is>
          <t>VIMMERBY</t>
        </is>
      </c>
      <c r="G544" t="n">
        <v>3.8</v>
      </c>
      <c r="H544" t="n">
        <v>0</v>
      </c>
      <c r="I544" t="n">
        <v>0</v>
      </c>
      <c r="J544" t="n">
        <v>0</v>
      </c>
      <c r="K544" t="n">
        <v>0</v>
      </c>
      <c r="L544" t="n">
        <v>0</v>
      </c>
      <c r="M544" t="n">
        <v>0</v>
      </c>
      <c r="N544" t="n">
        <v>0</v>
      </c>
      <c r="O544" t="n">
        <v>0</v>
      </c>
      <c r="P544" t="n">
        <v>0</v>
      </c>
      <c r="Q544" t="n">
        <v>0</v>
      </c>
      <c r="R544" s="2" t="inlineStr"/>
    </row>
    <row r="545" ht="15" customHeight="1">
      <c r="A545" t="inlineStr">
        <is>
          <t>A 52327-2023</t>
        </is>
      </c>
      <c r="B545" s="1" t="n">
        <v>45224.6515162037</v>
      </c>
      <c r="C545" s="1" t="n">
        <v>46164</v>
      </c>
      <c r="D545" t="inlineStr">
        <is>
          <t>KALMAR LÄN</t>
        </is>
      </c>
      <c r="E545" t="inlineStr">
        <is>
          <t>VIMMERBY</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29616-2022</t>
        </is>
      </c>
      <c r="B546" s="1" t="n">
        <v>44754</v>
      </c>
      <c r="C546" s="1" t="n">
        <v>46164</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29348-2023</t>
        </is>
      </c>
      <c r="B547" s="1" t="n">
        <v>45106.25025462963</v>
      </c>
      <c r="C547" s="1" t="n">
        <v>46164</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28403-2023</t>
        </is>
      </c>
      <c r="B548" s="1" t="n">
        <v>45100.85270833333</v>
      </c>
      <c r="C548" s="1" t="n">
        <v>46164</v>
      </c>
      <c r="D548" t="inlineStr">
        <is>
          <t>KALMAR LÄN</t>
        </is>
      </c>
      <c r="E548" t="inlineStr">
        <is>
          <t>VIMMERBY</t>
        </is>
      </c>
      <c r="G548" t="n">
        <v>1.8</v>
      </c>
      <c r="H548" t="n">
        <v>0</v>
      </c>
      <c r="I548" t="n">
        <v>0</v>
      </c>
      <c r="J548" t="n">
        <v>0</v>
      </c>
      <c r="K548" t="n">
        <v>0</v>
      </c>
      <c r="L548" t="n">
        <v>0</v>
      </c>
      <c r="M548" t="n">
        <v>0</v>
      </c>
      <c r="N548" t="n">
        <v>0</v>
      </c>
      <c r="O548" t="n">
        <v>0</v>
      </c>
      <c r="P548" t="n">
        <v>0</v>
      </c>
      <c r="Q548" t="n">
        <v>0</v>
      </c>
      <c r="R548" s="2" t="inlineStr"/>
    </row>
    <row r="549" ht="15" customHeight="1">
      <c r="A549" t="inlineStr">
        <is>
          <t>A 17511-2024</t>
        </is>
      </c>
      <c r="B549" s="1" t="n">
        <v>45415.57682870371</v>
      </c>
      <c r="C549" s="1" t="n">
        <v>46164</v>
      </c>
      <c r="D549" t="inlineStr">
        <is>
          <t>KALMAR LÄN</t>
        </is>
      </c>
      <c r="E549" t="inlineStr">
        <is>
          <t>VIMMERBY</t>
        </is>
      </c>
      <c r="G549" t="n">
        <v>5.3</v>
      </c>
      <c r="H549" t="n">
        <v>0</v>
      </c>
      <c r="I549" t="n">
        <v>0</v>
      </c>
      <c r="J549" t="n">
        <v>0</v>
      </c>
      <c r="K549" t="n">
        <v>0</v>
      </c>
      <c r="L549" t="n">
        <v>0</v>
      </c>
      <c r="M549" t="n">
        <v>0</v>
      </c>
      <c r="N549" t="n">
        <v>0</v>
      </c>
      <c r="O549" t="n">
        <v>0</v>
      </c>
      <c r="P549" t="n">
        <v>0</v>
      </c>
      <c r="Q549" t="n">
        <v>0</v>
      </c>
      <c r="R549" s="2" t="inlineStr"/>
    </row>
    <row r="550" ht="15" customHeight="1">
      <c r="A550" t="inlineStr">
        <is>
          <t>A 66022-2021</t>
        </is>
      </c>
      <c r="B550" s="1" t="n">
        <v>44517</v>
      </c>
      <c r="C550" s="1" t="n">
        <v>46164</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29973-2023</t>
        </is>
      </c>
      <c r="B551" s="1" t="n">
        <v>45108.703125</v>
      </c>
      <c r="C551" s="1" t="n">
        <v>46164</v>
      </c>
      <c r="D551" t="inlineStr">
        <is>
          <t>KALMAR LÄN</t>
        </is>
      </c>
      <c r="E551" t="inlineStr">
        <is>
          <t>VIMMERBY</t>
        </is>
      </c>
      <c r="G551" t="n">
        <v>4</v>
      </c>
      <c r="H551" t="n">
        <v>0</v>
      </c>
      <c r="I551" t="n">
        <v>0</v>
      </c>
      <c r="J551" t="n">
        <v>0</v>
      </c>
      <c r="K551" t="n">
        <v>0</v>
      </c>
      <c r="L551" t="n">
        <v>0</v>
      </c>
      <c r="M551" t="n">
        <v>0</v>
      </c>
      <c r="N551" t="n">
        <v>0</v>
      </c>
      <c r="O551" t="n">
        <v>0</v>
      </c>
      <c r="P551" t="n">
        <v>0</v>
      </c>
      <c r="Q551" t="n">
        <v>0</v>
      </c>
      <c r="R551" s="2" t="inlineStr"/>
    </row>
    <row r="552" ht="15" customHeight="1">
      <c r="A552" t="inlineStr">
        <is>
          <t>A 30070-2023</t>
        </is>
      </c>
      <c r="B552" s="1" t="n">
        <v>45110.4275</v>
      </c>
      <c r="C552" s="1" t="n">
        <v>46164</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46078-2023</t>
        </is>
      </c>
      <c r="B553" s="1" t="n">
        <v>45196</v>
      </c>
      <c r="C553" s="1" t="n">
        <v>46164</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7643-2022</t>
        </is>
      </c>
      <c r="B554" s="1" t="n">
        <v>44607</v>
      </c>
      <c r="C554" s="1" t="n">
        <v>46164</v>
      </c>
      <c r="D554" t="inlineStr">
        <is>
          <t>KALMAR LÄN</t>
        </is>
      </c>
      <c r="E554" t="inlineStr">
        <is>
          <t>VIMMERBY</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3494-2023</t>
        </is>
      </c>
      <c r="B555" s="1" t="n">
        <v>44949</v>
      </c>
      <c r="C555" s="1" t="n">
        <v>46164</v>
      </c>
      <c r="D555" t="inlineStr">
        <is>
          <t>KALMAR LÄN</t>
        </is>
      </c>
      <c r="E555" t="inlineStr">
        <is>
          <t>VIMMERBY</t>
        </is>
      </c>
      <c r="F555" t="inlineStr">
        <is>
          <t>Kyrkan</t>
        </is>
      </c>
      <c r="G555" t="n">
        <v>0.8</v>
      </c>
      <c r="H555" t="n">
        <v>0</v>
      </c>
      <c r="I555" t="n">
        <v>0</v>
      </c>
      <c r="J555" t="n">
        <v>0</v>
      </c>
      <c r="K555" t="n">
        <v>0</v>
      </c>
      <c r="L555" t="n">
        <v>0</v>
      </c>
      <c r="M555" t="n">
        <v>0</v>
      </c>
      <c r="N555" t="n">
        <v>0</v>
      </c>
      <c r="O555" t="n">
        <v>0</v>
      </c>
      <c r="P555" t="n">
        <v>0</v>
      </c>
      <c r="Q555" t="n">
        <v>0</v>
      </c>
      <c r="R555" s="2" t="inlineStr"/>
    </row>
    <row r="556" ht="15" customHeight="1">
      <c r="A556" t="inlineStr">
        <is>
          <t>A 32633-2023</t>
        </is>
      </c>
      <c r="B556" s="1" t="n">
        <v>45121.58699074074</v>
      </c>
      <c r="C556" s="1" t="n">
        <v>46164</v>
      </c>
      <c r="D556" t="inlineStr">
        <is>
          <t>KALMAR LÄN</t>
        </is>
      </c>
      <c r="E556" t="inlineStr">
        <is>
          <t>VIMMERBY</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18633-2026</t>
        </is>
      </c>
      <c r="B557" s="1" t="n">
        <v>46128.26289351852</v>
      </c>
      <c r="C557" s="1" t="n">
        <v>46164</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43601-2024</t>
        </is>
      </c>
      <c r="B558" s="1" t="n">
        <v>45569.44684027778</v>
      </c>
      <c r="C558" s="1" t="n">
        <v>46164</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57728-2025</t>
        </is>
      </c>
      <c r="B559" s="1" t="n">
        <v>45981</v>
      </c>
      <c r="C559" s="1" t="n">
        <v>46164</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13813-2024</t>
        </is>
      </c>
      <c r="B560" s="1" t="n">
        <v>45391.41310185185</v>
      </c>
      <c r="C560" s="1" t="n">
        <v>46164</v>
      </c>
      <c r="D560" t="inlineStr">
        <is>
          <t>KALMAR LÄN</t>
        </is>
      </c>
      <c r="E560" t="inlineStr">
        <is>
          <t>VIMMERBY</t>
        </is>
      </c>
      <c r="G560" t="n">
        <v>0.4</v>
      </c>
      <c r="H560" t="n">
        <v>0</v>
      </c>
      <c r="I560" t="n">
        <v>0</v>
      </c>
      <c r="J560" t="n">
        <v>0</v>
      </c>
      <c r="K560" t="n">
        <v>0</v>
      </c>
      <c r="L560" t="n">
        <v>0</v>
      </c>
      <c r="M560" t="n">
        <v>0</v>
      </c>
      <c r="N560" t="n">
        <v>0</v>
      </c>
      <c r="O560" t="n">
        <v>0</v>
      </c>
      <c r="P560" t="n">
        <v>0</v>
      </c>
      <c r="Q560" t="n">
        <v>0</v>
      </c>
      <c r="R560" s="2" t="inlineStr"/>
    </row>
    <row r="561" ht="15" customHeight="1">
      <c r="A561" t="inlineStr">
        <is>
          <t>A 25234-2023</t>
        </is>
      </c>
      <c r="B561" s="1" t="n">
        <v>45086.63194444445</v>
      </c>
      <c r="C561" s="1" t="n">
        <v>46164</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25236-2023</t>
        </is>
      </c>
      <c r="B562" s="1" t="n">
        <v>45086.63334490741</v>
      </c>
      <c r="C562" s="1" t="n">
        <v>46164</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58442-2025</t>
        </is>
      </c>
      <c r="B563" s="1" t="n">
        <v>45985.61635416667</v>
      </c>
      <c r="C563" s="1" t="n">
        <v>46164</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58498-2025</t>
        </is>
      </c>
      <c r="B564" s="1" t="n">
        <v>45985.68671296296</v>
      </c>
      <c r="C564" s="1" t="n">
        <v>46164</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58501-2025</t>
        </is>
      </c>
      <c r="B565" s="1" t="n">
        <v>45985.69153935185</v>
      </c>
      <c r="C565" s="1" t="n">
        <v>46164</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58514-2025</t>
        </is>
      </c>
      <c r="B566" s="1" t="n">
        <v>45985.70513888889</v>
      </c>
      <c r="C566" s="1" t="n">
        <v>46164</v>
      </c>
      <c r="D566" t="inlineStr">
        <is>
          <t>KALMAR LÄN</t>
        </is>
      </c>
      <c r="E566" t="inlineStr">
        <is>
          <t>VIMMERBY</t>
        </is>
      </c>
      <c r="G566" t="n">
        <v>3.7</v>
      </c>
      <c r="H566" t="n">
        <v>0</v>
      </c>
      <c r="I566" t="n">
        <v>0</v>
      </c>
      <c r="J566" t="n">
        <v>0</v>
      </c>
      <c r="K566" t="n">
        <v>0</v>
      </c>
      <c r="L566" t="n">
        <v>0</v>
      </c>
      <c r="M566" t="n">
        <v>0</v>
      </c>
      <c r="N566" t="n">
        <v>0</v>
      </c>
      <c r="O566" t="n">
        <v>0</v>
      </c>
      <c r="P566" t="n">
        <v>0</v>
      </c>
      <c r="Q566" t="n">
        <v>0</v>
      </c>
      <c r="R566" s="2" t="inlineStr"/>
    </row>
    <row r="567" ht="15" customHeight="1">
      <c r="A567" t="inlineStr">
        <is>
          <t>A 25244-2023</t>
        </is>
      </c>
      <c r="B567" s="1" t="n">
        <v>45086</v>
      </c>
      <c r="C567" s="1" t="n">
        <v>46164</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23341-2022</t>
        </is>
      </c>
      <c r="B568" s="1" t="n">
        <v>44720.53898148148</v>
      </c>
      <c r="C568" s="1" t="n">
        <v>46164</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58503-2025</t>
        </is>
      </c>
      <c r="B569" s="1" t="n">
        <v>45985.69509259259</v>
      </c>
      <c r="C569" s="1" t="n">
        <v>46164</v>
      </c>
      <c r="D569" t="inlineStr">
        <is>
          <t>KALMAR LÄN</t>
        </is>
      </c>
      <c r="E569" t="inlineStr">
        <is>
          <t>VIMMERBY</t>
        </is>
      </c>
      <c r="G569" t="n">
        <v>1.6</v>
      </c>
      <c r="H569" t="n">
        <v>0</v>
      </c>
      <c r="I569" t="n">
        <v>0</v>
      </c>
      <c r="J569" t="n">
        <v>0</v>
      </c>
      <c r="K569" t="n">
        <v>0</v>
      </c>
      <c r="L569" t="n">
        <v>0</v>
      </c>
      <c r="M569" t="n">
        <v>0</v>
      </c>
      <c r="N569" t="n">
        <v>0</v>
      </c>
      <c r="O569" t="n">
        <v>0</v>
      </c>
      <c r="P569" t="n">
        <v>0</v>
      </c>
      <c r="Q569" t="n">
        <v>0</v>
      </c>
      <c r="R569" s="2" t="inlineStr"/>
    </row>
    <row r="570" ht="15" customHeight="1">
      <c r="A570" t="inlineStr">
        <is>
          <t>A 58446-2025</t>
        </is>
      </c>
      <c r="B570" s="1" t="n">
        <v>45985.62168981481</v>
      </c>
      <c r="C570" s="1" t="n">
        <v>46164</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58500-2025</t>
        </is>
      </c>
      <c r="B571" s="1" t="n">
        <v>45985.69008101852</v>
      </c>
      <c r="C571" s="1" t="n">
        <v>46164</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71793-2021</t>
        </is>
      </c>
      <c r="B572" s="1" t="n">
        <v>44539</v>
      </c>
      <c r="C572" s="1" t="n">
        <v>46164</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58435-2025</t>
        </is>
      </c>
      <c r="B573" s="1" t="n">
        <v>45985.61501157407</v>
      </c>
      <c r="C573" s="1" t="n">
        <v>46164</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73938-2021</t>
        </is>
      </c>
      <c r="B574" s="1" t="n">
        <v>44553</v>
      </c>
      <c r="C574" s="1" t="n">
        <v>46164</v>
      </c>
      <c r="D574" t="inlineStr">
        <is>
          <t>KALMAR LÄN</t>
        </is>
      </c>
      <c r="E574" t="inlineStr">
        <is>
          <t>VIMMERBY</t>
        </is>
      </c>
      <c r="G574" t="n">
        <v>3.2</v>
      </c>
      <c r="H574" t="n">
        <v>0</v>
      </c>
      <c r="I574" t="n">
        <v>0</v>
      </c>
      <c r="J574" t="n">
        <v>0</v>
      </c>
      <c r="K574" t="n">
        <v>0</v>
      </c>
      <c r="L574" t="n">
        <v>0</v>
      </c>
      <c r="M574" t="n">
        <v>0</v>
      </c>
      <c r="N574" t="n">
        <v>0</v>
      </c>
      <c r="O574" t="n">
        <v>0</v>
      </c>
      <c r="P574" t="n">
        <v>0</v>
      </c>
      <c r="Q574" t="n">
        <v>0</v>
      </c>
      <c r="R574" s="2" t="inlineStr"/>
    </row>
    <row r="575" ht="15" customHeight="1">
      <c r="A575" t="inlineStr">
        <is>
          <t>A 59037-2025</t>
        </is>
      </c>
      <c r="B575" s="1" t="n">
        <v>45988.36508101852</v>
      </c>
      <c r="C575" s="1" t="n">
        <v>46164</v>
      </c>
      <c r="D575" t="inlineStr">
        <is>
          <t>KALMAR LÄN</t>
        </is>
      </c>
      <c r="E575" t="inlineStr">
        <is>
          <t>VIMMERBY</t>
        </is>
      </c>
      <c r="F575" t="inlineStr">
        <is>
          <t>Sveaskog</t>
        </is>
      </c>
      <c r="G575" t="n">
        <v>4</v>
      </c>
      <c r="H575" t="n">
        <v>0</v>
      </c>
      <c r="I575" t="n">
        <v>0</v>
      </c>
      <c r="J575" t="n">
        <v>0</v>
      </c>
      <c r="K575" t="n">
        <v>0</v>
      </c>
      <c r="L575" t="n">
        <v>0</v>
      </c>
      <c r="M575" t="n">
        <v>0</v>
      </c>
      <c r="N575" t="n">
        <v>0</v>
      </c>
      <c r="O575" t="n">
        <v>0</v>
      </c>
      <c r="P575" t="n">
        <v>0</v>
      </c>
      <c r="Q575" t="n">
        <v>0</v>
      </c>
      <c r="R575" s="2" t="inlineStr"/>
    </row>
    <row r="576" ht="15" customHeight="1">
      <c r="A576" t="inlineStr">
        <is>
          <t>A 59034-2025</t>
        </is>
      </c>
      <c r="B576" s="1" t="n">
        <v>45988.36243055556</v>
      </c>
      <c r="C576" s="1" t="n">
        <v>46164</v>
      </c>
      <c r="D576" t="inlineStr">
        <is>
          <t>KALMAR LÄN</t>
        </is>
      </c>
      <c r="E576" t="inlineStr">
        <is>
          <t>VIMMERBY</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59068-2025</t>
        </is>
      </c>
      <c r="B577" s="1" t="n">
        <v>45988.41725694444</v>
      </c>
      <c r="C577" s="1" t="n">
        <v>46164</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6069-2023</t>
        </is>
      </c>
      <c r="B578" s="1" t="n">
        <v>44964.5115162037</v>
      </c>
      <c r="C578" s="1" t="n">
        <v>46164</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12730-2026</t>
        </is>
      </c>
      <c r="B579" s="1" t="n">
        <v>46091</v>
      </c>
      <c r="C579" s="1" t="n">
        <v>46164</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58858-2025</t>
        </is>
      </c>
      <c r="B580" s="1" t="n">
        <v>45987.4243287037</v>
      </c>
      <c r="C580" s="1" t="n">
        <v>46164</v>
      </c>
      <c r="D580" t="inlineStr">
        <is>
          <t>KALMAR LÄN</t>
        </is>
      </c>
      <c r="E580" t="inlineStr">
        <is>
          <t>VIMMERBY</t>
        </is>
      </c>
      <c r="G580" t="n">
        <v>1.2</v>
      </c>
      <c r="H580" t="n">
        <v>0</v>
      </c>
      <c r="I580" t="n">
        <v>0</v>
      </c>
      <c r="J580" t="n">
        <v>0</v>
      </c>
      <c r="K580" t="n">
        <v>0</v>
      </c>
      <c r="L580" t="n">
        <v>0</v>
      </c>
      <c r="M580" t="n">
        <v>0</v>
      </c>
      <c r="N580" t="n">
        <v>0</v>
      </c>
      <c r="O580" t="n">
        <v>0</v>
      </c>
      <c r="P580" t="n">
        <v>0</v>
      </c>
      <c r="Q580" t="n">
        <v>0</v>
      </c>
      <c r="R580" s="2" t="inlineStr"/>
    </row>
    <row r="581" ht="15" customHeight="1">
      <c r="A581" t="inlineStr">
        <is>
          <t>A 59039-2025</t>
        </is>
      </c>
      <c r="B581" s="1" t="n">
        <v>45988.36790509259</v>
      </c>
      <c r="C581" s="1" t="n">
        <v>46164</v>
      </c>
      <c r="D581" t="inlineStr">
        <is>
          <t>KALMAR LÄN</t>
        </is>
      </c>
      <c r="E581" t="inlineStr">
        <is>
          <t>VIMMERBY</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50995-2022</t>
        </is>
      </c>
      <c r="B582" s="1" t="n">
        <v>44867</v>
      </c>
      <c r="C582" s="1" t="n">
        <v>46164</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58841-2025</t>
        </is>
      </c>
      <c r="B583" s="1" t="n">
        <v>45987.36275462963</v>
      </c>
      <c r="C583" s="1" t="n">
        <v>46164</v>
      </c>
      <c r="D583" t="inlineStr">
        <is>
          <t>KALMAR LÄN</t>
        </is>
      </c>
      <c r="E583" t="inlineStr">
        <is>
          <t>VIMMERBY</t>
        </is>
      </c>
      <c r="G583" t="n">
        <v>3.5</v>
      </c>
      <c r="H583" t="n">
        <v>0</v>
      </c>
      <c r="I583" t="n">
        <v>0</v>
      </c>
      <c r="J583" t="n">
        <v>0</v>
      </c>
      <c r="K583" t="n">
        <v>0</v>
      </c>
      <c r="L583" t="n">
        <v>0</v>
      </c>
      <c r="M583" t="n">
        <v>0</v>
      </c>
      <c r="N583" t="n">
        <v>0</v>
      </c>
      <c r="O583" t="n">
        <v>0</v>
      </c>
      <c r="P583" t="n">
        <v>0</v>
      </c>
      <c r="Q583" t="n">
        <v>0</v>
      </c>
      <c r="R583" s="2" t="inlineStr"/>
    </row>
    <row r="584" ht="15" customHeight="1">
      <c r="A584" t="inlineStr">
        <is>
          <t>A 27122-2023</t>
        </is>
      </c>
      <c r="B584" s="1" t="n">
        <v>45096.45247685185</v>
      </c>
      <c r="C584" s="1" t="n">
        <v>46164</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30402-2023</t>
        </is>
      </c>
      <c r="B585" s="1" t="n">
        <v>45111.48395833333</v>
      </c>
      <c r="C585" s="1" t="n">
        <v>46164</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47842-2024</t>
        </is>
      </c>
      <c r="B586" s="1" t="n">
        <v>45588.65545138889</v>
      </c>
      <c r="C586" s="1" t="n">
        <v>46164</v>
      </c>
      <c r="D586" t="inlineStr">
        <is>
          <t>KALMAR LÄN</t>
        </is>
      </c>
      <c r="E586" t="inlineStr">
        <is>
          <t>VIMMERBY</t>
        </is>
      </c>
      <c r="G586" t="n">
        <v>2.4</v>
      </c>
      <c r="H586" t="n">
        <v>0</v>
      </c>
      <c r="I586" t="n">
        <v>0</v>
      </c>
      <c r="J586" t="n">
        <v>0</v>
      </c>
      <c r="K586" t="n">
        <v>0</v>
      </c>
      <c r="L586" t="n">
        <v>0</v>
      </c>
      <c r="M586" t="n">
        <v>0</v>
      </c>
      <c r="N586" t="n">
        <v>0</v>
      </c>
      <c r="O586" t="n">
        <v>0</v>
      </c>
      <c r="P586" t="n">
        <v>0</v>
      </c>
      <c r="Q586" t="n">
        <v>0</v>
      </c>
      <c r="R586" s="2" t="inlineStr"/>
    </row>
    <row r="587" ht="15" customHeight="1">
      <c r="A587" t="inlineStr">
        <is>
          <t>A 6857-2023</t>
        </is>
      </c>
      <c r="B587" s="1" t="n">
        <v>44967.45122685185</v>
      </c>
      <c r="C587" s="1" t="n">
        <v>46164</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46224-2024</t>
        </is>
      </c>
      <c r="B588" s="1" t="n">
        <v>45581.57016203704</v>
      </c>
      <c r="C588" s="1" t="n">
        <v>46164</v>
      </c>
      <c r="D588" t="inlineStr">
        <is>
          <t>KALMAR LÄN</t>
        </is>
      </c>
      <c r="E588" t="inlineStr">
        <is>
          <t>VIMMERBY</t>
        </is>
      </c>
      <c r="G588" t="n">
        <v>3.1</v>
      </c>
      <c r="H588" t="n">
        <v>0</v>
      </c>
      <c r="I588" t="n">
        <v>0</v>
      </c>
      <c r="J588" t="n">
        <v>0</v>
      </c>
      <c r="K588" t="n">
        <v>0</v>
      </c>
      <c r="L588" t="n">
        <v>0</v>
      </c>
      <c r="M588" t="n">
        <v>0</v>
      </c>
      <c r="N588" t="n">
        <v>0</v>
      </c>
      <c r="O588" t="n">
        <v>0</v>
      </c>
      <c r="P588" t="n">
        <v>0</v>
      </c>
      <c r="Q588" t="n">
        <v>0</v>
      </c>
      <c r="R588" s="2" t="inlineStr"/>
    </row>
    <row r="589" ht="15" customHeight="1">
      <c r="A589" t="inlineStr">
        <is>
          <t>A 59579-2025</t>
        </is>
      </c>
      <c r="B589" s="1" t="n">
        <v>45992.30569444445</v>
      </c>
      <c r="C589" s="1" t="n">
        <v>46164</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60180-2025</t>
        </is>
      </c>
      <c r="B590" s="1" t="n">
        <v>45994.46428240741</v>
      </c>
      <c r="C590" s="1" t="n">
        <v>46164</v>
      </c>
      <c r="D590" t="inlineStr">
        <is>
          <t>KALMAR LÄN</t>
        </is>
      </c>
      <c r="E590" t="inlineStr">
        <is>
          <t>VIMMERBY</t>
        </is>
      </c>
      <c r="G590" t="n">
        <v>6.8</v>
      </c>
      <c r="H590" t="n">
        <v>0</v>
      </c>
      <c r="I590" t="n">
        <v>0</v>
      </c>
      <c r="J590" t="n">
        <v>0</v>
      </c>
      <c r="K590" t="n">
        <v>0</v>
      </c>
      <c r="L590" t="n">
        <v>0</v>
      </c>
      <c r="M590" t="n">
        <v>0</v>
      </c>
      <c r="N590" t="n">
        <v>0</v>
      </c>
      <c r="O590" t="n">
        <v>0</v>
      </c>
      <c r="P590" t="n">
        <v>0</v>
      </c>
      <c r="Q590" t="n">
        <v>0</v>
      </c>
      <c r="R590" s="2" t="inlineStr"/>
    </row>
    <row r="591" ht="15" customHeight="1">
      <c r="A591" t="inlineStr">
        <is>
          <t>A 29013-2024</t>
        </is>
      </c>
      <c r="B591" s="1" t="n">
        <v>45481.55984953704</v>
      </c>
      <c r="C591" s="1" t="n">
        <v>46164</v>
      </c>
      <c r="D591" t="inlineStr">
        <is>
          <t>KALMAR LÄN</t>
        </is>
      </c>
      <c r="E591" t="inlineStr">
        <is>
          <t>VIMMERBY</t>
        </is>
      </c>
      <c r="G591" t="n">
        <v>3.4</v>
      </c>
      <c r="H591" t="n">
        <v>0</v>
      </c>
      <c r="I591" t="n">
        <v>0</v>
      </c>
      <c r="J591" t="n">
        <v>0</v>
      </c>
      <c r="K591" t="n">
        <v>0</v>
      </c>
      <c r="L591" t="n">
        <v>0</v>
      </c>
      <c r="M591" t="n">
        <v>0</v>
      </c>
      <c r="N591" t="n">
        <v>0</v>
      </c>
      <c r="O591" t="n">
        <v>0</v>
      </c>
      <c r="P591" t="n">
        <v>0</v>
      </c>
      <c r="Q591" t="n">
        <v>0</v>
      </c>
      <c r="R591" s="2" t="inlineStr"/>
    </row>
    <row r="592" ht="15" customHeight="1">
      <c r="A592" t="inlineStr">
        <is>
          <t>A 37028-2024</t>
        </is>
      </c>
      <c r="B592" s="1" t="n">
        <v>45539.38744212963</v>
      </c>
      <c r="C592" s="1" t="n">
        <v>46164</v>
      </c>
      <c r="D592" t="inlineStr">
        <is>
          <t>KALMAR LÄN</t>
        </is>
      </c>
      <c r="E592" t="inlineStr">
        <is>
          <t>VIMMERBY</t>
        </is>
      </c>
      <c r="G592" t="n">
        <v>5.2</v>
      </c>
      <c r="H592" t="n">
        <v>0</v>
      </c>
      <c r="I592" t="n">
        <v>0</v>
      </c>
      <c r="J592" t="n">
        <v>0</v>
      </c>
      <c r="K592" t="n">
        <v>0</v>
      </c>
      <c r="L592" t="n">
        <v>0</v>
      </c>
      <c r="M592" t="n">
        <v>0</v>
      </c>
      <c r="N592" t="n">
        <v>0</v>
      </c>
      <c r="O592" t="n">
        <v>0</v>
      </c>
      <c r="P592" t="n">
        <v>0</v>
      </c>
      <c r="Q592" t="n">
        <v>0</v>
      </c>
      <c r="R592" s="2" t="inlineStr"/>
    </row>
    <row r="593" ht="15" customHeight="1">
      <c r="A593" t="inlineStr">
        <is>
          <t>A 37187-2024</t>
        </is>
      </c>
      <c r="B593" s="1" t="n">
        <v>45539.65212962963</v>
      </c>
      <c r="C593" s="1" t="n">
        <v>46164</v>
      </c>
      <c r="D593" t="inlineStr">
        <is>
          <t>KALMAR LÄN</t>
        </is>
      </c>
      <c r="E593" t="inlineStr">
        <is>
          <t>VIMMERBY</t>
        </is>
      </c>
      <c r="G593" t="n">
        <v>2.7</v>
      </c>
      <c r="H593" t="n">
        <v>0</v>
      </c>
      <c r="I593" t="n">
        <v>0</v>
      </c>
      <c r="J593" t="n">
        <v>0</v>
      </c>
      <c r="K593" t="n">
        <v>0</v>
      </c>
      <c r="L593" t="n">
        <v>0</v>
      </c>
      <c r="M593" t="n">
        <v>0</v>
      </c>
      <c r="N593" t="n">
        <v>0</v>
      </c>
      <c r="O593" t="n">
        <v>0</v>
      </c>
      <c r="P593" t="n">
        <v>0</v>
      </c>
      <c r="Q593" t="n">
        <v>0</v>
      </c>
      <c r="R593" s="2" t="inlineStr"/>
    </row>
    <row r="594" ht="15" customHeight="1">
      <c r="A594" t="inlineStr">
        <is>
          <t>A 60297-2025</t>
        </is>
      </c>
      <c r="B594" s="1" t="n">
        <v>45994</v>
      </c>
      <c r="C594" s="1" t="n">
        <v>46164</v>
      </c>
      <c r="D594" t="inlineStr">
        <is>
          <t>KALMAR LÄN</t>
        </is>
      </c>
      <c r="E594" t="inlineStr">
        <is>
          <t>VIMMERBY</t>
        </is>
      </c>
      <c r="G594" t="n">
        <v>4.2</v>
      </c>
      <c r="H594" t="n">
        <v>0</v>
      </c>
      <c r="I594" t="n">
        <v>0</v>
      </c>
      <c r="J594" t="n">
        <v>0</v>
      </c>
      <c r="K594" t="n">
        <v>0</v>
      </c>
      <c r="L594" t="n">
        <v>0</v>
      </c>
      <c r="M594" t="n">
        <v>0</v>
      </c>
      <c r="N594" t="n">
        <v>0</v>
      </c>
      <c r="O594" t="n">
        <v>0</v>
      </c>
      <c r="P594" t="n">
        <v>0</v>
      </c>
      <c r="Q594" t="n">
        <v>0</v>
      </c>
      <c r="R594" s="2" t="inlineStr"/>
    </row>
    <row r="595" ht="15" customHeight="1">
      <c r="A595" t="inlineStr">
        <is>
          <t>A 12630-2023</t>
        </is>
      </c>
      <c r="B595" s="1" t="n">
        <v>45000.47998842593</v>
      </c>
      <c r="C595" s="1" t="n">
        <v>46164</v>
      </c>
      <c r="D595" t="inlineStr">
        <is>
          <t>KALMAR LÄN</t>
        </is>
      </c>
      <c r="E595" t="inlineStr">
        <is>
          <t>VIMMERBY</t>
        </is>
      </c>
      <c r="G595" t="n">
        <v>2.1</v>
      </c>
      <c r="H595" t="n">
        <v>0</v>
      </c>
      <c r="I595" t="n">
        <v>0</v>
      </c>
      <c r="J595" t="n">
        <v>0</v>
      </c>
      <c r="K595" t="n">
        <v>0</v>
      </c>
      <c r="L595" t="n">
        <v>0</v>
      </c>
      <c r="M595" t="n">
        <v>0</v>
      </c>
      <c r="N595" t="n">
        <v>0</v>
      </c>
      <c r="O595" t="n">
        <v>0</v>
      </c>
      <c r="P595" t="n">
        <v>0</v>
      </c>
      <c r="Q595" t="n">
        <v>0</v>
      </c>
      <c r="R595" s="2" t="inlineStr"/>
    </row>
    <row r="596" ht="15" customHeight="1">
      <c r="A596" t="inlineStr">
        <is>
          <t>A 39584-2024</t>
        </is>
      </c>
      <c r="B596" s="1" t="n">
        <v>45552.36759259259</v>
      </c>
      <c r="C596" s="1" t="n">
        <v>46164</v>
      </c>
      <c r="D596" t="inlineStr">
        <is>
          <t>KALMAR LÄN</t>
        </is>
      </c>
      <c r="E596" t="inlineStr">
        <is>
          <t>VIMMERBY</t>
        </is>
      </c>
      <c r="G596" t="n">
        <v>1.9</v>
      </c>
      <c r="H596" t="n">
        <v>0</v>
      </c>
      <c r="I596" t="n">
        <v>0</v>
      </c>
      <c r="J596" t="n">
        <v>0</v>
      </c>
      <c r="K596" t="n">
        <v>0</v>
      </c>
      <c r="L596" t="n">
        <v>0</v>
      </c>
      <c r="M596" t="n">
        <v>0</v>
      </c>
      <c r="N596" t="n">
        <v>0</v>
      </c>
      <c r="O596" t="n">
        <v>0</v>
      </c>
      <c r="P596" t="n">
        <v>0</v>
      </c>
      <c r="Q596" t="n">
        <v>0</v>
      </c>
      <c r="R596" s="2" t="inlineStr"/>
    </row>
    <row r="597" ht="15" customHeight="1">
      <c r="A597" t="inlineStr">
        <is>
          <t>A 27705-2023</t>
        </is>
      </c>
      <c r="B597" s="1" t="n">
        <v>45098.30535879629</v>
      </c>
      <c r="C597" s="1" t="n">
        <v>46164</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31013-2023</t>
        </is>
      </c>
      <c r="B598" s="1" t="n">
        <v>45113.56574074074</v>
      </c>
      <c r="C598" s="1" t="n">
        <v>46164</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15388-2025</t>
        </is>
      </c>
      <c r="B599" s="1" t="n">
        <v>45747.42633101852</v>
      </c>
      <c r="C599" s="1" t="n">
        <v>46164</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15391-2025</t>
        </is>
      </c>
      <c r="B600" s="1" t="n">
        <v>45747.42958333333</v>
      </c>
      <c r="C600" s="1" t="n">
        <v>46164</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11303-2025</t>
        </is>
      </c>
      <c r="B601" s="1" t="n">
        <v>45726.44471064815</v>
      </c>
      <c r="C601" s="1" t="n">
        <v>46164</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61790-2025</t>
        </is>
      </c>
      <c r="B602" s="1" t="n">
        <v>46002.68768518518</v>
      </c>
      <c r="C602" s="1" t="n">
        <v>46164</v>
      </c>
      <c r="D602" t="inlineStr">
        <is>
          <t>KALMAR LÄN</t>
        </is>
      </c>
      <c r="E602" t="inlineStr">
        <is>
          <t>VIMMERBY</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61726-2025</t>
        </is>
      </c>
      <c r="B603" s="1" t="n">
        <v>46002.58822916666</v>
      </c>
      <c r="C603" s="1" t="n">
        <v>46164</v>
      </c>
      <c r="D603" t="inlineStr">
        <is>
          <t>KALMAR LÄN</t>
        </is>
      </c>
      <c r="E603" t="inlineStr">
        <is>
          <t>VIMMERBY</t>
        </is>
      </c>
      <c r="F603" t="inlineStr">
        <is>
          <t>Sveaskog</t>
        </is>
      </c>
      <c r="G603" t="n">
        <v>0.2</v>
      </c>
      <c r="H603" t="n">
        <v>0</v>
      </c>
      <c r="I603" t="n">
        <v>0</v>
      </c>
      <c r="J603" t="n">
        <v>0</v>
      </c>
      <c r="K603" t="n">
        <v>0</v>
      </c>
      <c r="L603" t="n">
        <v>0</v>
      </c>
      <c r="M603" t="n">
        <v>0</v>
      </c>
      <c r="N603" t="n">
        <v>0</v>
      </c>
      <c r="O603" t="n">
        <v>0</v>
      </c>
      <c r="P603" t="n">
        <v>0</v>
      </c>
      <c r="Q603" t="n">
        <v>0</v>
      </c>
      <c r="R603" s="2" t="inlineStr"/>
    </row>
    <row r="604" ht="15" customHeight="1">
      <c r="A604" t="inlineStr">
        <is>
          <t>A 12820-2026</t>
        </is>
      </c>
      <c r="B604" s="1" t="n">
        <v>46092.40909722223</v>
      </c>
      <c r="C604" s="1" t="n">
        <v>46164</v>
      </c>
      <c r="D604" t="inlineStr">
        <is>
          <t>KALMAR LÄN</t>
        </is>
      </c>
      <c r="E604" t="inlineStr">
        <is>
          <t>VIMMERBY</t>
        </is>
      </c>
      <c r="G604" t="n">
        <v>4.3</v>
      </c>
      <c r="H604" t="n">
        <v>0</v>
      </c>
      <c r="I604" t="n">
        <v>0</v>
      </c>
      <c r="J604" t="n">
        <v>0</v>
      </c>
      <c r="K604" t="n">
        <v>0</v>
      </c>
      <c r="L604" t="n">
        <v>0</v>
      </c>
      <c r="M604" t="n">
        <v>0</v>
      </c>
      <c r="N604" t="n">
        <v>0</v>
      </c>
      <c r="O604" t="n">
        <v>0</v>
      </c>
      <c r="P604" t="n">
        <v>0</v>
      </c>
      <c r="Q604" t="n">
        <v>0</v>
      </c>
      <c r="R604" s="2" t="inlineStr"/>
    </row>
    <row r="605" ht="15" customHeight="1">
      <c r="A605" t="inlineStr">
        <is>
          <t>A 12821-2026</t>
        </is>
      </c>
      <c r="B605" s="1" t="n">
        <v>46092.41256944444</v>
      </c>
      <c r="C605" s="1" t="n">
        <v>46164</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12825-2026</t>
        </is>
      </c>
      <c r="B606" s="1" t="n">
        <v>46092.41561342592</v>
      </c>
      <c r="C606" s="1" t="n">
        <v>46164</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61725-2025</t>
        </is>
      </c>
      <c r="B607" s="1" t="n">
        <v>46002.58680555555</v>
      </c>
      <c r="C607" s="1" t="n">
        <v>46164</v>
      </c>
      <c r="D607" t="inlineStr">
        <is>
          <t>KALMAR LÄN</t>
        </is>
      </c>
      <c r="E607" t="inlineStr">
        <is>
          <t>VIMMERBY</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33352-2022</t>
        </is>
      </c>
      <c r="B608" s="1" t="n">
        <v>44788</v>
      </c>
      <c r="C608" s="1" t="n">
        <v>46164</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46234-2024</t>
        </is>
      </c>
      <c r="B609" s="1" t="n">
        <v>45581.57958333333</v>
      </c>
      <c r="C609" s="1" t="n">
        <v>46164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39053-2024</t>
        </is>
      </c>
      <c r="B610" s="1" t="n">
        <v>45548</v>
      </c>
      <c r="C610" s="1" t="n">
        <v>46164</v>
      </c>
      <c r="D610" t="inlineStr">
        <is>
          <t>KALMAR LÄN</t>
        </is>
      </c>
      <c r="E610" t="inlineStr">
        <is>
          <t>VIMMERBY</t>
        </is>
      </c>
      <c r="G610" t="n">
        <v>5</v>
      </c>
      <c r="H610" t="n">
        <v>0</v>
      </c>
      <c r="I610" t="n">
        <v>0</v>
      </c>
      <c r="J610" t="n">
        <v>0</v>
      </c>
      <c r="K610" t="n">
        <v>0</v>
      </c>
      <c r="L610" t="n">
        <v>0</v>
      </c>
      <c r="M610" t="n">
        <v>0</v>
      </c>
      <c r="N610" t="n">
        <v>0</v>
      </c>
      <c r="O610" t="n">
        <v>0</v>
      </c>
      <c r="P610" t="n">
        <v>0</v>
      </c>
      <c r="Q610" t="n">
        <v>0</v>
      </c>
      <c r="R610" s="2" t="inlineStr"/>
    </row>
    <row r="611" ht="15" customHeight="1">
      <c r="A611" t="inlineStr">
        <is>
          <t>A 15449-2023</t>
        </is>
      </c>
      <c r="B611" s="1" t="n">
        <v>45020</v>
      </c>
      <c r="C611" s="1" t="n">
        <v>46164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43594-2024</t>
        </is>
      </c>
      <c r="B612" s="1" t="n">
        <v>45569.44295138889</v>
      </c>
      <c r="C612" s="1" t="n">
        <v>46164</v>
      </c>
      <c r="D612" t="inlineStr">
        <is>
          <t>KALMAR LÄN</t>
        </is>
      </c>
      <c r="E612" t="inlineStr">
        <is>
          <t>VIMMERBY</t>
        </is>
      </c>
      <c r="G612" t="n">
        <v>3.9</v>
      </c>
      <c r="H612" t="n">
        <v>0</v>
      </c>
      <c r="I612" t="n">
        <v>0</v>
      </c>
      <c r="J612" t="n">
        <v>0</v>
      </c>
      <c r="K612" t="n">
        <v>0</v>
      </c>
      <c r="L612" t="n">
        <v>0</v>
      </c>
      <c r="M612" t="n">
        <v>0</v>
      </c>
      <c r="N612" t="n">
        <v>0</v>
      </c>
      <c r="O612" t="n">
        <v>0</v>
      </c>
      <c r="P612" t="n">
        <v>0</v>
      </c>
      <c r="Q612" t="n">
        <v>0</v>
      </c>
      <c r="R612" s="2" t="inlineStr"/>
    </row>
    <row r="613" ht="15" customHeight="1">
      <c r="A613" t="inlineStr">
        <is>
          <t>A 17486-2024</t>
        </is>
      </c>
      <c r="B613" s="1" t="n">
        <v>45415.48979166667</v>
      </c>
      <c r="C613" s="1" t="n">
        <v>46164</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14248-2023</t>
        </is>
      </c>
      <c r="B614" s="1" t="n">
        <v>45009</v>
      </c>
      <c r="C614" s="1" t="n">
        <v>46164</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20017-2026</t>
        </is>
      </c>
      <c r="B615" s="1" t="n">
        <v>46136.49986111111</v>
      </c>
      <c r="C615" s="1" t="n">
        <v>46164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30400-2023</t>
        </is>
      </c>
      <c r="B616" s="1" t="n">
        <v>45111.48225694444</v>
      </c>
      <c r="C616" s="1" t="n">
        <v>46164</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30404-2023</t>
        </is>
      </c>
      <c r="B617" s="1" t="n">
        <v>45111.48636574074</v>
      </c>
      <c r="C617" s="1" t="n">
        <v>46164</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55123-2024</t>
        </is>
      </c>
      <c r="B618" s="1" t="n">
        <v>45621.46103009259</v>
      </c>
      <c r="C618" s="1" t="n">
        <v>46164</v>
      </c>
      <c r="D618" t="inlineStr">
        <is>
          <t>KALMAR LÄN</t>
        </is>
      </c>
      <c r="E618" t="inlineStr">
        <is>
          <t>VIMMERBY</t>
        </is>
      </c>
      <c r="G618" t="n">
        <v>3.1</v>
      </c>
      <c r="H618" t="n">
        <v>0</v>
      </c>
      <c r="I618" t="n">
        <v>0</v>
      </c>
      <c r="J618" t="n">
        <v>0</v>
      </c>
      <c r="K618" t="n">
        <v>0</v>
      </c>
      <c r="L618" t="n">
        <v>0</v>
      </c>
      <c r="M618" t="n">
        <v>0</v>
      </c>
      <c r="N618" t="n">
        <v>0</v>
      </c>
      <c r="O618" t="n">
        <v>0</v>
      </c>
      <c r="P618" t="n">
        <v>0</v>
      </c>
      <c r="Q618" t="n">
        <v>0</v>
      </c>
      <c r="R618" s="2" t="inlineStr"/>
    </row>
    <row r="619" ht="15" customHeight="1">
      <c r="A619" t="inlineStr">
        <is>
          <t>A 31405-2023</t>
        </is>
      </c>
      <c r="B619" s="1" t="n">
        <v>45114.58148148148</v>
      </c>
      <c r="C619" s="1" t="n">
        <v>46164</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20018-2026</t>
        </is>
      </c>
      <c r="B620" s="1" t="n">
        <v>46136.50282407407</v>
      </c>
      <c r="C620" s="1" t="n">
        <v>46164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24707-2024</t>
        </is>
      </c>
      <c r="B621" s="1" t="n">
        <v>45460.62172453704</v>
      </c>
      <c r="C621" s="1" t="n">
        <v>46164</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36049-2024</t>
        </is>
      </c>
      <c r="B622" s="1" t="n">
        <v>45533.61996527778</v>
      </c>
      <c r="C622" s="1" t="n">
        <v>46164</v>
      </c>
      <c r="D622" t="inlineStr">
        <is>
          <t>KALMAR LÄN</t>
        </is>
      </c>
      <c r="E622" t="inlineStr">
        <is>
          <t>VIMMERBY</t>
        </is>
      </c>
      <c r="F622" t="inlineStr">
        <is>
          <t>Kommuner</t>
        </is>
      </c>
      <c r="G622" t="n">
        <v>2.6</v>
      </c>
      <c r="H622" t="n">
        <v>0</v>
      </c>
      <c r="I622" t="n">
        <v>0</v>
      </c>
      <c r="J622" t="n">
        <v>0</v>
      </c>
      <c r="K622" t="n">
        <v>0</v>
      </c>
      <c r="L622" t="n">
        <v>0</v>
      </c>
      <c r="M622" t="n">
        <v>0</v>
      </c>
      <c r="N622" t="n">
        <v>0</v>
      </c>
      <c r="O622" t="n">
        <v>0</v>
      </c>
      <c r="P622" t="n">
        <v>0</v>
      </c>
      <c r="Q622" t="n">
        <v>0</v>
      </c>
      <c r="R622" s="2" t="inlineStr"/>
    </row>
    <row r="623" ht="15" customHeight="1">
      <c r="A623" t="inlineStr">
        <is>
          <t>A 58159-2024</t>
        </is>
      </c>
      <c r="B623" s="1" t="n">
        <v>45632.44886574074</v>
      </c>
      <c r="C623" s="1" t="n">
        <v>46164</v>
      </c>
      <c r="D623" t="inlineStr">
        <is>
          <t>KALMAR LÄN</t>
        </is>
      </c>
      <c r="E623" t="inlineStr">
        <is>
          <t>VIMMERBY</t>
        </is>
      </c>
      <c r="G623" t="n">
        <v>7.5</v>
      </c>
      <c r="H623" t="n">
        <v>0</v>
      </c>
      <c r="I623" t="n">
        <v>0</v>
      </c>
      <c r="J623" t="n">
        <v>0</v>
      </c>
      <c r="K623" t="n">
        <v>0</v>
      </c>
      <c r="L623" t="n">
        <v>0</v>
      </c>
      <c r="M623" t="n">
        <v>0</v>
      </c>
      <c r="N623" t="n">
        <v>0</v>
      </c>
      <c r="O623" t="n">
        <v>0</v>
      </c>
      <c r="P623" t="n">
        <v>0</v>
      </c>
      <c r="Q623" t="n">
        <v>0</v>
      </c>
      <c r="R623" s="2" t="inlineStr"/>
    </row>
    <row r="624" ht="15" customHeight="1">
      <c r="A624" t="inlineStr">
        <is>
          <t>A 14359-2025</t>
        </is>
      </c>
      <c r="B624" s="1" t="n">
        <v>45741.37270833334</v>
      </c>
      <c r="C624" s="1" t="n">
        <v>46164</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13667-2026</t>
        </is>
      </c>
      <c r="B625" s="1" t="n">
        <v>46097</v>
      </c>
      <c r="C625" s="1" t="n">
        <v>46164</v>
      </c>
      <c r="D625" t="inlineStr">
        <is>
          <t>KALMAR LÄN</t>
        </is>
      </c>
      <c r="E625" t="inlineStr">
        <is>
          <t>VIMMERBY</t>
        </is>
      </c>
      <c r="G625" t="n">
        <v>6.8</v>
      </c>
      <c r="H625" t="n">
        <v>0</v>
      </c>
      <c r="I625" t="n">
        <v>0</v>
      </c>
      <c r="J625" t="n">
        <v>0</v>
      </c>
      <c r="K625" t="n">
        <v>0</v>
      </c>
      <c r="L625" t="n">
        <v>0</v>
      </c>
      <c r="M625" t="n">
        <v>0</v>
      </c>
      <c r="N625" t="n">
        <v>0</v>
      </c>
      <c r="O625" t="n">
        <v>0</v>
      </c>
      <c r="P625" t="n">
        <v>0</v>
      </c>
      <c r="Q625" t="n">
        <v>0</v>
      </c>
      <c r="R625" s="2" t="inlineStr"/>
    </row>
    <row r="626" ht="15" customHeight="1">
      <c r="A626" t="inlineStr">
        <is>
          <t>A 13714-2026</t>
        </is>
      </c>
      <c r="B626" s="1" t="n">
        <v>46097.58472222222</v>
      </c>
      <c r="C626" s="1" t="n">
        <v>46164</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61937-2025</t>
        </is>
      </c>
      <c r="B627" s="1" t="n">
        <v>46003</v>
      </c>
      <c r="C627" s="1" t="n">
        <v>46164</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39578-2024</t>
        </is>
      </c>
      <c r="B628" s="1" t="n">
        <v>45552.36484953704</v>
      </c>
      <c r="C628" s="1" t="n">
        <v>46164</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63711-2025</t>
        </is>
      </c>
      <c r="B629" s="1" t="n">
        <v>46014.62724537037</v>
      </c>
      <c r="C629" s="1" t="n">
        <v>46164</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62779-2023</t>
        </is>
      </c>
      <c r="B630" s="1" t="n">
        <v>45271.66576388889</v>
      </c>
      <c r="C630" s="1" t="n">
        <v>46164</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63845-2025</t>
        </is>
      </c>
      <c r="B631" s="1" t="n">
        <v>46020.43715277778</v>
      </c>
      <c r="C631" s="1" t="n">
        <v>46164</v>
      </c>
      <c r="D631" t="inlineStr">
        <is>
          <t>KALMAR LÄN</t>
        </is>
      </c>
      <c r="E631" t="inlineStr">
        <is>
          <t>VIMMERBY</t>
        </is>
      </c>
      <c r="G631" t="n">
        <v>3.8</v>
      </c>
      <c r="H631" t="n">
        <v>0</v>
      </c>
      <c r="I631" t="n">
        <v>0</v>
      </c>
      <c r="J631" t="n">
        <v>0</v>
      </c>
      <c r="K631" t="n">
        <v>0</v>
      </c>
      <c r="L631" t="n">
        <v>0</v>
      </c>
      <c r="M631" t="n">
        <v>0</v>
      </c>
      <c r="N631" t="n">
        <v>0</v>
      </c>
      <c r="O631" t="n">
        <v>0</v>
      </c>
      <c r="P631" t="n">
        <v>0</v>
      </c>
      <c r="Q631" t="n">
        <v>0</v>
      </c>
      <c r="R631" s="2" t="inlineStr"/>
    </row>
    <row r="632" ht="15" customHeight="1">
      <c r="A632" t="inlineStr">
        <is>
          <t>A 63848-2025</t>
        </is>
      </c>
      <c r="B632" s="1" t="n">
        <v>46020.44902777778</v>
      </c>
      <c r="C632" s="1" t="n">
        <v>46164</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63758-2025</t>
        </is>
      </c>
      <c r="B633" s="1" t="n">
        <v>46018.46483796297</v>
      </c>
      <c r="C633" s="1" t="n">
        <v>46164</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46399-2024</t>
        </is>
      </c>
      <c r="B634" s="1" t="n">
        <v>45582.41200231481</v>
      </c>
      <c r="C634" s="1" t="n">
        <v>46164</v>
      </c>
      <c r="D634" t="inlineStr">
        <is>
          <t>KALMAR LÄN</t>
        </is>
      </c>
      <c r="E634" t="inlineStr">
        <is>
          <t>VIMMERBY</t>
        </is>
      </c>
      <c r="G634" t="n">
        <v>4.6</v>
      </c>
      <c r="H634" t="n">
        <v>0</v>
      </c>
      <c r="I634" t="n">
        <v>0</v>
      </c>
      <c r="J634" t="n">
        <v>0</v>
      </c>
      <c r="K634" t="n">
        <v>0</v>
      </c>
      <c r="L634" t="n">
        <v>0</v>
      </c>
      <c r="M634" t="n">
        <v>0</v>
      </c>
      <c r="N634" t="n">
        <v>0</v>
      </c>
      <c r="O634" t="n">
        <v>0</v>
      </c>
      <c r="P634" t="n">
        <v>0</v>
      </c>
      <c r="Q634" t="n">
        <v>0</v>
      </c>
      <c r="R634" s="2" t="inlineStr"/>
    </row>
    <row r="635" ht="15" customHeight="1">
      <c r="A635" t="inlineStr">
        <is>
          <t>A 3425-2022</t>
        </is>
      </c>
      <c r="B635" s="1" t="n">
        <v>44585.51060185185</v>
      </c>
      <c r="C635" s="1" t="n">
        <v>46164</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43962-2024</t>
        </is>
      </c>
      <c r="B636" s="1" t="n">
        <v>45572.48293981481</v>
      </c>
      <c r="C636" s="1" t="n">
        <v>46164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63839-2025</t>
        </is>
      </c>
      <c r="B637" s="1" t="n">
        <v>46020.41998842593</v>
      </c>
      <c r="C637" s="1" t="n">
        <v>46164</v>
      </c>
      <c r="D637" t="inlineStr">
        <is>
          <t>KALMAR LÄN</t>
        </is>
      </c>
      <c r="E637" t="inlineStr">
        <is>
          <t>VIMMERBY</t>
        </is>
      </c>
      <c r="G637" t="n">
        <v>2.9</v>
      </c>
      <c r="H637" t="n">
        <v>0</v>
      </c>
      <c r="I637" t="n">
        <v>0</v>
      </c>
      <c r="J637" t="n">
        <v>0</v>
      </c>
      <c r="K637" t="n">
        <v>0</v>
      </c>
      <c r="L637" t="n">
        <v>0</v>
      </c>
      <c r="M637" t="n">
        <v>0</v>
      </c>
      <c r="N637" t="n">
        <v>0</v>
      </c>
      <c r="O637" t="n">
        <v>0</v>
      </c>
      <c r="P637" t="n">
        <v>0</v>
      </c>
      <c r="Q637" t="n">
        <v>0</v>
      </c>
      <c r="R637" s="2" t="inlineStr"/>
    </row>
    <row r="638" ht="15" customHeight="1">
      <c r="A638" t="inlineStr">
        <is>
          <t>A 12810-2023</t>
        </is>
      </c>
      <c r="B638" s="1" t="n">
        <v>45001.43854166667</v>
      </c>
      <c r="C638" s="1" t="n">
        <v>46164</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63762-2025</t>
        </is>
      </c>
      <c r="B639" s="1" t="n">
        <v>46018.67197916667</v>
      </c>
      <c r="C639" s="1" t="n">
        <v>46164</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43068-2023</t>
        </is>
      </c>
      <c r="B640" s="1" t="n">
        <v>45182.78834490741</v>
      </c>
      <c r="C640" s="1" t="n">
        <v>46164</v>
      </c>
      <c r="D640" t="inlineStr">
        <is>
          <t>KALMAR LÄN</t>
        </is>
      </c>
      <c r="E640" t="inlineStr">
        <is>
          <t>VIMMERBY</t>
        </is>
      </c>
      <c r="G640" t="n">
        <v>1.5</v>
      </c>
      <c r="H640" t="n">
        <v>0</v>
      </c>
      <c r="I640" t="n">
        <v>0</v>
      </c>
      <c r="J640" t="n">
        <v>0</v>
      </c>
      <c r="K640" t="n">
        <v>0</v>
      </c>
      <c r="L640" t="n">
        <v>0</v>
      </c>
      <c r="M640" t="n">
        <v>0</v>
      </c>
      <c r="N640" t="n">
        <v>0</v>
      </c>
      <c r="O640" t="n">
        <v>0</v>
      </c>
      <c r="P640" t="n">
        <v>0</v>
      </c>
      <c r="Q640" t="n">
        <v>0</v>
      </c>
      <c r="R640" s="2" t="inlineStr"/>
    </row>
    <row r="641" ht="15" customHeight="1">
      <c r="A641" t="inlineStr">
        <is>
          <t>A 13793-2026</t>
        </is>
      </c>
      <c r="B641" s="1" t="n">
        <v>46097.79199074074</v>
      </c>
      <c r="C641" s="1" t="n">
        <v>46164</v>
      </c>
      <c r="D641" t="inlineStr">
        <is>
          <t>KALMAR LÄN</t>
        </is>
      </c>
      <c r="E641" t="inlineStr">
        <is>
          <t>VIMMERBY</t>
        </is>
      </c>
      <c r="G641" t="n">
        <v>2.9</v>
      </c>
      <c r="H641" t="n">
        <v>0</v>
      </c>
      <c r="I641" t="n">
        <v>0</v>
      </c>
      <c r="J641" t="n">
        <v>0</v>
      </c>
      <c r="K641" t="n">
        <v>0</v>
      </c>
      <c r="L641" t="n">
        <v>0</v>
      </c>
      <c r="M641" t="n">
        <v>0</v>
      </c>
      <c r="N641" t="n">
        <v>0</v>
      </c>
      <c r="O641" t="n">
        <v>0</v>
      </c>
      <c r="P641" t="n">
        <v>0</v>
      </c>
      <c r="Q641" t="n">
        <v>0</v>
      </c>
      <c r="R641" s="2" t="inlineStr"/>
    </row>
    <row r="642" ht="15" customHeight="1">
      <c r="A642" t="inlineStr">
        <is>
          <t>A 14279-2026</t>
        </is>
      </c>
      <c r="B642" s="1" t="n">
        <v>46099.66826388889</v>
      </c>
      <c r="C642" s="1" t="n">
        <v>46164</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12075-2024</t>
        </is>
      </c>
      <c r="B643" s="1" t="n">
        <v>45377</v>
      </c>
      <c r="C643" s="1" t="n">
        <v>46164</v>
      </c>
      <c r="D643" t="inlineStr">
        <is>
          <t>KALMAR LÄN</t>
        </is>
      </c>
      <c r="E643" t="inlineStr">
        <is>
          <t>VIMMERBY</t>
        </is>
      </c>
      <c r="G643" t="n">
        <v>3.7</v>
      </c>
      <c r="H643" t="n">
        <v>0</v>
      </c>
      <c r="I643" t="n">
        <v>0</v>
      </c>
      <c r="J643" t="n">
        <v>0</v>
      </c>
      <c r="K643" t="n">
        <v>0</v>
      </c>
      <c r="L643" t="n">
        <v>0</v>
      </c>
      <c r="M643" t="n">
        <v>0</v>
      </c>
      <c r="N643" t="n">
        <v>0</v>
      </c>
      <c r="O643" t="n">
        <v>0</v>
      </c>
      <c r="P643" t="n">
        <v>0</v>
      </c>
      <c r="Q643" t="n">
        <v>0</v>
      </c>
      <c r="R643" s="2" t="inlineStr"/>
    </row>
    <row r="644" ht="15" customHeight="1">
      <c r="A644" t="inlineStr">
        <is>
          <t>A 409-2026</t>
        </is>
      </c>
      <c r="B644" s="1" t="n">
        <v>46028.69432870371</v>
      </c>
      <c r="C644" s="1" t="n">
        <v>46164</v>
      </c>
      <c r="D644" t="inlineStr">
        <is>
          <t>KALMAR LÄN</t>
        </is>
      </c>
      <c r="E644" t="inlineStr">
        <is>
          <t>VIMMERBY</t>
        </is>
      </c>
      <c r="G644" t="n">
        <v>2.2</v>
      </c>
      <c r="H644" t="n">
        <v>0</v>
      </c>
      <c r="I644" t="n">
        <v>0</v>
      </c>
      <c r="J644" t="n">
        <v>0</v>
      </c>
      <c r="K644" t="n">
        <v>0</v>
      </c>
      <c r="L644" t="n">
        <v>0</v>
      </c>
      <c r="M644" t="n">
        <v>0</v>
      </c>
      <c r="N644" t="n">
        <v>0</v>
      </c>
      <c r="O644" t="n">
        <v>0</v>
      </c>
      <c r="P644" t="n">
        <v>0</v>
      </c>
      <c r="Q644" t="n">
        <v>0</v>
      </c>
      <c r="R644" s="2" t="inlineStr"/>
    </row>
    <row r="645" ht="15" customHeight="1">
      <c r="A645" t="inlineStr">
        <is>
          <t>A 406-2026</t>
        </is>
      </c>
      <c r="B645" s="1" t="n">
        <v>46028.68663194445</v>
      </c>
      <c r="C645" s="1" t="n">
        <v>46164</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1799-2025</t>
        </is>
      </c>
      <c r="B646" s="1" t="n">
        <v>45671.46746527778</v>
      </c>
      <c r="C646" s="1" t="n">
        <v>46164</v>
      </c>
      <c r="D646" t="inlineStr">
        <is>
          <t>KALMAR LÄN</t>
        </is>
      </c>
      <c r="E646" t="inlineStr">
        <is>
          <t>VIMMERBY</t>
        </is>
      </c>
      <c r="G646" t="n">
        <v>3.3</v>
      </c>
      <c r="H646" t="n">
        <v>0</v>
      </c>
      <c r="I646" t="n">
        <v>0</v>
      </c>
      <c r="J646" t="n">
        <v>0</v>
      </c>
      <c r="K646" t="n">
        <v>0</v>
      </c>
      <c r="L646" t="n">
        <v>0</v>
      </c>
      <c r="M646" t="n">
        <v>0</v>
      </c>
      <c r="N646" t="n">
        <v>0</v>
      </c>
      <c r="O646" t="n">
        <v>0</v>
      </c>
      <c r="P646" t="n">
        <v>0</v>
      </c>
      <c r="Q646" t="n">
        <v>0</v>
      </c>
      <c r="R646" s="2" t="inlineStr"/>
    </row>
    <row r="647" ht="15" customHeight="1">
      <c r="A647" t="inlineStr">
        <is>
          <t>A 579-2026</t>
        </is>
      </c>
      <c r="B647" s="1" t="n">
        <v>46029.47912037037</v>
      </c>
      <c r="C647" s="1" t="n">
        <v>46164</v>
      </c>
      <c r="D647" t="inlineStr">
        <is>
          <t>KALMAR LÄN</t>
        </is>
      </c>
      <c r="E647" t="inlineStr">
        <is>
          <t>VIMMERBY</t>
        </is>
      </c>
      <c r="G647" t="n">
        <v>3</v>
      </c>
      <c r="H647" t="n">
        <v>0</v>
      </c>
      <c r="I647" t="n">
        <v>0</v>
      </c>
      <c r="J647" t="n">
        <v>0</v>
      </c>
      <c r="K647" t="n">
        <v>0</v>
      </c>
      <c r="L647" t="n">
        <v>0</v>
      </c>
      <c r="M647" t="n">
        <v>0</v>
      </c>
      <c r="N647" t="n">
        <v>0</v>
      </c>
      <c r="O647" t="n">
        <v>0</v>
      </c>
      <c r="P647" t="n">
        <v>0</v>
      </c>
      <c r="Q647" t="n">
        <v>0</v>
      </c>
      <c r="R647" s="2" t="inlineStr"/>
    </row>
    <row r="648" ht="15" customHeight="1">
      <c r="A648" t="inlineStr">
        <is>
          <t>A 2462-2022</t>
        </is>
      </c>
      <c r="B648" s="1" t="n">
        <v>44579.62225694444</v>
      </c>
      <c r="C648" s="1" t="n">
        <v>46164</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842-2026</t>
        </is>
      </c>
      <c r="B649" s="1" t="n">
        <v>46030.380625</v>
      </c>
      <c r="C649" s="1" t="n">
        <v>46164</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1069-2026</t>
        </is>
      </c>
      <c r="B650" s="1" t="n">
        <v>46030</v>
      </c>
      <c r="C650" s="1" t="n">
        <v>46164</v>
      </c>
      <c r="D650" t="inlineStr">
        <is>
          <t>KALMAR LÄN</t>
        </is>
      </c>
      <c r="E650" t="inlineStr">
        <is>
          <t>VIMMERBY</t>
        </is>
      </c>
      <c r="G650" t="n">
        <v>3.3</v>
      </c>
      <c r="H650" t="n">
        <v>0</v>
      </c>
      <c r="I650" t="n">
        <v>0</v>
      </c>
      <c r="J650" t="n">
        <v>0</v>
      </c>
      <c r="K650" t="n">
        <v>0</v>
      </c>
      <c r="L650" t="n">
        <v>0</v>
      </c>
      <c r="M650" t="n">
        <v>0</v>
      </c>
      <c r="N650" t="n">
        <v>0</v>
      </c>
      <c r="O650" t="n">
        <v>0</v>
      </c>
      <c r="P650" t="n">
        <v>0</v>
      </c>
      <c r="Q650" t="n">
        <v>0</v>
      </c>
      <c r="R650" s="2" t="inlineStr"/>
    </row>
    <row r="651" ht="15" customHeight="1">
      <c r="A651" t="inlineStr">
        <is>
          <t>A 14277-2026</t>
        </is>
      </c>
      <c r="B651" s="1" t="n">
        <v>46099.66305555555</v>
      </c>
      <c r="C651" s="1" t="n">
        <v>46164</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1734-2026</t>
        </is>
      </c>
      <c r="B652" s="1" t="n">
        <v>46034</v>
      </c>
      <c r="C652" s="1" t="n">
        <v>46164</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1743-2026</t>
        </is>
      </c>
      <c r="B653" s="1" t="n">
        <v>46034</v>
      </c>
      <c r="C653" s="1" t="n">
        <v>46164</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14320-2026</t>
        </is>
      </c>
      <c r="B654" s="1" t="n">
        <v>46099.88449074074</v>
      </c>
      <c r="C654" s="1" t="n">
        <v>46164</v>
      </c>
      <c r="D654" t="inlineStr">
        <is>
          <t>KALMAR LÄN</t>
        </is>
      </c>
      <c r="E654" t="inlineStr">
        <is>
          <t>VIMMERBY</t>
        </is>
      </c>
      <c r="G654" t="n">
        <v>2.3</v>
      </c>
      <c r="H654" t="n">
        <v>0</v>
      </c>
      <c r="I654" t="n">
        <v>0</v>
      </c>
      <c r="J654" t="n">
        <v>0</v>
      </c>
      <c r="K654" t="n">
        <v>0</v>
      </c>
      <c r="L654" t="n">
        <v>0</v>
      </c>
      <c r="M654" t="n">
        <v>0</v>
      </c>
      <c r="N654" t="n">
        <v>0</v>
      </c>
      <c r="O654" t="n">
        <v>0</v>
      </c>
      <c r="P654" t="n">
        <v>0</v>
      </c>
      <c r="Q654" t="n">
        <v>0</v>
      </c>
      <c r="R654" s="2" t="inlineStr"/>
    </row>
    <row r="655" ht="15" customHeight="1">
      <c r="A655" t="inlineStr">
        <is>
          <t>A 1748-2026</t>
        </is>
      </c>
      <c r="B655" s="1" t="n">
        <v>46034.65589120371</v>
      </c>
      <c r="C655" s="1" t="n">
        <v>46164</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1862-2026</t>
        </is>
      </c>
      <c r="B656" s="1" t="n">
        <v>46035.44689814815</v>
      </c>
      <c r="C656" s="1" t="n">
        <v>46164</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13015-2022</t>
        </is>
      </c>
      <c r="B657" s="1" t="n">
        <v>44643</v>
      </c>
      <c r="C657" s="1" t="n">
        <v>46164</v>
      </c>
      <c r="D657" t="inlineStr">
        <is>
          <t>KALMAR LÄN</t>
        </is>
      </c>
      <c r="E657" t="inlineStr">
        <is>
          <t>VIMMERBY</t>
        </is>
      </c>
      <c r="G657" t="n">
        <v>2.4</v>
      </c>
      <c r="H657" t="n">
        <v>0</v>
      </c>
      <c r="I657" t="n">
        <v>0</v>
      </c>
      <c r="J657" t="n">
        <v>0</v>
      </c>
      <c r="K657" t="n">
        <v>0</v>
      </c>
      <c r="L657" t="n">
        <v>0</v>
      </c>
      <c r="M657" t="n">
        <v>0</v>
      </c>
      <c r="N657" t="n">
        <v>0</v>
      </c>
      <c r="O657" t="n">
        <v>0</v>
      </c>
      <c r="P657" t="n">
        <v>0</v>
      </c>
      <c r="Q657" t="n">
        <v>0</v>
      </c>
      <c r="R657" s="2" t="inlineStr"/>
    </row>
    <row r="658" ht="15" customHeight="1">
      <c r="A658" t="inlineStr">
        <is>
          <t>A 4624-2024</t>
        </is>
      </c>
      <c r="B658" s="1" t="n">
        <v>45328.38755787037</v>
      </c>
      <c r="C658" s="1" t="n">
        <v>46164</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9129-2025</t>
        </is>
      </c>
      <c r="B659" s="1" t="n">
        <v>45713.92412037037</v>
      </c>
      <c r="C659" s="1" t="n">
        <v>46164</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14318-2026</t>
        </is>
      </c>
      <c r="B660" s="1" t="n">
        <v>46099.87961805556</v>
      </c>
      <c r="C660" s="1" t="n">
        <v>46164</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15205-2026</t>
        </is>
      </c>
      <c r="B661" s="1" t="n">
        <v>46105.48628472222</v>
      </c>
      <c r="C661" s="1" t="n">
        <v>46164</v>
      </c>
      <c r="D661" t="inlineStr">
        <is>
          <t>KALMAR LÄN</t>
        </is>
      </c>
      <c r="E661" t="inlineStr">
        <is>
          <t>VIMMERBY</t>
        </is>
      </c>
      <c r="G661" t="n">
        <v>2.1</v>
      </c>
      <c r="H661" t="n">
        <v>0</v>
      </c>
      <c r="I661" t="n">
        <v>0</v>
      </c>
      <c r="J661" t="n">
        <v>0</v>
      </c>
      <c r="K661" t="n">
        <v>0</v>
      </c>
      <c r="L661" t="n">
        <v>0</v>
      </c>
      <c r="M661" t="n">
        <v>0</v>
      </c>
      <c r="N661" t="n">
        <v>0</v>
      </c>
      <c r="O661" t="n">
        <v>0</v>
      </c>
      <c r="P661" t="n">
        <v>0</v>
      </c>
      <c r="Q661" t="n">
        <v>0</v>
      </c>
      <c r="R661" s="2" t="inlineStr"/>
    </row>
    <row r="662" ht="15" customHeight="1">
      <c r="A662" t="inlineStr">
        <is>
          <t>A 22643-2023</t>
        </is>
      </c>
      <c r="B662" s="1" t="n">
        <v>45071</v>
      </c>
      <c r="C662" s="1" t="n">
        <v>46164</v>
      </c>
      <c r="D662" t="inlineStr">
        <is>
          <t>KALMAR LÄN</t>
        </is>
      </c>
      <c r="E662" t="inlineStr">
        <is>
          <t>VIMMERBY</t>
        </is>
      </c>
      <c r="G662" t="n">
        <v>3.9</v>
      </c>
      <c r="H662" t="n">
        <v>0</v>
      </c>
      <c r="I662" t="n">
        <v>0</v>
      </c>
      <c r="J662" t="n">
        <v>0</v>
      </c>
      <c r="K662" t="n">
        <v>0</v>
      </c>
      <c r="L662" t="n">
        <v>0</v>
      </c>
      <c r="M662" t="n">
        <v>0</v>
      </c>
      <c r="N662" t="n">
        <v>0</v>
      </c>
      <c r="O662" t="n">
        <v>0</v>
      </c>
      <c r="P662" t="n">
        <v>0</v>
      </c>
      <c r="Q662" t="n">
        <v>0</v>
      </c>
      <c r="R662" s="2" t="inlineStr"/>
    </row>
    <row r="663" ht="15" customHeight="1">
      <c r="A663" t="inlineStr">
        <is>
          <t>A 2523-2026</t>
        </is>
      </c>
      <c r="B663" s="1" t="n">
        <v>46037.42825231481</v>
      </c>
      <c r="C663" s="1" t="n">
        <v>46164</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2514-2026</t>
        </is>
      </c>
      <c r="B664" s="1" t="n">
        <v>46037.42219907408</v>
      </c>
      <c r="C664" s="1" t="n">
        <v>46164</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2518-2026</t>
        </is>
      </c>
      <c r="B665" s="1" t="n">
        <v>46037.42511574074</v>
      </c>
      <c r="C665" s="1" t="n">
        <v>46164</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15054-2026</t>
        </is>
      </c>
      <c r="B666" s="1" t="n">
        <v>46104.6815162037</v>
      </c>
      <c r="C666" s="1" t="n">
        <v>46164</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14793-2026</t>
        </is>
      </c>
      <c r="B667" s="1" t="n">
        <v>46101.92108796296</v>
      </c>
      <c r="C667" s="1" t="n">
        <v>46164</v>
      </c>
      <c r="D667" t="inlineStr">
        <is>
          <t>KALMAR LÄN</t>
        </is>
      </c>
      <c r="E667" t="inlineStr">
        <is>
          <t>VIMMERBY</t>
        </is>
      </c>
      <c r="G667" t="n">
        <v>5.7</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46164</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40079-2023</t>
        </is>
      </c>
      <c r="B669" s="1" t="n">
        <v>45168.89298611111</v>
      </c>
      <c r="C669" s="1" t="n">
        <v>46164</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19833-2023</t>
        </is>
      </c>
      <c r="B670" s="1" t="n">
        <v>45052</v>
      </c>
      <c r="C670" s="1" t="n">
        <v>46164</v>
      </c>
      <c r="D670" t="inlineStr">
        <is>
          <t>KALMAR LÄN</t>
        </is>
      </c>
      <c r="E670" t="inlineStr">
        <is>
          <t>VIMMERBY</t>
        </is>
      </c>
      <c r="G670" t="n">
        <v>6.7</v>
      </c>
      <c r="H670" t="n">
        <v>0</v>
      </c>
      <c r="I670" t="n">
        <v>0</v>
      </c>
      <c r="J670" t="n">
        <v>0</v>
      </c>
      <c r="K670" t="n">
        <v>0</v>
      </c>
      <c r="L670" t="n">
        <v>0</v>
      </c>
      <c r="M670" t="n">
        <v>0</v>
      </c>
      <c r="N670" t="n">
        <v>0</v>
      </c>
      <c r="O670" t="n">
        <v>0</v>
      </c>
      <c r="P670" t="n">
        <v>0</v>
      </c>
      <c r="Q670" t="n">
        <v>0</v>
      </c>
      <c r="R670" s="2" t="inlineStr"/>
    </row>
    <row r="671" ht="15" customHeight="1">
      <c r="A671" t="inlineStr">
        <is>
          <t>A 14792-2026</t>
        </is>
      </c>
      <c r="B671" s="1" t="n">
        <v>46101.91993055555</v>
      </c>
      <c r="C671" s="1" t="n">
        <v>46164</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17084-2025</t>
        </is>
      </c>
      <c r="B672" s="1" t="n">
        <v>45755.64450231481</v>
      </c>
      <c r="C672" s="1" t="n">
        <v>46164</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56022-2024</t>
        </is>
      </c>
      <c r="B673" s="1" t="n">
        <v>45623.95947916667</v>
      </c>
      <c r="C673" s="1" t="n">
        <v>46164</v>
      </c>
      <c r="D673" t="inlineStr">
        <is>
          <t>KALMAR LÄN</t>
        </is>
      </c>
      <c r="E673" t="inlineStr">
        <is>
          <t>VIMMERBY</t>
        </is>
      </c>
      <c r="G673" t="n">
        <v>0.3</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46164</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5527-2022</t>
        </is>
      </c>
      <c r="B675" s="1" t="n">
        <v>44595.583125</v>
      </c>
      <c r="C675" s="1" t="n">
        <v>46164</v>
      </c>
      <c r="D675" t="inlineStr">
        <is>
          <t>KALMAR LÄN</t>
        </is>
      </c>
      <c r="E675" t="inlineStr">
        <is>
          <t>VIMMERBY</t>
        </is>
      </c>
      <c r="G675" t="n">
        <v>3.6</v>
      </c>
      <c r="H675" t="n">
        <v>0</v>
      </c>
      <c r="I675" t="n">
        <v>0</v>
      </c>
      <c r="J675" t="n">
        <v>0</v>
      </c>
      <c r="K675" t="n">
        <v>0</v>
      </c>
      <c r="L675" t="n">
        <v>0</v>
      </c>
      <c r="M675" t="n">
        <v>0</v>
      </c>
      <c r="N675" t="n">
        <v>0</v>
      </c>
      <c r="O675" t="n">
        <v>0</v>
      </c>
      <c r="P675" t="n">
        <v>0</v>
      </c>
      <c r="Q675" t="n">
        <v>0</v>
      </c>
      <c r="R675" s="2" t="inlineStr"/>
    </row>
    <row r="676" ht="15" customHeight="1">
      <c r="A676" t="inlineStr">
        <is>
          <t>A 49461-2023</t>
        </is>
      </c>
      <c r="B676" s="1" t="n">
        <v>45211.52642361111</v>
      </c>
      <c r="C676" s="1" t="n">
        <v>46164</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49474-2023</t>
        </is>
      </c>
      <c r="B677" s="1" t="n">
        <v>45211.541875</v>
      </c>
      <c r="C677" s="1" t="n">
        <v>46164</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61861-2024</t>
        </is>
      </c>
      <c r="B678" s="1" t="n">
        <v>45650.37370370371</v>
      </c>
      <c r="C678" s="1" t="n">
        <v>46164</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45846-2023</t>
        </is>
      </c>
      <c r="B679" s="1" t="n">
        <v>45195.58452546296</v>
      </c>
      <c r="C679" s="1" t="n">
        <v>46164</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21882-2026</t>
        </is>
      </c>
      <c r="B680" s="1" t="n">
        <v>46150.59287037037</v>
      </c>
      <c r="C680" s="1" t="n">
        <v>46164</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8167-2024</t>
        </is>
      </c>
      <c r="B681" s="1" t="n">
        <v>45351.6062962963</v>
      </c>
      <c r="C681" s="1" t="n">
        <v>46164</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49382-2023</t>
        </is>
      </c>
      <c r="B682" s="1" t="n">
        <v>45208</v>
      </c>
      <c r="C682" s="1" t="n">
        <v>46164</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12121-2025</t>
        </is>
      </c>
      <c r="B683" s="1" t="n">
        <v>45729.36868055556</v>
      </c>
      <c r="C683" s="1" t="n">
        <v>46164</v>
      </c>
      <c r="D683" t="inlineStr">
        <is>
          <t>KALMAR LÄN</t>
        </is>
      </c>
      <c r="E683" t="inlineStr">
        <is>
          <t>VIMMERBY</t>
        </is>
      </c>
      <c r="G683" t="n">
        <v>4.3</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46164</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35913-2023</t>
        </is>
      </c>
      <c r="B685" s="1" t="n">
        <v>45148</v>
      </c>
      <c r="C685" s="1" t="n">
        <v>46164</v>
      </c>
      <c r="D685" t="inlineStr">
        <is>
          <t>KALMAR LÄN</t>
        </is>
      </c>
      <c r="E685" t="inlineStr">
        <is>
          <t>VIMMERBY</t>
        </is>
      </c>
      <c r="G685" t="n">
        <v>6.9</v>
      </c>
      <c r="H685" t="n">
        <v>0</v>
      </c>
      <c r="I685" t="n">
        <v>0</v>
      </c>
      <c r="J685" t="n">
        <v>0</v>
      </c>
      <c r="K685" t="n">
        <v>0</v>
      </c>
      <c r="L685" t="n">
        <v>0</v>
      </c>
      <c r="M685" t="n">
        <v>0</v>
      </c>
      <c r="N685" t="n">
        <v>0</v>
      </c>
      <c r="O685" t="n">
        <v>0</v>
      </c>
      <c r="P685" t="n">
        <v>0</v>
      </c>
      <c r="Q685" t="n">
        <v>0</v>
      </c>
      <c r="R685" s="2" t="inlineStr"/>
    </row>
    <row r="686" ht="15" customHeight="1">
      <c r="A686" t="inlineStr">
        <is>
          <t>A 38757-2023</t>
        </is>
      </c>
      <c r="B686" s="1" t="n">
        <v>45163.41376157408</v>
      </c>
      <c r="C686" s="1" t="n">
        <v>46164</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20136-2024</t>
        </is>
      </c>
      <c r="B687" s="1" t="n">
        <v>45434.56291666667</v>
      </c>
      <c r="C687" s="1" t="n">
        <v>46164</v>
      </c>
      <c r="D687" t="inlineStr">
        <is>
          <t>KALMAR LÄN</t>
        </is>
      </c>
      <c r="E687" t="inlineStr">
        <is>
          <t>VIMMERBY</t>
        </is>
      </c>
      <c r="F687" t="inlineStr">
        <is>
          <t>Sveaskog</t>
        </is>
      </c>
      <c r="G687" t="n">
        <v>8.4</v>
      </c>
      <c r="H687" t="n">
        <v>0</v>
      </c>
      <c r="I687" t="n">
        <v>0</v>
      </c>
      <c r="J687" t="n">
        <v>0</v>
      </c>
      <c r="K687" t="n">
        <v>0</v>
      </c>
      <c r="L687" t="n">
        <v>0</v>
      </c>
      <c r="M687" t="n">
        <v>0</v>
      </c>
      <c r="N687" t="n">
        <v>0</v>
      </c>
      <c r="O687" t="n">
        <v>0</v>
      </c>
      <c r="P687" t="n">
        <v>0</v>
      </c>
      <c r="Q687" t="n">
        <v>0</v>
      </c>
      <c r="R687" s="2" t="inlineStr"/>
    </row>
    <row r="688" ht="15" customHeight="1">
      <c r="A688" t="inlineStr">
        <is>
          <t>A 24283-2023</t>
        </is>
      </c>
      <c r="B688" s="1" t="n">
        <v>45079.87827546296</v>
      </c>
      <c r="C688" s="1" t="n">
        <v>46164</v>
      </c>
      <c r="D688" t="inlineStr">
        <is>
          <t>KALMAR LÄN</t>
        </is>
      </c>
      <c r="E688" t="inlineStr">
        <is>
          <t>VIMMERBY</t>
        </is>
      </c>
      <c r="G688" t="n">
        <v>2</v>
      </c>
      <c r="H688" t="n">
        <v>0</v>
      </c>
      <c r="I688" t="n">
        <v>0</v>
      </c>
      <c r="J688" t="n">
        <v>0</v>
      </c>
      <c r="K688" t="n">
        <v>0</v>
      </c>
      <c r="L688" t="n">
        <v>0</v>
      </c>
      <c r="M688" t="n">
        <v>0</v>
      </c>
      <c r="N688" t="n">
        <v>0</v>
      </c>
      <c r="O688" t="n">
        <v>0</v>
      </c>
      <c r="P688" t="n">
        <v>0</v>
      </c>
      <c r="Q688" t="n">
        <v>0</v>
      </c>
      <c r="R688" s="2" t="inlineStr"/>
    </row>
    <row r="689" ht="15" customHeight="1">
      <c r="A689" t="inlineStr">
        <is>
          <t>A 16183-2026</t>
        </is>
      </c>
      <c r="B689" s="1" t="n">
        <v>46111</v>
      </c>
      <c r="C689" s="1" t="n">
        <v>46164</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59598-2023</t>
        </is>
      </c>
      <c r="B690" s="1" t="n">
        <v>45254.62489583333</v>
      </c>
      <c r="C690" s="1" t="n">
        <v>46164</v>
      </c>
      <c r="D690" t="inlineStr">
        <is>
          <t>KALMAR LÄN</t>
        </is>
      </c>
      <c r="E690" t="inlineStr">
        <is>
          <t>VIMMERBY</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30920-2023</t>
        </is>
      </c>
      <c r="B691" s="1" t="n">
        <v>45113.43921296296</v>
      </c>
      <c r="C691" s="1" t="n">
        <v>46164</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16632-2026</t>
        </is>
      </c>
      <c r="B692" s="1" t="n">
        <v>46112.62212962963</v>
      </c>
      <c r="C692" s="1" t="n">
        <v>46164</v>
      </c>
      <c r="D692" t="inlineStr">
        <is>
          <t>KALMAR LÄN</t>
        </is>
      </c>
      <c r="E692" t="inlineStr">
        <is>
          <t>VIMMERBY</t>
        </is>
      </c>
      <c r="G692" t="n">
        <v>2.1</v>
      </c>
      <c r="H692" t="n">
        <v>0</v>
      </c>
      <c r="I692" t="n">
        <v>0</v>
      </c>
      <c r="J692" t="n">
        <v>0</v>
      </c>
      <c r="K692" t="n">
        <v>0</v>
      </c>
      <c r="L692" t="n">
        <v>0</v>
      </c>
      <c r="M692" t="n">
        <v>0</v>
      </c>
      <c r="N692" t="n">
        <v>0</v>
      </c>
      <c r="O692" t="n">
        <v>0</v>
      </c>
      <c r="P692" t="n">
        <v>0</v>
      </c>
      <c r="Q692" t="n">
        <v>0</v>
      </c>
      <c r="R692" s="2" t="inlineStr"/>
    </row>
    <row r="693" ht="15" customHeight="1">
      <c r="A693" t="inlineStr">
        <is>
          <t>A 16653-2026</t>
        </is>
      </c>
      <c r="B693" s="1" t="n">
        <v>46112.64597222222</v>
      </c>
      <c r="C693" s="1" t="n">
        <v>46164</v>
      </c>
      <c r="D693" t="inlineStr">
        <is>
          <t>KALMAR LÄN</t>
        </is>
      </c>
      <c r="E693" t="inlineStr">
        <is>
          <t>VIMMERBY</t>
        </is>
      </c>
      <c r="F693" t="inlineStr">
        <is>
          <t>Kommuner</t>
        </is>
      </c>
      <c r="G693" t="n">
        <v>4.4</v>
      </c>
      <c r="H693" t="n">
        <v>0</v>
      </c>
      <c r="I693" t="n">
        <v>0</v>
      </c>
      <c r="J693" t="n">
        <v>0</v>
      </c>
      <c r="K693" t="n">
        <v>0</v>
      </c>
      <c r="L693" t="n">
        <v>0</v>
      </c>
      <c r="M693" t="n">
        <v>0</v>
      </c>
      <c r="N693" t="n">
        <v>0</v>
      </c>
      <c r="O693" t="n">
        <v>0</v>
      </c>
      <c r="P693" t="n">
        <v>0</v>
      </c>
      <c r="Q693" t="n">
        <v>0</v>
      </c>
      <c r="R693" s="2" t="inlineStr"/>
    </row>
    <row r="694" ht="15" customHeight="1">
      <c r="A694" t="inlineStr">
        <is>
          <t>A 16672-2026</t>
        </is>
      </c>
      <c r="B694" s="1" t="n">
        <v>46112.67336805556</v>
      </c>
      <c r="C694" s="1" t="n">
        <v>46164</v>
      </c>
      <c r="D694" t="inlineStr">
        <is>
          <t>KALMAR LÄN</t>
        </is>
      </c>
      <c r="E694" t="inlineStr">
        <is>
          <t>VIMMERBY</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16870-2026</t>
        </is>
      </c>
      <c r="B695" s="1" t="n">
        <v>46113.5822800926</v>
      </c>
      <c r="C695" s="1" t="n">
        <v>46164</v>
      </c>
      <c r="D695" t="inlineStr">
        <is>
          <t>KALMAR LÄN</t>
        </is>
      </c>
      <c r="E695" t="inlineStr">
        <is>
          <t>VIMMERBY</t>
        </is>
      </c>
      <c r="G695" t="n">
        <v>2</v>
      </c>
      <c r="H695" t="n">
        <v>0</v>
      </c>
      <c r="I695" t="n">
        <v>0</v>
      </c>
      <c r="J695" t="n">
        <v>0</v>
      </c>
      <c r="K695" t="n">
        <v>0</v>
      </c>
      <c r="L695" t="n">
        <v>0</v>
      </c>
      <c r="M695" t="n">
        <v>0</v>
      </c>
      <c r="N695" t="n">
        <v>0</v>
      </c>
      <c r="O695" t="n">
        <v>0</v>
      </c>
      <c r="P695" t="n">
        <v>0</v>
      </c>
      <c r="Q695" t="n">
        <v>0</v>
      </c>
      <c r="R695" s="2" t="inlineStr"/>
    </row>
    <row r="696" ht="15" customHeight="1">
      <c r="A696" t="inlineStr">
        <is>
          <t>A 16795-2026</t>
        </is>
      </c>
      <c r="B696" s="1" t="n">
        <v>46113.47216435185</v>
      </c>
      <c r="C696" s="1" t="n">
        <v>46164</v>
      </c>
      <c r="D696" t="inlineStr">
        <is>
          <t>KALMAR LÄN</t>
        </is>
      </c>
      <c r="E696" t="inlineStr">
        <is>
          <t>VIMMERBY</t>
        </is>
      </c>
      <c r="G696" t="n">
        <v>2.1</v>
      </c>
      <c r="H696" t="n">
        <v>0</v>
      </c>
      <c r="I696" t="n">
        <v>0</v>
      </c>
      <c r="J696" t="n">
        <v>0</v>
      </c>
      <c r="K696" t="n">
        <v>0</v>
      </c>
      <c r="L696" t="n">
        <v>0</v>
      </c>
      <c r="M696" t="n">
        <v>0</v>
      </c>
      <c r="N696" t="n">
        <v>0</v>
      </c>
      <c r="O696" t="n">
        <v>0</v>
      </c>
      <c r="P696" t="n">
        <v>0</v>
      </c>
      <c r="Q696" t="n">
        <v>0</v>
      </c>
      <c r="R696" s="2" t="inlineStr"/>
    </row>
    <row r="697" ht="15" customHeight="1">
      <c r="A697" t="inlineStr">
        <is>
          <t>A 16799-2026</t>
        </is>
      </c>
      <c r="B697" s="1" t="n">
        <v>46113.47913194444</v>
      </c>
      <c r="C697" s="1" t="n">
        <v>46164</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40929-2022</t>
        </is>
      </c>
      <c r="B698" s="1" t="n">
        <v>44825.4336574074</v>
      </c>
      <c r="C698" s="1" t="n">
        <v>46164</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16801-2026</t>
        </is>
      </c>
      <c r="B699" s="1" t="n">
        <v>46113.48400462963</v>
      </c>
      <c r="C699" s="1" t="n">
        <v>46164</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16675-2026</t>
        </is>
      </c>
      <c r="B700" s="1" t="n">
        <v>46112.68202546296</v>
      </c>
      <c r="C700" s="1" t="n">
        <v>46164</v>
      </c>
      <c r="D700" t="inlineStr">
        <is>
          <t>KALMAR LÄN</t>
        </is>
      </c>
      <c r="E700" t="inlineStr">
        <is>
          <t>VIMMERBY</t>
        </is>
      </c>
      <c r="F700" t="inlineStr">
        <is>
          <t>Kommuner</t>
        </is>
      </c>
      <c r="G700" t="n">
        <v>0.8</v>
      </c>
      <c r="H700" t="n">
        <v>0</v>
      </c>
      <c r="I700" t="n">
        <v>0</v>
      </c>
      <c r="J700" t="n">
        <v>0</v>
      </c>
      <c r="K700" t="n">
        <v>0</v>
      </c>
      <c r="L700" t="n">
        <v>0</v>
      </c>
      <c r="M700" t="n">
        <v>0</v>
      </c>
      <c r="N700" t="n">
        <v>0</v>
      </c>
      <c r="O700" t="n">
        <v>0</v>
      </c>
      <c r="P700" t="n">
        <v>0</v>
      </c>
      <c r="Q700" t="n">
        <v>0</v>
      </c>
      <c r="R700" s="2" t="inlineStr"/>
    </row>
    <row r="701" ht="15" customHeight="1">
      <c r="A701" t="inlineStr">
        <is>
          <t>A 33380-2023</t>
        </is>
      </c>
      <c r="B701" s="1" t="n">
        <v>45128</v>
      </c>
      <c r="C701" s="1" t="n">
        <v>46164</v>
      </c>
      <c r="D701" t="inlineStr">
        <is>
          <t>KALMAR LÄN</t>
        </is>
      </c>
      <c r="E701" t="inlineStr">
        <is>
          <t>VIMMERBY</t>
        </is>
      </c>
      <c r="G701" t="n">
        <v>5.2</v>
      </c>
      <c r="H701" t="n">
        <v>0</v>
      </c>
      <c r="I701" t="n">
        <v>0</v>
      </c>
      <c r="J701" t="n">
        <v>0</v>
      </c>
      <c r="K701" t="n">
        <v>0</v>
      </c>
      <c r="L701" t="n">
        <v>0</v>
      </c>
      <c r="M701" t="n">
        <v>0</v>
      </c>
      <c r="N701" t="n">
        <v>0</v>
      </c>
      <c r="O701" t="n">
        <v>0</v>
      </c>
      <c r="P701" t="n">
        <v>0</v>
      </c>
      <c r="Q701" t="n">
        <v>0</v>
      </c>
      <c r="R701" s="2" t="inlineStr"/>
    </row>
    <row r="702" ht="15" customHeight="1">
      <c r="A702" t="inlineStr">
        <is>
          <t>A 16678-2026</t>
        </is>
      </c>
      <c r="B702" s="1" t="n">
        <v>46112.69435185185</v>
      </c>
      <c r="C702" s="1" t="n">
        <v>46164</v>
      </c>
      <c r="D702" t="inlineStr">
        <is>
          <t>KALMAR LÄN</t>
        </is>
      </c>
      <c r="E702" t="inlineStr">
        <is>
          <t>VIMMERBY</t>
        </is>
      </c>
      <c r="F702" t="inlineStr">
        <is>
          <t>Kommuner</t>
        </is>
      </c>
      <c r="G702" t="n">
        <v>1.6</v>
      </c>
      <c r="H702" t="n">
        <v>0</v>
      </c>
      <c r="I702" t="n">
        <v>0</v>
      </c>
      <c r="J702" t="n">
        <v>0</v>
      </c>
      <c r="K702" t="n">
        <v>0</v>
      </c>
      <c r="L702" t="n">
        <v>0</v>
      </c>
      <c r="M702" t="n">
        <v>0</v>
      </c>
      <c r="N702" t="n">
        <v>0</v>
      </c>
      <c r="O702" t="n">
        <v>0</v>
      </c>
      <c r="P702" t="n">
        <v>0</v>
      </c>
      <c r="Q702" t="n">
        <v>0</v>
      </c>
      <c r="R702" s="2" t="inlineStr"/>
    </row>
    <row r="703" ht="15" customHeight="1">
      <c r="A703" t="inlineStr">
        <is>
          <t>A 46144-2023</t>
        </is>
      </c>
      <c r="B703" s="1" t="n">
        <v>45196.57247685185</v>
      </c>
      <c r="C703" s="1" t="n">
        <v>46164</v>
      </c>
      <c r="D703" t="inlineStr">
        <is>
          <t>KALMAR LÄN</t>
        </is>
      </c>
      <c r="E703" t="inlineStr">
        <is>
          <t>VIMMERBY</t>
        </is>
      </c>
      <c r="G703" t="n">
        <v>6.5</v>
      </c>
      <c r="H703" t="n">
        <v>0</v>
      </c>
      <c r="I703" t="n">
        <v>0</v>
      </c>
      <c r="J703" t="n">
        <v>0</v>
      </c>
      <c r="K703" t="n">
        <v>0</v>
      </c>
      <c r="L703" t="n">
        <v>0</v>
      </c>
      <c r="M703" t="n">
        <v>0</v>
      </c>
      <c r="N703" t="n">
        <v>0</v>
      </c>
      <c r="O703" t="n">
        <v>0</v>
      </c>
      <c r="P703" t="n">
        <v>0</v>
      </c>
      <c r="Q703" t="n">
        <v>0</v>
      </c>
      <c r="R703" s="2" t="inlineStr"/>
    </row>
    <row r="704" ht="15" customHeight="1">
      <c r="A704" t="inlineStr">
        <is>
          <t>A 16648-2026</t>
        </is>
      </c>
      <c r="B704" s="1" t="n">
        <v>46112.64032407408</v>
      </c>
      <c r="C704" s="1" t="n">
        <v>46164</v>
      </c>
      <c r="D704" t="inlineStr">
        <is>
          <t>KALMAR LÄN</t>
        </is>
      </c>
      <c r="E704" t="inlineStr">
        <is>
          <t>VIMMERBY</t>
        </is>
      </c>
      <c r="F704" t="inlineStr">
        <is>
          <t>Kommuner</t>
        </is>
      </c>
      <c r="G704" t="n">
        <v>0.9</v>
      </c>
      <c r="H704" t="n">
        <v>0</v>
      </c>
      <c r="I704" t="n">
        <v>0</v>
      </c>
      <c r="J704" t="n">
        <v>0</v>
      </c>
      <c r="K704" t="n">
        <v>0</v>
      </c>
      <c r="L704" t="n">
        <v>0</v>
      </c>
      <c r="M704" t="n">
        <v>0</v>
      </c>
      <c r="N704" t="n">
        <v>0</v>
      </c>
      <c r="O704" t="n">
        <v>0</v>
      </c>
      <c r="P704" t="n">
        <v>0</v>
      </c>
      <c r="Q704" t="n">
        <v>0</v>
      </c>
      <c r="R704" s="2" t="inlineStr"/>
    </row>
    <row r="705" ht="15" customHeight="1">
      <c r="A705" t="inlineStr">
        <is>
          <t>A 16656-2026</t>
        </is>
      </c>
      <c r="B705" s="1" t="n">
        <v>46112.65111111111</v>
      </c>
      <c r="C705" s="1" t="n">
        <v>46164</v>
      </c>
      <c r="D705" t="inlineStr">
        <is>
          <t>KALMAR LÄN</t>
        </is>
      </c>
      <c r="E705" t="inlineStr">
        <is>
          <t>VIMMERBY</t>
        </is>
      </c>
      <c r="F705" t="inlineStr">
        <is>
          <t>Kommuner</t>
        </is>
      </c>
      <c r="G705" t="n">
        <v>5.5</v>
      </c>
      <c r="H705" t="n">
        <v>0</v>
      </c>
      <c r="I705" t="n">
        <v>0</v>
      </c>
      <c r="J705" t="n">
        <v>0</v>
      </c>
      <c r="K705" t="n">
        <v>0</v>
      </c>
      <c r="L705" t="n">
        <v>0</v>
      </c>
      <c r="M705" t="n">
        <v>0</v>
      </c>
      <c r="N705" t="n">
        <v>0</v>
      </c>
      <c r="O705" t="n">
        <v>0</v>
      </c>
      <c r="P705" t="n">
        <v>0</v>
      </c>
      <c r="Q705" t="n">
        <v>0</v>
      </c>
      <c r="R705" s="2" t="inlineStr"/>
    </row>
    <row r="706" ht="15" customHeight="1">
      <c r="A706" t="inlineStr">
        <is>
          <t>A 54787-2023</t>
        </is>
      </c>
      <c r="B706" s="1" t="n">
        <v>45236</v>
      </c>
      <c r="C706" s="1" t="n">
        <v>46164</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15715-2022</t>
        </is>
      </c>
      <c r="B707" s="1" t="n">
        <v>44663</v>
      </c>
      <c r="C707" s="1" t="n">
        <v>46164</v>
      </c>
      <c r="D707" t="inlineStr">
        <is>
          <t>KALMAR LÄN</t>
        </is>
      </c>
      <c r="E707" t="inlineStr">
        <is>
          <t>VIMMERBY</t>
        </is>
      </c>
      <c r="G707" t="n">
        <v>2.3</v>
      </c>
      <c r="H707" t="n">
        <v>0</v>
      </c>
      <c r="I707" t="n">
        <v>0</v>
      </c>
      <c r="J707" t="n">
        <v>0</v>
      </c>
      <c r="K707" t="n">
        <v>0</v>
      </c>
      <c r="L707" t="n">
        <v>0</v>
      </c>
      <c r="M707" t="n">
        <v>0</v>
      </c>
      <c r="N707" t="n">
        <v>0</v>
      </c>
      <c r="O707" t="n">
        <v>0</v>
      </c>
      <c r="P707" t="n">
        <v>0</v>
      </c>
      <c r="Q707" t="n">
        <v>0</v>
      </c>
      <c r="R707" s="2" t="inlineStr"/>
    </row>
    <row r="708" ht="15" customHeight="1">
      <c r="A708" t="inlineStr">
        <is>
          <t>A 43774-2023</t>
        </is>
      </c>
      <c r="B708" s="1" t="n">
        <v>45187</v>
      </c>
      <c r="C708" s="1" t="n">
        <v>46164</v>
      </c>
      <c r="D708" t="inlineStr">
        <is>
          <t>KALMAR LÄN</t>
        </is>
      </c>
      <c r="E708" t="inlineStr">
        <is>
          <t>VIMMERBY</t>
        </is>
      </c>
      <c r="G708" t="n">
        <v>3.4</v>
      </c>
      <c r="H708" t="n">
        <v>0</v>
      </c>
      <c r="I708" t="n">
        <v>0</v>
      </c>
      <c r="J708" t="n">
        <v>0</v>
      </c>
      <c r="K708" t="n">
        <v>0</v>
      </c>
      <c r="L708" t="n">
        <v>0</v>
      </c>
      <c r="M708" t="n">
        <v>0</v>
      </c>
      <c r="N708" t="n">
        <v>0</v>
      </c>
      <c r="O708" t="n">
        <v>0</v>
      </c>
      <c r="P708" t="n">
        <v>0</v>
      </c>
      <c r="Q708" t="n">
        <v>0</v>
      </c>
      <c r="R708" s="2" t="inlineStr"/>
    </row>
    <row r="709" ht="15" customHeight="1">
      <c r="A709" t="inlineStr">
        <is>
          <t>A 43705-2023</t>
        </is>
      </c>
      <c r="B709" s="1" t="n">
        <v>45187.42854166667</v>
      </c>
      <c r="C709" s="1" t="n">
        <v>46164</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7932-2025</t>
        </is>
      </c>
      <c r="B710" s="1" t="n">
        <v>45707.3793287037</v>
      </c>
      <c r="C710" s="1" t="n">
        <v>46164</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13532-2025</t>
        </is>
      </c>
      <c r="B711" s="1" t="n">
        <v>45736.50743055555</v>
      </c>
      <c r="C711" s="1" t="n">
        <v>46164</v>
      </c>
      <c r="D711" t="inlineStr">
        <is>
          <t>KALMAR LÄN</t>
        </is>
      </c>
      <c r="E711" t="inlineStr">
        <is>
          <t>VIMMERBY</t>
        </is>
      </c>
      <c r="G711" t="n">
        <v>3.6</v>
      </c>
      <c r="H711" t="n">
        <v>0</v>
      </c>
      <c r="I711" t="n">
        <v>0</v>
      </c>
      <c r="J711" t="n">
        <v>0</v>
      </c>
      <c r="K711" t="n">
        <v>0</v>
      </c>
      <c r="L711" t="n">
        <v>0</v>
      </c>
      <c r="M711" t="n">
        <v>0</v>
      </c>
      <c r="N711" t="n">
        <v>0</v>
      </c>
      <c r="O711" t="n">
        <v>0</v>
      </c>
      <c r="P711" t="n">
        <v>0</v>
      </c>
      <c r="Q711" t="n">
        <v>0</v>
      </c>
      <c r="R711" s="2" t="inlineStr"/>
    </row>
    <row r="712" ht="15" customHeight="1">
      <c r="A712" t="inlineStr">
        <is>
          <t>A 16823-2026</t>
        </is>
      </c>
      <c r="B712" s="1" t="n">
        <v>46113.51649305555</v>
      </c>
      <c r="C712" s="1" t="n">
        <v>46164</v>
      </c>
      <c r="D712" t="inlineStr">
        <is>
          <t>KALMAR LÄN</t>
        </is>
      </c>
      <c r="E712" t="inlineStr">
        <is>
          <t>VIMMERBY</t>
        </is>
      </c>
      <c r="G712" t="n">
        <v>0.8</v>
      </c>
      <c r="H712" t="n">
        <v>0</v>
      </c>
      <c r="I712" t="n">
        <v>0</v>
      </c>
      <c r="J712" t="n">
        <v>0</v>
      </c>
      <c r="K712" t="n">
        <v>0</v>
      </c>
      <c r="L712" t="n">
        <v>0</v>
      </c>
      <c r="M712" t="n">
        <v>0</v>
      </c>
      <c r="N712" t="n">
        <v>0</v>
      </c>
      <c r="O712" t="n">
        <v>0</v>
      </c>
      <c r="P712" t="n">
        <v>0</v>
      </c>
      <c r="Q712" t="n">
        <v>0</v>
      </c>
      <c r="R712" s="2" t="inlineStr"/>
    </row>
    <row r="713" ht="15" customHeight="1">
      <c r="A713" t="inlineStr">
        <is>
          <t>A 16617-2026</t>
        </is>
      </c>
      <c r="B713" s="1" t="n">
        <v>46112.60607638889</v>
      </c>
      <c r="C713" s="1" t="n">
        <v>46164</v>
      </c>
      <c r="D713" t="inlineStr">
        <is>
          <t>KALMAR LÄN</t>
        </is>
      </c>
      <c r="E713" t="inlineStr">
        <is>
          <t>VIMMERBY</t>
        </is>
      </c>
      <c r="F713" t="inlineStr">
        <is>
          <t>Kommuner</t>
        </is>
      </c>
      <c r="G713" t="n">
        <v>0.6</v>
      </c>
      <c r="H713" t="n">
        <v>0</v>
      </c>
      <c r="I713" t="n">
        <v>0</v>
      </c>
      <c r="J713" t="n">
        <v>0</v>
      </c>
      <c r="K713" t="n">
        <v>0</v>
      </c>
      <c r="L713" t="n">
        <v>0</v>
      </c>
      <c r="M713" t="n">
        <v>0</v>
      </c>
      <c r="N713" t="n">
        <v>0</v>
      </c>
      <c r="O713" t="n">
        <v>0</v>
      </c>
      <c r="P713" t="n">
        <v>0</v>
      </c>
      <c r="Q713" t="n">
        <v>0</v>
      </c>
      <c r="R713" s="2" t="inlineStr"/>
    </row>
    <row r="714" ht="15" customHeight="1">
      <c r="A714" t="inlineStr">
        <is>
          <t>A 1978-2024</t>
        </is>
      </c>
      <c r="B714" s="1" t="n">
        <v>45308.59001157407</v>
      </c>
      <c r="C714" s="1" t="n">
        <v>46164</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6399-2025</t>
        </is>
      </c>
      <c r="B715" s="1" t="n">
        <v>45699.44291666667</v>
      </c>
      <c r="C715" s="1" t="n">
        <v>46164</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41311-2023</t>
        </is>
      </c>
      <c r="B716" s="1" t="n">
        <v>45174</v>
      </c>
      <c r="C716" s="1" t="n">
        <v>46164</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10785-2025</t>
        </is>
      </c>
      <c r="B717" s="1" t="n">
        <v>45722.48634259259</v>
      </c>
      <c r="C717" s="1" t="n">
        <v>46164</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18020-2025</t>
        </is>
      </c>
      <c r="B718" s="1" t="n">
        <v>45761.4437962963</v>
      </c>
      <c r="C718" s="1" t="n">
        <v>46164</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585-2024</t>
        </is>
      </c>
      <c r="B719" s="1" t="n">
        <v>45299.62576388889</v>
      </c>
      <c r="C719" s="1" t="n">
        <v>46164</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6802-2025</t>
        </is>
      </c>
      <c r="B720" s="1" t="n">
        <v>45700.68289351852</v>
      </c>
      <c r="C720" s="1" t="n">
        <v>46164</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56020-2024</t>
        </is>
      </c>
      <c r="B721" s="1" t="n">
        <v>45623.9525462963</v>
      </c>
      <c r="C721" s="1" t="n">
        <v>46164</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33842-2022</t>
        </is>
      </c>
      <c r="B722" s="1" t="n">
        <v>44790.49523148148</v>
      </c>
      <c r="C722" s="1" t="n">
        <v>46164</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60675-2023</t>
        </is>
      </c>
      <c r="B723" s="1" t="n">
        <v>45260.4716550926</v>
      </c>
      <c r="C723" s="1" t="n">
        <v>46164</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40095-2022</t>
        </is>
      </c>
      <c r="B724" s="1" t="n">
        <v>44820</v>
      </c>
      <c r="C724" s="1" t="n">
        <v>46164</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19537-2022</t>
        </is>
      </c>
      <c r="B725" s="1" t="n">
        <v>44693.62822916666</v>
      </c>
      <c r="C725" s="1" t="n">
        <v>46164</v>
      </c>
      <c r="D725" t="inlineStr">
        <is>
          <t>KALMAR LÄN</t>
        </is>
      </c>
      <c r="E725" t="inlineStr">
        <is>
          <t>VIMMERBY</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57311-2023</t>
        </is>
      </c>
      <c r="B726" s="1" t="n">
        <v>45245.63574074074</v>
      </c>
      <c r="C726" s="1" t="n">
        <v>46164</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64428-2023</t>
        </is>
      </c>
      <c r="B727" s="1" t="n">
        <v>45280.66769675926</v>
      </c>
      <c r="C727" s="1" t="n">
        <v>46164</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4527-2023</t>
        </is>
      </c>
      <c r="B728" s="1" t="n">
        <v>44956</v>
      </c>
      <c r="C728" s="1" t="n">
        <v>46164</v>
      </c>
      <c r="D728" t="inlineStr">
        <is>
          <t>KALMAR LÄN</t>
        </is>
      </c>
      <c r="E728" t="inlineStr">
        <is>
          <t>VIMMERBY</t>
        </is>
      </c>
      <c r="F728" t="inlineStr">
        <is>
          <t>Kommuner</t>
        </is>
      </c>
      <c r="G728" t="n">
        <v>8.5</v>
      </c>
      <c r="H728" t="n">
        <v>0</v>
      </c>
      <c r="I728" t="n">
        <v>0</v>
      </c>
      <c r="J728" t="n">
        <v>0</v>
      </c>
      <c r="K728" t="n">
        <v>0</v>
      </c>
      <c r="L728" t="n">
        <v>0</v>
      </c>
      <c r="M728" t="n">
        <v>0</v>
      </c>
      <c r="N728" t="n">
        <v>0</v>
      </c>
      <c r="O728" t="n">
        <v>0</v>
      </c>
      <c r="P728" t="n">
        <v>0</v>
      </c>
      <c r="Q728" t="n">
        <v>0</v>
      </c>
      <c r="R728" s="2" t="inlineStr"/>
    </row>
    <row r="729" ht="15" customHeight="1">
      <c r="A729" t="inlineStr">
        <is>
          <t>A 3268-2024</t>
        </is>
      </c>
      <c r="B729" s="1" t="n">
        <v>45317</v>
      </c>
      <c r="C729" s="1" t="n">
        <v>46164</v>
      </c>
      <c r="D729" t="inlineStr">
        <is>
          <t>KALMAR LÄN</t>
        </is>
      </c>
      <c r="E729" t="inlineStr">
        <is>
          <t>VIMMERBY</t>
        </is>
      </c>
      <c r="F729" t="inlineStr">
        <is>
          <t>Övriga Aktiebolag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51408-2023</t>
        </is>
      </c>
      <c r="B730" s="1" t="n">
        <v>45219.69356481481</v>
      </c>
      <c r="C730" s="1" t="n">
        <v>46164</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12480-2024</t>
        </is>
      </c>
      <c r="B731" s="1" t="n">
        <v>45379</v>
      </c>
      <c r="C731" s="1" t="n">
        <v>46164</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52588-2023</t>
        </is>
      </c>
      <c r="B732" s="1" t="n">
        <v>45225.60192129629</v>
      </c>
      <c r="C732" s="1" t="n">
        <v>46164</v>
      </c>
      <c r="D732" t="inlineStr">
        <is>
          <t>KALMAR LÄN</t>
        </is>
      </c>
      <c r="E732" t="inlineStr">
        <is>
          <t>VIMMERBY</t>
        </is>
      </c>
      <c r="G732" t="n">
        <v>2.9</v>
      </c>
      <c r="H732" t="n">
        <v>0</v>
      </c>
      <c r="I732" t="n">
        <v>0</v>
      </c>
      <c r="J732" t="n">
        <v>0</v>
      </c>
      <c r="K732" t="n">
        <v>0</v>
      </c>
      <c r="L732" t="n">
        <v>0</v>
      </c>
      <c r="M732" t="n">
        <v>0</v>
      </c>
      <c r="N732" t="n">
        <v>0</v>
      </c>
      <c r="O732" t="n">
        <v>0</v>
      </c>
      <c r="P732" t="n">
        <v>0</v>
      </c>
      <c r="Q732" t="n">
        <v>0</v>
      </c>
      <c r="R732" s="2" t="inlineStr"/>
    </row>
    <row r="733" ht="15" customHeight="1">
      <c r="A733" t="inlineStr">
        <is>
          <t>A 55236-2023</t>
        </is>
      </c>
      <c r="B733" s="1" t="n">
        <v>45237.63225694445</v>
      </c>
      <c r="C733" s="1" t="n">
        <v>46164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55245-2023</t>
        </is>
      </c>
      <c r="B734" s="1" t="n">
        <v>45237.64408564815</v>
      </c>
      <c r="C734" s="1" t="n">
        <v>46164</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17713-2026</t>
        </is>
      </c>
      <c r="B735" s="1" t="n">
        <v>46121.72810185186</v>
      </c>
      <c r="C735" s="1" t="n">
        <v>46164</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19111-2025</t>
        </is>
      </c>
      <c r="B736" s="1" t="n">
        <v>45768.65611111111</v>
      </c>
      <c r="C736" s="1" t="n">
        <v>46164</v>
      </c>
      <c r="D736" t="inlineStr">
        <is>
          <t>KALMAR LÄN</t>
        </is>
      </c>
      <c r="E736" t="inlineStr">
        <is>
          <t>VIMMERBY</t>
        </is>
      </c>
      <c r="G736" t="n">
        <v>6.2</v>
      </c>
      <c r="H736" t="n">
        <v>0</v>
      </c>
      <c r="I736" t="n">
        <v>0</v>
      </c>
      <c r="J736" t="n">
        <v>0</v>
      </c>
      <c r="K736" t="n">
        <v>0</v>
      </c>
      <c r="L736" t="n">
        <v>0</v>
      </c>
      <c r="M736" t="n">
        <v>0</v>
      </c>
      <c r="N736" t="n">
        <v>0</v>
      </c>
      <c r="O736" t="n">
        <v>0</v>
      </c>
      <c r="P736" t="n">
        <v>0</v>
      </c>
      <c r="Q736" t="n">
        <v>0</v>
      </c>
      <c r="R736" s="2" t="inlineStr"/>
    </row>
    <row r="737" ht="15" customHeight="1">
      <c r="A737" t="inlineStr">
        <is>
          <t>A 25370-2022</t>
        </is>
      </c>
      <c r="B737" s="1" t="n">
        <v>44732.3659837963</v>
      </c>
      <c r="C737" s="1" t="n">
        <v>46164</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33838-2022</t>
        </is>
      </c>
      <c r="B738" s="1" t="n">
        <v>44790.49040509259</v>
      </c>
      <c r="C738" s="1" t="n">
        <v>46164</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4058-2024</t>
        </is>
      </c>
      <c r="B739" s="1" t="n">
        <v>45323.53744212963</v>
      </c>
      <c r="C739" s="1" t="n">
        <v>46164</v>
      </c>
      <c r="D739" t="inlineStr">
        <is>
          <t>KALMAR LÄN</t>
        </is>
      </c>
      <c r="E739" t="inlineStr">
        <is>
          <t>VIMMERBY</t>
        </is>
      </c>
      <c r="G739" t="n">
        <v>6.5</v>
      </c>
      <c r="H739" t="n">
        <v>0</v>
      </c>
      <c r="I739" t="n">
        <v>0</v>
      </c>
      <c r="J739" t="n">
        <v>0</v>
      </c>
      <c r="K739" t="n">
        <v>0</v>
      </c>
      <c r="L739" t="n">
        <v>0</v>
      </c>
      <c r="M739" t="n">
        <v>0</v>
      </c>
      <c r="N739" t="n">
        <v>0</v>
      </c>
      <c r="O739" t="n">
        <v>0</v>
      </c>
      <c r="P739" t="n">
        <v>0</v>
      </c>
      <c r="Q739" t="n">
        <v>0</v>
      </c>
      <c r="R739" s="2" t="inlineStr"/>
    </row>
    <row r="740" ht="15" customHeight="1">
      <c r="A740" t="inlineStr">
        <is>
          <t>A 36008-2024</t>
        </is>
      </c>
      <c r="B740" s="1" t="n">
        <v>45533.55362268518</v>
      </c>
      <c r="C740" s="1" t="n">
        <v>46164</v>
      </c>
      <c r="D740" t="inlineStr">
        <is>
          <t>KALMAR LÄN</t>
        </is>
      </c>
      <c r="E740" t="inlineStr">
        <is>
          <t>VIMMERBY</t>
        </is>
      </c>
      <c r="G740" t="n">
        <v>3.7</v>
      </c>
      <c r="H740" t="n">
        <v>0</v>
      </c>
      <c r="I740" t="n">
        <v>0</v>
      </c>
      <c r="J740" t="n">
        <v>0</v>
      </c>
      <c r="K740" t="n">
        <v>0</v>
      </c>
      <c r="L740" t="n">
        <v>0</v>
      </c>
      <c r="M740" t="n">
        <v>0</v>
      </c>
      <c r="N740" t="n">
        <v>0</v>
      </c>
      <c r="O740" t="n">
        <v>0</v>
      </c>
      <c r="P740" t="n">
        <v>0</v>
      </c>
      <c r="Q740" t="n">
        <v>0</v>
      </c>
      <c r="R740" s="2" t="inlineStr"/>
    </row>
    <row r="741" ht="15" customHeight="1">
      <c r="A741" t="inlineStr">
        <is>
          <t>A 18669-2025</t>
        </is>
      </c>
      <c r="B741" s="1" t="n">
        <v>45763.59436342592</v>
      </c>
      <c r="C741" s="1" t="n">
        <v>46164</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8540-2024</t>
        </is>
      </c>
      <c r="B742" s="1" t="n">
        <v>45355.54138888889</v>
      </c>
      <c r="C742" s="1" t="n">
        <v>46164</v>
      </c>
      <c r="D742" t="inlineStr">
        <is>
          <t>KALMAR LÄN</t>
        </is>
      </c>
      <c r="E742" t="inlineStr">
        <is>
          <t>VIMMERBY</t>
        </is>
      </c>
      <c r="G742" t="n">
        <v>1.9</v>
      </c>
      <c r="H742" t="n">
        <v>0</v>
      </c>
      <c r="I742" t="n">
        <v>0</v>
      </c>
      <c r="J742" t="n">
        <v>0</v>
      </c>
      <c r="K742" t="n">
        <v>0</v>
      </c>
      <c r="L742" t="n">
        <v>0</v>
      </c>
      <c r="M742" t="n">
        <v>0</v>
      </c>
      <c r="N742" t="n">
        <v>0</v>
      </c>
      <c r="O742" t="n">
        <v>0</v>
      </c>
      <c r="P742" t="n">
        <v>0</v>
      </c>
      <c r="Q742" t="n">
        <v>0</v>
      </c>
      <c r="R742" s="2" t="inlineStr"/>
    </row>
    <row r="743" ht="15" customHeight="1">
      <c r="A743" t="inlineStr">
        <is>
          <t>A 9623-2024</t>
        </is>
      </c>
      <c r="B743" s="1" t="n">
        <v>45361.87975694444</v>
      </c>
      <c r="C743" s="1" t="n">
        <v>46164</v>
      </c>
      <c r="D743" t="inlineStr">
        <is>
          <t>KALMAR LÄN</t>
        </is>
      </c>
      <c r="E743" t="inlineStr">
        <is>
          <t>VIMMERBY</t>
        </is>
      </c>
      <c r="G743" t="n">
        <v>1.6</v>
      </c>
      <c r="H743" t="n">
        <v>0</v>
      </c>
      <c r="I743" t="n">
        <v>0</v>
      </c>
      <c r="J743" t="n">
        <v>0</v>
      </c>
      <c r="K743" t="n">
        <v>0</v>
      </c>
      <c r="L743" t="n">
        <v>0</v>
      </c>
      <c r="M743" t="n">
        <v>0</v>
      </c>
      <c r="N743" t="n">
        <v>0</v>
      </c>
      <c r="O743" t="n">
        <v>0</v>
      </c>
      <c r="P743" t="n">
        <v>0</v>
      </c>
      <c r="Q743" t="n">
        <v>0</v>
      </c>
      <c r="R743" s="2" t="inlineStr"/>
    </row>
    <row r="744" ht="15" customHeight="1">
      <c r="A744" t="inlineStr">
        <is>
          <t>A 5146-2024</t>
        </is>
      </c>
      <c r="B744" s="1" t="n">
        <v>45330</v>
      </c>
      <c r="C744" s="1" t="n">
        <v>46164</v>
      </c>
      <c r="D744" t="inlineStr">
        <is>
          <t>KALMAR LÄN</t>
        </is>
      </c>
      <c r="E744" t="inlineStr">
        <is>
          <t>VIMMERBY</t>
        </is>
      </c>
      <c r="G744" t="n">
        <v>5.3</v>
      </c>
      <c r="H744" t="n">
        <v>0</v>
      </c>
      <c r="I744" t="n">
        <v>0</v>
      </c>
      <c r="J744" t="n">
        <v>0</v>
      </c>
      <c r="K744" t="n">
        <v>0</v>
      </c>
      <c r="L744" t="n">
        <v>0</v>
      </c>
      <c r="M744" t="n">
        <v>0</v>
      </c>
      <c r="N744" t="n">
        <v>0</v>
      </c>
      <c r="O744" t="n">
        <v>0</v>
      </c>
      <c r="P744" t="n">
        <v>0</v>
      </c>
      <c r="Q744" t="n">
        <v>0</v>
      </c>
      <c r="R744" s="2" t="inlineStr"/>
    </row>
    <row r="745" ht="15" customHeight="1">
      <c r="A745" t="inlineStr">
        <is>
          <t>A 5148-2024</t>
        </is>
      </c>
      <c r="B745" s="1" t="n">
        <v>45330</v>
      </c>
      <c r="C745" s="1" t="n">
        <v>46164</v>
      </c>
      <c r="D745" t="inlineStr">
        <is>
          <t>KALMAR LÄN</t>
        </is>
      </c>
      <c r="E745" t="inlineStr">
        <is>
          <t>VIMMERBY</t>
        </is>
      </c>
      <c r="G745" t="n">
        <v>5.6</v>
      </c>
      <c r="H745" t="n">
        <v>0</v>
      </c>
      <c r="I745" t="n">
        <v>0</v>
      </c>
      <c r="J745" t="n">
        <v>0</v>
      </c>
      <c r="K745" t="n">
        <v>0</v>
      </c>
      <c r="L745" t="n">
        <v>0</v>
      </c>
      <c r="M745" t="n">
        <v>0</v>
      </c>
      <c r="N745" t="n">
        <v>0</v>
      </c>
      <c r="O745" t="n">
        <v>0</v>
      </c>
      <c r="P745" t="n">
        <v>0</v>
      </c>
      <c r="Q745" t="n">
        <v>0</v>
      </c>
      <c r="R745" s="2" t="inlineStr"/>
    </row>
    <row r="746" ht="15" customHeight="1">
      <c r="A746" t="inlineStr">
        <is>
          <t>A 44179-2022</t>
        </is>
      </c>
      <c r="B746" s="1" t="n">
        <v>44839.4528125</v>
      </c>
      <c r="C746" s="1" t="n">
        <v>46164</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50648-2023</t>
        </is>
      </c>
      <c r="B747" s="1" t="n">
        <v>45217.47834490741</v>
      </c>
      <c r="C747" s="1" t="n">
        <v>46164</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2121-2022</t>
        </is>
      </c>
      <c r="B748" s="1" t="n">
        <v>44578.32717592592</v>
      </c>
      <c r="C748" s="1" t="n">
        <v>46164</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57799-2022</t>
        </is>
      </c>
      <c r="B749" s="1" t="n">
        <v>44897</v>
      </c>
      <c r="C749" s="1" t="n">
        <v>46164</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15394-2025</t>
        </is>
      </c>
      <c r="B750" s="1" t="n">
        <v>45747.43196759259</v>
      </c>
      <c r="C750" s="1" t="n">
        <v>46164</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26318-2023</t>
        </is>
      </c>
      <c r="B751" s="1" t="n">
        <v>45091.67936342592</v>
      </c>
      <c r="C751" s="1" t="n">
        <v>46164</v>
      </c>
      <c r="D751" t="inlineStr">
        <is>
          <t>KALMAR LÄN</t>
        </is>
      </c>
      <c r="E751" t="inlineStr">
        <is>
          <t>VIMMERBY</t>
        </is>
      </c>
      <c r="G751" t="n">
        <v>3.8</v>
      </c>
      <c r="H751" t="n">
        <v>0</v>
      </c>
      <c r="I751" t="n">
        <v>0</v>
      </c>
      <c r="J751" t="n">
        <v>0</v>
      </c>
      <c r="K751" t="n">
        <v>0</v>
      </c>
      <c r="L751" t="n">
        <v>0</v>
      </c>
      <c r="M751" t="n">
        <v>0</v>
      </c>
      <c r="N751" t="n">
        <v>0</v>
      </c>
      <c r="O751" t="n">
        <v>0</v>
      </c>
      <c r="P751" t="n">
        <v>0</v>
      </c>
      <c r="Q751" t="n">
        <v>0</v>
      </c>
      <c r="R751" s="2" t="inlineStr"/>
    </row>
    <row r="752" ht="15" customHeight="1">
      <c r="A752" t="inlineStr">
        <is>
          <t>A 60437-2023</t>
        </is>
      </c>
      <c r="B752" s="1" t="n">
        <v>45259.51916666667</v>
      </c>
      <c r="C752" s="1" t="n">
        <v>46164</v>
      </c>
      <c r="D752" t="inlineStr">
        <is>
          <t>KALMAR LÄN</t>
        </is>
      </c>
      <c r="E752" t="inlineStr">
        <is>
          <t>VIMMERBY</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60438-2023</t>
        </is>
      </c>
      <c r="B753" s="1" t="n">
        <v>45259.52020833334</v>
      </c>
      <c r="C753" s="1" t="n">
        <v>46164</v>
      </c>
      <c r="D753" t="inlineStr">
        <is>
          <t>KALMAR LÄN</t>
        </is>
      </c>
      <c r="E753" t="inlineStr">
        <is>
          <t>VIMMERBY</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7758-2024</t>
        </is>
      </c>
      <c r="B754" s="1" t="n">
        <v>45349.54434027777</v>
      </c>
      <c r="C754" s="1" t="n">
        <v>46164</v>
      </c>
      <c r="D754" t="inlineStr">
        <is>
          <t>KALMAR LÄN</t>
        </is>
      </c>
      <c r="E754" t="inlineStr">
        <is>
          <t>VIMMERBY</t>
        </is>
      </c>
      <c r="G754" t="n">
        <v>3.5</v>
      </c>
      <c r="H754" t="n">
        <v>0</v>
      </c>
      <c r="I754" t="n">
        <v>0</v>
      </c>
      <c r="J754" t="n">
        <v>0</v>
      </c>
      <c r="K754" t="n">
        <v>0</v>
      </c>
      <c r="L754" t="n">
        <v>0</v>
      </c>
      <c r="M754" t="n">
        <v>0</v>
      </c>
      <c r="N754" t="n">
        <v>0</v>
      </c>
      <c r="O754" t="n">
        <v>0</v>
      </c>
      <c r="P754" t="n">
        <v>0</v>
      </c>
      <c r="Q754" t="n">
        <v>0</v>
      </c>
      <c r="R754" s="2" t="inlineStr"/>
    </row>
    <row r="755" ht="15" customHeight="1">
      <c r="A755" t="inlineStr">
        <is>
          <t>A 7456-2024</t>
        </is>
      </c>
      <c r="B755" s="1" t="n">
        <v>45345.83557870371</v>
      </c>
      <c r="C755" s="1" t="n">
        <v>46164</v>
      </c>
      <c r="D755" t="inlineStr">
        <is>
          <t>KALMAR LÄN</t>
        </is>
      </c>
      <c r="E755" t="inlineStr">
        <is>
          <t>VIMMERBY</t>
        </is>
      </c>
      <c r="G755" t="n">
        <v>4.1</v>
      </c>
      <c r="H755" t="n">
        <v>0</v>
      </c>
      <c r="I755" t="n">
        <v>0</v>
      </c>
      <c r="J755" t="n">
        <v>0</v>
      </c>
      <c r="K755" t="n">
        <v>0</v>
      </c>
      <c r="L755" t="n">
        <v>0</v>
      </c>
      <c r="M755" t="n">
        <v>0</v>
      </c>
      <c r="N755" t="n">
        <v>0</v>
      </c>
      <c r="O755" t="n">
        <v>0</v>
      </c>
      <c r="P755" t="n">
        <v>0</v>
      </c>
      <c r="Q755" t="n">
        <v>0</v>
      </c>
      <c r="R755" s="2" t="inlineStr"/>
    </row>
    <row r="756" ht="15" customHeight="1">
      <c r="A756" t="inlineStr">
        <is>
          <t>A 6082-2022</t>
        </is>
      </c>
      <c r="B756" s="1" t="n">
        <v>44599</v>
      </c>
      <c r="C756" s="1" t="n">
        <v>46164</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46979-2023</t>
        </is>
      </c>
      <c r="B757" s="1" t="n">
        <v>45201</v>
      </c>
      <c r="C757" s="1" t="n">
        <v>46164</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2596-2025</t>
        </is>
      </c>
      <c r="B758" s="1" t="n">
        <v>45674.71810185185</v>
      </c>
      <c r="C758" s="1" t="n">
        <v>46164</v>
      </c>
      <c r="D758" t="inlineStr">
        <is>
          <t>KALMAR LÄN</t>
        </is>
      </c>
      <c r="E758" t="inlineStr">
        <is>
          <t>VIMMERBY</t>
        </is>
      </c>
      <c r="G758" t="n">
        <v>9</v>
      </c>
      <c r="H758" t="n">
        <v>0</v>
      </c>
      <c r="I758" t="n">
        <v>0</v>
      </c>
      <c r="J758" t="n">
        <v>0</v>
      </c>
      <c r="K758" t="n">
        <v>0</v>
      </c>
      <c r="L758" t="n">
        <v>0</v>
      </c>
      <c r="M758" t="n">
        <v>0</v>
      </c>
      <c r="N758" t="n">
        <v>0</v>
      </c>
      <c r="O758" t="n">
        <v>0</v>
      </c>
      <c r="P758" t="n">
        <v>0</v>
      </c>
      <c r="Q758" t="n">
        <v>0</v>
      </c>
      <c r="R758" s="2" t="inlineStr"/>
    </row>
    <row r="759" ht="15" customHeight="1">
      <c r="A759" t="inlineStr">
        <is>
          <t>A 47855-2024</t>
        </is>
      </c>
      <c r="B759" s="1" t="n">
        <v>45588.66457175926</v>
      </c>
      <c r="C759" s="1" t="n">
        <v>46164</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63583-2023</t>
        </is>
      </c>
      <c r="B760" s="1" t="n">
        <v>45275.41833333333</v>
      </c>
      <c r="C760" s="1" t="n">
        <v>46164</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60228-2021</t>
        </is>
      </c>
      <c r="B761" s="1" t="n">
        <v>44495</v>
      </c>
      <c r="C761" s="1" t="n">
        <v>46164</v>
      </c>
      <c r="D761" t="inlineStr">
        <is>
          <t>KALMAR LÄN</t>
        </is>
      </c>
      <c r="E761" t="inlineStr">
        <is>
          <t>VIMMERBY</t>
        </is>
      </c>
      <c r="G761" t="n">
        <v>4.1</v>
      </c>
      <c r="H761" t="n">
        <v>0</v>
      </c>
      <c r="I761" t="n">
        <v>0</v>
      </c>
      <c r="J761" t="n">
        <v>0</v>
      </c>
      <c r="K761" t="n">
        <v>0</v>
      </c>
      <c r="L761" t="n">
        <v>0</v>
      </c>
      <c r="M761" t="n">
        <v>0</v>
      </c>
      <c r="N761" t="n">
        <v>0</v>
      </c>
      <c r="O761" t="n">
        <v>0</v>
      </c>
      <c r="P761" t="n">
        <v>0</v>
      </c>
      <c r="Q761" t="n">
        <v>0</v>
      </c>
      <c r="R761" s="2" t="inlineStr"/>
    </row>
    <row r="762" ht="15" customHeight="1">
      <c r="A762" t="inlineStr">
        <is>
          <t>A 46522-2022</t>
        </is>
      </c>
      <c r="B762" s="1" t="n">
        <v>44848.59133101852</v>
      </c>
      <c r="C762" s="1" t="n">
        <v>46164</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21109-2024</t>
        </is>
      </c>
      <c r="B763" s="1" t="n">
        <v>45440.28329861111</v>
      </c>
      <c r="C763" s="1" t="n">
        <v>46164</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33815-2022</t>
        </is>
      </c>
      <c r="B764" s="1" t="n">
        <v>44790.45876157407</v>
      </c>
      <c r="C764" s="1" t="n">
        <v>46164</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49461-2022</t>
        </is>
      </c>
      <c r="B765" s="1" t="n">
        <v>44861</v>
      </c>
      <c r="C765" s="1" t="n">
        <v>46164</v>
      </c>
      <c r="D765" t="inlineStr">
        <is>
          <t>KALMAR LÄN</t>
        </is>
      </c>
      <c r="E765" t="inlineStr">
        <is>
          <t>VIMMERBY</t>
        </is>
      </c>
      <c r="G765" t="n">
        <v>3.2</v>
      </c>
      <c r="H765" t="n">
        <v>0</v>
      </c>
      <c r="I765" t="n">
        <v>0</v>
      </c>
      <c r="J765" t="n">
        <v>0</v>
      </c>
      <c r="K765" t="n">
        <v>0</v>
      </c>
      <c r="L765" t="n">
        <v>0</v>
      </c>
      <c r="M765" t="n">
        <v>0</v>
      </c>
      <c r="N765" t="n">
        <v>0</v>
      </c>
      <c r="O765" t="n">
        <v>0</v>
      </c>
      <c r="P765" t="n">
        <v>0</v>
      </c>
      <c r="Q765" t="n">
        <v>0</v>
      </c>
      <c r="R765" s="2" t="inlineStr"/>
    </row>
    <row r="766" ht="15" customHeight="1">
      <c r="A766" t="inlineStr">
        <is>
          <t>A 53542-2022</t>
        </is>
      </c>
      <c r="B766" s="1" t="n">
        <v>44879.62173611111</v>
      </c>
      <c r="C766" s="1" t="n">
        <v>46164</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35713-2023</t>
        </is>
      </c>
      <c r="B767" s="1" t="n">
        <v>45147</v>
      </c>
      <c r="C767" s="1" t="n">
        <v>46164</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10424-2023</t>
        </is>
      </c>
      <c r="B768" s="1" t="n">
        <v>44987.54104166666</v>
      </c>
      <c r="C768" s="1" t="n">
        <v>46164</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33340-2023</t>
        </is>
      </c>
      <c r="B769" s="1" t="n">
        <v>45128.37305555555</v>
      </c>
      <c r="C769" s="1" t="n">
        <v>46164</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29017-2024</t>
        </is>
      </c>
      <c r="B770" s="1" t="n">
        <v>45481.56722222222</v>
      </c>
      <c r="C770" s="1" t="n">
        <v>46164</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58046-2022</t>
        </is>
      </c>
      <c r="B771" s="1" t="n">
        <v>44900.57393518519</v>
      </c>
      <c r="C771" s="1" t="n">
        <v>46164</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14548-2024</t>
        </is>
      </c>
      <c r="B772" s="1" t="n">
        <v>45394.66887731481</v>
      </c>
      <c r="C772" s="1" t="n">
        <v>46164</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48120-2022</t>
        </is>
      </c>
      <c r="B773" s="1" t="n">
        <v>44857.65989583333</v>
      </c>
      <c r="C773" s="1" t="n">
        <v>46164</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3423-2022</t>
        </is>
      </c>
      <c r="B774" s="1" t="n">
        <v>44585.50431712963</v>
      </c>
      <c r="C774" s="1" t="n">
        <v>46164</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11074-2023</t>
        </is>
      </c>
      <c r="B775" s="1" t="n">
        <v>44992.34151620371</v>
      </c>
      <c r="C775" s="1" t="n">
        <v>46164</v>
      </c>
      <c r="D775" t="inlineStr">
        <is>
          <t>KALMAR LÄN</t>
        </is>
      </c>
      <c r="E775" t="inlineStr">
        <is>
          <t>VIMMERBY</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71631-2021</t>
        </is>
      </c>
      <c r="B776" s="1" t="n">
        <v>44542.90072916666</v>
      </c>
      <c r="C776" s="1" t="n">
        <v>46164</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49039-2021</t>
        </is>
      </c>
      <c r="B777" s="1" t="n">
        <v>44453.56578703703</v>
      </c>
      <c r="C777" s="1" t="n">
        <v>46164</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42918-2021</t>
        </is>
      </c>
      <c r="B778" s="1" t="n">
        <v>44431</v>
      </c>
      <c r="C778" s="1" t="n">
        <v>46164</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529-2022</t>
        </is>
      </c>
      <c r="B779" s="1" t="n">
        <v>44566</v>
      </c>
      <c r="C779" s="1" t="n">
        <v>46164</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14855-2025</t>
        </is>
      </c>
      <c r="B780" s="1" t="n">
        <v>45743.41148148148</v>
      </c>
      <c r="C780" s="1" t="n">
        <v>46164</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60951-2023</t>
        </is>
      </c>
      <c r="B781" s="1" t="n">
        <v>45261.44914351852</v>
      </c>
      <c r="C781" s="1" t="n">
        <v>46164</v>
      </c>
      <c r="D781" t="inlineStr">
        <is>
          <t>KALMAR LÄN</t>
        </is>
      </c>
      <c r="E781" t="inlineStr">
        <is>
          <t>VIMMERBY</t>
        </is>
      </c>
      <c r="G781" t="n">
        <v>4.3</v>
      </c>
      <c r="H781" t="n">
        <v>0</v>
      </c>
      <c r="I781" t="n">
        <v>0</v>
      </c>
      <c r="J781" t="n">
        <v>0</v>
      </c>
      <c r="K781" t="n">
        <v>0</v>
      </c>
      <c r="L781" t="n">
        <v>0</v>
      </c>
      <c r="M781" t="n">
        <v>0</v>
      </c>
      <c r="N781" t="n">
        <v>0</v>
      </c>
      <c r="O781" t="n">
        <v>0</v>
      </c>
      <c r="P781" t="n">
        <v>0</v>
      </c>
      <c r="Q781" t="n">
        <v>0</v>
      </c>
      <c r="R781" s="2" t="inlineStr"/>
    </row>
    <row r="782" ht="15" customHeight="1">
      <c r="A782" t="inlineStr">
        <is>
          <t>A 19162-2023</t>
        </is>
      </c>
      <c r="B782" s="1" t="n">
        <v>45048.59699074074</v>
      </c>
      <c r="C782" s="1" t="n">
        <v>46164</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31209-2024</t>
        </is>
      </c>
      <c r="B783" s="1" t="n">
        <v>45503.5658912037</v>
      </c>
      <c r="C783" s="1" t="n">
        <v>46164</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5864-2022</t>
        </is>
      </c>
      <c r="B784" s="1" t="n">
        <v>44596</v>
      </c>
      <c r="C784" s="1" t="n">
        <v>46164</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3938-2023</t>
        </is>
      </c>
      <c r="B785" s="1" t="n">
        <v>44952.35775462963</v>
      </c>
      <c r="C785" s="1" t="n">
        <v>46164</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26937-2023</t>
        </is>
      </c>
      <c r="B786" s="1" t="n">
        <v>45093.62777777778</v>
      </c>
      <c r="C786" s="1" t="n">
        <v>46164</v>
      </c>
      <c r="D786" t="inlineStr">
        <is>
          <t>KALMAR LÄN</t>
        </is>
      </c>
      <c r="E786" t="inlineStr">
        <is>
          <t>VIMMERBY</t>
        </is>
      </c>
      <c r="F786" t="inlineStr">
        <is>
          <t>Sveaskog</t>
        </is>
      </c>
      <c r="G786" t="n">
        <v>14.5</v>
      </c>
      <c r="H786" t="n">
        <v>0</v>
      </c>
      <c r="I786" t="n">
        <v>0</v>
      </c>
      <c r="J786" t="n">
        <v>0</v>
      </c>
      <c r="K786" t="n">
        <v>0</v>
      </c>
      <c r="L786" t="n">
        <v>0</v>
      </c>
      <c r="M786" t="n">
        <v>0</v>
      </c>
      <c r="N786" t="n">
        <v>0</v>
      </c>
      <c r="O786" t="n">
        <v>0</v>
      </c>
      <c r="P786" t="n">
        <v>0</v>
      </c>
      <c r="Q786" t="n">
        <v>0</v>
      </c>
      <c r="R786" s="2" t="inlineStr"/>
    </row>
    <row r="787" ht="15" customHeight="1">
      <c r="A787" t="inlineStr">
        <is>
          <t>A 50085-2023</t>
        </is>
      </c>
      <c r="B787" s="1" t="n">
        <v>45215.5959375</v>
      </c>
      <c r="C787" s="1" t="n">
        <v>46164</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11219-2023</t>
        </is>
      </c>
      <c r="B788" s="1" t="n">
        <v>44992.62498842592</v>
      </c>
      <c r="C788" s="1" t="n">
        <v>46164</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6850-2023</t>
        </is>
      </c>
      <c r="B789" s="1" t="n">
        <v>44967.44255787037</v>
      </c>
      <c r="C789" s="1" t="n">
        <v>46164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6358-2022</t>
        </is>
      </c>
      <c r="B790" s="1" t="n">
        <v>44600</v>
      </c>
      <c r="C790" s="1" t="n">
        <v>46164</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43853-2023</t>
        </is>
      </c>
      <c r="B791" s="1" t="n">
        <v>45187.60813657408</v>
      </c>
      <c r="C791" s="1" t="n">
        <v>46164</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48673-2021</t>
        </is>
      </c>
      <c r="B792" s="1" t="n">
        <v>44452</v>
      </c>
      <c r="C792" s="1" t="n">
        <v>46164</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14137-2023</t>
        </is>
      </c>
      <c r="B793" s="1" t="n">
        <v>45009.4671875</v>
      </c>
      <c r="C793" s="1" t="n">
        <v>46164</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7630-2025</t>
        </is>
      </c>
      <c r="B794" s="1" t="n">
        <v>45705.74418981482</v>
      </c>
      <c r="C794" s="1" t="n">
        <v>46164</v>
      </c>
      <c r="D794" t="inlineStr">
        <is>
          <t>KALMAR LÄN</t>
        </is>
      </c>
      <c r="E794" t="inlineStr">
        <is>
          <t>VIMMERBY</t>
        </is>
      </c>
      <c r="G794" t="n">
        <v>2.5</v>
      </c>
      <c r="H794" t="n">
        <v>0</v>
      </c>
      <c r="I794" t="n">
        <v>0</v>
      </c>
      <c r="J794" t="n">
        <v>0</v>
      </c>
      <c r="K794" t="n">
        <v>0</v>
      </c>
      <c r="L794" t="n">
        <v>0</v>
      </c>
      <c r="M794" t="n">
        <v>0</v>
      </c>
      <c r="N794" t="n">
        <v>0</v>
      </c>
      <c r="O794" t="n">
        <v>0</v>
      </c>
      <c r="P794" t="n">
        <v>0</v>
      </c>
      <c r="Q794" t="n">
        <v>0</v>
      </c>
      <c r="R794" s="2" t="inlineStr"/>
    </row>
    <row r="795" ht="15" customHeight="1">
      <c r="A795" t="inlineStr">
        <is>
          <t>A 38780-2021</t>
        </is>
      </c>
      <c r="B795" s="1" t="n">
        <v>44410</v>
      </c>
      <c r="C795" s="1" t="n">
        <v>46164</v>
      </c>
      <c r="D795" t="inlineStr">
        <is>
          <t>KALMAR LÄN</t>
        </is>
      </c>
      <c r="E795" t="inlineStr">
        <is>
          <t>VIMMERBY</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30503-2023</t>
        </is>
      </c>
      <c r="B796" s="1" t="n">
        <v>45111</v>
      </c>
      <c r="C796" s="1" t="n">
        <v>46164</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60110-2022</t>
        </is>
      </c>
      <c r="B797" s="1" t="n">
        <v>44909</v>
      </c>
      <c r="C797" s="1" t="n">
        <v>46164</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59300-2024</t>
        </is>
      </c>
      <c r="B798" s="1" t="n">
        <v>45637.66542824074</v>
      </c>
      <c r="C798" s="1" t="n">
        <v>46164</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18329-2023</t>
        </is>
      </c>
      <c r="B799" s="1" t="n">
        <v>45041.63380787037</v>
      </c>
      <c r="C799" s="1" t="n">
        <v>46164</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5720-2023</t>
        </is>
      </c>
      <c r="B800" s="1" t="n">
        <v>44961</v>
      </c>
      <c r="C800" s="1" t="n">
        <v>46164</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61538-2022</t>
        </is>
      </c>
      <c r="B801" s="1" t="n">
        <v>44916.55414351852</v>
      </c>
      <c r="C801" s="1" t="n">
        <v>46164</v>
      </c>
      <c r="D801" t="inlineStr">
        <is>
          <t>KALMAR LÄN</t>
        </is>
      </c>
      <c r="E801" t="inlineStr">
        <is>
          <t>VIMMERBY</t>
        </is>
      </c>
      <c r="G801" t="n">
        <v>1.5</v>
      </c>
      <c r="H801" t="n">
        <v>0</v>
      </c>
      <c r="I801" t="n">
        <v>0</v>
      </c>
      <c r="J801" t="n">
        <v>0</v>
      </c>
      <c r="K801" t="n">
        <v>0</v>
      </c>
      <c r="L801" t="n">
        <v>0</v>
      </c>
      <c r="M801" t="n">
        <v>0</v>
      </c>
      <c r="N801" t="n">
        <v>0</v>
      </c>
      <c r="O801" t="n">
        <v>0</v>
      </c>
      <c r="P801" t="n">
        <v>0</v>
      </c>
      <c r="Q801" t="n">
        <v>0</v>
      </c>
      <c r="R801" s="2" t="inlineStr"/>
    </row>
    <row r="802" ht="15" customHeight="1">
      <c r="A802" t="inlineStr">
        <is>
          <t>A 694-2024</t>
        </is>
      </c>
      <c r="B802" s="1" t="n">
        <v>45300.3794212963</v>
      </c>
      <c r="C802" s="1" t="n">
        <v>46164</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57114-2023</t>
        </is>
      </c>
      <c r="B803" s="1" t="n">
        <v>45245.36174768519</v>
      </c>
      <c r="C803" s="1" t="n">
        <v>46164</v>
      </c>
      <c r="D803" t="inlineStr">
        <is>
          <t>KALMAR LÄN</t>
        </is>
      </c>
      <c r="E803" t="inlineStr">
        <is>
          <t>VIMMERBY</t>
        </is>
      </c>
      <c r="G803" t="n">
        <v>1.5</v>
      </c>
      <c r="H803" t="n">
        <v>0</v>
      </c>
      <c r="I803" t="n">
        <v>0</v>
      </c>
      <c r="J803" t="n">
        <v>0</v>
      </c>
      <c r="K803" t="n">
        <v>0</v>
      </c>
      <c r="L803" t="n">
        <v>0</v>
      </c>
      <c r="M803" t="n">
        <v>0</v>
      </c>
      <c r="N803" t="n">
        <v>0</v>
      </c>
      <c r="O803" t="n">
        <v>0</v>
      </c>
      <c r="P803" t="n">
        <v>0</v>
      </c>
      <c r="Q803" t="n">
        <v>0</v>
      </c>
      <c r="R803" s="2" t="inlineStr"/>
    </row>
    <row r="804" ht="15" customHeight="1">
      <c r="A804" t="inlineStr">
        <is>
          <t>A 12327-2023</t>
        </is>
      </c>
      <c r="B804" s="1" t="n">
        <v>44999.36081018519</v>
      </c>
      <c r="C804" s="1" t="n">
        <v>46164</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30633-2024</t>
        </is>
      </c>
      <c r="B805" s="1" t="n">
        <v>45495</v>
      </c>
      <c r="C805" s="1" t="n">
        <v>46164</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33424-2023</t>
        </is>
      </c>
      <c r="B806" s="1" t="n">
        <v>45128.9325</v>
      </c>
      <c r="C806" s="1" t="n">
        <v>46164</v>
      </c>
      <c r="D806" t="inlineStr">
        <is>
          <t>KALMAR LÄN</t>
        </is>
      </c>
      <c r="E806" t="inlineStr">
        <is>
          <t>VIMMERBY</t>
        </is>
      </c>
      <c r="G806" t="n">
        <v>2.4</v>
      </c>
      <c r="H806" t="n">
        <v>0</v>
      </c>
      <c r="I806" t="n">
        <v>0</v>
      </c>
      <c r="J806" t="n">
        <v>0</v>
      </c>
      <c r="K806" t="n">
        <v>0</v>
      </c>
      <c r="L806" t="n">
        <v>0</v>
      </c>
      <c r="M806" t="n">
        <v>0</v>
      </c>
      <c r="N806" t="n">
        <v>0</v>
      </c>
      <c r="O806" t="n">
        <v>0</v>
      </c>
      <c r="P806" t="n">
        <v>0</v>
      </c>
      <c r="Q806" t="n">
        <v>0</v>
      </c>
      <c r="R806" s="2" t="inlineStr"/>
    </row>
    <row r="807" ht="15" customHeight="1">
      <c r="A807" t="inlineStr">
        <is>
          <t>A 33425-2023</t>
        </is>
      </c>
      <c r="B807" s="1" t="n">
        <v>45128.93540509259</v>
      </c>
      <c r="C807" s="1" t="n">
        <v>46164</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3609-2024</t>
        </is>
      </c>
      <c r="B808" s="1" t="n">
        <v>45320.89128472222</v>
      </c>
      <c r="C808" s="1" t="n">
        <v>46164</v>
      </c>
      <c r="D808" t="inlineStr">
        <is>
          <t>KALMAR LÄN</t>
        </is>
      </c>
      <c r="E808" t="inlineStr">
        <is>
          <t>VIMMERBY</t>
        </is>
      </c>
      <c r="G808" t="n">
        <v>1.7</v>
      </c>
      <c r="H808" t="n">
        <v>0</v>
      </c>
      <c r="I808" t="n">
        <v>0</v>
      </c>
      <c r="J808" t="n">
        <v>0</v>
      </c>
      <c r="K808" t="n">
        <v>0</v>
      </c>
      <c r="L808" t="n">
        <v>0</v>
      </c>
      <c r="M808" t="n">
        <v>0</v>
      </c>
      <c r="N808" t="n">
        <v>0</v>
      </c>
      <c r="O808" t="n">
        <v>0</v>
      </c>
      <c r="P808" t="n">
        <v>0</v>
      </c>
      <c r="Q808" t="n">
        <v>0</v>
      </c>
      <c r="R808" s="2" t="inlineStr"/>
    </row>
    <row r="809" ht="15" customHeight="1">
      <c r="A809" t="inlineStr">
        <is>
          <t>A 8650-2022</t>
        </is>
      </c>
      <c r="B809" s="1" t="n">
        <v>44613</v>
      </c>
      <c r="C809" s="1" t="n">
        <v>46164</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46164</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16676-2023</t>
        </is>
      </c>
      <c r="B811" s="1" t="n">
        <v>45028</v>
      </c>
      <c r="C811" s="1" t="n">
        <v>46164</v>
      </c>
      <c r="D811" t="inlineStr">
        <is>
          <t>KALMAR LÄN</t>
        </is>
      </c>
      <c r="E811" t="inlineStr">
        <is>
          <t>VIMMERBY</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23263-2024</t>
        </is>
      </c>
      <c r="B812" s="1" t="n">
        <v>45453.36854166666</v>
      </c>
      <c r="C812" s="1" t="n">
        <v>46164</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49488-2023</t>
        </is>
      </c>
      <c r="B813" s="1" t="n">
        <v>45211.55472222222</v>
      </c>
      <c r="C813" s="1" t="n">
        <v>46164</v>
      </c>
      <c r="D813" t="inlineStr">
        <is>
          <t>KALMAR LÄN</t>
        </is>
      </c>
      <c r="E813" t="inlineStr">
        <is>
          <t>VIMMERBY</t>
        </is>
      </c>
      <c r="F813" t="inlineStr">
        <is>
          <t>Sveaskog</t>
        </is>
      </c>
      <c r="G813" t="n">
        <v>6.2</v>
      </c>
      <c r="H813" t="n">
        <v>0</v>
      </c>
      <c r="I813" t="n">
        <v>0</v>
      </c>
      <c r="J813" t="n">
        <v>0</v>
      </c>
      <c r="K813" t="n">
        <v>0</v>
      </c>
      <c r="L813" t="n">
        <v>0</v>
      </c>
      <c r="M813" t="n">
        <v>0</v>
      </c>
      <c r="N813" t="n">
        <v>0</v>
      </c>
      <c r="O813" t="n">
        <v>0</v>
      </c>
      <c r="P813" t="n">
        <v>0</v>
      </c>
      <c r="Q813" t="n">
        <v>0</v>
      </c>
      <c r="R813" s="2" t="inlineStr"/>
    </row>
    <row r="814" ht="15" customHeight="1">
      <c r="A814" t="inlineStr">
        <is>
          <t>A 59768-2024</t>
        </is>
      </c>
      <c r="B814" s="1" t="n">
        <v>45639.56185185185</v>
      </c>
      <c r="C814" s="1" t="n">
        <v>46164</v>
      </c>
      <c r="D814" t="inlineStr">
        <is>
          <t>KALMAR LÄN</t>
        </is>
      </c>
      <c r="E814" t="inlineStr">
        <is>
          <t>VIMMERBY</t>
        </is>
      </c>
      <c r="G814" t="n">
        <v>5.9</v>
      </c>
      <c r="H814" t="n">
        <v>0</v>
      </c>
      <c r="I814" t="n">
        <v>0</v>
      </c>
      <c r="J814" t="n">
        <v>0</v>
      </c>
      <c r="K814" t="n">
        <v>0</v>
      </c>
      <c r="L814" t="n">
        <v>0</v>
      </c>
      <c r="M814" t="n">
        <v>0</v>
      </c>
      <c r="N814" t="n">
        <v>0</v>
      </c>
      <c r="O814" t="n">
        <v>0</v>
      </c>
      <c r="P814" t="n">
        <v>0</v>
      </c>
      <c r="Q814" t="n">
        <v>0</v>
      </c>
      <c r="R814" s="2" t="inlineStr"/>
    </row>
    <row r="815" ht="15" customHeight="1">
      <c r="A815" t="inlineStr">
        <is>
          <t>A 72067-2021</t>
        </is>
      </c>
      <c r="B815" s="1" t="n">
        <v>44540</v>
      </c>
      <c r="C815" s="1" t="n">
        <v>46164</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41158-2023</t>
        </is>
      </c>
      <c r="B816" s="1" t="n">
        <v>45174.31395833333</v>
      </c>
      <c r="C816" s="1" t="n">
        <v>46164</v>
      </c>
      <c r="D816" t="inlineStr">
        <is>
          <t>KALMAR LÄN</t>
        </is>
      </c>
      <c r="E816" t="inlineStr">
        <is>
          <t>VIMMERBY</t>
        </is>
      </c>
      <c r="G816" t="n">
        <v>1.4</v>
      </c>
      <c r="H816" t="n">
        <v>0</v>
      </c>
      <c r="I816" t="n">
        <v>0</v>
      </c>
      <c r="J816" t="n">
        <v>0</v>
      </c>
      <c r="K816" t="n">
        <v>0</v>
      </c>
      <c r="L816" t="n">
        <v>0</v>
      </c>
      <c r="M816" t="n">
        <v>0</v>
      </c>
      <c r="N816" t="n">
        <v>0</v>
      </c>
      <c r="O816" t="n">
        <v>0</v>
      </c>
      <c r="P816" t="n">
        <v>0</v>
      </c>
      <c r="Q816" t="n">
        <v>0</v>
      </c>
      <c r="R816" s="2" t="inlineStr"/>
    </row>
    <row r="817" ht="15" customHeight="1">
      <c r="A817" t="inlineStr">
        <is>
          <t>A 22198-2024</t>
        </is>
      </c>
      <c r="B817" s="1" t="n">
        <v>45446.36865740741</v>
      </c>
      <c r="C817" s="1" t="n">
        <v>46164</v>
      </c>
      <c r="D817" t="inlineStr">
        <is>
          <t>KALMAR LÄN</t>
        </is>
      </c>
      <c r="E817" t="inlineStr">
        <is>
          <t>VIMMERBY</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9511-2023</t>
        </is>
      </c>
      <c r="B818" s="1" t="n">
        <v>44981.64725694444</v>
      </c>
      <c r="C818" s="1" t="n">
        <v>46164</v>
      </c>
      <c r="D818" t="inlineStr">
        <is>
          <t>KALMAR LÄN</t>
        </is>
      </c>
      <c r="E818" t="inlineStr">
        <is>
          <t>VIMMERBY</t>
        </is>
      </c>
      <c r="G818" t="n">
        <v>3.5</v>
      </c>
      <c r="H818" t="n">
        <v>0</v>
      </c>
      <c r="I818" t="n">
        <v>0</v>
      </c>
      <c r="J818" t="n">
        <v>0</v>
      </c>
      <c r="K818" t="n">
        <v>0</v>
      </c>
      <c r="L818" t="n">
        <v>0</v>
      </c>
      <c r="M818" t="n">
        <v>0</v>
      </c>
      <c r="N818" t="n">
        <v>0</v>
      </c>
      <c r="O818" t="n">
        <v>0</v>
      </c>
      <c r="P818" t="n">
        <v>0</v>
      </c>
      <c r="Q818" t="n">
        <v>0</v>
      </c>
      <c r="R818" s="2" t="inlineStr"/>
    </row>
    <row r="819" ht="15" customHeight="1">
      <c r="A819" t="inlineStr">
        <is>
          <t>A 34205-2023</t>
        </is>
      </c>
      <c r="B819" s="1" t="n">
        <v>45138</v>
      </c>
      <c r="C819" s="1" t="n">
        <v>46164</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57091-2022</t>
        </is>
      </c>
      <c r="B820" s="1" t="n">
        <v>44895.46524305556</v>
      </c>
      <c r="C820" s="1" t="n">
        <v>46164</v>
      </c>
      <c r="D820" t="inlineStr">
        <is>
          <t>KALMAR LÄN</t>
        </is>
      </c>
      <c r="E820" t="inlineStr">
        <is>
          <t>VIMMERBY</t>
        </is>
      </c>
      <c r="G820" t="n">
        <v>2.6</v>
      </c>
      <c r="H820" t="n">
        <v>0</v>
      </c>
      <c r="I820" t="n">
        <v>0</v>
      </c>
      <c r="J820" t="n">
        <v>0</v>
      </c>
      <c r="K820" t="n">
        <v>0</v>
      </c>
      <c r="L820" t="n">
        <v>0</v>
      </c>
      <c r="M820" t="n">
        <v>0</v>
      </c>
      <c r="N820" t="n">
        <v>0</v>
      </c>
      <c r="O820" t="n">
        <v>0</v>
      </c>
      <c r="P820" t="n">
        <v>0</v>
      </c>
      <c r="Q820" t="n">
        <v>0</v>
      </c>
      <c r="R820" s="2" t="inlineStr"/>
    </row>
    <row r="821" ht="15" customHeight="1">
      <c r="A821" t="inlineStr">
        <is>
          <t>A 2604-2025</t>
        </is>
      </c>
      <c r="B821" s="1" t="n">
        <v>45674.74094907408</v>
      </c>
      <c r="C821" s="1" t="n">
        <v>46164</v>
      </c>
      <c r="D821" t="inlineStr">
        <is>
          <t>KALMAR LÄN</t>
        </is>
      </c>
      <c r="E821" t="inlineStr">
        <is>
          <t>VIMMERBY</t>
        </is>
      </c>
      <c r="G821" t="n">
        <v>7.6</v>
      </c>
      <c r="H821" t="n">
        <v>0</v>
      </c>
      <c r="I821" t="n">
        <v>0</v>
      </c>
      <c r="J821" t="n">
        <v>0</v>
      </c>
      <c r="K821" t="n">
        <v>0</v>
      </c>
      <c r="L821" t="n">
        <v>0</v>
      </c>
      <c r="M821" t="n">
        <v>0</v>
      </c>
      <c r="N821" t="n">
        <v>0</v>
      </c>
      <c r="O821" t="n">
        <v>0</v>
      </c>
      <c r="P821" t="n">
        <v>0</v>
      </c>
      <c r="Q821" t="n">
        <v>0</v>
      </c>
      <c r="R821" s="2" t="inlineStr"/>
    </row>
    <row r="822" ht="15" customHeight="1">
      <c r="A822" t="inlineStr">
        <is>
          <t>A 6807-2025</t>
        </is>
      </c>
      <c r="B822" s="1" t="n">
        <v>45700.68672453704</v>
      </c>
      <c r="C822" s="1" t="n">
        <v>46164</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38851-2023</t>
        </is>
      </c>
      <c r="B823" s="1" t="n">
        <v>45163</v>
      </c>
      <c r="C823" s="1" t="n">
        <v>46164</v>
      </c>
      <c r="D823" t="inlineStr">
        <is>
          <t>KALMAR LÄN</t>
        </is>
      </c>
      <c r="E823" t="inlineStr">
        <is>
          <t>VIMMERBY</t>
        </is>
      </c>
      <c r="G823" t="n">
        <v>4.3</v>
      </c>
      <c r="H823" t="n">
        <v>0</v>
      </c>
      <c r="I823" t="n">
        <v>0</v>
      </c>
      <c r="J823" t="n">
        <v>0</v>
      </c>
      <c r="K823" t="n">
        <v>0</v>
      </c>
      <c r="L823" t="n">
        <v>0</v>
      </c>
      <c r="M823" t="n">
        <v>0</v>
      </c>
      <c r="N823" t="n">
        <v>0</v>
      </c>
      <c r="O823" t="n">
        <v>0</v>
      </c>
      <c r="P823" t="n">
        <v>0</v>
      </c>
      <c r="Q823" t="n">
        <v>0</v>
      </c>
      <c r="R823" s="2" t="inlineStr"/>
    </row>
    <row r="824" ht="15" customHeight="1">
      <c r="A824" t="inlineStr">
        <is>
          <t>A 23252-2024</t>
        </is>
      </c>
      <c r="B824" s="1" t="n">
        <v>45453.36067129629</v>
      </c>
      <c r="C824" s="1" t="n">
        <v>46164</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5792-2023</t>
        </is>
      </c>
      <c r="B825" s="1" t="n">
        <v>44963.44769675926</v>
      </c>
      <c r="C825" s="1" t="n">
        <v>46164</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2797-2023</t>
        </is>
      </c>
      <c r="B826" s="1" t="n">
        <v>44944.71386574074</v>
      </c>
      <c r="C826" s="1" t="n">
        <v>46164</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2799-2023</t>
        </is>
      </c>
      <c r="B827" s="1" t="n">
        <v>44944.72100694444</v>
      </c>
      <c r="C827" s="1" t="n">
        <v>46164</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6220-2025</t>
        </is>
      </c>
      <c r="B828" s="1" t="n">
        <v>45698.53725694444</v>
      </c>
      <c r="C828" s="1" t="n">
        <v>46164</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58278-2023</t>
        </is>
      </c>
      <c r="B829" s="1" t="n">
        <v>45250.5278587963</v>
      </c>
      <c r="C829" s="1" t="n">
        <v>46164</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36259-2022</t>
        </is>
      </c>
      <c r="B830" s="1" t="n">
        <v>44803.59118055556</v>
      </c>
      <c r="C830" s="1" t="n">
        <v>46164</v>
      </c>
      <c r="D830" t="inlineStr">
        <is>
          <t>KALMAR LÄN</t>
        </is>
      </c>
      <c r="E830" t="inlineStr">
        <is>
          <t>VIMMERBY</t>
        </is>
      </c>
      <c r="G830" t="n">
        <v>3.9</v>
      </c>
      <c r="H830" t="n">
        <v>0</v>
      </c>
      <c r="I830" t="n">
        <v>0</v>
      </c>
      <c r="J830" t="n">
        <v>0</v>
      </c>
      <c r="K830" t="n">
        <v>0</v>
      </c>
      <c r="L830" t="n">
        <v>0</v>
      </c>
      <c r="M830" t="n">
        <v>0</v>
      </c>
      <c r="N830" t="n">
        <v>0</v>
      </c>
      <c r="O830" t="n">
        <v>0</v>
      </c>
      <c r="P830" t="n">
        <v>0</v>
      </c>
      <c r="Q830" t="n">
        <v>0</v>
      </c>
      <c r="R830" s="2" t="inlineStr"/>
    </row>
    <row r="831" ht="15" customHeight="1">
      <c r="A831" t="inlineStr">
        <is>
          <t>A 36526-2023</t>
        </is>
      </c>
      <c r="B831" s="1" t="n">
        <v>45153.32778935185</v>
      </c>
      <c r="C831" s="1" t="n">
        <v>46164</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17988-2025</t>
        </is>
      </c>
      <c r="B832" s="1" t="n">
        <v>45761.39600694444</v>
      </c>
      <c r="C832" s="1" t="n">
        <v>46164</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29350-2023</t>
        </is>
      </c>
      <c r="B833" s="1" t="n">
        <v>45106</v>
      </c>
      <c r="C833" s="1" t="n">
        <v>46164</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29351-2023</t>
        </is>
      </c>
      <c r="B834" s="1" t="n">
        <v>45106.2610300926</v>
      </c>
      <c r="C834" s="1" t="n">
        <v>46164</v>
      </c>
      <c r="D834" t="inlineStr">
        <is>
          <t>KALMAR LÄN</t>
        </is>
      </c>
      <c r="E834" t="inlineStr">
        <is>
          <t>VIMMERBY</t>
        </is>
      </c>
      <c r="G834" t="n">
        <v>0.4</v>
      </c>
      <c r="H834" t="n">
        <v>0</v>
      </c>
      <c r="I834" t="n">
        <v>0</v>
      </c>
      <c r="J834" t="n">
        <v>0</v>
      </c>
      <c r="K834" t="n">
        <v>0</v>
      </c>
      <c r="L834" t="n">
        <v>0</v>
      </c>
      <c r="M834" t="n">
        <v>0</v>
      </c>
      <c r="N834" t="n">
        <v>0</v>
      </c>
      <c r="O834" t="n">
        <v>0</v>
      </c>
      <c r="P834" t="n">
        <v>0</v>
      </c>
      <c r="Q834" t="n">
        <v>0</v>
      </c>
      <c r="R834" s="2" t="inlineStr"/>
    </row>
    <row r="835" ht="15" customHeight="1">
      <c r="A835" t="inlineStr">
        <is>
          <t>A 6474-2025</t>
        </is>
      </c>
      <c r="B835" s="1" t="n">
        <v>45699.60055555555</v>
      </c>
      <c r="C835" s="1" t="n">
        <v>46164</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17-2025</t>
        </is>
      </c>
      <c r="B836" s="1" t="n">
        <v>45658.78774305555</v>
      </c>
      <c r="C836" s="1" t="n">
        <v>46164</v>
      </c>
      <c r="D836" t="inlineStr">
        <is>
          <t>KALMAR LÄN</t>
        </is>
      </c>
      <c r="E836" t="inlineStr">
        <is>
          <t>VIMMERBY</t>
        </is>
      </c>
      <c r="G836" t="n">
        <v>4.4</v>
      </c>
      <c r="H836" t="n">
        <v>0</v>
      </c>
      <c r="I836" t="n">
        <v>0</v>
      </c>
      <c r="J836" t="n">
        <v>0</v>
      </c>
      <c r="K836" t="n">
        <v>0</v>
      </c>
      <c r="L836" t="n">
        <v>0</v>
      </c>
      <c r="M836" t="n">
        <v>0</v>
      </c>
      <c r="N836" t="n">
        <v>0</v>
      </c>
      <c r="O836" t="n">
        <v>0</v>
      </c>
      <c r="P836" t="n">
        <v>0</v>
      </c>
      <c r="Q836" t="n">
        <v>0</v>
      </c>
      <c r="R836" s="2" t="inlineStr"/>
    </row>
    <row r="837" ht="15" customHeight="1">
      <c r="A837" t="inlineStr">
        <is>
          <t>A 57555-2024</t>
        </is>
      </c>
      <c r="B837" s="1" t="n">
        <v>45630.45069444444</v>
      </c>
      <c r="C837" s="1" t="n">
        <v>46164</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52279-2023</t>
        </is>
      </c>
      <c r="B838" s="1" t="n">
        <v>45224</v>
      </c>
      <c r="C838" s="1" t="n">
        <v>46164</v>
      </c>
      <c r="D838" t="inlineStr">
        <is>
          <t>KALMAR LÄN</t>
        </is>
      </c>
      <c r="E838" t="inlineStr">
        <is>
          <t>VIMMERBY</t>
        </is>
      </c>
      <c r="G838" t="n">
        <v>1.8</v>
      </c>
      <c r="H838" t="n">
        <v>0</v>
      </c>
      <c r="I838" t="n">
        <v>0</v>
      </c>
      <c r="J838" t="n">
        <v>0</v>
      </c>
      <c r="K838" t="n">
        <v>0</v>
      </c>
      <c r="L838" t="n">
        <v>0</v>
      </c>
      <c r="M838" t="n">
        <v>0</v>
      </c>
      <c r="N838" t="n">
        <v>0</v>
      </c>
      <c r="O838" t="n">
        <v>0</v>
      </c>
      <c r="P838" t="n">
        <v>0</v>
      </c>
      <c r="Q838" t="n">
        <v>0</v>
      </c>
      <c r="R838" s="2" t="inlineStr"/>
    </row>
    <row r="839" ht="15" customHeight="1">
      <c r="A839" t="inlineStr">
        <is>
          <t>A 52324-2023</t>
        </is>
      </c>
      <c r="B839" s="1" t="n">
        <v>45224.64659722222</v>
      </c>
      <c r="C839" s="1" t="n">
        <v>46164</v>
      </c>
      <c r="D839" t="inlineStr">
        <is>
          <t>KALMAR LÄN</t>
        </is>
      </c>
      <c r="E839" t="inlineStr">
        <is>
          <t>VIMMERBY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32639-2023</t>
        </is>
      </c>
      <c r="B840" s="1" t="n">
        <v>45121.5965162037</v>
      </c>
      <c r="C840" s="1" t="n">
        <v>46164</v>
      </c>
      <c r="D840" t="inlineStr">
        <is>
          <t>KALMAR LÄN</t>
        </is>
      </c>
      <c r="E840" t="inlineStr">
        <is>
          <t>VIMMERBY</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32642-2023</t>
        </is>
      </c>
      <c r="B841" s="1" t="n">
        <v>45121.59954861111</v>
      </c>
      <c r="C841" s="1" t="n">
        <v>46164</v>
      </c>
      <c r="D841" t="inlineStr">
        <is>
          <t>KALMAR LÄN</t>
        </is>
      </c>
      <c r="E841" t="inlineStr">
        <is>
          <t>VIMMERBY</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32651-2023</t>
        </is>
      </c>
      <c r="B842" s="1" t="n">
        <v>45121.6096875</v>
      </c>
      <c r="C842" s="1" t="n">
        <v>46164</v>
      </c>
      <c r="D842" t="inlineStr">
        <is>
          <t>KALMAR LÄN</t>
        </is>
      </c>
      <c r="E842" t="inlineStr">
        <is>
          <t>VIMMERBY</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40730-2024</t>
        </is>
      </c>
      <c r="B843" s="1" t="n">
        <v>45558.44914351852</v>
      </c>
      <c r="C843" s="1" t="n">
        <v>46164</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9643-2023</t>
        </is>
      </c>
      <c r="B844" s="1" t="n">
        <v>44984</v>
      </c>
      <c r="C844" s="1" t="n">
        <v>46164</v>
      </c>
      <c r="D844" t="inlineStr">
        <is>
          <t>KALMAR LÄN</t>
        </is>
      </c>
      <c r="E844" t="inlineStr">
        <is>
          <t>VIMMERBY</t>
        </is>
      </c>
      <c r="G844" t="n">
        <v>2</v>
      </c>
      <c r="H844" t="n">
        <v>0</v>
      </c>
      <c r="I844" t="n">
        <v>0</v>
      </c>
      <c r="J844" t="n">
        <v>0</v>
      </c>
      <c r="K844" t="n">
        <v>0</v>
      </c>
      <c r="L844" t="n">
        <v>0</v>
      </c>
      <c r="M844" t="n">
        <v>0</v>
      </c>
      <c r="N844" t="n">
        <v>0</v>
      </c>
      <c r="O844" t="n">
        <v>0</v>
      </c>
      <c r="P844" t="n">
        <v>0</v>
      </c>
      <c r="Q844" t="n">
        <v>0</v>
      </c>
      <c r="R844" s="2" t="inlineStr"/>
    </row>
    <row r="845" ht="15" customHeight="1">
      <c r="A845" t="inlineStr">
        <is>
          <t>A 56213-2024</t>
        </is>
      </c>
      <c r="B845" s="1" t="n">
        <v>45624.60141203704</v>
      </c>
      <c r="C845" s="1" t="n">
        <v>46164</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20126-2024</t>
        </is>
      </c>
      <c r="B846" s="1" t="n">
        <v>45434.55471064815</v>
      </c>
      <c r="C846" s="1" t="n">
        <v>46164</v>
      </c>
      <c r="D846" t="inlineStr">
        <is>
          <t>KALMAR LÄN</t>
        </is>
      </c>
      <c r="E846" t="inlineStr">
        <is>
          <t>VIMMERBY</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9694-2023</t>
        </is>
      </c>
      <c r="B847" s="1" t="n">
        <v>44984.45895833334</v>
      </c>
      <c r="C847" s="1" t="n">
        <v>46164</v>
      </c>
      <c r="D847" t="inlineStr">
        <is>
          <t>KALMAR LÄN</t>
        </is>
      </c>
      <c r="E847" t="inlineStr">
        <is>
          <t>VIMMERBY</t>
        </is>
      </c>
      <c r="G847" t="n">
        <v>2.1</v>
      </c>
      <c r="H847" t="n">
        <v>0</v>
      </c>
      <c r="I847" t="n">
        <v>0</v>
      </c>
      <c r="J847" t="n">
        <v>0</v>
      </c>
      <c r="K847" t="n">
        <v>0</v>
      </c>
      <c r="L847" t="n">
        <v>0</v>
      </c>
      <c r="M847" t="n">
        <v>0</v>
      </c>
      <c r="N847" t="n">
        <v>0</v>
      </c>
      <c r="O847" t="n">
        <v>0</v>
      </c>
      <c r="P847" t="n">
        <v>0</v>
      </c>
      <c r="Q847" t="n">
        <v>0</v>
      </c>
      <c r="R847" s="2" t="inlineStr"/>
    </row>
    <row r="848" ht="15" customHeight="1">
      <c r="A848" t="inlineStr">
        <is>
          <t>A 9710-2023</t>
        </is>
      </c>
      <c r="B848" s="1" t="n">
        <v>44984</v>
      </c>
      <c r="C848" s="1" t="n">
        <v>46164</v>
      </c>
      <c r="D848" t="inlineStr">
        <is>
          <t>KALMAR LÄN</t>
        </is>
      </c>
      <c r="E848" t="inlineStr">
        <is>
          <t>VIMMERBY</t>
        </is>
      </c>
      <c r="G848" t="n">
        <v>3.7</v>
      </c>
      <c r="H848" t="n">
        <v>0</v>
      </c>
      <c r="I848" t="n">
        <v>0</v>
      </c>
      <c r="J848" t="n">
        <v>0</v>
      </c>
      <c r="K848" t="n">
        <v>0</v>
      </c>
      <c r="L848" t="n">
        <v>0</v>
      </c>
      <c r="M848" t="n">
        <v>0</v>
      </c>
      <c r="N848" t="n">
        <v>0</v>
      </c>
      <c r="O848" t="n">
        <v>0</v>
      </c>
      <c r="P848" t="n">
        <v>0</v>
      </c>
      <c r="Q848" t="n">
        <v>0</v>
      </c>
      <c r="R848" s="2" t="inlineStr"/>
    </row>
    <row r="849" ht="15" customHeight="1">
      <c r="A849" t="inlineStr">
        <is>
          <t>A 6216-2025</t>
        </is>
      </c>
      <c r="B849" s="1" t="n">
        <v>45698.52806712963</v>
      </c>
      <c r="C849" s="1" t="n">
        <v>46164</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7944-2024</t>
        </is>
      </c>
      <c r="B850" s="1" t="n">
        <v>45350.53306712963</v>
      </c>
      <c r="C850" s="1" t="n">
        <v>46164</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598-2025</t>
        </is>
      </c>
      <c r="B851" s="1" t="n">
        <v>45660</v>
      </c>
      <c r="C851" s="1" t="n">
        <v>46164</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10807-2024</t>
        </is>
      </c>
      <c r="B852" s="1" t="n">
        <v>45369.62780092593</v>
      </c>
      <c r="C852" s="1" t="n">
        <v>46164</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40260-2024</t>
        </is>
      </c>
      <c r="B853" s="1" t="n">
        <v>45554.63225694445</v>
      </c>
      <c r="C853" s="1" t="n">
        <v>46164</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10787-2025</t>
        </is>
      </c>
      <c r="B854" s="1" t="n">
        <v>45722.48915509259</v>
      </c>
      <c r="C854" s="1" t="n">
        <v>46164</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58577-2024</t>
        </is>
      </c>
      <c r="B855" s="1" t="n">
        <v>45635.4874537037</v>
      </c>
      <c r="C855" s="1" t="n">
        <v>46164</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38198-2024</t>
        </is>
      </c>
      <c r="B856" s="1" t="n">
        <v>45545.49508101852</v>
      </c>
      <c r="C856" s="1" t="n">
        <v>46164</v>
      </c>
      <c r="D856" t="inlineStr">
        <is>
          <t>KALMAR LÄN</t>
        </is>
      </c>
      <c r="E856" t="inlineStr">
        <is>
          <t>VIMMERBY</t>
        </is>
      </c>
      <c r="G856" t="n">
        <v>7.9</v>
      </c>
      <c r="H856" t="n">
        <v>0</v>
      </c>
      <c r="I856" t="n">
        <v>0</v>
      </c>
      <c r="J856" t="n">
        <v>0</v>
      </c>
      <c r="K856" t="n">
        <v>0</v>
      </c>
      <c r="L856" t="n">
        <v>0</v>
      </c>
      <c r="M856" t="n">
        <v>0</v>
      </c>
      <c r="N856" t="n">
        <v>0</v>
      </c>
      <c r="O856" t="n">
        <v>0</v>
      </c>
      <c r="P856" t="n">
        <v>0</v>
      </c>
      <c r="Q856" t="n">
        <v>0</v>
      </c>
      <c r="R856" s="2" t="inlineStr"/>
    </row>
    <row r="857" ht="15" customHeight="1">
      <c r="A857" t="inlineStr">
        <is>
          <t>A 43617-2024</t>
        </is>
      </c>
      <c r="B857" s="1" t="n">
        <v>45569.47494212963</v>
      </c>
      <c r="C857" s="1" t="n">
        <v>46164</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22264-2023</t>
        </is>
      </c>
      <c r="B858" s="1" t="n">
        <v>45070.3665625</v>
      </c>
      <c r="C858" s="1" t="n">
        <v>46164</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22266-2023</t>
        </is>
      </c>
      <c r="B859" s="1" t="n">
        <v>45070</v>
      </c>
      <c r="C859" s="1" t="n">
        <v>46164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50091-2023</t>
        </is>
      </c>
      <c r="B860" s="1" t="n">
        <v>45215.60199074074</v>
      </c>
      <c r="C860" s="1" t="n">
        <v>46164</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10303-2025</t>
        </is>
      </c>
      <c r="B861" s="1" t="n">
        <v>45720.44217592593</v>
      </c>
      <c r="C861" s="1" t="n">
        <v>46164</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11027-2023</t>
        </is>
      </c>
      <c r="B862" s="1" t="n">
        <v>44991.89657407408</v>
      </c>
      <c r="C862" s="1" t="n">
        <v>46164</v>
      </c>
      <c r="D862" t="inlineStr">
        <is>
          <t>KALMAR LÄN</t>
        </is>
      </c>
      <c r="E862" t="inlineStr">
        <is>
          <t>VIMMERBY</t>
        </is>
      </c>
      <c r="G862" t="n">
        <v>0.8</v>
      </c>
      <c r="H862" t="n">
        <v>0</v>
      </c>
      <c r="I862" t="n">
        <v>0</v>
      </c>
      <c r="J862" t="n">
        <v>0</v>
      </c>
      <c r="K862" t="n">
        <v>0</v>
      </c>
      <c r="L862" t="n">
        <v>0</v>
      </c>
      <c r="M862" t="n">
        <v>0</v>
      </c>
      <c r="N862" t="n">
        <v>0</v>
      </c>
      <c r="O862" t="n">
        <v>0</v>
      </c>
      <c r="P862" t="n">
        <v>0</v>
      </c>
      <c r="Q862" t="n">
        <v>0</v>
      </c>
      <c r="R862" s="2" t="inlineStr"/>
    </row>
    <row r="863" ht="15" customHeight="1">
      <c r="A863" t="inlineStr">
        <is>
          <t>A 11661-2023</t>
        </is>
      </c>
      <c r="B863" s="1" t="n">
        <v>44994.46908564815</v>
      </c>
      <c r="C863" s="1" t="n">
        <v>46164</v>
      </c>
      <c r="D863" t="inlineStr">
        <is>
          <t>KALMAR LÄN</t>
        </is>
      </c>
      <c r="E863" t="inlineStr">
        <is>
          <t>VIMMERBY</t>
        </is>
      </c>
      <c r="G863" t="n">
        <v>2.7</v>
      </c>
      <c r="H863" t="n">
        <v>0</v>
      </c>
      <c r="I863" t="n">
        <v>0</v>
      </c>
      <c r="J863" t="n">
        <v>0</v>
      </c>
      <c r="K863" t="n">
        <v>0</v>
      </c>
      <c r="L863" t="n">
        <v>0</v>
      </c>
      <c r="M863" t="n">
        <v>0</v>
      </c>
      <c r="N863" t="n">
        <v>0</v>
      </c>
      <c r="O863" t="n">
        <v>0</v>
      </c>
      <c r="P863" t="n">
        <v>0</v>
      </c>
      <c r="Q863" t="n">
        <v>0</v>
      </c>
      <c r="R863" s="2" t="inlineStr"/>
    </row>
    <row r="864" ht="15" customHeight="1">
      <c r="A864" t="inlineStr">
        <is>
          <t>A 36155-2023</t>
        </is>
      </c>
      <c r="B864" s="1" t="n">
        <v>45149.60917824074</v>
      </c>
      <c r="C864" s="1" t="n">
        <v>46164</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40147-2023</t>
        </is>
      </c>
      <c r="B865" s="1" t="n">
        <v>45169</v>
      </c>
      <c r="C865" s="1" t="n">
        <v>46164</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63950-2023</t>
        </is>
      </c>
      <c r="B866" s="1" t="n">
        <v>45278</v>
      </c>
      <c r="C866" s="1" t="n">
        <v>46164</v>
      </c>
      <c r="D866" t="inlineStr">
        <is>
          <t>KALMAR LÄN</t>
        </is>
      </c>
      <c r="E866" t="inlineStr">
        <is>
          <t>VIMMERBY</t>
        </is>
      </c>
      <c r="F866" t="inlineStr">
        <is>
          <t>Kyrkan</t>
        </is>
      </c>
      <c r="G866" t="n">
        <v>2.7</v>
      </c>
      <c r="H866" t="n">
        <v>0</v>
      </c>
      <c r="I866" t="n">
        <v>0</v>
      </c>
      <c r="J866" t="n">
        <v>0</v>
      </c>
      <c r="K866" t="n">
        <v>0</v>
      </c>
      <c r="L866" t="n">
        <v>0</v>
      </c>
      <c r="M866" t="n">
        <v>0</v>
      </c>
      <c r="N866" t="n">
        <v>0</v>
      </c>
      <c r="O866" t="n">
        <v>0</v>
      </c>
      <c r="P866" t="n">
        <v>0</v>
      </c>
      <c r="Q866" t="n">
        <v>0</v>
      </c>
      <c r="R866" s="2" t="inlineStr"/>
    </row>
    <row r="867" ht="15" customHeight="1">
      <c r="A867" t="inlineStr">
        <is>
          <t>A 24096-2024</t>
        </is>
      </c>
      <c r="B867" s="1" t="n">
        <v>45456.59289351852</v>
      </c>
      <c r="C867" s="1" t="n">
        <v>46164</v>
      </c>
      <c r="D867" t="inlineStr">
        <is>
          <t>KALMAR LÄN</t>
        </is>
      </c>
      <c r="E867" t="inlineStr">
        <is>
          <t>VIMMERBY</t>
        </is>
      </c>
      <c r="G867" t="n">
        <v>2.3</v>
      </c>
      <c r="H867" t="n">
        <v>0</v>
      </c>
      <c r="I867" t="n">
        <v>0</v>
      </c>
      <c r="J867" t="n">
        <v>0</v>
      </c>
      <c r="K867" t="n">
        <v>0</v>
      </c>
      <c r="L867" t="n">
        <v>0</v>
      </c>
      <c r="M867" t="n">
        <v>0</v>
      </c>
      <c r="N867" t="n">
        <v>0</v>
      </c>
      <c r="O867" t="n">
        <v>0</v>
      </c>
      <c r="P867" t="n">
        <v>0</v>
      </c>
      <c r="Q867" t="n">
        <v>0</v>
      </c>
      <c r="R867" s="2" t="inlineStr"/>
    </row>
    <row r="868" ht="15" customHeight="1">
      <c r="A868" t="inlineStr">
        <is>
          <t>A 13015-2023</t>
        </is>
      </c>
      <c r="B868" s="1" t="n">
        <v>45002</v>
      </c>
      <c r="C868" s="1" t="n">
        <v>46164</v>
      </c>
      <c r="D868" t="inlineStr">
        <is>
          <t>KALMAR LÄN</t>
        </is>
      </c>
      <c r="E868" t="inlineStr">
        <is>
          <t>VIMMERBY</t>
        </is>
      </c>
      <c r="G868" t="n">
        <v>3.2</v>
      </c>
      <c r="H868" t="n">
        <v>0</v>
      </c>
      <c r="I868" t="n">
        <v>0</v>
      </c>
      <c r="J868" t="n">
        <v>0</v>
      </c>
      <c r="K868" t="n">
        <v>0</v>
      </c>
      <c r="L868" t="n">
        <v>0</v>
      </c>
      <c r="M868" t="n">
        <v>0</v>
      </c>
      <c r="N868" t="n">
        <v>0</v>
      </c>
      <c r="O868" t="n">
        <v>0</v>
      </c>
      <c r="P868" t="n">
        <v>0</v>
      </c>
      <c r="Q868" t="n">
        <v>0</v>
      </c>
      <c r="R868" s="2" t="inlineStr"/>
    </row>
    <row r="869" ht="15" customHeight="1">
      <c r="A869" t="inlineStr">
        <is>
          <t>A 41199-2023</t>
        </is>
      </c>
      <c r="B869" s="1" t="n">
        <v>45174.40454861111</v>
      </c>
      <c r="C869" s="1" t="n">
        <v>46164</v>
      </c>
      <c r="D869" t="inlineStr">
        <is>
          <t>KALMAR LÄN</t>
        </is>
      </c>
      <c r="E869" t="inlineStr">
        <is>
          <t>VIMMERBY</t>
        </is>
      </c>
      <c r="G869" t="n">
        <v>1.3</v>
      </c>
      <c r="H869" t="n">
        <v>0</v>
      </c>
      <c r="I869" t="n">
        <v>0</v>
      </c>
      <c r="J869" t="n">
        <v>0</v>
      </c>
      <c r="K869" t="n">
        <v>0</v>
      </c>
      <c r="L869" t="n">
        <v>0</v>
      </c>
      <c r="M869" t="n">
        <v>0</v>
      </c>
      <c r="N869" t="n">
        <v>0</v>
      </c>
      <c r="O869" t="n">
        <v>0</v>
      </c>
      <c r="P869" t="n">
        <v>0</v>
      </c>
      <c r="Q869" t="n">
        <v>0</v>
      </c>
      <c r="R869" s="2" t="inlineStr"/>
    </row>
    <row r="870" ht="15" customHeight="1">
      <c r="A870" t="inlineStr">
        <is>
          <t>A 36014-2024</t>
        </is>
      </c>
      <c r="B870" s="1" t="n">
        <v>45533.56108796296</v>
      </c>
      <c r="C870" s="1" t="n">
        <v>46164</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36030-2024</t>
        </is>
      </c>
      <c r="B871" s="1" t="n">
        <v>45533.58302083334</v>
      </c>
      <c r="C871" s="1" t="n">
        <v>46164</v>
      </c>
      <c r="D871" t="inlineStr">
        <is>
          <t>KALMAR LÄN</t>
        </is>
      </c>
      <c r="E871" t="inlineStr">
        <is>
          <t>VIMMERBY</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6321-2023</t>
        </is>
      </c>
      <c r="B872" s="1" t="n">
        <v>44965.4815162037</v>
      </c>
      <c r="C872" s="1" t="n">
        <v>46164</v>
      </c>
      <c r="D872" t="inlineStr">
        <is>
          <t>KALMAR LÄN</t>
        </is>
      </c>
      <c r="E872" t="inlineStr">
        <is>
          <t>VIMMERBY</t>
        </is>
      </c>
      <c r="G872" t="n">
        <v>1.8</v>
      </c>
      <c r="H872" t="n">
        <v>0</v>
      </c>
      <c r="I872" t="n">
        <v>0</v>
      </c>
      <c r="J872" t="n">
        <v>0</v>
      </c>
      <c r="K872" t="n">
        <v>0</v>
      </c>
      <c r="L872" t="n">
        <v>0</v>
      </c>
      <c r="M872" t="n">
        <v>0</v>
      </c>
      <c r="N872" t="n">
        <v>0</v>
      </c>
      <c r="O872" t="n">
        <v>0</v>
      </c>
      <c r="P872" t="n">
        <v>0</v>
      </c>
      <c r="Q872" t="n">
        <v>0</v>
      </c>
      <c r="R872" s="2" t="inlineStr"/>
    </row>
    <row r="873" ht="15" customHeight="1">
      <c r="A873" t="inlineStr">
        <is>
          <t>A 52755-2022</t>
        </is>
      </c>
      <c r="B873" s="1" t="n">
        <v>44875.27736111111</v>
      </c>
      <c r="C873" s="1" t="n">
        <v>46164</v>
      </c>
      <c r="D873" t="inlineStr">
        <is>
          <t>KALMAR LÄN</t>
        </is>
      </c>
      <c r="E873" t="inlineStr">
        <is>
          <t>VIMMERBY</t>
        </is>
      </c>
      <c r="G873" t="n">
        <v>1.1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46164</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27761-2024</t>
        </is>
      </c>
      <c r="B875" s="1" t="n">
        <v>45475.49018518518</v>
      </c>
      <c r="C875" s="1" t="n">
        <v>46164</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21028-2023</t>
        </is>
      </c>
      <c r="B876" s="1" t="n">
        <v>45061</v>
      </c>
      <c r="C876" s="1" t="n">
        <v>46164</v>
      </c>
      <c r="D876" t="inlineStr">
        <is>
          <t>KALMAR LÄN</t>
        </is>
      </c>
      <c r="E876" t="inlineStr">
        <is>
          <t>VIMMERBY</t>
        </is>
      </c>
      <c r="F876" t="inlineStr">
        <is>
          <t>Övriga Aktiebolag</t>
        </is>
      </c>
      <c r="G876" t="n">
        <v>0.7</v>
      </c>
      <c r="H876" t="n">
        <v>0</v>
      </c>
      <c r="I876" t="n">
        <v>0</v>
      </c>
      <c r="J876" t="n">
        <v>0</v>
      </c>
      <c r="K876" t="n">
        <v>0</v>
      </c>
      <c r="L876" t="n">
        <v>0</v>
      </c>
      <c r="M876" t="n">
        <v>0</v>
      </c>
      <c r="N876" t="n">
        <v>0</v>
      </c>
      <c r="O876" t="n">
        <v>0</v>
      </c>
      <c r="P876" t="n">
        <v>0</v>
      </c>
      <c r="Q876" t="n">
        <v>0</v>
      </c>
      <c r="R876" s="2" t="inlineStr"/>
    </row>
    <row r="877" ht="15" customHeight="1">
      <c r="A877" t="inlineStr">
        <is>
          <t>A 64203-2021</t>
        </is>
      </c>
      <c r="B877" s="1" t="n">
        <v>44510.60921296296</v>
      </c>
      <c r="C877" s="1" t="n">
        <v>46164</v>
      </c>
      <c r="D877" t="inlineStr">
        <is>
          <t>KALMAR LÄN</t>
        </is>
      </c>
      <c r="E877" t="inlineStr">
        <is>
          <t>VIMMERBY</t>
        </is>
      </c>
      <c r="F877" t="inlineStr">
        <is>
          <t>Övriga Aktiebolag</t>
        </is>
      </c>
      <c r="G877" t="n">
        <v>5.4</v>
      </c>
      <c r="H877" t="n">
        <v>0</v>
      </c>
      <c r="I877" t="n">
        <v>0</v>
      </c>
      <c r="J877" t="n">
        <v>0</v>
      </c>
      <c r="K877" t="n">
        <v>0</v>
      </c>
      <c r="L877" t="n">
        <v>0</v>
      </c>
      <c r="M877" t="n">
        <v>0</v>
      </c>
      <c r="N877" t="n">
        <v>0</v>
      </c>
      <c r="O877" t="n">
        <v>0</v>
      </c>
      <c r="P877" t="n">
        <v>0</v>
      </c>
      <c r="Q877" t="n">
        <v>0</v>
      </c>
      <c r="R877" s="2" t="inlineStr"/>
    </row>
    <row r="878" ht="15" customHeight="1">
      <c r="A878" t="inlineStr">
        <is>
          <t>A 1016-2024</t>
        </is>
      </c>
      <c r="B878" s="1" t="n">
        <v>45301</v>
      </c>
      <c r="C878" s="1" t="n">
        <v>46164</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1024-2024</t>
        </is>
      </c>
      <c r="B879" s="1" t="n">
        <v>45301.68237268519</v>
      </c>
      <c r="C879" s="1" t="n">
        <v>46164</v>
      </c>
      <c r="D879" t="inlineStr">
        <is>
          <t>KALMAR LÄN</t>
        </is>
      </c>
      <c r="E879" t="inlineStr">
        <is>
          <t>VIMMERBY</t>
        </is>
      </c>
      <c r="G879" t="n">
        <v>13</v>
      </c>
      <c r="H879" t="n">
        <v>0</v>
      </c>
      <c r="I879" t="n">
        <v>0</v>
      </c>
      <c r="J879" t="n">
        <v>0</v>
      </c>
      <c r="K879" t="n">
        <v>0</v>
      </c>
      <c r="L879" t="n">
        <v>0</v>
      </c>
      <c r="M879" t="n">
        <v>0</v>
      </c>
      <c r="N879" t="n">
        <v>0</v>
      </c>
      <c r="O879" t="n">
        <v>0</v>
      </c>
      <c r="P879" t="n">
        <v>0</v>
      </c>
      <c r="Q879" t="n">
        <v>0</v>
      </c>
      <c r="R879" s="2" t="inlineStr"/>
    </row>
    <row r="880" ht="15" customHeight="1">
      <c r="A880" t="inlineStr">
        <is>
          <t>A 27758-2024</t>
        </is>
      </c>
      <c r="B880" s="1" t="n">
        <v>45475.48303240741</v>
      </c>
      <c r="C880" s="1" t="n">
        <v>46164</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32865-2023</t>
        </is>
      </c>
      <c r="B881" s="1" t="n">
        <v>45124</v>
      </c>
      <c r="C881" s="1" t="n">
        <v>46164</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22194-2024</t>
        </is>
      </c>
      <c r="B882" s="1" t="n">
        <v>45446.36482638889</v>
      </c>
      <c r="C882" s="1" t="n">
        <v>46164</v>
      </c>
      <c r="D882" t="inlineStr">
        <is>
          <t>KALMAR LÄN</t>
        </is>
      </c>
      <c r="E882" t="inlineStr">
        <is>
          <t>VIMMERBY</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17926-2025</t>
        </is>
      </c>
      <c r="B883" s="1" t="n">
        <v>45759.38987268518</v>
      </c>
      <c r="C883" s="1" t="n">
        <v>46164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35127-2024</t>
        </is>
      </c>
      <c r="B884" s="1" t="n">
        <v>45530.33202546297</v>
      </c>
      <c r="C884" s="1" t="n">
        <v>46164</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33383-2023</t>
        </is>
      </c>
      <c r="B885" s="1" t="n">
        <v>45128.58414351852</v>
      </c>
      <c r="C885" s="1" t="n">
        <v>46164</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4297-2022</t>
        </is>
      </c>
      <c r="B886" s="1" t="n">
        <v>44588</v>
      </c>
      <c r="C886" s="1" t="n">
        <v>46164</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55716-2023</t>
        </is>
      </c>
      <c r="B887" s="1" t="n">
        <v>45232</v>
      </c>
      <c r="C887" s="1" t="n">
        <v>46164</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34386-2024</t>
        </is>
      </c>
      <c r="B888" s="1" t="n">
        <v>45525.41762731481</v>
      </c>
      <c r="C888" s="1" t="n">
        <v>46164</v>
      </c>
      <c r="D888" t="inlineStr">
        <is>
          <t>KALMAR LÄN</t>
        </is>
      </c>
      <c r="E888" t="inlineStr">
        <is>
          <t>VIMMERBY</t>
        </is>
      </c>
      <c r="G888" t="n">
        <v>0.3</v>
      </c>
      <c r="H888" t="n">
        <v>0</v>
      </c>
      <c r="I888" t="n">
        <v>0</v>
      </c>
      <c r="J888" t="n">
        <v>0</v>
      </c>
      <c r="K888" t="n">
        <v>0</v>
      </c>
      <c r="L888" t="n">
        <v>0</v>
      </c>
      <c r="M888" t="n">
        <v>0</v>
      </c>
      <c r="N888" t="n">
        <v>0</v>
      </c>
      <c r="O888" t="n">
        <v>0</v>
      </c>
      <c r="P888" t="n">
        <v>0</v>
      </c>
      <c r="Q888" t="n">
        <v>0</v>
      </c>
      <c r="R888" s="2" t="inlineStr"/>
    </row>
    <row r="889" ht="15" customHeight="1">
      <c r="A889" t="inlineStr">
        <is>
          <t>A 42429-2024</t>
        </is>
      </c>
      <c r="B889" s="1" t="n">
        <v>45565.40657407408</v>
      </c>
      <c r="C889" s="1" t="n">
        <v>46164</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11946-2025</t>
        </is>
      </c>
      <c r="B890" s="1" t="n">
        <v>45728.54832175926</v>
      </c>
      <c r="C890" s="1" t="n">
        <v>46164</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59943-2023</t>
        </is>
      </c>
      <c r="B891" s="1" t="n">
        <v>45257.67958333333</v>
      </c>
      <c r="C891" s="1" t="n">
        <v>46164</v>
      </c>
      <c r="D891" t="inlineStr">
        <is>
          <t>KALMAR LÄN</t>
        </is>
      </c>
      <c r="E891" t="inlineStr">
        <is>
          <t>VIMMERBY</t>
        </is>
      </c>
      <c r="G891" t="n">
        <v>6.4</v>
      </c>
      <c r="H891" t="n">
        <v>0</v>
      </c>
      <c r="I891" t="n">
        <v>0</v>
      </c>
      <c r="J891" t="n">
        <v>0</v>
      </c>
      <c r="K891" t="n">
        <v>0</v>
      </c>
      <c r="L891" t="n">
        <v>0</v>
      </c>
      <c r="M891" t="n">
        <v>0</v>
      </c>
      <c r="N891" t="n">
        <v>0</v>
      </c>
      <c r="O891" t="n">
        <v>0</v>
      </c>
      <c r="P891" t="n">
        <v>0</v>
      </c>
      <c r="Q891" t="n">
        <v>0</v>
      </c>
      <c r="R891" s="2" t="inlineStr"/>
    </row>
    <row r="892" ht="15" customHeight="1">
      <c r="A892" t="inlineStr">
        <is>
          <t>A 15493-2023</t>
        </is>
      </c>
      <c r="B892" s="1" t="n">
        <v>45018</v>
      </c>
      <c r="C892" s="1" t="n">
        <v>46164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51881-2024</t>
        </is>
      </c>
      <c r="B893" s="1" t="n">
        <v>45607.56773148148</v>
      </c>
      <c r="C893" s="1" t="n">
        <v>46164</v>
      </c>
      <c r="D893" t="inlineStr">
        <is>
          <t>KALMAR LÄN</t>
        </is>
      </c>
      <c r="E893" t="inlineStr">
        <is>
          <t>VIMMERBY</t>
        </is>
      </c>
      <c r="G893" t="n">
        <v>3.4</v>
      </c>
      <c r="H893" t="n">
        <v>0</v>
      </c>
      <c r="I893" t="n">
        <v>0</v>
      </c>
      <c r="J893" t="n">
        <v>0</v>
      </c>
      <c r="K893" t="n">
        <v>0</v>
      </c>
      <c r="L893" t="n">
        <v>0</v>
      </c>
      <c r="M893" t="n">
        <v>0</v>
      </c>
      <c r="N893" t="n">
        <v>0</v>
      </c>
      <c r="O893" t="n">
        <v>0</v>
      </c>
      <c r="P893" t="n">
        <v>0</v>
      </c>
      <c r="Q893" t="n">
        <v>0</v>
      </c>
      <c r="R893" s="2" t="inlineStr"/>
    </row>
    <row r="894" ht="15" customHeight="1">
      <c r="A894" t="inlineStr">
        <is>
          <t>A 1021-2024</t>
        </is>
      </c>
      <c r="B894" s="1" t="n">
        <v>45301.67736111111</v>
      </c>
      <c r="C894" s="1" t="n">
        <v>46164</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32569-2024</t>
        </is>
      </c>
      <c r="B895" s="1" t="n">
        <v>45513.55840277778</v>
      </c>
      <c r="C895" s="1" t="n">
        <v>46164</v>
      </c>
      <c r="D895" t="inlineStr">
        <is>
          <t>KALMAR LÄN</t>
        </is>
      </c>
      <c r="E895" t="inlineStr">
        <is>
          <t>VIMMERBY</t>
        </is>
      </c>
      <c r="G895" t="n">
        <v>3.7</v>
      </c>
      <c r="H895" t="n">
        <v>0</v>
      </c>
      <c r="I895" t="n">
        <v>0</v>
      </c>
      <c r="J895" t="n">
        <v>0</v>
      </c>
      <c r="K895" t="n">
        <v>0</v>
      </c>
      <c r="L895" t="n">
        <v>0</v>
      </c>
      <c r="M895" t="n">
        <v>0</v>
      </c>
      <c r="N895" t="n">
        <v>0</v>
      </c>
      <c r="O895" t="n">
        <v>0</v>
      </c>
      <c r="P895" t="n">
        <v>0</v>
      </c>
      <c r="Q895" t="n">
        <v>0</v>
      </c>
      <c r="R895" s="2" t="inlineStr"/>
    </row>
    <row r="896" ht="15" customHeight="1">
      <c r="A896" t="inlineStr">
        <is>
          <t>A 32575-2024</t>
        </is>
      </c>
      <c r="B896" s="1" t="n">
        <v>45513.56527777778</v>
      </c>
      <c r="C896" s="1" t="n">
        <v>46164</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30063-2023</t>
        </is>
      </c>
      <c r="B897" s="1" t="n">
        <v>45110.4184375</v>
      </c>
      <c r="C897" s="1" t="n">
        <v>46164</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17482-2024</t>
        </is>
      </c>
      <c r="B898" s="1" t="n">
        <v>45415.47848379629</v>
      </c>
      <c r="C898" s="1" t="n">
        <v>46164</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13817-2024</t>
        </is>
      </c>
      <c r="B899" s="1" t="n">
        <v>45391.41976851852</v>
      </c>
      <c r="C899" s="1" t="n">
        <v>46164</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30406-2023</t>
        </is>
      </c>
      <c r="B900" s="1" t="n">
        <v>45111.48787037037</v>
      </c>
      <c r="C900" s="1" t="n">
        <v>46164</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29020-2024</t>
        </is>
      </c>
      <c r="B901" s="1" t="n">
        <v>45481.58048611111</v>
      </c>
      <c r="C901" s="1" t="n">
        <v>46164</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25582-2024</t>
        </is>
      </c>
      <c r="B902" s="1" t="n">
        <v>45463</v>
      </c>
      <c r="C902" s="1" t="n">
        <v>46164</v>
      </c>
      <c r="D902" t="inlineStr">
        <is>
          <t>KALMAR LÄN</t>
        </is>
      </c>
      <c r="E902" t="inlineStr">
        <is>
          <t>VIMMERBY</t>
        </is>
      </c>
      <c r="G902" t="n">
        <v>1.4</v>
      </c>
      <c r="H902" t="n">
        <v>0</v>
      </c>
      <c r="I902" t="n">
        <v>0</v>
      </c>
      <c r="J902" t="n">
        <v>0</v>
      </c>
      <c r="K902" t="n">
        <v>0</v>
      </c>
      <c r="L902" t="n">
        <v>0</v>
      </c>
      <c r="M902" t="n">
        <v>0</v>
      </c>
      <c r="N902" t="n">
        <v>0</v>
      </c>
      <c r="O902" t="n">
        <v>0</v>
      </c>
      <c r="P902" t="n">
        <v>0</v>
      </c>
      <c r="Q902" t="n">
        <v>0</v>
      </c>
      <c r="R902" s="2" t="inlineStr"/>
    </row>
    <row r="903" ht="15" customHeight="1">
      <c r="A903" t="inlineStr">
        <is>
          <t>A 57578-2024</t>
        </is>
      </c>
      <c r="B903" s="1" t="n">
        <v>45630.47564814815</v>
      </c>
      <c r="C903" s="1" t="n">
        <v>46164</v>
      </c>
      <c r="D903" t="inlineStr">
        <is>
          <t>KALMAR LÄN</t>
        </is>
      </c>
      <c r="E903" t="inlineStr">
        <is>
          <t>VIMMERBY</t>
        </is>
      </c>
      <c r="G903" t="n">
        <v>2.6</v>
      </c>
      <c r="H903" t="n">
        <v>0</v>
      </c>
      <c r="I903" t="n">
        <v>0</v>
      </c>
      <c r="J903" t="n">
        <v>0</v>
      </c>
      <c r="K903" t="n">
        <v>0</v>
      </c>
      <c r="L903" t="n">
        <v>0</v>
      </c>
      <c r="M903" t="n">
        <v>0</v>
      </c>
      <c r="N903" t="n">
        <v>0</v>
      </c>
      <c r="O903" t="n">
        <v>0</v>
      </c>
      <c r="P903" t="n">
        <v>0</v>
      </c>
      <c r="Q903" t="n">
        <v>0</v>
      </c>
      <c r="R903" s="2" t="inlineStr"/>
    </row>
    <row r="904" ht="15" customHeight="1">
      <c r="A904" t="inlineStr">
        <is>
          <t>A 22399-2025</t>
        </is>
      </c>
      <c r="B904" s="1" t="n">
        <v>45786.52996527778</v>
      </c>
      <c r="C904" s="1" t="n">
        <v>46164</v>
      </c>
      <c r="D904" t="inlineStr">
        <is>
          <t>KALMAR LÄN</t>
        </is>
      </c>
      <c r="E904" t="inlineStr">
        <is>
          <t>VIMMERBY</t>
        </is>
      </c>
      <c r="G904" t="n">
        <v>2.1</v>
      </c>
      <c r="H904" t="n">
        <v>0</v>
      </c>
      <c r="I904" t="n">
        <v>0</v>
      </c>
      <c r="J904" t="n">
        <v>0</v>
      </c>
      <c r="K904" t="n">
        <v>0</v>
      </c>
      <c r="L904" t="n">
        <v>0</v>
      </c>
      <c r="M904" t="n">
        <v>0</v>
      </c>
      <c r="N904" t="n">
        <v>0</v>
      </c>
      <c r="O904" t="n">
        <v>0</v>
      </c>
      <c r="P904" t="n">
        <v>0</v>
      </c>
      <c r="Q904" t="n">
        <v>0</v>
      </c>
      <c r="R904" s="2" t="inlineStr"/>
    </row>
    <row r="905" ht="15" customHeight="1">
      <c r="A905" t="inlineStr">
        <is>
          <t>A 22397-2025</t>
        </is>
      </c>
      <c r="B905" s="1" t="n">
        <v>45786.52878472222</v>
      </c>
      <c r="C905" s="1" t="n">
        <v>46164</v>
      </c>
      <c r="D905" t="inlineStr">
        <is>
          <t>KALMAR LÄN</t>
        </is>
      </c>
      <c r="E905" t="inlineStr">
        <is>
          <t>VIMMERBY</t>
        </is>
      </c>
      <c r="G905" t="n">
        <v>0.8</v>
      </c>
      <c r="H905" t="n">
        <v>0</v>
      </c>
      <c r="I905" t="n">
        <v>0</v>
      </c>
      <c r="J905" t="n">
        <v>0</v>
      </c>
      <c r="K905" t="n">
        <v>0</v>
      </c>
      <c r="L905" t="n">
        <v>0</v>
      </c>
      <c r="M905" t="n">
        <v>0</v>
      </c>
      <c r="N905" t="n">
        <v>0</v>
      </c>
      <c r="O905" t="n">
        <v>0</v>
      </c>
      <c r="P905" t="n">
        <v>0</v>
      </c>
      <c r="Q905" t="n">
        <v>0</v>
      </c>
      <c r="R905" s="2" t="inlineStr"/>
    </row>
    <row r="906" ht="15" customHeight="1">
      <c r="A906" t="inlineStr">
        <is>
          <t>A 11442-2025</t>
        </is>
      </c>
      <c r="B906" s="1" t="n">
        <v>45726.62721064815</v>
      </c>
      <c r="C906" s="1" t="n">
        <v>46164</v>
      </c>
      <c r="D906" t="inlineStr">
        <is>
          <t>KALMAR LÄN</t>
        </is>
      </c>
      <c r="E906" t="inlineStr">
        <is>
          <t>VIMMERBY</t>
        </is>
      </c>
      <c r="G906" t="n">
        <v>2.6</v>
      </c>
      <c r="H906" t="n">
        <v>0</v>
      </c>
      <c r="I906" t="n">
        <v>0</v>
      </c>
      <c r="J906" t="n">
        <v>0</v>
      </c>
      <c r="K906" t="n">
        <v>0</v>
      </c>
      <c r="L906" t="n">
        <v>0</v>
      </c>
      <c r="M906" t="n">
        <v>0</v>
      </c>
      <c r="N906" t="n">
        <v>0</v>
      </c>
      <c r="O906" t="n">
        <v>0</v>
      </c>
      <c r="P906" t="n">
        <v>0</v>
      </c>
      <c r="Q906" t="n">
        <v>0</v>
      </c>
      <c r="R906" s="2" t="inlineStr"/>
    </row>
    <row r="907" ht="15" customHeight="1">
      <c r="A907" t="inlineStr">
        <is>
          <t>A 6307-2025</t>
        </is>
      </c>
      <c r="B907" s="1" t="n">
        <v>45698.69016203703</v>
      </c>
      <c r="C907" s="1" t="n">
        <v>46164</v>
      </c>
      <c r="D907" t="inlineStr">
        <is>
          <t>KALMAR LÄN</t>
        </is>
      </c>
      <c r="E907" t="inlineStr">
        <is>
          <t>VIMMERBY</t>
        </is>
      </c>
      <c r="G907" t="n">
        <v>3</v>
      </c>
      <c r="H907" t="n">
        <v>0</v>
      </c>
      <c r="I907" t="n">
        <v>0</v>
      </c>
      <c r="J907" t="n">
        <v>0</v>
      </c>
      <c r="K907" t="n">
        <v>0</v>
      </c>
      <c r="L907" t="n">
        <v>0</v>
      </c>
      <c r="M907" t="n">
        <v>0</v>
      </c>
      <c r="N907" t="n">
        <v>0</v>
      </c>
      <c r="O907" t="n">
        <v>0</v>
      </c>
      <c r="P907" t="n">
        <v>0</v>
      </c>
      <c r="Q907" t="n">
        <v>0</v>
      </c>
      <c r="R907" s="2" t="inlineStr"/>
    </row>
    <row r="908" ht="15" customHeight="1">
      <c r="A908" t="inlineStr">
        <is>
          <t>A 23394-2025</t>
        </is>
      </c>
      <c r="B908" s="1" t="n">
        <v>45791.89865740741</v>
      </c>
      <c r="C908" s="1" t="n">
        <v>46164</v>
      </c>
      <c r="D908" t="inlineStr">
        <is>
          <t>KALMAR LÄN</t>
        </is>
      </c>
      <c r="E908" t="inlineStr">
        <is>
          <t>VIMMERBY</t>
        </is>
      </c>
      <c r="G908" t="n">
        <v>3.1</v>
      </c>
      <c r="H908" t="n">
        <v>0</v>
      </c>
      <c r="I908" t="n">
        <v>0</v>
      </c>
      <c r="J908" t="n">
        <v>0</v>
      </c>
      <c r="K908" t="n">
        <v>0</v>
      </c>
      <c r="L908" t="n">
        <v>0</v>
      </c>
      <c r="M908" t="n">
        <v>0</v>
      </c>
      <c r="N908" t="n">
        <v>0</v>
      </c>
      <c r="O908" t="n">
        <v>0</v>
      </c>
      <c r="P908" t="n">
        <v>0</v>
      </c>
      <c r="Q908" t="n">
        <v>0</v>
      </c>
      <c r="R908" s="2" t="inlineStr"/>
    </row>
    <row r="909" ht="15" customHeight="1">
      <c r="A909" t="inlineStr">
        <is>
          <t>A 23984-2025</t>
        </is>
      </c>
      <c r="B909" s="1" t="n">
        <v>45796</v>
      </c>
      <c r="C909" s="1" t="n">
        <v>46164</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51278-2024</t>
        </is>
      </c>
      <c r="B910" s="1" t="n">
        <v>45603.74959490741</v>
      </c>
      <c r="C910" s="1" t="n">
        <v>46164</v>
      </c>
      <c r="D910" t="inlineStr">
        <is>
          <t>KALMAR LÄN</t>
        </is>
      </c>
      <c r="E910" t="inlineStr">
        <is>
          <t>VIMMERBY</t>
        </is>
      </c>
      <c r="G910" t="n">
        <v>3.4</v>
      </c>
      <c r="H910" t="n">
        <v>0</v>
      </c>
      <c r="I910" t="n">
        <v>0</v>
      </c>
      <c r="J910" t="n">
        <v>0</v>
      </c>
      <c r="K910" t="n">
        <v>0</v>
      </c>
      <c r="L910" t="n">
        <v>0</v>
      </c>
      <c r="M910" t="n">
        <v>0</v>
      </c>
      <c r="N910" t="n">
        <v>0</v>
      </c>
      <c r="O910" t="n">
        <v>0</v>
      </c>
      <c r="P910" t="n">
        <v>0</v>
      </c>
      <c r="Q910" t="n">
        <v>0</v>
      </c>
      <c r="R910" s="2" t="inlineStr"/>
    </row>
    <row r="911" ht="15" customHeight="1">
      <c r="A911" t="inlineStr">
        <is>
          <t>A 35082-2024</t>
        </is>
      </c>
      <c r="B911" s="1" t="n">
        <v>45527.68784722222</v>
      </c>
      <c r="C911" s="1" t="n">
        <v>46164</v>
      </c>
      <c r="D911" t="inlineStr">
        <is>
          <t>KALMAR LÄN</t>
        </is>
      </c>
      <c r="E911" t="inlineStr">
        <is>
          <t>VIMMERBY</t>
        </is>
      </c>
      <c r="G911" t="n">
        <v>0.8</v>
      </c>
      <c r="H911" t="n">
        <v>0</v>
      </c>
      <c r="I911" t="n">
        <v>0</v>
      </c>
      <c r="J911" t="n">
        <v>0</v>
      </c>
      <c r="K911" t="n">
        <v>0</v>
      </c>
      <c r="L911" t="n">
        <v>0</v>
      </c>
      <c r="M911" t="n">
        <v>0</v>
      </c>
      <c r="N911" t="n">
        <v>0</v>
      </c>
      <c r="O911" t="n">
        <v>0</v>
      </c>
      <c r="P911" t="n">
        <v>0</v>
      </c>
      <c r="Q911" t="n">
        <v>0</v>
      </c>
      <c r="R911" s="2" t="inlineStr"/>
    </row>
    <row r="912" ht="15" customHeight="1">
      <c r="A912" t="inlineStr">
        <is>
          <t>A 44582-2024</t>
        </is>
      </c>
      <c r="B912" s="1" t="n">
        <v>45574.49298611111</v>
      </c>
      <c r="C912" s="1" t="n">
        <v>46164</v>
      </c>
      <c r="D912" t="inlineStr">
        <is>
          <t>KALMAR LÄN</t>
        </is>
      </c>
      <c r="E912" t="inlineStr">
        <is>
          <t>VIMMERBY</t>
        </is>
      </c>
      <c r="G912" t="n">
        <v>1.1</v>
      </c>
      <c r="H912" t="n">
        <v>0</v>
      </c>
      <c r="I912" t="n">
        <v>0</v>
      </c>
      <c r="J912" t="n">
        <v>0</v>
      </c>
      <c r="K912" t="n">
        <v>0</v>
      </c>
      <c r="L912" t="n">
        <v>0</v>
      </c>
      <c r="M912" t="n">
        <v>0</v>
      </c>
      <c r="N912" t="n">
        <v>0</v>
      </c>
      <c r="O912" t="n">
        <v>0</v>
      </c>
      <c r="P912" t="n">
        <v>0</v>
      </c>
      <c r="Q912" t="n">
        <v>0</v>
      </c>
      <c r="R912" s="2" t="inlineStr"/>
    </row>
    <row r="913" ht="15" customHeight="1">
      <c r="A913" t="inlineStr">
        <is>
          <t>A 9456-2025</t>
        </is>
      </c>
      <c r="B913" s="1" t="n">
        <v>45715.44159722222</v>
      </c>
      <c r="C913" s="1" t="n">
        <v>46164</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11111-2023</t>
        </is>
      </c>
      <c r="B914" s="1" t="n">
        <v>44992.4255787037</v>
      </c>
      <c r="C914" s="1" t="n">
        <v>46164</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58724-2024</t>
        </is>
      </c>
      <c r="B915" s="1" t="n">
        <v>45635.66409722222</v>
      </c>
      <c r="C915" s="1" t="n">
        <v>46164</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15494-2024</t>
        </is>
      </c>
      <c r="B916" s="1" t="n">
        <v>45401.53033564815</v>
      </c>
      <c r="C916" s="1" t="n">
        <v>46164</v>
      </c>
      <c r="D916" t="inlineStr">
        <is>
          <t>KALMAR LÄN</t>
        </is>
      </c>
      <c r="E916" t="inlineStr">
        <is>
          <t>VIMMERBY</t>
        </is>
      </c>
      <c r="G916" t="n">
        <v>3.2</v>
      </c>
      <c r="H916" t="n">
        <v>0</v>
      </c>
      <c r="I916" t="n">
        <v>0</v>
      </c>
      <c r="J916" t="n">
        <v>0</v>
      </c>
      <c r="K916" t="n">
        <v>0</v>
      </c>
      <c r="L916" t="n">
        <v>0</v>
      </c>
      <c r="M916" t="n">
        <v>0</v>
      </c>
      <c r="N916" t="n">
        <v>0</v>
      </c>
      <c r="O916" t="n">
        <v>0</v>
      </c>
      <c r="P916" t="n">
        <v>0</v>
      </c>
      <c r="Q916" t="n">
        <v>0</v>
      </c>
      <c r="R916" s="2" t="inlineStr"/>
    </row>
    <row r="917" ht="15" customHeight="1">
      <c r="A917" t="inlineStr">
        <is>
          <t>A 26039-2025</t>
        </is>
      </c>
      <c r="B917" s="1" t="n">
        <v>45804.6953587963</v>
      </c>
      <c r="C917" s="1" t="n">
        <v>46164</v>
      </c>
      <c r="D917" t="inlineStr">
        <is>
          <t>KALMAR LÄN</t>
        </is>
      </c>
      <c r="E917" t="inlineStr">
        <is>
          <t>VIMMERBY</t>
        </is>
      </c>
      <c r="F917" t="inlineStr">
        <is>
          <t>Sveaskog</t>
        </is>
      </c>
      <c r="G917" t="n">
        <v>5.2</v>
      </c>
      <c r="H917" t="n">
        <v>0</v>
      </c>
      <c r="I917" t="n">
        <v>0</v>
      </c>
      <c r="J917" t="n">
        <v>0</v>
      </c>
      <c r="K917" t="n">
        <v>0</v>
      </c>
      <c r="L917" t="n">
        <v>0</v>
      </c>
      <c r="M917" t="n">
        <v>0</v>
      </c>
      <c r="N917" t="n">
        <v>0</v>
      </c>
      <c r="O917" t="n">
        <v>0</v>
      </c>
      <c r="P917" t="n">
        <v>0</v>
      </c>
      <c r="Q917" t="n">
        <v>0</v>
      </c>
      <c r="R917" s="2" t="inlineStr"/>
    </row>
    <row r="918" ht="15" customHeight="1">
      <c r="A918" t="inlineStr">
        <is>
          <t>A 26046-2025</t>
        </is>
      </c>
      <c r="B918" s="1" t="n">
        <v>45804.708125</v>
      </c>
      <c r="C918" s="1" t="n">
        <v>46164</v>
      </c>
      <c r="D918" t="inlineStr">
        <is>
          <t>KALMAR LÄN</t>
        </is>
      </c>
      <c r="E918" t="inlineStr">
        <is>
          <t>VIMMERBY</t>
        </is>
      </c>
      <c r="F918" t="inlineStr">
        <is>
          <t>Sveaskog</t>
        </is>
      </c>
      <c r="G918" t="n">
        <v>5.1</v>
      </c>
      <c r="H918" t="n">
        <v>0</v>
      </c>
      <c r="I918" t="n">
        <v>0</v>
      </c>
      <c r="J918" t="n">
        <v>0</v>
      </c>
      <c r="K918" t="n">
        <v>0</v>
      </c>
      <c r="L918" t="n">
        <v>0</v>
      </c>
      <c r="M918" t="n">
        <v>0</v>
      </c>
      <c r="N918" t="n">
        <v>0</v>
      </c>
      <c r="O918" t="n">
        <v>0</v>
      </c>
      <c r="P918" t="n">
        <v>0</v>
      </c>
      <c r="Q918" t="n">
        <v>0</v>
      </c>
      <c r="R918" s="2" t="inlineStr"/>
    </row>
    <row r="919">
      <c r="A919" t="inlineStr">
        <is>
          <t>A 25792-2025</t>
        </is>
      </c>
      <c r="B919" s="1" t="n">
        <v>45804.39141203704</v>
      </c>
      <c r="C919" s="1" t="n">
        <v>46164</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2026-05-22T10:43:38Z</dcterms:created>
  <dcterms:modified xmlns:dcterms="http://purl.org/dc/terms/" xmlns:xsi="http://www.w3.org/2001/XMLSchema-instance" xsi:type="dcterms:W3CDTF">2026-05-22T10:43:39Z</dcterms:modified>
</cp:coreProperties>
</file>