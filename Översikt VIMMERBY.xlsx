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46094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46094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46094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46094</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46094</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46094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46094</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46094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46094</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7040-2026</t>
        </is>
      </c>
      <c r="B16" s="1" t="n">
        <v>46057.69520833333</v>
      </c>
      <c r="C16" s="1" t="n">
        <v>46094</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55604-2025</t>
        </is>
      </c>
      <c r="B17" s="1" t="n">
        <v>45971</v>
      </c>
      <c r="C17" s="1" t="n">
        <v>46094</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58997-2025</t>
        </is>
      </c>
      <c r="B18" s="1" t="n">
        <v>45987</v>
      </c>
      <c r="C18" s="1" t="n">
        <v>46094</v>
      </c>
      <c r="D18" t="inlineStr">
        <is>
          <t>KALMAR LÄN</t>
        </is>
      </c>
      <c r="E18" t="inlineStr">
        <is>
          <t>VIMMERBY</t>
        </is>
      </c>
      <c r="G18" t="n">
        <v>7.9</v>
      </c>
      <c r="H18" t="n">
        <v>1</v>
      </c>
      <c r="I18" t="n">
        <v>2</v>
      </c>
      <c r="J18" t="n">
        <v>1</v>
      </c>
      <c r="K18" t="n">
        <v>1</v>
      </c>
      <c r="L18" t="n">
        <v>0</v>
      </c>
      <c r="M18" t="n">
        <v>0</v>
      </c>
      <c r="N18" t="n">
        <v>0</v>
      </c>
      <c r="O18" t="n">
        <v>2</v>
      </c>
      <c r="P18" t="n">
        <v>1</v>
      </c>
      <c r="Q18" t="n">
        <v>4</v>
      </c>
      <c r="R18" s="2" t="inlineStr">
        <is>
          <t>Knärot
Tallticka
Brandticka
Dropptaggsvamp</t>
        </is>
      </c>
      <c r="S18">
        <f>HYPERLINK("https://klasma.github.io/Logging_0884/artfynd/A 58997-2025 artfynd.xlsx", "A 58997-2025")</f>
        <v/>
      </c>
      <c r="T18">
        <f>HYPERLINK("https://klasma.github.io/Logging_0884/kartor/A 58997-2025 karta.png", "A 58997-2025")</f>
        <v/>
      </c>
      <c r="U18">
        <f>HYPERLINK("https://klasma.github.io/Logging_0884/knärot/A 58997-2025 karta knärot.png", "A 58997-2025")</f>
        <v/>
      </c>
      <c r="V18">
        <f>HYPERLINK("https://klasma.github.io/Logging_0884/klagomål/A 58997-2025 FSC-klagomål.docx", "A 58997-2025")</f>
        <v/>
      </c>
      <c r="W18">
        <f>HYPERLINK("https://klasma.github.io/Logging_0884/klagomålsmail/A 58997-2025 FSC-klagomål mail.docx", "A 58997-2025")</f>
        <v/>
      </c>
      <c r="X18">
        <f>HYPERLINK("https://klasma.github.io/Logging_0884/tillsyn/A 58997-2025 tillsynsbegäran.docx", "A 58997-2025")</f>
        <v/>
      </c>
      <c r="Y18">
        <f>HYPERLINK("https://klasma.github.io/Logging_0884/tillsynsmail/A 58997-2025 tillsynsbegäran mail.docx", "A 58997-2025")</f>
        <v/>
      </c>
    </row>
    <row r="19" ht="15" customHeight="1">
      <c r="A19" t="inlineStr">
        <is>
          <t>A 37901-2022</t>
        </is>
      </c>
      <c r="B19" s="1" t="n">
        <v>44811</v>
      </c>
      <c r="C19" s="1" t="n">
        <v>46094</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46094</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46094</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46094</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46094</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46094</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46094</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46094</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22396-2025</t>
        </is>
      </c>
      <c r="B27" s="1" t="n">
        <v>45786.52827546297</v>
      </c>
      <c r="C27" s="1" t="n">
        <v>46094</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46094</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46094</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40684-2025</t>
        </is>
      </c>
      <c r="B30" s="1" t="n">
        <v>45896.86820601852</v>
      </c>
      <c r="C30" s="1" t="n">
        <v>46094</v>
      </c>
      <c r="D30" t="inlineStr">
        <is>
          <t>KALMAR LÄN</t>
        </is>
      </c>
      <c r="E30" t="inlineStr">
        <is>
          <t>VIMMERBY</t>
        </is>
      </c>
      <c r="G30" t="n">
        <v>4.4</v>
      </c>
      <c r="H30" t="n">
        <v>2</v>
      </c>
      <c r="I30" t="n">
        <v>0</v>
      </c>
      <c r="J30" t="n">
        <v>1</v>
      </c>
      <c r="K30" t="n">
        <v>0</v>
      </c>
      <c r="L30" t="n">
        <v>0</v>
      </c>
      <c r="M30" t="n">
        <v>0</v>
      </c>
      <c r="N30" t="n">
        <v>0</v>
      </c>
      <c r="O30" t="n">
        <v>1</v>
      </c>
      <c r="P30" t="n">
        <v>0</v>
      </c>
      <c r="Q30" t="n">
        <v>2</v>
      </c>
      <c r="R30" s="2" t="inlineStr">
        <is>
          <t>Talltita
Kungsfågel</t>
        </is>
      </c>
      <c r="S30">
        <f>HYPERLINK("https://klasma.github.io/Logging_0884/artfynd/A 40684-2025 artfynd.xlsx", "A 40684-2025")</f>
        <v/>
      </c>
      <c r="T30">
        <f>HYPERLINK("https://klasma.github.io/Logging_0884/kartor/A 40684-2025 karta.png", "A 40684-2025")</f>
        <v/>
      </c>
      <c r="V30">
        <f>HYPERLINK("https://klasma.github.io/Logging_0884/klagomål/A 40684-2025 FSC-klagomål.docx", "A 40684-2025")</f>
        <v/>
      </c>
      <c r="W30">
        <f>HYPERLINK("https://klasma.github.io/Logging_0884/klagomålsmail/A 40684-2025 FSC-klagomål mail.docx", "A 40684-2025")</f>
        <v/>
      </c>
      <c r="X30">
        <f>HYPERLINK("https://klasma.github.io/Logging_0884/tillsyn/A 40684-2025 tillsynsbegäran.docx", "A 40684-2025")</f>
        <v/>
      </c>
      <c r="Y30">
        <f>HYPERLINK("https://klasma.github.io/Logging_0884/tillsynsmail/A 40684-2025 tillsynsbegäran mail.docx", "A 40684-2025")</f>
        <v/>
      </c>
      <c r="Z30">
        <f>HYPERLINK("https://klasma.github.io/Logging_0884/fåglar/A 40684-2025 prioriterade fågelarter.docx", "A 40684-2025")</f>
        <v/>
      </c>
    </row>
    <row r="31" ht="15" customHeight="1">
      <c r="A31" t="inlineStr">
        <is>
          <t>A 17935-2025</t>
        </is>
      </c>
      <c r="B31" s="1" t="n">
        <v>45760.34877314815</v>
      </c>
      <c r="C31" s="1" t="n">
        <v>46094</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46094</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42802-2025</t>
        </is>
      </c>
      <c r="B33" s="1" t="n">
        <v>45908</v>
      </c>
      <c r="C33" s="1" t="n">
        <v>46094</v>
      </c>
      <c r="D33" t="inlineStr">
        <is>
          <t>KALMAR LÄN</t>
        </is>
      </c>
      <c r="E33" t="inlineStr">
        <is>
          <t>VIMMERBY</t>
        </is>
      </c>
      <c r="G33" t="n">
        <v>2.8</v>
      </c>
      <c r="H33" t="n">
        <v>1</v>
      </c>
      <c r="I33" t="n">
        <v>1</v>
      </c>
      <c r="J33" t="n">
        <v>0</v>
      </c>
      <c r="K33" t="n">
        <v>0</v>
      </c>
      <c r="L33" t="n">
        <v>0</v>
      </c>
      <c r="M33" t="n">
        <v>0</v>
      </c>
      <c r="N33" t="n">
        <v>0</v>
      </c>
      <c r="O33" t="n">
        <v>0</v>
      </c>
      <c r="P33" t="n">
        <v>0</v>
      </c>
      <c r="Q33" t="n">
        <v>2</v>
      </c>
      <c r="R33" s="2" t="inlineStr">
        <is>
          <t>Tibast
Fläcknycklar</t>
        </is>
      </c>
      <c r="S33">
        <f>HYPERLINK("https://klasma.github.io/Logging_0884/artfynd/A 42802-2025 artfynd.xlsx", "A 42802-2025")</f>
        <v/>
      </c>
      <c r="T33">
        <f>HYPERLINK("https://klasma.github.io/Logging_0884/kartor/A 42802-2025 karta.png", "A 42802-2025")</f>
        <v/>
      </c>
      <c r="V33">
        <f>HYPERLINK("https://klasma.github.io/Logging_0884/klagomål/A 42802-2025 FSC-klagomål.docx", "A 42802-2025")</f>
        <v/>
      </c>
      <c r="W33">
        <f>HYPERLINK("https://klasma.github.io/Logging_0884/klagomålsmail/A 42802-2025 FSC-klagomål mail.docx", "A 42802-2025")</f>
        <v/>
      </c>
      <c r="X33">
        <f>HYPERLINK("https://klasma.github.io/Logging_0884/tillsyn/A 42802-2025 tillsynsbegäran.docx", "A 42802-2025")</f>
        <v/>
      </c>
      <c r="Y33">
        <f>HYPERLINK("https://klasma.github.io/Logging_0884/tillsynsmail/A 42802-2025 tillsynsbegäran mail.docx", "A 42802-2025")</f>
        <v/>
      </c>
    </row>
    <row r="34" ht="15" customHeight="1">
      <c r="A34" t="inlineStr">
        <is>
          <t>A 53787-2025</t>
        </is>
      </c>
      <c r="B34" s="1" t="n">
        <v>45960</v>
      </c>
      <c r="C34" s="1" t="n">
        <v>46094</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9067-2025</t>
        </is>
      </c>
      <c r="B35" s="1" t="n">
        <v>45713</v>
      </c>
      <c r="C35" s="1" t="n">
        <v>46094</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32396-2021</t>
        </is>
      </c>
      <c r="B36" s="1" t="n">
        <v>44371</v>
      </c>
      <c r="C36" s="1" t="n">
        <v>46094</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28852-2023</t>
        </is>
      </c>
      <c r="B37" s="1" t="n">
        <v>45104</v>
      </c>
      <c r="C37" s="1" t="n">
        <v>46094</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46094</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1201-2025</t>
        </is>
      </c>
      <c r="B39" s="1" t="n">
        <v>45667</v>
      </c>
      <c r="C39" s="1" t="n">
        <v>46094</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37930-2021</t>
        </is>
      </c>
      <c r="B40" s="1" t="n">
        <v>44403</v>
      </c>
      <c r="C40" s="1" t="n">
        <v>46094</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40083-2023</t>
        </is>
      </c>
      <c r="B41" s="1" t="n">
        <v>45168</v>
      </c>
      <c r="C41" s="1" t="n">
        <v>46094</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46094</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33436-2021</t>
        </is>
      </c>
      <c r="B43" s="1" t="n">
        <v>44377.61104166666</v>
      </c>
      <c r="C43" s="1" t="n">
        <v>46094</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29183-2025</t>
        </is>
      </c>
      <c r="B44" s="1" t="n">
        <v>45821</v>
      </c>
      <c r="C44" s="1" t="n">
        <v>46094</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61860-2024</t>
        </is>
      </c>
      <c r="B45" s="1" t="n">
        <v>45649</v>
      </c>
      <c r="C45" s="1" t="n">
        <v>46094</v>
      </c>
      <c r="D45" t="inlineStr">
        <is>
          <t>KALMAR LÄN</t>
        </is>
      </c>
      <c r="E45" t="inlineStr">
        <is>
          <t>VIMMERBY</t>
        </is>
      </c>
      <c r="G45" t="n">
        <v>4.4</v>
      </c>
      <c r="H45" t="n">
        <v>1</v>
      </c>
      <c r="I45" t="n">
        <v>0</v>
      </c>
      <c r="J45" t="n">
        <v>0</v>
      </c>
      <c r="K45" t="n">
        <v>1</v>
      </c>
      <c r="L45" t="n">
        <v>0</v>
      </c>
      <c r="M45" t="n">
        <v>0</v>
      </c>
      <c r="N45" t="n">
        <v>0</v>
      </c>
      <c r="O45" t="n">
        <v>1</v>
      </c>
      <c r="P45" t="n">
        <v>1</v>
      </c>
      <c r="Q45" t="n">
        <v>1</v>
      </c>
      <c r="R45" s="2" t="inlineStr">
        <is>
          <t>Knärot</t>
        </is>
      </c>
      <c r="S45">
        <f>HYPERLINK("https://klasma.github.io/Logging_0884/artfynd/A 61860-2024 artfynd.xlsx", "A 61860-2024")</f>
        <v/>
      </c>
      <c r="T45">
        <f>HYPERLINK("https://klasma.github.io/Logging_0884/kartor/A 61860-2024 karta.png", "A 61860-2024")</f>
        <v/>
      </c>
      <c r="U45">
        <f>HYPERLINK("https://klasma.github.io/Logging_0884/knärot/A 61860-2024 karta knärot.png", "A 61860-2024")</f>
        <v/>
      </c>
      <c r="V45">
        <f>HYPERLINK("https://klasma.github.io/Logging_0884/klagomål/A 61860-2024 FSC-klagomål.docx", "A 61860-2024")</f>
        <v/>
      </c>
      <c r="W45">
        <f>HYPERLINK("https://klasma.github.io/Logging_0884/klagomålsmail/A 61860-2024 FSC-klagomål mail.docx", "A 61860-2024")</f>
        <v/>
      </c>
      <c r="X45">
        <f>HYPERLINK("https://klasma.github.io/Logging_0884/tillsyn/A 61860-2024 tillsynsbegäran.docx", "A 61860-2024")</f>
        <v/>
      </c>
      <c r="Y45">
        <f>HYPERLINK("https://klasma.github.io/Logging_0884/tillsynsmail/A 61860-2024 tillsynsbegäran mail.docx", "A 61860-2024")</f>
        <v/>
      </c>
    </row>
    <row r="46" ht="15" customHeight="1">
      <c r="A46" t="inlineStr">
        <is>
          <t>A 23602-2023</t>
        </is>
      </c>
      <c r="B46" s="1" t="n">
        <v>45077</v>
      </c>
      <c r="C46" s="1" t="n">
        <v>46094</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44515-2024</t>
        </is>
      </c>
      <c r="B47" s="1" t="n">
        <v>45574.42767361111</v>
      </c>
      <c r="C47" s="1" t="n">
        <v>46094</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32985-2023</t>
        </is>
      </c>
      <c r="B48" s="1" t="n">
        <v>45125</v>
      </c>
      <c r="C48" s="1" t="n">
        <v>46094</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46094</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53404-2025</t>
        </is>
      </c>
      <c r="B50" s="1" t="n">
        <v>45959.57126157408</v>
      </c>
      <c r="C50" s="1" t="n">
        <v>46094</v>
      </c>
      <c r="D50" t="inlineStr">
        <is>
          <t>KALMAR LÄN</t>
        </is>
      </c>
      <c r="E50" t="inlineStr">
        <is>
          <t>VIMMERBY</t>
        </is>
      </c>
      <c r="G50" t="n">
        <v>6.4</v>
      </c>
      <c r="H50" t="n">
        <v>1</v>
      </c>
      <c r="I50" t="n">
        <v>0</v>
      </c>
      <c r="J50" t="n">
        <v>0</v>
      </c>
      <c r="K50" t="n">
        <v>1</v>
      </c>
      <c r="L50" t="n">
        <v>0</v>
      </c>
      <c r="M50" t="n">
        <v>0</v>
      </c>
      <c r="N50" t="n">
        <v>0</v>
      </c>
      <c r="O50" t="n">
        <v>1</v>
      </c>
      <c r="P50" t="n">
        <v>1</v>
      </c>
      <c r="Q50" t="n">
        <v>1</v>
      </c>
      <c r="R50" s="2" t="inlineStr">
        <is>
          <t>Knärot</t>
        </is>
      </c>
      <c r="S50">
        <f>HYPERLINK("https://klasma.github.io/Logging_0884/artfynd/A 53404-2025 artfynd.xlsx", "A 53404-2025")</f>
        <v/>
      </c>
      <c r="T50">
        <f>HYPERLINK("https://klasma.github.io/Logging_0884/kartor/A 53404-2025 karta.png", "A 53404-2025")</f>
        <v/>
      </c>
      <c r="U50">
        <f>HYPERLINK("https://klasma.github.io/Logging_0884/knärot/A 53404-2025 karta knärot.png", "A 53404-2025")</f>
        <v/>
      </c>
      <c r="V50">
        <f>HYPERLINK("https://klasma.github.io/Logging_0884/klagomål/A 53404-2025 FSC-klagomål.docx", "A 53404-2025")</f>
        <v/>
      </c>
      <c r="W50">
        <f>HYPERLINK("https://klasma.github.io/Logging_0884/klagomålsmail/A 53404-2025 FSC-klagomål mail.docx", "A 53404-2025")</f>
        <v/>
      </c>
      <c r="X50">
        <f>HYPERLINK("https://klasma.github.io/Logging_0884/tillsyn/A 53404-2025 tillsynsbegäran.docx", "A 53404-2025")</f>
        <v/>
      </c>
      <c r="Y50">
        <f>HYPERLINK("https://klasma.github.io/Logging_0884/tillsynsmail/A 53404-2025 tillsynsbegäran mail.docx", "A 53404-2025")</f>
        <v/>
      </c>
    </row>
    <row r="51" ht="15" customHeight="1">
      <c r="A51" t="inlineStr">
        <is>
          <t>A 53400-2025</t>
        </is>
      </c>
      <c r="B51" s="1" t="n">
        <v>45959.56684027778</v>
      </c>
      <c r="C51" s="1" t="n">
        <v>46094</v>
      </c>
      <c r="D51" t="inlineStr">
        <is>
          <t>KALMAR LÄN</t>
        </is>
      </c>
      <c r="E51" t="inlineStr">
        <is>
          <t>VIMMERBY</t>
        </is>
      </c>
      <c r="G51" t="n">
        <v>9.199999999999999</v>
      </c>
      <c r="H51" t="n">
        <v>1</v>
      </c>
      <c r="I51" t="n">
        <v>0</v>
      </c>
      <c r="J51" t="n">
        <v>0</v>
      </c>
      <c r="K51" t="n">
        <v>1</v>
      </c>
      <c r="L51" t="n">
        <v>0</v>
      </c>
      <c r="M51" t="n">
        <v>0</v>
      </c>
      <c r="N51" t="n">
        <v>0</v>
      </c>
      <c r="O51" t="n">
        <v>1</v>
      </c>
      <c r="P51" t="n">
        <v>1</v>
      </c>
      <c r="Q51" t="n">
        <v>1</v>
      </c>
      <c r="R51" s="2" t="inlineStr">
        <is>
          <t>Knärot</t>
        </is>
      </c>
      <c r="S51">
        <f>HYPERLINK("https://klasma.github.io/Logging_0884/artfynd/A 53400-2025 artfynd.xlsx", "A 53400-2025")</f>
        <v/>
      </c>
      <c r="T51">
        <f>HYPERLINK("https://klasma.github.io/Logging_0884/kartor/A 53400-2025 karta.png", "A 53400-2025")</f>
        <v/>
      </c>
      <c r="U51">
        <f>HYPERLINK("https://klasma.github.io/Logging_0884/knärot/A 53400-2025 karta knärot.png", "A 53400-2025")</f>
        <v/>
      </c>
      <c r="V51">
        <f>HYPERLINK("https://klasma.github.io/Logging_0884/klagomål/A 53400-2025 FSC-klagomål.docx", "A 53400-2025")</f>
        <v/>
      </c>
      <c r="W51">
        <f>HYPERLINK("https://klasma.github.io/Logging_0884/klagomålsmail/A 53400-2025 FSC-klagomål mail.docx", "A 53400-2025")</f>
        <v/>
      </c>
      <c r="X51">
        <f>HYPERLINK("https://klasma.github.io/Logging_0884/tillsyn/A 53400-2025 tillsynsbegäran.docx", "A 53400-2025")</f>
        <v/>
      </c>
      <c r="Y51">
        <f>HYPERLINK("https://klasma.github.io/Logging_0884/tillsynsmail/A 53400-2025 tillsynsbegäran mail.docx", "A 53400-2025")</f>
        <v/>
      </c>
    </row>
    <row r="52" ht="15" customHeight="1">
      <c r="A52" t="inlineStr">
        <is>
          <t>A 55384-2025</t>
        </is>
      </c>
      <c r="B52" s="1" t="n">
        <v>45971.43178240741</v>
      </c>
      <c r="C52" s="1" t="n">
        <v>46094</v>
      </c>
      <c r="D52" t="inlineStr">
        <is>
          <t>KALMAR LÄN</t>
        </is>
      </c>
      <c r="E52" t="inlineStr">
        <is>
          <t>VIMMERBY</t>
        </is>
      </c>
      <c r="G52" t="n">
        <v>1.7</v>
      </c>
      <c r="H52" t="n">
        <v>1</v>
      </c>
      <c r="I52" t="n">
        <v>0</v>
      </c>
      <c r="J52" t="n">
        <v>1</v>
      </c>
      <c r="K52" t="n">
        <v>0</v>
      </c>
      <c r="L52" t="n">
        <v>0</v>
      </c>
      <c r="M52" t="n">
        <v>0</v>
      </c>
      <c r="N52" t="n">
        <v>0</v>
      </c>
      <c r="O52" t="n">
        <v>1</v>
      </c>
      <c r="P52" t="n">
        <v>0</v>
      </c>
      <c r="Q52" t="n">
        <v>1</v>
      </c>
      <c r="R52" s="2" t="inlineStr">
        <is>
          <t>Talltita</t>
        </is>
      </c>
      <c r="S52">
        <f>HYPERLINK("https://klasma.github.io/Logging_0884/artfynd/A 55384-2025 artfynd.xlsx", "A 55384-2025")</f>
        <v/>
      </c>
      <c r="T52">
        <f>HYPERLINK("https://klasma.github.io/Logging_0884/kartor/A 55384-2025 karta.png", "A 55384-2025")</f>
        <v/>
      </c>
      <c r="V52">
        <f>HYPERLINK("https://klasma.github.io/Logging_0884/klagomål/A 55384-2025 FSC-klagomål.docx", "A 55384-2025")</f>
        <v/>
      </c>
      <c r="W52">
        <f>HYPERLINK("https://klasma.github.io/Logging_0884/klagomålsmail/A 55384-2025 FSC-klagomål mail.docx", "A 55384-2025")</f>
        <v/>
      </c>
      <c r="X52">
        <f>HYPERLINK("https://klasma.github.io/Logging_0884/tillsyn/A 55384-2025 tillsynsbegäran.docx", "A 55384-2025")</f>
        <v/>
      </c>
      <c r="Y52">
        <f>HYPERLINK("https://klasma.github.io/Logging_0884/tillsynsmail/A 55384-2025 tillsynsbegäran mail.docx", "A 55384-2025")</f>
        <v/>
      </c>
      <c r="Z52">
        <f>HYPERLINK("https://klasma.github.io/Logging_0884/fåglar/A 55384-2025 prioriterade fågelarter.docx", "A 55384-2025")</f>
        <v/>
      </c>
    </row>
    <row r="53" ht="15" customHeight="1">
      <c r="A53" t="inlineStr">
        <is>
          <t>A 57062-2025</t>
        </is>
      </c>
      <c r="B53" s="1" t="n">
        <v>45979.37598379629</v>
      </c>
      <c r="C53" s="1" t="n">
        <v>46094</v>
      </c>
      <c r="D53" t="inlineStr">
        <is>
          <t>KALMAR LÄN</t>
        </is>
      </c>
      <c r="E53" t="inlineStr">
        <is>
          <t>VIMMERBY</t>
        </is>
      </c>
      <c r="F53" t="inlineStr">
        <is>
          <t>Sveaskog</t>
        </is>
      </c>
      <c r="G53" t="n">
        <v>4.9</v>
      </c>
      <c r="H53" t="n">
        <v>1</v>
      </c>
      <c r="I53" t="n">
        <v>0</v>
      </c>
      <c r="J53" t="n">
        <v>0</v>
      </c>
      <c r="K53" t="n">
        <v>1</v>
      </c>
      <c r="L53" t="n">
        <v>0</v>
      </c>
      <c r="M53" t="n">
        <v>0</v>
      </c>
      <c r="N53" t="n">
        <v>0</v>
      </c>
      <c r="O53" t="n">
        <v>1</v>
      </c>
      <c r="P53" t="n">
        <v>1</v>
      </c>
      <c r="Q53" t="n">
        <v>1</v>
      </c>
      <c r="R53" s="2" t="inlineStr">
        <is>
          <t>Knärot</t>
        </is>
      </c>
      <c r="S53">
        <f>HYPERLINK("https://klasma.github.io/Logging_0884/artfynd/A 57062-2025 artfynd.xlsx", "A 57062-2025")</f>
        <v/>
      </c>
      <c r="T53">
        <f>HYPERLINK("https://klasma.github.io/Logging_0884/kartor/A 57062-2025 karta.png", "A 57062-2025")</f>
        <v/>
      </c>
      <c r="U53">
        <f>HYPERLINK("https://klasma.github.io/Logging_0884/knärot/A 57062-2025 karta knärot.png", "A 57062-2025")</f>
        <v/>
      </c>
      <c r="V53">
        <f>HYPERLINK("https://klasma.github.io/Logging_0884/klagomål/A 57062-2025 FSC-klagomål.docx", "A 57062-2025")</f>
        <v/>
      </c>
      <c r="W53">
        <f>HYPERLINK("https://klasma.github.io/Logging_0884/klagomålsmail/A 57062-2025 FSC-klagomål mail.docx", "A 57062-2025")</f>
        <v/>
      </c>
      <c r="X53">
        <f>HYPERLINK("https://klasma.github.io/Logging_0884/tillsyn/A 57062-2025 tillsynsbegäran.docx", "A 57062-2025")</f>
        <v/>
      </c>
      <c r="Y53">
        <f>HYPERLINK("https://klasma.github.io/Logging_0884/tillsynsmail/A 57062-2025 tillsynsbegäran mail.docx", "A 57062-2025")</f>
        <v/>
      </c>
    </row>
    <row r="54" ht="15" customHeight="1">
      <c r="A54" t="inlineStr">
        <is>
          <t>A 15092-2021</t>
        </is>
      </c>
      <c r="B54" s="1" t="n">
        <v>44281.79269675926</v>
      </c>
      <c r="C54" s="1" t="n">
        <v>46094</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46094</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46094</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46094</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46094</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46094</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46094</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46094</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46094</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46094</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46094</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46094</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46094</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46094</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46094</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46094</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46094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46094</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46094</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46094</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46094</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46094</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46094</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46094</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46094</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46094</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46094</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46094</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46094</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46094</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46094</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46094</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46094</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46094</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46094</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46094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46094</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46094</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46094</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46094</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46094</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46094</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46094</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46094</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46094</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46094</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46094</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46094</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46094</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46094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46094</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46094</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46094</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46094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46094</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46094</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46094</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46094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46094</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46094</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46094</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46094</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46094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46094</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46094</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13180-2022</t>
        </is>
      </c>
      <c r="B119" s="1" t="n">
        <v>44644</v>
      </c>
      <c r="C119" s="1" t="n">
        <v>46094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11814-2022</t>
        </is>
      </c>
      <c r="B120" s="1" t="n">
        <v>44634.69703703704</v>
      </c>
      <c r="C120" s="1" t="n">
        <v>46094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35001-2021</t>
        </is>
      </c>
      <c r="B121" s="1" t="n">
        <v>44383</v>
      </c>
      <c r="C121" s="1" t="n">
        <v>46094</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55674-2021</t>
        </is>
      </c>
      <c r="B122" s="1" t="n">
        <v>44476</v>
      </c>
      <c r="C122" s="1" t="n">
        <v>46094</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56385-2021</t>
        </is>
      </c>
      <c r="B123" s="1" t="n">
        <v>44480</v>
      </c>
      <c r="C123" s="1" t="n">
        <v>46094</v>
      </c>
      <c r="D123" t="inlineStr">
        <is>
          <t>KALMAR LÄN</t>
        </is>
      </c>
      <c r="E123" t="inlineStr">
        <is>
          <t>VIMMERBY</t>
        </is>
      </c>
      <c r="G123" t="n">
        <v>1.9</v>
      </c>
      <c r="H123" t="n">
        <v>0</v>
      </c>
      <c r="I123" t="n">
        <v>0</v>
      </c>
      <c r="J123" t="n">
        <v>0</v>
      </c>
      <c r="K123" t="n">
        <v>0</v>
      </c>
      <c r="L123" t="n">
        <v>0</v>
      </c>
      <c r="M123" t="n">
        <v>0</v>
      </c>
      <c r="N123" t="n">
        <v>0</v>
      </c>
      <c r="O123" t="n">
        <v>0</v>
      </c>
      <c r="P123" t="n">
        <v>0</v>
      </c>
      <c r="Q123" t="n">
        <v>0</v>
      </c>
      <c r="R123" s="2" t="inlineStr"/>
    </row>
    <row r="124" ht="15" customHeight="1">
      <c r="A124" t="inlineStr">
        <is>
          <t>A 18276-2021</t>
        </is>
      </c>
      <c r="B124" s="1" t="n">
        <v>44305.40046296296</v>
      </c>
      <c r="C124" s="1" t="n">
        <v>46094</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47473-2021</t>
        </is>
      </c>
      <c r="B125" s="1" t="n">
        <v>44447</v>
      </c>
      <c r="C125" s="1" t="n">
        <v>46094</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31053-2022</t>
        </is>
      </c>
      <c r="B126" s="1" t="n">
        <v>44769.45422453704</v>
      </c>
      <c r="C126" s="1" t="n">
        <v>46094</v>
      </c>
      <c r="D126" t="inlineStr">
        <is>
          <t>KALMAR LÄN</t>
        </is>
      </c>
      <c r="E126" t="inlineStr">
        <is>
          <t>VIMMERBY</t>
        </is>
      </c>
      <c r="G126" t="n">
        <v>1.9</v>
      </c>
      <c r="H126" t="n">
        <v>0</v>
      </c>
      <c r="I126" t="n">
        <v>0</v>
      </c>
      <c r="J126" t="n">
        <v>0</v>
      </c>
      <c r="K126" t="n">
        <v>0</v>
      </c>
      <c r="L126" t="n">
        <v>0</v>
      </c>
      <c r="M126" t="n">
        <v>0</v>
      </c>
      <c r="N126" t="n">
        <v>0</v>
      </c>
      <c r="O126" t="n">
        <v>0</v>
      </c>
      <c r="P126" t="n">
        <v>0</v>
      </c>
      <c r="Q126" t="n">
        <v>0</v>
      </c>
      <c r="R126" s="2" t="inlineStr"/>
    </row>
    <row r="127" ht="15" customHeight="1">
      <c r="A127" t="inlineStr">
        <is>
          <t>A 40077-2021</t>
        </is>
      </c>
      <c r="B127" s="1" t="n">
        <v>44418</v>
      </c>
      <c r="C127" s="1" t="n">
        <v>46094</v>
      </c>
      <c r="D127" t="inlineStr">
        <is>
          <t>KALMAR LÄN</t>
        </is>
      </c>
      <c r="E127" t="inlineStr">
        <is>
          <t>VIMMERBY</t>
        </is>
      </c>
      <c r="G127" t="n">
        <v>2.9</v>
      </c>
      <c r="H127" t="n">
        <v>0</v>
      </c>
      <c r="I127" t="n">
        <v>0</v>
      </c>
      <c r="J127" t="n">
        <v>0</v>
      </c>
      <c r="K127" t="n">
        <v>0</v>
      </c>
      <c r="L127" t="n">
        <v>0</v>
      </c>
      <c r="M127" t="n">
        <v>0</v>
      </c>
      <c r="N127" t="n">
        <v>0</v>
      </c>
      <c r="O127" t="n">
        <v>0</v>
      </c>
      <c r="P127" t="n">
        <v>0</v>
      </c>
      <c r="Q127" t="n">
        <v>0</v>
      </c>
      <c r="R127" s="2" t="inlineStr"/>
    </row>
    <row r="128" ht="15" customHeight="1">
      <c r="A128" t="inlineStr">
        <is>
          <t>A 24738-2021</t>
        </is>
      </c>
      <c r="B128" s="1" t="n">
        <v>44340.58002314815</v>
      </c>
      <c r="C128" s="1" t="n">
        <v>46094</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47769-2022</t>
        </is>
      </c>
      <c r="B129" s="1" t="n">
        <v>44854</v>
      </c>
      <c r="C129" s="1" t="n">
        <v>46094</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41056-2022</t>
        </is>
      </c>
      <c r="B130" s="1" t="n">
        <v>44824</v>
      </c>
      <c r="C130" s="1" t="n">
        <v>46094</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31660-2021</t>
        </is>
      </c>
      <c r="B131" s="1" t="n">
        <v>44369</v>
      </c>
      <c r="C131" s="1" t="n">
        <v>46094</v>
      </c>
      <c r="D131" t="inlineStr">
        <is>
          <t>KALMAR LÄN</t>
        </is>
      </c>
      <c r="E131" t="inlineStr">
        <is>
          <t>VIMMERBY</t>
        </is>
      </c>
      <c r="G131" t="n">
        <v>4.2</v>
      </c>
      <c r="H131" t="n">
        <v>0</v>
      </c>
      <c r="I131" t="n">
        <v>0</v>
      </c>
      <c r="J131" t="n">
        <v>0</v>
      </c>
      <c r="K131" t="n">
        <v>0</v>
      </c>
      <c r="L131" t="n">
        <v>0</v>
      </c>
      <c r="M131" t="n">
        <v>0</v>
      </c>
      <c r="N131" t="n">
        <v>0</v>
      </c>
      <c r="O131" t="n">
        <v>0</v>
      </c>
      <c r="P131" t="n">
        <v>0</v>
      </c>
      <c r="Q131" t="n">
        <v>0</v>
      </c>
      <c r="R131" s="2" t="inlineStr"/>
    </row>
    <row r="132" ht="15" customHeight="1">
      <c r="A132" t="inlineStr">
        <is>
          <t>A 27455-2022</t>
        </is>
      </c>
      <c r="B132" s="1" t="n">
        <v>44742</v>
      </c>
      <c r="C132" s="1" t="n">
        <v>46094</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42850-2022</t>
        </is>
      </c>
      <c r="B133" s="1" t="n">
        <v>44832.67608796297</v>
      </c>
      <c r="C133" s="1" t="n">
        <v>46094</v>
      </c>
      <c r="D133" t="inlineStr">
        <is>
          <t>KALMAR LÄN</t>
        </is>
      </c>
      <c r="E133" t="inlineStr">
        <is>
          <t>VIMMERBY</t>
        </is>
      </c>
      <c r="G133" t="n">
        <v>5.9</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46094</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46094</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8454-2022</t>
        </is>
      </c>
      <c r="B136" s="1" t="n">
        <v>44612.86762731482</v>
      </c>
      <c r="C136" s="1" t="n">
        <v>46094</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35316-2021</t>
        </is>
      </c>
      <c r="B137" s="1" t="n">
        <v>44384</v>
      </c>
      <c r="C137" s="1" t="n">
        <v>46094</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33831-2022</t>
        </is>
      </c>
      <c r="B138" s="1" t="n">
        <v>44790.48503472222</v>
      </c>
      <c r="C138" s="1" t="n">
        <v>46094</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10086-2022</t>
        </is>
      </c>
      <c r="B139" s="1" t="n">
        <v>44621</v>
      </c>
      <c r="C139" s="1" t="n">
        <v>46094</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47708-2022</t>
        </is>
      </c>
      <c r="B140" s="1" t="n">
        <v>44854.59157407407</v>
      </c>
      <c r="C140" s="1" t="n">
        <v>46094</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9918-2022</t>
        </is>
      </c>
      <c r="B141" s="1" t="n">
        <v>44620</v>
      </c>
      <c r="C141" s="1" t="n">
        <v>46094</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53145-2022</t>
        </is>
      </c>
      <c r="B142" s="1" t="n">
        <v>44876.48346064815</v>
      </c>
      <c r="C142" s="1" t="n">
        <v>46094</v>
      </c>
      <c r="D142" t="inlineStr">
        <is>
          <t>KALMAR LÄN</t>
        </is>
      </c>
      <c r="E142" t="inlineStr">
        <is>
          <t>VIMMERBY</t>
        </is>
      </c>
      <c r="G142" t="n">
        <v>0.4</v>
      </c>
      <c r="H142" t="n">
        <v>0</v>
      </c>
      <c r="I142" t="n">
        <v>0</v>
      </c>
      <c r="J142" t="n">
        <v>0</v>
      </c>
      <c r="K142" t="n">
        <v>0</v>
      </c>
      <c r="L142" t="n">
        <v>0</v>
      </c>
      <c r="M142" t="n">
        <v>0</v>
      </c>
      <c r="N142" t="n">
        <v>0</v>
      </c>
      <c r="O142" t="n">
        <v>0</v>
      </c>
      <c r="P142" t="n">
        <v>0</v>
      </c>
      <c r="Q142" t="n">
        <v>0</v>
      </c>
      <c r="R142" s="2" t="inlineStr"/>
    </row>
    <row r="143" ht="15" customHeight="1">
      <c r="A143" t="inlineStr">
        <is>
          <t>A 25738-2022</t>
        </is>
      </c>
      <c r="B143" s="1" t="n">
        <v>44733.43092592592</v>
      </c>
      <c r="C143" s="1" t="n">
        <v>46094</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32603-2021</t>
        </is>
      </c>
      <c r="B144" s="1" t="n">
        <v>44375.38789351852</v>
      </c>
      <c r="C144" s="1" t="n">
        <v>46094</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65887-2021</t>
        </is>
      </c>
      <c r="B145" s="1" t="n">
        <v>44517</v>
      </c>
      <c r="C145" s="1" t="n">
        <v>46094</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46094</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15191-2021</t>
        </is>
      </c>
      <c r="B147" s="1" t="n">
        <v>44284.42348379629</v>
      </c>
      <c r="C147" s="1" t="n">
        <v>46094</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46094</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46094</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40971-2021</t>
        </is>
      </c>
      <c r="B150" s="1" t="n">
        <v>44421</v>
      </c>
      <c r="C150" s="1" t="n">
        <v>46094</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12662-2021</t>
        </is>
      </c>
      <c r="B151" s="1" t="n">
        <v>44270.49743055556</v>
      </c>
      <c r="C151" s="1" t="n">
        <v>46094</v>
      </c>
      <c r="D151" t="inlineStr">
        <is>
          <t>KALMAR LÄN</t>
        </is>
      </c>
      <c r="E151" t="inlineStr">
        <is>
          <t>VIMMERBY</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13457-2021</t>
        </is>
      </c>
      <c r="B152" s="1" t="n">
        <v>44273</v>
      </c>
      <c r="C152" s="1" t="n">
        <v>46094</v>
      </c>
      <c r="D152" t="inlineStr">
        <is>
          <t>KALMAR LÄN</t>
        </is>
      </c>
      <c r="E152" t="inlineStr">
        <is>
          <t>VIMMERBY</t>
        </is>
      </c>
      <c r="G152" t="n">
        <v>1.4</v>
      </c>
      <c r="H152" t="n">
        <v>0</v>
      </c>
      <c r="I152" t="n">
        <v>0</v>
      </c>
      <c r="J152" t="n">
        <v>0</v>
      </c>
      <c r="K152" t="n">
        <v>0</v>
      </c>
      <c r="L152" t="n">
        <v>0</v>
      </c>
      <c r="M152" t="n">
        <v>0</v>
      </c>
      <c r="N152" t="n">
        <v>0</v>
      </c>
      <c r="O152" t="n">
        <v>0</v>
      </c>
      <c r="P152" t="n">
        <v>0</v>
      </c>
      <c r="Q152" t="n">
        <v>0</v>
      </c>
      <c r="R152" s="2" t="inlineStr"/>
    </row>
    <row r="153" ht="15" customHeight="1">
      <c r="A153" t="inlineStr">
        <is>
          <t>A 14278-2021</t>
        </is>
      </c>
      <c r="B153" s="1" t="n">
        <v>44278.63479166666</v>
      </c>
      <c r="C153" s="1" t="n">
        <v>46094</v>
      </c>
      <c r="D153" t="inlineStr">
        <is>
          <t>KALMAR LÄN</t>
        </is>
      </c>
      <c r="E153" t="inlineStr">
        <is>
          <t>VIMMERBY</t>
        </is>
      </c>
      <c r="F153" t="inlineStr">
        <is>
          <t>Övriga statliga verk och myndigheter</t>
        </is>
      </c>
      <c r="G153" t="n">
        <v>0.8</v>
      </c>
      <c r="H153" t="n">
        <v>0</v>
      </c>
      <c r="I153" t="n">
        <v>0</v>
      </c>
      <c r="J153" t="n">
        <v>0</v>
      </c>
      <c r="K153" t="n">
        <v>0</v>
      </c>
      <c r="L153" t="n">
        <v>0</v>
      </c>
      <c r="M153" t="n">
        <v>0</v>
      </c>
      <c r="N153" t="n">
        <v>0</v>
      </c>
      <c r="O153" t="n">
        <v>0</v>
      </c>
      <c r="P153" t="n">
        <v>0</v>
      </c>
      <c r="Q153" t="n">
        <v>0</v>
      </c>
      <c r="R153" s="2" t="inlineStr"/>
    </row>
    <row r="154" ht="15" customHeight="1">
      <c r="A154" t="inlineStr">
        <is>
          <t>A 23825-2022</t>
        </is>
      </c>
      <c r="B154" s="1" t="n">
        <v>44722.48768518519</v>
      </c>
      <c r="C154" s="1" t="n">
        <v>46094</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39959-2022</t>
        </is>
      </c>
      <c r="B155" s="1" t="n">
        <v>44819</v>
      </c>
      <c r="C155" s="1" t="n">
        <v>46094</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46964-2022</t>
        </is>
      </c>
      <c r="B156" s="1" t="n">
        <v>44851.95016203704</v>
      </c>
      <c r="C156" s="1" t="n">
        <v>46094</v>
      </c>
      <c r="D156" t="inlineStr">
        <is>
          <t>KALMAR LÄN</t>
        </is>
      </c>
      <c r="E156" t="inlineStr">
        <is>
          <t>VIMMERBY</t>
        </is>
      </c>
      <c r="G156" t="n">
        <v>0.2</v>
      </c>
      <c r="H156" t="n">
        <v>0</v>
      </c>
      <c r="I156" t="n">
        <v>0</v>
      </c>
      <c r="J156" t="n">
        <v>0</v>
      </c>
      <c r="K156" t="n">
        <v>0</v>
      </c>
      <c r="L156" t="n">
        <v>0</v>
      </c>
      <c r="M156" t="n">
        <v>0</v>
      </c>
      <c r="N156" t="n">
        <v>0</v>
      </c>
      <c r="O156" t="n">
        <v>0</v>
      </c>
      <c r="P156" t="n">
        <v>0</v>
      </c>
      <c r="Q156" t="n">
        <v>0</v>
      </c>
      <c r="R156" s="2" t="inlineStr"/>
    </row>
    <row r="157" ht="15" customHeight="1">
      <c r="A157" t="inlineStr">
        <is>
          <t>A 8453-2022</t>
        </is>
      </c>
      <c r="B157" s="1" t="n">
        <v>44612.86554398148</v>
      </c>
      <c r="C157" s="1" t="n">
        <v>46094</v>
      </c>
      <c r="D157" t="inlineStr">
        <is>
          <t>KALMAR LÄN</t>
        </is>
      </c>
      <c r="E157" t="inlineStr">
        <is>
          <t>VIMMERBY</t>
        </is>
      </c>
      <c r="G157" t="n">
        <v>1.7</v>
      </c>
      <c r="H157" t="n">
        <v>0</v>
      </c>
      <c r="I157" t="n">
        <v>0</v>
      </c>
      <c r="J157" t="n">
        <v>0</v>
      </c>
      <c r="K157" t="n">
        <v>0</v>
      </c>
      <c r="L157" t="n">
        <v>0</v>
      </c>
      <c r="M157" t="n">
        <v>0</v>
      </c>
      <c r="N157" t="n">
        <v>0</v>
      </c>
      <c r="O157" t="n">
        <v>0</v>
      </c>
      <c r="P157" t="n">
        <v>0</v>
      </c>
      <c r="Q157" t="n">
        <v>0</v>
      </c>
      <c r="R157" s="2" t="inlineStr"/>
    </row>
    <row r="158" ht="15" customHeight="1">
      <c r="A158" t="inlineStr">
        <is>
          <t>A 52433-2021</t>
        </is>
      </c>
      <c r="B158" s="1" t="n">
        <v>44466.34726851852</v>
      </c>
      <c r="C158" s="1" t="n">
        <v>46094</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50621-2022</t>
        </is>
      </c>
      <c r="B159" s="1" t="n">
        <v>44866.81100694444</v>
      </c>
      <c r="C159" s="1" t="n">
        <v>46094</v>
      </c>
      <c r="D159" t="inlineStr">
        <is>
          <t>KALMAR LÄN</t>
        </is>
      </c>
      <c r="E159" t="inlineStr">
        <is>
          <t>VIMMERBY</t>
        </is>
      </c>
      <c r="F159" t="inlineStr">
        <is>
          <t>Övriga Aktiebolag</t>
        </is>
      </c>
      <c r="G159" t="n">
        <v>5.1</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46094</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16983-2023</t>
        </is>
      </c>
      <c r="B161" s="1" t="n">
        <v>45033.76043981482</v>
      </c>
      <c r="C161" s="1" t="n">
        <v>46094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31824-2022</t>
        </is>
      </c>
      <c r="B162" s="1" t="n">
        <v>44776</v>
      </c>
      <c r="C162" s="1" t="n">
        <v>46094</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46144-2023</t>
        </is>
      </c>
      <c r="B163" s="1" t="n">
        <v>45196.57247685185</v>
      </c>
      <c r="C163" s="1" t="n">
        <v>46094</v>
      </c>
      <c r="D163" t="inlineStr">
        <is>
          <t>KALMAR LÄN</t>
        </is>
      </c>
      <c r="E163" t="inlineStr">
        <is>
          <t>VIMMERBY</t>
        </is>
      </c>
      <c r="G163" t="n">
        <v>6.5</v>
      </c>
      <c r="H163" t="n">
        <v>0</v>
      </c>
      <c r="I163" t="n">
        <v>0</v>
      </c>
      <c r="J163" t="n">
        <v>0</v>
      </c>
      <c r="K163" t="n">
        <v>0</v>
      </c>
      <c r="L163" t="n">
        <v>0</v>
      </c>
      <c r="M163" t="n">
        <v>0</v>
      </c>
      <c r="N163" t="n">
        <v>0</v>
      </c>
      <c r="O163" t="n">
        <v>0</v>
      </c>
      <c r="P163" t="n">
        <v>0</v>
      </c>
      <c r="Q163" t="n">
        <v>0</v>
      </c>
      <c r="R163" s="2" t="inlineStr"/>
    </row>
    <row r="164" ht="15" customHeight="1">
      <c r="A164" t="inlineStr">
        <is>
          <t>A 11733-2022</t>
        </is>
      </c>
      <c r="B164" s="1" t="n">
        <v>44634</v>
      </c>
      <c r="C164" s="1" t="n">
        <v>46094</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59300-2024</t>
        </is>
      </c>
      <c r="B165" s="1" t="n">
        <v>45637.66542824074</v>
      </c>
      <c r="C165" s="1" t="n">
        <v>46094</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7804-2022</t>
        </is>
      </c>
      <c r="B166" s="1" t="n">
        <v>44608.50458333334</v>
      </c>
      <c r="C166" s="1" t="n">
        <v>46094</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39042-2022</t>
        </is>
      </c>
      <c r="B167" s="1" t="n">
        <v>44817</v>
      </c>
      <c r="C167" s="1" t="n">
        <v>46094</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59768-2024</t>
        </is>
      </c>
      <c r="B168" s="1" t="n">
        <v>45639.56185185185</v>
      </c>
      <c r="C168" s="1" t="n">
        <v>46094</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16288-2021</t>
        </is>
      </c>
      <c r="B169" s="1" t="n">
        <v>44292</v>
      </c>
      <c r="C169" s="1" t="n">
        <v>46094</v>
      </c>
      <c r="D169" t="inlineStr">
        <is>
          <t>KALMAR LÄN</t>
        </is>
      </c>
      <c r="E169" t="inlineStr">
        <is>
          <t>VIMMERBY</t>
        </is>
      </c>
      <c r="F169" t="inlineStr">
        <is>
          <t>Övriga Aktiebolag</t>
        </is>
      </c>
      <c r="G169" t="n">
        <v>27.6</v>
      </c>
      <c r="H169" t="n">
        <v>0</v>
      </c>
      <c r="I169" t="n">
        <v>0</v>
      </c>
      <c r="J169" t="n">
        <v>0</v>
      </c>
      <c r="K169" t="n">
        <v>0</v>
      </c>
      <c r="L169" t="n">
        <v>0</v>
      </c>
      <c r="M169" t="n">
        <v>0</v>
      </c>
      <c r="N169" t="n">
        <v>0</v>
      </c>
      <c r="O169" t="n">
        <v>0</v>
      </c>
      <c r="P169" t="n">
        <v>0</v>
      </c>
      <c r="Q169" t="n">
        <v>0</v>
      </c>
      <c r="R169" s="2" t="inlineStr"/>
    </row>
    <row r="170" ht="15" customHeight="1">
      <c r="A170" t="inlineStr">
        <is>
          <t>A 36526-2023</t>
        </is>
      </c>
      <c r="B170" s="1" t="n">
        <v>45153.32778935185</v>
      </c>
      <c r="C170" s="1" t="n">
        <v>46094</v>
      </c>
      <c r="D170" t="inlineStr">
        <is>
          <t>KALMAR LÄN</t>
        </is>
      </c>
      <c r="E170" t="inlineStr">
        <is>
          <t>VIMMERBY</t>
        </is>
      </c>
      <c r="G170" t="n">
        <v>2.7</v>
      </c>
      <c r="H170" t="n">
        <v>0</v>
      </c>
      <c r="I170" t="n">
        <v>0</v>
      </c>
      <c r="J170" t="n">
        <v>0</v>
      </c>
      <c r="K170" t="n">
        <v>0</v>
      </c>
      <c r="L170" t="n">
        <v>0</v>
      </c>
      <c r="M170" t="n">
        <v>0</v>
      </c>
      <c r="N170" t="n">
        <v>0</v>
      </c>
      <c r="O170" t="n">
        <v>0</v>
      </c>
      <c r="P170" t="n">
        <v>0</v>
      </c>
      <c r="Q170" t="n">
        <v>0</v>
      </c>
      <c r="R170" s="2" t="inlineStr"/>
    </row>
    <row r="171" ht="15" customHeight="1">
      <c r="A171" t="inlineStr">
        <is>
          <t>A 31382-2023</t>
        </is>
      </c>
      <c r="B171" s="1" t="n">
        <v>45114.55136574074</v>
      </c>
      <c r="C171" s="1" t="n">
        <v>46094</v>
      </c>
      <c r="D171" t="inlineStr">
        <is>
          <t>KALMAR LÄN</t>
        </is>
      </c>
      <c r="E171" t="inlineStr">
        <is>
          <t>VIMMERBY</t>
        </is>
      </c>
      <c r="G171" t="n">
        <v>3.7</v>
      </c>
      <c r="H171" t="n">
        <v>0</v>
      </c>
      <c r="I171" t="n">
        <v>0</v>
      </c>
      <c r="J171" t="n">
        <v>0</v>
      </c>
      <c r="K171" t="n">
        <v>0</v>
      </c>
      <c r="L171" t="n">
        <v>0</v>
      </c>
      <c r="M171" t="n">
        <v>0</v>
      </c>
      <c r="N171" t="n">
        <v>0</v>
      </c>
      <c r="O171" t="n">
        <v>0</v>
      </c>
      <c r="P171" t="n">
        <v>0</v>
      </c>
      <c r="Q171" t="n">
        <v>0</v>
      </c>
      <c r="R171" s="2" t="inlineStr"/>
    </row>
    <row r="172" ht="15" customHeight="1">
      <c r="A172" t="inlineStr">
        <is>
          <t>A 4076-2022</t>
        </is>
      </c>
      <c r="B172" s="1" t="n">
        <v>44588.37998842593</v>
      </c>
      <c r="C172" s="1" t="n">
        <v>46094</v>
      </c>
      <c r="D172" t="inlineStr">
        <is>
          <t>KALMAR LÄN</t>
        </is>
      </c>
      <c r="E172" t="inlineStr">
        <is>
          <t>VIMMERBY</t>
        </is>
      </c>
      <c r="G172" t="n">
        <v>3</v>
      </c>
      <c r="H172" t="n">
        <v>0</v>
      </c>
      <c r="I172" t="n">
        <v>0</v>
      </c>
      <c r="J172" t="n">
        <v>0</v>
      </c>
      <c r="K172" t="n">
        <v>0</v>
      </c>
      <c r="L172" t="n">
        <v>0</v>
      </c>
      <c r="M172" t="n">
        <v>0</v>
      </c>
      <c r="N172" t="n">
        <v>0</v>
      </c>
      <c r="O172" t="n">
        <v>0</v>
      </c>
      <c r="P172" t="n">
        <v>0</v>
      </c>
      <c r="Q172" t="n">
        <v>0</v>
      </c>
      <c r="R172" s="2" t="inlineStr"/>
    </row>
    <row r="173" ht="15" customHeight="1">
      <c r="A173" t="inlineStr">
        <is>
          <t>A 4122-2022</t>
        </is>
      </c>
      <c r="B173" s="1" t="n">
        <v>44588</v>
      </c>
      <c r="C173" s="1" t="n">
        <v>46094</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12661-2021</t>
        </is>
      </c>
      <c r="B174" s="1" t="n">
        <v>44270</v>
      </c>
      <c r="C174" s="1" t="n">
        <v>46094</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56213-2024</t>
        </is>
      </c>
      <c r="B175" s="1" t="n">
        <v>45624.60141203704</v>
      </c>
      <c r="C175" s="1" t="n">
        <v>46094</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24999-2021</t>
        </is>
      </c>
      <c r="B176" s="1" t="n">
        <v>44341</v>
      </c>
      <c r="C176" s="1" t="n">
        <v>46094</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54409-2024</t>
        </is>
      </c>
      <c r="B177" s="1" t="n">
        <v>45617.47570601852</v>
      </c>
      <c r="C177" s="1" t="n">
        <v>46094</v>
      </c>
      <c r="D177" t="inlineStr">
        <is>
          <t>KALMAR LÄN</t>
        </is>
      </c>
      <c r="E177" t="inlineStr">
        <is>
          <t>VIMMERBY</t>
        </is>
      </c>
      <c r="G177" t="n">
        <v>4.3</v>
      </c>
      <c r="H177" t="n">
        <v>0</v>
      </c>
      <c r="I177" t="n">
        <v>0</v>
      </c>
      <c r="J177" t="n">
        <v>0</v>
      </c>
      <c r="K177" t="n">
        <v>0</v>
      </c>
      <c r="L177" t="n">
        <v>0</v>
      </c>
      <c r="M177" t="n">
        <v>0</v>
      </c>
      <c r="N177" t="n">
        <v>0</v>
      </c>
      <c r="O177" t="n">
        <v>0</v>
      </c>
      <c r="P177" t="n">
        <v>0</v>
      </c>
      <c r="Q177" t="n">
        <v>0</v>
      </c>
      <c r="R177" s="2" t="inlineStr"/>
    </row>
    <row r="178" ht="15" customHeight="1">
      <c r="A178" t="inlineStr">
        <is>
          <t>A 58374-2024</t>
        </is>
      </c>
      <c r="B178" s="1" t="n">
        <v>45632.72635416667</v>
      </c>
      <c r="C178" s="1" t="n">
        <v>46094</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7917-2022</t>
        </is>
      </c>
      <c r="B179" s="1" t="n">
        <v>44608</v>
      </c>
      <c r="C179" s="1" t="n">
        <v>46094</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58728-2024</t>
        </is>
      </c>
      <c r="B180" s="1" t="n">
        <v>45635.66695601852</v>
      </c>
      <c r="C180" s="1" t="n">
        <v>46094</v>
      </c>
      <c r="D180" t="inlineStr">
        <is>
          <t>KALMAR LÄN</t>
        </is>
      </c>
      <c r="E180" t="inlineStr">
        <is>
          <t>VIMMERBY</t>
        </is>
      </c>
      <c r="G180" t="n">
        <v>0.4</v>
      </c>
      <c r="H180" t="n">
        <v>0</v>
      </c>
      <c r="I180" t="n">
        <v>0</v>
      </c>
      <c r="J180" t="n">
        <v>0</v>
      </c>
      <c r="K180" t="n">
        <v>0</v>
      </c>
      <c r="L180" t="n">
        <v>0</v>
      </c>
      <c r="M180" t="n">
        <v>0</v>
      </c>
      <c r="N180" t="n">
        <v>0</v>
      </c>
      <c r="O180" t="n">
        <v>0</v>
      </c>
      <c r="P180" t="n">
        <v>0</v>
      </c>
      <c r="Q180" t="n">
        <v>0</v>
      </c>
      <c r="R180" s="2" t="inlineStr"/>
    </row>
    <row r="181" ht="15" customHeight="1">
      <c r="A181" t="inlineStr">
        <is>
          <t>A 16825-2024</t>
        </is>
      </c>
      <c r="B181" s="1" t="n">
        <v>45411.47335648148</v>
      </c>
      <c r="C181" s="1" t="n">
        <v>46094</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49474-2023</t>
        </is>
      </c>
      <c r="B182" s="1" t="n">
        <v>45211.541875</v>
      </c>
      <c r="C182" s="1" t="n">
        <v>46094</v>
      </c>
      <c r="D182" t="inlineStr">
        <is>
          <t>KALMAR LÄN</t>
        </is>
      </c>
      <c r="E182" t="inlineStr">
        <is>
          <t>VIMMERBY</t>
        </is>
      </c>
      <c r="G182" t="n">
        <v>3.6</v>
      </c>
      <c r="H182" t="n">
        <v>0</v>
      </c>
      <c r="I182" t="n">
        <v>0</v>
      </c>
      <c r="J182" t="n">
        <v>0</v>
      </c>
      <c r="K182" t="n">
        <v>0</v>
      </c>
      <c r="L182" t="n">
        <v>0</v>
      </c>
      <c r="M182" t="n">
        <v>0</v>
      </c>
      <c r="N182" t="n">
        <v>0</v>
      </c>
      <c r="O182" t="n">
        <v>0</v>
      </c>
      <c r="P182" t="n">
        <v>0</v>
      </c>
      <c r="Q182" t="n">
        <v>0</v>
      </c>
      <c r="R182" s="2" t="inlineStr"/>
    </row>
    <row r="183" ht="15" customHeight="1">
      <c r="A183" t="inlineStr">
        <is>
          <t>A 57682-2022</t>
        </is>
      </c>
      <c r="B183" s="1" t="n">
        <v>44890</v>
      </c>
      <c r="C183" s="1" t="n">
        <v>46094</v>
      </c>
      <c r="D183" t="inlineStr">
        <is>
          <t>KALMAR LÄN</t>
        </is>
      </c>
      <c r="E183" t="inlineStr">
        <is>
          <t>VIMMERBY</t>
        </is>
      </c>
      <c r="G183" t="n">
        <v>1.5</v>
      </c>
      <c r="H183" t="n">
        <v>0</v>
      </c>
      <c r="I183" t="n">
        <v>0</v>
      </c>
      <c r="J183" t="n">
        <v>0</v>
      </c>
      <c r="K183" t="n">
        <v>0</v>
      </c>
      <c r="L183" t="n">
        <v>0</v>
      </c>
      <c r="M183" t="n">
        <v>0</v>
      </c>
      <c r="N183" t="n">
        <v>0</v>
      </c>
      <c r="O183" t="n">
        <v>0</v>
      </c>
      <c r="P183" t="n">
        <v>0</v>
      </c>
      <c r="Q183" t="n">
        <v>0</v>
      </c>
      <c r="R183" s="2" t="inlineStr"/>
    </row>
    <row r="184" ht="15" customHeight="1">
      <c r="A184" t="inlineStr">
        <is>
          <t>A 47208-2021</t>
        </is>
      </c>
      <c r="B184" s="1" t="n">
        <v>44447.34237268518</v>
      </c>
      <c r="C184" s="1" t="n">
        <v>46094</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14220-2021</t>
        </is>
      </c>
      <c r="B185" s="1" t="n">
        <v>44278.54855324074</v>
      </c>
      <c r="C185" s="1" t="n">
        <v>46094</v>
      </c>
      <c r="D185" t="inlineStr">
        <is>
          <t>KALMAR LÄN</t>
        </is>
      </c>
      <c r="E185" t="inlineStr">
        <is>
          <t>VIMMERBY</t>
        </is>
      </c>
      <c r="G185" t="n">
        <v>0.3</v>
      </c>
      <c r="H185" t="n">
        <v>0</v>
      </c>
      <c r="I185" t="n">
        <v>0</v>
      </c>
      <c r="J185" t="n">
        <v>0</v>
      </c>
      <c r="K185" t="n">
        <v>0</v>
      </c>
      <c r="L185" t="n">
        <v>0</v>
      </c>
      <c r="M185" t="n">
        <v>0</v>
      </c>
      <c r="N185" t="n">
        <v>0</v>
      </c>
      <c r="O185" t="n">
        <v>0</v>
      </c>
      <c r="P185" t="n">
        <v>0</v>
      </c>
      <c r="Q185" t="n">
        <v>0</v>
      </c>
      <c r="R185" s="2" t="inlineStr"/>
    </row>
    <row r="186" ht="15" customHeight="1">
      <c r="A186" t="inlineStr">
        <is>
          <t>A 7643-2022</t>
        </is>
      </c>
      <c r="B186" s="1" t="n">
        <v>44607</v>
      </c>
      <c r="C186" s="1" t="n">
        <v>46094</v>
      </c>
      <c r="D186" t="inlineStr">
        <is>
          <t>KALMAR LÄN</t>
        </is>
      </c>
      <c r="E186" t="inlineStr">
        <is>
          <t>VIMMERBY</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11027-2023</t>
        </is>
      </c>
      <c r="B187" s="1" t="n">
        <v>44991.89657407408</v>
      </c>
      <c r="C187" s="1" t="n">
        <v>46094</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63950-2023</t>
        </is>
      </c>
      <c r="B188" s="1" t="n">
        <v>45278</v>
      </c>
      <c r="C188" s="1" t="n">
        <v>46094</v>
      </c>
      <c r="D188" t="inlineStr">
        <is>
          <t>KALMAR LÄN</t>
        </is>
      </c>
      <c r="E188" t="inlineStr">
        <is>
          <t>VIMMERBY</t>
        </is>
      </c>
      <c r="F188" t="inlineStr">
        <is>
          <t>Kyrkan</t>
        </is>
      </c>
      <c r="G188" t="n">
        <v>2.7</v>
      </c>
      <c r="H188" t="n">
        <v>0</v>
      </c>
      <c r="I188" t="n">
        <v>0</v>
      </c>
      <c r="J188" t="n">
        <v>0</v>
      </c>
      <c r="K188" t="n">
        <v>0</v>
      </c>
      <c r="L188" t="n">
        <v>0</v>
      </c>
      <c r="M188" t="n">
        <v>0</v>
      </c>
      <c r="N188" t="n">
        <v>0</v>
      </c>
      <c r="O188" t="n">
        <v>0</v>
      </c>
      <c r="P188" t="n">
        <v>0</v>
      </c>
      <c r="Q188" t="n">
        <v>0</v>
      </c>
      <c r="R188" s="2" t="inlineStr"/>
    </row>
    <row r="189" ht="15" customHeight="1">
      <c r="A189" t="inlineStr">
        <is>
          <t>A 53483-2022</t>
        </is>
      </c>
      <c r="B189" s="1" t="n">
        <v>44879.55940972222</v>
      </c>
      <c r="C189" s="1" t="n">
        <v>46094</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18899-2025</t>
        </is>
      </c>
      <c r="B190" s="1" t="n">
        <v>45764.44931712963</v>
      </c>
      <c r="C190" s="1" t="n">
        <v>46094</v>
      </c>
      <c r="D190" t="inlineStr">
        <is>
          <t>KALMAR LÄN</t>
        </is>
      </c>
      <c r="E190" t="inlineStr">
        <is>
          <t>VIMMERBY</t>
        </is>
      </c>
      <c r="F190" t="inlineStr">
        <is>
          <t>Kommuner</t>
        </is>
      </c>
      <c r="G190" t="n">
        <v>4</v>
      </c>
      <c r="H190" t="n">
        <v>0</v>
      </c>
      <c r="I190" t="n">
        <v>0</v>
      </c>
      <c r="J190" t="n">
        <v>0</v>
      </c>
      <c r="K190" t="n">
        <v>0</v>
      </c>
      <c r="L190" t="n">
        <v>0</v>
      </c>
      <c r="M190" t="n">
        <v>0</v>
      </c>
      <c r="N190" t="n">
        <v>0</v>
      </c>
      <c r="O190" t="n">
        <v>0</v>
      </c>
      <c r="P190" t="n">
        <v>0</v>
      </c>
      <c r="Q190" t="n">
        <v>0</v>
      </c>
      <c r="R190" s="2" t="inlineStr"/>
    </row>
    <row r="191" ht="15" customHeight="1">
      <c r="A191" t="inlineStr">
        <is>
          <t>A 16705-2021</t>
        </is>
      </c>
      <c r="B191" s="1" t="n">
        <v>44294</v>
      </c>
      <c r="C191" s="1" t="n">
        <v>46094</v>
      </c>
      <c r="D191" t="inlineStr">
        <is>
          <t>KALMAR LÄN</t>
        </is>
      </c>
      <c r="E191" t="inlineStr">
        <is>
          <t>VIMMERBY</t>
        </is>
      </c>
      <c r="G191" t="n">
        <v>2.6</v>
      </c>
      <c r="H191" t="n">
        <v>0</v>
      </c>
      <c r="I191" t="n">
        <v>0</v>
      </c>
      <c r="J191" t="n">
        <v>0</v>
      </c>
      <c r="K191" t="n">
        <v>0</v>
      </c>
      <c r="L191" t="n">
        <v>0</v>
      </c>
      <c r="M191" t="n">
        <v>0</v>
      </c>
      <c r="N191" t="n">
        <v>0</v>
      </c>
      <c r="O191" t="n">
        <v>0</v>
      </c>
      <c r="P191" t="n">
        <v>0</v>
      </c>
      <c r="Q191" t="n">
        <v>0</v>
      </c>
      <c r="R191" s="2" t="inlineStr"/>
    </row>
    <row r="192" ht="15" customHeight="1">
      <c r="A192" t="inlineStr">
        <is>
          <t>A 20054-2023</t>
        </is>
      </c>
      <c r="B192" s="1" t="n">
        <v>45054.6750462963</v>
      </c>
      <c r="C192" s="1" t="n">
        <v>46094</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58962-2022</t>
        </is>
      </c>
      <c r="B193" s="1" t="n">
        <v>44903</v>
      </c>
      <c r="C193" s="1" t="n">
        <v>46094</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30402-2023</t>
        </is>
      </c>
      <c r="B194" s="1" t="n">
        <v>45111.48395833333</v>
      </c>
      <c r="C194" s="1" t="n">
        <v>46094</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16516-2023</t>
        </is>
      </c>
      <c r="B195" s="1" t="n">
        <v>45029</v>
      </c>
      <c r="C195" s="1" t="n">
        <v>46094</v>
      </c>
      <c r="D195" t="inlineStr">
        <is>
          <t>KALMAR LÄN</t>
        </is>
      </c>
      <c r="E195" t="inlineStr">
        <is>
          <t>VIMMERBY</t>
        </is>
      </c>
      <c r="G195" t="n">
        <v>4.3</v>
      </c>
      <c r="H195" t="n">
        <v>0</v>
      </c>
      <c r="I195" t="n">
        <v>0</v>
      </c>
      <c r="J195" t="n">
        <v>0</v>
      </c>
      <c r="K195" t="n">
        <v>0</v>
      </c>
      <c r="L195" t="n">
        <v>0</v>
      </c>
      <c r="M195" t="n">
        <v>0</v>
      </c>
      <c r="N195" t="n">
        <v>0</v>
      </c>
      <c r="O195" t="n">
        <v>0</v>
      </c>
      <c r="P195" t="n">
        <v>0</v>
      </c>
      <c r="Q195" t="n">
        <v>0</v>
      </c>
      <c r="R195" s="2" t="inlineStr"/>
    </row>
    <row r="196" ht="15" customHeight="1">
      <c r="A196" t="inlineStr">
        <is>
          <t>A 47842-2024</t>
        </is>
      </c>
      <c r="B196" s="1" t="n">
        <v>45588.65545138889</v>
      </c>
      <c r="C196" s="1" t="n">
        <v>46094</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10837-2023</t>
        </is>
      </c>
      <c r="B197" s="1" t="n">
        <v>44991.30547453704</v>
      </c>
      <c r="C197" s="1" t="n">
        <v>46094</v>
      </c>
      <c r="D197" t="inlineStr">
        <is>
          <t>KALMAR LÄN</t>
        </is>
      </c>
      <c r="E197" t="inlineStr">
        <is>
          <t>VIMMERBY</t>
        </is>
      </c>
      <c r="G197" t="n">
        <v>7.3</v>
      </c>
      <c r="H197" t="n">
        <v>0</v>
      </c>
      <c r="I197" t="n">
        <v>0</v>
      </c>
      <c r="J197" t="n">
        <v>0</v>
      </c>
      <c r="K197" t="n">
        <v>0</v>
      </c>
      <c r="L197" t="n">
        <v>0</v>
      </c>
      <c r="M197" t="n">
        <v>0</v>
      </c>
      <c r="N197" t="n">
        <v>0</v>
      </c>
      <c r="O197" t="n">
        <v>0</v>
      </c>
      <c r="P197" t="n">
        <v>0</v>
      </c>
      <c r="Q197" t="n">
        <v>0</v>
      </c>
      <c r="R197" s="2" t="inlineStr"/>
    </row>
    <row r="198" ht="15" customHeight="1">
      <c r="A198" t="inlineStr">
        <is>
          <t>A 10838-2023</t>
        </is>
      </c>
      <c r="B198" s="1" t="n">
        <v>44991</v>
      </c>
      <c r="C198" s="1" t="n">
        <v>46094</v>
      </c>
      <c r="D198" t="inlineStr">
        <is>
          <t>KALMAR LÄN</t>
        </is>
      </c>
      <c r="E198" t="inlineStr">
        <is>
          <t>VIMMERBY</t>
        </is>
      </c>
      <c r="G198" t="n">
        <v>5.1</v>
      </c>
      <c r="H198" t="n">
        <v>0</v>
      </c>
      <c r="I198" t="n">
        <v>0</v>
      </c>
      <c r="J198" t="n">
        <v>0</v>
      </c>
      <c r="K198" t="n">
        <v>0</v>
      </c>
      <c r="L198" t="n">
        <v>0</v>
      </c>
      <c r="M198" t="n">
        <v>0</v>
      </c>
      <c r="N198" t="n">
        <v>0</v>
      </c>
      <c r="O198" t="n">
        <v>0</v>
      </c>
      <c r="P198" t="n">
        <v>0</v>
      </c>
      <c r="Q198" t="n">
        <v>0</v>
      </c>
      <c r="R198" s="2" t="inlineStr"/>
    </row>
    <row r="199" ht="15" customHeight="1">
      <c r="A199" t="inlineStr">
        <is>
          <t>A 6408-2025</t>
        </is>
      </c>
      <c r="B199" s="1" t="n">
        <v>45699.45671296296</v>
      </c>
      <c r="C199" s="1" t="n">
        <v>46094</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25109-2023</t>
        </is>
      </c>
      <c r="B200" s="1" t="n">
        <v>45086</v>
      </c>
      <c r="C200" s="1" t="n">
        <v>46094</v>
      </c>
      <c r="D200" t="inlineStr">
        <is>
          <t>KALMAR LÄN</t>
        </is>
      </c>
      <c r="E200" t="inlineStr">
        <is>
          <t>VIMMERBY</t>
        </is>
      </c>
      <c r="G200" t="n">
        <v>1.5</v>
      </c>
      <c r="H200" t="n">
        <v>0</v>
      </c>
      <c r="I200" t="n">
        <v>0</v>
      </c>
      <c r="J200" t="n">
        <v>0</v>
      </c>
      <c r="K200" t="n">
        <v>0</v>
      </c>
      <c r="L200" t="n">
        <v>0</v>
      </c>
      <c r="M200" t="n">
        <v>0</v>
      </c>
      <c r="N200" t="n">
        <v>0</v>
      </c>
      <c r="O200" t="n">
        <v>0</v>
      </c>
      <c r="P200" t="n">
        <v>0</v>
      </c>
      <c r="Q200" t="n">
        <v>0</v>
      </c>
      <c r="R200" s="2" t="inlineStr"/>
    </row>
    <row r="201" ht="15" customHeight="1">
      <c r="A201" t="inlineStr">
        <is>
          <t>A 33380-2023</t>
        </is>
      </c>
      <c r="B201" s="1" t="n">
        <v>45128</v>
      </c>
      <c r="C201" s="1" t="n">
        <v>46094</v>
      </c>
      <c r="D201" t="inlineStr">
        <is>
          <t>KALMAR LÄN</t>
        </is>
      </c>
      <c r="E201" t="inlineStr">
        <is>
          <t>VIMMERBY</t>
        </is>
      </c>
      <c r="G201" t="n">
        <v>5.2</v>
      </c>
      <c r="H201" t="n">
        <v>0</v>
      </c>
      <c r="I201" t="n">
        <v>0</v>
      </c>
      <c r="J201" t="n">
        <v>0</v>
      </c>
      <c r="K201" t="n">
        <v>0</v>
      </c>
      <c r="L201" t="n">
        <v>0</v>
      </c>
      <c r="M201" t="n">
        <v>0</v>
      </c>
      <c r="N201" t="n">
        <v>0</v>
      </c>
      <c r="O201" t="n">
        <v>0</v>
      </c>
      <c r="P201" t="n">
        <v>0</v>
      </c>
      <c r="Q201" t="n">
        <v>0</v>
      </c>
      <c r="R201" s="2" t="inlineStr"/>
    </row>
    <row r="202" ht="15" customHeight="1">
      <c r="A202" t="inlineStr">
        <is>
          <t>A 32639-2023</t>
        </is>
      </c>
      <c r="B202" s="1" t="n">
        <v>45121.5965162037</v>
      </c>
      <c r="C202" s="1" t="n">
        <v>46094</v>
      </c>
      <c r="D202" t="inlineStr">
        <is>
          <t>KALMAR LÄN</t>
        </is>
      </c>
      <c r="E202" t="inlineStr">
        <is>
          <t>VIMMERBY</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32642-2023</t>
        </is>
      </c>
      <c r="B203" s="1" t="n">
        <v>45121.59954861111</v>
      </c>
      <c r="C203" s="1" t="n">
        <v>46094</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32651-2023</t>
        </is>
      </c>
      <c r="B204" s="1" t="n">
        <v>45121.6096875</v>
      </c>
      <c r="C204" s="1" t="n">
        <v>46094</v>
      </c>
      <c r="D204" t="inlineStr">
        <is>
          <t>KALMAR LÄN</t>
        </is>
      </c>
      <c r="E204" t="inlineStr">
        <is>
          <t>VIMMERBY</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11609-2023</t>
        </is>
      </c>
      <c r="B205" s="1" t="n">
        <v>44994.40635416667</v>
      </c>
      <c r="C205" s="1" t="n">
        <v>46094</v>
      </c>
      <c r="D205" t="inlineStr">
        <is>
          <t>KALMAR LÄN</t>
        </is>
      </c>
      <c r="E205" t="inlineStr">
        <is>
          <t>VIMMERBY</t>
        </is>
      </c>
      <c r="G205" t="n">
        <v>4.9</v>
      </c>
      <c r="H205" t="n">
        <v>0</v>
      </c>
      <c r="I205" t="n">
        <v>0</v>
      </c>
      <c r="J205" t="n">
        <v>0</v>
      </c>
      <c r="K205" t="n">
        <v>0</v>
      </c>
      <c r="L205" t="n">
        <v>0</v>
      </c>
      <c r="M205" t="n">
        <v>0</v>
      </c>
      <c r="N205" t="n">
        <v>0</v>
      </c>
      <c r="O205" t="n">
        <v>0</v>
      </c>
      <c r="P205" t="n">
        <v>0</v>
      </c>
      <c r="Q205" t="n">
        <v>0</v>
      </c>
      <c r="R205" s="2" t="inlineStr"/>
    </row>
    <row r="206" ht="15" customHeight="1">
      <c r="A206" t="inlineStr">
        <is>
          <t>A 11928-2022</t>
        </is>
      </c>
      <c r="B206" s="1" t="n">
        <v>44635</v>
      </c>
      <c r="C206" s="1" t="n">
        <v>46094</v>
      </c>
      <c r="D206" t="inlineStr">
        <is>
          <t>KALMAR LÄN</t>
        </is>
      </c>
      <c r="E206" t="inlineStr">
        <is>
          <t>VIMMERBY</t>
        </is>
      </c>
      <c r="G206" t="n">
        <v>2.8</v>
      </c>
      <c r="H206" t="n">
        <v>0</v>
      </c>
      <c r="I206" t="n">
        <v>0</v>
      </c>
      <c r="J206" t="n">
        <v>0</v>
      </c>
      <c r="K206" t="n">
        <v>0</v>
      </c>
      <c r="L206" t="n">
        <v>0</v>
      </c>
      <c r="M206" t="n">
        <v>0</v>
      </c>
      <c r="N206" t="n">
        <v>0</v>
      </c>
      <c r="O206" t="n">
        <v>0</v>
      </c>
      <c r="P206" t="n">
        <v>0</v>
      </c>
      <c r="Q206" t="n">
        <v>0</v>
      </c>
      <c r="R206" s="2" t="inlineStr"/>
    </row>
    <row r="207" ht="15" customHeight="1">
      <c r="A207" t="inlineStr">
        <is>
          <t>A 13290-2025</t>
        </is>
      </c>
      <c r="B207" s="1" t="n">
        <v>45735.56751157407</v>
      </c>
      <c r="C207" s="1" t="n">
        <v>46094</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19162-2023</t>
        </is>
      </c>
      <c r="B208" s="1" t="n">
        <v>45048.59699074074</v>
      </c>
      <c r="C208" s="1" t="n">
        <v>46094</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42918-2021</t>
        </is>
      </c>
      <c r="B209" s="1" t="n">
        <v>44431</v>
      </c>
      <c r="C209" s="1" t="n">
        <v>46094</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9475-2023</t>
        </is>
      </c>
      <c r="B210" s="1" t="n">
        <v>44981.58834490741</v>
      </c>
      <c r="C210" s="1" t="n">
        <v>46094</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7068-2024</t>
        </is>
      </c>
      <c r="B211" s="1" t="n">
        <v>45343.68038194445</v>
      </c>
      <c r="C211" s="1" t="n">
        <v>46094</v>
      </c>
      <c r="D211" t="inlineStr">
        <is>
          <t>KALMAR LÄN</t>
        </is>
      </c>
      <c r="E211" t="inlineStr">
        <is>
          <t>VIMMERBY</t>
        </is>
      </c>
      <c r="G211" t="n">
        <v>2.5</v>
      </c>
      <c r="H211" t="n">
        <v>0</v>
      </c>
      <c r="I211" t="n">
        <v>0</v>
      </c>
      <c r="J211" t="n">
        <v>0</v>
      </c>
      <c r="K211" t="n">
        <v>0</v>
      </c>
      <c r="L211" t="n">
        <v>0</v>
      </c>
      <c r="M211" t="n">
        <v>0</v>
      </c>
      <c r="N211" t="n">
        <v>0</v>
      </c>
      <c r="O211" t="n">
        <v>0</v>
      </c>
      <c r="P211" t="n">
        <v>0</v>
      </c>
      <c r="Q211" t="n">
        <v>0</v>
      </c>
      <c r="R211" s="2" t="inlineStr"/>
    </row>
    <row r="212" ht="15" customHeight="1">
      <c r="A212" t="inlineStr">
        <is>
          <t>A 22643-2023</t>
        </is>
      </c>
      <c r="B212" s="1" t="n">
        <v>45071</v>
      </c>
      <c r="C212" s="1" t="n">
        <v>46094</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46234-2024</t>
        </is>
      </c>
      <c r="B213" s="1" t="n">
        <v>45581.57958333333</v>
      </c>
      <c r="C213" s="1" t="n">
        <v>46094</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11946-2025</t>
        </is>
      </c>
      <c r="B214" s="1" t="n">
        <v>45728.54832175926</v>
      </c>
      <c r="C214" s="1" t="n">
        <v>46094</v>
      </c>
      <c r="D214" t="inlineStr">
        <is>
          <t>KALMAR LÄN</t>
        </is>
      </c>
      <c r="E214" t="inlineStr">
        <is>
          <t>VIMMERBY</t>
        </is>
      </c>
      <c r="G214" t="n">
        <v>0.4</v>
      </c>
      <c r="H214" t="n">
        <v>0</v>
      </c>
      <c r="I214" t="n">
        <v>0</v>
      </c>
      <c r="J214" t="n">
        <v>0</v>
      </c>
      <c r="K214" t="n">
        <v>0</v>
      </c>
      <c r="L214" t="n">
        <v>0</v>
      </c>
      <c r="M214" t="n">
        <v>0</v>
      </c>
      <c r="N214" t="n">
        <v>0</v>
      </c>
      <c r="O214" t="n">
        <v>0</v>
      </c>
      <c r="P214" t="n">
        <v>0</v>
      </c>
      <c r="Q214" t="n">
        <v>0</v>
      </c>
      <c r="R214" s="2" t="inlineStr"/>
    </row>
    <row r="215" ht="15" customHeight="1">
      <c r="A215" t="inlineStr">
        <is>
          <t>A 19537-2022</t>
        </is>
      </c>
      <c r="B215" s="1" t="n">
        <v>44693.62822916666</v>
      </c>
      <c r="C215" s="1" t="n">
        <v>46094</v>
      </c>
      <c r="D215" t="inlineStr">
        <is>
          <t>KALMAR LÄN</t>
        </is>
      </c>
      <c r="E215" t="inlineStr">
        <is>
          <t>VIMMERBY</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37187-2024</t>
        </is>
      </c>
      <c r="B216" s="1" t="n">
        <v>45539.65212962963</v>
      </c>
      <c r="C216" s="1" t="n">
        <v>46094</v>
      </c>
      <c r="D216" t="inlineStr">
        <is>
          <t>KALMAR LÄN</t>
        </is>
      </c>
      <c r="E216" t="inlineStr">
        <is>
          <t>VIMMERBY</t>
        </is>
      </c>
      <c r="G216" t="n">
        <v>2.7</v>
      </c>
      <c r="H216" t="n">
        <v>0</v>
      </c>
      <c r="I216" t="n">
        <v>0</v>
      </c>
      <c r="J216" t="n">
        <v>0</v>
      </c>
      <c r="K216" t="n">
        <v>0</v>
      </c>
      <c r="L216" t="n">
        <v>0</v>
      </c>
      <c r="M216" t="n">
        <v>0</v>
      </c>
      <c r="N216" t="n">
        <v>0</v>
      </c>
      <c r="O216" t="n">
        <v>0</v>
      </c>
      <c r="P216" t="n">
        <v>0</v>
      </c>
      <c r="Q216" t="n">
        <v>0</v>
      </c>
      <c r="R216" s="2" t="inlineStr"/>
    </row>
    <row r="217" ht="15" customHeight="1">
      <c r="A217" t="inlineStr">
        <is>
          <t>A 56389-2021</t>
        </is>
      </c>
      <c r="B217" s="1" t="n">
        <v>44480</v>
      </c>
      <c r="C217" s="1" t="n">
        <v>46094</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18669-2025</t>
        </is>
      </c>
      <c r="B218" s="1" t="n">
        <v>45763.59436342592</v>
      </c>
      <c r="C218" s="1" t="n">
        <v>46094</v>
      </c>
      <c r="D218" t="inlineStr">
        <is>
          <t>KALMAR LÄN</t>
        </is>
      </c>
      <c r="E218" t="inlineStr">
        <is>
          <t>VIMMERBY</t>
        </is>
      </c>
      <c r="G218" t="n">
        <v>2.7</v>
      </c>
      <c r="H218" t="n">
        <v>0</v>
      </c>
      <c r="I218" t="n">
        <v>0</v>
      </c>
      <c r="J218" t="n">
        <v>0</v>
      </c>
      <c r="K218" t="n">
        <v>0</v>
      </c>
      <c r="L218" t="n">
        <v>0</v>
      </c>
      <c r="M218" t="n">
        <v>0</v>
      </c>
      <c r="N218" t="n">
        <v>0</v>
      </c>
      <c r="O218" t="n">
        <v>0</v>
      </c>
      <c r="P218" t="n">
        <v>0</v>
      </c>
      <c r="Q218" t="n">
        <v>0</v>
      </c>
      <c r="R218" s="2" t="inlineStr"/>
    </row>
    <row r="219" ht="15" customHeight="1">
      <c r="A219" t="inlineStr">
        <is>
          <t>A 38780-2021</t>
        </is>
      </c>
      <c r="B219" s="1" t="n">
        <v>44410</v>
      </c>
      <c r="C219" s="1" t="n">
        <v>46094</v>
      </c>
      <c r="D219" t="inlineStr">
        <is>
          <t>KALMAR LÄN</t>
        </is>
      </c>
      <c r="E219" t="inlineStr">
        <is>
          <t>VIMMERBY</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1021-2024</t>
        </is>
      </c>
      <c r="B220" s="1" t="n">
        <v>45301.67736111111</v>
      </c>
      <c r="C220" s="1" t="n">
        <v>46094</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46094</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46094</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72701-2021</t>
        </is>
      </c>
      <c r="B223" s="1" t="n">
        <v>44546</v>
      </c>
      <c r="C223" s="1" t="n">
        <v>46094</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19111-2025</t>
        </is>
      </c>
      <c r="B224" s="1" t="n">
        <v>45768.65611111111</v>
      </c>
      <c r="C224" s="1" t="n">
        <v>46094</v>
      </c>
      <c r="D224" t="inlineStr">
        <is>
          <t>KALMAR LÄN</t>
        </is>
      </c>
      <c r="E224" t="inlineStr">
        <is>
          <t>VIMMERBY</t>
        </is>
      </c>
      <c r="G224" t="n">
        <v>6.2</v>
      </c>
      <c r="H224" t="n">
        <v>0</v>
      </c>
      <c r="I224" t="n">
        <v>0</v>
      </c>
      <c r="J224" t="n">
        <v>0</v>
      </c>
      <c r="K224" t="n">
        <v>0</v>
      </c>
      <c r="L224" t="n">
        <v>0</v>
      </c>
      <c r="M224" t="n">
        <v>0</v>
      </c>
      <c r="N224" t="n">
        <v>0</v>
      </c>
      <c r="O224" t="n">
        <v>0</v>
      </c>
      <c r="P224" t="n">
        <v>0</v>
      </c>
      <c r="Q224" t="n">
        <v>0</v>
      </c>
      <c r="R224" s="2" t="inlineStr"/>
    </row>
    <row r="225" ht="15" customHeight="1">
      <c r="A225" t="inlineStr">
        <is>
          <t>A 33374-2021</t>
        </is>
      </c>
      <c r="B225" s="1" t="n">
        <v>44377</v>
      </c>
      <c r="C225" s="1" t="n">
        <v>46094</v>
      </c>
      <c r="D225" t="inlineStr">
        <is>
          <t>KALMAR LÄN</t>
        </is>
      </c>
      <c r="E225" t="inlineStr">
        <is>
          <t>VIMMERBY</t>
        </is>
      </c>
      <c r="G225" t="n">
        <v>3.3</v>
      </c>
      <c r="H225" t="n">
        <v>0</v>
      </c>
      <c r="I225" t="n">
        <v>0</v>
      </c>
      <c r="J225" t="n">
        <v>0</v>
      </c>
      <c r="K225" t="n">
        <v>0</v>
      </c>
      <c r="L225" t="n">
        <v>0</v>
      </c>
      <c r="M225" t="n">
        <v>0</v>
      </c>
      <c r="N225" t="n">
        <v>0</v>
      </c>
      <c r="O225" t="n">
        <v>0</v>
      </c>
      <c r="P225" t="n">
        <v>0</v>
      </c>
      <c r="Q225" t="n">
        <v>0</v>
      </c>
      <c r="R225" s="2" t="inlineStr"/>
    </row>
    <row r="226" ht="15" customHeight="1">
      <c r="A226" t="inlineStr">
        <is>
          <t>A 29020-2024</t>
        </is>
      </c>
      <c r="B226" s="1" t="n">
        <v>45481.58048611111</v>
      </c>
      <c r="C226" s="1" t="n">
        <v>46094</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7485-2024</t>
        </is>
      </c>
      <c r="B227" s="1" t="n">
        <v>45346.67184027778</v>
      </c>
      <c r="C227" s="1" t="n">
        <v>46094</v>
      </c>
      <c r="D227" t="inlineStr">
        <is>
          <t>KALMAR LÄN</t>
        </is>
      </c>
      <c r="E227" t="inlineStr">
        <is>
          <t>VIMMERBY</t>
        </is>
      </c>
      <c r="G227" t="n">
        <v>1.9</v>
      </c>
      <c r="H227" t="n">
        <v>0</v>
      </c>
      <c r="I227" t="n">
        <v>0</v>
      </c>
      <c r="J227" t="n">
        <v>0</v>
      </c>
      <c r="K227" t="n">
        <v>0</v>
      </c>
      <c r="L227" t="n">
        <v>0</v>
      </c>
      <c r="M227" t="n">
        <v>0</v>
      </c>
      <c r="N227" t="n">
        <v>0</v>
      </c>
      <c r="O227" t="n">
        <v>0</v>
      </c>
      <c r="P227" t="n">
        <v>0</v>
      </c>
      <c r="Q227" t="n">
        <v>0</v>
      </c>
      <c r="R227" s="2" t="inlineStr"/>
    </row>
    <row r="228" ht="15" customHeight="1">
      <c r="A228" t="inlineStr">
        <is>
          <t>A 10807-2024</t>
        </is>
      </c>
      <c r="B228" s="1" t="n">
        <v>45369.62780092593</v>
      </c>
      <c r="C228" s="1" t="n">
        <v>46094</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30406-2023</t>
        </is>
      </c>
      <c r="B229" s="1" t="n">
        <v>45111.48787037037</v>
      </c>
      <c r="C229" s="1" t="n">
        <v>46094</v>
      </c>
      <c r="D229" t="inlineStr">
        <is>
          <t>KALMAR LÄN</t>
        </is>
      </c>
      <c r="E229" t="inlineStr">
        <is>
          <t>VIMMERBY</t>
        </is>
      </c>
      <c r="G229" t="n">
        <v>2.4</v>
      </c>
      <c r="H229" t="n">
        <v>0</v>
      </c>
      <c r="I229" t="n">
        <v>0</v>
      </c>
      <c r="J229" t="n">
        <v>0</v>
      </c>
      <c r="K229" t="n">
        <v>0</v>
      </c>
      <c r="L229" t="n">
        <v>0</v>
      </c>
      <c r="M229" t="n">
        <v>0</v>
      </c>
      <c r="N229" t="n">
        <v>0</v>
      </c>
      <c r="O229" t="n">
        <v>0</v>
      </c>
      <c r="P229" t="n">
        <v>0</v>
      </c>
      <c r="Q229" t="n">
        <v>0</v>
      </c>
      <c r="R229" s="2" t="inlineStr"/>
    </row>
    <row r="230" ht="15" customHeight="1">
      <c r="A230" t="inlineStr">
        <is>
          <t>A 13817-2024</t>
        </is>
      </c>
      <c r="B230" s="1" t="n">
        <v>45391.41976851852</v>
      </c>
      <c r="C230" s="1" t="n">
        <v>46094</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12590-2025</t>
        </is>
      </c>
      <c r="B231" s="1" t="n">
        <v>45732.79925925926</v>
      </c>
      <c r="C231" s="1" t="n">
        <v>46094</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35710-2023</t>
        </is>
      </c>
      <c r="B232" s="1" t="n">
        <v>45147.67096064815</v>
      </c>
      <c r="C232" s="1" t="n">
        <v>46094</v>
      </c>
      <c r="D232" t="inlineStr">
        <is>
          <t>KALMAR LÄN</t>
        </is>
      </c>
      <c r="E232" t="inlineStr">
        <is>
          <t>VIMMERBY</t>
        </is>
      </c>
      <c r="G232" t="n">
        <v>3.1</v>
      </c>
      <c r="H232" t="n">
        <v>0</v>
      </c>
      <c r="I232" t="n">
        <v>0</v>
      </c>
      <c r="J232" t="n">
        <v>0</v>
      </c>
      <c r="K232" t="n">
        <v>0</v>
      </c>
      <c r="L232" t="n">
        <v>0</v>
      </c>
      <c r="M232" t="n">
        <v>0</v>
      </c>
      <c r="N232" t="n">
        <v>0</v>
      </c>
      <c r="O232" t="n">
        <v>0</v>
      </c>
      <c r="P232" t="n">
        <v>0</v>
      </c>
      <c r="Q232" t="n">
        <v>0</v>
      </c>
      <c r="R232" s="2" t="inlineStr"/>
    </row>
    <row r="233" ht="15" customHeight="1">
      <c r="A233" t="inlineStr">
        <is>
          <t>A 52823-2024</t>
        </is>
      </c>
      <c r="B233" s="1" t="n">
        <v>45610.59094907407</v>
      </c>
      <c r="C233" s="1" t="n">
        <v>46094</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33359-2021</t>
        </is>
      </c>
      <c r="B234" s="1" t="n">
        <v>44377.49684027778</v>
      </c>
      <c r="C234" s="1" t="n">
        <v>46094</v>
      </c>
      <c r="D234" t="inlineStr">
        <is>
          <t>KALMAR LÄN</t>
        </is>
      </c>
      <c r="E234" t="inlineStr">
        <is>
          <t>VIMMERBY</t>
        </is>
      </c>
      <c r="F234" t="inlineStr">
        <is>
          <t>Kommuner</t>
        </is>
      </c>
      <c r="G234" t="n">
        <v>8</v>
      </c>
      <c r="H234" t="n">
        <v>0</v>
      </c>
      <c r="I234" t="n">
        <v>0</v>
      </c>
      <c r="J234" t="n">
        <v>0</v>
      </c>
      <c r="K234" t="n">
        <v>0</v>
      </c>
      <c r="L234" t="n">
        <v>0</v>
      </c>
      <c r="M234" t="n">
        <v>0</v>
      </c>
      <c r="N234" t="n">
        <v>0</v>
      </c>
      <c r="O234" t="n">
        <v>0</v>
      </c>
      <c r="P234" t="n">
        <v>0</v>
      </c>
      <c r="Q234" t="n">
        <v>0</v>
      </c>
      <c r="R234" s="2" t="inlineStr"/>
    </row>
    <row r="235" ht="15" customHeight="1">
      <c r="A235" t="inlineStr">
        <is>
          <t>A 34588-2024</t>
        </is>
      </c>
      <c r="B235" s="1" t="n">
        <v>45526.3865625</v>
      </c>
      <c r="C235" s="1" t="n">
        <v>46094</v>
      </c>
      <c r="D235" t="inlineStr">
        <is>
          <t>KALMAR LÄN</t>
        </is>
      </c>
      <c r="E235" t="inlineStr">
        <is>
          <t>VIMMERBY</t>
        </is>
      </c>
      <c r="F235" t="inlineStr">
        <is>
          <t>Övriga Aktiebolag</t>
        </is>
      </c>
      <c r="G235" t="n">
        <v>3.3</v>
      </c>
      <c r="H235" t="n">
        <v>0</v>
      </c>
      <c r="I235" t="n">
        <v>0</v>
      </c>
      <c r="J235" t="n">
        <v>0</v>
      </c>
      <c r="K235" t="n">
        <v>0</v>
      </c>
      <c r="L235" t="n">
        <v>0</v>
      </c>
      <c r="M235" t="n">
        <v>0</v>
      </c>
      <c r="N235" t="n">
        <v>0</v>
      </c>
      <c r="O235" t="n">
        <v>0</v>
      </c>
      <c r="P235" t="n">
        <v>0</v>
      </c>
      <c r="Q235" t="n">
        <v>0</v>
      </c>
      <c r="R235" s="2" t="inlineStr"/>
    </row>
    <row r="236" ht="15" customHeight="1">
      <c r="A236" t="inlineStr">
        <is>
          <t>A 17084-2025</t>
        </is>
      </c>
      <c r="B236" s="1" t="n">
        <v>45755.64450231481</v>
      </c>
      <c r="C236" s="1" t="n">
        <v>46094</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67952-2021</t>
        </is>
      </c>
      <c r="B237" s="1" t="n">
        <v>44525.63913194444</v>
      </c>
      <c r="C237" s="1" t="n">
        <v>46094</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11147-2023</t>
        </is>
      </c>
      <c r="B238" s="1" t="n">
        <v>44992</v>
      </c>
      <c r="C238" s="1" t="n">
        <v>46094</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19833-2023</t>
        </is>
      </c>
      <c r="B239" s="1" t="n">
        <v>45052</v>
      </c>
      <c r="C239" s="1" t="n">
        <v>46094</v>
      </c>
      <c r="D239" t="inlineStr">
        <is>
          <t>KALMAR LÄN</t>
        </is>
      </c>
      <c r="E239" t="inlineStr">
        <is>
          <t>VIMMERBY</t>
        </is>
      </c>
      <c r="G239" t="n">
        <v>6.7</v>
      </c>
      <c r="H239" t="n">
        <v>0</v>
      </c>
      <c r="I239" t="n">
        <v>0</v>
      </c>
      <c r="J239" t="n">
        <v>0</v>
      </c>
      <c r="K239" t="n">
        <v>0</v>
      </c>
      <c r="L239" t="n">
        <v>0</v>
      </c>
      <c r="M239" t="n">
        <v>0</v>
      </c>
      <c r="N239" t="n">
        <v>0</v>
      </c>
      <c r="O239" t="n">
        <v>0</v>
      </c>
      <c r="P239" t="n">
        <v>0</v>
      </c>
      <c r="Q239" t="n">
        <v>0</v>
      </c>
      <c r="R239" s="2" t="inlineStr"/>
    </row>
    <row r="240" ht="15" customHeight="1">
      <c r="A240" t="inlineStr">
        <is>
          <t>A 33161-2024</t>
        </is>
      </c>
      <c r="B240" s="1" t="n">
        <v>45518.40657407408</v>
      </c>
      <c r="C240" s="1" t="n">
        <v>46094</v>
      </c>
      <c r="D240" t="inlineStr">
        <is>
          <t>KALMAR LÄN</t>
        </is>
      </c>
      <c r="E240" t="inlineStr">
        <is>
          <t>VIMMERBY</t>
        </is>
      </c>
      <c r="G240" t="n">
        <v>4.7</v>
      </c>
      <c r="H240" t="n">
        <v>0</v>
      </c>
      <c r="I240" t="n">
        <v>0</v>
      </c>
      <c r="J240" t="n">
        <v>0</v>
      </c>
      <c r="K240" t="n">
        <v>0</v>
      </c>
      <c r="L240" t="n">
        <v>0</v>
      </c>
      <c r="M240" t="n">
        <v>0</v>
      </c>
      <c r="N240" t="n">
        <v>0</v>
      </c>
      <c r="O240" t="n">
        <v>0</v>
      </c>
      <c r="P240" t="n">
        <v>0</v>
      </c>
      <c r="Q240" t="n">
        <v>0</v>
      </c>
      <c r="R240" s="2" t="inlineStr"/>
    </row>
    <row r="241" ht="15" customHeight="1">
      <c r="A241" t="inlineStr">
        <is>
          <t>A 14548-2024</t>
        </is>
      </c>
      <c r="B241" s="1" t="n">
        <v>45394.66887731481</v>
      </c>
      <c r="C241" s="1" t="n">
        <v>46094</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14359-2025</t>
        </is>
      </c>
      <c r="B242" s="1" t="n">
        <v>45741.37270833334</v>
      </c>
      <c r="C242" s="1" t="n">
        <v>46094</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585-2024</t>
        </is>
      </c>
      <c r="B243" s="1" t="n">
        <v>45299.62576388889</v>
      </c>
      <c r="C243" s="1" t="n">
        <v>46094</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56020-2024</t>
        </is>
      </c>
      <c r="B244" s="1" t="n">
        <v>45623.9525462963</v>
      </c>
      <c r="C244" s="1" t="n">
        <v>46094</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14521-2021</t>
        </is>
      </c>
      <c r="B245" s="1" t="n">
        <v>44279.64934027778</v>
      </c>
      <c r="C245" s="1" t="n">
        <v>46094</v>
      </c>
      <c r="D245" t="inlineStr">
        <is>
          <t>KALMAR LÄN</t>
        </is>
      </c>
      <c r="E245" t="inlineStr">
        <is>
          <t>VIMMERBY</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15533-2022</t>
        </is>
      </c>
      <c r="B246" s="1" t="n">
        <v>44662</v>
      </c>
      <c r="C246" s="1" t="n">
        <v>46094</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23252-2024</t>
        </is>
      </c>
      <c r="B247" s="1" t="n">
        <v>45453.36067129629</v>
      </c>
      <c r="C247" s="1" t="n">
        <v>46094</v>
      </c>
      <c r="D247" t="inlineStr">
        <is>
          <t>KALMAR LÄN</t>
        </is>
      </c>
      <c r="E247" t="inlineStr">
        <is>
          <t>VIMMERBY</t>
        </is>
      </c>
      <c r="G247" t="n">
        <v>0.7</v>
      </c>
      <c r="H247" t="n">
        <v>0</v>
      </c>
      <c r="I247" t="n">
        <v>0</v>
      </c>
      <c r="J247" t="n">
        <v>0</v>
      </c>
      <c r="K247" t="n">
        <v>0</v>
      </c>
      <c r="L247" t="n">
        <v>0</v>
      </c>
      <c r="M247" t="n">
        <v>0</v>
      </c>
      <c r="N247" t="n">
        <v>0</v>
      </c>
      <c r="O247" t="n">
        <v>0</v>
      </c>
      <c r="P247" t="n">
        <v>0</v>
      </c>
      <c r="Q247" t="n">
        <v>0</v>
      </c>
      <c r="R247" s="2" t="inlineStr"/>
    </row>
    <row r="248" ht="15" customHeight="1">
      <c r="A248" t="inlineStr">
        <is>
          <t>A 15550-2023</t>
        </is>
      </c>
      <c r="B248" s="1" t="n">
        <v>45020</v>
      </c>
      <c r="C248" s="1" t="n">
        <v>46094</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55605-2024</t>
        </is>
      </c>
      <c r="B249" s="1" t="n">
        <v>45622</v>
      </c>
      <c r="C249" s="1" t="n">
        <v>46094</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44464-2024</t>
        </is>
      </c>
      <c r="B250" s="1" t="n">
        <v>45574.35809027778</v>
      </c>
      <c r="C250" s="1" t="n">
        <v>46094</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11219-2023</t>
        </is>
      </c>
      <c r="B251" s="1" t="n">
        <v>44992.62498842592</v>
      </c>
      <c r="C251" s="1" t="n">
        <v>46094</v>
      </c>
      <c r="D251" t="inlineStr">
        <is>
          <t>KALMAR LÄN</t>
        </is>
      </c>
      <c r="E251" t="inlineStr">
        <is>
          <t>VIMMERBY</t>
        </is>
      </c>
      <c r="G251" t="n">
        <v>2.5</v>
      </c>
      <c r="H251" t="n">
        <v>0</v>
      </c>
      <c r="I251" t="n">
        <v>0</v>
      </c>
      <c r="J251" t="n">
        <v>0</v>
      </c>
      <c r="K251" t="n">
        <v>0</v>
      </c>
      <c r="L251" t="n">
        <v>0</v>
      </c>
      <c r="M251" t="n">
        <v>0</v>
      </c>
      <c r="N251" t="n">
        <v>0</v>
      </c>
      <c r="O251" t="n">
        <v>0</v>
      </c>
      <c r="P251" t="n">
        <v>0</v>
      </c>
      <c r="Q251" t="n">
        <v>0</v>
      </c>
      <c r="R251" s="2" t="inlineStr"/>
    </row>
    <row r="252" ht="15" customHeight="1">
      <c r="A252" t="inlineStr">
        <is>
          <t>A 36049-2024</t>
        </is>
      </c>
      <c r="B252" s="1" t="n">
        <v>45533.61996527778</v>
      </c>
      <c r="C252" s="1" t="n">
        <v>46094</v>
      </c>
      <c r="D252" t="inlineStr">
        <is>
          <t>KALMAR LÄN</t>
        </is>
      </c>
      <c r="E252" t="inlineStr">
        <is>
          <t>VIMMERBY</t>
        </is>
      </c>
      <c r="F252" t="inlineStr">
        <is>
          <t>Kommuner</t>
        </is>
      </c>
      <c r="G252" t="n">
        <v>2.6</v>
      </c>
      <c r="H252" t="n">
        <v>0</v>
      </c>
      <c r="I252" t="n">
        <v>0</v>
      </c>
      <c r="J252" t="n">
        <v>0</v>
      </c>
      <c r="K252" t="n">
        <v>0</v>
      </c>
      <c r="L252" t="n">
        <v>0</v>
      </c>
      <c r="M252" t="n">
        <v>0</v>
      </c>
      <c r="N252" t="n">
        <v>0</v>
      </c>
      <c r="O252" t="n">
        <v>0</v>
      </c>
      <c r="P252" t="n">
        <v>0</v>
      </c>
      <c r="Q252" t="n">
        <v>0</v>
      </c>
      <c r="R252" s="2" t="inlineStr"/>
    </row>
    <row r="253" ht="15" customHeight="1">
      <c r="A253" t="inlineStr">
        <is>
          <t>A 18411-2021</t>
        </is>
      </c>
      <c r="B253" s="1" t="n">
        <v>44302</v>
      </c>
      <c r="C253" s="1" t="n">
        <v>46094</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47855-2024</t>
        </is>
      </c>
      <c r="B254" s="1" t="n">
        <v>45588.66457175926</v>
      </c>
      <c r="C254" s="1" t="n">
        <v>46094</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4297-2022</t>
        </is>
      </c>
      <c r="B255" s="1" t="n">
        <v>44588</v>
      </c>
      <c r="C255" s="1" t="n">
        <v>46094</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172-2022</t>
        </is>
      </c>
      <c r="B256" s="1" t="n">
        <v>44564.62598379629</v>
      </c>
      <c r="C256" s="1" t="n">
        <v>46094</v>
      </c>
      <c r="D256" t="inlineStr">
        <is>
          <t>KALMAR LÄN</t>
        </is>
      </c>
      <c r="E256" t="inlineStr">
        <is>
          <t>VIMMERBY</t>
        </is>
      </c>
      <c r="G256" t="n">
        <v>2.1</v>
      </c>
      <c r="H256" t="n">
        <v>0</v>
      </c>
      <c r="I256" t="n">
        <v>0</v>
      </c>
      <c r="J256" t="n">
        <v>0</v>
      </c>
      <c r="K256" t="n">
        <v>0</v>
      </c>
      <c r="L256" t="n">
        <v>0</v>
      </c>
      <c r="M256" t="n">
        <v>0</v>
      </c>
      <c r="N256" t="n">
        <v>0</v>
      </c>
      <c r="O256" t="n">
        <v>0</v>
      </c>
      <c r="P256" t="n">
        <v>0</v>
      </c>
      <c r="Q256" t="n">
        <v>0</v>
      </c>
      <c r="R256" s="2" t="inlineStr"/>
    </row>
    <row r="257" ht="15" customHeight="1">
      <c r="A257" t="inlineStr">
        <is>
          <t>A 39584-2024</t>
        </is>
      </c>
      <c r="B257" s="1" t="n">
        <v>45552.36759259259</v>
      </c>
      <c r="C257" s="1" t="n">
        <v>46094</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46399-2024</t>
        </is>
      </c>
      <c r="B258" s="1" t="n">
        <v>45582.41200231481</v>
      </c>
      <c r="C258" s="1" t="n">
        <v>46094</v>
      </c>
      <c r="D258" t="inlineStr">
        <is>
          <t>KALMAR LÄN</t>
        </is>
      </c>
      <c r="E258" t="inlineStr">
        <is>
          <t>VIMMERBY</t>
        </is>
      </c>
      <c r="G258" t="n">
        <v>4.6</v>
      </c>
      <c r="H258" t="n">
        <v>0</v>
      </c>
      <c r="I258" t="n">
        <v>0</v>
      </c>
      <c r="J258" t="n">
        <v>0</v>
      </c>
      <c r="K258" t="n">
        <v>0</v>
      </c>
      <c r="L258" t="n">
        <v>0</v>
      </c>
      <c r="M258" t="n">
        <v>0</v>
      </c>
      <c r="N258" t="n">
        <v>0</v>
      </c>
      <c r="O258" t="n">
        <v>0</v>
      </c>
      <c r="P258" t="n">
        <v>0</v>
      </c>
      <c r="Q258" t="n">
        <v>0</v>
      </c>
      <c r="R258" s="2" t="inlineStr"/>
    </row>
    <row r="259" ht="15" customHeight="1">
      <c r="A259" t="inlineStr">
        <is>
          <t>A 51881-2024</t>
        </is>
      </c>
      <c r="B259" s="1" t="n">
        <v>45607.56773148148</v>
      </c>
      <c r="C259" s="1" t="n">
        <v>46094</v>
      </c>
      <c r="D259" t="inlineStr">
        <is>
          <t>KALMAR LÄN</t>
        </is>
      </c>
      <c r="E259" t="inlineStr">
        <is>
          <t>VIMMERBY</t>
        </is>
      </c>
      <c r="G259" t="n">
        <v>3.4</v>
      </c>
      <c r="H259" t="n">
        <v>0</v>
      </c>
      <c r="I259" t="n">
        <v>0</v>
      </c>
      <c r="J259" t="n">
        <v>0</v>
      </c>
      <c r="K259" t="n">
        <v>0</v>
      </c>
      <c r="L259" t="n">
        <v>0</v>
      </c>
      <c r="M259" t="n">
        <v>0</v>
      </c>
      <c r="N259" t="n">
        <v>0</v>
      </c>
      <c r="O259" t="n">
        <v>0</v>
      </c>
      <c r="P259" t="n">
        <v>0</v>
      </c>
      <c r="Q259" t="n">
        <v>0</v>
      </c>
      <c r="R259" s="2" t="inlineStr"/>
    </row>
    <row r="260" ht="15" customHeight="1">
      <c r="A260" t="inlineStr">
        <is>
          <t>A 2596-2025</t>
        </is>
      </c>
      <c r="B260" s="1" t="n">
        <v>45674.71810185185</v>
      </c>
      <c r="C260" s="1" t="n">
        <v>46094</v>
      </c>
      <c r="D260" t="inlineStr">
        <is>
          <t>KALMAR LÄN</t>
        </is>
      </c>
      <c r="E260" t="inlineStr">
        <is>
          <t>VIMMERBY</t>
        </is>
      </c>
      <c r="G260" t="n">
        <v>9</v>
      </c>
      <c r="H260" t="n">
        <v>0</v>
      </c>
      <c r="I260" t="n">
        <v>0</v>
      </c>
      <c r="J260" t="n">
        <v>0</v>
      </c>
      <c r="K260" t="n">
        <v>0</v>
      </c>
      <c r="L260" t="n">
        <v>0</v>
      </c>
      <c r="M260" t="n">
        <v>0</v>
      </c>
      <c r="N260" t="n">
        <v>0</v>
      </c>
      <c r="O260" t="n">
        <v>0</v>
      </c>
      <c r="P260" t="n">
        <v>0</v>
      </c>
      <c r="Q260" t="n">
        <v>0</v>
      </c>
      <c r="R260" s="2" t="inlineStr"/>
    </row>
    <row r="261" ht="15" customHeight="1">
      <c r="A261" t="inlineStr">
        <is>
          <t>A 16734-2023</t>
        </is>
      </c>
      <c r="B261" s="1" t="n">
        <v>45030.71012731481</v>
      </c>
      <c r="C261" s="1" t="n">
        <v>46094</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165-2022</t>
        </is>
      </c>
      <c r="B262" s="1" t="n">
        <v>44564</v>
      </c>
      <c r="C262" s="1" t="n">
        <v>46094</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13532-2025</t>
        </is>
      </c>
      <c r="B263" s="1" t="n">
        <v>45736.50743055555</v>
      </c>
      <c r="C263" s="1" t="n">
        <v>46094</v>
      </c>
      <c r="D263" t="inlineStr">
        <is>
          <t>KALMAR LÄN</t>
        </is>
      </c>
      <c r="E263" t="inlineStr">
        <is>
          <t>VIMMERBY</t>
        </is>
      </c>
      <c r="G263" t="n">
        <v>3.6</v>
      </c>
      <c r="H263" t="n">
        <v>0</v>
      </c>
      <c r="I263" t="n">
        <v>0</v>
      </c>
      <c r="J263" t="n">
        <v>0</v>
      </c>
      <c r="K263" t="n">
        <v>0</v>
      </c>
      <c r="L263" t="n">
        <v>0</v>
      </c>
      <c r="M263" t="n">
        <v>0</v>
      </c>
      <c r="N263" t="n">
        <v>0</v>
      </c>
      <c r="O263" t="n">
        <v>0</v>
      </c>
      <c r="P263" t="n">
        <v>0</v>
      </c>
      <c r="Q263" t="n">
        <v>0</v>
      </c>
      <c r="R263" s="2" t="inlineStr"/>
    </row>
    <row r="264" ht="15" customHeight="1">
      <c r="A264" t="inlineStr">
        <is>
          <t>A 20129-2024</t>
        </is>
      </c>
      <c r="B264" s="1" t="n">
        <v>45434.55831018519</v>
      </c>
      <c r="C264" s="1" t="n">
        <v>46094</v>
      </c>
      <c r="D264" t="inlineStr">
        <is>
          <t>KALMAR LÄN</t>
        </is>
      </c>
      <c r="E264" t="inlineStr">
        <is>
          <t>VIMMERBY</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20137-2024</t>
        </is>
      </c>
      <c r="B265" s="1" t="n">
        <v>45434.56398148148</v>
      </c>
      <c r="C265" s="1" t="n">
        <v>46094</v>
      </c>
      <c r="D265" t="inlineStr">
        <is>
          <t>KALMAR LÄN</t>
        </is>
      </c>
      <c r="E265" t="inlineStr">
        <is>
          <t>VIMMERBY</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7456-2024</t>
        </is>
      </c>
      <c r="B266" s="1" t="n">
        <v>45345.83557870371</v>
      </c>
      <c r="C266" s="1" t="n">
        <v>46094</v>
      </c>
      <c r="D266" t="inlineStr">
        <is>
          <t>KALMAR LÄN</t>
        </is>
      </c>
      <c r="E266" t="inlineStr">
        <is>
          <t>VIMMERBY</t>
        </is>
      </c>
      <c r="G266" t="n">
        <v>4.1</v>
      </c>
      <c r="H266" t="n">
        <v>0</v>
      </c>
      <c r="I266" t="n">
        <v>0</v>
      </c>
      <c r="J266" t="n">
        <v>0</v>
      </c>
      <c r="K266" t="n">
        <v>0</v>
      </c>
      <c r="L266" t="n">
        <v>0</v>
      </c>
      <c r="M266" t="n">
        <v>0</v>
      </c>
      <c r="N266" t="n">
        <v>0</v>
      </c>
      <c r="O266" t="n">
        <v>0</v>
      </c>
      <c r="P266" t="n">
        <v>0</v>
      </c>
      <c r="Q266" t="n">
        <v>0</v>
      </c>
      <c r="R266" s="2" t="inlineStr"/>
    </row>
    <row r="267" ht="15" customHeight="1">
      <c r="A267" t="inlineStr">
        <is>
          <t>A 43038-2022</t>
        </is>
      </c>
      <c r="B267" s="1" t="n">
        <v>44833.60123842592</v>
      </c>
      <c r="C267" s="1" t="n">
        <v>46094</v>
      </c>
      <c r="D267" t="inlineStr">
        <is>
          <t>KALMAR LÄN</t>
        </is>
      </c>
      <c r="E267" t="inlineStr">
        <is>
          <t>VIMMERBY</t>
        </is>
      </c>
      <c r="G267" t="n">
        <v>4.2</v>
      </c>
      <c r="H267" t="n">
        <v>0</v>
      </c>
      <c r="I267" t="n">
        <v>0</v>
      </c>
      <c r="J267" t="n">
        <v>0</v>
      </c>
      <c r="K267" t="n">
        <v>0</v>
      </c>
      <c r="L267" t="n">
        <v>0</v>
      </c>
      <c r="M267" t="n">
        <v>0</v>
      </c>
      <c r="N267" t="n">
        <v>0</v>
      </c>
      <c r="O267" t="n">
        <v>0</v>
      </c>
      <c r="P267" t="n">
        <v>0</v>
      </c>
      <c r="Q267" t="n">
        <v>0</v>
      </c>
      <c r="R267" s="2" t="inlineStr"/>
    </row>
    <row r="268" ht="15" customHeight="1">
      <c r="A268" t="inlineStr">
        <is>
          <t>A 52324-2023</t>
        </is>
      </c>
      <c r="B268" s="1" t="n">
        <v>45224.64659722222</v>
      </c>
      <c r="C268" s="1" t="n">
        <v>46094</v>
      </c>
      <c r="D268" t="inlineStr">
        <is>
          <t>KALMAR LÄN</t>
        </is>
      </c>
      <c r="E268" t="inlineStr">
        <is>
          <t>VIMMERBY</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12596-2021</t>
        </is>
      </c>
      <c r="B269" s="1" t="n">
        <v>44270.39765046296</v>
      </c>
      <c r="C269" s="1" t="n">
        <v>46094</v>
      </c>
      <c r="D269" t="inlineStr">
        <is>
          <t>KALMAR LÄN</t>
        </is>
      </c>
      <c r="E269" t="inlineStr">
        <is>
          <t>VIMMERBY</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22399-2025</t>
        </is>
      </c>
      <c r="B270" s="1" t="n">
        <v>45786.52996527778</v>
      </c>
      <c r="C270" s="1" t="n">
        <v>46094</v>
      </c>
      <c r="D270" t="inlineStr">
        <is>
          <t>KALMAR LÄN</t>
        </is>
      </c>
      <c r="E270" t="inlineStr">
        <is>
          <t>VIMMERBY</t>
        </is>
      </c>
      <c r="G270" t="n">
        <v>2.1</v>
      </c>
      <c r="H270" t="n">
        <v>0</v>
      </c>
      <c r="I270" t="n">
        <v>0</v>
      </c>
      <c r="J270" t="n">
        <v>0</v>
      </c>
      <c r="K270" t="n">
        <v>0</v>
      </c>
      <c r="L270" t="n">
        <v>0</v>
      </c>
      <c r="M270" t="n">
        <v>0</v>
      </c>
      <c r="N270" t="n">
        <v>0</v>
      </c>
      <c r="O270" t="n">
        <v>0</v>
      </c>
      <c r="P270" t="n">
        <v>0</v>
      </c>
      <c r="Q270" t="n">
        <v>0</v>
      </c>
      <c r="R270" s="2" t="inlineStr"/>
    </row>
    <row r="271" ht="15" customHeight="1">
      <c r="A271" t="inlineStr">
        <is>
          <t>A 22397-2025</t>
        </is>
      </c>
      <c r="B271" s="1" t="n">
        <v>45786.52878472222</v>
      </c>
      <c r="C271" s="1" t="n">
        <v>46094</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17988-2025</t>
        </is>
      </c>
      <c r="B272" s="1" t="n">
        <v>45761.39600694444</v>
      </c>
      <c r="C272" s="1" t="n">
        <v>46094</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25582-2024</t>
        </is>
      </c>
      <c r="B273" s="1" t="n">
        <v>45463</v>
      </c>
      <c r="C273" s="1" t="n">
        <v>46094</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34040-2021</t>
        </is>
      </c>
      <c r="B274" s="1" t="n">
        <v>44379</v>
      </c>
      <c r="C274" s="1" t="n">
        <v>46094</v>
      </c>
      <c r="D274" t="inlineStr">
        <is>
          <t>KALMAR LÄN</t>
        </is>
      </c>
      <c r="E274" t="inlineStr">
        <is>
          <t>VIMMERBY</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57799-2022</t>
        </is>
      </c>
      <c r="B275" s="1" t="n">
        <v>44897</v>
      </c>
      <c r="C275" s="1" t="n">
        <v>46094</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23341-2022</t>
        </is>
      </c>
      <c r="B276" s="1" t="n">
        <v>44720.53898148148</v>
      </c>
      <c r="C276" s="1" t="n">
        <v>46094</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30921-2024</t>
        </is>
      </c>
      <c r="B277" s="1" t="n">
        <v>45498</v>
      </c>
      <c r="C277" s="1" t="n">
        <v>46094</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15200-2021</t>
        </is>
      </c>
      <c r="B278" s="1" t="n">
        <v>44284.44574074074</v>
      </c>
      <c r="C278" s="1" t="n">
        <v>46094</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37028-2024</t>
        </is>
      </c>
      <c r="B279" s="1" t="n">
        <v>45539.38744212963</v>
      </c>
      <c r="C279" s="1" t="n">
        <v>46094</v>
      </c>
      <c r="D279" t="inlineStr">
        <is>
          <t>KALMAR LÄN</t>
        </is>
      </c>
      <c r="E279" t="inlineStr">
        <is>
          <t>VIMMERBY</t>
        </is>
      </c>
      <c r="G279" t="n">
        <v>5.2</v>
      </c>
      <c r="H279" t="n">
        <v>0</v>
      </c>
      <c r="I279" t="n">
        <v>0</v>
      </c>
      <c r="J279" t="n">
        <v>0</v>
      </c>
      <c r="K279" t="n">
        <v>0</v>
      </c>
      <c r="L279" t="n">
        <v>0</v>
      </c>
      <c r="M279" t="n">
        <v>0</v>
      </c>
      <c r="N279" t="n">
        <v>0</v>
      </c>
      <c r="O279" t="n">
        <v>0</v>
      </c>
      <c r="P279" t="n">
        <v>0</v>
      </c>
      <c r="Q279" t="n">
        <v>0</v>
      </c>
      <c r="R279" s="2" t="inlineStr"/>
    </row>
    <row r="280" ht="15" customHeight="1">
      <c r="A280" t="inlineStr">
        <is>
          <t>A 57578-2024</t>
        </is>
      </c>
      <c r="B280" s="1" t="n">
        <v>45630.47564814815</v>
      </c>
      <c r="C280" s="1" t="n">
        <v>46094</v>
      </c>
      <c r="D280" t="inlineStr">
        <is>
          <t>KALMAR LÄN</t>
        </is>
      </c>
      <c r="E280" t="inlineStr">
        <is>
          <t>VIMMERBY</t>
        </is>
      </c>
      <c r="G280" t="n">
        <v>2.6</v>
      </c>
      <c r="H280" t="n">
        <v>0</v>
      </c>
      <c r="I280" t="n">
        <v>0</v>
      </c>
      <c r="J280" t="n">
        <v>0</v>
      </c>
      <c r="K280" t="n">
        <v>0</v>
      </c>
      <c r="L280" t="n">
        <v>0</v>
      </c>
      <c r="M280" t="n">
        <v>0</v>
      </c>
      <c r="N280" t="n">
        <v>0</v>
      </c>
      <c r="O280" t="n">
        <v>0</v>
      </c>
      <c r="P280" t="n">
        <v>0</v>
      </c>
      <c r="Q280" t="n">
        <v>0</v>
      </c>
      <c r="R280" s="2" t="inlineStr"/>
    </row>
    <row r="281" ht="15" customHeight="1">
      <c r="A281" t="inlineStr">
        <is>
          <t>A 6668-2023</t>
        </is>
      </c>
      <c r="B281" s="1" t="n">
        <v>44966</v>
      </c>
      <c r="C281" s="1" t="n">
        <v>46094</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29168-2024</t>
        </is>
      </c>
      <c r="B282" s="1" t="n">
        <v>45482.49870370371</v>
      </c>
      <c r="C282" s="1" t="n">
        <v>46094</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55236-2023</t>
        </is>
      </c>
      <c r="B283" s="1" t="n">
        <v>45237.63225694445</v>
      </c>
      <c r="C283" s="1" t="n">
        <v>46094</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55245-2023</t>
        </is>
      </c>
      <c r="B284" s="1" t="n">
        <v>45237.64408564815</v>
      </c>
      <c r="C284" s="1" t="n">
        <v>46094</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14137-2023</t>
        </is>
      </c>
      <c r="B285" s="1" t="n">
        <v>45009.4671875</v>
      </c>
      <c r="C285" s="1" t="n">
        <v>46094</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36055-2024</t>
        </is>
      </c>
      <c r="B286" s="1" t="n">
        <v>45533.63056712963</v>
      </c>
      <c r="C286" s="1" t="n">
        <v>46094</v>
      </c>
      <c r="D286" t="inlineStr">
        <is>
          <t>KALMAR LÄN</t>
        </is>
      </c>
      <c r="E286" t="inlineStr">
        <is>
          <t>VIMMERBY</t>
        </is>
      </c>
      <c r="F286" t="inlineStr">
        <is>
          <t>Kommuner</t>
        </is>
      </c>
      <c r="G286" t="n">
        <v>1.9</v>
      </c>
      <c r="H286" t="n">
        <v>0</v>
      </c>
      <c r="I286" t="n">
        <v>0</v>
      </c>
      <c r="J286" t="n">
        <v>0</v>
      </c>
      <c r="K286" t="n">
        <v>0</v>
      </c>
      <c r="L286" t="n">
        <v>0</v>
      </c>
      <c r="M286" t="n">
        <v>0</v>
      </c>
      <c r="N286" t="n">
        <v>0</v>
      </c>
      <c r="O286" t="n">
        <v>0</v>
      </c>
      <c r="P286" t="n">
        <v>0</v>
      </c>
      <c r="Q286" t="n">
        <v>0</v>
      </c>
      <c r="R286" s="2" t="inlineStr"/>
    </row>
    <row r="287" ht="15" customHeight="1">
      <c r="A287" t="inlineStr">
        <is>
          <t>A 6307-2025</t>
        </is>
      </c>
      <c r="B287" s="1" t="n">
        <v>45698.69016203703</v>
      </c>
      <c r="C287" s="1" t="n">
        <v>46094</v>
      </c>
      <c r="D287" t="inlineStr">
        <is>
          <t>KALMAR LÄN</t>
        </is>
      </c>
      <c r="E287" t="inlineStr">
        <is>
          <t>VIMMERBY</t>
        </is>
      </c>
      <c r="G287" t="n">
        <v>3</v>
      </c>
      <c r="H287" t="n">
        <v>0</v>
      </c>
      <c r="I287" t="n">
        <v>0</v>
      </c>
      <c r="J287" t="n">
        <v>0</v>
      </c>
      <c r="K287" t="n">
        <v>0</v>
      </c>
      <c r="L287" t="n">
        <v>0</v>
      </c>
      <c r="M287" t="n">
        <v>0</v>
      </c>
      <c r="N287" t="n">
        <v>0</v>
      </c>
      <c r="O287" t="n">
        <v>0</v>
      </c>
      <c r="P287" t="n">
        <v>0</v>
      </c>
      <c r="Q287" t="n">
        <v>0</v>
      </c>
      <c r="R287" s="2" t="inlineStr"/>
    </row>
    <row r="288" ht="15" customHeight="1">
      <c r="A288" t="inlineStr">
        <is>
          <t>A 11442-2025</t>
        </is>
      </c>
      <c r="B288" s="1" t="n">
        <v>45726.62721064815</v>
      </c>
      <c r="C288" s="1" t="n">
        <v>46094</v>
      </c>
      <c r="D288" t="inlineStr">
        <is>
          <t>KALMAR LÄN</t>
        </is>
      </c>
      <c r="E288" t="inlineStr">
        <is>
          <t>VIMMERBY</t>
        </is>
      </c>
      <c r="G288" t="n">
        <v>2.6</v>
      </c>
      <c r="H288" t="n">
        <v>0</v>
      </c>
      <c r="I288" t="n">
        <v>0</v>
      </c>
      <c r="J288" t="n">
        <v>0</v>
      </c>
      <c r="K288" t="n">
        <v>0</v>
      </c>
      <c r="L288" t="n">
        <v>0</v>
      </c>
      <c r="M288" t="n">
        <v>0</v>
      </c>
      <c r="N288" t="n">
        <v>0</v>
      </c>
      <c r="O288" t="n">
        <v>0</v>
      </c>
      <c r="P288" t="n">
        <v>0</v>
      </c>
      <c r="Q288" t="n">
        <v>0</v>
      </c>
      <c r="R288" s="2" t="inlineStr"/>
    </row>
    <row r="289" ht="15" customHeight="1">
      <c r="A289" t="inlineStr">
        <is>
          <t>A 11152-2023</t>
        </is>
      </c>
      <c r="B289" s="1" t="n">
        <v>44992</v>
      </c>
      <c r="C289" s="1" t="n">
        <v>46094</v>
      </c>
      <c r="D289" t="inlineStr">
        <is>
          <t>KALMAR LÄN</t>
        </is>
      </c>
      <c r="E289" t="inlineStr">
        <is>
          <t>VIMMERBY</t>
        </is>
      </c>
      <c r="G289" t="n">
        <v>10.6</v>
      </c>
      <c r="H289" t="n">
        <v>0</v>
      </c>
      <c r="I289" t="n">
        <v>0</v>
      </c>
      <c r="J289" t="n">
        <v>0</v>
      </c>
      <c r="K289" t="n">
        <v>0</v>
      </c>
      <c r="L289" t="n">
        <v>0</v>
      </c>
      <c r="M289" t="n">
        <v>0</v>
      </c>
      <c r="N289" t="n">
        <v>0</v>
      </c>
      <c r="O289" t="n">
        <v>0</v>
      </c>
      <c r="P289" t="n">
        <v>0</v>
      </c>
      <c r="Q289" t="n">
        <v>0</v>
      </c>
      <c r="R289" s="2" t="inlineStr"/>
    </row>
    <row r="290" ht="15" customHeight="1">
      <c r="A290" t="inlineStr">
        <is>
          <t>A 12499-2023</t>
        </is>
      </c>
      <c r="B290" s="1" t="n">
        <v>44999.86172453704</v>
      </c>
      <c r="C290" s="1" t="n">
        <v>46094</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12500-2023</t>
        </is>
      </c>
      <c r="B291" s="1" t="n">
        <v>44999.8625</v>
      </c>
      <c r="C291" s="1" t="n">
        <v>46094</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35846-2023</t>
        </is>
      </c>
      <c r="B292" s="1" t="n">
        <v>45148</v>
      </c>
      <c r="C292" s="1" t="n">
        <v>46094</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49039-2021</t>
        </is>
      </c>
      <c r="B293" s="1" t="n">
        <v>44453.56578703703</v>
      </c>
      <c r="C293" s="1" t="n">
        <v>46094</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27443-2023</t>
        </is>
      </c>
      <c r="B294" s="1" t="n">
        <v>45097.40524305555</v>
      </c>
      <c r="C294" s="1" t="n">
        <v>46094</v>
      </c>
      <c r="D294" t="inlineStr">
        <is>
          <t>KALMAR LÄN</t>
        </is>
      </c>
      <c r="E294" t="inlineStr">
        <is>
          <t>VIMMERBY</t>
        </is>
      </c>
      <c r="F294" t="inlineStr">
        <is>
          <t>Övriga Aktiebolag</t>
        </is>
      </c>
      <c r="G294" t="n">
        <v>2.3</v>
      </c>
      <c r="H294" t="n">
        <v>0</v>
      </c>
      <c r="I294" t="n">
        <v>0</v>
      </c>
      <c r="J294" t="n">
        <v>0</v>
      </c>
      <c r="K294" t="n">
        <v>0</v>
      </c>
      <c r="L294" t="n">
        <v>0</v>
      </c>
      <c r="M294" t="n">
        <v>0</v>
      </c>
      <c r="N294" t="n">
        <v>0</v>
      </c>
      <c r="O294" t="n">
        <v>0</v>
      </c>
      <c r="P294" t="n">
        <v>0</v>
      </c>
      <c r="Q294" t="n">
        <v>0</v>
      </c>
      <c r="R294" s="2" t="inlineStr"/>
    </row>
    <row r="295" ht="15" customHeight="1">
      <c r="A295" t="inlineStr">
        <is>
          <t>A 845-2023</t>
        </is>
      </c>
      <c r="B295" s="1" t="n">
        <v>44931</v>
      </c>
      <c r="C295" s="1" t="n">
        <v>46094</v>
      </c>
      <c r="D295" t="inlineStr">
        <is>
          <t>KALMAR LÄN</t>
        </is>
      </c>
      <c r="E295" t="inlineStr">
        <is>
          <t>VIMMERBY</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12107-2022</t>
        </is>
      </c>
      <c r="B296" s="1" t="n">
        <v>44636</v>
      </c>
      <c r="C296" s="1" t="n">
        <v>46094</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46224-2024</t>
        </is>
      </c>
      <c r="B297" s="1" t="n">
        <v>45581.57016203704</v>
      </c>
      <c r="C297" s="1" t="n">
        <v>46094</v>
      </c>
      <c r="D297" t="inlineStr">
        <is>
          <t>KALMAR LÄN</t>
        </is>
      </c>
      <c r="E297" t="inlineStr">
        <is>
          <t>VIMMERBY</t>
        </is>
      </c>
      <c r="G297" t="n">
        <v>3.1</v>
      </c>
      <c r="H297" t="n">
        <v>0</v>
      </c>
      <c r="I297" t="n">
        <v>0</v>
      </c>
      <c r="J297" t="n">
        <v>0</v>
      </c>
      <c r="K297" t="n">
        <v>0</v>
      </c>
      <c r="L297" t="n">
        <v>0</v>
      </c>
      <c r="M297" t="n">
        <v>0</v>
      </c>
      <c r="N297" t="n">
        <v>0</v>
      </c>
      <c r="O297" t="n">
        <v>0</v>
      </c>
      <c r="P297" t="n">
        <v>0</v>
      </c>
      <c r="Q297" t="n">
        <v>0</v>
      </c>
      <c r="R297" s="2" t="inlineStr"/>
    </row>
    <row r="298" ht="15" customHeight="1">
      <c r="A298" t="inlineStr">
        <is>
          <t>A 46238-2024</t>
        </is>
      </c>
      <c r="B298" s="1" t="n">
        <v>45581.58418981481</v>
      </c>
      <c r="C298" s="1" t="n">
        <v>46094</v>
      </c>
      <c r="D298" t="inlineStr">
        <is>
          <t>KALMAR LÄN</t>
        </is>
      </c>
      <c r="E298" t="inlineStr">
        <is>
          <t>VIMMERBY</t>
        </is>
      </c>
      <c r="G298" t="n">
        <v>2.1</v>
      </c>
      <c r="H298" t="n">
        <v>0</v>
      </c>
      <c r="I298" t="n">
        <v>0</v>
      </c>
      <c r="J298" t="n">
        <v>0</v>
      </c>
      <c r="K298" t="n">
        <v>0</v>
      </c>
      <c r="L298" t="n">
        <v>0</v>
      </c>
      <c r="M298" t="n">
        <v>0</v>
      </c>
      <c r="N298" t="n">
        <v>0</v>
      </c>
      <c r="O298" t="n">
        <v>0</v>
      </c>
      <c r="P298" t="n">
        <v>0</v>
      </c>
      <c r="Q298" t="n">
        <v>0</v>
      </c>
      <c r="R298" s="2" t="inlineStr"/>
    </row>
    <row r="299" ht="15" customHeight="1">
      <c r="A299" t="inlineStr">
        <is>
          <t>A 30633-2024</t>
        </is>
      </c>
      <c r="B299" s="1" t="n">
        <v>45495</v>
      </c>
      <c r="C299" s="1" t="n">
        <v>46094</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39225-2022</t>
        </is>
      </c>
      <c r="B300" s="1" t="n">
        <v>44817.57988425926</v>
      </c>
      <c r="C300" s="1" t="n">
        <v>46094</v>
      </c>
      <c r="D300" t="inlineStr">
        <is>
          <t>KALMAR LÄN</t>
        </is>
      </c>
      <c r="E300" t="inlineStr">
        <is>
          <t>VIMMERBY</t>
        </is>
      </c>
      <c r="G300" t="n">
        <v>2.2</v>
      </c>
      <c r="H300" t="n">
        <v>0</v>
      </c>
      <c r="I300" t="n">
        <v>0</v>
      </c>
      <c r="J300" t="n">
        <v>0</v>
      </c>
      <c r="K300" t="n">
        <v>0</v>
      </c>
      <c r="L300" t="n">
        <v>0</v>
      </c>
      <c r="M300" t="n">
        <v>0</v>
      </c>
      <c r="N300" t="n">
        <v>0</v>
      </c>
      <c r="O300" t="n">
        <v>0</v>
      </c>
      <c r="P300" t="n">
        <v>0</v>
      </c>
      <c r="Q300" t="n">
        <v>0</v>
      </c>
      <c r="R300" s="2" t="inlineStr"/>
    </row>
    <row r="301" ht="15" customHeight="1">
      <c r="A301" t="inlineStr">
        <is>
          <t>A 54838-2024</t>
        </is>
      </c>
      <c r="B301" s="1" t="n">
        <v>45618.56787037037</v>
      </c>
      <c r="C301" s="1" t="n">
        <v>46094</v>
      </c>
      <c r="D301" t="inlineStr">
        <is>
          <t>KALMAR LÄN</t>
        </is>
      </c>
      <c r="E301" t="inlineStr">
        <is>
          <t>VIMMERBY</t>
        </is>
      </c>
      <c r="G301" t="n">
        <v>3.3</v>
      </c>
      <c r="H301" t="n">
        <v>0</v>
      </c>
      <c r="I301" t="n">
        <v>0</v>
      </c>
      <c r="J301" t="n">
        <v>0</v>
      </c>
      <c r="K301" t="n">
        <v>0</v>
      </c>
      <c r="L301" t="n">
        <v>0</v>
      </c>
      <c r="M301" t="n">
        <v>0</v>
      </c>
      <c r="N301" t="n">
        <v>0</v>
      </c>
      <c r="O301" t="n">
        <v>0</v>
      </c>
      <c r="P301" t="n">
        <v>0</v>
      </c>
      <c r="Q301" t="n">
        <v>0</v>
      </c>
      <c r="R301" s="2" t="inlineStr"/>
    </row>
    <row r="302" ht="15" customHeight="1">
      <c r="A302" t="inlineStr">
        <is>
          <t>A 6405-2025</t>
        </is>
      </c>
      <c r="B302" s="1" t="n">
        <v>45699.45392361111</v>
      </c>
      <c r="C302" s="1" t="n">
        <v>46094</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6321-2023</t>
        </is>
      </c>
      <c r="B303" s="1" t="n">
        <v>44965.4815162037</v>
      </c>
      <c r="C303" s="1" t="n">
        <v>46094</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4624-2024</t>
        </is>
      </c>
      <c r="B304" s="1" t="n">
        <v>45328.38755787037</v>
      </c>
      <c r="C304" s="1" t="n">
        <v>46094</v>
      </c>
      <c r="D304" t="inlineStr">
        <is>
          <t>KALMAR LÄN</t>
        </is>
      </c>
      <c r="E304" t="inlineStr">
        <is>
          <t>VIMMERBY</t>
        </is>
      </c>
      <c r="G304" t="n">
        <v>1.7</v>
      </c>
      <c r="H304" t="n">
        <v>0</v>
      </c>
      <c r="I304" t="n">
        <v>0</v>
      </c>
      <c r="J304" t="n">
        <v>0</v>
      </c>
      <c r="K304" t="n">
        <v>0</v>
      </c>
      <c r="L304" t="n">
        <v>0</v>
      </c>
      <c r="M304" t="n">
        <v>0</v>
      </c>
      <c r="N304" t="n">
        <v>0</v>
      </c>
      <c r="O304" t="n">
        <v>0</v>
      </c>
      <c r="P304" t="n">
        <v>0</v>
      </c>
      <c r="Q304" t="n">
        <v>0</v>
      </c>
      <c r="R304" s="2" t="inlineStr"/>
    </row>
    <row r="305" ht="15" customHeight="1">
      <c r="A305" t="inlineStr">
        <is>
          <t>A 40730-2024</t>
        </is>
      </c>
      <c r="B305" s="1" t="n">
        <v>45558.44914351852</v>
      </c>
      <c r="C305" s="1" t="n">
        <v>46094</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16602-2021</t>
        </is>
      </c>
      <c r="B306" s="1" t="n">
        <v>44294</v>
      </c>
      <c r="C306" s="1" t="n">
        <v>46094</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16607-2021</t>
        </is>
      </c>
      <c r="B307" s="1" t="n">
        <v>44294</v>
      </c>
      <c r="C307" s="1" t="n">
        <v>46094</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17029-2022</t>
        </is>
      </c>
      <c r="B308" s="1" t="n">
        <v>44676.85248842592</v>
      </c>
      <c r="C308" s="1" t="n">
        <v>46094</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60437-2023</t>
        </is>
      </c>
      <c r="B309" s="1" t="n">
        <v>45259.51916666667</v>
      </c>
      <c r="C309" s="1" t="n">
        <v>46094</v>
      </c>
      <c r="D309" t="inlineStr">
        <is>
          <t>KALMAR LÄN</t>
        </is>
      </c>
      <c r="E309" t="inlineStr">
        <is>
          <t>VIMMERBY</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60438-2023</t>
        </is>
      </c>
      <c r="B310" s="1" t="n">
        <v>45259.52020833334</v>
      </c>
      <c r="C310" s="1" t="n">
        <v>46094</v>
      </c>
      <c r="D310" t="inlineStr">
        <is>
          <t>KALMAR LÄN</t>
        </is>
      </c>
      <c r="E310" t="inlineStr">
        <is>
          <t>VIMMERBY</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2157-2024</t>
        </is>
      </c>
      <c r="B311" s="1" t="n">
        <v>45309.59487268519</v>
      </c>
      <c r="C311" s="1" t="n">
        <v>46094</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42165-2024</t>
        </is>
      </c>
      <c r="B312" s="1" t="n">
        <v>45562.46342592593</v>
      </c>
      <c r="C312" s="1" t="n">
        <v>46094</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49461-2022</t>
        </is>
      </c>
      <c r="B313" s="1" t="n">
        <v>44861</v>
      </c>
      <c r="C313" s="1" t="n">
        <v>46094</v>
      </c>
      <c r="D313" t="inlineStr">
        <is>
          <t>KALMAR LÄN</t>
        </is>
      </c>
      <c r="E313" t="inlineStr">
        <is>
          <t>VIMMERBY</t>
        </is>
      </c>
      <c r="G313" t="n">
        <v>3.2</v>
      </c>
      <c r="H313" t="n">
        <v>0</v>
      </c>
      <c r="I313" t="n">
        <v>0</v>
      </c>
      <c r="J313" t="n">
        <v>0</v>
      </c>
      <c r="K313" t="n">
        <v>0</v>
      </c>
      <c r="L313" t="n">
        <v>0</v>
      </c>
      <c r="M313" t="n">
        <v>0</v>
      </c>
      <c r="N313" t="n">
        <v>0</v>
      </c>
      <c r="O313" t="n">
        <v>0</v>
      </c>
      <c r="P313" t="n">
        <v>0</v>
      </c>
      <c r="Q313" t="n">
        <v>0</v>
      </c>
      <c r="R313" s="2" t="inlineStr"/>
    </row>
    <row r="314" ht="15" customHeight="1">
      <c r="A314" t="inlineStr">
        <is>
          <t>A 694-2024</t>
        </is>
      </c>
      <c r="B314" s="1" t="n">
        <v>45300.3794212963</v>
      </c>
      <c r="C314" s="1" t="n">
        <v>46094</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23394-2025</t>
        </is>
      </c>
      <c r="B315" s="1" t="n">
        <v>45791.89865740741</v>
      </c>
      <c r="C315" s="1" t="n">
        <v>46094</v>
      </c>
      <c r="D315" t="inlineStr">
        <is>
          <t>KALMAR LÄN</t>
        </is>
      </c>
      <c r="E315" t="inlineStr">
        <is>
          <t>VIMMERBY</t>
        </is>
      </c>
      <c r="G315" t="n">
        <v>3.1</v>
      </c>
      <c r="H315" t="n">
        <v>0</v>
      </c>
      <c r="I315" t="n">
        <v>0</v>
      </c>
      <c r="J315" t="n">
        <v>0</v>
      </c>
      <c r="K315" t="n">
        <v>0</v>
      </c>
      <c r="L315" t="n">
        <v>0</v>
      </c>
      <c r="M315" t="n">
        <v>0</v>
      </c>
      <c r="N315" t="n">
        <v>0</v>
      </c>
      <c r="O315" t="n">
        <v>0</v>
      </c>
      <c r="P315" t="n">
        <v>0</v>
      </c>
      <c r="Q315" t="n">
        <v>0</v>
      </c>
      <c r="R315" s="2" t="inlineStr"/>
    </row>
    <row r="316" ht="15" customHeight="1">
      <c r="A316" t="inlineStr">
        <is>
          <t>A 25244-2023</t>
        </is>
      </c>
      <c r="B316" s="1" t="n">
        <v>45086</v>
      </c>
      <c r="C316" s="1" t="n">
        <v>46094</v>
      </c>
      <c r="D316" t="inlineStr">
        <is>
          <t>KALMAR LÄN</t>
        </is>
      </c>
      <c r="E316" t="inlineStr">
        <is>
          <t>VIMMERBY</t>
        </is>
      </c>
      <c r="G316" t="n">
        <v>4.7</v>
      </c>
      <c r="H316" t="n">
        <v>0</v>
      </c>
      <c r="I316" t="n">
        <v>0</v>
      </c>
      <c r="J316" t="n">
        <v>0</v>
      </c>
      <c r="K316" t="n">
        <v>0</v>
      </c>
      <c r="L316" t="n">
        <v>0</v>
      </c>
      <c r="M316" t="n">
        <v>0</v>
      </c>
      <c r="N316" t="n">
        <v>0</v>
      </c>
      <c r="O316" t="n">
        <v>0</v>
      </c>
      <c r="P316" t="n">
        <v>0</v>
      </c>
      <c r="Q316" t="n">
        <v>0</v>
      </c>
      <c r="R316" s="2" t="inlineStr"/>
    </row>
    <row r="317" ht="15" customHeight="1">
      <c r="A317" t="inlineStr">
        <is>
          <t>A 7167-2022</t>
        </is>
      </c>
      <c r="B317" s="1" t="n">
        <v>44604</v>
      </c>
      <c r="C317" s="1" t="n">
        <v>46094</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59598-2023</t>
        </is>
      </c>
      <c r="B318" s="1" t="n">
        <v>45254.62489583333</v>
      </c>
      <c r="C318" s="1" t="n">
        <v>46094</v>
      </c>
      <c r="D318" t="inlineStr">
        <is>
          <t>KALMAR LÄN</t>
        </is>
      </c>
      <c r="E318" t="inlineStr">
        <is>
          <t>VIMMERBY</t>
        </is>
      </c>
      <c r="F318" t="inlineStr">
        <is>
          <t>Övriga Aktiebolag</t>
        </is>
      </c>
      <c r="G318" t="n">
        <v>4</v>
      </c>
      <c r="H318" t="n">
        <v>0</v>
      </c>
      <c r="I318" t="n">
        <v>0</v>
      </c>
      <c r="J318" t="n">
        <v>0</v>
      </c>
      <c r="K318" t="n">
        <v>0</v>
      </c>
      <c r="L318" t="n">
        <v>0</v>
      </c>
      <c r="M318" t="n">
        <v>0</v>
      </c>
      <c r="N318" t="n">
        <v>0</v>
      </c>
      <c r="O318" t="n">
        <v>0</v>
      </c>
      <c r="P318" t="n">
        <v>0</v>
      </c>
      <c r="Q318" t="n">
        <v>0</v>
      </c>
      <c r="R318" s="2" t="inlineStr"/>
    </row>
    <row r="319" ht="15" customHeight="1">
      <c r="A319" t="inlineStr">
        <is>
          <t>A 18356-2021</t>
        </is>
      </c>
      <c r="B319" s="1" t="n">
        <v>44305</v>
      </c>
      <c r="C319" s="1" t="n">
        <v>46094</v>
      </c>
      <c r="D319" t="inlineStr">
        <is>
          <t>KALMAR LÄN</t>
        </is>
      </c>
      <c r="E319" t="inlineStr">
        <is>
          <t>VIMMERBY</t>
        </is>
      </c>
      <c r="G319" t="n">
        <v>3.4</v>
      </c>
      <c r="H319" t="n">
        <v>0</v>
      </c>
      <c r="I319" t="n">
        <v>0</v>
      </c>
      <c r="J319" t="n">
        <v>0</v>
      </c>
      <c r="K319" t="n">
        <v>0</v>
      </c>
      <c r="L319" t="n">
        <v>0</v>
      </c>
      <c r="M319" t="n">
        <v>0</v>
      </c>
      <c r="N319" t="n">
        <v>0</v>
      </c>
      <c r="O319" t="n">
        <v>0</v>
      </c>
      <c r="P319" t="n">
        <v>0</v>
      </c>
      <c r="Q319" t="n">
        <v>0</v>
      </c>
      <c r="R319" s="2" t="inlineStr"/>
    </row>
    <row r="320" ht="15" customHeight="1">
      <c r="A320" t="inlineStr">
        <is>
          <t>A 7944-2024</t>
        </is>
      </c>
      <c r="B320" s="1" t="n">
        <v>45350.53306712963</v>
      </c>
      <c r="C320" s="1" t="n">
        <v>46094</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66022-2021</t>
        </is>
      </c>
      <c r="B321" s="1" t="n">
        <v>44517</v>
      </c>
      <c r="C321" s="1" t="n">
        <v>46094</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21496-2023</t>
        </is>
      </c>
      <c r="B322" s="1" t="n">
        <v>45063.49936342592</v>
      </c>
      <c r="C322" s="1" t="n">
        <v>46094</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35895-2024</t>
        </is>
      </c>
      <c r="B323" s="1" t="n">
        <v>45533.38870370371</v>
      </c>
      <c r="C323" s="1" t="n">
        <v>46094</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11073-2023</t>
        </is>
      </c>
      <c r="B324" s="1" t="n">
        <v>44992</v>
      </c>
      <c r="C324" s="1" t="n">
        <v>46094</v>
      </c>
      <c r="D324" t="inlineStr">
        <is>
          <t>KALMAR LÄN</t>
        </is>
      </c>
      <c r="E324" t="inlineStr">
        <is>
          <t>VIMMERBY</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17-2025</t>
        </is>
      </c>
      <c r="B325" s="1" t="n">
        <v>45658.78774305555</v>
      </c>
      <c r="C325" s="1" t="n">
        <v>46094</v>
      </c>
      <c r="D325" t="inlineStr">
        <is>
          <t>KALMAR LÄN</t>
        </is>
      </c>
      <c r="E325" t="inlineStr">
        <is>
          <t>VIMMERBY</t>
        </is>
      </c>
      <c r="G325" t="n">
        <v>4.4</v>
      </c>
      <c r="H325" t="n">
        <v>0</v>
      </c>
      <c r="I325" t="n">
        <v>0</v>
      </c>
      <c r="J325" t="n">
        <v>0</v>
      </c>
      <c r="K325" t="n">
        <v>0</v>
      </c>
      <c r="L325" t="n">
        <v>0</v>
      </c>
      <c r="M325" t="n">
        <v>0</v>
      </c>
      <c r="N325" t="n">
        <v>0</v>
      </c>
      <c r="O325" t="n">
        <v>0</v>
      </c>
      <c r="P325" t="n">
        <v>0</v>
      </c>
      <c r="Q325" t="n">
        <v>0</v>
      </c>
      <c r="R325" s="2" t="inlineStr"/>
    </row>
    <row r="326" ht="15" customHeight="1">
      <c r="A326" t="inlineStr">
        <is>
          <t>A 32655-2023</t>
        </is>
      </c>
      <c r="B326" s="1" t="n">
        <v>45121.61318287037</v>
      </c>
      <c r="C326" s="1" t="n">
        <v>46094</v>
      </c>
      <c r="D326" t="inlineStr">
        <is>
          <t>KALMAR LÄN</t>
        </is>
      </c>
      <c r="E326" t="inlineStr">
        <is>
          <t>VIMMERBY</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63541-2023</t>
        </is>
      </c>
      <c r="B327" s="1" t="n">
        <v>45275.32266203704</v>
      </c>
      <c r="C327" s="1" t="n">
        <v>46094</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23984-2025</t>
        </is>
      </c>
      <c r="B328" s="1" t="n">
        <v>45796</v>
      </c>
      <c r="C328" s="1" t="n">
        <v>46094</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29783-2024</t>
        </is>
      </c>
      <c r="B329" s="1" t="n">
        <v>45485.45778935185</v>
      </c>
      <c r="C329" s="1" t="n">
        <v>46094</v>
      </c>
      <c r="D329" t="inlineStr">
        <is>
          <t>KALMAR LÄN</t>
        </is>
      </c>
      <c r="E329" t="inlineStr">
        <is>
          <t>VIMMERBY</t>
        </is>
      </c>
      <c r="G329" t="n">
        <v>3.1</v>
      </c>
      <c r="H329" t="n">
        <v>0</v>
      </c>
      <c r="I329" t="n">
        <v>0</v>
      </c>
      <c r="J329" t="n">
        <v>0</v>
      </c>
      <c r="K329" t="n">
        <v>0</v>
      </c>
      <c r="L329" t="n">
        <v>0</v>
      </c>
      <c r="M329" t="n">
        <v>0</v>
      </c>
      <c r="N329" t="n">
        <v>0</v>
      </c>
      <c r="O329" t="n">
        <v>0</v>
      </c>
      <c r="P329" t="n">
        <v>0</v>
      </c>
      <c r="Q329" t="n">
        <v>0</v>
      </c>
      <c r="R329" s="2" t="inlineStr"/>
    </row>
    <row r="330" ht="15" customHeight="1">
      <c r="A330" t="inlineStr">
        <is>
          <t>A 28034-2022</t>
        </is>
      </c>
      <c r="B330" s="1" t="n">
        <v>44746.38834490741</v>
      </c>
      <c r="C330" s="1" t="n">
        <v>46094</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5938-2022</t>
        </is>
      </c>
      <c r="B331" s="1" t="n">
        <v>44598</v>
      </c>
      <c r="C331" s="1" t="n">
        <v>46094</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35198-2023</t>
        </is>
      </c>
      <c r="B332" s="1" t="n">
        <v>45145</v>
      </c>
      <c r="C332" s="1" t="n">
        <v>46094</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24283-2023</t>
        </is>
      </c>
      <c r="B333" s="1" t="n">
        <v>45079.87827546296</v>
      </c>
      <c r="C333" s="1" t="n">
        <v>46094</v>
      </c>
      <c r="D333" t="inlineStr">
        <is>
          <t>KALMAR LÄN</t>
        </is>
      </c>
      <c r="E333" t="inlineStr">
        <is>
          <t>VIMMERBY</t>
        </is>
      </c>
      <c r="G333" t="n">
        <v>2</v>
      </c>
      <c r="H333" t="n">
        <v>0</v>
      </c>
      <c r="I333" t="n">
        <v>0</v>
      </c>
      <c r="J333" t="n">
        <v>0</v>
      </c>
      <c r="K333" t="n">
        <v>0</v>
      </c>
      <c r="L333" t="n">
        <v>0</v>
      </c>
      <c r="M333" t="n">
        <v>0</v>
      </c>
      <c r="N333" t="n">
        <v>0</v>
      </c>
      <c r="O333" t="n">
        <v>0</v>
      </c>
      <c r="P333" t="n">
        <v>0</v>
      </c>
      <c r="Q333" t="n">
        <v>0</v>
      </c>
      <c r="R333" s="2" t="inlineStr"/>
    </row>
    <row r="334" ht="15" customHeight="1">
      <c r="A334" t="inlineStr">
        <is>
          <t>A 43853-2023</t>
        </is>
      </c>
      <c r="B334" s="1" t="n">
        <v>45187.60813657408</v>
      </c>
      <c r="C334" s="1" t="n">
        <v>46094</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2462-2022</t>
        </is>
      </c>
      <c r="B335" s="1" t="n">
        <v>44579.62225694444</v>
      </c>
      <c r="C335" s="1" t="n">
        <v>46094</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60228-2021</t>
        </is>
      </c>
      <c r="B336" s="1" t="n">
        <v>44495</v>
      </c>
      <c r="C336" s="1" t="n">
        <v>46094</v>
      </c>
      <c r="D336" t="inlineStr">
        <is>
          <t>KALMAR LÄN</t>
        </is>
      </c>
      <c r="E336" t="inlineStr">
        <is>
          <t>VIMMERBY</t>
        </is>
      </c>
      <c r="G336" t="n">
        <v>4.1</v>
      </c>
      <c r="H336" t="n">
        <v>0</v>
      </c>
      <c r="I336" t="n">
        <v>0</v>
      </c>
      <c r="J336" t="n">
        <v>0</v>
      </c>
      <c r="K336" t="n">
        <v>0</v>
      </c>
      <c r="L336" t="n">
        <v>0</v>
      </c>
      <c r="M336" t="n">
        <v>0</v>
      </c>
      <c r="N336" t="n">
        <v>0</v>
      </c>
      <c r="O336" t="n">
        <v>0</v>
      </c>
      <c r="P336" t="n">
        <v>0</v>
      </c>
      <c r="Q336" t="n">
        <v>0</v>
      </c>
      <c r="R336" s="2" t="inlineStr"/>
    </row>
    <row r="337" ht="15" customHeight="1">
      <c r="A337" t="inlineStr">
        <is>
          <t>A 25979-2023</t>
        </is>
      </c>
      <c r="B337" s="1" t="n">
        <v>45090.89653935185</v>
      </c>
      <c r="C337" s="1" t="n">
        <v>46094</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25980-2023</t>
        </is>
      </c>
      <c r="B338" s="1" t="n">
        <v>45090.89880787037</v>
      </c>
      <c r="C338" s="1" t="n">
        <v>46094</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12510-2022</t>
        </is>
      </c>
      <c r="B339" s="1" t="n">
        <v>44638.55256944444</v>
      </c>
      <c r="C339" s="1" t="n">
        <v>46094</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6358-2022</t>
        </is>
      </c>
      <c r="B340" s="1" t="n">
        <v>44600</v>
      </c>
      <c r="C340" s="1" t="n">
        <v>46094</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35082-2024</t>
        </is>
      </c>
      <c r="B341" s="1" t="n">
        <v>45527.68784722222</v>
      </c>
      <c r="C341" s="1" t="n">
        <v>46094</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9511-2023</t>
        </is>
      </c>
      <c r="B342" s="1" t="n">
        <v>44981.64725694444</v>
      </c>
      <c r="C342" s="1" t="n">
        <v>46094</v>
      </c>
      <c r="D342" t="inlineStr">
        <is>
          <t>KALMAR LÄN</t>
        </is>
      </c>
      <c r="E342" t="inlineStr">
        <is>
          <t>VIMMERBY</t>
        </is>
      </c>
      <c r="G342" t="n">
        <v>3.5</v>
      </c>
      <c r="H342" t="n">
        <v>0</v>
      </c>
      <c r="I342" t="n">
        <v>0</v>
      </c>
      <c r="J342" t="n">
        <v>0</v>
      </c>
      <c r="K342" t="n">
        <v>0</v>
      </c>
      <c r="L342" t="n">
        <v>0</v>
      </c>
      <c r="M342" t="n">
        <v>0</v>
      </c>
      <c r="N342" t="n">
        <v>0</v>
      </c>
      <c r="O342" t="n">
        <v>0</v>
      </c>
      <c r="P342" t="n">
        <v>0</v>
      </c>
      <c r="Q342" t="n">
        <v>0</v>
      </c>
      <c r="R342" s="2" t="inlineStr"/>
    </row>
    <row r="343" ht="15" customHeight="1">
      <c r="A343" t="inlineStr">
        <is>
          <t>A 38757-2023</t>
        </is>
      </c>
      <c r="B343" s="1" t="n">
        <v>45163.41376157408</v>
      </c>
      <c r="C343" s="1" t="n">
        <v>46094</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29973-2023</t>
        </is>
      </c>
      <c r="B344" s="1" t="n">
        <v>45108.703125</v>
      </c>
      <c r="C344" s="1" t="n">
        <v>46094</v>
      </c>
      <c r="D344" t="inlineStr">
        <is>
          <t>KALMAR LÄN</t>
        </is>
      </c>
      <c r="E344" t="inlineStr">
        <is>
          <t>VIMMERBY</t>
        </is>
      </c>
      <c r="G344" t="n">
        <v>4</v>
      </c>
      <c r="H344" t="n">
        <v>0</v>
      </c>
      <c r="I344" t="n">
        <v>0</v>
      </c>
      <c r="J344" t="n">
        <v>0</v>
      </c>
      <c r="K344" t="n">
        <v>0</v>
      </c>
      <c r="L344" t="n">
        <v>0</v>
      </c>
      <c r="M344" t="n">
        <v>0</v>
      </c>
      <c r="N344" t="n">
        <v>0</v>
      </c>
      <c r="O344" t="n">
        <v>0</v>
      </c>
      <c r="P344" t="n">
        <v>0</v>
      </c>
      <c r="Q344" t="n">
        <v>0</v>
      </c>
      <c r="R344" s="2" t="inlineStr"/>
    </row>
    <row r="345" ht="15" customHeight="1">
      <c r="A345" t="inlineStr">
        <is>
          <t>A 64143-2021</t>
        </is>
      </c>
      <c r="B345" s="1" t="n">
        <v>44510.52157407408</v>
      </c>
      <c r="C345" s="1" t="n">
        <v>46094</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51278-2024</t>
        </is>
      </c>
      <c r="B346" s="1" t="n">
        <v>45603.74959490741</v>
      </c>
      <c r="C346" s="1" t="n">
        <v>46094</v>
      </c>
      <c r="D346" t="inlineStr">
        <is>
          <t>KALMAR LÄN</t>
        </is>
      </c>
      <c r="E346" t="inlineStr">
        <is>
          <t>VIMMERBY</t>
        </is>
      </c>
      <c r="G346" t="n">
        <v>3.4</v>
      </c>
      <c r="H346" t="n">
        <v>0</v>
      </c>
      <c r="I346" t="n">
        <v>0</v>
      </c>
      <c r="J346" t="n">
        <v>0</v>
      </c>
      <c r="K346" t="n">
        <v>0</v>
      </c>
      <c r="L346" t="n">
        <v>0</v>
      </c>
      <c r="M346" t="n">
        <v>0</v>
      </c>
      <c r="N346" t="n">
        <v>0</v>
      </c>
      <c r="O346" t="n">
        <v>0</v>
      </c>
      <c r="P346" t="n">
        <v>0</v>
      </c>
      <c r="Q346" t="n">
        <v>0</v>
      </c>
      <c r="R346" s="2" t="inlineStr"/>
    </row>
    <row r="347" ht="15" customHeight="1">
      <c r="A347" t="inlineStr">
        <is>
          <t>A 73938-2021</t>
        </is>
      </c>
      <c r="B347" s="1" t="n">
        <v>44553</v>
      </c>
      <c r="C347" s="1" t="n">
        <v>46094</v>
      </c>
      <c r="D347" t="inlineStr">
        <is>
          <t>KALMAR LÄN</t>
        </is>
      </c>
      <c r="E347" t="inlineStr">
        <is>
          <t>VIMMERBY</t>
        </is>
      </c>
      <c r="G347" t="n">
        <v>3.2</v>
      </c>
      <c r="H347" t="n">
        <v>0</v>
      </c>
      <c r="I347" t="n">
        <v>0</v>
      </c>
      <c r="J347" t="n">
        <v>0</v>
      </c>
      <c r="K347" t="n">
        <v>0</v>
      </c>
      <c r="L347" t="n">
        <v>0</v>
      </c>
      <c r="M347" t="n">
        <v>0</v>
      </c>
      <c r="N347" t="n">
        <v>0</v>
      </c>
      <c r="O347" t="n">
        <v>0</v>
      </c>
      <c r="P347" t="n">
        <v>0</v>
      </c>
      <c r="Q347" t="n">
        <v>0</v>
      </c>
      <c r="R347" s="2" t="inlineStr"/>
    </row>
    <row r="348" ht="15" customHeight="1">
      <c r="A348" t="inlineStr">
        <is>
          <t>A 9456-2025</t>
        </is>
      </c>
      <c r="B348" s="1" t="n">
        <v>45715.44159722222</v>
      </c>
      <c r="C348" s="1" t="n">
        <v>46094</v>
      </c>
      <c r="D348" t="inlineStr">
        <is>
          <t>KALMAR LÄN</t>
        </is>
      </c>
      <c r="E348" t="inlineStr">
        <is>
          <t>VIMMERBY</t>
        </is>
      </c>
      <c r="G348" t="n">
        <v>1.5</v>
      </c>
      <c r="H348" t="n">
        <v>0</v>
      </c>
      <c r="I348" t="n">
        <v>0</v>
      </c>
      <c r="J348" t="n">
        <v>0</v>
      </c>
      <c r="K348" t="n">
        <v>0</v>
      </c>
      <c r="L348" t="n">
        <v>0</v>
      </c>
      <c r="M348" t="n">
        <v>0</v>
      </c>
      <c r="N348" t="n">
        <v>0</v>
      </c>
      <c r="O348" t="n">
        <v>0</v>
      </c>
      <c r="P348" t="n">
        <v>0</v>
      </c>
      <c r="Q348" t="n">
        <v>0</v>
      </c>
      <c r="R348" s="2" t="inlineStr"/>
    </row>
    <row r="349" ht="15" customHeight="1">
      <c r="A349" t="inlineStr">
        <is>
          <t>A 11111-2023</t>
        </is>
      </c>
      <c r="B349" s="1" t="n">
        <v>44992.4255787037</v>
      </c>
      <c r="C349" s="1" t="n">
        <v>46094</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48373-2021</t>
        </is>
      </c>
      <c r="B350" s="1" t="n">
        <v>44451</v>
      </c>
      <c r="C350" s="1" t="n">
        <v>46094</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40076-2021</t>
        </is>
      </c>
      <c r="B351" s="1" t="n">
        <v>44418</v>
      </c>
      <c r="C351" s="1" t="n">
        <v>46094</v>
      </c>
      <c r="D351" t="inlineStr">
        <is>
          <t>KALMAR LÄN</t>
        </is>
      </c>
      <c r="E351" t="inlineStr">
        <is>
          <t>VIMMERBY</t>
        </is>
      </c>
      <c r="G351" t="n">
        <v>2</v>
      </c>
      <c r="H351" t="n">
        <v>0</v>
      </c>
      <c r="I351" t="n">
        <v>0</v>
      </c>
      <c r="J351" t="n">
        <v>0</v>
      </c>
      <c r="K351" t="n">
        <v>0</v>
      </c>
      <c r="L351" t="n">
        <v>0</v>
      </c>
      <c r="M351" t="n">
        <v>0</v>
      </c>
      <c r="N351" t="n">
        <v>0</v>
      </c>
      <c r="O351" t="n">
        <v>0</v>
      </c>
      <c r="P351" t="n">
        <v>0</v>
      </c>
      <c r="Q351" t="n">
        <v>0</v>
      </c>
      <c r="R351" s="2" t="inlineStr"/>
    </row>
    <row r="352" ht="15" customHeight="1">
      <c r="A352" t="inlineStr">
        <is>
          <t>A 50648-2023</t>
        </is>
      </c>
      <c r="B352" s="1" t="n">
        <v>45217.47834490741</v>
      </c>
      <c r="C352" s="1" t="n">
        <v>46094</v>
      </c>
      <c r="D352" t="inlineStr">
        <is>
          <t>KALMAR LÄN</t>
        </is>
      </c>
      <c r="E352" t="inlineStr">
        <is>
          <t>VIMMERBY</t>
        </is>
      </c>
      <c r="G352" t="n">
        <v>1.6</v>
      </c>
      <c r="H352" t="n">
        <v>0</v>
      </c>
      <c r="I352" t="n">
        <v>0</v>
      </c>
      <c r="J352" t="n">
        <v>0</v>
      </c>
      <c r="K352" t="n">
        <v>0</v>
      </c>
      <c r="L352" t="n">
        <v>0</v>
      </c>
      <c r="M352" t="n">
        <v>0</v>
      </c>
      <c r="N352" t="n">
        <v>0</v>
      </c>
      <c r="O352" t="n">
        <v>0</v>
      </c>
      <c r="P352" t="n">
        <v>0</v>
      </c>
      <c r="Q352" t="n">
        <v>0</v>
      </c>
      <c r="R352" s="2" t="inlineStr"/>
    </row>
    <row r="353" ht="15" customHeight="1">
      <c r="A353" t="inlineStr">
        <is>
          <t>A 529-2022</t>
        </is>
      </c>
      <c r="B353" s="1" t="n">
        <v>44566</v>
      </c>
      <c r="C353" s="1" t="n">
        <v>46094</v>
      </c>
      <c r="D353" t="inlineStr">
        <is>
          <t>KALMAR LÄN</t>
        </is>
      </c>
      <c r="E353" t="inlineStr">
        <is>
          <t>VIMMERBY</t>
        </is>
      </c>
      <c r="G353" t="n">
        <v>1.5</v>
      </c>
      <c r="H353" t="n">
        <v>0</v>
      </c>
      <c r="I353" t="n">
        <v>0</v>
      </c>
      <c r="J353" t="n">
        <v>0</v>
      </c>
      <c r="K353" t="n">
        <v>0</v>
      </c>
      <c r="L353" t="n">
        <v>0</v>
      </c>
      <c r="M353" t="n">
        <v>0</v>
      </c>
      <c r="N353" t="n">
        <v>0</v>
      </c>
      <c r="O353" t="n">
        <v>0</v>
      </c>
      <c r="P353" t="n">
        <v>0</v>
      </c>
      <c r="Q353" t="n">
        <v>0</v>
      </c>
      <c r="R353" s="2" t="inlineStr"/>
    </row>
    <row r="354" ht="15" customHeight="1">
      <c r="A354" t="inlineStr">
        <is>
          <t>A 58318-2021</t>
        </is>
      </c>
      <c r="B354" s="1" t="n">
        <v>44488.35878472222</v>
      </c>
      <c r="C354" s="1" t="n">
        <v>46094</v>
      </c>
      <c r="D354" t="inlineStr">
        <is>
          <t>KALMAR LÄN</t>
        </is>
      </c>
      <c r="E354" t="inlineStr">
        <is>
          <t>VIMMERBY</t>
        </is>
      </c>
      <c r="G354" t="n">
        <v>4</v>
      </c>
      <c r="H354" t="n">
        <v>0</v>
      </c>
      <c r="I354" t="n">
        <v>0</v>
      </c>
      <c r="J354" t="n">
        <v>0</v>
      </c>
      <c r="K354" t="n">
        <v>0</v>
      </c>
      <c r="L354" t="n">
        <v>0</v>
      </c>
      <c r="M354" t="n">
        <v>0</v>
      </c>
      <c r="N354" t="n">
        <v>0</v>
      </c>
      <c r="O354" t="n">
        <v>0</v>
      </c>
      <c r="P354" t="n">
        <v>0</v>
      </c>
      <c r="Q354" t="n">
        <v>0</v>
      </c>
      <c r="R354" s="2" t="inlineStr"/>
    </row>
    <row r="355" ht="15" customHeight="1">
      <c r="A355" t="inlineStr">
        <is>
          <t>A 89-2023</t>
        </is>
      </c>
      <c r="B355" s="1" t="n">
        <v>44918</v>
      </c>
      <c r="C355" s="1" t="n">
        <v>46094</v>
      </c>
      <c r="D355" t="inlineStr">
        <is>
          <t>KALMAR LÄN</t>
        </is>
      </c>
      <c r="E355" t="inlineStr">
        <is>
          <t>VIMMERBY</t>
        </is>
      </c>
      <c r="G355" t="n">
        <v>16.1</v>
      </c>
      <c r="H355" t="n">
        <v>0</v>
      </c>
      <c r="I355" t="n">
        <v>0</v>
      </c>
      <c r="J355" t="n">
        <v>0</v>
      </c>
      <c r="K355" t="n">
        <v>0</v>
      </c>
      <c r="L355" t="n">
        <v>0</v>
      </c>
      <c r="M355" t="n">
        <v>0</v>
      </c>
      <c r="N355" t="n">
        <v>0</v>
      </c>
      <c r="O355" t="n">
        <v>0</v>
      </c>
      <c r="P355" t="n">
        <v>0</v>
      </c>
      <c r="Q355" t="n">
        <v>0</v>
      </c>
      <c r="R355" s="2" t="inlineStr"/>
    </row>
    <row r="356" ht="15" customHeight="1">
      <c r="A356" t="inlineStr">
        <is>
          <t>A 44582-2024</t>
        </is>
      </c>
      <c r="B356" s="1" t="n">
        <v>45574.49298611111</v>
      </c>
      <c r="C356" s="1" t="n">
        <v>46094</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23088-2024</t>
        </is>
      </c>
      <c r="B357" s="1" t="n">
        <v>45450.51092592593</v>
      </c>
      <c r="C357" s="1" t="n">
        <v>46094</v>
      </c>
      <c r="D357" t="inlineStr">
        <is>
          <t>KALMAR LÄN</t>
        </is>
      </c>
      <c r="E357" t="inlineStr">
        <is>
          <t>VIMMERBY</t>
        </is>
      </c>
      <c r="G357" t="n">
        <v>1.9</v>
      </c>
      <c r="H357" t="n">
        <v>0</v>
      </c>
      <c r="I357" t="n">
        <v>0</v>
      </c>
      <c r="J357" t="n">
        <v>0</v>
      </c>
      <c r="K357" t="n">
        <v>0</v>
      </c>
      <c r="L357" t="n">
        <v>0</v>
      </c>
      <c r="M357" t="n">
        <v>0</v>
      </c>
      <c r="N357" t="n">
        <v>0</v>
      </c>
      <c r="O357" t="n">
        <v>0</v>
      </c>
      <c r="P357" t="n">
        <v>0</v>
      </c>
      <c r="Q357" t="n">
        <v>0</v>
      </c>
      <c r="R357" s="2" t="inlineStr"/>
    </row>
    <row r="358" ht="15" customHeight="1">
      <c r="A358" t="inlineStr">
        <is>
          <t>A 57256-2023</t>
        </is>
      </c>
      <c r="B358" s="1" t="n">
        <v>45245.5735300926</v>
      </c>
      <c r="C358" s="1" t="n">
        <v>46094</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17482-2024</t>
        </is>
      </c>
      <c r="B359" s="1" t="n">
        <v>45415.47848379629</v>
      </c>
      <c r="C359" s="1" t="n">
        <v>46094</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38851-2023</t>
        </is>
      </c>
      <c r="B360" s="1" t="n">
        <v>45163</v>
      </c>
      <c r="C360" s="1" t="n">
        <v>46094</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10759-2023</t>
        </is>
      </c>
      <c r="B361" s="1" t="n">
        <v>44988</v>
      </c>
      <c r="C361" s="1" t="n">
        <v>46094</v>
      </c>
      <c r="D361" t="inlineStr">
        <is>
          <t>KALMAR LÄN</t>
        </is>
      </c>
      <c r="E361" t="inlineStr">
        <is>
          <t>VIMMERBY</t>
        </is>
      </c>
      <c r="G361" t="n">
        <v>0.4</v>
      </c>
      <c r="H361" t="n">
        <v>0</v>
      </c>
      <c r="I361" t="n">
        <v>0</v>
      </c>
      <c r="J361" t="n">
        <v>0</v>
      </c>
      <c r="K361" t="n">
        <v>0</v>
      </c>
      <c r="L361" t="n">
        <v>0</v>
      </c>
      <c r="M361" t="n">
        <v>0</v>
      </c>
      <c r="N361" t="n">
        <v>0</v>
      </c>
      <c r="O361" t="n">
        <v>0</v>
      </c>
      <c r="P361" t="n">
        <v>0</v>
      </c>
      <c r="Q361" t="n">
        <v>0</v>
      </c>
      <c r="R361" s="2" t="inlineStr"/>
    </row>
    <row r="362" ht="15" customHeight="1">
      <c r="A362" t="inlineStr">
        <is>
          <t>A 63583-2023</t>
        </is>
      </c>
      <c r="B362" s="1" t="n">
        <v>45275.41833333333</v>
      </c>
      <c r="C362" s="1" t="n">
        <v>46094</v>
      </c>
      <c r="D362" t="inlineStr">
        <is>
          <t>KALMAR LÄN</t>
        </is>
      </c>
      <c r="E362" t="inlineStr">
        <is>
          <t>VIMMERBY</t>
        </is>
      </c>
      <c r="G362" t="n">
        <v>1.4</v>
      </c>
      <c r="H362" t="n">
        <v>0</v>
      </c>
      <c r="I362" t="n">
        <v>0</v>
      </c>
      <c r="J362" t="n">
        <v>0</v>
      </c>
      <c r="K362" t="n">
        <v>0</v>
      </c>
      <c r="L362" t="n">
        <v>0</v>
      </c>
      <c r="M362" t="n">
        <v>0</v>
      </c>
      <c r="N362" t="n">
        <v>0</v>
      </c>
      <c r="O362" t="n">
        <v>0</v>
      </c>
      <c r="P362" t="n">
        <v>0</v>
      </c>
      <c r="Q362" t="n">
        <v>0</v>
      </c>
      <c r="R362" s="2" t="inlineStr"/>
    </row>
    <row r="363" ht="15" customHeight="1">
      <c r="A363" t="inlineStr">
        <is>
          <t>A 15494-2024</t>
        </is>
      </c>
      <c r="B363" s="1" t="n">
        <v>45401.53033564815</v>
      </c>
      <c r="C363" s="1" t="n">
        <v>46094</v>
      </c>
      <c r="D363" t="inlineStr">
        <is>
          <t>KALMAR LÄN</t>
        </is>
      </c>
      <c r="E363" t="inlineStr">
        <is>
          <t>VIMMERBY</t>
        </is>
      </c>
      <c r="G363" t="n">
        <v>3.2</v>
      </c>
      <c r="H363" t="n">
        <v>0</v>
      </c>
      <c r="I363" t="n">
        <v>0</v>
      </c>
      <c r="J363" t="n">
        <v>0</v>
      </c>
      <c r="K363" t="n">
        <v>0</v>
      </c>
      <c r="L363" t="n">
        <v>0</v>
      </c>
      <c r="M363" t="n">
        <v>0</v>
      </c>
      <c r="N363" t="n">
        <v>0</v>
      </c>
      <c r="O363" t="n">
        <v>0</v>
      </c>
      <c r="P363" t="n">
        <v>0</v>
      </c>
      <c r="Q363" t="n">
        <v>0</v>
      </c>
      <c r="R363" s="2" t="inlineStr"/>
    </row>
    <row r="364" ht="15" customHeight="1">
      <c r="A364" t="inlineStr">
        <is>
          <t>A 40079-2023</t>
        </is>
      </c>
      <c r="B364" s="1" t="n">
        <v>45168.89298611111</v>
      </c>
      <c r="C364" s="1" t="n">
        <v>46094</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55123-2024</t>
        </is>
      </c>
      <c r="B365" s="1" t="n">
        <v>45621.46103009259</v>
      </c>
      <c r="C365" s="1" t="n">
        <v>46094</v>
      </c>
      <c r="D365" t="inlineStr">
        <is>
          <t>KALMAR LÄN</t>
        </is>
      </c>
      <c r="E365" t="inlineStr">
        <is>
          <t>VIMMERBY</t>
        </is>
      </c>
      <c r="G365" t="n">
        <v>3.1</v>
      </c>
      <c r="H365" t="n">
        <v>0</v>
      </c>
      <c r="I365" t="n">
        <v>0</v>
      </c>
      <c r="J365" t="n">
        <v>0</v>
      </c>
      <c r="K365" t="n">
        <v>0</v>
      </c>
      <c r="L365" t="n">
        <v>0</v>
      </c>
      <c r="M365" t="n">
        <v>0</v>
      </c>
      <c r="N365" t="n">
        <v>0</v>
      </c>
      <c r="O365" t="n">
        <v>0</v>
      </c>
      <c r="P365" t="n">
        <v>0</v>
      </c>
      <c r="Q365" t="n">
        <v>0</v>
      </c>
      <c r="R365" s="2" t="inlineStr"/>
    </row>
    <row r="366" ht="15" customHeight="1">
      <c r="A366" t="inlineStr">
        <is>
          <t>A 43774-2023</t>
        </is>
      </c>
      <c r="B366" s="1" t="n">
        <v>45187</v>
      </c>
      <c r="C366" s="1" t="n">
        <v>46094</v>
      </c>
      <c r="D366" t="inlineStr">
        <is>
          <t>KALMAR LÄN</t>
        </is>
      </c>
      <c r="E366" t="inlineStr">
        <is>
          <t>VIMMERBY</t>
        </is>
      </c>
      <c r="G366" t="n">
        <v>3.4</v>
      </c>
      <c r="H366" t="n">
        <v>0</v>
      </c>
      <c r="I366" t="n">
        <v>0</v>
      </c>
      <c r="J366" t="n">
        <v>0</v>
      </c>
      <c r="K366" t="n">
        <v>0</v>
      </c>
      <c r="L366" t="n">
        <v>0</v>
      </c>
      <c r="M366" t="n">
        <v>0</v>
      </c>
      <c r="N366" t="n">
        <v>0</v>
      </c>
      <c r="O366" t="n">
        <v>0</v>
      </c>
      <c r="P366" t="n">
        <v>0</v>
      </c>
      <c r="Q366" t="n">
        <v>0</v>
      </c>
      <c r="R366" s="2" t="inlineStr"/>
    </row>
    <row r="367" ht="15" customHeight="1">
      <c r="A367" t="inlineStr">
        <is>
          <t>A 29616-2022</t>
        </is>
      </c>
      <c r="B367" s="1" t="n">
        <v>44754</v>
      </c>
      <c r="C367" s="1" t="n">
        <v>46094</v>
      </c>
      <c r="D367" t="inlineStr">
        <is>
          <t>KALMAR LÄN</t>
        </is>
      </c>
      <c r="E367" t="inlineStr">
        <is>
          <t>VIMMERBY</t>
        </is>
      </c>
      <c r="G367" t="n">
        <v>1.1</v>
      </c>
      <c r="H367" t="n">
        <v>0</v>
      </c>
      <c r="I367" t="n">
        <v>0</v>
      </c>
      <c r="J367" t="n">
        <v>0</v>
      </c>
      <c r="K367" t="n">
        <v>0</v>
      </c>
      <c r="L367" t="n">
        <v>0</v>
      </c>
      <c r="M367" t="n">
        <v>0</v>
      </c>
      <c r="N367" t="n">
        <v>0</v>
      </c>
      <c r="O367" t="n">
        <v>0</v>
      </c>
      <c r="P367" t="n">
        <v>0</v>
      </c>
      <c r="Q367" t="n">
        <v>0</v>
      </c>
      <c r="R367" s="2" t="inlineStr"/>
    </row>
    <row r="368" ht="15" customHeight="1">
      <c r="A368" t="inlineStr">
        <is>
          <t>A 49313-2022</t>
        </is>
      </c>
      <c r="B368" s="1" t="n">
        <v>44861.52505787037</v>
      </c>
      <c r="C368" s="1" t="n">
        <v>46094</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1987-2024</t>
        </is>
      </c>
      <c r="B369" s="1" t="n">
        <v>45308.61152777778</v>
      </c>
      <c r="C369" s="1" t="n">
        <v>46094</v>
      </c>
      <c r="D369" t="inlineStr">
        <is>
          <t>KALMAR LÄN</t>
        </is>
      </c>
      <c r="E369" t="inlineStr">
        <is>
          <t>VIMMERBY</t>
        </is>
      </c>
      <c r="G369" t="n">
        <v>3</v>
      </c>
      <c r="H369" t="n">
        <v>0</v>
      </c>
      <c r="I369" t="n">
        <v>0</v>
      </c>
      <c r="J369" t="n">
        <v>0</v>
      </c>
      <c r="K369" t="n">
        <v>0</v>
      </c>
      <c r="L369" t="n">
        <v>0</v>
      </c>
      <c r="M369" t="n">
        <v>0</v>
      </c>
      <c r="N369" t="n">
        <v>0</v>
      </c>
      <c r="O369" t="n">
        <v>0</v>
      </c>
      <c r="P369" t="n">
        <v>0</v>
      </c>
      <c r="Q369" t="n">
        <v>0</v>
      </c>
      <c r="R369" s="2" t="inlineStr"/>
    </row>
    <row r="370" ht="15" customHeight="1">
      <c r="A370" t="inlineStr">
        <is>
          <t>A 39578-2024</t>
        </is>
      </c>
      <c r="B370" s="1" t="n">
        <v>45552.36484953704</v>
      </c>
      <c r="C370" s="1" t="n">
        <v>46094</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24707-2024</t>
        </is>
      </c>
      <c r="B371" s="1" t="n">
        <v>45460.62172453704</v>
      </c>
      <c r="C371" s="1" t="n">
        <v>46094</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21507-2023</t>
        </is>
      </c>
      <c r="B372" s="1" t="n">
        <v>45063.508125</v>
      </c>
      <c r="C372" s="1" t="n">
        <v>46094</v>
      </c>
      <c r="D372" t="inlineStr">
        <is>
          <t>KALMAR LÄN</t>
        </is>
      </c>
      <c r="E372" t="inlineStr">
        <is>
          <t>VIMMERBY</t>
        </is>
      </c>
      <c r="G372" t="n">
        <v>2.8</v>
      </c>
      <c r="H372" t="n">
        <v>0</v>
      </c>
      <c r="I372" t="n">
        <v>0</v>
      </c>
      <c r="J372" t="n">
        <v>0</v>
      </c>
      <c r="K372" t="n">
        <v>0</v>
      </c>
      <c r="L372" t="n">
        <v>0</v>
      </c>
      <c r="M372" t="n">
        <v>0</v>
      </c>
      <c r="N372" t="n">
        <v>0</v>
      </c>
      <c r="O372" t="n">
        <v>0</v>
      </c>
      <c r="P372" t="n">
        <v>0</v>
      </c>
      <c r="Q372" t="n">
        <v>0</v>
      </c>
      <c r="R372" s="2" t="inlineStr"/>
    </row>
    <row r="373" ht="15" customHeight="1">
      <c r="A373" t="inlineStr">
        <is>
          <t>A 57189-2022</t>
        </is>
      </c>
      <c r="B373" s="1" t="n">
        <v>44895.62296296296</v>
      </c>
      <c r="C373" s="1" t="n">
        <v>46094</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48673-2021</t>
        </is>
      </c>
      <c r="B374" s="1" t="n">
        <v>44452</v>
      </c>
      <c r="C374" s="1" t="n">
        <v>46094</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14248-2023</t>
        </is>
      </c>
      <c r="B375" s="1" t="n">
        <v>45009</v>
      </c>
      <c r="C375" s="1" t="n">
        <v>46094</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12480-2024</t>
        </is>
      </c>
      <c r="B376" s="1" t="n">
        <v>45379</v>
      </c>
      <c r="C376" s="1" t="n">
        <v>46094</v>
      </c>
      <c r="D376" t="inlineStr">
        <is>
          <t>KALMAR LÄN</t>
        </is>
      </c>
      <c r="E376" t="inlineStr">
        <is>
          <t>VIMMERBY</t>
        </is>
      </c>
      <c r="G376" t="n">
        <v>2.8</v>
      </c>
      <c r="H376" t="n">
        <v>0</v>
      </c>
      <c r="I376" t="n">
        <v>0</v>
      </c>
      <c r="J376" t="n">
        <v>0</v>
      </c>
      <c r="K376" t="n">
        <v>0</v>
      </c>
      <c r="L376" t="n">
        <v>0</v>
      </c>
      <c r="M376" t="n">
        <v>0</v>
      </c>
      <c r="N376" t="n">
        <v>0</v>
      </c>
      <c r="O376" t="n">
        <v>0</v>
      </c>
      <c r="P376" t="n">
        <v>0</v>
      </c>
      <c r="Q376" t="n">
        <v>0</v>
      </c>
      <c r="R376" s="2" t="inlineStr"/>
    </row>
    <row r="377" ht="15" customHeight="1">
      <c r="A377" t="inlineStr">
        <is>
          <t>A 58724-2024</t>
        </is>
      </c>
      <c r="B377" s="1" t="n">
        <v>45635.66409722222</v>
      </c>
      <c r="C377" s="1" t="n">
        <v>46094</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25792-2025</t>
        </is>
      </c>
      <c r="B378" s="1" t="n">
        <v>45804.39141203704</v>
      </c>
      <c r="C378" s="1" t="n">
        <v>46094</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26039-2025</t>
        </is>
      </c>
      <c r="B379" s="1" t="n">
        <v>45804.6953587963</v>
      </c>
      <c r="C379" s="1" t="n">
        <v>46094</v>
      </c>
      <c r="D379" t="inlineStr">
        <is>
          <t>KALMAR LÄN</t>
        </is>
      </c>
      <c r="E379" t="inlineStr">
        <is>
          <t>VIMMERBY</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31056-2022</t>
        </is>
      </c>
      <c r="B380" s="1" t="n">
        <v>44769.45805555556</v>
      </c>
      <c r="C380" s="1" t="n">
        <v>46094</v>
      </c>
      <c r="D380" t="inlineStr">
        <is>
          <t>KALMAR LÄN</t>
        </is>
      </c>
      <c r="E380" t="inlineStr">
        <is>
          <t>VIMMERBY</t>
        </is>
      </c>
      <c r="G380" t="n">
        <v>2</v>
      </c>
      <c r="H380" t="n">
        <v>0</v>
      </c>
      <c r="I380" t="n">
        <v>0</v>
      </c>
      <c r="J380" t="n">
        <v>0</v>
      </c>
      <c r="K380" t="n">
        <v>0</v>
      </c>
      <c r="L380" t="n">
        <v>0</v>
      </c>
      <c r="M380" t="n">
        <v>0</v>
      </c>
      <c r="N380" t="n">
        <v>0</v>
      </c>
      <c r="O380" t="n">
        <v>0</v>
      </c>
      <c r="P380" t="n">
        <v>0</v>
      </c>
      <c r="Q380" t="n">
        <v>0</v>
      </c>
      <c r="R380" s="2" t="inlineStr"/>
    </row>
    <row r="381" ht="15" customHeight="1">
      <c r="A381" t="inlineStr">
        <is>
          <t>A 33383-2023</t>
        </is>
      </c>
      <c r="B381" s="1" t="n">
        <v>45128.58414351852</v>
      </c>
      <c r="C381" s="1" t="n">
        <v>46094</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38604-2025</t>
        </is>
      </c>
      <c r="B382" s="1" t="n">
        <v>45884.50613425926</v>
      </c>
      <c r="C382" s="1" t="n">
        <v>46094</v>
      </c>
      <c r="D382" t="inlineStr">
        <is>
          <t>KALMAR LÄN</t>
        </is>
      </c>
      <c r="E382" t="inlineStr">
        <is>
          <t>VIMMERBY</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40828-2023</t>
        </is>
      </c>
      <c r="B383" s="1" t="n">
        <v>45171.96248842592</v>
      </c>
      <c r="C383" s="1" t="n">
        <v>46094</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26046-2025</t>
        </is>
      </c>
      <c r="B384" s="1" t="n">
        <v>45804.708125</v>
      </c>
      <c r="C384" s="1" t="n">
        <v>46094</v>
      </c>
      <c r="D384" t="inlineStr">
        <is>
          <t>KALMAR LÄN</t>
        </is>
      </c>
      <c r="E384" t="inlineStr">
        <is>
          <t>VIMMERBY</t>
        </is>
      </c>
      <c r="F384" t="inlineStr">
        <is>
          <t>Sveaskog</t>
        </is>
      </c>
      <c r="G384" t="n">
        <v>5.1</v>
      </c>
      <c r="H384" t="n">
        <v>0</v>
      </c>
      <c r="I384" t="n">
        <v>0</v>
      </c>
      <c r="J384" t="n">
        <v>0</v>
      </c>
      <c r="K384" t="n">
        <v>0</v>
      </c>
      <c r="L384" t="n">
        <v>0</v>
      </c>
      <c r="M384" t="n">
        <v>0</v>
      </c>
      <c r="N384" t="n">
        <v>0</v>
      </c>
      <c r="O384" t="n">
        <v>0</v>
      </c>
      <c r="P384" t="n">
        <v>0</v>
      </c>
      <c r="Q384" t="n">
        <v>0</v>
      </c>
      <c r="R384" s="2" t="inlineStr"/>
    </row>
    <row r="385" ht="15" customHeight="1">
      <c r="A385" t="inlineStr">
        <is>
          <t>A 26124-2025</t>
        </is>
      </c>
      <c r="B385" s="1" t="n">
        <v>45805.39247685186</v>
      </c>
      <c r="C385" s="1" t="n">
        <v>46094</v>
      </c>
      <c r="D385" t="inlineStr">
        <is>
          <t>KALMAR LÄN</t>
        </is>
      </c>
      <c r="E385" t="inlineStr">
        <is>
          <t>VIMMERBY</t>
        </is>
      </c>
      <c r="G385" t="n">
        <v>6.6</v>
      </c>
      <c r="H385" t="n">
        <v>0</v>
      </c>
      <c r="I385" t="n">
        <v>0</v>
      </c>
      <c r="J385" t="n">
        <v>0</v>
      </c>
      <c r="K385" t="n">
        <v>0</v>
      </c>
      <c r="L385" t="n">
        <v>0</v>
      </c>
      <c r="M385" t="n">
        <v>0</v>
      </c>
      <c r="N385" t="n">
        <v>0</v>
      </c>
      <c r="O385" t="n">
        <v>0</v>
      </c>
      <c r="P385" t="n">
        <v>0</v>
      </c>
      <c r="Q385" t="n">
        <v>0</v>
      </c>
      <c r="R385" s="2" t="inlineStr"/>
    </row>
    <row r="386" ht="15" customHeight="1">
      <c r="A386" t="inlineStr">
        <is>
          <t>A 40095-2022</t>
        </is>
      </c>
      <c r="B386" s="1" t="n">
        <v>44820</v>
      </c>
      <c r="C386" s="1" t="n">
        <v>46094</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61861-2024</t>
        </is>
      </c>
      <c r="B387" s="1" t="n">
        <v>45650.37370370371</v>
      </c>
      <c r="C387" s="1" t="n">
        <v>46094</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50085-2023</t>
        </is>
      </c>
      <c r="B388" s="1" t="n">
        <v>45215.5959375</v>
      </c>
      <c r="C388" s="1" t="n">
        <v>46094</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50087-2023</t>
        </is>
      </c>
      <c r="B389" s="1" t="n">
        <v>45215.59743055556</v>
      </c>
      <c r="C389" s="1" t="n">
        <v>46094</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8167-2024</t>
        </is>
      </c>
      <c r="B390" s="1" t="n">
        <v>45351.6062962963</v>
      </c>
      <c r="C390" s="1" t="n">
        <v>46094</v>
      </c>
      <c r="D390" t="inlineStr">
        <is>
          <t>KALMAR LÄN</t>
        </is>
      </c>
      <c r="E390" t="inlineStr">
        <is>
          <t>VIMMERBY</t>
        </is>
      </c>
      <c r="G390" t="n">
        <v>3.8</v>
      </c>
      <c r="H390" t="n">
        <v>0</v>
      </c>
      <c r="I390" t="n">
        <v>0</v>
      </c>
      <c r="J390" t="n">
        <v>0</v>
      </c>
      <c r="K390" t="n">
        <v>0</v>
      </c>
      <c r="L390" t="n">
        <v>0</v>
      </c>
      <c r="M390" t="n">
        <v>0</v>
      </c>
      <c r="N390" t="n">
        <v>0</v>
      </c>
      <c r="O390" t="n">
        <v>0</v>
      </c>
      <c r="P390" t="n">
        <v>0</v>
      </c>
      <c r="Q390" t="n">
        <v>0</v>
      </c>
      <c r="R390" s="2" t="inlineStr"/>
    </row>
    <row r="391" ht="15" customHeight="1">
      <c r="A391" t="inlineStr">
        <is>
          <t>A 26207-2025</t>
        </is>
      </c>
      <c r="B391" s="1" t="n">
        <v>45805.52983796296</v>
      </c>
      <c r="C391" s="1" t="n">
        <v>46094</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8650-2022</t>
        </is>
      </c>
      <c r="B392" s="1" t="n">
        <v>44613</v>
      </c>
      <c r="C392" s="1" t="n">
        <v>46094</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25830-2025</t>
        </is>
      </c>
      <c r="B393" s="1" t="n">
        <v>45804.44519675926</v>
      </c>
      <c r="C393" s="1" t="n">
        <v>46094</v>
      </c>
      <c r="D393" t="inlineStr">
        <is>
          <t>KALMAR LÄN</t>
        </is>
      </c>
      <c r="E393" t="inlineStr">
        <is>
          <t>VIMMERBY</t>
        </is>
      </c>
      <c r="G393" t="n">
        <v>4.9</v>
      </c>
      <c r="H393" t="n">
        <v>0</v>
      </c>
      <c r="I393" t="n">
        <v>0</v>
      </c>
      <c r="J393" t="n">
        <v>0</v>
      </c>
      <c r="K393" t="n">
        <v>0</v>
      </c>
      <c r="L393" t="n">
        <v>0</v>
      </c>
      <c r="M393" t="n">
        <v>0</v>
      </c>
      <c r="N393" t="n">
        <v>0</v>
      </c>
      <c r="O393" t="n">
        <v>0</v>
      </c>
      <c r="P393" t="n">
        <v>0</v>
      </c>
      <c r="Q393" t="n">
        <v>0</v>
      </c>
      <c r="R393" s="2" t="inlineStr"/>
    </row>
    <row r="394" ht="15" customHeight="1">
      <c r="A394" t="inlineStr">
        <is>
          <t>A 33340-2023</t>
        </is>
      </c>
      <c r="B394" s="1" t="n">
        <v>45128.37305555555</v>
      </c>
      <c r="C394" s="1" t="n">
        <v>46094</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26254-2025</t>
        </is>
      </c>
      <c r="B395" s="1" t="n">
        <v>45805</v>
      </c>
      <c r="C395" s="1" t="n">
        <v>46094</v>
      </c>
      <c r="D395" t="inlineStr">
        <is>
          <t>KALMAR LÄN</t>
        </is>
      </c>
      <c r="E395" t="inlineStr">
        <is>
          <t>VIMMERBY</t>
        </is>
      </c>
      <c r="G395" t="n">
        <v>2</v>
      </c>
      <c r="H395" t="n">
        <v>0</v>
      </c>
      <c r="I395" t="n">
        <v>0</v>
      </c>
      <c r="J395" t="n">
        <v>0</v>
      </c>
      <c r="K395" t="n">
        <v>0</v>
      </c>
      <c r="L395" t="n">
        <v>0</v>
      </c>
      <c r="M395" t="n">
        <v>0</v>
      </c>
      <c r="N395" t="n">
        <v>0</v>
      </c>
      <c r="O395" t="n">
        <v>0</v>
      </c>
      <c r="P395" t="n">
        <v>0</v>
      </c>
      <c r="Q395" t="n">
        <v>0</v>
      </c>
      <c r="R395" s="2" t="inlineStr"/>
    </row>
    <row r="396" ht="15" customHeight="1">
      <c r="A396" t="inlineStr">
        <is>
          <t>A 44423-2023</t>
        </is>
      </c>
      <c r="B396" s="1" t="n">
        <v>45189</v>
      </c>
      <c r="C396" s="1" t="n">
        <v>46094</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37323-2024</t>
        </is>
      </c>
      <c r="B397" s="1" t="n">
        <v>45540.50098379629</v>
      </c>
      <c r="C397" s="1" t="n">
        <v>46094</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2604-2025</t>
        </is>
      </c>
      <c r="B398" s="1" t="n">
        <v>45674.74094907408</v>
      </c>
      <c r="C398" s="1" t="n">
        <v>46094</v>
      </c>
      <c r="D398" t="inlineStr">
        <is>
          <t>KALMAR LÄN</t>
        </is>
      </c>
      <c r="E398" t="inlineStr">
        <is>
          <t>VIMMERBY</t>
        </is>
      </c>
      <c r="G398" t="n">
        <v>7.6</v>
      </c>
      <c r="H398" t="n">
        <v>0</v>
      </c>
      <c r="I398" t="n">
        <v>0</v>
      </c>
      <c r="J398" t="n">
        <v>0</v>
      </c>
      <c r="K398" t="n">
        <v>0</v>
      </c>
      <c r="L398" t="n">
        <v>0</v>
      </c>
      <c r="M398" t="n">
        <v>0</v>
      </c>
      <c r="N398" t="n">
        <v>0</v>
      </c>
      <c r="O398" t="n">
        <v>0</v>
      </c>
      <c r="P398" t="n">
        <v>0</v>
      </c>
      <c r="Q398" t="n">
        <v>0</v>
      </c>
      <c r="R398" s="2" t="inlineStr"/>
    </row>
    <row r="399" ht="15" customHeight="1">
      <c r="A399" t="inlineStr">
        <is>
          <t>A 37192-2024</t>
        </is>
      </c>
      <c r="B399" s="1" t="n">
        <v>45539.66027777778</v>
      </c>
      <c r="C399" s="1" t="n">
        <v>46094</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42429-2024</t>
        </is>
      </c>
      <c r="B400" s="1" t="n">
        <v>45565.40657407408</v>
      </c>
      <c r="C400" s="1" t="n">
        <v>46094</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18501-2024</t>
        </is>
      </c>
      <c r="B401" s="1" t="n">
        <v>45425.57538194444</v>
      </c>
      <c r="C401" s="1" t="n">
        <v>46094</v>
      </c>
      <c r="D401" t="inlineStr">
        <is>
          <t>KALMAR LÄN</t>
        </is>
      </c>
      <c r="E401" t="inlineStr">
        <is>
          <t>VIMMERBY</t>
        </is>
      </c>
      <c r="G401" t="n">
        <v>2</v>
      </c>
      <c r="H401" t="n">
        <v>0</v>
      </c>
      <c r="I401" t="n">
        <v>0</v>
      </c>
      <c r="J401" t="n">
        <v>0</v>
      </c>
      <c r="K401" t="n">
        <v>0</v>
      </c>
      <c r="L401" t="n">
        <v>0</v>
      </c>
      <c r="M401" t="n">
        <v>0</v>
      </c>
      <c r="N401" t="n">
        <v>0</v>
      </c>
      <c r="O401" t="n">
        <v>0</v>
      </c>
      <c r="P401" t="n">
        <v>0</v>
      </c>
      <c r="Q401" t="n">
        <v>0</v>
      </c>
      <c r="R401" s="2" t="inlineStr"/>
    </row>
    <row r="402" ht="15" customHeight="1">
      <c r="A402" t="inlineStr">
        <is>
          <t>A 29180-2024</t>
        </is>
      </c>
      <c r="B402" s="1" t="n">
        <v>45482.54108796296</v>
      </c>
      <c r="C402" s="1" t="n">
        <v>46094</v>
      </c>
      <c r="D402" t="inlineStr">
        <is>
          <t>KALMAR LÄN</t>
        </is>
      </c>
      <c r="E402" t="inlineStr">
        <is>
          <t>VIMMERBY</t>
        </is>
      </c>
      <c r="G402" t="n">
        <v>3.8</v>
      </c>
      <c r="H402" t="n">
        <v>0</v>
      </c>
      <c r="I402" t="n">
        <v>0</v>
      </c>
      <c r="J402" t="n">
        <v>0</v>
      </c>
      <c r="K402" t="n">
        <v>0</v>
      </c>
      <c r="L402" t="n">
        <v>0</v>
      </c>
      <c r="M402" t="n">
        <v>0</v>
      </c>
      <c r="N402" t="n">
        <v>0</v>
      </c>
      <c r="O402" t="n">
        <v>0</v>
      </c>
      <c r="P402" t="n">
        <v>0</v>
      </c>
      <c r="Q402" t="n">
        <v>0</v>
      </c>
      <c r="R402" s="2" t="inlineStr"/>
    </row>
    <row r="403" ht="15" customHeight="1">
      <c r="A403" t="inlineStr">
        <is>
          <t>A 45846-2023</t>
        </is>
      </c>
      <c r="B403" s="1" t="n">
        <v>45195.58452546296</v>
      </c>
      <c r="C403" s="1" t="n">
        <v>46094</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27758-2024</t>
        </is>
      </c>
      <c r="B404" s="1" t="n">
        <v>45475.48303240741</v>
      </c>
      <c r="C404" s="1" t="n">
        <v>46094</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13307-2025</t>
        </is>
      </c>
      <c r="B405" s="1" t="n">
        <v>45735.58024305556</v>
      </c>
      <c r="C405" s="1" t="n">
        <v>46094</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16020-2023</t>
        </is>
      </c>
      <c r="B406" s="1" t="n">
        <v>45026.82216435186</v>
      </c>
      <c r="C406" s="1" t="n">
        <v>46094</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55716-2023</t>
        </is>
      </c>
      <c r="B407" s="1" t="n">
        <v>45232</v>
      </c>
      <c r="C407" s="1" t="n">
        <v>46094</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61820-2023</t>
        </is>
      </c>
      <c r="B408" s="1" t="n">
        <v>45266.32614583334</v>
      </c>
      <c r="C408" s="1" t="n">
        <v>46094</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18329-2023</t>
        </is>
      </c>
      <c r="B409" s="1" t="n">
        <v>45041.63380787037</v>
      </c>
      <c r="C409" s="1" t="n">
        <v>46094</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13015-2023</t>
        </is>
      </c>
      <c r="B410" s="1" t="n">
        <v>45002</v>
      </c>
      <c r="C410" s="1" t="n">
        <v>46094</v>
      </c>
      <c r="D410" t="inlineStr">
        <is>
          <t>KALMAR LÄN</t>
        </is>
      </c>
      <c r="E410" t="inlineStr">
        <is>
          <t>VIMMERBY</t>
        </is>
      </c>
      <c r="G410" t="n">
        <v>3.2</v>
      </c>
      <c r="H410" t="n">
        <v>0</v>
      </c>
      <c r="I410" t="n">
        <v>0</v>
      </c>
      <c r="J410" t="n">
        <v>0</v>
      </c>
      <c r="K410" t="n">
        <v>0</v>
      </c>
      <c r="L410" t="n">
        <v>0</v>
      </c>
      <c r="M410" t="n">
        <v>0</v>
      </c>
      <c r="N410" t="n">
        <v>0</v>
      </c>
      <c r="O410" t="n">
        <v>0</v>
      </c>
      <c r="P410" t="n">
        <v>0</v>
      </c>
      <c r="Q410" t="n">
        <v>0</v>
      </c>
      <c r="R410" s="2" t="inlineStr"/>
    </row>
    <row r="411" ht="15" customHeight="1">
      <c r="A411" t="inlineStr">
        <is>
          <t>A 45560-2021</t>
        </is>
      </c>
      <c r="B411" s="1" t="n">
        <v>44440</v>
      </c>
      <c r="C411" s="1" t="n">
        <v>46094</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40256-2024</t>
        </is>
      </c>
      <c r="B412" s="1" t="n">
        <v>45554.62944444444</v>
      </c>
      <c r="C412" s="1" t="n">
        <v>46094</v>
      </c>
      <c r="D412" t="inlineStr">
        <is>
          <t>KALMAR LÄN</t>
        </is>
      </c>
      <c r="E412" t="inlineStr">
        <is>
          <t>VIMMERBY</t>
        </is>
      </c>
      <c r="G412" t="n">
        <v>0.9</v>
      </c>
      <c r="H412" t="n">
        <v>0</v>
      </c>
      <c r="I412" t="n">
        <v>0</v>
      </c>
      <c r="J412" t="n">
        <v>0</v>
      </c>
      <c r="K412" t="n">
        <v>0</v>
      </c>
      <c r="L412" t="n">
        <v>0</v>
      </c>
      <c r="M412" t="n">
        <v>0</v>
      </c>
      <c r="N412" t="n">
        <v>0</v>
      </c>
      <c r="O412" t="n">
        <v>0</v>
      </c>
      <c r="P412" t="n">
        <v>0</v>
      </c>
      <c r="Q412" t="n">
        <v>0</v>
      </c>
      <c r="R412" s="2" t="inlineStr"/>
    </row>
    <row r="413" ht="15" customHeight="1">
      <c r="A413" t="inlineStr">
        <is>
          <t>A 58104-2024</t>
        </is>
      </c>
      <c r="B413" s="1" t="n">
        <v>45632.37459490741</v>
      </c>
      <c r="C413" s="1" t="n">
        <v>46094</v>
      </c>
      <c r="D413" t="inlineStr">
        <is>
          <t>KALMAR LÄN</t>
        </is>
      </c>
      <c r="E413" t="inlineStr">
        <is>
          <t>VIMMERBY</t>
        </is>
      </c>
      <c r="G413" t="n">
        <v>5</v>
      </c>
      <c r="H413" t="n">
        <v>0</v>
      </c>
      <c r="I413" t="n">
        <v>0</v>
      </c>
      <c r="J413" t="n">
        <v>0</v>
      </c>
      <c r="K413" t="n">
        <v>0</v>
      </c>
      <c r="L413" t="n">
        <v>0</v>
      </c>
      <c r="M413" t="n">
        <v>0</v>
      </c>
      <c r="N413" t="n">
        <v>0</v>
      </c>
      <c r="O413" t="n">
        <v>0</v>
      </c>
      <c r="P413" t="n">
        <v>0</v>
      </c>
      <c r="Q413" t="n">
        <v>0</v>
      </c>
      <c r="R413" s="2" t="inlineStr"/>
    </row>
    <row r="414" ht="15" customHeight="1">
      <c r="A414" t="inlineStr">
        <is>
          <t>A 29186-2024</t>
        </is>
      </c>
      <c r="B414" s="1" t="n">
        <v>45482.54844907407</v>
      </c>
      <c r="C414" s="1" t="n">
        <v>46094</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29726-2025</t>
        </is>
      </c>
      <c r="B415" s="1" t="n">
        <v>45825.57805555555</v>
      </c>
      <c r="C415" s="1" t="n">
        <v>46094</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36259-2022</t>
        </is>
      </c>
      <c r="B416" s="1" t="n">
        <v>44803.59118055556</v>
      </c>
      <c r="C416" s="1" t="n">
        <v>46094</v>
      </c>
      <c r="D416" t="inlineStr">
        <is>
          <t>KALMAR LÄN</t>
        </is>
      </c>
      <c r="E416" t="inlineStr">
        <is>
          <t>VIMMERBY</t>
        </is>
      </c>
      <c r="G416" t="n">
        <v>3.9</v>
      </c>
      <c r="H416" t="n">
        <v>0</v>
      </c>
      <c r="I416" t="n">
        <v>0</v>
      </c>
      <c r="J416" t="n">
        <v>0</v>
      </c>
      <c r="K416" t="n">
        <v>0</v>
      </c>
      <c r="L416" t="n">
        <v>0</v>
      </c>
      <c r="M416" t="n">
        <v>0</v>
      </c>
      <c r="N416" t="n">
        <v>0</v>
      </c>
      <c r="O416" t="n">
        <v>0</v>
      </c>
      <c r="P416" t="n">
        <v>0</v>
      </c>
      <c r="Q416" t="n">
        <v>0</v>
      </c>
      <c r="R416" s="2" t="inlineStr"/>
    </row>
    <row r="417" ht="15" customHeight="1">
      <c r="A417" t="inlineStr">
        <is>
          <t>A 43034-2024</t>
        </is>
      </c>
      <c r="B417" s="1" t="n">
        <v>45567.42011574074</v>
      </c>
      <c r="C417" s="1" t="n">
        <v>46094</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50993-2022</t>
        </is>
      </c>
      <c r="B418" s="1" t="n">
        <v>44867</v>
      </c>
      <c r="C418" s="1" t="n">
        <v>46094</v>
      </c>
      <c r="D418" t="inlineStr">
        <is>
          <t>KALMAR LÄN</t>
        </is>
      </c>
      <c r="E418" t="inlineStr">
        <is>
          <t>VIMMERBY</t>
        </is>
      </c>
      <c r="G418" t="n">
        <v>1.7</v>
      </c>
      <c r="H418" t="n">
        <v>0</v>
      </c>
      <c r="I418" t="n">
        <v>0</v>
      </c>
      <c r="J418" t="n">
        <v>0</v>
      </c>
      <c r="K418" t="n">
        <v>0</v>
      </c>
      <c r="L418" t="n">
        <v>0</v>
      </c>
      <c r="M418" t="n">
        <v>0</v>
      </c>
      <c r="N418" t="n">
        <v>0</v>
      </c>
      <c r="O418" t="n">
        <v>0</v>
      </c>
      <c r="P418" t="n">
        <v>0</v>
      </c>
      <c r="Q418" t="n">
        <v>0</v>
      </c>
      <c r="R418" s="2" t="inlineStr"/>
    </row>
    <row r="419" ht="15" customHeight="1">
      <c r="A419" t="inlineStr">
        <is>
          <t>A 28286-2025</t>
        </is>
      </c>
      <c r="B419" s="1" t="n">
        <v>45818.58993055556</v>
      </c>
      <c r="C419" s="1" t="n">
        <v>46094</v>
      </c>
      <c r="D419" t="inlineStr">
        <is>
          <t>KALMAR LÄN</t>
        </is>
      </c>
      <c r="E419" t="inlineStr">
        <is>
          <t>VIMMERBY</t>
        </is>
      </c>
      <c r="F419" t="inlineStr">
        <is>
          <t>Sveaskog</t>
        </is>
      </c>
      <c r="G419" t="n">
        <v>8</v>
      </c>
      <c r="H419" t="n">
        <v>0</v>
      </c>
      <c r="I419" t="n">
        <v>0</v>
      </c>
      <c r="J419" t="n">
        <v>0</v>
      </c>
      <c r="K419" t="n">
        <v>0</v>
      </c>
      <c r="L419" t="n">
        <v>0</v>
      </c>
      <c r="M419" t="n">
        <v>0</v>
      </c>
      <c r="N419" t="n">
        <v>0</v>
      </c>
      <c r="O419" t="n">
        <v>0</v>
      </c>
      <c r="P419" t="n">
        <v>0</v>
      </c>
      <c r="Q419" t="n">
        <v>0</v>
      </c>
      <c r="R419" s="2" t="inlineStr"/>
    </row>
    <row r="420" ht="15" customHeight="1">
      <c r="A420" t="inlineStr">
        <is>
          <t>A 3902-2022</t>
        </is>
      </c>
      <c r="B420" s="1" t="n">
        <v>44587.48847222222</v>
      </c>
      <c r="C420" s="1" t="n">
        <v>46094</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28282-2025</t>
        </is>
      </c>
      <c r="B421" s="1" t="n">
        <v>45818.58769675926</v>
      </c>
      <c r="C421" s="1" t="n">
        <v>46094</v>
      </c>
      <c r="D421" t="inlineStr">
        <is>
          <t>KALMAR LÄN</t>
        </is>
      </c>
      <c r="E421" t="inlineStr">
        <is>
          <t>VIMMERBY</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28294-2025</t>
        </is>
      </c>
      <c r="B422" s="1" t="n">
        <v>45818.595625</v>
      </c>
      <c r="C422" s="1" t="n">
        <v>46094</v>
      </c>
      <c r="D422" t="inlineStr">
        <is>
          <t>KALMAR LÄN</t>
        </is>
      </c>
      <c r="E422" t="inlineStr">
        <is>
          <t>VIMMERBY</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28290-2025</t>
        </is>
      </c>
      <c r="B423" s="1" t="n">
        <v>45818.59261574074</v>
      </c>
      <c r="C423" s="1" t="n">
        <v>46094</v>
      </c>
      <c r="D423" t="inlineStr">
        <is>
          <t>KALMAR LÄN</t>
        </is>
      </c>
      <c r="E423" t="inlineStr">
        <is>
          <t>VIMMERBY</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30070-2023</t>
        </is>
      </c>
      <c r="B424" s="1" t="n">
        <v>45110.4275</v>
      </c>
      <c r="C424" s="1" t="n">
        <v>46094</v>
      </c>
      <c r="D424" t="inlineStr">
        <is>
          <t>KALMAR LÄN</t>
        </is>
      </c>
      <c r="E424" t="inlineStr">
        <is>
          <t>VIMMERBY</t>
        </is>
      </c>
      <c r="G424" t="n">
        <v>1.6</v>
      </c>
      <c r="H424" t="n">
        <v>0</v>
      </c>
      <c r="I424" t="n">
        <v>0</v>
      </c>
      <c r="J424" t="n">
        <v>0</v>
      </c>
      <c r="K424" t="n">
        <v>0</v>
      </c>
      <c r="L424" t="n">
        <v>0</v>
      </c>
      <c r="M424" t="n">
        <v>0</v>
      </c>
      <c r="N424" t="n">
        <v>0</v>
      </c>
      <c r="O424" t="n">
        <v>0</v>
      </c>
      <c r="P424" t="n">
        <v>0</v>
      </c>
      <c r="Q424" t="n">
        <v>0</v>
      </c>
      <c r="R424" s="2" t="inlineStr"/>
    </row>
    <row r="425" ht="15" customHeight="1">
      <c r="A425" t="inlineStr">
        <is>
          <t>A 54787-2023</t>
        </is>
      </c>
      <c r="B425" s="1" t="n">
        <v>45236</v>
      </c>
      <c r="C425" s="1" t="n">
        <v>46094</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28280-2025</t>
        </is>
      </c>
      <c r="B426" s="1" t="n">
        <v>45818.5862037037</v>
      </c>
      <c r="C426" s="1" t="n">
        <v>46094</v>
      </c>
      <c r="D426" t="inlineStr">
        <is>
          <t>KALMAR LÄN</t>
        </is>
      </c>
      <c r="E426" t="inlineStr">
        <is>
          <t>VIMMERBY</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32614-2023</t>
        </is>
      </c>
      <c r="B427" s="1" t="n">
        <v>45121</v>
      </c>
      <c r="C427" s="1" t="n">
        <v>46094</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28620-2025</t>
        </is>
      </c>
      <c r="B428" s="1" t="n">
        <v>45819.61060185185</v>
      </c>
      <c r="C428" s="1" t="n">
        <v>46094</v>
      </c>
      <c r="D428" t="inlineStr">
        <is>
          <t>KALMAR LÄN</t>
        </is>
      </c>
      <c r="E428" t="inlineStr">
        <is>
          <t>VIMMERBY</t>
        </is>
      </c>
      <c r="G428" t="n">
        <v>5.6</v>
      </c>
      <c r="H428" t="n">
        <v>0</v>
      </c>
      <c r="I428" t="n">
        <v>0</v>
      </c>
      <c r="J428" t="n">
        <v>0</v>
      </c>
      <c r="K428" t="n">
        <v>0</v>
      </c>
      <c r="L428" t="n">
        <v>0</v>
      </c>
      <c r="M428" t="n">
        <v>0</v>
      </c>
      <c r="N428" t="n">
        <v>0</v>
      </c>
      <c r="O428" t="n">
        <v>0</v>
      </c>
      <c r="P428" t="n">
        <v>0</v>
      </c>
      <c r="Q428" t="n">
        <v>0</v>
      </c>
      <c r="R428" s="2" t="inlineStr"/>
    </row>
    <row r="429" ht="15" customHeight="1">
      <c r="A429" t="inlineStr">
        <is>
          <t>A 6850-2023</t>
        </is>
      </c>
      <c r="B429" s="1" t="n">
        <v>44967.44255787037</v>
      </c>
      <c r="C429" s="1" t="n">
        <v>46094</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58750-2022</t>
        </is>
      </c>
      <c r="B430" s="1" t="n">
        <v>44903.33363425926</v>
      </c>
      <c r="C430" s="1" t="n">
        <v>46094</v>
      </c>
      <c r="D430" t="inlineStr">
        <is>
          <t>KALMAR LÄN</t>
        </is>
      </c>
      <c r="E430" t="inlineStr">
        <is>
          <t>VIMMERBY</t>
        </is>
      </c>
      <c r="G430" t="n">
        <v>3.3</v>
      </c>
      <c r="H430" t="n">
        <v>0</v>
      </c>
      <c r="I430" t="n">
        <v>0</v>
      </c>
      <c r="J430" t="n">
        <v>0</v>
      </c>
      <c r="K430" t="n">
        <v>0</v>
      </c>
      <c r="L430" t="n">
        <v>0</v>
      </c>
      <c r="M430" t="n">
        <v>0</v>
      </c>
      <c r="N430" t="n">
        <v>0</v>
      </c>
      <c r="O430" t="n">
        <v>0</v>
      </c>
      <c r="P430" t="n">
        <v>0</v>
      </c>
      <c r="Q430" t="n">
        <v>0</v>
      </c>
      <c r="R430" s="2" t="inlineStr"/>
    </row>
    <row r="431" ht="15" customHeight="1">
      <c r="A431" t="inlineStr">
        <is>
          <t>A 31209-2024</t>
        </is>
      </c>
      <c r="B431" s="1" t="n">
        <v>45503.5658912037</v>
      </c>
      <c r="C431" s="1" t="n">
        <v>46094</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41158-2023</t>
        </is>
      </c>
      <c r="B432" s="1" t="n">
        <v>45174.31395833333</v>
      </c>
      <c r="C432" s="1" t="n">
        <v>46094</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2510-2023</t>
        </is>
      </c>
      <c r="B433" s="1" t="n">
        <v>44943.57309027778</v>
      </c>
      <c r="C433" s="1" t="n">
        <v>46094</v>
      </c>
      <c r="D433" t="inlineStr">
        <is>
          <t>KALMAR LÄN</t>
        </is>
      </c>
      <c r="E433" t="inlineStr">
        <is>
          <t>VIMMERBY</t>
        </is>
      </c>
      <c r="G433" t="n">
        <v>8.6</v>
      </c>
      <c r="H433" t="n">
        <v>0</v>
      </c>
      <c r="I433" t="n">
        <v>0</v>
      </c>
      <c r="J433" t="n">
        <v>0</v>
      </c>
      <c r="K433" t="n">
        <v>0</v>
      </c>
      <c r="L433" t="n">
        <v>0</v>
      </c>
      <c r="M433" t="n">
        <v>0</v>
      </c>
      <c r="N433" t="n">
        <v>0</v>
      </c>
      <c r="O433" t="n">
        <v>0</v>
      </c>
      <c r="P433" t="n">
        <v>0</v>
      </c>
      <c r="Q433" t="n">
        <v>0</v>
      </c>
      <c r="R433" s="2" t="inlineStr"/>
    </row>
    <row r="434" ht="15" customHeight="1">
      <c r="A434" t="inlineStr">
        <is>
          <t>A 4527-2023</t>
        </is>
      </c>
      <c r="B434" s="1" t="n">
        <v>44956</v>
      </c>
      <c r="C434" s="1" t="n">
        <v>46094</v>
      </c>
      <c r="D434" t="inlineStr">
        <is>
          <t>KALMAR LÄN</t>
        </is>
      </c>
      <c r="E434" t="inlineStr">
        <is>
          <t>VIMMERBY</t>
        </is>
      </c>
      <c r="F434" t="inlineStr">
        <is>
          <t>Kommuner</t>
        </is>
      </c>
      <c r="G434" t="n">
        <v>8.5</v>
      </c>
      <c r="H434" t="n">
        <v>0</v>
      </c>
      <c r="I434" t="n">
        <v>0</v>
      </c>
      <c r="J434" t="n">
        <v>0</v>
      </c>
      <c r="K434" t="n">
        <v>0</v>
      </c>
      <c r="L434" t="n">
        <v>0</v>
      </c>
      <c r="M434" t="n">
        <v>0</v>
      </c>
      <c r="N434" t="n">
        <v>0</v>
      </c>
      <c r="O434" t="n">
        <v>0</v>
      </c>
      <c r="P434" t="n">
        <v>0</v>
      </c>
      <c r="Q434" t="n">
        <v>0</v>
      </c>
      <c r="R434" s="2" t="inlineStr"/>
    </row>
    <row r="435" ht="15" customHeight="1">
      <c r="A435" t="inlineStr">
        <is>
          <t>A 12586-2021</t>
        </is>
      </c>
      <c r="B435" s="1" t="n">
        <v>44270.38002314815</v>
      </c>
      <c r="C435" s="1" t="n">
        <v>46094</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28712-2025</t>
        </is>
      </c>
      <c r="B436" s="1" t="n">
        <v>45820.33708333333</v>
      </c>
      <c r="C436" s="1" t="n">
        <v>46094</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28714-2025</t>
        </is>
      </c>
      <c r="B437" s="1" t="n">
        <v>45820.34128472222</v>
      </c>
      <c r="C437" s="1" t="n">
        <v>46094</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5864-2022</t>
        </is>
      </c>
      <c r="B438" s="1" t="n">
        <v>44596</v>
      </c>
      <c r="C438" s="1" t="n">
        <v>46094</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3269-2024</t>
        </is>
      </c>
      <c r="B439" s="1" t="n">
        <v>45317.40372685185</v>
      </c>
      <c r="C439" s="1" t="n">
        <v>46094</v>
      </c>
      <c r="D439" t="inlineStr">
        <is>
          <t>KALMAR LÄN</t>
        </is>
      </c>
      <c r="E439" t="inlineStr">
        <is>
          <t>VIMMERBY</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28713-2025</t>
        </is>
      </c>
      <c r="B440" s="1" t="n">
        <v>45820.33930555556</v>
      </c>
      <c r="C440" s="1" t="n">
        <v>46094</v>
      </c>
      <c r="D440" t="inlineStr">
        <is>
          <t>KALMAR LÄN</t>
        </is>
      </c>
      <c r="E440" t="inlineStr">
        <is>
          <t>VIMMERBY</t>
        </is>
      </c>
      <c r="G440" t="n">
        <v>2.3</v>
      </c>
      <c r="H440" t="n">
        <v>0</v>
      </c>
      <c r="I440" t="n">
        <v>0</v>
      </c>
      <c r="J440" t="n">
        <v>0</v>
      </c>
      <c r="K440" t="n">
        <v>0</v>
      </c>
      <c r="L440" t="n">
        <v>0</v>
      </c>
      <c r="M440" t="n">
        <v>0</v>
      </c>
      <c r="N440" t="n">
        <v>0</v>
      </c>
      <c r="O440" t="n">
        <v>0</v>
      </c>
      <c r="P440" t="n">
        <v>0</v>
      </c>
      <c r="Q440" t="n">
        <v>0</v>
      </c>
      <c r="R440" s="2" t="inlineStr"/>
    </row>
    <row r="441" ht="15" customHeight="1">
      <c r="A441" t="inlineStr">
        <is>
          <t>A 48120-2022</t>
        </is>
      </c>
      <c r="B441" s="1" t="n">
        <v>44857.65989583333</v>
      </c>
      <c r="C441" s="1" t="n">
        <v>46094</v>
      </c>
      <c r="D441" t="inlineStr">
        <is>
          <t>KALMAR LÄN</t>
        </is>
      </c>
      <c r="E441" t="inlineStr">
        <is>
          <t>VIMMERBY</t>
        </is>
      </c>
      <c r="G441" t="n">
        <v>1.7</v>
      </c>
      <c r="H441" t="n">
        <v>0</v>
      </c>
      <c r="I441" t="n">
        <v>0</v>
      </c>
      <c r="J441" t="n">
        <v>0</v>
      </c>
      <c r="K441" t="n">
        <v>0</v>
      </c>
      <c r="L441" t="n">
        <v>0</v>
      </c>
      <c r="M441" t="n">
        <v>0</v>
      </c>
      <c r="N441" t="n">
        <v>0</v>
      </c>
      <c r="O441" t="n">
        <v>0</v>
      </c>
      <c r="P441" t="n">
        <v>0</v>
      </c>
      <c r="Q441" t="n">
        <v>0</v>
      </c>
      <c r="R441" s="2" t="inlineStr"/>
    </row>
    <row r="442" ht="15" customHeight="1">
      <c r="A442" t="inlineStr">
        <is>
          <t>A 30912-2023</t>
        </is>
      </c>
      <c r="B442" s="1" t="n">
        <v>45113.41633101852</v>
      </c>
      <c r="C442" s="1" t="n">
        <v>46094</v>
      </c>
      <c r="D442" t="inlineStr">
        <is>
          <t>KALMAR LÄN</t>
        </is>
      </c>
      <c r="E442" t="inlineStr">
        <is>
          <t>VIMMERBY</t>
        </is>
      </c>
      <c r="G442" t="n">
        <v>5</v>
      </c>
      <c r="H442" t="n">
        <v>0</v>
      </c>
      <c r="I442" t="n">
        <v>0</v>
      </c>
      <c r="J442" t="n">
        <v>0</v>
      </c>
      <c r="K442" t="n">
        <v>0</v>
      </c>
      <c r="L442" t="n">
        <v>0</v>
      </c>
      <c r="M442" t="n">
        <v>0</v>
      </c>
      <c r="N442" t="n">
        <v>0</v>
      </c>
      <c r="O442" t="n">
        <v>0</v>
      </c>
      <c r="P442" t="n">
        <v>0</v>
      </c>
      <c r="Q442" t="n">
        <v>0</v>
      </c>
      <c r="R442" s="2" t="inlineStr"/>
    </row>
    <row r="443" ht="15" customHeight="1">
      <c r="A443" t="inlineStr">
        <is>
          <t>A 6368-2023</t>
        </is>
      </c>
      <c r="B443" s="1" t="n">
        <v>44965</v>
      </c>
      <c r="C443" s="1" t="n">
        <v>46094</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9416-2024</t>
        </is>
      </c>
      <c r="B444" s="1" t="n">
        <v>45359.44837962963</v>
      </c>
      <c r="C444" s="1" t="n">
        <v>46094</v>
      </c>
      <c r="D444" t="inlineStr">
        <is>
          <t>KALMAR LÄN</t>
        </is>
      </c>
      <c r="E444" t="inlineStr">
        <is>
          <t>VIMMERBY</t>
        </is>
      </c>
      <c r="G444" t="n">
        <v>3.2</v>
      </c>
      <c r="H444" t="n">
        <v>0</v>
      </c>
      <c r="I444" t="n">
        <v>0</v>
      </c>
      <c r="J444" t="n">
        <v>0</v>
      </c>
      <c r="K444" t="n">
        <v>0</v>
      </c>
      <c r="L444" t="n">
        <v>0</v>
      </c>
      <c r="M444" t="n">
        <v>0</v>
      </c>
      <c r="N444" t="n">
        <v>0</v>
      </c>
      <c r="O444" t="n">
        <v>0</v>
      </c>
      <c r="P444" t="n">
        <v>0</v>
      </c>
      <c r="Q444" t="n">
        <v>0</v>
      </c>
      <c r="R444" s="2" t="inlineStr"/>
    </row>
    <row r="445" ht="15" customHeight="1">
      <c r="A445" t="inlineStr">
        <is>
          <t>A 1146-2025</t>
        </is>
      </c>
      <c r="B445" s="1" t="n">
        <v>45666</v>
      </c>
      <c r="C445" s="1" t="n">
        <v>46094</v>
      </c>
      <c r="D445" t="inlineStr">
        <is>
          <t>KALMAR LÄN</t>
        </is>
      </c>
      <c r="E445" t="inlineStr">
        <is>
          <t>VIMMERBY</t>
        </is>
      </c>
      <c r="G445" t="n">
        <v>4</v>
      </c>
      <c r="H445" t="n">
        <v>0</v>
      </c>
      <c r="I445" t="n">
        <v>0</v>
      </c>
      <c r="J445" t="n">
        <v>0</v>
      </c>
      <c r="K445" t="n">
        <v>0</v>
      </c>
      <c r="L445" t="n">
        <v>0</v>
      </c>
      <c r="M445" t="n">
        <v>0</v>
      </c>
      <c r="N445" t="n">
        <v>0</v>
      </c>
      <c r="O445" t="n">
        <v>0</v>
      </c>
      <c r="P445" t="n">
        <v>0</v>
      </c>
      <c r="Q445" t="n">
        <v>0</v>
      </c>
      <c r="R445" s="2" t="inlineStr"/>
    </row>
    <row r="446" ht="15" customHeight="1">
      <c r="A446" t="inlineStr">
        <is>
          <t>A 2797-2023</t>
        </is>
      </c>
      <c r="B446" s="1" t="n">
        <v>44944.71386574074</v>
      </c>
      <c r="C446" s="1" t="n">
        <v>46094</v>
      </c>
      <c r="D446" t="inlineStr">
        <is>
          <t>KALMAR LÄN</t>
        </is>
      </c>
      <c r="E446" t="inlineStr">
        <is>
          <t>VIMMERBY</t>
        </is>
      </c>
      <c r="G446" t="n">
        <v>3.4</v>
      </c>
      <c r="H446" t="n">
        <v>0</v>
      </c>
      <c r="I446" t="n">
        <v>0</v>
      </c>
      <c r="J446" t="n">
        <v>0</v>
      </c>
      <c r="K446" t="n">
        <v>0</v>
      </c>
      <c r="L446" t="n">
        <v>0</v>
      </c>
      <c r="M446" t="n">
        <v>0</v>
      </c>
      <c r="N446" t="n">
        <v>0</v>
      </c>
      <c r="O446" t="n">
        <v>0</v>
      </c>
      <c r="P446" t="n">
        <v>0</v>
      </c>
      <c r="Q446" t="n">
        <v>0</v>
      </c>
      <c r="R446" s="2" t="inlineStr"/>
    </row>
    <row r="447" ht="15" customHeight="1">
      <c r="A447" t="inlineStr">
        <is>
          <t>A 2799-2023</t>
        </is>
      </c>
      <c r="B447" s="1" t="n">
        <v>44944.72100694444</v>
      </c>
      <c r="C447" s="1" t="n">
        <v>46094</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29737-2025</t>
        </is>
      </c>
      <c r="B448" s="1" t="n">
        <v>45825.58672453704</v>
      </c>
      <c r="C448" s="1" t="n">
        <v>46094</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62023-2022</t>
        </is>
      </c>
      <c r="B449" s="1" t="n">
        <v>44918.50106481482</v>
      </c>
      <c r="C449" s="1" t="n">
        <v>46094</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25987-2024</t>
        </is>
      </c>
      <c r="B450" s="1" t="n">
        <v>45467.74417824074</v>
      </c>
      <c r="C450" s="1" t="n">
        <v>46094</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29727-2025</t>
        </is>
      </c>
      <c r="B451" s="1" t="n">
        <v>45825.5796875</v>
      </c>
      <c r="C451" s="1" t="n">
        <v>46094</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22194-2024</t>
        </is>
      </c>
      <c r="B452" s="1" t="n">
        <v>45446.36482638889</v>
      </c>
      <c r="C452" s="1" t="n">
        <v>46094</v>
      </c>
      <c r="D452" t="inlineStr">
        <is>
          <t>KALMAR LÄN</t>
        </is>
      </c>
      <c r="E452" t="inlineStr">
        <is>
          <t>VIMMERBY</t>
        </is>
      </c>
      <c r="F452" t="inlineStr">
        <is>
          <t>Sveaskog</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16119-2023</t>
        </is>
      </c>
      <c r="B453" s="1" t="n">
        <v>45027.59450231482</v>
      </c>
      <c r="C453" s="1" t="n">
        <v>46094</v>
      </c>
      <c r="D453" t="inlineStr">
        <is>
          <t>KALMAR LÄN</t>
        </is>
      </c>
      <c r="E453" t="inlineStr">
        <is>
          <t>VIMMERBY</t>
        </is>
      </c>
      <c r="F453" t="inlineStr">
        <is>
          <t>Kommuner</t>
        </is>
      </c>
      <c r="G453" t="n">
        <v>4.4</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46094</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52327-2023</t>
        </is>
      </c>
      <c r="B455" s="1" t="n">
        <v>45224.6515162037</v>
      </c>
      <c r="C455" s="1" t="n">
        <v>46094</v>
      </c>
      <c r="D455" t="inlineStr">
        <is>
          <t>KALMAR LÄN</t>
        </is>
      </c>
      <c r="E455" t="inlineStr">
        <is>
          <t>VIMMERBY</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12630-2023</t>
        </is>
      </c>
      <c r="B456" s="1" t="n">
        <v>45000.47998842593</v>
      </c>
      <c r="C456" s="1" t="n">
        <v>46094</v>
      </c>
      <c r="D456" t="inlineStr">
        <is>
          <t>KALMAR LÄN</t>
        </is>
      </c>
      <c r="E456" t="inlineStr">
        <is>
          <t>VIMMERBY</t>
        </is>
      </c>
      <c r="G456" t="n">
        <v>2.1</v>
      </c>
      <c r="H456" t="n">
        <v>0</v>
      </c>
      <c r="I456" t="n">
        <v>0</v>
      </c>
      <c r="J456" t="n">
        <v>0</v>
      </c>
      <c r="K456" t="n">
        <v>0</v>
      </c>
      <c r="L456" t="n">
        <v>0</v>
      </c>
      <c r="M456" t="n">
        <v>0</v>
      </c>
      <c r="N456" t="n">
        <v>0</v>
      </c>
      <c r="O456" t="n">
        <v>0</v>
      </c>
      <c r="P456" t="n">
        <v>0</v>
      </c>
      <c r="Q456" t="n">
        <v>0</v>
      </c>
      <c r="R456" s="2" t="inlineStr"/>
    </row>
    <row r="457" ht="15" customHeight="1">
      <c r="A457" t="inlineStr">
        <is>
          <t>A 12075-2024</t>
        </is>
      </c>
      <c r="B457" s="1" t="n">
        <v>45377</v>
      </c>
      <c r="C457" s="1" t="n">
        <v>46094</v>
      </c>
      <c r="D457" t="inlineStr">
        <is>
          <t>KALMAR LÄN</t>
        </is>
      </c>
      <c r="E457" t="inlineStr">
        <is>
          <t>VIMMERBY</t>
        </is>
      </c>
      <c r="G457" t="n">
        <v>3.7</v>
      </c>
      <c r="H457" t="n">
        <v>0</v>
      </c>
      <c r="I457" t="n">
        <v>0</v>
      </c>
      <c r="J457" t="n">
        <v>0</v>
      </c>
      <c r="K457" t="n">
        <v>0</v>
      </c>
      <c r="L457" t="n">
        <v>0</v>
      </c>
      <c r="M457" t="n">
        <v>0</v>
      </c>
      <c r="N457" t="n">
        <v>0</v>
      </c>
      <c r="O457" t="n">
        <v>0</v>
      </c>
      <c r="P457" t="n">
        <v>0</v>
      </c>
      <c r="Q457" t="n">
        <v>0</v>
      </c>
      <c r="R457" s="2" t="inlineStr"/>
    </row>
    <row r="458" ht="15" customHeight="1">
      <c r="A458" t="inlineStr">
        <is>
          <t>A 29348-2023</t>
        </is>
      </c>
      <c r="B458" s="1" t="n">
        <v>45106.25025462963</v>
      </c>
      <c r="C458" s="1" t="n">
        <v>46094</v>
      </c>
      <c r="D458" t="inlineStr">
        <is>
          <t>KALMAR LÄN</t>
        </is>
      </c>
      <c r="E458" t="inlineStr">
        <is>
          <t>VIMMERBY</t>
        </is>
      </c>
      <c r="G458" t="n">
        <v>2.4</v>
      </c>
      <c r="H458" t="n">
        <v>0</v>
      </c>
      <c r="I458" t="n">
        <v>0</v>
      </c>
      <c r="J458" t="n">
        <v>0</v>
      </c>
      <c r="K458" t="n">
        <v>0</v>
      </c>
      <c r="L458" t="n">
        <v>0</v>
      </c>
      <c r="M458" t="n">
        <v>0</v>
      </c>
      <c r="N458" t="n">
        <v>0</v>
      </c>
      <c r="O458" t="n">
        <v>0</v>
      </c>
      <c r="P458" t="n">
        <v>0</v>
      </c>
      <c r="Q458" t="n">
        <v>0</v>
      </c>
      <c r="R458" s="2" t="inlineStr"/>
    </row>
    <row r="459" ht="15" customHeight="1">
      <c r="A459" t="inlineStr">
        <is>
          <t>A 21109-2024</t>
        </is>
      </c>
      <c r="B459" s="1" t="n">
        <v>45440.28329861111</v>
      </c>
      <c r="C459" s="1" t="n">
        <v>46094</v>
      </c>
      <c r="D459" t="inlineStr">
        <is>
          <t>KALMAR LÄN</t>
        </is>
      </c>
      <c r="E459" t="inlineStr">
        <is>
          <t>VIMMERBY</t>
        </is>
      </c>
      <c r="G459" t="n">
        <v>0.8</v>
      </c>
      <c r="H459" t="n">
        <v>0</v>
      </c>
      <c r="I459" t="n">
        <v>0</v>
      </c>
      <c r="J459" t="n">
        <v>0</v>
      </c>
      <c r="K459" t="n">
        <v>0</v>
      </c>
      <c r="L459" t="n">
        <v>0</v>
      </c>
      <c r="M459" t="n">
        <v>0</v>
      </c>
      <c r="N459" t="n">
        <v>0</v>
      </c>
      <c r="O459" t="n">
        <v>0</v>
      </c>
      <c r="P459" t="n">
        <v>0</v>
      </c>
      <c r="Q459" t="n">
        <v>0</v>
      </c>
      <c r="R459" s="2" t="inlineStr"/>
    </row>
    <row r="460" ht="15" customHeight="1">
      <c r="A460" t="inlineStr">
        <is>
          <t>A 31340-2023</t>
        </is>
      </c>
      <c r="B460" s="1" t="n">
        <v>45114.47895833333</v>
      </c>
      <c r="C460" s="1" t="n">
        <v>46094</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30634-2024</t>
        </is>
      </c>
      <c r="B461" s="1" t="n">
        <v>45495</v>
      </c>
      <c r="C461" s="1" t="n">
        <v>46094</v>
      </c>
      <c r="D461" t="inlineStr">
        <is>
          <t>KALMAR LÄN</t>
        </is>
      </c>
      <c r="E461" t="inlineStr">
        <is>
          <t>VIMMERBY</t>
        </is>
      </c>
      <c r="G461" t="n">
        <v>1.2</v>
      </c>
      <c r="H461" t="n">
        <v>0</v>
      </c>
      <c r="I461" t="n">
        <v>0</v>
      </c>
      <c r="J461" t="n">
        <v>0</v>
      </c>
      <c r="K461" t="n">
        <v>0</v>
      </c>
      <c r="L461" t="n">
        <v>0</v>
      </c>
      <c r="M461" t="n">
        <v>0</v>
      </c>
      <c r="N461" t="n">
        <v>0</v>
      </c>
      <c r="O461" t="n">
        <v>0</v>
      </c>
      <c r="P461" t="n">
        <v>0</v>
      </c>
      <c r="Q461" t="n">
        <v>0</v>
      </c>
      <c r="R461" s="2" t="inlineStr"/>
    </row>
    <row r="462" ht="15" customHeight="1">
      <c r="A462" t="inlineStr">
        <is>
          <t>A 40260-2024</t>
        </is>
      </c>
      <c r="B462" s="1" t="n">
        <v>45554.63225694445</v>
      </c>
      <c r="C462" s="1" t="n">
        <v>46094</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30293-2025</t>
        </is>
      </c>
      <c r="B463" s="1" t="n">
        <v>45827</v>
      </c>
      <c r="C463" s="1" t="n">
        <v>46094</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30290-2025</t>
        </is>
      </c>
      <c r="B464" s="1" t="n">
        <v>45827</v>
      </c>
      <c r="C464" s="1" t="n">
        <v>46094</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59943-2023</t>
        </is>
      </c>
      <c r="B465" s="1" t="n">
        <v>45257.67958333333</v>
      </c>
      <c r="C465" s="1" t="n">
        <v>46094</v>
      </c>
      <c r="D465" t="inlineStr">
        <is>
          <t>KALMAR LÄN</t>
        </is>
      </c>
      <c r="E465" t="inlineStr">
        <is>
          <t>VIMMERBY</t>
        </is>
      </c>
      <c r="G465" t="n">
        <v>6.4</v>
      </c>
      <c r="H465" t="n">
        <v>0</v>
      </c>
      <c r="I465" t="n">
        <v>0</v>
      </c>
      <c r="J465" t="n">
        <v>0</v>
      </c>
      <c r="K465" t="n">
        <v>0</v>
      </c>
      <c r="L465" t="n">
        <v>0</v>
      </c>
      <c r="M465" t="n">
        <v>0</v>
      </c>
      <c r="N465" t="n">
        <v>0</v>
      </c>
      <c r="O465" t="n">
        <v>0</v>
      </c>
      <c r="P465" t="n">
        <v>0</v>
      </c>
      <c r="Q465" t="n">
        <v>0</v>
      </c>
      <c r="R465" s="2" t="inlineStr"/>
    </row>
    <row r="466" ht="15" customHeight="1">
      <c r="A466" t="inlineStr">
        <is>
          <t>A 5527-2022</t>
        </is>
      </c>
      <c r="B466" s="1" t="n">
        <v>44595.583125</v>
      </c>
      <c r="C466" s="1" t="n">
        <v>46094</v>
      </c>
      <c r="D466" t="inlineStr">
        <is>
          <t>KALMAR LÄN</t>
        </is>
      </c>
      <c r="E466" t="inlineStr">
        <is>
          <t>VIMMERBY</t>
        </is>
      </c>
      <c r="G466" t="n">
        <v>3.6</v>
      </c>
      <c r="H466" t="n">
        <v>0</v>
      </c>
      <c r="I466" t="n">
        <v>0</v>
      </c>
      <c r="J466" t="n">
        <v>0</v>
      </c>
      <c r="K466" t="n">
        <v>0</v>
      </c>
      <c r="L466" t="n">
        <v>0</v>
      </c>
      <c r="M466" t="n">
        <v>0</v>
      </c>
      <c r="N466" t="n">
        <v>0</v>
      </c>
      <c r="O466" t="n">
        <v>0</v>
      </c>
      <c r="P466" t="n">
        <v>0</v>
      </c>
      <c r="Q466" t="n">
        <v>0</v>
      </c>
      <c r="R466" s="2" t="inlineStr"/>
    </row>
    <row r="467" ht="15" customHeight="1">
      <c r="A467" t="inlineStr">
        <is>
          <t>A 12325-2023</t>
        </is>
      </c>
      <c r="B467" s="1" t="n">
        <v>44999.35858796296</v>
      </c>
      <c r="C467" s="1" t="n">
        <v>46094</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30850-2025</t>
        </is>
      </c>
      <c r="B468" s="1" t="n">
        <v>45831</v>
      </c>
      <c r="C468" s="1" t="n">
        <v>46094</v>
      </c>
      <c r="D468" t="inlineStr">
        <is>
          <t>KALMAR LÄN</t>
        </is>
      </c>
      <c r="E468" t="inlineStr">
        <is>
          <t>VIMMERBY</t>
        </is>
      </c>
      <c r="G468" t="n">
        <v>2.7</v>
      </c>
      <c r="H468" t="n">
        <v>0</v>
      </c>
      <c r="I468" t="n">
        <v>0</v>
      </c>
      <c r="J468" t="n">
        <v>0</v>
      </c>
      <c r="K468" t="n">
        <v>0</v>
      </c>
      <c r="L468" t="n">
        <v>0</v>
      </c>
      <c r="M468" t="n">
        <v>0</v>
      </c>
      <c r="N468" t="n">
        <v>0</v>
      </c>
      <c r="O468" t="n">
        <v>0</v>
      </c>
      <c r="P468" t="n">
        <v>0</v>
      </c>
      <c r="Q468" t="n">
        <v>0</v>
      </c>
      <c r="R468" s="2" t="inlineStr"/>
    </row>
    <row r="469" ht="15" customHeight="1">
      <c r="A469" t="inlineStr">
        <is>
          <t>A 1016-2024</t>
        </is>
      </c>
      <c r="B469" s="1" t="n">
        <v>45301</v>
      </c>
      <c r="C469" s="1" t="n">
        <v>46094</v>
      </c>
      <c r="D469" t="inlineStr">
        <is>
          <t>KALMAR LÄN</t>
        </is>
      </c>
      <c r="E469" t="inlineStr">
        <is>
          <t>VIMMERBY</t>
        </is>
      </c>
      <c r="G469" t="n">
        <v>1</v>
      </c>
      <c r="H469" t="n">
        <v>0</v>
      </c>
      <c r="I469" t="n">
        <v>0</v>
      </c>
      <c r="J469" t="n">
        <v>0</v>
      </c>
      <c r="K469" t="n">
        <v>0</v>
      </c>
      <c r="L469" t="n">
        <v>0</v>
      </c>
      <c r="M469" t="n">
        <v>0</v>
      </c>
      <c r="N469" t="n">
        <v>0</v>
      </c>
      <c r="O469" t="n">
        <v>0</v>
      </c>
      <c r="P469" t="n">
        <v>0</v>
      </c>
      <c r="Q469" t="n">
        <v>0</v>
      </c>
      <c r="R469" s="2" t="inlineStr"/>
    </row>
    <row r="470" ht="15" customHeight="1">
      <c r="A470" t="inlineStr">
        <is>
          <t>A 7758-2024</t>
        </is>
      </c>
      <c r="B470" s="1" t="n">
        <v>45349.54434027777</v>
      </c>
      <c r="C470" s="1" t="n">
        <v>46094</v>
      </c>
      <c r="D470" t="inlineStr">
        <is>
          <t>KALMAR LÄN</t>
        </is>
      </c>
      <c r="E470" t="inlineStr">
        <is>
          <t>VIMMERBY</t>
        </is>
      </c>
      <c r="G470" t="n">
        <v>3.5</v>
      </c>
      <c r="H470" t="n">
        <v>0</v>
      </c>
      <c r="I470" t="n">
        <v>0</v>
      </c>
      <c r="J470" t="n">
        <v>0</v>
      </c>
      <c r="K470" t="n">
        <v>0</v>
      </c>
      <c r="L470" t="n">
        <v>0</v>
      </c>
      <c r="M470" t="n">
        <v>0</v>
      </c>
      <c r="N470" t="n">
        <v>0</v>
      </c>
      <c r="O470" t="n">
        <v>0</v>
      </c>
      <c r="P470" t="n">
        <v>0</v>
      </c>
      <c r="Q470" t="n">
        <v>0</v>
      </c>
      <c r="R470" s="2" t="inlineStr"/>
    </row>
    <row r="471" ht="15" customHeight="1">
      <c r="A471" t="inlineStr">
        <is>
          <t>A 5701-2024</t>
        </is>
      </c>
      <c r="B471" s="1" t="n">
        <v>45334.78826388889</v>
      </c>
      <c r="C471" s="1" t="n">
        <v>46094</v>
      </c>
      <c r="D471" t="inlineStr">
        <is>
          <t>KALMAR LÄN</t>
        </is>
      </c>
      <c r="E471" t="inlineStr">
        <is>
          <t>VIMMERBY</t>
        </is>
      </c>
      <c r="G471" t="n">
        <v>2.3</v>
      </c>
      <c r="H471" t="n">
        <v>0</v>
      </c>
      <c r="I471" t="n">
        <v>0</v>
      </c>
      <c r="J471" t="n">
        <v>0</v>
      </c>
      <c r="K471" t="n">
        <v>0</v>
      </c>
      <c r="L471" t="n">
        <v>0</v>
      </c>
      <c r="M471" t="n">
        <v>0</v>
      </c>
      <c r="N471" t="n">
        <v>0</v>
      </c>
      <c r="O471" t="n">
        <v>0</v>
      </c>
      <c r="P471" t="n">
        <v>0</v>
      </c>
      <c r="Q471" t="n">
        <v>0</v>
      </c>
      <c r="R471" s="2" t="inlineStr"/>
    </row>
    <row r="472" ht="15" customHeight="1">
      <c r="A472" t="inlineStr">
        <is>
          <t>A 31405-2023</t>
        </is>
      </c>
      <c r="B472" s="1" t="n">
        <v>45114.58148148148</v>
      </c>
      <c r="C472" s="1" t="n">
        <v>46094</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6355-2022</t>
        </is>
      </c>
      <c r="B473" s="1" t="n">
        <v>44600</v>
      </c>
      <c r="C473" s="1" t="n">
        <v>46094</v>
      </c>
      <c r="D473" t="inlineStr">
        <is>
          <t>KALMAR LÄN</t>
        </is>
      </c>
      <c r="E473" t="inlineStr">
        <is>
          <t>VIMMERBY</t>
        </is>
      </c>
      <c r="G473" t="n">
        <v>4.9</v>
      </c>
      <c r="H473" t="n">
        <v>0</v>
      </c>
      <c r="I473" t="n">
        <v>0</v>
      </c>
      <c r="J473" t="n">
        <v>0</v>
      </c>
      <c r="K473" t="n">
        <v>0</v>
      </c>
      <c r="L473" t="n">
        <v>0</v>
      </c>
      <c r="M473" t="n">
        <v>0</v>
      </c>
      <c r="N473" t="n">
        <v>0</v>
      </c>
      <c r="O473" t="n">
        <v>0</v>
      </c>
      <c r="P473" t="n">
        <v>0</v>
      </c>
      <c r="Q473" t="n">
        <v>0</v>
      </c>
      <c r="R473" s="2" t="inlineStr"/>
    </row>
    <row r="474" ht="15" customHeight="1">
      <c r="A474" t="inlineStr">
        <is>
          <t>A 33681-2022</t>
        </is>
      </c>
      <c r="B474" s="1" t="n">
        <v>44789</v>
      </c>
      <c r="C474" s="1" t="n">
        <v>46094</v>
      </c>
      <c r="D474" t="inlineStr">
        <is>
          <t>KALMAR LÄN</t>
        </is>
      </c>
      <c r="E474" t="inlineStr">
        <is>
          <t>VIMMERBY</t>
        </is>
      </c>
      <c r="G474" t="n">
        <v>3.2</v>
      </c>
      <c r="H474" t="n">
        <v>0</v>
      </c>
      <c r="I474" t="n">
        <v>0</v>
      </c>
      <c r="J474" t="n">
        <v>0</v>
      </c>
      <c r="K474" t="n">
        <v>0</v>
      </c>
      <c r="L474" t="n">
        <v>0</v>
      </c>
      <c r="M474" t="n">
        <v>0</v>
      </c>
      <c r="N474" t="n">
        <v>0</v>
      </c>
      <c r="O474" t="n">
        <v>0</v>
      </c>
      <c r="P474" t="n">
        <v>0</v>
      </c>
      <c r="Q474" t="n">
        <v>0</v>
      </c>
      <c r="R474" s="2" t="inlineStr"/>
    </row>
    <row r="475" ht="15" customHeight="1">
      <c r="A475" t="inlineStr">
        <is>
          <t>A 46225-2024</t>
        </is>
      </c>
      <c r="B475" s="1" t="n">
        <v>45581.57333333333</v>
      </c>
      <c r="C475" s="1" t="n">
        <v>46094</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31552-2025</t>
        </is>
      </c>
      <c r="B476" s="1" t="n">
        <v>45833.64563657407</v>
      </c>
      <c r="C476" s="1" t="n">
        <v>46094</v>
      </c>
      <c r="D476" t="inlineStr">
        <is>
          <t>KALMAR LÄN</t>
        </is>
      </c>
      <c r="E476" t="inlineStr">
        <is>
          <t>VIMMERBY</t>
        </is>
      </c>
      <c r="G476" t="n">
        <v>1.7</v>
      </c>
      <c r="H476" t="n">
        <v>0</v>
      </c>
      <c r="I476" t="n">
        <v>0</v>
      </c>
      <c r="J476" t="n">
        <v>0</v>
      </c>
      <c r="K476" t="n">
        <v>0</v>
      </c>
      <c r="L476" t="n">
        <v>0</v>
      </c>
      <c r="M476" t="n">
        <v>0</v>
      </c>
      <c r="N476" t="n">
        <v>0</v>
      </c>
      <c r="O476" t="n">
        <v>0</v>
      </c>
      <c r="P476" t="n">
        <v>0</v>
      </c>
      <c r="Q476" t="n">
        <v>0</v>
      </c>
      <c r="R476" s="2" t="inlineStr"/>
    </row>
    <row r="477" ht="15" customHeight="1">
      <c r="A477" t="inlineStr">
        <is>
          <t>A 31555-2025</t>
        </is>
      </c>
      <c r="B477" s="1" t="n">
        <v>45833.64814814815</v>
      </c>
      <c r="C477" s="1" t="n">
        <v>46094</v>
      </c>
      <c r="D477" t="inlineStr">
        <is>
          <t>KALMAR LÄN</t>
        </is>
      </c>
      <c r="E477" t="inlineStr">
        <is>
          <t>VIMMERBY</t>
        </is>
      </c>
      <c r="G477" t="n">
        <v>1.8</v>
      </c>
      <c r="H477" t="n">
        <v>0</v>
      </c>
      <c r="I477" t="n">
        <v>0</v>
      </c>
      <c r="J477" t="n">
        <v>0</v>
      </c>
      <c r="K477" t="n">
        <v>0</v>
      </c>
      <c r="L477" t="n">
        <v>0</v>
      </c>
      <c r="M477" t="n">
        <v>0</v>
      </c>
      <c r="N477" t="n">
        <v>0</v>
      </c>
      <c r="O477" t="n">
        <v>0</v>
      </c>
      <c r="P477" t="n">
        <v>0</v>
      </c>
      <c r="Q477" t="n">
        <v>0</v>
      </c>
      <c r="R477" s="2" t="inlineStr"/>
    </row>
    <row r="478" ht="15" customHeight="1">
      <c r="A478" t="inlineStr">
        <is>
          <t>A 30971-2025</t>
        </is>
      </c>
      <c r="B478" s="1" t="n">
        <v>45832.46146990741</v>
      </c>
      <c r="C478" s="1" t="n">
        <v>46094</v>
      </c>
      <c r="D478" t="inlineStr">
        <is>
          <t>KALMAR LÄN</t>
        </is>
      </c>
      <c r="E478" t="inlineStr">
        <is>
          <t>VIMMERBY</t>
        </is>
      </c>
      <c r="G478" t="n">
        <v>1.2</v>
      </c>
      <c r="H478" t="n">
        <v>0</v>
      </c>
      <c r="I478" t="n">
        <v>0</v>
      </c>
      <c r="J478" t="n">
        <v>0</v>
      </c>
      <c r="K478" t="n">
        <v>0</v>
      </c>
      <c r="L478" t="n">
        <v>0</v>
      </c>
      <c r="M478" t="n">
        <v>0</v>
      </c>
      <c r="N478" t="n">
        <v>0</v>
      </c>
      <c r="O478" t="n">
        <v>0</v>
      </c>
      <c r="P478" t="n">
        <v>0</v>
      </c>
      <c r="Q478" t="n">
        <v>0</v>
      </c>
      <c r="R478" s="2" t="inlineStr"/>
    </row>
    <row r="479" ht="15" customHeight="1">
      <c r="A479" t="inlineStr">
        <is>
          <t>A 9418-2024</t>
        </is>
      </c>
      <c r="B479" s="1" t="n">
        <v>45359.45038194444</v>
      </c>
      <c r="C479" s="1" t="n">
        <v>46094</v>
      </c>
      <c r="D479" t="inlineStr">
        <is>
          <t>KALMAR LÄN</t>
        </is>
      </c>
      <c r="E479" t="inlineStr">
        <is>
          <t>VIMMERBY</t>
        </is>
      </c>
      <c r="G479" t="n">
        <v>1.9</v>
      </c>
      <c r="H479" t="n">
        <v>0</v>
      </c>
      <c r="I479" t="n">
        <v>0</v>
      </c>
      <c r="J479" t="n">
        <v>0</v>
      </c>
      <c r="K479" t="n">
        <v>0</v>
      </c>
      <c r="L479" t="n">
        <v>0</v>
      </c>
      <c r="M479" t="n">
        <v>0</v>
      </c>
      <c r="N479" t="n">
        <v>0</v>
      </c>
      <c r="O479" t="n">
        <v>0</v>
      </c>
      <c r="P479" t="n">
        <v>0</v>
      </c>
      <c r="Q479" t="n">
        <v>0</v>
      </c>
      <c r="R479" s="2" t="inlineStr"/>
    </row>
    <row r="480" ht="15" customHeight="1">
      <c r="A480" t="inlineStr">
        <is>
          <t>A 31551-2025</t>
        </is>
      </c>
      <c r="B480" s="1" t="n">
        <v>45833.64237268519</v>
      </c>
      <c r="C480" s="1" t="n">
        <v>46094</v>
      </c>
      <c r="D480" t="inlineStr">
        <is>
          <t>KALMAR LÄN</t>
        </is>
      </c>
      <c r="E480" t="inlineStr">
        <is>
          <t>VIMMERBY</t>
        </is>
      </c>
      <c r="G480" t="n">
        <v>1.9</v>
      </c>
      <c r="H480" t="n">
        <v>0</v>
      </c>
      <c r="I480" t="n">
        <v>0</v>
      </c>
      <c r="J480" t="n">
        <v>0</v>
      </c>
      <c r="K480" t="n">
        <v>0</v>
      </c>
      <c r="L480" t="n">
        <v>0</v>
      </c>
      <c r="M480" t="n">
        <v>0</v>
      </c>
      <c r="N480" t="n">
        <v>0</v>
      </c>
      <c r="O480" t="n">
        <v>0</v>
      </c>
      <c r="P480" t="n">
        <v>0</v>
      </c>
      <c r="Q480" t="n">
        <v>0</v>
      </c>
      <c r="R480" s="2" t="inlineStr"/>
    </row>
    <row r="481" ht="15" customHeight="1">
      <c r="A481" t="inlineStr">
        <is>
          <t>A 57091-2022</t>
        </is>
      </c>
      <c r="B481" s="1" t="n">
        <v>44895.46524305556</v>
      </c>
      <c r="C481" s="1" t="n">
        <v>46094</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3816-2022</t>
        </is>
      </c>
      <c r="B482" s="1" t="n">
        <v>44587</v>
      </c>
      <c r="C482" s="1" t="n">
        <v>46094</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30882-2025</t>
        </is>
      </c>
      <c r="B483" s="1" t="n">
        <v>45832.34540509259</v>
      </c>
      <c r="C483" s="1" t="n">
        <v>46094</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43606-2024</t>
        </is>
      </c>
      <c r="B484" s="1" t="n">
        <v>45569.45017361111</v>
      </c>
      <c r="C484" s="1" t="n">
        <v>46094</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43617-2024</t>
        </is>
      </c>
      <c r="B485" s="1" t="n">
        <v>45569.47494212963</v>
      </c>
      <c r="C485" s="1" t="n">
        <v>46094</v>
      </c>
      <c r="D485" t="inlineStr">
        <is>
          <t>KALMAR LÄN</t>
        </is>
      </c>
      <c r="E485" t="inlineStr">
        <is>
          <t>VIMMERBY</t>
        </is>
      </c>
      <c r="G485" t="n">
        <v>2.7</v>
      </c>
      <c r="H485" t="n">
        <v>0</v>
      </c>
      <c r="I485" t="n">
        <v>0</v>
      </c>
      <c r="J485" t="n">
        <v>0</v>
      </c>
      <c r="K485" t="n">
        <v>0</v>
      </c>
      <c r="L485" t="n">
        <v>0</v>
      </c>
      <c r="M485" t="n">
        <v>0</v>
      </c>
      <c r="N485" t="n">
        <v>0</v>
      </c>
      <c r="O485" t="n">
        <v>0</v>
      </c>
      <c r="P485" t="n">
        <v>0</v>
      </c>
      <c r="Q485" t="n">
        <v>0</v>
      </c>
      <c r="R485" s="2" t="inlineStr"/>
    </row>
    <row r="486" ht="15" customHeight="1">
      <c r="A486" t="inlineStr">
        <is>
          <t>A 47859-2024</t>
        </is>
      </c>
      <c r="B486" s="1" t="n">
        <v>45588.67070601852</v>
      </c>
      <c r="C486" s="1" t="n">
        <v>46094</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31872-2025</t>
        </is>
      </c>
      <c r="B487" s="1" t="n">
        <v>45834.65040509259</v>
      </c>
      <c r="C487" s="1" t="n">
        <v>46094</v>
      </c>
      <c r="D487" t="inlineStr">
        <is>
          <t>KALMAR LÄN</t>
        </is>
      </c>
      <c r="E487" t="inlineStr">
        <is>
          <t>VIMMERBY</t>
        </is>
      </c>
      <c r="F487" t="inlineStr">
        <is>
          <t>Sveaskog</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8559-2025</t>
        </is>
      </c>
      <c r="B488" s="1" t="n">
        <v>45709.62280092593</v>
      </c>
      <c r="C488" s="1" t="n">
        <v>46094</v>
      </c>
      <c r="D488" t="inlineStr">
        <is>
          <t>KALMAR LÄN</t>
        </is>
      </c>
      <c r="E488" t="inlineStr">
        <is>
          <t>VIMMERBY</t>
        </is>
      </c>
      <c r="G488" t="n">
        <v>8.9</v>
      </c>
      <c r="H488" t="n">
        <v>0</v>
      </c>
      <c r="I488" t="n">
        <v>0</v>
      </c>
      <c r="J488" t="n">
        <v>0</v>
      </c>
      <c r="K488" t="n">
        <v>0</v>
      </c>
      <c r="L488" t="n">
        <v>0</v>
      </c>
      <c r="M488" t="n">
        <v>0</v>
      </c>
      <c r="N488" t="n">
        <v>0</v>
      </c>
      <c r="O488" t="n">
        <v>0</v>
      </c>
      <c r="P488" t="n">
        <v>0</v>
      </c>
      <c r="Q488" t="n">
        <v>0</v>
      </c>
      <c r="R488" s="2" t="inlineStr"/>
    </row>
    <row r="489" ht="15" customHeight="1">
      <c r="A489" t="inlineStr">
        <is>
          <t>A 5074-2023</t>
        </is>
      </c>
      <c r="B489" s="1" t="n">
        <v>44958.61047453704</v>
      </c>
      <c r="C489" s="1" t="n">
        <v>46094</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8540-2024</t>
        </is>
      </c>
      <c r="B490" s="1" t="n">
        <v>45355.54138888889</v>
      </c>
      <c r="C490" s="1" t="n">
        <v>46094</v>
      </c>
      <c r="D490" t="inlineStr">
        <is>
          <t>KALMAR LÄN</t>
        </is>
      </c>
      <c r="E490" t="inlineStr">
        <is>
          <t>VIMMERBY</t>
        </is>
      </c>
      <c r="G490" t="n">
        <v>1.9</v>
      </c>
      <c r="H490" t="n">
        <v>0</v>
      </c>
      <c r="I490" t="n">
        <v>0</v>
      </c>
      <c r="J490" t="n">
        <v>0</v>
      </c>
      <c r="K490" t="n">
        <v>0</v>
      </c>
      <c r="L490" t="n">
        <v>0</v>
      </c>
      <c r="M490" t="n">
        <v>0</v>
      </c>
      <c r="N490" t="n">
        <v>0</v>
      </c>
      <c r="O490" t="n">
        <v>0</v>
      </c>
      <c r="P490" t="n">
        <v>0</v>
      </c>
      <c r="Q490" t="n">
        <v>0</v>
      </c>
      <c r="R490" s="2" t="inlineStr"/>
    </row>
    <row r="491" ht="15" customHeight="1">
      <c r="A491" t="inlineStr">
        <is>
          <t>A 32064-2025</t>
        </is>
      </c>
      <c r="B491" s="1" t="n">
        <v>45835.44709490741</v>
      </c>
      <c r="C491" s="1" t="n">
        <v>46094</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3331-2023</t>
        </is>
      </c>
      <c r="B492" s="1" t="n">
        <v>44949</v>
      </c>
      <c r="C492" s="1" t="n">
        <v>46094</v>
      </c>
      <c r="D492" t="inlineStr">
        <is>
          <t>KALMAR LÄN</t>
        </is>
      </c>
      <c r="E492" t="inlineStr">
        <is>
          <t>VIMMERBY</t>
        </is>
      </c>
      <c r="G492" t="n">
        <v>6.2</v>
      </c>
      <c r="H492" t="n">
        <v>0</v>
      </c>
      <c r="I492" t="n">
        <v>0</v>
      </c>
      <c r="J492" t="n">
        <v>0</v>
      </c>
      <c r="K492" t="n">
        <v>0</v>
      </c>
      <c r="L492" t="n">
        <v>0</v>
      </c>
      <c r="M492" t="n">
        <v>0</v>
      </c>
      <c r="N492" t="n">
        <v>0</v>
      </c>
      <c r="O492" t="n">
        <v>0</v>
      </c>
      <c r="P492" t="n">
        <v>0</v>
      </c>
      <c r="Q492" t="n">
        <v>0</v>
      </c>
      <c r="R492" s="2" t="inlineStr"/>
    </row>
    <row r="493" ht="15" customHeight="1">
      <c r="A493" t="inlineStr">
        <is>
          <t>A 32109-2025</t>
        </is>
      </c>
      <c r="B493" s="1" t="n">
        <v>45835.48267361111</v>
      </c>
      <c r="C493" s="1" t="n">
        <v>46094</v>
      </c>
      <c r="D493" t="inlineStr">
        <is>
          <t>KALMAR LÄN</t>
        </is>
      </c>
      <c r="E493" t="inlineStr">
        <is>
          <t>VIMMERBY</t>
        </is>
      </c>
      <c r="G493" t="n">
        <v>2.5</v>
      </c>
      <c r="H493" t="n">
        <v>0</v>
      </c>
      <c r="I493" t="n">
        <v>0</v>
      </c>
      <c r="J493" t="n">
        <v>0</v>
      </c>
      <c r="K493" t="n">
        <v>0</v>
      </c>
      <c r="L493" t="n">
        <v>0</v>
      </c>
      <c r="M493" t="n">
        <v>0</v>
      </c>
      <c r="N493" t="n">
        <v>0</v>
      </c>
      <c r="O493" t="n">
        <v>0</v>
      </c>
      <c r="P493" t="n">
        <v>0</v>
      </c>
      <c r="Q493" t="n">
        <v>0</v>
      </c>
      <c r="R493" s="2" t="inlineStr"/>
    </row>
    <row r="494" ht="15" customHeight="1">
      <c r="A494" t="inlineStr">
        <is>
          <t>A 32113-2025</t>
        </is>
      </c>
      <c r="B494" s="1" t="n">
        <v>45835.48445601852</v>
      </c>
      <c r="C494" s="1" t="n">
        <v>46094</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32116-2025</t>
        </is>
      </c>
      <c r="B495" s="1" t="n">
        <v>45835.48862268519</v>
      </c>
      <c r="C495" s="1" t="n">
        <v>46094</v>
      </c>
      <c r="D495" t="inlineStr">
        <is>
          <t>KALMAR LÄN</t>
        </is>
      </c>
      <c r="E495" t="inlineStr">
        <is>
          <t>VIMMERBY</t>
        </is>
      </c>
      <c r="G495" t="n">
        <v>0.9</v>
      </c>
      <c r="H495" t="n">
        <v>0</v>
      </c>
      <c r="I495" t="n">
        <v>0</v>
      </c>
      <c r="J495" t="n">
        <v>0</v>
      </c>
      <c r="K495" t="n">
        <v>0</v>
      </c>
      <c r="L495" t="n">
        <v>0</v>
      </c>
      <c r="M495" t="n">
        <v>0</v>
      </c>
      <c r="N495" t="n">
        <v>0</v>
      </c>
      <c r="O495" t="n">
        <v>0</v>
      </c>
      <c r="P495" t="n">
        <v>0</v>
      </c>
      <c r="Q495" t="n">
        <v>0</v>
      </c>
      <c r="R495" s="2" t="inlineStr"/>
    </row>
    <row r="496" ht="15" customHeight="1">
      <c r="A496" t="inlineStr">
        <is>
          <t>A 51187-2023</t>
        </is>
      </c>
      <c r="B496" s="1" t="n">
        <v>45219.40528935185</v>
      </c>
      <c r="C496" s="1" t="n">
        <v>46094</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598-2025</t>
        </is>
      </c>
      <c r="B497" s="1" t="n">
        <v>45660</v>
      </c>
      <c r="C497" s="1" t="n">
        <v>46094</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31870-2025</t>
        </is>
      </c>
      <c r="B498" s="1" t="n">
        <v>45834.64667824074</v>
      </c>
      <c r="C498" s="1" t="n">
        <v>46094</v>
      </c>
      <c r="D498" t="inlineStr">
        <is>
          <t>KALMAR LÄN</t>
        </is>
      </c>
      <c r="E498" t="inlineStr">
        <is>
          <t>VIMMERBY</t>
        </is>
      </c>
      <c r="F498" t="inlineStr">
        <is>
          <t>Sveaskog</t>
        </is>
      </c>
      <c r="G498" t="n">
        <v>3.5</v>
      </c>
      <c r="H498" t="n">
        <v>0</v>
      </c>
      <c r="I498" t="n">
        <v>0</v>
      </c>
      <c r="J498" t="n">
        <v>0</v>
      </c>
      <c r="K498" t="n">
        <v>0</v>
      </c>
      <c r="L498" t="n">
        <v>0</v>
      </c>
      <c r="M498" t="n">
        <v>0</v>
      </c>
      <c r="N498" t="n">
        <v>0</v>
      </c>
      <c r="O498" t="n">
        <v>0</v>
      </c>
      <c r="P498" t="n">
        <v>0</v>
      </c>
      <c r="Q498" t="n">
        <v>0</v>
      </c>
      <c r="R498" s="2" t="inlineStr"/>
    </row>
    <row r="499" ht="15" customHeight="1">
      <c r="A499" t="inlineStr">
        <is>
          <t>A 32065-2025</t>
        </is>
      </c>
      <c r="B499" s="1" t="n">
        <v>45835.44732638889</v>
      </c>
      <c r="C499" s="1" t="n">
        <v>46094</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25799-2023</t>
        </is>
      </c>
      <c r="B500" s="1" t="n">
        <v>45090</v>
      </c>
      <c r="C500" s="1" t="n">
        <v>46094</v>
      </c>
      <c r="D500" t="inlineStr">
        <is>
          <t>KALMAR LÄN</t>
        </is>
      </c>
      <c r="E500" t="inlineStr">
        <is>
          <t>VIMMERBY</t>
        </is>
      </c>
      <c r="G500" t="n">
        <v>7.7</v>
      </c>
      <c r="H500" t="n">
        <v>0</v>
      </c>
      <c r="I500" t="n">
        <v>0</v>
      </c>
      <c r="J500" t="n">
        <v>0</v>
      </c>
      <c r="K500" t="n">
        <v>0</v>
      </c>
      <c r="L500" t="n">
        <v>0</v>
      </c>
      <c r="M500" t="n">
        <v>0</v>
      </c>
      <c r="N500" t="n">
        <v>0</v>
      </c>
      <c r="O500" t="n">
        <v>0</v>
      </c>
      <c r="P500" t="n">
        <v>0</v>
      </c>
      <c r="Q500" t="n">
        <v>0</v>
      </c>
      <c r="R500" s="2" t="inlineStr"/>
    </row>
    <row r="501" ht="15" customHeight="1">
      <c r="A501" t="inlineStr">
        <is>
          <t>A 53083-2021</t>
        </is>
      </c>
      <c r="B501" s="1" t="n">
        <v>44467.83386574074</v>
      </c>
      <c r="C501" s="1" t="n">
        <v>46094</v>
      </c>
      <c r="D501" t="inlineStr">
        <is>
          <t>KALMAR LÄN</t>
        </is>
      </c>
      <c r="E501" t="inlineStr">
        <is>
          <t>VIMMERBY</t>
        </is>
      </c>
      <c r="G501" t="n">
        <v>6.8</v>
      </c>
      <c r="H501" t="n">
        <v>0</v>
      </c>
      <c r="I501" t="n">
        <v>0</v>
      </c>
      <c r="J501" t="n">
        <v>0</v>
      </c>
      <c r="K501" t="n">
        <v>0</v>
      </c>
      <c r="L501" t="n">
        <v>0</v>
      </c>
      <c r="M501" t="n">
        <v>0</v>
      </c>
      <c r="N501" t="n">
        <v>0</v>
      </c>
      <c r="O501" t="n">
        <v>0</v>
      </c>
      <c r="P501" t="n">
        <v>0</v>
      </c>
      <c r="Q501" t="n">
        <v>0</v>
      </c>
      <c r="R501" s="2" t="inlineStr"/>
    </row>
    <row r="502" ht="15" customHeight="1">
      <c r="A502" t="inlineStr">
        <is>
          <t>A 31987-2025</t>
        </is>
      </c>
      <c r="B502" s="1" t="n">
        <v>45835.36229166666</v>
      </c>
      <c r="C502" s="1" t="n">
        <v>46094</v>
      </c>
      <c r="D502" t="inlineStr">
        <is>
          <t>KALMAR LÄN</t>
        </is>
      </c>
      <c r="E502" t="inlineStr">
        <is>
          <t>VIMMERBY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32077-2025</t>
        </is>
      </c>
      <c r="B503" s="1" t="n">
        <v>45835.45099537037</v>
      </c>
      <c r="C503" s="1" t="n">
        <v>46094</v>
      </c>
      <c r="D503" t="inlineStr">
        <is>
          <t>KALMAR LÄN</t>
        </is>
      </c>
      <c r="E503" t="inlineStr">
        <is>
          <t>VIMMERBY</t>
        </is>
      </c>
      <c r="G503" t="n">
        <v>1.8</v>
      </c>
      <c r="H503" t="n">
        <v>0</v>
      </c>
      <c r="I503" t="n">
        <v>0</v>
      </c>
      <c r="J503" t="n">
        <v>0</v>
      </c>
      <c r="K503" t="n">
        <v>0</v>
      </c>
      <c r="L503" t="n">
        <v>0</v>
      </c>
      <c r="M503" t="n">
        <v>0</v>
      </c>
      <c r="N503" t="n">
        <v>0</v>
      </c>
      <c r="O503" t="n">
        <v>0</v>
      </c>
      <c r="P503" t="n">
        <v>0</v>
      </c>
      <c r="Q503" t="n">
        <v>0</v>
      </c>
      <c r="R503" s="2" t="inlineStr"/>
    </row>
    <row r="504" ht="15" customHeight="1">
      <c r="A504" t="inlineStr">
        <is>
          <t>A 32120-2025</t>
        </is>
      </c>
      <c r="B504" s="1" t="n">
        <v>45835.4924537037</v>
      </c>
      <c r="C504" s="1" t="n">
        <v>46094</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39801-2025</t>
        </is>
      </c>
      <c r="B505" s="1" t="n">
        <v>45891.50216435185</v>
      </c>
      <c r="C505" s="1" t="n">
        <v>46094</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15715-2022</t>
        </is>
      </c>
      <c r="B506" s="1" t="n">
        <v>44663</v>
      </c>
      <c r="C506" s="1" t="n">
        <v>46094</v>
      </c>
      <c r="D506" t="inlineStr">
        <is>
          <t>KALMAR LÄN</t>
        </is>
      </c>
      <c r="E506" t="inlineStr">
        <is>
          <t>VIMMERBY</t>
        </is>
      </c>
      <c r="G506" t="n">
        <v>2.3</v>
      </c>
      <c r="H506" t="n">
        <v>0</v>
      </c>
      <c r="I506" t="n">
        <v>0</v>
      </c>
      <c r="J506" t="n">
        <v>0</v>
      </c>
      <c r="K506" t="n">
        <v>0</v>
      </c>
      <c r="L506" t="n">
        <v>0</v>
      </c>
      <c r="M506" t="n">
        <v>0</v>
      </c>
      <c r="N506" t="n">
        <v>0</v>
      </c>
      <c r="O506" t="n">
        <v>0</v>
      </c>
      <c r="P506" t="n">
        <v>0</v>
      </c>
      <c r="Q506" t="n">
        <v>0</v>
      </c>
      <c r="R506" s="2" t="inlineStr"/>
    </row>
    <row r="507" ht="15" customHeight="1">
      <c r="A507" t="inlineStr">
        <is>
          <t>A 31876-2025</t>
        </is>
      </c>
      <c r="B507" s="1" t="n">
        <v>45834.65197916667</v>
      </c>
      <c r="C507" s="1" t="n">
        <v>46094</v>
      </c>
      <c r="D507" t="inlineStr">
        <is>
          <t>KALMAR LÄN</t>
        </is>
      </c>
      <c r="E507" t="inlineStr">
        <is>
          <t>VIMMERBY</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24655-2021</t>
        </is>
      </c>
      <c r="B508" s="1" t="n">
        <v>44340</v>
      </c>
      <c r="C508" s="1" t="n">
        <v>46094</v>
      </c>
      <c r="D508" t="inlineStr">
        <is>
          <t>KALMAR LÄN</t>
        </is>
      </c>
      <c r="E508" t="inlineStr">
        <is>
          <t>VIMMERBY</t>
        </is>
      </c>
      <c r="G508" t="n">
        <v>14.9</v>
      </c>
      <c r="H508" t="n">
        <v>0</v>
      </c>
      <c r="I508" t="n">
        <v>0</v>
      </c>
      <c r="J508" t="n">
        <v>0</v>
      </c>
      <c r="K508" t="n">
        <v>0</v>
      </c>
      <c r="L508" t="n">
        <v>0</v>
      </c>
      <c r="M508" t="n">
        <v>0</v>
      </c>
      <c r="N508" t="n">
        <v>0</v>
      </c>
      <c r="O508" t="n">
        <v>0</v>
      </c>
      <c r="P508" t="n">
        <v>0</v>
      </c>
      <c r="Q508" t="n">
        <v>0</v>
      </c>
      <c r="R508" s="2" t="inlineStr"/>
    </row>
    <row r="509" ht="15" customHeight="1">
      <c r="A509" t="inlineStr">
        <is>
          <t>A 43093-2024</t>
        </is>
      </c>
      <c r="B509" s="1" t="n">
        <v>45567</v>
      </c>
      <c r="C509" s="1" t="n">
        <v>46094</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56022-2024</t>
        </is>
      </c>
      <c r="B510" s="1" t="n">
        <v>45623.95947916667</v>
      </c>
      <c r="C510" s="1" t="n">
        <v>46094</v>
      </c>
      <c r="D510" t="inlineStr">
        <is>
          <t>KALMAR LÄN</t>
        </is>
      </c>
      <c r="E510" t="inlineStr">
        <is>
          <t>VIMMERBY</t>
        </is>
      </c>
      <c r="G510" t="n">
        <v>0.3</v>
      </c>
      <c r="H510" t="n">
        <v>0</v>
      </c>
      <c r="I510" t="n">
        <v>0</v>
      </c>
      <c r="J510" t="n">
        <v>0</v>
      </c>
      <c r="K510" t="n">
        <v>0</v>
      </c>
      <c r="L510" t="n">
        <v>0</v>
      </c>
      <c r="M510" t="n">
        <v>0</v>
      </c>
      <c r="N510" t="n">
        <v>0</v>
      </c>
      <c r="O510" t="n">
        <v>0</v>
      </c>
      <c r="P510" t="n">
        <v>0</v>
      </c>
      <c r="Q510" t="n">
        <v>0</v>
      </c>
      <c r="R510" s="2" t="inlineStr"/>
    </row>
    <row r="511" ht="15" customHeight="1">
      <c r="A511" t="inlineStr">
        <is>
          <t>A 18330-2023</t>
        </is>
      </c>
      <c r="B511" s="1" t="n">
        <v>45041</v>
      </c>
      <c r="C511" s="1" t="n">
        <v>46094</v>
      </c>
      <c r="D511" t="inlineStr">
        <is>
          <t>KALMAR LÄN</t>
        </is>
      </c>
      <c r="E511" t="inlineStr">
        <is>
          <t>VIMMERBY</t>
        </is>
      </c>
      <c r="G511" t="n">
        <v>1.7</v>
      </c>
      <c r="H511" t="n">
        <v>0</v>
      </c>
      <c r="I511" t="n">
        <v>0</v>
      </c>
      <c r="J511" t="n">
        <v>0</v>
      </c>
      <c r="K511" t="n">
        <v>0</v>
      </c>
      <c r="L511" t="n">
        <v>0</v>
      </c>
      <c r="M511" t="n">
        <v>0</v>
      </c>
      <c r="N511" t="n">
        <v>0</v>
      </c>
      <c r="O511" t="n">
        <v>0</v>
      </c>
      <c r="P511" t="n">
        <v>0</v>
      </c>
      <c r="Q511" t="n">
        <v>0</v>
      </c>
      <c r="R511" s="2" t="inlineStr"/>
    </row>
    <row r="512" ht="15" customHeight="1">
      <c r="A512" t="inlineStr">
        <is>
          <t>A 33838-2022</t>
        </is>
      </c>
      <c r="B512" s="1" t="n">
        <v>44790.49040509259</v>
      </c>
      <c r="C512" s="1" t="n">
        <v>46094</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32835-2022</t>
        </is>
      </c>
      <c r="B513" s="1" t="n">
        <v>44784.42528935185</v>
      </c>
      <c r="C513" s="1" t="n">
        <v>46094</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20126-2024</t>
        </is>
      </c>
      <c r="B514" s="1" t="n">
        <v>45434.55471064815</v>
      </c>
      <c r="C514" s="1" t="n">
        <v>46094</v>
      </c>
      <c r="D514" t="inlineStr">
        <is>
          <t>KALMAR LÄN</t>
        </is>
      </c>
      <c r="E514" t="inlineStr">
        <is>
          <t>VIMMERBY</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20136-2024</t>
        </is>
      </c>
      <c r="B515" s="1" t="n">
        <v>45434.56291666667</v>
      </c>
      <c r="C515" s="1" t="n">
        <v>46094</v>
      </c>
      <c r="D515" t="inlineStr">
        <is>
          <t>KALMAR LÄN</t>
        </is>
      </c>
      <c r="E515" t="inlineStr">
        <is>
          <t>VIMMERBY</t>
        </is>
      </c>
      <c r="F515" t="inlineStr">
        <is>
          <t>Sveaskog</t>
        </is>
      </c>
      <c r="G515" t="n">
        <v>8.4</v>
      </c>
      <c r="H515" t="n">
        <v>0</v>
      </c>
      <c r="I515" t="n">
        <v>0</v>
      </c>
      <c r="J515" t="n">
        <v>0</v>
      </c>
      <c r="K515" t="n">
        <v>0</v>
      </c>
      <c r="L515" t="n">
        <v>0</v>
      </c>
      <c r="M515" t="n">
        <v>0</v>
      </c>
      <c r="N515" t="n">
        <v>0</v>
      </c>
      <c r="O515" t="n">
        <v>0</v>
      </c>
      <c r="P515" t="n">
        <v>0</v>
      </c>
      <c r="Q515" t="n">
        <v>0</v>
      </c>
      <c r="R515" s="2" t="inlineStr"/>
    </row>
    <row r="516" ht="15" customHeight="1">
      <c r="A516" t="inlineStr">
        <is>
          <t>A 46921-2023</t>
        </is>
      </c>
      <c r="B516" s="1" t="n">
        <v>45201.39996527778</v>
      </c>
      <c r="C516" s="1" t="n">
        <v>46094</v>
      </c>
      <c r="D516" t="inlineStr">
        <is>
          <t>KALMAR LÄN</t>
        </is>
      </c>
      <c r="E516" t="inlineStr">
        <is>
          <t>VIMMERBY</t>
        </is>
      </c>
      <c r="G516" t="n">
        <v>2.6</v>
      </c>
      <c r="H516" t="n">
        <v>0</v>
      </c>
      <c r="I516" t="n">
        <v>0</v>
      </c>
      <c r="J516" t="n">
        <v>0</v>
      </c>
      <c r="K516" t="n">
        <v>0</v>
      </c>
      <c r="L516" t="n">
        <v>0</v>
      </c>
      <c r="M516" t="n">
        <v>0</v>
      </c>
      <c r="N516" t="n">
        <v>0</v>
      </c>
      <c r="O516" t="n">
        <v>0</v>
      </c>
      <c r="P516" t="n">
        <v>0</v>
      </c>
      <c r="Q516" t="n">
        <v>0</v>
      </c>
      <c r="R516" s="2" t="inlineStr"/>
    </row>
    <row r="517" ht="15" customHeight="1">
      <c r="A517" t="inlineStr">
        <is>
          <t>A 32380-2025</t>
        </is>
      </c>
      <c r="B517" s="1" t="n">
        <v>45837.77701388889</v>
      </c>
      <c r="C517" s="1" t="n">
        <v>46094</v>
      </c>
      <c r="D517" t="inlineStr">
        <is>
          <t>KALMAR LÄN</t>
        </is>
      </c>
      <c r="E517" t="inlineStr">
        <is>
          <t>VIMMERBY</t>
        </is>
      </c>
      <c r="G517" t="n">
        <v>3.1</v>
      </c>
      <c r="H517" t="n">
        <v>0</v>
      </c>
      <c r="I517" t="n">
        <v>0</v>
      </c>
      <c r="J517" t="n">
        <v>0</v>
      </c>
      <c r="K517" t="n">
        <v>0</v>
      </c>
      <c r="L517" t="n">
        <v>0</v>
      </c>
      <c r="M517" t="n">
        <v>0</v>
      </c>
      <c r="N517" t="n">
        <v>0</v>
      </c>
      <c r="O517" t="n">
        <v>0</v>
      </c>
      <c r="P517" t="n">
        <v>0</v>
      </c>
      <c r="Q517" t="n">
        <v>0</v>
      </c>
      <c r="R517" s="2" t="inlineStr"/>
    </row>
    <row r="518" ht="15" customHeight="1">
      <c r="A518" t="inlineStr">
        <is>
          <t>A 1081-2023</t>
        </is>
      </c>
      <c r="B518" s="1" t="n">
        <v>44935</v>
      </c>
      <c r="C518" s="1" t="n">
        <v>46094</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47063-2022</t>
        </is>
      </c>
      <c r="B519" s="1" t="n">
        <v>44852</v>
      </c>
      <c r="C519" s="1" t="n">
        <v>46094</v>
      </c>
      <c r="D519" t="inlineStr">
        <is>
          <t>KALMAR LÄN</t>
        </is>
      </c>
      <c r="E519" t="inlineStr">
        <is>
          <t>VIMMERBY</t>
        </is>
      </c>
      <c r="G519" t="n">
        <v>2.5</v>
      </c>
      <c r="H519" t="n">
        <v>0</v>
      </c>
      <c r="I519" t="n">
        <v>0</v>
      </c>
      <c r="J519" t="n">
        <v>0</v>
      </c>
      <c r="K519" t="n">
        <v>0</v>
      </c>
      <c r="L519" t="n">
        <v>0</v>
      </c>
      <c r="M519" t="n">
        <v>0</v>
      </c>
      <c r="N519" t="n">
        <v>0</v>
      </c>
      <c r="O519" t="n">
        <v>0</v>
      </c>
      <c r="P519" t="n">
        <v>0</v>
      </c>
      <c r="Q519" t="n">
        <v>0</v>
      </c>
      <c r="R519" s="2" t="inlineStr"/>
    </row>
    <row r="520" ht="15" customHeight="1">
      <c r="A520" t="inlineStr">
        <is>
          <t>A 33186-2025</t>
        </is>
      </c>
      <c r="B520" s="1" t="n">
        <v>45840.59474537037</v>
      </c>
      <c r="C520" s="1" t="n">
        <v>46094</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28403-2023</t>
        </is>
      </c>
      <c r="B521" s="1" t="n">
        <v>45100.85270833333</v>
      </c>
      <c r="C521" s="1" t="n">
        <v>46094</v>
      </c>
      <c r="D521" t="inlineStr">
        <is>
          <t>KALMAR LÄN</t>
        </is>
      </c>
      <c r="E521" t="inlineStr">
        <is>
          <t>VIMMERBY</t>
        </is>
      </c>
      <c r="G521" t="n">
        <v>1.8</v>
      </c>
      <c r="H521" t="n">
        <v>0</v>
      </c>
      <c r="I521" t="n">
        <v>0</v>
      </c>
      <c r="J521" t="n">
        <v>0</v>
      </c>
      <c r="K521" t="n">
        <v>0</v>
      </c>
      <c r="L521" t="n">
        <v>0</v>
      </c>
      <c r="M521" t="n">
        <v>0</v>
      </c>
      <c r="N521" t="n">
        <v>0</v>
      </c>
      <c r="O521" t="n">
        <v>0</v>
      </c>
      <c r="P521" t="n">
        <v>0</v>
      </c>
      <c r="Q521" t="n">
        <v>0</v>
      </c>
      <c r="R521" s="2" t="inlineStr"/>
    </row>
    <row r="522" ht="15" customHeight="1">
      <c r="A522" t="inlineStr">
        <is>
          <t>A 25236-2023</t>
        </is>
      </c>
      <c r="B522" s="1" t="n">
        <v>45086.63334490741</v>
      </c>
      <c r="C522" s="1" t="n">
        <v>46094</v>
      </c>
      <c r="D522" t="inlineStr">
        <is>
          <t>KALMAR LÄN</t>
        </is>
      </c>
      <c r="E522" t="inlineStr">
        <is>
          <t>VIMMERBY</t>
        </is>
      </c>
      <c r="G522" t="n">
        <v>0.9</v>
      </c>
      <c r="H522" t="n">
        <v>0</v>
      </c>
      <c r="I522" t="n">
        <v>0</v>
      </c>
      <c r="J522" t="n">
        <v>0</v>
      </c>
      <c r="K522" t="n">
        <v>0</v>
      </c>
      <c r="L522" t="n">
        <v>0</v>
      </c>
      <c r="M522" t="n">
        <v>0</v>
      </c>
      <c r="N522" t="n">
        <v>0</v>
      </c>
      <c r="O522" t="n">
        <v>0</v>
      </c>
      <c r="P522" t="n">
        <v>0</v>
      </c>
      <c r="Q522" t="n">
        <v>0</v>
      </c>
      <c r="R522" s="2" t="inlineStr"/>
    </row>
    <row r="523" ht="15" customHeight="1">
      <c r="A523" t="inlineStr">
        <is>
          <t>A 33695-2025</t>
        </is>
      </c>
      <c r="B523" s="1" t="n">
        <v>45841.70569444444</v>
      </c>
      <c r="C523" s="1" t="n">
        <v>46094</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33698-2025</t>
        </is>
      </c>
      <c r="B524" s="1" t="n">
        <v>45841.70868055556</v>
      </c>
      <c r="C524" s="1" t="n">
        <v>46094</v>
      </c>
      <c r="D524" t="inlineStr">
        <is>
          <t>KALMAR LÄN</t>
        </is>
      </c>
      <c r="E524" t="inlineStr">
        <is>
          <t>VIMMERBY</t>
        </is>
      </c>
      <c r="G524" t="n">
        <v>3.7</v>
      </c>
      <c r="H524" t="n">
        <v>0</v>
      </c>
      <c r="I524" t="n">
        <v>0</v>
      </c>
      <c r="J524" t="n">
        <v>0</v>
      </c>
      <c r="K524" t="n">
        <v>0</v>
      </c>
      <c r="L524" t="n">
        <v>0</v>
      </c>
      <c r="M524" t="n">
        <v>0</v>
      </c>
      <c r="N524" t="n">
        <v>0</v>
      </c>
      <c r="O524" t="n">
        <v>0</v>
      </c>
      <c r="P524" t="n">
        <v>0</v>
      </c>
      <c r="Q524" t="n">
        <v>0</v>
      </c>
      <c r="R524" s="2" t="inlineStr"/>
    </row>
    <row r="525" ht="15" customHeight="1">
      <c r="A525" t="inlineStr">
        <is>
          <t>A 33103-2024</t>
        </is>
      </c>
      <c r="B525" s="1" t="n">
        <v>45517.8162037037</v>
      </c>
      <c r="C525" s="1" t="n">
        <v>46094</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39807-2025</t>
        </is>
      </c>
      <c r="B526" s="1" t="n">
        <v>45891.50986111111</v>
      </c>
      <c r="C526" s="1" t="n">
        <v>46094</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39736-2025</t>
        </is>
      </c>
      <c r="B527" s="1" t="n">
        <v>45891</v>
      </c>
      <c r="C527" s="1" t="n">
        <v>46094</v>
      </c>
      <c r="D527" t="inlineStr">
        <is>
          <t>KALMAR LÄN</t>
        </is>
      </c>
      <c r="E527" t="inlineStr">
        <is>
          <t>VIMMERBY</t>
        </is>
      </c>
      <c r="G527" t="n">
        <v>12.8</v>
      </c>
      <c r="H527" t="n">
        <v>0</v>
      </c>
      <c r="I527" t="n">
        <v>0</v>
      </c>
      <c r="J527" t="n">
        <v>0</v>
      </c>
      <c r="K527" t="n">
        <v>0</v>
      </c>
      <c r="L527" t="n">
        <v>0</v>
      </c>
      <c r="M527" t="n">
        <v>0</v>
      </c>
      <c r="N527" t="n">
        <v>0</v>
      </c>
      <c r="O527" t="n">
        <v>0</v>
      </c>
      <c r="P527" t="n">
        <v>0</v>
      </c>
      <c r="Q527" t="n">
        <v>0</v>
      </c>
      <c r="R527" s="2" t="inlineStr"/>
    </row>
    <row r="528" ht="15" customHeight="1">
      <c r="A528" t="inlineStr">
        <is>
          <t>A 30977-2025</t>
        </is>
      </c>
      <c r="B528" s="1" t="n">
        <v>45832.46649305556</v>
      </c>
      <c r="C528" s="1" t="n">
        <v>46094</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33696-2025</t>
        </is>
      </c>
      <c r="B529" s="1" t="n">
        <v>45841.7072337963</v>
      </c>
      <c r="C529" s="1" t="n">
        <v>46094</v>
      </c>
      <c r="D529" t="inlineStr">
        <is>
          <t>KALMAR LÄN</t>
        </is>
      </c>
      <c r="E529" t="inlineStr">
        <is>
          <t>VIMMERBY</t>
        </is>
      </c>
      <c r="G529" t="n">
        <v>1.1</v>
      </c>
      <c r="H529" t="n">
        <v>0</v>
      </c>
      <c r="I529" t="n">
        <v>0</v>
      </c>
      <c r="J529" t="n">
        <v>0</v>
      </c>
      <c r="K529" t="n">
        <v>0</v>
      </c>
      <c r="L529" t="n">
        <v>0</v>
      </c>
      <c r="M529" t="n">
        <v>0</v>
      </c>
      <c r="N529" t="n">
        <v>0</v>
      </c>
      <c r="O529" t="n">
        <v>0</v>
      </c>
      <c r="P529" t="n">
        <v>0</v>
      </c>
      <c r="Q529" t="n">
        <v>0</v>
      </c>
      <c r="R529" s="2" t="inlineStr"/>
    </row>
    <row r="530" ht="15" customHeight="1">
      <c r="A530" t="inlineStr">
        <is>
          <t>A 2260-2022</t>
        </is>
      </c>
      <c r="B530" s="1" t="n">
        <v>44578.62943287037</v>
      </c>
      <c r="C530" s="1" t="n">
        <v>46094</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6082-2022</t>
        </is>
      </c>
      <c r="B531" s="1" t="n">
        <v>44599</v>
      </c>
      <c r="C531" s="1" t="n">
        <v>46094</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11661-2023</t>
        </is>
      </c>
      <c r="B532" s="1" t="n">
        <v>44994.46908564815</v>
      </c>
      <c r="C532" s="1" t="n">
        <v>46094</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58046-2022</t>
        </is>
      </c>
      <c r="B533" s="1" t="n">
        <v>44900.57393518519</v>
      </c>
      <c r="C533" s="1" t="n">
        <v>46094</v>
      </c>
      <c r="D533" t="inlineStr">
        <is>
          <t>KALMAR LÄN</t>
        </is>
      </c>
      <c r="E533" t="inlineStr">
        <is>
          <t>VIMMERBY</t>
        </is>
      </c>
      <c r="G533" t="n">
        <v>2.5</v>
      </c>
      <c r="H533" t="n">
        <v>0</v>
      </c>
      <c r="I533" t="n">
        <v>0</v>
      </c>
      <c r="J533" t="n">
        <v>0</v>
      </c>
      <c r="K533" t="n">
        <v>0</v>
      </c>
      <c r="L533" t="n">
        <v>0</v>
      </c>
      <c r="M533" t="n">
        <v>0</v>
      </c>
      <c r="N533" t="n">
        <v>0</v>
      </c>
      <c r="O533" t="n">
        <v>0</v>
      </c>
      <c r="P533" t="n">
        <v>0</v>
      </c>
      <c r="Q533" t="n">
        <v>0</v>
      </c>
      <c r="R533" s="2" t="inlineStr"/>
    </row>
    <row r="534" ht="15" customHeight="1">
      <c r="A534" t="inlineStr">
        <is>
          <t>A 45528-2021</t>
        </is>
      </c>
      <c r="B534" s="1" t="n">
        <v>44440.60415509259</v>
      </c>
      <c r="C534" s="1" t="n">
        <v>46094</v>
      </c>
      <c r="D534" t="inlineStr">
        <is>
          <t>KALMAR LÄN</t>
        </is>
      </c>
      <c r="E534" t="inlineStr">
        <is>
          <t>VIMMERBY</t>
        </is>
      </c>
      <c r="G534" t="n">
        <v>2.2</v>
      </c>
      <c r="H534" t="n">
        <v>0</v>
      </c>
      <c r="I534" t="n">
        <v>0</v>
      </c>
      <c r="J534" t="n">
        <v>0</v>
      </c>
      <c r="K534" t="n">
        <v>0</v>
      </c>
      <c r="L534" t="n">
        <v>0</v>
      </c>
      <c r="M534" t="n">
        <v>0</v>
      </c>
      <c r="N534" t="n">
        <v>0</v>
      </c>
      <c r="O534" t="n">
        <v>0</v>
      </c>
      <c r="P534" t="n">
        <v>0</v>
      </c>
      <c r="Q534" t="n">
        <v>0</v>
      </c>
      <c r="R534" s="2" t="inlineStr"/>
    </row>
    <row r="535" ht="15" customHeight="1">
      <c r="A535" t="inlineStr">
        <is>
          <t>A 46979-2023</t>
        </is>
      </c>
      <c r="B535" s="1" t="n">
        <v>45201</v>
      </c>
      <c r="C535" s="1" t="n">
        <v>46094</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2801-2023</t>
        </is>
      </c>
      <c r="B536" s="1" t="n">
        <v>44944.73487268519</v>
      </c>
      <c r="C536" s="1" t="n">
        <v>46094</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6574-2023</t>
        </is>
      </c>
      <c r="B537" s="1" t="n">
        <v>44966</v>
      </c>
      <c r="C537" s="1" t="n">
        <v>46094</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5146-2024</t>
        </is>
      </c>
      <c r="B538" s="1" t="n">
        <v>45330</v>
      </c>
      <c r="C538" s="1" t="n">
        <v>46094</v>
      </c>
      <c r="D538" t="inlineStr">
        <is>
          <t>KALMAR LÄN</t>
        </is>
      </c>
      <c r="E538" t="inlineStr">
        <is>
          <t>VIMMERBY</t>
        </is>
      </c>
      <c r="G538" t="n">
        <v>5.3</v>
      </c>
      <c r="H538" t="n">
        <v>0</v>
      </c>
      <c r="I538" t="n">
        <v>0</v>
      </c>
      <c r="J538" t="n">
        <v>0</v>
      </c>
      <c r="K538" t="n">
        <v>0</v>
      </c>
      <c r="L538" t="n">
        <v>0</v>
      </c>
      <c r="M538" t="n">
        <v>0</v>
      </c>
      <c r="N538" t="n">
        <v>0</v>
      </c>
      <c r="O538" t="n">
        <v>0</v>
      </c>
      <c r="P538" t="n">
        <v>0</v>
      </c>
      <c r="Q538" t="n">
        <v>0</v>
      </c>
      <c r="R538" s="2" t="inlineStr"/>
    </row>
    <row r="539" ht="15" customHeight="1">
      <c r="A539" t="inlineStr">
        <is>
          <t>A 5148-2024</t>
        </is>
      </c>
      <c r="B539" s="1" t="n">
        <v>45330</v>
      </c>
      <c r="C539" s="1" t="n">
        <v>46094</v>
      </c>
      <c r="D539" t="inlineStr">
        <is>
          <t>KALMAR LÄN</t>
        </is>
      </c>
      <c r="E539" t="inlineStr">
        <is>
          <t>VIMMERBY</t>
        </is>
      </c>
      <c r="G539" t="n">
        <v>5.6</v>
      </c>
      <c r="H539" t="n">
        <v>0</v>
      </c>
      <c r="I539" t="n">
        <v>0</v>
      </c>
      <c r="J539" t="n">
        <v>0</v>
      </c>
      <c r="K539" t="n">
        <v>0</v>
      </c>
      <c r="L539" t="n">
        <v>0</v>
      </c>
      <c r="M539" t="n">
        <v>0</v>
      </c>
      <c r="N539" t="n">
        <v>0</v>
      </c>
      <c r="O539" t="n">
        <v>0</v>
      </c>
      <c r="P539" t="n">
        <v>0</v>
      </c>
      <c r="Q539" t="n">
        <v>0</v>
      </c>
      <c r="R539" s="2" t="inlineStr"/>
    </row>
    <row r="540" ht="15" customHeight="1">
      <c r="A540" t="inlineStr">
        <is>
          <t>A 26956-2025</t>
        </is>
      </c>
      <c r="B540" s="1" t="n">
        <v>45811.45460648148</v>
      </c>
      <c r="C540" s="1" t="n">
        <v>46094</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58278-2023</t>
        </is>
      </c>
      <c r="B541" s="1" t="n">
        <v>45250.5278587963</v>
      </c>
      <c r="C541" s="1" t="n">
        <v>46094</v>
      </c>
      <c r="D541" t="inlineStr">
        <is>
          <t>KALMAR LÄN</t>
        </is>
      </c>
      <c r="E541" t="inlineStr">
        <is>
          <t>VIMMERBY</t>
        </is>
      </c>
      <c r="G541" t="n">
        <v>1.8</v>
      </c>
      <c r="H541" t="n">
        <v>0</v>
      </c>
      <c r="I541" t="n">
        <v>0</v>
      </c>
      <c r="J541" t="n">
        <v>0</v>
      </c>
      <c r="K541" t="n">
        <v>0</v>
      </c>
      <c r="L541" t="n">
        <v>0</v>
      </c>
      <c r="M541" t="n">
        <v>0</v>
      </c>
      <c r="N541" t="n">
        <v>0</v>
      </c>
      <c r="O541" t="n">
        <v>0</v>
      </c>
      <c r="P541" t="n">
        <v>0</v>
      </c>
      <c r="Q541" t="n">
        <v>0</v>
      </c>
      <c r="R541" s="2" t="inlineStr"/>
    </row>
    <row r="542" ht="15" customHeight="1">
      <c r="A542" t="inlineStr">
        <is>
          <t>A 22266-2023</t>
        </is>
      </c>
      <c r="B542" s="1" t="n">
        <v>45070</v>
      </c>
      <c r="C542" s="1" t="n">
        <v>46094</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52588-2023</t>
        </is>
      </c>
      <c r="B543" s="1" t="n">
        <v>45225.60192129629</v>
      </c>
      <c r="C543" s="1" t="n">
        <v>46094</v>
      </c>
      <c r="D543" t="inlineStr">
        <is>
          <t>KALMAR LÄN</t>
        </is>
      </c>
      <c r="E543" t="inlineStr">
        <is>
          <t>VIMMERBY</t>
        </is>
      </c>
      <c r="G543" t="n">
        <v>2.9</v>
      </c>
      <c r="H543" t="n">
        <v>0</v>
      </c>
      <c r="I543" t="n">
        <v>0</v>
      </c>
      <c r="J543" t="n">
        <v>0</v>
      </c>
      <c r="K543" t="n">
        <v>0</v>
      </c>
      <c r="L543" t="n">
        <v>0</v>
      </c>
      <c r="M543" t="n">
        <v>0</v>
      </c>
      <c r="N543" t="n">
        <v>0</v>
      </c>
      <c r="O543" t="n">
        <v>0</v>
      </c>
      <c r="P543" t="n">
        <v>0</v>
      </c>
      <c r="Q543" t="n">
        <v>0</v>
      </c>
      <c r="R543" s="2" t="inlineStr"/>
    </row>
    <row r="544" ht="15" customHeight="1">
      <c r="A544" t="inlineStr">
        <is>
          <t>A 4058-2024</t>
        </is>
      </c>
      <c r="B544" s="1" t="n">
        <v>45323.53744212963</v>
      </c>
      <c r="C544" s="1" t="n">
        <v>46094</v>
      </c>
      <c r="D544" t="inlineStr">
        <is>
          <t>KALMAR LÄN</t>
        </is>
      </c>
      <c r="E544" t="inlineStr">
        <is>
          <t>VIMMERBY</t>
        </is>
      </c>
      <c r="G544" t="n">
        <v>6.5</v>
      </c>
      <c r="H544" t="n">
        <v>0</v>
      </c>
      <c r="I544" t="n">
        <v>0</v>
      </c>
      <c r="J544" t="n">
        <v>0</v>
      </c>
      <c r="K544" t="n">
        <v>0</v>
      </c>
      <c r="L544" t="n">
        <v>0</v>
      </c>
      <c r="M544" t="n">
        <v>0</v>
      </c>
      <c r="N544" t="n">
        <v>0</v>
      </c>
      <c r="O544" t="n">
        <v>0</v>
      </c>
      <c r="P544" t="n">
        <v>0</v>
      </c>
      <c r="Q544" t="n">
        <v>0</v>
      </c>
      <c r="R544" s="2" t="inlineStr"/>
    </row>
    <row r="545" ht="15" customHeight="1">
      <c r="A545" t="inlineStr">
        <is>
          <t>A 34071-2025</t>
        </is>
      </c>
      <c r="B545" s="1" t="n">
        <v>45845.43803240741</v>
      </c>
      <c r="C545" s="1" t="n">
        <v>46094</v>
      </c>
      <c r="D545" t="inlineStr">
        <is>
          <t>KALMAR LÄN</t>
        </is>
      </c>
      <c r="E545" t="inlineStr">
        <is>
          <t>VIMMERBY</t>
        </is>
      </c>
      <c r="G545" t="n">
        <v>6.8</v>
      </c>
      <c r="H545" t="n">
        <v>0</v>
      </c>
      <c r="I545" t="n">
        <v>0</v>
      </c>
      <c r="J545" t="n">
        <v>0</v>
      </c>
      <c r="K545" t="n">
        <v>0</v>
      </c>
      <c r="L545" t="n">
        <v>0</v>
      </c>
      <c r="M545" t="n">
        <v>0</v>
      </c>
      <c r="N545" t="n">
        <v>0</v>
      </c>
      <c r="O545" t="n">
        <v>0</v>
      </c>
      <c r="P545" t="n">
        <v>0</v>
      </c>
      <c r="Q545" t="n">
        <v>0</v>
      </c>
      <c r="R545" s="2" t="inlineStr"/>
    </row>
    <row r="546" ht="15" customHeight="1">
      <c r="A546" t="inlineStr">
        <is>
          <t>A 34106-2025</t>
        </is>
      </c>
      <c r="B546" s="1" t="n">
        <v>45845.49414351852</v>
      </c>
      <c r="C546" s="1" t="n">
        <v>46094</v>
      </c>
      <c r="D546" t="inlineStr">
        <is>
          <t>KALMAR LÄN</t>
        </is>
      </c>
      <c r="E546" t="inlineStr">
        <is>
          <t>VIMMERBY</t>
        </is>
      </c>
      <c r="G546" t="n">
        <v>6</v>
      </c>
      <c r="H546" t="n">
        <v>0</v>
      </c>
      <c r="I546" t="n">
        <v>0</v>
      </c>
      <c r="J546" t="n">
        <v>0</v>
      </c>
      <c r="K546" t="n">
        <v>0</v>
      </c>
      <c r="L546" t="n">
        <v>0</v>
      </c>
      <c r="M546" t="n">
        <v>0</v>
      </c>
      <c r="N546" t="n">
        <v>0</v>
      </c>
      <c r="O546" t="n">
        <v>0</v>
      </c>
      <c r="P546" t="n">
        <v>0</v>
      </c>
      <c r="Q546" t="n">
        <v>0</v>
      </c>
      <c r="R546" s="2" t="inlineStr"/>
    </row>
    <row r="547" ht="15" customHeight="1">
      <c r="A547" t="inlineStr">
        <is>
          <t>A 6802-2025</t>
        </is>
      </c>
      <c r="B547" s="1" t="n">
        <v>45700.68289351852</v>
      </c>
      <c r="C547" s="1" t="n">
        <v>46094</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1978-2024</t>
        </is>
      </c>
      <c r="B548" s="1" t="n">
        <v>45308.59001157407</v>
      </c>
      <c r="C548" s="1" t="n">
        <v>46094</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28702-2025</t>
        </is>
      </c>
      <c r="B549" s="1" t="n">
        <v>45820.03976851852</v>
      </c>
      <c r="C549" s="1" t="n">
        <v>46094</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46094</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30318-2023</t>
        </is>
      </c>
      <c r="B551" s="1" t="n">
        <v>45111.30824074074</v>
      </c>
      <c r="C551" s="1" t="n">
        <v>46094</v>
      </c>
      <c r="D551" t="inlineStr">
        <is>
          <t>KALMAR LÄN</t>
        </is>
      </c>
      <c r="E551" t="inlineStr">
        <is>
          <t>VIMMERBY</t>
        </is>
      </c>
      <c r="G551" t="n">
        <v>2.6</v>
      </c>
      <c r="H551" t="n">
        <v>0</v>
      </c>
      <c r="I551" t="n">
        <v>0</v>
      </c>
      <c r="J551" t="n">
        <v>0</v>
      </c>
      <c r="K551" t="n">
        <v>0</v>
      </c>
      <c r="L551" t="n">
        <v>0</v>
      </c>
      <c r="M551" t="n">
        <v>0</v>
      </c>
      <c r="N551" t="n">
        <v>0</v>
      </c>
      <c r="O551" t="n">
        <v>0</v>
      </c>
      <c r="P551" t="n">
        <v>0</v>
      </c>
      <c r="Q551" t="n">
        <v>0</v>
      </c>
      <c r="R551" s="2" t="inlineStr"/>
    </row>
    <row r="552" ht="15" customHeight="1">
      <c r="A552" t="inlineStr">
        <is>
          <t>A 25234-2023</t>
        </is>
      </c>
      <c r="B552" s="1" t="n">
        <v>45086.63194444445</v>
      </c>
      <c r="C552" s="1" t="n">
        <v>46094</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527-2024</t>
        </is>
      </c>
      <c r="B553" s="1" t="n">
        <v>45299.47513888889</v>
      </c>
      <c r="C553" s="1" t="n">
        <v>46094</v>
      </c>
      <c r="D553" t="inlineStr">
        <is>
          <t>KALMAR LÄN</t>
        </is>
      </c>
      <c r="E553" t="inlineStr">
        <is>
          <t>VIMMERBY</t>
        </is>
      </c>
      <c r="G553" t="n">
        <v>2.2</v>
      </c>
      <c r="H553" t="n">
        <v>0</v>
      </c>
      <c r="I553" t="n">
        <v>0</v>
      </c>
      <c r="J553" t="n">
        <v>0</v>
      </c>
      <c r="K553" t="n">
        <v>0</v>
      </c>
      <c r="L553" t="n">
        <v>0</v>
      </c>
      <c r="M553" t="n">
        <v>0</v>
      </c>
      <c r="N553" t="n">
        <v>0</v>
      </c>
      <c r="O553" t="n">
        <v>0</v>
      </c>
      <c r="P553" t="n">
        <v>0</v>
      </c>
      <c r="Q553" t="n">
        <v>0</v>
      </c>
      <c r="R553" s="2" t="inlineStr"/>
    </row>
    <row r="554" ht="15" customHeight="1">
      <c r="A554" t="inlineStr">
        <is>
          <t>A 46078-2023</t>
        </is>
      </c>
      <c r="B554" s="1" t="n">
        <v>45196</v>
      </c>
      <c r="C554" s="1" t="n">
        <v>46094</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60230-2022</t>
        </is>
      </c>
      <c r="B555" s="1" t="n">
        <v>44910</v>
      </c>
      <c r="C555" s="1" t="n">
        <v>46094</v>
      </c>
      <c r="D555" t="inlineStr">
        <is>
          <t>KALMAR LÄN</t>
        </is>
      </c>
      <c r="E555" t="inlineStr">
        <is>
          <t>VIMMERBY</t>
        </is>
      </c>
      <c r="G555" t="n">
        <v>11.3</v>
      </c>
      <c r="H555" t="n">
        <v>0</v>
      </c>
      <c r="I555" t="n">
        <v>0</v>
      </c>
      <c r="J555" t="n">
        <v>0</v>
      </c>
      <c r="K555" t="n">
        <v>0</v>
      </c>
      <c r="L555" t="n">
        <v>0</v>
      </c>
      <c r="M555" t="n">
        <v>0</v>
      </c>
      <c r="N555" t="n">
        <v>0</v>
      </c>
      <c r="O555" t="n">
        <v>0</v>
      </c>
      <c r="P555" t="n">
        <v>0</v>
      </c>
      <c r="Q555" t="n">
        <v>0</v>
      </c>
      <c r="R555" s="2" t="inlineStr"/>
    </row>
    <row r="556" ht="15" customHeight="1">
      <c r="A556" t="inlineStr">
        <is>
          <t>A 39803-2025</t>
        </is>
      </c>
      <c r="B556" s="1" t="n">
        <v>45891.50525462963</v>
      </c>
      <c r="C556" s="1" t="n">
        <v>46094</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5925-2022</t>
        </is>
      </c>
      <c r="B557" s="1" t="n">
        <v>44598.7384837963</v>
      </c>
      <c r="C557" s="1" t="n">
        <v>46094</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3609-2024</t>
        </is>
      </c>
      <c r="B558" s="1" t="n">
        <v>45320.89128472222</v>
      </c>
      <c r="C558" s="1" t="n">
        <v>46094</v>
      </c>
      <c r="D558" t="inlineStr">
        <is>
          <t>KALMAR LÄN</t>
        </is>
      </c>
      <c r="E558" t="inlineStr">
        <is>
          <t>VIMMERBY</t>
        </is>
      </c>
      <c r="G558" t="n">
        <v>1.7</v>
      </c>
      <c r="H558" t="n">
        <v>0</v>
      </c>
      <c r="I558" t="n">
        <v>0</v>
      </c>
      <c r="J558" t="n">
        <v>0</v>
      </c>
      <c r="K558" t="n">
        <v>0</v>
      </c>
      <c r="L558" t="n">
        <v>0</v>
      </c>
      <c r="M558" t="n">
        <v>0</v>
      </c>
      <c r="N558" t="n">
        <v>0</v>
      </c>
      <c r="O558" t="n">
        <v>0</v>
      </c>
      <c r="P558" t="n">
        <v>0</v>
      </c>
      <c r="Q558" t="n">
        <v>0</v>
      </c>
      <c r="R558" s="2" t="inlineStr"/>
    </row>
    <row r="559" ht="15" customHeight="1">
      <c r="A559" t="inlineStr">
        <is>
          <t>A 34628-2025</t>
        </is>
      </c>
      <c r="B559" s="1" t="n">
        <v>45847.91280092593</v>
      </c>
      <c r="C559" s="1" t="n">
        <v>46094</v>
      </c>
      <c r="D559" t="inlineStr">
        <is>
          <t>KALMAR LÄN</t>
        </is>
      </c>
      <c r="E559" t="inlineStr">
        <is>
          <t>VIMMERBY</t>
        </is>
      </c>
      <c r="G559" t="n">
        <v>4.2</v>
      </c>
      <c r="H559" t="n">
        <v>0</v>
      </c>
      <c r="I559" t="n">
        <v>0</v>
      </c>
      <c r="J559" t="n">
        <v>0</v>
      </c>
      <c r="K559" t="n">
        <v>0</v>
      </c>
      <c r="L559" t="n">
        <v>0</v>
      </c>
      <c r="M559" t="n">
        <v>0</v>
      </c>
      <c r="N559" t="n">
        <v>0</v>
      </c>
      <c r="O559" t="n">
        <v>0</v>
      </c>
      <c r="P559" t="n">
        <v>0</v>
      </c>
      <c r="Q559" t="n">
        <v>0</v>
      </c>
      <c r="R559" s="2" t="inlineStr"/>
    </row>
    <row r="560" ht="15" customHeight="1">
      <c r="A560" t="inlineStr">
        <is>
          <t>A 10424-2023</t>
        </is>
      </c>
      <c r="B560" s="1" t="n">
        <v>44987.54104166666</v>
      </c>
      <c r="C560" s="1" t="n">
        <v>46094</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46522-2022</t>
        </is>
      </c>
      <c r="B561" s="1" t="n">
        <v>44848.59133101852</v>
      </c>
      <c r="C561" s="1" t="n">
        <v>46094</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39889-2025</t>
        </is>
      </c>
      <c r="B562" s="1" t="n">
        <v>45891</v>
      </c>
      <c r="C562" s="1" t="n">
        <v>46094</v>
      </c>
      <c r="D562" t="inlineStr">
        <is>
          <t>KALMAR LÄN</t>
        </is>
      </c>
      <c r="E562" t="inlineStr">
        <is>
          <t>VIMMERBY</t>
        </is>
      </c>
      <c r="G562" t="n">
        <v>4.5</v>
      </c>
      <c r="H562" t="n">
        <v>0</v>
      </c>
      <c r="I562" t="n">
        <v>0</v>
      </c>
      <c r="J562" t="n">
        <v>0</v>
      </c>
      <c r="K562" t="n">
        <v>0</v>
      </c>
      <c r="L562" t="n">
        <v>0</v>
      </c>
      <c r="M562" t="n">
        <v>0</v>
      </c>
      <c r="N562" t="n">
        <v>0</v>
      </c>
      <c r="O562" t="n">
        <v>0</v>
      </c>
      <c r="P562" t="n">
        <v>0</v>
      </c>
      <c r="Q562" t="n">
        <v>0</v>
      </c>
      <c r="R562" s="2" t="inlineStr"/>
    </row>
    <row r="563" ht="15" customHeight="1">
      <c r="A563" t="inlineStr">
        <is>
          <t>A 49382-2023</t>
        </is>
      </c>
      <c r="B563" s="1" t="n">
        <v>45208</v>
      </c>
      <c r="C563" s="1" t="n">
        <v>46094</v>
      </c>
      <c r="D563" t="inlineStr">
        <is>
          <t>KALMAR LÄN</t>
        </is>
      </c>
      <c r="E563" t="inlineStr">
        <is>
          <t>VIMMERBY</t>
        </is>
      </c>
      <c r="G563" t="n">
        <v>2.2</v>
      </c>
      <c r="H563" t="n">
        <v>0</v>
      </c>
      <c r="I563" t="n">
        <v>0</v>
      </c>
      <c r="J563" t="n">
        <v>0</v>
      </c>
      <c r="K563" t="n">
        <v>0</v>
      </c>
      <c r="L563" t="n">
        <v>0</v>
      </c>
      <c r="M563" t="n">
        <v>0</v>
      </c>
      <c r="N563" t="n">
        <v>0</v>
      </c>
      <c r="O563" t="n">
        <v>0</v>
      </c>
      <c r="P563" t="n">
        <v>0</v>
      </c>
      <c r="Q563" t="n">
        <v>0</v>
      </c>
      <c r="R563" s="2" t="inlineStr"/>
    </row>
    <row r="564" ht="15" customHeight="1">
      <c r="A564" t="inlineStr">
        <is>
          <t>A 12810-2023</t>
        </is>
      </c>
      <c r="B564" s="1" t="n">
        <v>45001.43854166667</v>
      </c>
      <c r="C564" s="1" t="n">
        <v>46094</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44585.51060185185</v>
      </c>
      <c r="C565" s="1" t="n">
        <v>46094</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60675-2023</t>
        </is>
      </c>
      <c r="B566" s="1" t="n">
        <v>45260.4716550926</v>
      </c>
      <c r="C566" s="1" t="n">
        <v>46094</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41066-2024</t>
        </is>
      </c>
      <c r="B567" s="1" t="n">
        <v>45559.38876157408</v>
      </c>
      <c r="C567" s="1" t="n">
        <v>46094</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2536-2023</t>
        </is>
      </c>
      <c r="B568" s="1" t="n">
        <v>44943.62954861111</v>
      </c>
      <c r="C568" s="1" t="n">
        <v>46094</v>
      </c>
      <c r="D568" t="inlineStr">
        <is>
          <t>KALMAR LÄN</t>
        </is>
      </c>
      <c r="E568" t="inlineStr">
        <is>
          <t>VIMMERBY</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52279-2023</t>
        </is>
      </c>
      <c r="B569" s="1" t="n">
        <v>45224</v>
      </c>
      <c r="C569" s="1" t="n">
        <v>46094</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17486-2024</t>
        </is>
      </c>
      <c r="B570" s="1" t="n">
        <v>45415.48979166667</v>
      </c>
      <c r="C570" s="1" t="n">
        <v>46094</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11111-2024</t>
        </is>
      </c>
      <c r="B571" s="1" t="n">
        <v>45371.36359953704</v>
      </c>
      <c r="C571" s="1" t="n">
        <v>46094</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71631-2021</t>
        </is>
      </c>
      <c r="B572" s="1" t="n">
        <v>44542.90072916666</v>
      </c>
      <c r="C572" s="1" t="n">
        <v>46094</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1687-2023</t>
        </is>
      </c>
      <c r="B573" s="1" t="n">
        <v>44938</v>
      </c>
      <c r="C573" s="1" t="n">
        <v>46094</v>
      </c>
      <c r="D573" t="inlineStr">
        <is>
          <t>KALMAR LÄN</t>
        </is>
      </c>
      <c r="E573" t="inlineStr">
        <is>
          <t>VIMMERBY</t>
        </is>
      </c>
      <c r="F573" t="inlineStr">
        <is>
          <t>Kommuner</t>
        </is>
      </c>
      <c r="G573" t="n">
        <v>2.5</v>
      </c>
      <c r="H573" t="n">
        <v>0</v>
      </c>
      <c r="I573" t="n">
        <v>0</v>
      </c>
      <c r="J573" t="n">
        <v>0</v>
      </c>
      <c r="K573" t="n">
        <v>0</v>
      </c>
      <c r="L573" t="n">
        <v>0</v>
      </c>
      <c r="M573" t="n">
        <v>0</v>
      </c>
      <c r="N573" t="n">
        <v>0</v>
      </c>
      <c r="O573" t="n">
        <v>0</v>
      </c>
      <c r="P573" t="n">
        <v>0</v>
      </c>
      <c r="Q573" t="n">
        <v>0</v>
      </c>
      <c r="R573" s="2" t="inlineStr"/>
    </row>
    <row r="574" ht="15" customHeight="1">
      <c r="A574" t="inlineStr">
        <is>
          <t>A 35270-2025</t>
        </is>
      </c>
      <c r="B574" s="1" t="n">
        <v>45853.87112268519</v>
      </c>
      <c r="C574" s="1" t="n">
        <v>46094</v>
      </c>
      <c r="D574" t="inlineStr">
        <is>
          <t>KALMAR LÄN</t>
        </is>
      </c>
      <c r="E574" t="inlineStr">
        <is>
          <t>VIMMERBY</t>
        </is>
      </c>
      <c r="G574" t="n">
        <v>2.4</v>
      </c>
      <c r="H574" t="n">
        <v>0</v>
      </c>
      <c r="I574" t="n">
        <v>0</v>
      </c>
      <c r="J574" t="n">
        <v>0</v>
      </c>
      <c r="K574" t="n">
        <v>0</v>
      </c>
      <c r="L574" t="n">
        <v>0</v>
      </c>
      <c r="M574" t="n">
        <v>0</v>
      </c>
      <c r="N574" t="n">
        <v>0</v>
      </c>
      <c r="O574" t="n">
        <v>0</v>
      </c>
      <c r="P574" t="n">
        <v>0</v>
      </c>
      <c r="Q574" t="n">
        <v>0</v>
      </c>
      <c r="R574" s="2" t="inlineStr"/>
    </row>
    <row r="575" ht="15" customHeight="1">
      <c r="A575" t="inlineStr">
        <is>
          <t>A 35271-2025</t>
        </is>
      </c>
      <c r="B575" s="1" t="n">
        <v>45853.87599537037</v>
      </c>
      <c r="C575" s="1" t="n">
        <v>46094</v>
      </c>
      <c r="D575" t="inlineStr">
        <is>
          <t>KALMAR LÄN</t>
        </is>
      </c>
      <c r="E575" t="inlineStr">
        <is>
          <t>VIMMERBY</t>
        </is>
      </c>
      <c r="G575" t="n">
        <v>0.4</v>
      </c>
      <c r="H575" t="n">
        <v>0</v>
      </c>
      <c r="I575" t="n">
        <v>0</v>
      </c>
      <c r="J575" t="n">
        <v>0</v>
      </c>
      <c r="K575" t="n">
        <v>0</v>
      </c>
      <c r="L575" t="n">
        <v>0</v>
      </c>
      <c r="M575" t="n">
        <v>0</v>
      </c>
      <c r="N575" t="n">
        <v>0</v>
      </c>
      <c r="O575" t="n">
        <v>0</v>
      </c>
      <c r="P575" t="n">
        <v>0</v>
      </c>
      <c r="Q575" t="n">
        <v>0</v>
      </c>
      <c r="R575" s="2" t="inlineStr"/>
    </row>
    <row r="576" ht="15" customHeight="1">
      <c r="A576" t="inlineStr">
        <is>
          <t>A 35272-2025</t>
        </is>
      </c>
      <c r="B576" s="1" t="n">
        <v>45853.88070601852</v>
      </c>
      <c r="C576" s="1" t="n">
        <v>46094</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16015-2025</t>
        </is>
      </c>
      <c r="B577" s="1" t="n">
        <v>45749.60487268519</v>
      </c>
      <c r="C577" s="1" t="n">
        <v>46094</v>
      </c>
      <c r="D577" t="inlineStr">
        <is>
          <t>KALMAR LÄN</t>
        </is>
      </c>
      <c r="E577" t="inlineStr">
        <is>
          <t>VIMMERBY</t>
        </is>
      </c>
      <c r="F577" t="inlineStr">
        <is>
          <t>Kyrkan</t>
        </is>
      </c>
      <c r="G577" t="n">
        <v>2.7</v>
      </c>
      <c r="H577" t="n">
        <v>0</v>
      </c>
      <c r="I577" t="n">
        <v>0</v>
      </c>
      <c r="J577" t="n">
        <v>0</v>
      </c>
      <c r="K577" t="n">
        <v>0</v>
      </c>
      <c r="L577" t="n">
        <v>0</v>
      </c>
      <c r="M577" t="n">
        <v>0</v>
      </c>
      <c r="N577" t="n">
        <v>0</v>
      </c>
      <c r="O577" t="n">
        <v>0</v>
      </c>
      <c r="P577" t="n">
        <v>0</v>
      </c>
      <c r="Q577" t="n">
        <v>0</v>
      </c>
      <c r="R577" s="2" t="inlineStr"/>
    </row>
    <row r="578" ht="15" customHeight="1">
      <c r="A578" t="inlineStr">
        <is>
          <t>A 16953-2025</t>
        </is>
      </c>
      <c r="B578" s="1" t="n">
        <v>45755.44333333334</v>
      </c>
      <c r="C578" s="1" t="n">
        <v>46094</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3494-2023</t>
        </is>
      </c>
      <c r="B579" s="1" t="n">
        <v>44949</v>
      </c>
      <c r="C579" s="1" t="n">
        <v>46094</v>
      </c>
      <c r="D579" t="inlineStr">
        <is>
          <t>KALMAR LÄN</t>
        </is>
      </c>
      <c r="E579" t="inlineStr">
        <is>
          <t>VIMMERBY</t>
        </is>
      </c>
      <c r="F579" t="inlineStr">
        <is>
          <t>Kyrkan</t>
        </is>
      </c>
      <c r="G579" t="n">
        <v>0.8</v>
      </c>
      <c r="H579" t="n">
        <v>0</v>
      </c>
      <c r="I579" t="n">
        <v>0</v>
      </c>
      <c r="J579" t="n">
        <v>0</v>
      </c>
      <c r="K579" t="n">
        <v>0</v>
      </c>
      <c r="L579" t="n">
        <v>0</v>
      </c>
      <c r="M579" t="n">
        <v>0</v>
      </c>
      <c r="N579" t="n">
        <v>0</v>
      </c>
      <c r="O579" t="n">
        <v>0</v>
      </c>
      <c r="P579" t="n">
        <v>0</v>
      </c>
      <c r="Q579" t="n">
        <v>0</v>
      </c>
      <c r="R579" s="2" t="inlineStr"/>
    </row>
    <row r="580" ht="15" customHeight="1">
      <c r="A580" t="inlineStr">
        <is>
          <t>A 35596-2025</t>
        </is>
      </c>
      <c r="B580" s="1" t="n">
        <v>45858.60641203704</v>
      </c>
      <c r="C580" s="1" t="n">
        <v>46094</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9694-2023</t>
        </is>
      </c>
      <c r="B581" s="1" t="n">
        <v>44984.45895833334</v>
      </c>
      <c r="C581" s="1" t="n">
        <v>46094</v>
      </c>
      <c r="D581" t="inlineStr">
        <is>
          <t>KALMAR LÄN</t>
        </is>
      </c>
      <c r="E581" t="inlineStr">
        <is>
          <t>VIMMERBY</t>
        </is>
      </c>
      <c r="G581" t="n">
        <v>2.1</v>
      </c>
      <c r="H581" t="n">
        <v>0</v>
      </c>
      <c r="I581" t="n">
        <v>0</v>
      </c>
      <c r="J581" t="n">
        <v>0</v>
      </c>
      <c r="K581" t="n">
        <v>0</v>
      </c>
      <c r="L581" t="n">
        <v>0</v>
      </c>
      <c r="M581" t="n">
        <v>0</v>
      </c>
      <c r="N581" t="n">
        <v>0</v>
      </c>
      <c r="O581" t="n">
        <v>0</v>
      </c>
      <c r="P581" t="n">
        <v>0</v>
      </c>
      <c r="Q581" t="n">
        <v>0</v>
      </c>
      <c r="R581" s="2" t="inlineStr"/>
    </row>
    <row r="582" ht="15" customHeight="1">
      <c r="A582" t="inlineStr">
        <is>
          <t>A 35597-2025</t>
        </is>
      </c>
      <c r="B582" s="1" t="n">
        <v>45858.66019675926</v>
      </c>
      <c r="C582" s="1" t="n">
        <v>46094</v>
      </c>
      <c r="D582" t="inlineStr">
        <is>
          <t>KALMAR LÄN</t>
        </is>
      </c>
      <c r="E582" t="inlineStr">
        <is>
          <t>VIMMERBY</t>
        </is>
      </c>
      <c r="G582" t="n">
        <v>6.4</v>
      </c>
      <c r="H582" t="n">
        <v>0</v>
      </c>
      <c r="I582" t="n">
        <v>0</v>
      </c>
      <c r="J582" t="n">
        <v>0</v>
      </c>
      <c r="K582" t="n">
        <v>0</v>
      </c>
      <c r="L582" t="n">
        <v>0</v>
      </c>
      <c r="M582" t="n">
        <v>0</v>
      </c>
      <c r="N582" t="n">
        <v>0</v>
      </c>
      <c r="O582" t="n">
        <v>0</v>
      </c>
      <c r="P582" t="n">
        <v>0</v>
      </c>
      <c r="Q582" t="n">
        <v>0</v>
      </c>
      <c r="R582" s="2" t="inlineStr"/>
    </row>
    <row r="583" ht="15" customHeight="1">
      <c r="A583" t="inlineStr">
        <is>
          <t>A 22198-2024</t>
        </is>
      </c>
      <c r="B583" s="1" t="n">
        <v>45446.36865740741</v>
      </c>
      <c r="C583" s="1" t="n">
        <v>46094</v>
      </c>
      <c r="D583" t="inlineStr">
        <is>
          <t>KALMAR LÄN</t>
        </is>
      </c>
      <c r="E583" t="inlineStr">
        <is>
          <t>VIMMERBY</t>
        </is>
      </c>
      <c r="F583" t="inlineStr">
        <is>
          <t>Sveaskog</t>
        </is>
      </c>
      <c r="G583" t="n">
        <v>2.3</v>
      </c>
      <c r="H583" t="n">
        <v>0</v>
      </c>
      <c r="I583" t="n">
        <v>0</v>
      </c>
      <c r="J583" t="n">
        <v>0</v>
      </c>
      <c r="K583" t="n">
        <v>0</v>
      </c>
      <c r="L583" t="n">
        <v>0</v>
      </c>
      <c r="M583" t="n">
        <v>0</v>
      </c>
      <c r="N583" t="n">
        <v>0</v>
      </c>
      <c r="O583" t="n">
        <v>0</v>
      </c>
      <c r="P583" t="n">
        <v>0</v>
      </c>
      <c r="Q583" t="n">
        <v>0</v>
      </c>
      <c r="R583" s="2" t="inlineStr"/>
    </row>
    <row r="584" ht="15" customHeight="1">
      <c r="A584" t="inlineStr">
        <is>
          <t>A 57311-2023</t>
        </is>
      </c>
      <c r="B584" s="1" t="n">
        <v>45245.63574074074</v>
      </c>
      <c r="C584" s="1" t="n">
        <v>46094</v>
      </c>
      <c r="D584" t="inlineStr">
        <is>
          <t>KALMAR LÄN</t>
        </is>
      </c>
      <c r="E584" t="inlineStr">
        <is>
          <t>VIMMERBY</t>
        </is>
      </c>
      <c r="G584" t="n">
        <v>1.6</v>
      </c>
      <c r="H584" t="n">
        <v>0</v>
      </c>
      <c r="I584" t="n">
        <v>0</v>
      </c>
      <c r="J584" t="n">
        <v>0</v>
      </c>
      <c r="K584" t="n">
        <v>0</v>
      </c>
      <c r="L584" t="n">
        <v>0</v>
      </c>
      <c r="M584" t="n">
        <v>0</v>
      </c>
      <c r="N584" t="n">
        <v>0</v>
      </c>
      <c r="O584" t="n">
        <v>0</v>
      </c>
      <c r="P584" t="n">
        <v>0</v>
      </c>
      <c r="Q584" t="n">
        <v>0</v>
      </c>
      <c r="R584" s="2" t="inlineStr"/>
    </row>
    <row r="585" ht="15" customHeight="1">
      <c r="A585" t="inlineStr">
        <is>
          <t>A 15449-2023</t>
        </is>
      </c>
      <c r="B585" s="1" t="n">
        <v>45020</v>
      </c>
      <c r="C585" s="1" t="n">
        <v>46094</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12588-2025</t>
        </is>
      </c>
      <c r="B586" s="1" t="n">
        <v>45732.76936342593</v>
      </c>
      <c r="C586" s="1" t="n">
        <v>46094</v>
      </c>
      <c r="D586" t="inlineStr">
        <is>
          <t>KALMAR LÄN</t>
        </is>
      </c>
      <c r="E586" t="inlineStr">
        <is>
          <t>VIMMERBY</t>
        </is>
      </c>
      <c r="G586" t="n">
        <v>1.6</v>
      </c>
      <c r="H586" t="n">
        <v>0</v>
      </c>
      <c r="I586" t="n">
        <v>0</v>
      </c>
      <c r="J586" t="n">
        <v>0</v>
      </c>
      <c r="K586" t="n">
        <v>0</v>
      </c>
      <c r="L586" t="n">
        <v>0</v>
      </c>
      <c r="M586" t="n">
        <v>0</v>
      </c>
      <c r="N586" t="n">
        <v>0</v>
      </c>
      <c r="O586" t="n">
        <v>0</v>
      </c>
      <c r="P586" t="n">
        <v>0</v>
      </c>
      <c r="Q586" t="n">
        <v>0</v>
      </c>
      <c r="R586" s="2" t="inlineStr"/>
    </row>
    <row r="587" ht="15" customHeight="1">
      <c r="A587" t="inlineStr">
        <is>
          <t>A 43242-2024</t>
        </is>
      </c>
      <c r="B587" s="1" t="n">
        <v>45568.30189814815</v>
      </c>
      <c r="C587" s="1" t="n">
        <v>46094</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7932-2025</t>
        </is>
      </c>
      <c r="B588" s="1" t="n">
        <v>45707.3793287037</v>
      </c>
      <c r="C588" s="1" t="n">
        <v>46094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56853-2022</t>
        </is>
      </c>
      <c r="B589" s="1" t="n">
        <v>44894.49538194444</v>
      </c>
      <c r="C589" s="1" t="n">
        <v>46094</v>
      </c>
      <c r="D589" t="inlineStr">
        <is>
          <t>KALMAR LÄN</t>
        </is>
      </c>
      <c r="E589" t="inlineStr">
        <is>
          <t>VIMMERBY</t>
        </is>
      </c>
      <c r="G589" t="n">
        <v>4.3</v>
      </c>
      <c r="H589" t="n">
        <v>0</v>
      </c>
      <c r="I589" t="n">
        <v>0</v>
      </c>
      <c r="J589" t="n">
        <v>0</v>
      </c>
      <c r="K589" t="n">
        <v>0</v>
      </c>
      <c r="L589" t="n">
        <v>0</v>
      </c>
      <c r="M589" t="n">
        <v>0</v>
      </c>
      <c r="N589" t="n">
        <v>0</v>
      </c>
      <c r="O589" t="n">
        <v>0</v>
      </c>
      <c r="P589" t="n">
        <v>0</v>
      </c>
      <c r="Q589" t="n">
        <v>0</v>
      </c>
      <c r="R589" s="2" t="inlineStr"/>
    </row>
    <row r="590" ht="15" customHeight="1">
      <c r="A590" t="inlineStr">
        <is>
          <t>A 2121-2022</t>
        </is>
      </c>
      <c r="B590" s="1" t="n">
        <v>44578.32717592592</v>
      </c>
      <c r="C590" s="1" t="n">
        <v>46094</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36226-2025</t>
        </is>
      </c>
      <c r="B591" s="1" t="n">
        <v>45867.51630787037</v>
      </c>
      <c r="C591" s="1" t="n">
        <v>46094</v>
      </c>
      <c r="D591" t="inlineStr">
        <is>
          <t>KALMAR LÄN</t>
        </is>
      </c>
      <c r="E591" t="inlineStr">
        <is>
          <t>VIMMERBY</t>
        </is>
      </c>
      <c r="G591" t="n">
        <v>3.1</v>
      </c>
      <c r="H591" t="n">
        <v>0</v>
      </c>
      <c r="I591" t="n">
        <v>0</v>
      </c>
      <c r="J591" t="n">
        <v>0</v>
      </c>
      <c r="K591" t="n">
        <v>0</v>
      </c>
      <c r="L591" t="n">
        <v>0</v>
      </c>
      <c r="M591" t="n">
        <v>0</v>
      </c>
      <c r="N591" t="n">
        <v>0</v>
      </c>
      <c r="O591" t="n">
        <v>0</v>
      </c>
      <c r="P591" t="n">
        <v>0</v>
      </c>
      <c r="Q591" t="n">
        <v>0</v>
      </c>
      <c r="R591" s="2" t="inlineStr"/>
    </row>
    <row r="592" ht="15" customHeight="1">
      <c r="A592" t="inlineStr">
        <is>
          <t>A 36273-2025</t>
        </is>
      </c>
      <c r="B592" s="1" t="n">
        <v>45867.63094907408</v>
      </c>
      <c r="C592" s="1" t="n">
        <v>46094</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36282-2025</t>
        </is>
      </c>
      <c r="B593" s="1" t="n">
        <v>45867.64663194444</v>
      </c>
      <c r="C593" s="1" t="n">
        <v>46094</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36246-2025</t>
        </is>
      </c>
      <c r="B594" s="1" t="n">
        <v>45867.56320601852</v>
      </c>
      <c r="C594" s="1" t="n">
        <v>46094</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34386-2024</t>
        </is>
      </c>
      <c r="B595" s="1" t="n">
        <v>45525.41762731481</v>
      </c>
      <c r="C595" s="1" t="n">
        <v>46094</v>
      </c>
      <c r="D595" t="inlineStr">
        <is>
          <t>KALMAR LÄN</t>
        </is>
      </c>
      <c r="E595" t="inlineStr">
        <is>
          <t>VIMMERBY</t>
        </is>
      </c>
      <c r="G595" t="n">
        <v>0.3</v>
      </c>
      <c r="H595" t="n">
        <v>0</v>
      </c>
      <c r="I595" t="n">
        <v>0</v>
      </c>
      <c r="J595" t="n">
        <v>0</v>
      </c>
      <c r="K595" t="n">
        <v>0</v>
      </c>
      <c r="L595" t="n">
        <v>0</v>
      </c>
      <c r="M595" t="n">
        <v>0</v>
      </c>
      <c r="N595" t="n">
        <v>0</v>
      </c>
      <c r="O595" t="n">
        <v>0</v>
      </c>
      <c r="P595" t="n">
        <v>0</v>
      </c>
      <c r="Q595" t="n">
        <v>0</v>
      </c>
      <c r="R595" s="2" t="inlineStr"/>
    </row>
    <row r="596" ht="15" customHeight="1">
      <c r="A596" t="inlineStr">
        <is>
          <t>A 36297-2025</t>
        </is>
      </c>
      <c r="B596" s="1" t="n">
        <v>45867.68625</v>
      </c>
      <c r="C596" s="1" t="n">
        <v>46094</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33815-2022</t>
        </is>
      </c>
      <c r="B597" s="1" t="n">
        <v>44790.45876157407</v>
      </c>
      <c r="C597" s="1" t="n">
        <v>46094</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33842-2022</t>
        </is>
      </c>
      <c r="B598" s="1" t="n">
        <v>44790.49523148148</v>
      </c>
      <c r="C598" s="1" t="n">
        <v>46094</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6069-2023</t>
        </is>
      </c>
      <c r="B599" s="1" t="n">
        <v>44964.5115162037</v>
      </c>
      <c r="C599" s="1" t="n">
        <v>46094</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36221-2025</t>
        </is>
      </c>
      <c r="B600" s="1" t="n">
        <v>45867.50792824074</v>
      </c>
      <c r="C600" s="1" t="n">
        <v>46094</v>
      </c>
      <c r="D600" t="inlineStr">
        <is>
          <t>KALMAR LÄN</t>
        </is>
      </c>
      <c r="E600" t="inlineStr">
        <is>
          <t>VIMMERBY</t>
        </is>
      </c>
      <c r="G600" t="n">
        <v>2.5</v>
      </c>
      <c r="H600" t="n">
        <v>0</v>
      </c>
      <c r="I600" t="n">
        <v>0</v>
      </c>
      <c r="J600" t="n">
        <v>0</v>
      </c>
      <c r="K600" t="n">
        <v>0</v>
      </c>
      <c r="L600" t="n">
        <v>0</v>
      </c>
      <c r="M600" t="n">
        <v>0</v>
      </c>
      <c r="N600" t="n">
        <v>0</v>
      </c>
      <c r="O600" t="n">
        <v>0</v>
      </c>
      <c r="P600" t="n">
        <v>0</v>
      </c>
      <c r="Q600" t="n">
        <v>0</v>
      </c>
      <c r="R600" s="2" t="inlineStr"/>
    </row>
    <row r="601" ht="15" customHeight="1">
      <c r="A601" t="inlineStr">
        <is>
          <t>A 19502-2025</t>
        </is>
      </c>
      <c r="B601" s="1" t="n">
        <v>45769</v>
      </c>
      <c r="C601" s="1" t="n">
        <v>46094</v>
      </c>
      <c r="D601" t="inlineStr">
        <is>
          <t>KALMAR LÄN</t>
        </is>
      </c>
      <c r="E601" t="inlineStr">
        <is>
          <t>VIMMERBY</t>
        </is>
      </c>
      <c r="G601" t="n">
        <v>1.9</v>
      </c>
      <c r="H601" t="n">
        <v>0</v>
      </c>
      <c r="I601" t="n">
        <v>0</v>
      </c>
      <c r="J601" t="n">
        <v>0</v>
      </c>
      <c r="K601" t="n">
        <v>0</v>
      </c>
      <c r="L601" t="n">
        <v>0</v>
      </c>
      <c r="M601" t="n">
        <v>0</v>
      </c>
      <c r="N601" t="n">
        <v>0</v>
      </c>
      <c r="O601" t="n">
        <v>0</v>
      </c>
      <c r="P601" t="n">
        <v>0</v>
      </c>
      <c r="Q601" t="n">
        <v>0</v>
      </c>
      <c r="R601" s="2" t="inlineStr"/>
    </row>
    <row r="602" ht="15" customHeight="1">
      <c r="A602" t="inlineStr">
        <is>
          <t>A 36299-2025</t>
        </is>
      </c>
      <c r="B602" s="1" t="n">
        <v>45867.69346064814</v>
      </c>
      <c r="C602" s="1" t="n">
        <v>46094</v>
      </c>
      <c r="D602" t="inlineStr">
        <is>
          <t>KALMAR LÄN</t>
        </is>
      </c>
      <c r="E602" t="inlineStr">
        <is>
          <t>VIMMERBY</t>
        </is>
      </c>
      <c r="G602" t="n">
        <v>7.6</v>
      </c>
      <c r="H602" t="n">
        <v>0</v>
      </c>
      <c r="I602" t="n">
        <v>0</v>
      </c>
      <c r="J602" t="n">
        <v>0</v>
      </c>
      <c r="K602" t="n">
        <v>0</v>
      </c>
      <c r="L602" t="n">
        <v>0</v>
      </c>
      <c r="M602" t="n">
        <v>0</v>
      </c>
      <c r="N602" t="n">
        <v>0</v>
      </c>
      <c r="O602" t="n">
        <v>0</v>
      </c>
      <c r="P602" t="n">
        <v>0</v>
      </c>
      <c r="Q602" t="n">
        <v>0</v>
      </c>
      <c r="R602" s="2" t="inlineStr"/>
    </row>
    <row r="603" ht="15" customHeight="1">
      <c r="A603" t="inlineStr">
        <is>
          <t>A 32633-2023</t>
        </is>
      </c>
      <c r="B603" s="1" t="n">
        <v>45121.58699074074</v>
      </c>
      <c r="C603" s="1" t="n">
        <v>46094</v>
      </c>
      <c r="D603" t="inlineStr">
        <is>
          <t>KALMAR LÄN</t>
        </is>
      </c>
      <c r="E603" t="inlineStr">
        <is>
          <t>VIMMERBY</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36538-2025</t>
        </is>
      </c>
      <c r="B604" s="1" t="n">
        <v>45869.62276620371</v>
      </c>
      <c r="C604" s="1" t="n">
        <v>46094</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49408-2023</t>
        </is>
      </c>
      <c r="B605" s="1" t="n">
        <v>45211.43555555555</v>
      </c>
      <c r="C605" s="1" t="n">
        <v>46094</v>
      </c>
      <c r="D605" t="inlineStr">
        <is>
          <t>KALMAR LÄN</t>
        </is>
      </c>
      <c r="E605" t="inlineStr">
        <is>
          <t>VIMMERBY</t>
        </is>
      </c>
      <c r="G605" t="n">
        <v>13.1</v>
      </c>
      <c r="H605" t="n">
        <v>0</v>
      </c>
      <c r="I605" t="n">
        <v>0</v>
      </c>
      <c r="J605" t="n">
        <v>0</v>
      </c>
      <c r="K605" t="n">
        <v>0</v>
      </c>
      <c r="L605" t="n">
        <v>0</v>
      </c>
      <c r="M605" t="n">
        <v>0</v>
      </c>
      <c r="N605" t="n">
        <v>0</v>
      </c>
      <c r="O605" t="n">
        <v>0</v>
      </c>
      <c r="P605" t="n">
        <v>0</v>
      </c>
      <c r="Q605" t="n">
        <v>0</v>
      </c>
      <c r="R605" s="2" t="inlineStr"/>
    </row>
    <row r="606" ht="15" customHeight="1">
      <c r="A606" t="inlineStr">
        <is>
          <t>A 56536-2022</t>
        </is>
      </c>
      <c r="B606" s="1" t="n">
        <v>44893</v>
      </c>
      <c r="C606" s="1" t="n">
        <v>46094</v>
      </c>
      <c r="D606" t="inlineStr">
        <is>
          <t>KALMAR LÄN</t>
        </is>
      </c>
      <c r="E606" t="inlineStr">
        <is>
          <t>VIMMERBY</t>
        </is>
      </c>
      <c r="G606" t="n">
        <v>3.2</v>
      </c>
      <c r="H606" t="n">
        <v>0</v>
      </c>
      <c r="I606" t="n">
        <v>0</v>
      </c>
      <c r="J606" t="n">
        <v>0</v>
      </c>
      <c r="K606" t="n">
        <v>0</v>
      </c>
      <c r="L606" t="n">
        <v>0</v>
      </c>
      <c r="M606" t="n">
        <v>0</v>
      </c>
      <c r="N606" t="n">
        <v>0</v>
      </c>
      <c r="O606" t="n">
        <v>0</v>
      </c>
      <c r="P606" t="n">
        <v>0</v>
      </c>
      <c r="Q606" t="n">
        <v>0</v>
      </c>
      <c r="R606" s="2" t="inlineStr"/>
    </row>
    <row r="607" ht="15" customHeight="1">
      <c r="A607" t="inlineStr">
        <is>
          <t>A 49461-2023</t>
        </is>
      </c>
      <c r="B607" s="1" t="n">
        <v>45211.52642361111</v>
      </c>
      <c r="C607" s="1" t="n">
        <v>46094</v>
      </c>
      <c r="D607" t="inlineStr">
        <is>
          <t>KALMAR LÄN</t>
        </is>
      </c>
      <c r="E607" t="inlineStr">
        <is>
          <t>VIMMERBY</t>
        </is>
      </c>
      <c r="G607" t="n">
        <v>1.5</v>
      </c>
      <c r="H607" t="n">
        <v>0</v>
      </c>
      <c r="I607" t="n">
        <v>0</v>
      </c>
      <c r="J607" t="n">
        <v>0</v>
      </c>
      <c r="K607" t="n">
        <v>0</v>
      </c>
      <c r="L607" t="n">
        <v>0</v>
      </c>
      <c r="M607" t="n">
        <v>0</v>
      </c>
      <c r="N607" t="n">
        <v>0</v>
      </c>
      <c r="O607" t="n">
        <v>0</v>
      </c>
      <c r="P607" t="n">
        <v>0</v>
      </c>
      <c r="Q607" t="n">
        <v>0</v>
      </c>
      <c r="R607" s="2" t="inlineStr"/>
    </row>
    <row r="608" ht="15" customHeight="1">
      <c r="A608" t="inlineStr">
        <is>
          <t>A 41199-2023</t>
        </is>
      </c>
      <c r="B608" s="1" t="n">
        <v>45174.40454861111</v>
      </c>
      <c r="C608" s="1" t="n">
        <v>46094</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23095-2023</t>
        </is>
      </c>
      <c r="B609" s="1" t="n">
        <v>45075.43059027778</v>
      </c>
      <c r="C609" s="1" t="n">
        <v>46094</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11429-2022</t>
        </is>
      </c>
      <c r="B610" s="1" t="n">
        <v>44630</v>
      </c>
      <c r="C610" s="1" t="n">
        <v>46094</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36598-2025</t>
        </is>
      </c>
      <c r="B611" s="1" t="n">
        <v>45870.51708333333</v>
      </c>
      <c r="C611" s="1" t="n">
        <v>46094</v>
      </c>
      <c r="D611" t="inlineStr">
        <is>
          <t>KALMAR LÄN</t>
        </is>
      </c>
      <c r="E611" t="inlineStr">
        <is>
          <t>VIMMERBY</t>
        </is>
      </c>
      <c r="G611" t="n">
        <v>3.7</v>
      </c>
      <c r="H611" t="n">
        <v>0</v>
      </c>
      <c r="I611" t="n">
        <v>0</v>
      </c>
      <c r="J611" t="n">
        <v>0</v>
      </c>
      <c r="K611" t="n">
        <v>0</v>
      </c>
      <c r="L611" t="n">
        <v>0</v>
      </c>
      <c r="M611" t="n">
        <v>0</v>
      </c>
      <c r="N611" t="n">
        <v>0</v>
      </c>
      <c r="O611" t="n">
        <v>0</v>
      </c>
      <c r="P611" t="n">
        <v>0</v>
      </c>
      <c r="Q611" t="n">
        <v>0</v>
      </c>
      <c r="R611" s="2" t="inlineStr"/>
    </row>
    <row r="612" ht="15" customHeight="1">
      <c r="A612" t="inlineStr">
        <is>
          <t>A 36602-2025</t>
        </is>
      </c>
      <c r="B612" s="1" t="n">
        <v>45870.52111111111</v>
      </c>
      <c r="C612" s="1" t="n">
        <v>46094</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11141-2024</t>
        </is>
      </c>
      <c r="B613" s="1" t="n">
        <v>45371.45865740741</v>
      </c>
      <c r="C613" s="1" t="n">
        <v>46094</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8945-2025</t>
        </is>
      </c>
      <c r="B614" s="1" t="n">
        <v>45713.45311342592</v>
      </c>
      <c r="C614" s="1" t="n">
        <v>46094</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28395-2023</t>
        </is>
      </c>
      <c r="B615" s="1" t="n">
        <v>45100.4062962963</v>
      </c>
      <c r="C615" s="1" t="n">
        <v>46094</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34597-2022</t>
        </is>
      </c>
      <c r="B616" s="1" t="n">
        <v>44795</v>
      </c>
      <c r="C616" s="1" t="n">
        <v>46094</v>
      </c>
      <c r="D616" t="inlineStr">
        <is>
          <t>KALMAR LÄN</t>
        </is>
      </c>
      <c r="E616" t="inlineStr">
        <is>
          <t>VIMMERBY</t>
        </is>
      </c>
      <c r="G616" t="n">
        <v>2.2</v>
      </c>
      <c r="H616" t="n">
        <v>0</v>
      </c>
      <c r="I616" t="n">
        <v>0</v>
      </c>
      <c r="J616" t="n">
        <v>0</v>
      </c>
      <c r="K616" t="n">
        <v>0</v>
      </c>
      <c r="L616" t="n">
        <v>0</v>
      </c>
      <c r="M616" t="n">
        <v>0</v>
      </c>
      <c r="N616" t="n">
        <v>0</v>
      </c>
      <c r="O616" t="n">
        <v>0</v>
      </c>
      <c r="P616" t="n">
        <v>0</v>
      </c>
      <c r="Q616" t="n">
        <v>0</v>
      </c>
      <c r="R616" s="2" t="inlineStr"/>
    </row>
    <row r="617" ht="15" customHeight="1">
      <c r="A617" t="inlineStr">
        <is>
          <t>A 11619-2023</t>
        </is>
      </c>
      <c r="B617" s="1" t="n">
        <v>44994.42113425926</v>
      </c>
      <c r="C617" s="1" t="n">
        <v>46094</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36603-2025</t>
        </is>
      </c>
      <c r="B618" s="1" t="n">
        <v>45870.52142361111</v>
      </c>
      <c r="C618" s="1" t="n">
        <v>46094</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41896-2023</t>
        </is>
      </c>
      <c r="B619" s="1" t="n">
        <v>45176.72427083334</v>
      </c>
      <c r="C619" s="1" t="n">
        <v>46094</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36600-2025</t>
        </is>
      </c>
      <c r="B620" s="1" t="n">
        <v>45870.51958333333</v>
      </c>
      <c r="C620" s="1" t="n">
        <v>46094</v>
      </c>
      <c r="D620" t="inlineStr">
        <is>
          <t>KALMAR LÄN</t>
        </is>
      </c>
      <c r="E620" t="inlineStr">
        <is>
          <t>VIMMERBY</t>
        </is>
      </c>
      <c r="G620" t="n">
        <v>2</v>
      </c>
      <c r="H620" t="n">
        <v>0</v>
      </c>
      <c r="I620" t="n">
        <v>0</v>
      </c>
      <c r="J620" t="n">
        <v>0</v>
      </c>
      <c r="K620" t="n">
        <v>0</v>
      </c>
      <c r="L620" t="n">
        <v>0</v>
      </c>
      <c r="M620" t="n">
        <v>0</v>
      </c>
      <c r="N620" t="n">
        <v>0</v>
      </c>
      <c r="O620" t="n">
        <v>0</v>
      </c>
      <c r="P620" t="n">
        <v>0</v>
      </c>
      <c r="Q620" t="n">
        <v>0</v>
      </c>
      <c r="R620" s="2" t="inlineStr"/>
    </row>
    <row r="621" ht="15" customHeight="1">
      <c r="A621" t="inlineStr">
        <is>
          <t>A 36601-2025</t>
        </is>
      </c>
      <c r="B621" s="1" t="n">
        <v>45870.52005787037</v>
      </c>
      <c r="C621" s="1" t="n">
        <v>46094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64428-2023</t>
        </is>
      </c>
      <c r="B622" s="1" t="n">
        <v>45280.66769675926</v>
      </c>
      <c r="C622" s="1" t="n">
        <v>46094</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30588-2023</t>
        </is>
      </c>
      <c r="B623" s="1" t="n">
        <v>45112.33599537037</v>
      </c>
      <c r="C623" s="1" t="n">
        <v>46094</v>
      </c>
      <c r="D623" t="inlineStr">
        <is>
          <t>KALMAR LÄN</t>
        </is>
      </c>
      <c r="E623" t="inlineStr">
        <is>
          <t>VIMMERBY</t>
        </is>
      </c>
      <c r="G623" t="n">
        <v>2.7</v>
      </c>
      <c r="H623" t="n">
        <v>0</v>
      </c>
      <c r="I623" t="n">
        <v>0</v>
      </c>
      <c r="J623" t="n">
        <v>0</v>
      </c>
      <c r="K623" t="n">
        <v>0</v>
      </c>
      <c r="L623" t="n">
        <v>0</v>
      </c>
      <c r="M623" t="n">
        <v>0</v>
      </c>
      <c r="N623" t="n">
        <v>0</v>
      </c>
      <c r="O623" t="n">
        <v>0</v>
      </c>
      <c r="P623" t="n">
        <v>0</v>
      </c>
      <c r="Q623" t="n">
        <v>0</v>
      </c>
      <c r="R623" s="2" t="inlineStr"/>
    </row>
    <row r="624" ht="15" customHeight="1">
      <c r="A624" t="inlineStr">
        <is>
          <t>A 30503-2023</t>
        </is>
      </c>
      <c r="B624" s="1" t="n">
        <v>45111</v>
      </c>
      <c r="C624" s="1" t="n">
        <v>46094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37088-2025</t>
        </is>
      </c>
      <c r="B625" s="1" t="n">
        <v>45875.45716435185</v>
      </c>
      <c r="C625" s="1" t="n">
        <v>46094</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37102-2025</t>
        </is>
      </c>
      <c r="B626" s="1" t="n">
        <v>45875.47454861111</v>
      </c>
      <c r="C626" s="1" t="n">
        <v>46094</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17926-2025</t>
        </is>
      </c>
      <c r="B627" s="1" t="n">
        <v>45759.38987268518</v>
      </c>
      <c r="C627" s="1" t="n">
        <v>46094</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21028-2023</t>
        </is>
      </c>
      <c r="B628" s="1" t="n">
        <v>45061</v>
      </c>
      <c r="C628" s="1" t="n">
        <v>46094</v>
      </c>
      <c r="D628" t="inlineStr">
        <is>
          <t>KALMAR LÄN</t>
        </is>
      </c>
      <c r="E628" t="inlineStr">
        <is>
          <t>VIMMERBY</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37079-2025</t>
        </is>
      </c>
      <c r="B629" s="1" t="n">
        <v>45875.42716435185</v>
      </c>
      <c r="C629" s="1" t="n">
        <v>46094</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47263-2023</t>
        </is>
      </c>
      <c r="B630" s="1" t="n">
        <v>45202.4209837963</v>
      </c>
      <c r="C630" s="1" t="n">
        <v>46094</v>
      </c>
      <c r="D630" t="inlineStr">
        <is>
          <t>KALMAR LÄN</t>
        </is>
      </c>
      <c r="E630" t="inlineStr">
        <is>
          <t>VIMMERBY</t>
        </is>
      </c>
      <c r="G630" t="n">
        <v>1.8</v>
      </c>
      <c r="H630" t="n">
        <v>0</v>
      </c>
      <c r="I630" t="n">
        <v>0</v>
      </c>
      <c r="J630" t="n">
        <v>0</v>
      </c>
      <c r="K630" t="n">
        <v>0</v>
      </c>
      <c r="L630" t="n">
        <v>0</v>
      </c>
      <c r="M630" t="n">
        <v>0</v>
      </c>
      <c r="N630" t="n">
        <v>0</v>
      </c>
      <c r="O630" t="n">
        <v>0</v>
      </c>
      <c r="P630" t="n">
        <v>0</v>
      </c>
      <c r="Q630" t="n">
        <v>0</v>
      </c>
      <c r="R630" s="2" t="inlineStr"/>
    </row>
    <row r="631" ht="15" customHeight="1">
      <c r="A631" t="inlineStr">
        <is>
          <t>A 19445-2021</t>
        </is>
      </c>
      <c r="B631" s="1" t="n">
        <v>44310</v>
      </c>
      <c r="C631" s="1" t="n">
        <v>46094</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27122-2023</t>
        </is>
      </c>
      <c r="B632" s="1" t="n">
        <v>45096.45247685185</v>
      </c>
      <c r="C632" s="1" t="n">
        <v>46094</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36934-2025</t>
        </is>
      </c>
      <c r="B633" s="1" t="n">
        <v>45874.57109953704</v>
      </c>
      <c r="C633" s="1" t="n">
        <v>46094</v>
      </c>
      <c r="D633" t="inlineStr">
        <is>
          <t>KALMAR LÄN</t>
        </is>
      </c>
      <c r="E633" t="inlineStr">
        <is>
          <t>VIMMERBY</t>
        </is>
      </c>
      <c r="G633" t="n">
        <v>4.2</v>
      </c>
      <c r="H633" t="n">
        <v>0</v>
      </c>
      <c r="I633" t="n">
        <v>0</v>
      </c>
      <c r="J633" t="n">
        <v>0</v>
      </c>
      <c r="K633" t="n">
        <v>0</v>
      </c>
      <c r="L633" t="n">
        <v>0</v>
      </c>
      <c r="M633" t="n">
        <v>0</v>
      </c>
      <c r="N633" t="n">
        <v>0</v>
      </c>
      <c r="O633" t="n">
        <v>0</v>
      </c>
      <c r="P633" t="n">
        <v>0</v>
      </c>
      <c r="Q633" t="n">
        <v>0</v>
      </c>
      <c r="R633" s="2" t="inlineStr"/>
    </row>
    <row r="634" ht="15" customHeight="1">
      <c r="A634" t="inlineStr">
        <is>
          <t>A 58100-2024</t>
        </is>
      </c>
      <c r="B634" s="1" t="n">
        <v>45632.36706018518</v>
      </c>
      <c r="C634" s="1" t="n">
        <v>46094</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58159-2024</t>
        </is>
      </c>
      <c r="B635" s="1" t="n">
        <v>45632.44886574074</v>
      </c>
      <c r="C635" s="1" t="n">
        <v>46094</v>
      </c>
      <c r="D635" t="inlineStr">
        <is>
          <t>KALMAR LÄN</t>
        </is>
      </c>
      <c r="E635" t="inlineStr">
        <is>
          <t>VIMMERBY</t>
        </is>
      </c>
      <c r="G635" t="n">
        <v>7.5</v>
      </c>
      <c r="H635" t="n">
        <v>0</v>
      </c>
      <c r="I635" t="n">
        <v>0</v>
      </c>
      <c r="J635" t="n">
        <v>0</v>
      </c>
      <c r="K635" t="n">
        <v>0</v>
      </c>
      <c r="L635" t="n">
        <v>0</v>
      </c>
      <c r="M635" t="n">
        <v>0</v>
      </c>
      <c r="N635" t="n">
        <v>0</v>
      </c>
      <c r="O635" t="n">
        <v>0</v>
      </c>
      <c r="P635" t="n">
        <v>0</v>
      </c>
      <c r="Q635" t="n">
        <v>0</v>
      </c>
      <c r="R635" s="2" t="inlineStr"/>
    </row>
    <row r="636" ht="15" customHeight="1">
      <c r="A636" t="inlineStr">
        <is>
          <t>A 13813-2024</t>
        </is>
      </c>
      <c r="B636" s="1" t="n">
        <v>45391.41310185185</v>
      </c>
      <c r="C636" s="1" t="n">
        <v>46094</v>
      </c>
      <c r="D636" t="inlineStr">
        <is>
          <t>KALMAR LÄN</t>
        </is>
      </c>
      <c r="E636" t="inlineStr">
        <is>
          <t>VIMMERBY</t>
        </is>
      </c>
      <c r="G636" t="n">
        <v>0.4</v>
      </c>
      <c r="H636" t="n">
        <v>0</v>
      </c>
      <c r="I636" t="n">
        <v>0</v>
      </c>
      <c r="J636" t="n">
        <v>0</v>
      </c>
      <c r="K636" t="n">
        <v>0</v>
      </c>
      <c r="L636" t="n">
        <v>0</v>
      </c>
      <c r="M636" t="n">
        <v>0</v>
      </c>
      <c r="N636" t="n">
        <v>0</v>
      </c>
      <c r="O636" t="n">
        <v>0</v>
      </c>
      <c r="P636" t="n">
        <v>0</v>
      </c>
      <c r="Q636" t="n">
        <v>0</v>
      </c>
      <c r="R636" s="2" t="inlineStr"/>
    </row>
    <row r="637" ht="15" customHeight="1">
      <c r="A637" t="inlineStr">
        <is>
          <t>A 38969-2023</t>
        </is>
      </c>
      <c r="B637" s="1" t="n">
        <v>45163.63621527778</v>
      </c>
      <c r="C637" s="1" t="n">
        <v>46094</v>
      </c>
      <c r="D637" t="inlineStr">
        <is>
          <t>KALMAR LÄN</t>
        </is>
      </c>
      <c r="E637" t="inlineStr">
        <is>
          <t>VIMMERBY</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57114-2023</t>
        </is>
      </c>
      <c r="B638" s="1" t="n">
        <v>45245.36174768519</v>
      </c>
      <c r="C638" s="1" t="n">
        <v>46094</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3423-2022</t>
        </is>
      </c>
      <c r="B639" s="1" t="n">
        <v>44585.50431712963</v>
      </c>
      <c r="C639" s="1" t="n">
        <v>46094</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26937-2023</t>
        </is>
      </c>
      <c r="B640" s="1" t="n">
        <v>45093.62777777778</v>
      </c>
      <c r="C640" s="1" t="n">
        <v>46094</v>
      </c>
      <c r="D640" t="inlineStr">
        <is>
          <t>KALMAR LÄN</t>
        </is>
      </c>
      <c r="E640" t="inlineStr">
        <is>
          <t>VIMMERBY</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57486-2024</t>
        </is>
      </c>
      <c r="B641" s="1" t="n">
        <v>45630.35827546296</v>
      </c>
      <c r="C641" s="1" t="n">
        <v>46094</v>
      </c>
      <c r="D641" t="inlineStr">
        <is>
          <t>KALMAR LÄN</t>
        </is>
      </c>
      <c r="E641" t="inlineStr">
        <is>
          <t>VIMMERBY</t>
        </is>
      </c>
      <c r="G641" t="n">
        <v>0.4</v>
      </c>
      <c r="H641" t="n">
        <v>0</v>
      </c>
      <c r="I641" t="n">
        <v>0</v>
      </c>
      <c r="J641" t="n">
        <v>0</v>
      </c>
      <c r="K641" t="n">
        <v>0</v>
      </c>
      <c r="L641" t="n">
        <v>0</v>
      </c>
      <c r="M641" t="n">
        <v>0</v>
      </c>
      <c r="N641" t="n">
        <v>0</v>
      </c>
      <c r="O641" t="n">
        <v>0</v>
      </c>
      <c r="P641" t="n">
        <v>0</v>
      </c>
      <c r="Q641" t="n">
        <v>0</v>
      </c>
      <c r="R641" s="2" t="inlineStr"/>
    </row>
    <row r="642" ht="15" customHeight="1">
      <c r="A642" t="inlineStr">
        <is>
          <t>A 43186-2021</t>
        </is>
      </c>
      <c r="B642" s="1" t="n">
        <v>44431.84840277778</v>
      </c>
      <c r="C642" s="1" t="n">
        <v>46094</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40665-2023</t>
        </is>
      </c>
      <c r="B643" s="1" t="n">
        <v>45170</v>
      </c>
      <c r="C643" s="1" t="n">
        <v>46094</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1799-2025</t>
        </is>
      </c>
      <c r="B644" s="1" t="n">
        <v>45671.46746527778</v>
      </c>
      <c r="C644" s="1" t="n">
        <v>46094</v>
      </c>
      <c r="D644" t="inlineStr">
        <is>
          <t>KALMAR LÄN</t>
        </is>
      </c>
      <c r="E644" t="inlineStr">
        <is>
          <t>VIMMERBY</t>
        </is>
      </c>
      <c r="G644" t="n">
        <v>3.3</v>
      </c>
      <c r="H644" t="n">
        <v>0</v>
      </c>
      <c r="I644" t="n">
        <v>0</v>
      </c>
      <c r="J644" t="n">
        <v>0</v>
      </c>
      <c r="K644" t="n">
        <v>0</v>
      </c>
      <c r="L644" t="n">
        <v>0</v>
      </c>
      <c r="M644" t="n">
        <v>0</v>
      </c>
      <c r="N644" t="n">
        <v>0</v>
      </c>
      <c r="O644" t="n">
        <v>0</v>
      </c>
      <c r="P644" t="n">
        <v>0</v>
      </c>
      <c r="Q644" t="n">
        <v>0</v>
      </c>
      <c r="R644" s="2" t="inlineStr"/>
    </row>
    <row r="645" ht="15" customHeight="1">
      <c r="A645" t="inlineStr">
        <is>
          <t>A 30063-2023</t>
        </is>
      </c>
      <c r="B645" s="1" t="n">
        <v>45110.4184375</v>
      </c>
      <c r="C645" s="1" t="n">
        <v>46094</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37578-2025</t>
        </is>
      </c>
      <c r="B646" s="1" t="n">
        <v>45880.38380787037</v>
      </c>
      <c r="C646" s="1" t="n">
        <v>46094</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43068-2023</t>
        </is>
      </c>
      <c r="B647" s="1" t="n">
        <v>45182.78834490741</v>
      </c>
      <c r="C647" s="1" t="n">
        <v>46094</v>
      </c>
      <c r="D647" t="inlineStr">
        <is>
          <t>KALMAR LÄN</t>
        </is>
      </c>
      <c r="E647" t="inlineStr">
        <is>
          <t>VIMMERBY</t>
        </is>
      </c>
      <c r="G647" t="n">
        <v>1.5</v>
      </c>
      <c r="H647" t="n">
        <v>0</v>
      </c>
      <c r="I647" t="n">
        <v>0</v>
      </c>
      <c r="J647" t="n">
        <v>0</v>
      </c>
      <c r="K647" t="n">
        <v>0</v>
      </c>
      <c r="L647" t="n">
        <v>0</v>
      </c>
      <c r="M647" t="n">
        <v>0</v>
      </c>
      <c r="N647" t="n">
        <v>0</v>
      </c>
      <c r="O647" t="n">
        <v>0</v>
      </c>
      <c r="P647" t="n">
        <v>0</v>
      </c>
      <c r="Q647" t="n">
        <v>0</v>
      </c>
      <c r="R647" s="2" t="inlineStr"/>
    </row>
    <row r="648" ht="15" customHeight="1">
      <c r="A648" t="inlineStr">
        <is>
          <t>A 40925-2025</t>
        </is>
      </c>
      <c r="B648" s="1" t="n">
        <v>45897.64208333333</v>
      </c>
      <c r="C648" s="1" t="n">
        <v>46094</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18020-2025</t>
        </is>
      </c>
      <c r="B649" s="1" t="n">
        <v>45761.4437962963</v>
      </c>
      <c r="C649" s="1" t="n">
        <v>46094</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33424-2023</t>
        </is>
      </c>
      <c r="B650" s="1" t="n">
        <v>45128.9325</v>
      </c>
      <c r="C650" s="1" t="n">
        <v>46094</v>
      </c>
      <c r="D650" t="inlineStr">
        <is>
          <t>KALMAR LÄN</t>
        </is>
      </c>
      <c r="E650" t="inlineStr">
        <is>
          <t>VIMMERBY</t>
        </is>
      </c>
      <c r="G650" t="n">
        <v>2.4</v>
      </c>
      <c r="H650" t="n">
        <v>0</v>
      </c>
      <c r="I650" t="n">
        <v>0</v>
      </c>
      <c r="J650" t="n">
        <v>0</v>
      </c>
      <c r="K650" t="n">
        <v>0</v>
      </c>
      <c r="L650" t="n">
        <v>0</v>
      </c>
      <c r="M650" t="n">
        <v>0</v>
      </c>
      <c r="N650" t="n">
        <v>0</v>
      </c>
      <c r="O650" t="n">
        <v>0</v>
      </c>
      <c r="P650" t="n">
        <v>0</v>
      </c>
      <c r="Q650" t="n">
        <v>0</v>
      </c>
      <c r="R650" s="2" t="inlineStr"/>
    </row>
    <row r="651" ht="15" customHeight="1">
      <c r="A651" t="inlineStr">
        <is>
          <t>A 50860-2022</t>
        </is>
      </c>
      <c r="B651" s="1" t="n">
        <v>44867</v>
      </c>
      <c r="C651" s="1" t="n">
        <v>46094</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33425-2023</t>
        </is>
      </c>
      <c r="B652" s="1" t="n">
        <v>45128.93540509259</v>
      </c>
      <c r="C652" s="1" t="n">
        <v>46094</v>
      </c>
      <c r="D652" t="inlineStr">
        <is>
          <t>KALMAR LÄN</t>
        </is>
      </c>
      <c r="E652" t="inlineStr">
        <is>
          <t>VIMMERBY</t>
        </is>
      </c>
      <c r="G652" t="n">
        <v>1.4</v>
      </c>
      <c r="H652" t="n">
        <v>0</v>
      </c>
      <c r="I652" t="n">
        <v>0</v>
      </c>
      <c r="J652" t="n">
        <v>0</v>
      </c>
      <c r="K652" t="n">
        <v>0</v>
      </c>
      <c r="L652" t="n">
        <v>0</v>
      </c>
      <c r="M652" t="n">
        <v>0</v>
      </c>
      <c r="N652" t="n">
        <v>0</v>
      </c>
      <c r="O652" t="n">
        <v>0</v>
      </c>
      <c r="P652" t="n">
        <v>0</v>
      </c>
      <c r="Q652" t="n">
        <v>0</v>
      </c>
      <c r="R652" s="2" t="inlineStr"/>
    </row>
    <row r="653" ht="15" customHeight="1">
      <c r="A653" t="inlineStr">
        <is>
          <t>A 12327-2023</t>
        </is>
      </c>
      <c r="B653" s="1" t="n">
        <v>44999.36081018519</v>
      </c>
      <c r="C653" s="1" t="n">
        <v>46094</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43092-2024</t>
        </is>
      </c>
      <c r="B654" s="1" t="n">
        <v>45567</v>
      </c>
      <c r="C654" s="1" t="n">
        <v>46094</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25370-2022</t>
        </is>
      </c>
      <c r="B655" s="1" t="n">
        <v>44732.3659837963</v>
      </c>
      <c r="C655" s="1" t="n">
        <v>46094</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37668-2025</t>
        </is>
      </c>
      <c r="B656" s="1" t="n">
        <v>45880.51550925926</v>
      </c>
      <c r="C656" s="1" t="n">
        <v>46094</v>
      </c>
      <c r="D656" t="inlineStr">
        <is>
          <t>KALMAR LÄN</t>
        </is>
      </c>
      <c r="E656" t="inlineStr">
        <is>
          <t>VIMMERBY</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58577-2024</t>
        </is>
      </c>
      <c r="B657" s="1" t="n">
        <v>45635.4874537037</v>
      </c>
      <c r="C657" s="1" t="n">
        <v>46094</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52435-2021</t>
        </is>
      </c>
      <c r="B658" s="1" t="n">
        <v>44466.34962962963</v>
      </c>
      <c r="C658" s="1" t="n">
        <v>46094</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29440-2024</t>
        </is>
      </c>
      <c r="B659" s="1" t="n">
        <v>45483.82479166667</v>
      </c>
      <c r="C659" s="1" t="n">
        <v>46094</v>
      </c>
      <c r="D659" t="inlineStr">
        <is>
          <t>KALMAR LÄN</t>
        </is>
      </c>
      <c r="E659" t="inlineStr">
        <is>
          <t>VIMMERBY</t>
        </is>
      </c>
      <c r="G659" t="n">
        <v>4.5</v>
      </c>
      <c r="H659" t="n">
        <v>0</v>
      </c>
      <c r="I659" t="n">
        <v>0</v>
      </c>
      <c r="J659" t="n">
        <v>0</v>
      </c>
      <c r="K659" t="n">
        <v>0</v>
      </c>
      <c r="L659" t="n">
        <v>0</v>
      </c>
      <c r="M659" t="n">
        <v>0</v>
      </c>
      <c r="N659" t="n">
        <v>0</v>
      </c>
      <c r="O659" t="n">
        <v>0</v>
      </c>
      <c r="P659" t="n">
        <v>0</v>
      </c>
      <c r="Q659" t="n">
        <v>0</v>
      </c>
      <c r="R659" s="2" t="inlineStr"/>
    </row>
    <row r="660" ht="15" customHeight="1">
      <c r="A660" t="inlineStr">
        <is>
          <t>A 37939-2025</t>
        </is>
      </c>
      <c r="B660" s="1" t="n">
        <v>45881.59877314815</v>
      </c>
      <c r="C660" s="1" t="n">
        <v>46094</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40921-2025</t>
        </is>
      </c>
      <c r="B661" s="1" t="n">
        <v>45897.63520833333</v>
      </c>
      <c r="C661" s="1" t="n">
        <v>46094</v>
      </c>
      <c r="D661" t="inlineStr">
        <is>
          <t>KALMAR LÄN</t>
        </is>
      </c>
      <c r="E661" t="inlineStr">
        <is>
          <t>VIMMERBY</t>
        </is>
      </c>
      <c r="G661" t="n">
        <v>4.2</v>
      </c>
      <c r="H661" t="n">
        <v>0</v>
      </c>
      <c r="I661" t="n">
        <v>0</v>
      </c>
      <c r="J661" t="n">
        <v>0</v>
      </c>
      <c r="K661" t="n">
        <v>0</v>
      </c>
      <c r="L661" t="n">
        <v>0</v>
      </c>
      <c r="M661" t="n">
        <v>0</v>
      </c>
      <c r="N661" t="n">
        <v>0</v>
      </c>
      <c r="O661" t="n">
        <v>0</v>
      </c>
      <c r="P661" t="n">
        <v>0</v>
      </c>
      <c r="Q661" t="n">
        <v>0</v>
      </c>
      <c r="R661" s="2" t="inlineStr"/>
    </row>
    <row r="662" ht="15" customHeight="1">
      <c r="A662" t="inlineStr">
        <is>
          <t>A 37866-2025</t>
        </is>
      </c>
      <c r="B662" s="1" t="n">
        <v>45881</v>
      </c>
      <c r="C662" s="1" t="n">
        <v>46094</v>
      </c>
      <c r="D662" t="inlineStr">
        <is>
          <t>KALMAR LÄN</t>
        </is>
      </c>
      <c r="E662" t="inlineStr">
        <is>
          <t>VIMMERBY</t>
        </is>
      </c>
      <c r="G662" t="n">
        <v>3.4</v>
      </c>
      <c r="H662" t="n">
        <v>0</v>
      </c>
      <c r="I662" t="n">
        <v>0</v>
      </c>
      <c r="J662" t="n">
        <v>0</v>
      </c>
      <c r="K662" t="n">
        <v>0</v>
      </c>
      <c r="L662" t="n">
        <v>0</v>
      </c>
      <c r="M662" t="n">
        <v>0</v>
      </c>
      <c r="N662" t="n">
        <v>0</v>
      </c>
      <c r="O662" t="n">
        <v>0</v>
      </c>
      <c r="P662" t="n">
        <v>0</v>
      </c>
      <c r="Q662" t="n">
        <v>0</v>
      </c>
      <c r="R662" s="2" t="inlineStr"/>
    </row>
    <row r="663" ht="15" customHeight="1">
      <c r="A663" t="inlineStr">
        <is>
          <t>A 35127-2024</t>
        </is>
      </c>
      <c r="B663" s="1" t="n">
        <v>45530.33202546297</v>
      </c>
      <c r="C663" s="1" t="n">
        <v>46094</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9129-2025</t>
        </is>
      </c>
      <c r="B664" s="1" t="n">
        <v>45713.92412037037</v>
      </c>
      <c r="C664" s="1" t="n">
        <v>46094</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22197-2024</t>
        </is>
      </c>
      <c r="B665" s="1" t="n">
        <v>45446.36774305555</v>
      </c>
      <c r="C665" s="1" t="n">
        <v>46094</v>
      </c>
      <c r="D665" t="inlineStr">
        <is>
          <t>KALMAR LÄN</t>
        </is>
      </c>
      <c r="E665" t="inlineStr">
        <is>
          <t>VIMMERBY</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53752-2024</t>
        </is>
      </c>
      <c r="B666" s="1" t="n">
        <v>45615.48927083334</v>
      </c>
      <c r="C666" s="1" t="n">
        <v>46094</v>
      </c>
      <c r="D666" t="inlineStr">
        <is>
          <t>KALMAR LÄN</t>
        </is>
      </c>
      <c r="E666" t="inlineStr">
        <is>
          <t>VIMMERBY</t>
        </is>
      </c>
      <c r="G666" t="n">
        <v>2.4</v>
      </c>
      <c r="H666" t="n">
        <v>0</v>
      </c>
      <c r="I666" t="n">
        <v>0</v>
      </c>
      <c r="J666" t="n">
        <v>0</v>
      </c>
      <c r="K666" t="n">
        <v>0</v>
      </c>
      <c r="L666" t="n">
        <v>0</v>
      </c>
      <c r="M666" t="n">
        <v>0</v>
      </c>
      <c r="N666" t="n">
        <v>0</v>
      </c>
      <c r="O666" t="n">
        <v>0</v>
      </c>
      <c r="P666" t="n">
        <v>0</v>
      </c>
      <c r="Q666" t="n">
        <v>0</v>
      </c>
      <c r="R666" s="2" t="inlineStr"/>
    </row>
    <row r="667" ht="15" customHeight="1">
      <c r="A667" t="inlineStr">
        <is>
          <t>A 60215-2022</t>
        </is>
      </c>
      <c r="B667" s="1" t="n">
        <v>44910.41346064815</v>
      </c>
      <c r="C667" s="1" t="n">
        <v>46094</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29441-2024</t>
        </is>
      </c>
      <c r="B668" s="1" t="n">
        <v>45483.82834490741</v>
      </c>
      <c r="C668" s="1" t="n">
        <v>46094</v>
      </c>
      <c r="D668" t="inlineStr">
        <is>
          <t>KALMAR LÄN</t>
        </is>
      </c>
      <c r="E668" t="inlineStr">
        <is>
          <t>VIMMERBY</t>
        </is>
      </c>
      <c r="G668" t="n">
        <v>1.3</v>
      </c>
      <c r="H668" t="n">
        <v>0</v>
      </c>
      <c r="I668" t="n">
        <v>0</v>
      </c>
      <c r="J668" t="n">
        <v>0</v>
      </c>
      <c r="K668" t="n">
        <v>0</v>
      </c>
      <c r="L668" t="n">
        <v>0</v>
      </c>
      <c r="M668" t="n">
        <v>0</v>
      </c>
      <c r="N668" t="n">
        <v>0</v>
      </c>
      <c r="O668" t="n">
        <v>0</v>
      </c>
      <c r="P668" t="n">
        <v>0</v>
      </c>
      <c r="Q668" t="n">
        <v>0</v>
      </c>
      <c r="R668" s="2" t="inlineStr"/>
    </row>
    <row r="669" ht="15" customHeight="1">
      <c r="A669" t="inlineStr">
        <is>
          <t>A 12121-2025</t>
        </is>
      </c>
      <c r="B669" s="1" t="n">
        <v>45729.36868055556</v>
      </c>
      <c r="C669" s="1" t="n">
        <v>46094</v>
      </c>
      <c r="D669" t="inlineStr">
        <is>
          <t>KALMAR LÄN</t>
        </is>
      </c>
      <c r="E669" t="inlineStr">
        <is>
          <t>VIMMERBY</t>
        </is>
      </c>
      <c r="G669" t="n">
        <v>4.3</v>
      </c>
      <c r="H669" t="n">
        <v>0</v>
      </c>
      <c r="I669" t="n">
        <v>0</v>
      </c>
      <c r="J669" t="n">
        <v>0</v>
      </c>
      <c r="K669" t="n">
        <v>0</v>
      </c>
      <c r="L669" t="n">
        <v>0</v>
      </c>
      <c r="M669" t="n">
        <v>0</v>
      </c>
      <c r="N669" t="n">
        <v>0</v>
      </c>
      <c r="O669" t="n">
        <v>0</v>
      </c>
      <c r="P669" t="n">
        <v>0</v>
      </c>
      <c r="Q669" t="n">
        <v>0</v>
      </c>
      <c r="R669" s="2" t="inlineStr"/>
    </row>
    <row r="670" ht="15" customHeight="1">
      <c r="A670" t="inlineStr">
        <is>
          <t>A 6216-2025</t>
        </is>
      </c>
      <c r="B670" s="1" t="n">
        <v>45698.52806712963</v>
      </c>
      <c r="C670" s="1" t="n">
        <v>46094</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62779-2023</t>
        </is>
      </c>
      <c r="B671" s="1" t="n">
        <v>45271.66576388889</v>
      </c>
      <c r="C671" s="1" t="n">
        <v>46094</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52294-2023</t>
        </is>
      </c>
      <c r="B672" s="1" t="n">
        <v>45224.60075231481</v>
      </c>
      <c r="C672" s="1" t="n">
        <v>46094</v>
      </c>
      <c r="D672" t="inlineStr">
        <is>
          <t>KALMAR LÄN</t>
        </is>
      </c>
      <c r="E672" t="inlineStr">
        <is>
          <t>VIMMERBY</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31013-2023</t>
        </is>
      </c>
      <c r="B673" s="1" t="n">
        <v>45113.56574074074</v>
      </c>
      <c r="C673" s="1" t="n">
        <v>46094</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9710-2023</t>
        </is>
      </c>
      <c r="B674" s="1" t="n">
        <v>44984</v>
      </c>
      <c r="C674" s="1" t="n">
        <v>46094</v>
      </c>
      <c r="D674" t="inlineStr">
        <is>
          <t>KALMAR LÄN</t>
        </is>
      </c>
      <c r="E674" t="inlineStr">
        <is>
          <t>VIMMERBY</t>
        </is>
      </c>
      <c r="G674" t="n">
        <v>3.7</v>
      </c>
      <c r="H674" t="n">
        <v>0</v>
      </c>
      <c r="I674" t="n">
        <v>0</v>
      </c>
      <c r="J674" t="n">
        <v>0</v>
      </c>
      <c r="K674" t="n">
        <v>0</v>
      </c>
      <c r="L674" t="n">
        <v>0</v>
      </c>
      <c r="M674" t="n">
        <v>0</v>
      </c>
      <c r="N674" t="n">
        <v>0</v>
      </c>
      <c r="O674" t="n">
        <v>0</v>
      </c>
      <c r="P674" t="n">
        <v>0</v>
      </c>
      <c r="Q674" t="n">
        <v>0</v>
      </c>
      <c r="R674" s="2" t="inlineStr"/>
    </row>
    <row r="675" ht="15" customHeight="1">
      <c r="A675" t="inlineStr">
        <is>
          <t>A 38964-2025</t>
        </is>
      </c>
      <c r="B675" s="1" t="n">
        <v>45887.68759259259</v>
      </c>
      <c r="C675" s="1" t="n">
        <v>46094</v>
      </c>
      <c r="D675" t="inlineStr">
        <is>
          <t>KALMAR LÄN</t>
        </is>
      </c>
      <c r="E675" t="inlineStr">
        <is>
          <t>VIMMERBY</t>
        </is>
      </c>
      <c r="G675" t="n">
        <v>7.5</v>
      </c>
      <c r="H675" t="n">
        <v>0</v>
      </c>
      <c r="I675" t="n">
        <v>0</v>
      </c>
      <c r="J675" t="n">
        <v>0</v>
      </c>
      <c r="K675" t="n">
        <v>0</v>
      </c>
      <c r="L675" t="n">
        <v>0</v>
      </c>
      <c r="M675" t="n">
        <v>0</v>
      </c>
      <c r="N675" t="n">
        <v>0</v>
      </c>
      <c r="O675" t="n">
        <v>0</v>
      </c>
      <c r="P675" t="n">
        <v>0</v>
      </c>
      <c r="Q675" t="n">
        <v>0</v>
      </c>
      <c r="R675" s="2" t="inlineStr"/>
    </row>
    <row r="676" ht="15" customHeight="1">
      <c r="A676" t="inlineStr">
        <is>
          <t>A 9720-2023</t>
        </is>
      </c>
      <c r="B676" s="1" t="n">
        <v>44984</v>
      </c>
      <c r="C676" s="1" t="n">
        <v>46094</v>
      </c>
      <c r="D676" t="inlineStr">
        <is>
          <t>KALMAR LÄN</t>
        </is>
      </c>
      <c r="E676" t="inlineStr">
        <is>
          <t>VIMMERBY</t>
        </is>
      </c>
      <c r="G676" t="n">
        <v>4.4</v>
      </c>
      <c r="H676" t="n">
        <v>0</v>
      </c>
      <c r="I676" t="n">
        <v>0</v>
      </c>
      <c r="J676" t="n">
        <v>0</v>
      </c>
      <c r="K676" t="n">
        <v>0</v>
      </c>
      <c r="L676" t="n">
        <v>0</v>
      </c>
      <c r="M676" t="n">
        <v>0</v>
      </c>
      <c r="N676" t="n">
        <v>0</v>
      </c>
      <c r="O676" t="n">
        <v>0</v>
      </c>
      <c r="P676" t="n">
        <v>0</v>
      </c>
      <c r="Q676" t="n">
        <v>0</v>
      </c>
      <c r="R676" s="2" t="inlineStr"/>
    </row>
    <row r="677" ht="15" customHeight="1">
      <c r="A677" t="inlineStr">
        <is>
          <t>A 72067-2021</t>
        </is>
      </c>
      <c r="B677" s="1" t="n">
        <v>44540</v>
      </c>
      <c r="C677" s="1" t="n">
        <v>46094</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15493-2023</t>
        </is>
      </c>
      <c r="B678" s="1" t="n">
        <v>45018</v>
      </c>
      <c r="C678" s="1" t="n">
        <v>46094</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61538-2022</t>
        </is>
      </c>
      <c r="B679" s="1" t="n">
        <v>44916.55414351852</v>
      </c>
      <c r="C679" s="1" t="n">
        <v>46094</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36155-2023</t>
        </is>
      </c>
      <c r="B680" s="1" t="n">
        <v>45149.60917824074</v>
      </c>
      <c r="C680" s="1" t="n">
        <v>46094</v>
      </c>
      <c r="D680" t="inlineStr">
        <is>
          <t>KALMAR LÄN</t>
        </is>
      </c>
      <c r="E680" t="inlineStr">
        <is>
          <t>VIMMERBY</t>
        </is>
      </c>
      <c r="G680" t="n">
        <v>5</v>
      </c>
      <c r="H680" t="n">
        <v>0</v>
      </c>
      <c r="I680" t="n">
        <v>0</v>
      </c>
      <c r="J680" t="n">
        <v>0</v>
      </c>
      <c r="K680" t="n">
        <v>0</v>
      </c>
      <c r="L680" t="n">
        <v>0</v>
      </c>
      <c r="M680" t="n">
        <v>0</v>
      </c>
      <c r="N680" t="n">
        <v>0</v>
      </c>
      <c r="O680" t="n">
        <v>0</v>
      </c>
      <c r="P680" t="n">
        <v>0</v>
      </c>
      <c r="Q680" t="n">
        <v>0</v>
      </c>
      <c r="R680" s="2" t="inlineStr"/>
    </row>
    <row r="681" ht="15" customHeight="1">
      <c r="A681" t="inlineStr">
        <is>
          <t>A 29173-2024</t>
        </is>
      </c>
      <c r="B681" s="1" t="n">
        <v>45482.52887731481</v>
      </c>
      <c r="C681" s="1" t="n">
        <v>46094</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53542-2022</t>
        </is>
      </c>
      <c r="B682" s="1" t="n">
        <v>44879.62173611111</v>
      </c>
      <c r="C682" s="1" t="n">
        <v>46094</v>
      </c>
      <c r="D682" t="inlineStr">
        <is>
          <t>KALMAR LÄN</t>
        </is>
      </c>
      <c r="E682" t="inlineStr">
        <is>
          <t>VIMMERBY</t>
        </is>
      </c>
      <c r="G682" t="n">
        <v>2.6</v>
      </c>
      <c r="H682" t="n">
        <v>0</v>
      </c>
      <c r="I682" t="n">
        <v>0</v>
      </c>
      <c r="J682" t="n">
        <v>0</v>
      </c>
      <c r="K682" t="n">
        <v>0</v>
      </c>
      <c r="L682" t="n">
        <v>0</v>
      </c>
      <c r="M682" t="n">
        <v>0</v>
      </c>
      <c r="N682" t="n">
        <v>0</v>
      </c>
      <c r="O682" t="n">
        <v>0</v>
      </c>
      <c r="P682" t="n">
        <v>0</v>
      </c>
      <c r="Q682" t="n">
        <v>0</v>
      </c>
      <c r="R682" s="2" t="inlineStr"/>
    </row>
    <row r="683" ht="15" customHeight="1">
      <c r="A683" t="inlineStr">
        <is>
          <t>A 29093-2023</t>
        </is>
      </c>
      <c r="B683" s="1" t="n">
        <v>45105</v>
      </c>
      <c r="C683" s="1" t="n">
        <v>46094</v>
      </c>
      <c r="D683" t="inlineStr">
        <is>
          <t>KALMAR LÄN</t>
        </is>
      </c>
      <c r="E683" t="inlineStr">
        <is>
          <t>VIMMERBY</t>
        </is>
      </c>
      <c r="G683" t="n">
        <v>2.9</v>
      </c>
      <c r="H683" t="n">
        <v>0</v>
      </c>
      <c r="I683" t="n">
        <v>0</v>
      </c>
      <c r="J683" t="n">
        <v>0</v>
      </c>
      <c r="K683" t="n">
        <v>0</v>
      </c>
      <c r="L683" t="n">
        <v>0</v>
      </c>
      <c r="M683" t="n">
        <v>0</v>
      </c>
      <c r="N683" t="n">
        <v>0</v>
      </c>
      <c r="O683" t="n">
        <v>0</v>
      </c>
      <c r="P683" t="n">
        <v>0</v>
      </c>
      <c r="Q683" t="n">
        <v>0</v>
      </c>
      <c r="R683" s="2" t="inlineStr"/>
    </row>
    <row r="684" ht="15" customHeight="1">
      <c r="A684" t="inlineStr">
        <is>
          <t>A 33352-2022</t>
        </is>
      </c>
      <c r="B684" s="1" t="n">
        <v>44788</v>
      </c>
      <c r="C684" s="1" t="n">
        <v>46094</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22264-2023</t>
        </is>
      </c>
      <c r="B685" s="1" t="n">
        <v>45070.3665625</v>
      </c>
      <c r="C685" s="1" t="n">
        <v>46094</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16676-2023</t>
        </is>
      </c>
      <c r="B686" s="1" t="n">
        <v>45028</v>
      </c>
      <c r="C686" s="1" t="n">
        <v>46094</v>
      </c>
      <c r="D686" t="inlineStr">
        <is>
          <t>KALMAR LÄN</t>
        </is>
      </c>
      <c r="E686" t="inlineStr">
        <is>
          <t>VIMMERBY</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41224-2025</t>
        </is>
      </c>
      <c r="B687" s="1" t="n">
        <v>45898.58861111111</v>
      </c>
      <c r="C687" s="1" t="n">
        <v>46094</v>
      </c>
      <c r="D687" t="inlineStr">
        <is>
          <t>KALMAR LÄN</t>
        </is>
      </c>
      <c r="E687" t="inlineStr">
        <is>
          <t>VIMMERBY</t>
        </is>
      </c>
      <c r="G687" t="n">
        <v>4.4</v>
      </c>
      <c r="H687" t="n">
        <v>0</v>
      </c>
      <c r="I687" t="n">
        <v>0</v>
      </c>
      <c r="J687" t="n">
        <v>0</v>
      </c>
      <c r="K687" t="n">
        <v>0</v>
      </c>
      <c r="L687" t="n">
        <v>0</v>
      </c>
      <c r="M687" t="n">
        <v>0</v>
      </c>
      <c r="N687" t="n">
        <v>0</v>
      </c>
      <c r="O687" t="n">
        <v>0</v>
      </c>
      <c r="P687" t="n">
        <v>0</v>
      </c>
      <c r="Q687" t="n">
        <v>0</v>
      </c>
      <c r="R687" s="2" t="inlineStr"/>
    </row>
    <row r="688" ht="15" customHeight="1">
      <c r="A688" t="inlineStr">
        <is>
          <t>A 6220-2025</t>
        </is>
      </c>
      <c r="B688" s="1" t="n">
        <v>45698.53725694444</v>
      </c>
      <c r="C688" s="1" t="n">
        <v>46094</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6807-2025</t>
        </is>
      </c>
      <c r="B689" s="1" t="n">
        <v>45700.68672453704</v>
      </c>
      <c r="C689" s="1" t="n">
        <v>46094</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7047-2022</t>
        </is>
      </c>
      <c r="B690" s="1" t="n">
        <v>44603</v>
      </c>
      <c r="C690" s="1" t="n">
        <v>46094</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24096-2024</t>
        </is>
      </c>
      <c r="B691" s="1" t="n">
        <v>45456.59289351852</v>
      </c>
      <c r="C691" s="1" t="n">
        <v>46094</v>
      </c>
      <c r="D691" t="inlineStr">
        <is>
          <t>KALMAR LÄN</t>
        </is>
      </c>
      <c r="E691" t="inlineStr">
        <is>
          <t>VIMMERBY</t>
        </is>
      </c>
      <c r="G691" t="n">
        <v>2.3</v>
      </c>
      <c r="H691" t="n">
        <v>0</v>
      </c>
      <c r="I691" t="n">
        <v>0</v>
      </c>
      <c r="J691" t="n">
        <v>0</v>
      </c>
      <c r="K691" t="n">
        <v>0</v>
      </c>
      <c r="L691" t="n">
        <v>0</v>
      </c>
      <c r="M691" t="n">
        <v>0</v>
      </c>
      <c r="N691" t="n">
        <v>0</v>
      </c>
      <c r="O691" t="n">
        <v>0</v>
      </c>
      <c r="P691" t="n">
        <v>0</v>
      </c>
      <c r="Q691" t="n">
        <v>0</v>
      </c>
      <c r="R691" s="2" t="inlineStr"/>
    </row>
    <row r="692" ht="15" customHeight="1">
      <c r="A692" t="inlineStr">
        <is>
          <t>A 29013-2024</t>
        </is>
      </c>
      <c r="B692" s="1" t="n">
        <v>45481.55984953704</v>
      </c>
      <c r="C692" s="1" t="n">
        <v>46094</v>
      </c>
      <c r="D692" t="inlineStr">
        <is>
          <t>KALMAR LÄN</t>
        </is>
      </c>
      <c r="E692" t="inlineStr">
        <is>
          <t>VIMMERBY</t>
        </is>
      </c>
      <c r="G692" t="n">
        <v>3.4</v>
      </c>
      <c r="H692" t="n">
        <v>0</v>
      </c>
      <c r="I692" t="n">
        <v>0</v>
      </c>
      <c r="J692" t="n">
        <v>0</v>
      </c>
      <c r="K692" t="n">
        <v>0</v>
      </c>
      <c r="L692" t="n">
        <v>0</v>
      </c>
      <c r="M692" t="n">
        <v>0</v>
      </c>
      <c r="N692" t="n">
        <v>0</v>
      </c>
      <c r="O692" t="n">
        <v>0</v>
      </c>
      <c r="P692" t="n">
        <v>0</v>
      </c>
      <c r="Q692" t="n">
        <v>0</v>
      </c>
      <c r="R692" s="2" t="inlineStr"/>
    </row>
    <row r="693" ht="15" customHeight="1">
      <c r="A693" t="inlineStr">
        <is>
          <t>A 35711-2023</t>
        </is>
      </c>
      <c r="B693" s="1" t="n">
        <v>45147.67172453704</v>
      </c>
      <c r="C693" s="1" t="n">
        <v>46094</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5382-2023</t>
        </is>
      </c>
      <c r="B694" s="1" t="n">
        <v>44959.66407407408</v>
      </c>
      <c r="C694" s="1" t="n">
        <v>46094</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6066-2023</t>
        </is>
      </c>
      <c r="B695" s="1" t="n">
        <v>44964.50894675926</v>
      </c>
      <c r="C695" s="1" t="n">
        <v>46094</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59955-2023</t>
        </is>
      </c>
      <c r="B696" s="1" t="n">
        <v>45257.70313657408</v>
      </c>
      <c r="C696" s="1" t="n">
        <v>46094</v>
      </c>
      <c r="D696" t="inlineStr">
        <is>
          <t>KALMAR LÄN</t>
        </is>
      </c>
      <c r="E696" t="inlineStr">
        <is>
          <t>VIMMERBY</t>
        </is>
      </c>
      <c r="G696" t="n">
        <v>13.8</v>
      </c>
      <c r="H696" t="n">
        <v>0</v>
      </c>
      <c r="I696" t="n">
        <v>0</v>
      </c>
      <c r="J696" t="n">
        <v>0</v>
      </c>
      <c r="K696" t="n">
        <v>0</v>
      </c>
      <c r="L696" t="n">
        <v>0</v>
      </c>
      <c r="M696" t="n">
        <v>0</v>
      </c>
      <c r="N696" t="n">
        <v>0</v>
      </c>
      <c r="O696" t="n">
        <v>0</v>
      </c>
      <c r="P696" t="n">
        <v>0</v>
      </c>
      <c r="Q696" t="n">
        <v>0</v>
      </c>
      <c r="R696" s="2" t="inlineStr"/>
    </row>
    <row r="697" ht="15" customHeight="1">
      <c r="A697" t="inlineStr">
        <is>
          <t>A 36040-2024</t>
        </is>
      </c>
      <c r="B697" s="1" t="n">
        <v>45533.60232638889</v>
      </c>
      <c r="C697" s="1" t="n">
        <v>46094</v>
      </c>
      <c r="D697" t="inlineStr">
        <is>
          <t>KALMAR LÄN</t>
        </is>
      </c>
      <c r="E697" t="inlineStr">
        <is>
          <t>VIMMERBY</t>
        </is>
      </c>
      <c r="F697" t="inlineStr">
        <is>
          <t>Kommuner</t>
        </is>
      </c>
      <c r="G697" t="n">
        <v>3.6</v>
      </c>
      <c r="H697" t="n">
        <v>0</v>
      </c>
      <c r="I697" t="n">
        <v>0</v>
      </c>
      <c r="J697" t="n">
        <v>0</v>
      </c>
      <c r="K697" t="n">
        <v>0</v>
      </c>
      <c r="L697" t="n">
        <v>0</v>
      </c>
      <c r="M697" t="n">
        <v>0</v>
      </c>
      <c r="N697" t="n">
        <v>0</v>
      </c>
      <c r="O697" t="n">
        <v>0</v>
      </c>
      <c r="P697" t="n">
        <v>0</v>
      </c>
      <c r="Q697" t="n">
        <v>0</v>
      </c>
      <c r="R697" s="2" t="inlineStr"/>
    </row>
    <row r="698" ht="15" customHeight="1">
      <c r="A698" t="inlineStr">
        <is>
          <t>A 36043-2024</t>
        </is>
      </c>
      <c r="B698" s="1" t="n">
        <v>45533.60770833334</v>
      </c>
      <c r="C698" s="1" t="n">
        <v>46094</v>
      </c>
      <c r="D698" t="inlineStr">
        <is>
          <t>KALMAR LÄN</t>
        </is>
      </c>
      <c r="E698" t="inlineStr">
        <is>
          <t>VIMMERBY</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12890-2023</t>
        </is>
      </c>
      <c r="B699" s="1" t="n">
        <v>45001.59209490741</v>
      </c>
      <c r="C699" s="1" t="n">
        <v>46094</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43594-2024</t>
        </is>
      </c>
      <c r="B700" s="1" t="n">
        <v>45569.44295138889</v>
      </c>
      <c r="C700" s="1" t="n">
        <v>46094</v>
      </c>
      <c r="D700" t="inlineStr">
        <is>
          <t>KALMAR LÄN</t>
        </is>
      </c>
      <c r="E700" t="inlineStr">
        <is>
          <t>VIMMERBY</t>
        </is>
      </c>
      <c r="G700" t="n">
        <v>3.9</v>
      </c>
      <c r="H700" t="n">
        <v>0</v>
      </c>
      <c r="I700" t="n">
        <v>0</v>
      </c>
      <c r="J700" t="n">
        <v>0</v>
      </c>
      <c r="K700" t="n">
        <v>0</v>
      </c>
      <c r="L700" t="n">
        <v>0</v>
      </c>
      <c r="M700" t="n">
        <v>0</v>
      </c>
      <c r="N700" t="n">
        <v>0</v>
      </c>
      <c r="O700" t="n">
        <v>0</v>
      </c>
      <c r="P700" t="n">
        <v>0</v>
      </c>
      <c r="Q700" t="n">
        <v>0</v>
      </c>
      <c r="R700" s="2" t="inlineStr"/>
    </row>
    <row r="701" ht="15" customHeight="1">
      <c r="A701" t="inlineStr">
        <is>
          <t>A 40823-2023</t>
        </is>
      </c>
      <c r="B701" s="1" t="n">
        <v>45171.77335648148</v>
      </c>
      <c r="C701" s="1" t="n">
        <v>46094</v>
      </c>
      <c r="D701" t="inlineStr">
        <is>
          <t>KALMAR LÄN</t>
        </is>
      </c>
      <c r="E701" t="inlineStr">
        <is>
          <t>VIMMERBY</t>
        </is>
      </c>
      <c r="G701" t="n">
        <v>2.7</v>
      </c>
      <c r="H701" t="n">
        <v>0</v>
      </c>
      <c r="I701" t="n">
        <v>0</v>
      </c>
      <c r="J701" t="n">
        <v>0</v>
      </c>
      <c r="K701" t="n">
        <v>0</v>
      </c>
      <c r="L701" t="n">
        <v>0</v>
      </c>
      <c r="M701" t="n">
        <v>0</v>
      </c>
      <c r="N701" t="n">
        <v>0</v>
      </c>
      <c r="O701" t="n">
        <v>0</v>
      </c>
      <c r="P701" t="n">
        <v>0</v>
      </c>
      <c r="Q701" t="n">
        <v>0</v>
      </c>
      <c r="R701" s="2" t="inlineStr"/>
    </row>
    <row r="702" ht="15" customHeight="1">
      <c r="A702" t="inlineStr">
        <is>
          <t>A 6218-2025</t>
        </is>
      </c>
      <c r="B702" s="1" t="n">
        <v>45698.53336805556</v>
      </c>
      <c r="C702" s="1" t="n">
        <v>46094</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53482-2022</t>
        </is>
      </c>
      <c r="B703" s="1" t="n">
        <v>44879</v>
      </c>
      <c r="C703" s="1" t="n">
        <v>46094</v>
      </c>
      <c r="D703" t="inlineStr">
        <is>
          <t>KALMAR LÄN</t>
        </is>
      </c>
      <c r="E703" t="inlineStr">
        <is>
          <t>VIMMERBY</t>
        </is>
      </c>
      <c r="G703" t="n">
        <v>10.1</v>
      </c>
      <c r="H703" t="n">
        <v>0</v>
      </c>
      <c r="I703" t="n">
        <v>0</v>
      </c>
      <c r="J703" t="n">
        <v>0</v>
      </c>
      <c r="K703" t="n">
        <v>0</v>
      </c>
      <c r="L703" t="n">
        <v>0</v>
      </c>
      <c r="M703" t="n">
        <v>0</v>
      </c>
      <c r="N703" t="n">
        <v>0</v>
      </c>
      <c r="O703" t="n">
        <v>0</v>
      </c>
      <c r="P703" t="n">
        <v>0</v>
      </c>
      <c r="Q703" t="n">
        <v>0</v>
      </c>
      <c r="R703" s="2" t="inlineStr"/>
    </row>
    <row r="704" ht="15" customHeight="1">
      <c r="A704" t="inlineStr">
        <is>
          <t>A 30920-2023</t>
        </is>
      </c>
      <c r="B704" s="1" t="n">
        <v>45113.43921296296</v>
      </c>
      <c r="C704" s="1" t="n">
        <v>46094</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41591-2025</t>
        </is>
      </c>
      <c r="B705" s="1" t="n">
        <v>45901.6327662037</v>
      </c>
      <c r="C705" s="1" t="n">
        <v>46094</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27761-2024</t>
        </is>
      </c>
      <c r="B706" s="1" t="n">
        <v>45475.49018518518</v>
      </c>
      <c r="C706" s="1" t="n">
        <v>46094</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64203-2021</t>
        </is>
      </c>
      <c r="B707" s="1" t="n">
        <v>44510.60921296296</v>
      </c>
      <c r="C707" s="1" t="n">
        <v>46094</v>
      </c>
      <c r="D707" t="inlineStr">
        <is>
          <t>KALMAR LÄN</t>
        </is>
      </c>
      <c r="E707" t="inlineStr">
        <is>
          <t>VIMMERBY</t>
        </is>
      </c>
      <c r="F707" t="inlineStr">
        <is>
          <t>Övriga Aktiebolag</t>
        </is>
      </c>
      <c r="G707" t="n">
        <v>5.4</v>
      </c>
      <c r="H707" t="n">
        <v>0</v>
      </c>
      <c r="I707" t="n">
        <v>0</v>
      </c>
      <c r="J707" t="n">
        <v>0</v>
      </c>
      <c r="K707" t="n">
        <v>0</v>
      </c>
      <c r="L707" t="n">
        <v>0</v>
      </c>
      <c r="M707" t="n">
        <v>0</v>
      </c>
      <c r="N707" t="n">
        <v>0</v>
      </c>
      <c r="O707" t="n">
        <v>0</v>
      </c>
      <c r="P707" t="n">
        <v>0</v>
      </c>
      <c r="Q707" t="n">
        <v>0</v>
      </c>
      <c r="R707" s="2" t="inlineStr"/>
    </row>
    <row r="708" ht="15" customHeight="1">
      <c r="A708" t="inlineStr">
        <is>
          <t>A 40971-2025</t>
        </is>
      </c>
      <c r="B708" s="1" t="n">
        <v>45897.88836805556</v>
      </c>
      <c r="C708" s="1" t="n">
        <v>46094</v>
      </c>
      <c r="D708" t="inlineStr">
        <is>
          <t>KALMAR LÄN</t>
        </is>
      </c>
      <c r="E708" t="inlineStr">
        <is>
          <t>VIMMERBY</t>
        </is>
      </c>
      <c r="G708" t="n">
        <v>1.5</v>
      </c>
      <c r="H708" t="n">
        <v>0</v>
      </c>
      <c r="I708" t="n">
        <v>0</v>
      </c>
      <c r="J708" t="n">
        <v>0</v>
      </c>
      <c r="K708" t="n">
        <v>0</v>
      </c>
      <c r="L708" t="n">
        <v>0</v>
      </c>
      <c r="M708" t="n">
        <v>0</v>
      </c>
      <c r="N708" t="n">
        <v>0</v>
      </c>
      <c r="O708" t="n">
        <v>0</v>
      </c>
      <c r="P708" t="n">
        <v>0</v>
      </c>
      <c r="Q708" t="n">
        <v>0</v>
      </c>
      <c r="R708" s="2" t="inlineStr"/>
    </row>
    <row r="709" ht="15" customHeight="1">
      <c r="A709" t="inlineStr">
        <is>
          <t>A 5720-2023</t>
        </is>
      </c>
      <c r="B709" s="1" t="n">
        <v>44961</v>
      </c>
      <c r="C709" s="1" t="n">
        <v>46094</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6857-2023</t>
        </is>
      </c>
      <c r="B710" s="1" t="n">
        <v>44967.45122685185</v>
      </c>
      <c r="C710" s="1" t="n">
        <v>46094</v>
      </c>
      <c r="D710" t="inlineStr">
        <is>
          <t>KALMAR LÄN</t>
        </is>
      </c>
      <c r="E710" t="inlineStr">
        <is>
          <t>VIMMERBY</t>
        </is>
      </c>
      <c r="G710" t="n">
        <v>2.1</v>
      </c>
      <c r="H710" t="n">
        <v>0</v>
      </c>
      <c r="I710" t="n">
        <v>0</v>
      </c>
      <c r="J710" t="n">
        <v>0</v>
      </c>
      <c r="K710" t="n">
        <v>0</v>
      </c>
      <c r="L710" t="n">
        <v>0</v>
      </c>
      <c r="M710" t="n">
        <v>0</v>
      </c>
      <c r="N710" t="n">
        <v>0</v>
      </c>
      <c r="O710" t="n">
        <v>0</v>
      </c>
      <c r="P710" t="n">
        <v>0</v>
      </c>
      <c r="Q710" t="n">
        <v>0</v>
      </c>
      <c r="R710" s="2" t="inlineStr"/>
    </row>
    <row r="711" ht="15" customHeight="1">
      <c r="A711" t="inlineStr">
        <is>
          <t>A 41589-2025</t>
        </is>
      </c>
      <c r="B711" s="1" t="n">
        <v>45901.63219907408</v>
      </c>
      <c r="C711" s="1" t="n">
        <v>46094</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9643-2023</t>
        </is>
      </c>
      <c r="B712" s="1" t="n">
        <v>44984</v>
      </c>
      <c r="C712" s="1" t="n">
        <v>46094</v>
      </c>
      <c r="D712" t="inlineStr">
        <is>
          <t>KALMAR LÄN</t>
        </is>
      </c>
      <c r="E712" t="inlineStr">
        <is>
          <t>VIMMERBY</t>
        </is>
      </c>
      <c r="G712" t="n">
        <v>2</v>
      </c>
      <c r="H712" t="n">
        <v>0</v>
      </c>
      <c r="I712" t="n">
        <v>0</v>
      </c>
      <c r="J712" t="n">
        <v>0</v>
      </c>
      <c r="K712" t="n">
        <v>0</v>
      </c>
      <c r="L712" t="n">
        <v>0</v>
      </c>
      <c r="M712" t="n">
        <v>0</v>
      </c>
      <c r="N712" t="n">
        <v>0</v>
      </c>
      <c r="O712" t="n">
        <v>0</v>
      </c>
      <c r="P712" t="n">
        <v>0</v>
      </c>
      <c r="Q712" t="n">
        <v>0</v>
      </c>
      <c r="R712" s="2" t="inlineStr"/>
    </row>
    <row r="713" ht="15" customHeight="1">
      <c r="A713" t="inlineStr">
        <is>
          <t>A 25728-2023</t>
        </is>
      </c>
      <c r="B713" s="1" t="n">
        <v>45090.38012731481</v>
      </c>
      <c r="C713" s="1" t="n">
        <v>46094</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40970-2025</t>
        </is>
      </c>
      <c r="B714" s="1" t="n">
        <v>45897.88706018519</v>
      </c>
      <c r="C714" s="1" t="n">
        <v>46094</v>
      </c>
      <c r="D714" t="inlineStr">
        <is>
          <t>KALMAR LÄN</t>
        </is>
      </c>
      <c r="E714" t="inlineStr">
        <is>
          <t>VIMMERBY</t>
        </is>
      </c>
      <c r="G714" t="n">
        <v>1</v>
      </c>
      <c r="H714" t="n">
        <v>0</v>
      </c>
      <c r="I714" t="n">
        <v>0</v>
      </c>
      <c r="J714" t="n">
        <v>0</v>
      </c>
      <c r="K714" t="n">
        <v>0</v>
      </c>
      <c r="L714" t="n">
        <v>0</v>
      </c>
      <c r="M714" t="n">
        <v>0</v>
      </c>
      <c r="N714" t="n">
        <v>0</v>
      </c>
      <c r="O714" t="n">
        <v>0</v>
      </c>
      <c r="P714" t="n">
        <v>0</v>
      </c>
      <c r="Q714" t="n">
        <v>0</v>
      </c>
      <c r="R714" s="2" t="inlineStr"/>
    </row>
    <row r="715" ht="15" customHeight="1">
      <c r="A715" t="inlineStr">
        <is>
          <t>A 40973-2025</t>
        </is>
      </c>
      <c r="B715" s="1" t="n">
        <v>45897.89737268518</v>
      </c>
      <c r="C715" s="1" t="n">
        <v>46094</v>
      </c>
      <c r="D715" t="inlineStr">
        <is>
          <t>KALMAR LÄN</t>
        </is>
      </c>
      <c r="E715" t="inlineStr">
        <is>
          <t>VIMMERBY</t>
        </is>
      </c>
      <c r="G715" t="n">
        <v>1.8</v>
      </c>
      <c r="H715" t="n">
        <v>0</v>
      </c>
      <c r="I715" t="n">
        <v>0</v>
      </c>
      <c r="J715" t="n">
        <v>0</v>
      </c>
      <c r="K715" t="n">
        <v>0</v>
      </c>
      <c r="L715" t="n">
        <v>0</v>
      </c>
      <c r="M715" t="n">
        <v>0</v>
      </c>
      <c r="N715" t="n">
        <v>0</v>
      </c>
      <c r="O715" t="n">
        <v>0</v>
      </c>
      <c r="P715" t="n">
        <v>0</v>
      </c>
      <c r="Q715" t="n">
        <v>0</v>
      </c>
      <c r="R715" s="2" t="inlineStr"/>
    </row>
    <row r="716" ht="15" customHeight="1">
      <c r="A716" t="inlineStr">
        <is>
          <t>A 5792-2023</t>
        </is>
      </c>
      <c r="B716" s="1" t="n">
        <v>44963.44769675926</v>
      </c>
      <c r="C716" s="1" t="n">
        <v>46094</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10303-2025</t>
        </is>
      </c>
      <c r="B717" s="1" t="n">
        <v>45720.44217592593</v>
      </c>
      <c r="C717" s="1" t="n">
        <v>46094</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41311-2023</t>
        </is>
      </c>
      <c r="B718" s="1" t="n">
        <v>45174</v>
      </c>
      <c r="C718" s="1" t="n">
        <v>46094</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60110-2022</t>
        </is>
      </c>
      <c r="B719" s="1" t="n">
        <v>44909</v>
      </c>
      <c r="C719" s="1" t="n">
        <v>46094</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26318-2023</t>
        </is>
      </c>
      <c r="B720" s="1" t="n">
        <v>45091.67936342592</v>
      </c>
      <c r="C720" s="1" t="n">
        <v>46094</v>
      </c>
      <c r="D720" t="inlineStr">
        <is>
          <t>KALMAR LÄN</t>
        </is>
      </c>
      <c r="E720" t="inlineStr">
        <is>
          <t>VIMMERBY</t>
        </is>
      </c>
      <c r="G720" t="n">
        <v>3.8</v>
      </c>
      <c r="H720" t="n">
        <v>0</v>
      </c>
      <c r="I720" t="n">
        <v>0</v>
      </c>
      <c r="J720" t="n">
        <v>0</v>
      </c>
      <c r="K720" t="n">
        <v>0</v>
      </c>
      <c r="L720" t="n">
        <v>0</v>
      </c>
      <c r="M720" t="n">
        <v>0</v>
      </c>
      <c r="N720" t="n">
        <v>0</v>
      </c>
      <c r="O720" t="n">
        <v>0</v>
      </c>
      <c r="P720" t="n">
        <v>0</v>
      </c>
      <c r="Q720" t="n">
        <v>0</v>
      </c>
      <c r="R720" s="2" t="inlineStr"/>
    </row>
    <row r="721" ht="15" customHeight="1">
      <c r="A721" t="inlineStr">
        <is>
          <t>A 15394-2025</t>
        </is>
      </c>
      <c r="B721" s="1" t="n">
        <v>45747.43196759259</v>
      </c>
      <c r="C721" s="1" t="n">
        <v>46094</v>
      </c>
      <c r="D721" t="inlineStr">
        <is>
          <t>KALMAR LÄN</t>
        </is>
      </c>
      <c r="E721" t="inlineStr">
        <is>
          <t>VIMMERBY</t>
        </is>
      </c>
      <c r="G721" t="n">
        <v>0.8</v>
      </c>
      <c r="H721" t="n">
        <v>0</v>
      </c>
      <c r="I721" t="n">
        <v>0</v>
      </c>
      <c r="J721" t="n">
        <v>0</v>
      </c>
      <c r="K721" t="n">
        <v>0</v>
      </c>
      <c r="L721" t="n">
        <v>0</v>
      </c>
      <c r="M721" t="n">
        <v>0</v>
      </c>
      <c r="N721" t="n">
        <v>0</v>
      </c>
      <c r="O721" t="n">
        <v>0</v>
      </c>
      <c r="P721" t="n">
        <v>0</v>
      </c>
      <c r="Q721" t="n">
        <v>0</v>
      </c>
      <c r="R721" s="2" t="inlineStr"/>
    </row>
    <row r="722" ht="15" customHeight="1">
      <c r="A722" t="inlineStr">
        <is>
          <t>A 15388-2025</t>
        </is>
      </c>
      <c r="B722" s="1" t="n">
        <v>45747.42633101852</v>
      </c>
      <c r="C722" s="1" t="n">
        <v>46094</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15391-2025</t>
        </is>
      </c>
      <c r="B723" s="1" t="n">
        <v>45747.42958333333</v>
      </c>
      <c r="C723" s="1" t="n">
        <v>46094</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6474-2025</t>
        </is>
      </c>
      <c r="B724" s="1" t="n">
        <v>45699.60055555555</v>
      </c>
      <c r="C724" s="1" t="n">
        <v>46094</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32919-2022</t>
        </is>
      </c>
      <c r="B725" s="1" t="n">
        <v>44784.62724537037</v>
      </c>
      <c r="C725" s="1" t="n">
        <v>46094</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34090-2025</t>
        </is>
      </c>
      <c r="B726" s="1" t="n">
        <v>45845</v>
      </c>
      <c r="C726" s="1" t="n">
        <v>46094</v>
      </c>
      <c r="D726" t="inlineStr">
        <is>
          <t>KALMAR LÄN</t>
        </is>
      </c>
      <c r="E726" t="inlineStr">
        <is>
          <t>VIMMERBY</t>
        </is>
      </c>
      <c r="G726" t="n">
        <v>2.8</v>
      </c>
      <c r="H726" t="n">
        <v>0</v>
      </c>
      <c r="I726" t="n">
        <v>0</v>
      </c>
      <c r="J726" t="n">
        <v>0</v>
      </c>
      <c r="K726" t="n">
        <v>0</v>
      </c>
      <c r="L726" t="n">
        <v>0</v>
      </c>
      <c r="M726" t="n">
        <v>0</v>
      </c>
      <c r="N726" t="n">
        <v>0</v>
      </c>
      <c r="O726" t="n">
        <v>0</v>
      </c>
      <c r="P726" t="n">
        <v>0</v>
      </c>
      <c r="Q726" t="n">
        <v>0</v>
      </c>
      <c r="R726" s="2" t="inlineStr"/>
    </row>
    <row r="727" ht="15" customHeight="1">
      <c r="A727" t="inlineStr">
        <is>
          <t>A 61355-2024</t>
        </is>
      </c>
      <c r="B727" s="1" t="n">
        <v>45646.38200231481</v>
      </c>
      <c r="C727" s="1" t="n">
        <v>46094</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56659-2023</t>
        </is>
      </c>
      <c r="B728" s="1" t="n">
        <v>45243.84869212963</v>
      </c>
      <c r="C728" s="1" t="n">
        <v>46094</v>
      </c>
      <c r="D728" t="inlineStr">
        <is>
          <t>KALMAR LÄN</t>
        </is>
      </c>
      <c r="E728" t="inlineStr">
        <is>
          <t>VIMMERBY</t>
        </is>
      </c>
      <c r="G728" t="n">
        <v>0.6</v>
      </c>
      <c r="H728" t="n">
        <v>0</v>
      </c>
      <c r="I728" t="n">
        <v>0</v>
      </c>
      <c r="J728" t="n">
        <v>0</v>
      </c>
      <c r="K728" t="n">
        <v>0</v>
      </c>
      <c r="L728" t="n">
        <v>0</v>
      </c>
      <c r="M728" t="n">
        <v>0</v>
      </c>
      <c r="N728" t="n">
        <v>0</v>
      </c>
      <c r="O728" t="n">
        <v>0</v>
      </c>
      <c r="P728" t="n">
        <v>0</v>
      </c>
      <c r="Q728" t="n">
        <v>0</v>
      </c>
      <c r="R728" s="2" t="inlineStr"/>
    </row>
    <row r="729" ht="15" customHeight="1">
      <c r="A729" t="inlineStr">
        <is>
          <t>A 13015-2022</t>
        </is>
      </c>
      <c r="B729" s="1" t="n">
        <v>44643</v>
      </c>
      <c r="C729" s="1" t="n">
        <v>46094</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17968-2025</t>
        </is>
      </c>
      <c r="B730" s="1" t="n">
        <v>45761.35990740741</v>
      </c>
      <c r="C730" s="1" t="n">
        <v>46094</v>
      </c>
      <c r="D730" t="inlineStr">
        <is>
          <t>KALMAR LÄN</t>
        </is>
      </c>
      <c r="E730" t="inlineStr">
        <is>
          <t>VIMMERBY</t>
        </is>
      </c>
      <c r="G730" t="n">
        <v>3.3</v>
      </c>
      <c r="H730" t="n">
        <v>0</v>
      </c>
      <c r="I730" t="n">
        <v>0</v>
      </c>
      <c r="J730" t="n">
        <v>0</v>
      </c>
      <c r="K730" t="n">
        <v>0</v>
      </c>
      <c r="L730" t="n">
        <v>0</v>
      </c>
      <c r="M730" t="n">
        <v>0</v>
      </c>
      <c r="N730" t="n">
        <v>0</v>
      </c>
      <c r="O730" t="n">
        <v>0</v>
      </c>
      <c r="P730" t="n">
        <v>0</v>
      </c>
      <c r="Q730" t="n">
        <v>0</v>
      </c>
      <c r="R730" s="2" t="inlineStr"/>
    </row>
    <row r="731" ht="15" customHeight="1">
      <c r="A731" t="inlineStr">
        <is>
          <t>A 6028-2023</t>
        </is>
      </c>
      <c r="B731" s="1" t="n">
        <v>44964.44356481481</v>
      </c>
      <c r="C731" s="1" t="n">
        <v>46094</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55436-2023</t>
        </is>
      </c>
      <c r="B732" s="1" t="n">
        <v>45238.4328587963</v>
      </c>
      <c r="C732" s="1" t="n">
        <v>46094</v>
      </c>
      <c r="D732" t="inlineStr">
        <is>
          <t>KALMAR LÄN</t>
        </is>
      </c>
      <c r="E732" t="inlineStr">
        <is>
          <t>VIMMERBY</t>
        </is>
      </c>
      <c r="G732" t="n">
        <v>5.6</v>
      </c>
      <c r="H732" t="n">
        <v>0</v>
      </c>
      <c r="I732" t="n">
        <v>0</v>
      </c>
      <c r="J732" t="n">
        <v>0</v>
      </c>
      <c r="K732" t="n">
        <v>0</v>
      </c>
      <c r="L732" t="n">
        <v>0</v>
      </c>
      <c r="M732" t="n">
        <v>0</v>
      </c>
      <c r="N732" t="n">
        <v>0</v>
      </c>
      <c r="O732" t="n">
        <v>0</v>
      </c>
      <c r="P732" t="n">
        <v>0</v>
      </c>
      <c r="Q732" t="n">
        <v>0</v>
      </c>
      <c r="R732" s="2" t="inlineStr"/>
    </row>
    <row r="733" ht="15" customHeight="1">
      <c r="A733" t="inlineStr">
        <is>
          <t>A 36802-2021</t>
        </is>
      </c>
      <c r="B733" s="1" t="n">
        <v>44392</v>
      </c>
      <c r="C733" s="1" t="n">
        <v>46094</v>
      </c>
      <c r="D733" t="inlineStr">
        <is>
          <t>KALMAR LÄN</t>
        </is>
      </c>
      <c r="E733" t="inlineStr">
        <is>
          <t>VIMMERBY</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56582-2022</t>
        </is>
      </c>
      <c r="B734" s="1" t="n">
        <v>44893</v>
      </c>
      <c r="C734" s="1" t="n">
        <v>46094</v>
      </c>
      <c r="D734" t="inlineStr">
        <is>
          <t>KALMAR LÄN</t>
        </is>
      </c>
      <c r="E734" t="inlineStr">
        <is>
          <t>VIMMERBY</t>
        </is>
      </c>
      <c r="G734" t="n">
        <v>2.2</v>
      </c>
      <c r="H734" t="n">
        <v>0</v>
      </c>
      <c r="I734" t="n">
        <v>0</v>
      </c>
      <c r="J734" t="n">
        <v>0</v>
      </c>
      <c r="K734" t="n">
        <v>0</v>
      </c>
      <c r="L734" t="n">
        <v>0</v>
      </c>
      <c r="M734" t="n">
        <v>0</v>
      </c>
      <c r="N734" t="n">
        <v>0</v>
      </c>
      <c r="O734" t="n">
        <v>0</v>
      </c>
      <c r="P734" t="n">
        <v>0</v>
      </c>
      <c r="Q734" t="n">
        <v>0</v>
      </c>
      <c r="R734" s="2" t="inlineStr"/>
    </row>
    <row r="735" ht="15" customHeight="1">
      <c r="A735" t="inlineStr">
        <is>
          <t>A 20-2025</t>
        </is>
      </c>
      <c r="B735" s="1" t="n">
        <v>45658.80232638889</v>
      </c>
      <c r="C735" s="1" t="n">
        <v>46094</v>
      </c>
      <c r="D735" t="inlineStr">
        <is>
          <t>KALMAR LÄN</t>
        </is>
      </c>
      <c r="E735" t="inlineStr">
        <is>
          <t>VIMMERBY</t>
        </is>
      </c>
      <c r="G735" t="n">
        <v>1.3</v>
      </c>
      <c r="H735" t="n">
        <v>0</v>
      </c>
      <c r="I735" t="n">
        <v>0</v>
      </c>
      <c r="J735" t="n">
        <v>0</v>
      </c>
      <c r="K735" t="n">
        <v>0</v>
      </c>
      <c r="L735" t="n">
        <v>0</v>
      </c>
      <c r="M735" t="n">
        <v>0</v>
      </c>
      <c r="N735" t="n">
        <v>0</v>
      </c>
      <c r="O735" t="n">
        <v>0</v>
      </c>
      <c r="P735" t="n">
        <v>0</v>
      </c>
      <c r="Q735" t="n">
        <v>0</v>
      </c>
      <c r="R735" s="2" t="inlineStr"/>
    </row>
    <row r="736" ht="15" customHeight="1">
      <c r="A736" t="inlineStr">
        <is>
          <t>A 23-2025</t>
        </is>
      </c>
      <c r="B736" s="1" t="n">
        <v>45658.80827546296</v>
      </c>
      <c r="C736" s="1" t="n">
        <v>46094</v>
      </c>
      <c r="D736" t="inlineStr">
        <is>
          <t>KALMAR LÄN</t>
        </is>
      </c>
      <c r="E736" t="inlineStr">
        <is>
          <t>VIMMERBY</t>
        </is>
      </c>
      <c r="G736" t="n">
        <v>1.8</v>
      </c>
      <c r="H736" t="n">
        <v>0</v>
      </c>
      <c r="I736" t="n">
        <v>0</v>
      </c>
      <c r="J736" t="n">
        <v>0</v>
      </c>
      <c r="K736" t="n">
        <v>0</v>
      </c>
      <c r="L736" t="n">
        <v>0</v>
      </c>
      <c r="M736" t="n">
        <v>0</v>
      </c>
      <c r="N736" t="n">
        <v>0</v>
      </c>
      <c r="O736" t="n">
        <v>0</v>
      </c>
      <c r="P736" t="n">
        <v>0</v>
      </c>
      <c r="Q736" t="n">
        <v>0</v>
      </c>
      <c r="R736" s="2" t="inlineStr"/>
    </row>
    <row r="737" ht="15" customHeight="1">
      <c r="A737" t="inlineStr">
        <is>
          <t>A 43962-2024</t>
        </is>
      </c>
      <c r="B737" s="1" t="n">
        <v>45572.48293981481</v>
      </c>
      <c r="C737" s="1" t="n">
        <v>46094</v>
      </c>
      <c r="D737" t="inlineStr">
        <is>
          <t>KALMAR LÄN</t>
        </is>
      </c>
      <c r="E737" t="inlineStr">
        <is>
          <t>VIMMERBY</t>
        </is>
      </c>
      <c r="G737" t="n">
        <v>0.6</v>
      </c>
      <c r="H737" t="n">
        <v>0</v>
      </c>
      <c r="I737" t="n">
        <v>0</v>
      </c>
      <c r="J737" t="n">
        <v>0</v>
      </c>
      <c r="K737" t="n">
        <v>0</v>
      </c>
      <c r="L737" t="n">
        <v>0</v>
      </c>
      <c r="M737" t="n">
        <v>0</v>
      </c>
      <c r="N737" t="n">
        <v>0</v>
      </c>
      <c r="O737" t="n">
        <v>0</v>
      </c>
      <c r="P737" t="n">
        <v>0</v>
      </c>
      <c r="Q737" t="n">
        <v>0</v>
      </c>
      <c r="R737" s="2" t="inlineStr"/>
    </row>
    <row r="738" ht="15" customHeight="1">
      <c r="A738" t="inlineStr">
        <is>
          <t>A 35713-2023</t>
        </is>
      </c>
      <c r="B738" s="1" t="n">
        <v>45147</v>
      </c>
      <c r="C738" s="1" t="n">
        <v>46094</v>
      </c>
      <c r="D738" t="inlineStr">
        <is>
          <t>KALMAR LÄN</t>
        </is>
      </c>
      <c r="E738" t="inlineStr">
        <is>
          <t>VIMMERBY</t>
        </is>
      </c>
      <c r="G738" t="n">
        <v>1.6</v>
      </c>
      <c r="H738" t="n">
        <v>0</v>
      </c>
      <c r="I738" t="n">
        <v>0</v>
      </c>
      <c r="J738" t="n">
        <v>0</v>
      </c>
      <c r="K738" t="n">
        <v>0</v>
      </c>
      <c r="L738" t="n">
        <v>0</v>
      </c>
      <c r="M738" t="n">
        <v>0</v>
      </c>
      <c r="N738" t="n">
        <v>0</v>
      </c>
      <c r="O738" t="n">
        <v>0</v>
      </c>
      <c r="P738" t="n">
        <v>0</v>
      </c>
      <c r="Q738" t="n">
        <v>0</v>
      </c>
      <c r="R738" s="2" t="inlineStr"/>
    </row>
    <row r="739" ht="15" customHeight="1">
      <c r="A739" t="inlineStr">
        <is>
          <t>A 41735-2025</t>
        </is>
      </c>
      <c r="B739" s="1" t="n">
        <v>45902.47164351852</v>
      </c>
      <c r="C739" s="1" t="n">
        <v>46094</v>
      </c>
      <c r="D739" t="inlineStr">
        <is>
          <t>KALMAR LÄN</t>
        </is>
      </c>
      <c r="E739" t="inlineStr">
        <is>
          <t>VIMMERBY</t>
        </is>
      </c>
      <c r="G739" t="n">
        <v>3</v>
      </c>
      <c r="H739" t="n">
        <v>0</v>
      </c>
      <c r="I739" t="n">
        <v>0</v>
      </c>
      <c r="J739" t="n">
        <v>0</v>
      </c>
      <c r="K739" t="n">
        <v>0</v>
      </c>
      <c r="L739" t="n">
        <v>0</v>
      </c>
      <c r="M739" t="n">
        <v>0</v>
      </c>
      <c r="N739" t="n">
        <v>0</v>
      </c>
      <c r="O739" t="n">
        <v>0</v>
      </c>
      <c r="P739" t="n">
        <v>0</v>
      </c>
      <c r="Q739" t="n">
        <v>0</v>
      </c>
      <c r="R739" s="2" t="inlineStr"/>
    </row>
    <row r="740" ht="15" customHeight="1">
      <c r="A740" t="inlineStr">
        <is>
          <t>A 38198-2024</t>
        </is>
      </c>
      <c r="B740" s="1" t="n">
        <v>45545.49508101852</v>
      </c>
      <c r="C740" s="1" t="n">
        <v>46094</v>
      </c>
      <c r="D740" t="inlineStr">
        <is>
          <t>KALMAR LÄN</t>
        </is>
      </c>
      <c r="E740" t="inlineStr">
        <is>
          <t>VIMMERBY</t>
        </is>
      </c>
      <c r="G740" t="n">
        <v>7.9</v>
      </c>
      <c r="H740" t="n">
        <v>0</v>
      </c>
      <c r="I740" t="n">
        <v>0</v>
      </c>
      <c r="J740" t="n">
        <v>0</v>
      </c>
      <c r="K740" t="n">
        <v>0</v>
      </c>
      <c r="L740" t="n">
        <v>0</v>
      </c>
      <c r="M740" t="n">
        <v>0</v>
      </c>
      <c r="N740" t="n">
        <v>0</v>
      </c>
      <c r="O740" t="n">
        <v>0</v>
      </c>
      <c r="P740" t="n">
        <v>0</v>
      </c>
      <c r="Q740" t="n">
        <v>0</v>
      </c>
      <c r="R740" s="2" t="inlineStr"/>
    </row>
    <row r="741" ht="15" customHeight="1">
      <c r="A741" t="inlineStr">
        <is>
          <t>A 9623-2024</t>
        </is>
      </c>
      <c r="B741" s="1" t="n">
        <v>45361.87975694444</v>
      </c>
      <c r="C741" s="1" t="n">
        <v>46094</v>
      </c>
      <c r="D741" t="inlineStr">
        <is>
          <t>KALMAR LÄN</t>
        </is>
      </c>
      <c r="E741" t="inlineStr">
        <is>
          <t>VIMMERBY</t>
        </is>
      </c>
      <c r="G741" t="n">
        <v>1.6</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46094</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40147-2023</t>
        </is>
      </c>
      <c r="B743" s="1" t="n">
        <v>45169</v>
      </c>
      <c r="C743" s="1" t="n">
        <v>46094</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50995-2022</t>
        </is>
      </c>
      <c r="B744" s="1" t="n">
        <v>44867</v>
      </c>
      <c r="C744" s="1" t="n">
        <v>46094</v>
      </c>
      <c r="D744" t="inlineStr">
        <is>
          <t>KALMAR LÄN</t>
        </is>
      </c>
      <c r="E744" t="inlineStr">
        <is>
          <t>VIMMERBY</t>
        </is>
      </c>
      <c r="G744" t="n">
        <v>2.4</v>
      </c>
      <c r="H744" t="n">
        <v>0</v>
      </c>
      <c r="I744" t="n">
        <v>0</v>
      </c>
      <c r="J744" t="n">
        <v>0</v>
      </c>
      <c r="K744" t="n">
        <v>0</v>
      </c>
      <c r="L744" t="n">
        <v>0</v>
      </c>
      <c r="M744" t="n">
        <v>0</v>
      </c>
      <c r="N744" t="n">
        <v>0</v>
      </c>
      <c r="O744" t="n">
        <v>0</v>
      </c>
      <c r="P744" t="n">
        <v>0</v>
      </c>
      <c r="Q744" t="n">
        <v>0</v>
      </c>
      <c r="R744" s="2" t="inlineStr"/>
    </row>
    <row r="745" ht="15" customHeight="1">
      <c r="A745" t="inlineStr">
        <is>
          <t>A 6399-2025</t>
        </is>
      </c>
      <c r="B745" s="1" t="n">
        <v>45699.44291666667</v>
      </c>
      <c r="C745" s="1" t="n">
        <v>46094</v>
      </c>
      <c r="D745" t="inlineStr">
        <is>
          <t>KALMAR LÄN</t>
        </is>
      </c>
      <c r="E745" t="inlineStr">
        <is>
          <t>VIMMERBY</t>
        </is>
      </c>
      <c r="G745" t="n">
        <v>3.1</v>
      </c>
      <c r="H745" t="n">
        <v>0</v>
      </c>
      <c r="I745" t="n">
        <v>0</v>
      </c>
      <c r="J745" t="n">
        <v>0</v>
      </c>
      <c r="K745" t="n">
        <v>0</v>
      </c>
      <c r="L745" t="n">
        <v>0</v>
      </c>
      <c r="M745" t="n">
        <v>0</v>
      </c>
      <c r="N745" t="n">
        <v>0</v>
      </c>
      <c r="O745" t="n">
        <v>0</v>
      </c>
      <c r="P745" t="n">
        <v>0</v>
      </c>
      <c r="Q745" t="n">
        <v>0</v>
      </c>
      <c r="R745" s="2" t="inlineStr"/>
    </row>
    <row r="746" ht="15" customHeight="1">
      <c r="A746" t="inlineStr">
        <is>
          <t>A 31355-2023</t>
        </is>
      </c>
      <c r="B746" s="1" t="n">
        <v>45114.49505787037</v>
      </c>
      <c r="C746" s="1" t="n">
        <v>46094</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30400-2023</t>
        </is>
      </c>
      <c r="B747" s="1" t="n">
        <v>45111.48225694444</v>
      </c>
      <c r="C747" s="1" t="n">
        <v>46094</v>
      </c>
      <c r="D747" t="inlineStr">
        <is>
          <t>KALMAR LÄN</t>
        </is>
      </c>
      <c r="E747" t="inlineStr">
        <is>
          <t>VIMMERBY</t>
        </is>
      </c>
      <c r="G747" t="n">
        <v>2.7</v>
      </c>
      <c r="H747" t="n">
        <v>0</v>
      </c>
      <c r="I747" t="n">
        <v>0</v>
      </c>
      <c r="J747" t="n">
        <v>0</v>
      </c>
      <c r="K747" t="n">
        <v>0</v>
      </c>
      <c r="L747" t="n">
        <v>0</v>
      </c>
      <c r="M747" t="n">
        <v>0</v>
      </c>
      <c r="N747" t="n">
        <v>0</v>
      </c>
      <c r="O747" t="n">
        <v>0</v>
      </c>
      <c r="P747" t="n">
        <v>0</v>
      </c>
      <c r="Q747" t="n">
        <v>0</v>
      </c>
      <c r="R747" s="2" t="inlineStr"/>
    </row>
    <row r="748" ht="15" customHeight="1">
      <c r="A748" t="inlineStr">
        <is>
          <t>A 30404-2023</t>
        </is>
      </c>
      <c r="B748" s="1" t="n">
        <v>45111.48636574074</v>
      </c>
      <c r="C748" s="1" t="n">
        <v>46094</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27705-2023</t>
        </is>
      </c>
      <c r="B749" s="1" t="n">
        <v>45098.30535879629</v>
      </c>
      <c r="C749" s="1" t="n">
        <v>46094</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27993-2022</t>
        </is>
      </c>
      <c r="B750" s="1" t="n">
        <v>44745.84396990741</v>
      </c>
      <c r="C750" s="1" t="n">
        <v>46094</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57555-2024</t>
        </is>
      </c>
      <c r="B751" s="1" t="n">
        <v>45630.45069444444</v>
      </c>
      <c r="C751" s="1" t="n">
        <v>46094</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36843-2023</t>
        </is>
      </c>
      <c r="B752" s="1" t="n">
        <v>45154.49831018518</v>
      </c>
      <c r="C752" s="1" t="n">
        <v>46094</v>
      </c>
      <c r="D752" t="inlineStr">
        <is>
          <t>KALMAR LÄN</t>
        </is>
      </c>
      <c r="E752" t="inlineStr">
        <is>
          <t>VIMMERBY</t>
        </is>
      </c>
      <c r="G752" t="n">
        <v>2</v>
      </c>
      <c r="H752" t="n">
        <v>0</v>
      </c>
      <c r="I752" t="n">
        <v>0</v>
      </c>
      <c r="J752" t="n">
        <v>0</v>
      </c>
      <c r="K752" t="n">
        <v>0</v>
      </c>
      <c r="L752" t="n">
        <v>0</v>
      </c>
      <c r="M752" t="n">
        <v>0</v>
      </c>
      <c r="N752" t="n">
        <v>0</v>
      </c>
      <c r="O752" t="n">
        <v>0</v>
      </c>
      <c r="P752" t="n">
        <v>0</v>
      </c>
      <c r="Q752" t="n">
        <v>0</v>
      </c>
      <c r="R752" s="2" t="inlineStr"/>
    </row>
    <row r="753" ht="15" customHeight="1">
      <c r="A753" t="inlineStr">
        <is>
          <t>A 10785-2025</t>
        </is>
      </c>
      <c r="B753" s="1" t="n">
        <v>45722.48634259259</v>
      </c>
      <c r="C753" s="1" t="n">
        <v>46094</v>
      </c>
      <c r="D753" t="inlineStr">
        <is>
          <t>KALMAR LÄN</t>
        </is>
      </c>
      <c r="E753" t="inlineStr">
        <is>
          <t>VIMMERBY</t>
        </is>
      </c>
      <c r="G753" t="n">
        <v>0.5</v>
      </c>
      <c r="H753" t="n">
        <v>0</v>
      </c>
      <c r="I753" t="n">
        <v>0</v>
      </c>
      <c r="J753" t="n">
        <v>0</v>
      </c>
      <c r="K753" t="n">
        <v>0</v>
      </c>
      <c r="L753" t="n">
        <v>0</v>
      </c>
      <c r="M753" t="n">
        <v>0</v>
      </c>
      <c r="N753" t="n">
        <v>0</v>
      </c>
      <c r="O753" t="n">
        <v>0</v>
      </c>
      <c r="P753" t="n">
        <v>0</v>
      </c>
      <c r="Q753" t="n">
        <v>0</v>
      </c>
      <c r="R753" s="2" t="inlineStr"/>
    </row>
    <row r="754" ht="15" customHeight="1">
      <c r="A754" t="inlineStr">
        <is>
          <t>A 29017-2024</t>
        </is>
      </c>
      <c r="B754" s="1" t="n">
        <v>45481.56722222222</v>
      </c>
      <c r="C754" s="1" t="n">
        <v>46094</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23263-2024</t>
        </is>
      </c>
      <c r="B755" s="1" t="n">
        <v>45453.36854166666</v>
      </c>
      <c r="C755" s="1" t="n">
        <v>46094</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11074-2023</t>
        </is>
      </c>
      <c r="B756" s="1" t="n">
        <v>44992.34151620371</v>
      </c>
      <c r="C756" s="1" t="n">
        <v>46094</v>
      </c>
      <c r="D756" t="inlineStr">
        <is>
          <t>KALMAR LÄN</t>
        </is>
      </c>
      <c r="E756" t="inlineStr">
        <is>
          <t>VIMMERBY</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36014-2024</t>
        </is>
      </c>
      <c r="B757" s="1" t="n">
        <v>45533.56108796296</v>
      </c>
      <c r="C757" s="1" t="n">
        <v>46094</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36030-2024</t>
        </is>
      </c>
      <c r="B758" s="1" t="n">
        <v>45533.58302083334</v>
      </c>
      <c r="C758" s="1" t="n">
        <v>46094</v>
      </c>
      <c r="D758" t="inlineStr">
        <is>
          <t>KALMAR LÄN</t>
        </is>
      </c>
      <c r="E758" t="inlineStr">
        <is>
          <t>VIMMERBY</t>
        </is>
      </c>
      <c r="F758" t="inlineStr">
        <is>
          <t>Kommuner</t>
        </is>
      </c>
      <c r="G758" t="n">
        <v>4</v>
      </c>
      <c r="H758" t="n">
        <v>0</v>
      </c>
      <c r="I758" t="n">
        <v>0</v>
      </c>
      <c r="J758" t="n">
        <v>0</v>
      </c>
      <c r="K758" t="n">
        <v>0</v>
      </c>
      <c r="L758" t="n">
        <v>0</v>
      </c>
      <c r="M758" t="n">
        <v>0</v>
      </c>
      <c r="N758" t="n">
        <v>0</v>
      </c>
      <c r="O758" t="n">
        <v>0</v>
      </c>
      <c r="P758" t="n">
        <v>0</v>
      </c>
      <c r="Q758" t="n">
        <v>0</v>
      </c>
      <c r="R758" s="2" t="inlineStr"/>
    </row>
    <row r="759" ht="15" customHeight="1">
      <c r="A759" t="inlineStr">
        <is>
          <t>A 61939-2021</t>
        </is>
      </c>
      <c r="B759" s="1" t="n">
        <v>44502</v>
      </c>
      <c r="C759" s="1" t="n">
        <v>46094</v>
      </c>
      <c r="D759" t="inlineStr">
        <is>
          <t>KALMAR LÄN</t>
        </is>
      </c>
      <c r="E759" t="inlineStr">
        <is>
          <t>VIMMERBY</t>
        </is>
      </c>
      <c r="G759" t="n">
        <v>2.7</v>
      </c>
      <c r="H759" t="n">
        <v>0</v>
      </c>
      <c r="I759" t="n">
        <v>0</v>
      </c>
      <c r="J759" t="n">
        <v>0</v>
      </c>
      <c r="K759" t="n">
        <v>0</v>
      </c>
      <c r="L759" t="n">
        <v>0</v>
      </c>
      <c r="M759" t="n">
        <v>0</v>
      </c>
      <c r="N759" t="n">
        <v>0</v>
      </c>
      <c r="O759" t="n">
        <v>0</v>
      </c>
      <c r="P759" t="n">
        <v>0</v>
      </c>
      <c r="Q759" t="n">
        <v>0</v>
      </c>
      <c r="R759" s="2" t="inlineStr"/>
    </row>
    <row r="760" ht="15" customHeight="1">
      <c r="A760" t="inlineStr">
        <is>
          <t>A 32865-2023</t>
        </is>
      </c>
      <c r="B760" s="1" t="n">
        <v>45124</v>
      </c>
      <c r="C760" s="1" t="n">
        <v>46094</v>
      </c>
      <c r="D760" t="inlineStr">
        <is>
          <t>KALMAR LÄN</t>
        </is>
      </c>
      <c r="E760" t="inlineStr">
        <is>
          <t>VIMMERBY</t>
        </is>
      </c>
      <c r="G760" t="n">
        <v>0.5</v>
      </c>
      <c r="H760" t="n">
        <v>0</v>
      </c>
      <c r="I760" t="n">
        <v>0</v>
      </c>
      <c r="J760" t="n">
        <v>0</v>
      </c>
      <c r="K760" t="n">
        <v>0</v>
      </c>
      <c r="L760" t="n">
        <v>0</v>
      </c>
      <c r="M760" t="n">
        <v>0</v>
      </c>
      <c r="N760" t="n">
        <v>0</v>
      </c>
      <c r="O760" t="n">
        <v>0</v>
      </c>
      <c r="P760" t="n">
        <v>0</v>
      </c>
      <c r="Q760" t="n">
        <v>0</v>
      </c>
      <c r="R760" s="2" t="inlineStr"/>
    </row>
    <row r="761" ht="15" customHeight="1">
      <c r="A761" t="inlineStr">
        <is>
          <t>A 12215-2024</t>
        </is>
      </c>
      <c r="B761" s="1" t="n">
        <v>45378.32185185186</v>
      </c>
      <c r="C761" s="1" t="n">
        <v>46094</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11303-2025</t>
        </is>
      </c>
      <c r="B762" s="1" t="n">
        <v>45726.44471064815</v>
      </c>
      <c r="C762" s="1" t="n">
        <v>46094</v>
      </c>
      <c r="D762" t="inlineStr">
        <is>
          <t>KALMAR LÄN</t>
        </is>
      </c>
      <c r="E762" t="inlineStr">
        <is>
          <t>VIMMERBY</t>
        </is>
      </c>
      <c r="G762" t="n">
        <v>2.1</v>
      </c>
      <c r="H762" t="n">
        <v>0</v>
      </c>
      <c r="I762" t="n">
        <v>0</v>
      </c>
      <c r="J762" t="n">
        <v>0</v>
      </c>
      <c r="K762" t="n">
        <v>0</v>
      </c>
      <c r="L762" t="n">
        <v>0</v>
      </c>
      <c r="M762" t="n">
        <v>0</v>
      </c>
      <c r="N762" t="n">
        <v>0</v>
      </c>
      <c r="O762" t="n">
        <v>0</v>
      </c>
      <c r="P762" t="n">
        <v>0</v>
      </c>
      <c r="Q762" t="n">
        <v>0</v>
      </c>
      <c r="R762" s="2" t="inlineStr"/>
    </row>
    <row r="763" ht="15" customHeight="1">
      <c r="A763" t="inlineStr">
        <is>
          <t>A 12033-2024</t>
        </is>
      </c>
      <c r="B763" s="1" t="n">
        <v>45377.40043981482</v>
      </c>
      <c r="C763" s="1" t="n">
        <v>46094</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42828-2025</t>
        </is>
      </c>
      <c r="B764" s="1" t="n">
        <v>45908.57716435185</v>
      </c>
      <c r="C764" s="1" t="n">
        <v>46094</v>
      </c>
      <c r="D764" t="inlineStr">
        <is>
          <t>KALMAR LÄN</t>
        </is>
      </c>
      <c r="E764" t="inlineStr">
        <is>
          <t>VIMMERBY</t>
        </is>
      </c>
      <c r="G764" t="n">
        <v>5.2</v>
      </c>
      <c r="H764" t="n">
        <v>0</v>
      </c>
      <c r="I764" t="n">
        <v>0</v>
      </c>
      <c r="J764" t="n">
        <v>0</v>
      </c>
      <c r="K764" t="n">
        <v>0</v>
      </c>
      <c r="L764" t="n">
        <v>0</v>
      </c>
      <c r="M764" t="n">
        <v>0</v>
      </c>
      <c r="N764" t="n">
        <v>0</v>
      </c>
      <c r="O764" t="n">
        <v>0</v>
      </c>
      <c r="P764" t="n">
        <v>0</v>
      </c>
      <c r="Q764" t="n">
        <v>0</v>
      </c>
      <c r="R764" s="2" t="inlineStr"/>
    </row>
    <row r="765" ht="15" customHeight="1">
      <c r="A765" t="inlineStr">
        <is>
          <t>A 51408-2023</t>
        </is>
      </c>
      <c r="B765" s="1" t="n">
        <v>45219.69356481481</v>
      </c>
      <c r="C765" s="1" t="n">
        <v>46094</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42794-2025</t>
        </is>
      </c>
      <c r="B766" s="1" t="n">
        <v>45908</v>
      </c>
      <c r="C766" s="1" t="n">
        <v>46094</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42820-2025</t>
        </is>
      </c>
      <c r="B767" s="1" t="n">
        <v>45908</v>
      </c>
      <c r="C767" s="1" t="n">
        <v>46094</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49488-2023</t>
        </is>
      </c>
      <c r="B768" s="1" t="n">
        <v>45211.55472222222</v>
      </c>
      <c r="C768" s="1" t="n">
        <v>46094</v>
      </c>
      <c r="D768" t="inlineStr">
        <is>
          <t>KALMAR LÄN</t>
        </is>
      </c>
      <c r="E768" t="inlineStr">
        <is>
          <t>VIMMERBY</t>
        </is>
      </c>
      <c r="F768" t="inlineStr">
        <is>
          <t>Sveaskog</t>
        </is>
      </c>
      <c r="G768" t="n">
        <v>6.2</v>
      </c>
      <c r="H768" t="n">
        <v>0</v>
      </c>
      <c r="I768" t="n">
        <v>0</v>
      </c>
      <c r="J768" t="n">
        <v>0</v>
      </c>
      <c r="K768" t="n">
        <v>0</v>
      </c>
      <c r="L768" t="n">
        <v>0</v>
      </c>
      <c r="M768" t="n">
        <v>0</v>
      </c>
      <c r="N768" t="n">
        <v>0</v>
      </c>
      <c r="O768" t="n">
        <v>0</v>
      </c>
      <c r="P768" t="n">
        <v>0</v>
      </c>
      <c r="Q768" t="n">
        <v>0</v>
      </c>
      <c r="R768" s="2" t="inlineStr"/>
    </row>
    <row r="769" ht="15" customHeight="1">
      <c r="A769" t="inlineStr">
        <is>
          <t>A 8410-2023</t>
        </is>
      </c>
      <c r="B769" s="1" t="n">
        <v>44977</v>
      </c>
      <c r="C769" s="1" t="n">
        <v>46094</v>
      </c>
      <c r="D769" t="inlineStr">
        <is>
          <t>KALMAR LÄN</t>
        </is>
      </c>
      <c r="E769" t="inlineStr">
        <is>
          <t>VIMMERBY</t>
        </is>
      </c>
      <c r="G769" t="n">
        <v>0.9</v>
      </c>
      <c r="H769" t="n">
        <v>0</v>
      </c>
      <c r="I769" t="n">
        <v>0</v>
      </c>
      <c r="J769" t="n">
        <v>0</v>
      </c>
      <c r="K769" t="n">
        <v>0</v>
      </c>
      <c r="L769" t="n">
        <v>0</v>
      </c>
      <c r="M769" t="n">
        <v>0</v>
      </c>
      <c r="N769" t="n">
        <v>0</v>
      </c>
      <c r="O769" t="n">
        <v>0</v>
      </c>
      <c r="P769" t="n">
        <v>0</v>
      </c>
      <c r="Q769" t="n">
        <v>0</v>
      </c>
      <c r="R769" s="2" t="inlineStr"/>
    </row>
    <row r="770" ht="15" customHeight="1">
      <c r="A770" t="inlineStr">
        <is>
          <t>A 30920-2024</t>
        </is>
      </c>
      <c r="B770" s="1" t="n">
        <v>45498.673125</v>
      </c>
      <c r="C770" s="1" t="n">
        <v>46094</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34060-2025</t>
        </is>
      </c>
      <c r="B771" s="1" t="n">
        <v>45845.42015046296</v>
      </c>
      <c r="C771" s="1" t="n">
        <v>46094</v>
      </c>
      <c r="D771" t="inlineStr">
        <is>
          <t>KALMAR LÄN</t>
        </is>
      </c>
      <c r="E771" t="inlineStr">
        <is>
          <t>VIMMERBY</t>
        </is>
      </c>
      <c r="G771" t="n">
        <v>5.7</v>
      </c>
      <c r="H771" t="n">
        <v>0</v>
      </c>
      <c r="I771" t="n">
        <v>0</v>
      </c>
      <c r="J771" t="n">
        <v>0</v>
      </c>
      <c r="K771" t="n">
        <v>0</v>
      </c>
      <c r="L771" t="n">
        <v>0</v>
      </c>
      <c r="M771" t="n">
        <v>0</v>
      </c>
      <c r="N771" t="n">
        <v>0</v>
      </c>
      <c r="O771" t="n">
        <v>0</v>
      </c>
      <c r="P771" t="n">
        <v>0</v>
      </c>
      <c r="Q771" t="n">
        <v>0</v>
      </c>
      <c r="R771" s="2" t="inlineStr"/>
    </row>
    <row r="772" ht="15" customHeight="1">
      <c r="A772" t="inlineStr">
        <is>
          <t>A 43465-2025</t>
        </is>
      </c>
      <c r="B772" s="1" t="n">
        <v>45911.47138888889</v>
      </c>
      <c r="C772" s="1" t="n">
        <v>46094</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43617-2025</t>
        </is>
      </c>
      <c r="B773" s="1" t="n">
        <v>45911.67798611111</v>
      </c>
      <c r="C773" s="1" t="n">
        <v>46094</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40929-2022</t>
        </is>
      </c>
      <c r="B774" s="1" t="n">
        <v>44825.4336574074</v>
      </c>
      <c r="C774" s="1" t="n">
        <v>46094</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50091-2023</t>
        </is>
      </c>
      <c r="B775" s="1" t="n">
        <v>45215.60199074074</v>
      </c>
      <c r="C775" s="1" t="n">
        <v>46094</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36008-2024</t>
        </is>
      </c>
      <c r="B776" s="1" t="n">
        <v>45533.55362268518</v>
      </c>
      <c r="C776" s="1" t="n">
        <v>46094</v>
      </c>
      <c r="D776" t="inlineStr">
        <is>
          <t>KALMAR LÄN</t>
        </is>
      </c>
      <c r="E776" t="inlineStr">
        <is>
          <t>VIMMERBY</t>
        </is>
      </c>
      <c r="G776" t="n">
        <v>3.7</v>
      </c>
      <c r="H776" t="n">
        <v>0</v>
      </c>
      <c r="I776" t="n">
        <v>0</v>
      </c>
      <c r="J776" t="n">
        <v>0</v>
      </c>
      <c r="K776" t="n">
        <v>0</v>
      </c>
      <c r="L776" t="n">
        <v>0</v>
      </c>
      <c r="M776" t="n">
        <v>0</v>
      </c>
      <c r="N776" t="n">
        <v>0</v>
      </c>
      <c r="O776" t="n">
        <v>0</v>
      </c>
      <c r="P776" t="n">
        <v>0</v>
      </c>
      <c r="Q776" t="n">
        <v>0</v>
      </c>
      <c r="R776" s="2" t="inlineStr"/>
    </row>
    <row r="777" ht="15" customHeight="1">
      <c r="A777" t="inlineStr">
        <is>
          <t>A 16622-2025</t>
        </is>
      </c>
      <c r="B777" s="1" t="n">
        <v>45754.33641203704</v>
      </c>
      <c r="C777" s="1" t="n">
        <v>46094</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17511-2024</t>
        </is>
      </c>
      <c r="B778" s="1" t="n">
        <v>45415.57682870371</v>
      </c>
      <c r="C778" s="1" t="n">
        <v>46094</v>
      </c>
      <c r="D778" t="inlineStr">
        <is>
          <t>KALMAR LÄN</t>
        </is>
      </c>
      <c r="E778" t="inlineStr">
        <is>
          <t>VIMMERBY</t>
        </is>
      </c>
      <c r="G778" t="n">
        <v>5.3</v>
      </c>
      <c r="H778" t="n">
        <v>0</v>
      </c>
      <c r="I778" t="n">
        <v>0</v>
      </c>
      <c r="J778" t="n">
        <v>0</v>
      </c>
      <c r="K778" t="n">
        <v>0</v>
      </c>
      <c r="L778" t="n">
        <v>0</v>
      </c>
      <c r="M778" t="n">
        <v>0</v>
      </c>
      <c r="N778" t="n">
        <v>0</v>
      </c>
      <c r="O778" t="n">
        <v>0</v>
      </c>
      <c r="P778" t="n">
        <v>0</v>
      </c>
      <c r="Q778" t="n">
        <v>0</v>
      </c>
      <c r="R778" s="2" t="inlineStr"/>
    </row>
    <row r="779" ht="15" customHeight="1">
      <c r="A779" t="inlineStr">
        <is>
          <t>A 43705-2023</t>
        </is>
      </c>
      <c r="B779" s="1" t="n">
        <v>45187.42854166667</v>
      </c>
      <c r="C779" s="1" t="n">
        <v>46094</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44095-2025</t>
        </is>
      </c>
      <c r="B780" s="1" t="n">
        <v>45915.56430555556</v>
      </c>
      <c r="C780" s="1" t="n">
        <v>46094</v>
      </c>
      <c r="D780" t="inlineStr">
        <is>
          <t>KALMAR LÄN</t>
        </is>
      </c>
      <c r="E780" t="inlineStr">
        <is>
          <t>VIMMERBY</t>
        </is>
      </c>
      <c r="G780" t="n">
        <v>2.4</v>
      </c>
      <c r="H780" t="n">
        <v>0</v>
      </c>
      <c r="I780" t="n">
        <v>0</v>
      </c>
      <c r="J780" t="n">
        <v>0</v>
      </c>
      <c r="K780" t="n">
        <v>0</v>
      </c>
      <c r="L780" t="n">
        <v>0</v>
      </c>
      <c r="M780" t="n">
        <v>0</v>
      </c>
      <c r="N780" t="n">
        <v>0</v>
      </c>
      <c r="O780" t="n">
        <v>0</v>
      </c>
      <c r="P780" t="n">
        <v>0</v>
      </c>
      <c r="Q780" t="n">
        <v>0</v>
      </c>
      <c r="R780" s="2" t="inlineStr"/>
    </row>
    <row r="781" ht="15" customHeight="1">
      <c r="A781" t="inlineStr">
        <is>
          <t>A 55300-2021</t>
        </is>
      </c>
      <c r="B781" s="1" t="n">
        <v>44475</v>
      </c>
      <c r="C781" s="1" t="n">
        <v>46094</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44179-2022</t>
        </is>
      </c>
      <c r="B782" s="1" t="n">
        <v>44839.4528125</v>
      </c>
      <c r="C782" s="1" t="n">
        <v>46094</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52755-2022</t>
        </is>
      </c>
      <c r="B783" s="1" t="n">
        <v>44875.27736111111</v>
      </c>
      <c r="C783" s="1" t="n">
        <v>46094</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44091-2025</t>
        </is>
      </c>
      <c r="B784" s="1" t="n">
        <v>45915.55950231481</v>
      </c>
      <c r="C784" s="1" t="n">
        <v>46094</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35998-2024</t>
        </is>
      </c>
      <c r="B785" s="1" t="n">
        <v>45533.54429398148</v>
      </c>
      <c r="C785" s="1" t="n">
        <v>46094</v>
      </c>
      <c r="D785" t="inlineStr">
        <is>
          <t>KALMAR LÄN</t>
        </is>
      </c>
      <c r="E785" t="inlineStr">
        <is>
          <t>VIMMERBY</t>
        </is>
      </c>
      <c r="G785" t="n">
        <v>8.6</v>
      </c>
      <c r="H785" t="n">
        <v>0</v>
      </c>
      <c r="I785" t="n">
        <v>0</v>
      </c>
      <c r="J785" t="n">
        <v>0</v>
      </c>
      <c r="K785" t="n">
        <v>0</v>
      </c>
      <c r="L785" t="n">
        <v>0</v>
      </c>
      <c r="M785" t="n">
        <v>0</v>
      </c>
      <c r="N785" t="n">
        <v>0</v>
      </c>
      <c r="O785" t="n">
        <v>0</v>
      </c>
      <c r="P785" t="n">
        <v>0</v>
      </c>
      <c r="Q785" t="n">
        <v>0</v>
      </c>
      <c r="R785" s="2" t="inlineStr"/>
    </row>
    <row r="786" ht="15" customHeight="1">
      <c r="A786" t="inlineStr">
        <is>
          <t>A 7797-2023</t>
        </is>
      </c>
      <c r="B786" s="1" t="n">
        <v>44973.43075231482</v>
      </c>
      <c r="C786" s="1" t="n">
        <v>46094</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29351-2023</t>
        </is>
      </c>
      <c r="B787" s="1" t="n">
        <v>45106.2610300926</v>
      </c>
      <c r="C787" s="1" t="n">
        <v>46094</v>
      </c>
      <c r="D787" t="inlineStr">
        <is>
          <t>KALMAR LÄN</t>
        </is>
      </c>
      <c r="E787" t="inlineStr">
        <is>
          <t>VIMMERBY</t>
        </is>
      </c>
      <c r="G787" t="n">
        <v>0.4</v>
      </c>
      <c r="H787" t="n">
        <v>0</v>
      </c>
      <c r="I787" t="n">
        <v>0</v>
      </c>
      <c r="J787" t="n">
        <v>0</v>
      </c>
      <c r="K787" t="n">
        <v>0</v>
      </c>
      <c r="L787" t="n">
        <v>0</v>
      </c>
      <c r="M787" t="n">
        <v>0</v>
      </c>
      <c r="N787" t="n">
        <v>0</v>
      </c>
      <c r="O787" t="n">
        <v>0</v>
      </c>
      <c r="P787" t="n">
        <v>0</v>
      </c>
      <c r="Q787" t="n">
        <v>0</v>
      </c>
      <c r="R787" s="2" t="inlineStr"/>
    </row>
    <row r="788" ht="15" customHeight="1">
      <c r="A788" t="inlineStr">
        <is>
          <t>A 7630-2025</t>
        </is>
      </c>
      <c r="B788" s="1" t="n">
        <v>45705.74418981482</v>
      </c>
      <c r="C788" s="1" t="n">
        <v>46094</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1024-2024</t>
        </is>
      </c>
      <c r="B789" s="1" t="n">
        <v>45301.68237268519</v>
      </c>
      <c r="C789" s="1" t="n">
        <v>46094</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10787-2025</t>
        </is>
      </c>
      <c r="B790" s="1" t="n">
        <v>45722.48915509259</v>
      </c>
      <c r="C790" s="1" t="n">
        <v>46094</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44517-2025</t>
        </is>
      </c>
      <c r="B791" s="1" t="n">
        <v>45916.7103587963</v>
      </c>
      <c r="C791" s="1" t="n">
        <v>46094</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44742-2025</t>
        </is>
      </c>
      <c r="B792" s="1" t="n">
        <v>45917.67054398148</v>
      </c>
      <c r="C792" s="1" t="n">
        <v>46094</v>
      </c>
      <c r="D792" t="inlineStr">
        <is>
          <t>KALMAR LÄN</t>
        </is>
      </c>
      <c r="E792" t="inlineStr">
        <is>
          <t>VIMMERBY</t>
        </is>
      </c>
      <c r="G792" t="n">
        <v>4.7</v>
      </c>
      <c r="H792" t="n">
        <v>0</v>
      </c>
      <c r="I792" t="n">
        <v>0</v>
      </c>
      <c r="J792" t="n">
        <v>0</v>
      </c>
      <c r="K792" t="n">
        <v>0</v>
      </c>
      <c r="L792" t="n">
        <v>0</v>
      </c>
      <c r="M792" t="n">
        <v>0</v>
      </c>
      <c r="N792" t="n">
        <v>0</v>
      </c>
      <c r="O792" t="n">
        <v>0</v>
      </c>
      <c r="P792" t="n">
        <v>0</v>
      </c>
      <c r="Q792" t="n">
        <v>0</v>
      </c>
      <c r="R792" s="2" t="inlineStr"/>
    </row>
    <row r="793" ht="15" customHeight="1">
      <c r="A793" t="inlineStr">
        <is>
          <t>A 44329-2025</t>
        </is>
      </c>
      <c r="B793" s="1" t="n">
        <v>45916.41019675926</v>
      </c>
      <c r="C793" s="1" t="n">
        <v>46094</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41896-2025</t>
        </is>
      </c>
      <c r="B794" s="1" t="n">
        <v>45903.38800925926</v>
      </c>
      <c r="C794" s="1" t="n">
        <v>46094</v>
      </c>
      <c r="D794" t="inlineStr">
        <is>
          <t>KALMAR LÄN</t>
        </is>
      </c>
      <c r="E794" t="inlineStr">
        <is>
          <t>VIMMERBY</t>
        </is>
      </c>
      <c r="G794" t="n">
        <v>2.9</v>
      </c>
      <c r="H794" t="n">
        <v>0</v>
      </c>
      <c r="I794" t="n">
        <v>0</v>
      </c>
      <c r="J794" t="n">
        <v>0</v>
      </c>
      <c r="K794" t="n">
        <v>0</v>
      </c>
      <c r="L794" t="n">
        <v>0</v>
      </c>
      <c r="M794" t="n">
        <v>0</v>
      </c>
      <c r="N794" t="n">
        <v>0</v>
      </c>
      <c r="O794" t="n">
        <v>0</v>
      </c>
      <c r="P794" t="n">
        <v>0</v>
      </c>
      <c r="Q794" t="n">
        <v>0</v>
      </c>
      <c r="R794" s="2" t="inlineStr"/>
    </row>
    <row r="795" ht="15" customHeight="1">
      <c r="A795" t="inlineStr">
        <is>
          <t>A 29350-2023</t>
        </is>
      </c>
      <c r="B795" s="1" t="n">
        <v>45106</v>
      </c>
      <c r="C795" s="1" t="n">
        <v>46094</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14855-2025</t>
        </is>
      </c>
      <c r="B796" s="1" t="n">
        <v>45743.41148148148</v>
      </c>
      <c r="C796" s="1" t="n">
        <v>46094</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43601-2024</t>
        </is>
      </c>
      <c r="B797" s="1" t="n">
        <v>45569.44684027778</v>
      </c>
      <c r="C797" s="1" t="n">
        <v>46094</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35913-2023</t>
        </is>
      </c>
      <c r="B798" s="1" t="n">
        <v>45148</v>
      </c>
      <c r="C798" s="1" t="n">
        <v>46094</v>
      </c>
      <c r="D798" t="inlineStr">
        <is>
          <t>KALMAR LÄN</t>
        </is>
      </c>
      <c r="E798" t="inlineStr">
        <is>
          <t>VIMMERBY</t>
        </is>
      </c>
      <c r="G798" t="n">
        <v>6.9</v>
      </c>
      <c r="H798" t="n">
        <v>0</v>
      </c>
      <c r="I798" t="n">
        <v>0</v>
      </c>
      <c r="J798" t="n">
        <v>0</v>
      </c>
      <c r="K798" t="n">
        <v>0</v>
      </c>
      <c r="L798" t="n">
        <v>0</v>
      </c>
      <c r="M798" t="n">
        <v>0</v>
      </c>
      <c r="N798" t="n">
        <v>0</v>
      </c>
      <c r="O798" t="n">
        <v>0</v>
      </c>
      <c r="P798" t="n">
        <v>0</v>
      </c>
      <c r="Q798" t="n">
        <v>0</v>
      </c>
      <c r="R798" s="2" t="inlineStr"/>
    </row>
    <row r="799" ht="15" customHeight="1">
      <c r="A799" t="inlineStr">
        <is>
          <t>A 9624-2024</t>
        </is>
      </c>
      <c r="B799" s="1" t="n">
        <v>45361.90282407407</v>
      </c>
      <c r="C799" s="1" t="n">
        <v>46094</v>
      </c>
      <c r="D799" t="inlineStr">
        <is>
          <t>KALMAR LÄN</t>
        </is>
      </c>
      <c r="E799" t="inlineStr">
        <is>
          <t>VIMMERBY</t>
        </is>
      </c>
      <c r="G799" t="n">
        <v>3.8</v>
      </c>
      <c r="H799" t="n">
        <v>0</v>
      </c>
      <c r="I799" t="n">
        <v>0</v>
      </c>
      <c r="J799" t="n">
        <v>0</v>
      </c>
      <c r="K799" t="n">
        <v>0</v>
      </c>
      <c r="L799" t="n">
        <v>0</v>
      </c>
      <c r="M799" t="n">
        <v>0</v>
      </c>
      <c r="N799" t="n">
        <v>0</v>
      </c>
      <c r="O799" t="n">
        <v>0</v>
      </c>
      <c r="P799" t="n">
        <v>0</v>
      </c>
      <c r="Q799" t="n">
        <v>0</v>
      </c>
      <c r="R799" s="2" t="inlineStr"/>
    </row>
    <row r="800" ht="15" customHeight="1">
      <c r="A800" t="inlineStr">
        <is>
          <t>A 3938-2023</t>
        </is>
      </c>
      <c r="B800" s="1" t="n">
        <v>44952.35775462963</v>
      </c>
      <c r="C800" s="1" t="n">
        <v>46094</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39053-2024</t>
        </is>
      </c>
      <c r="B801" s="1" t="n">
        <v>45548</v>
      </c>
      <c r="C801" s="1" t="n">
        <v>46094</v>
      </c>
      <c r="D801" t="inlineStr">
        <is>
          <t>KALMAR LÄN</t>
        </is>
      </c>
      <c r="E801" t="inlineStr">
        <is>
          <t>VIMMERBY</t>
        </is>
      </c>
      <c r="G801" t="n">
        <v>5</v>
      </c>
      <c r="H801" t="n">
        <v>0</v>
      </c>
      <c r="I801" t="n">
        <v>0</v>
      </c>
      <c r="J801" t="n">
        <v>0</v>
      </c>
      <c r="K801" t="n">
        <v>0</v>
      </c>
      <c r="L801" t="n">
        <v>0</v>
      </c>
      <c r="M801" t="n">
        <v>0</v>
      </c>
      <c r="N801" t="n">
        <v>0</v>
      </c>
      <c r="O801" t="n">
        <v>0</v>
      </c>
      <c r="P801" t="n">
        <v>0</v>
      </c>
      <c r="Q801" t="n">
        <v>0</v>
      </c>
      <c r="R801" s="2" t="inlineStr"/>
    </row>
    <row r="802" ht="15" customHeight="1">
      <c r="A802" t="inlineStr">
        <is>
          <t>A 14451-2024</t>
        </is>
      </c>
      <c r="B802" s="1" t="n">
        <v>45394.50028935185</v>
      </c>
      <c r="C802" s="1" t="n">
        <v>46094</v>
      </c>
      <c r="D802" t="inlineStr">
        <is>
          <t>KALMAR LÄN</t>
        </is>
      </c>
      <c r="E802" t="inlineStr">
        <is>
          <t>VIMMERBY</t>
        </is>
      </c>
      <c r="G802" t="n">
        <v>1.9</v>
      </c>
      <c r="H802" t="n">
        <v>0</v>
      </c>
      <c r="I802" t="n">
        <v>0</v>
      </c>
      <c r="J802" t="n">
        <v>0</v>
      </c>
      <c r="K802" t="n">
        <v>0</v>
      </c>
      <c r="L802" t="n">
        <v>0</v>
      </c>
      <c r="M802" t="n">
        <v>0</v>
      </c>
      <c r="N802" t="n">
        <v>0</v>
      </c>
      <c r="O802" t="n">
        <v>0</v>
      </c>
      <c r="P802" t="n">
        <v>0</v>
      </c>
      <c r="Q802" t="n">
        <v>0</v>
      </c>
      <c r="R802" s="2" t="inlineStr"/>
    </row>
    <row r="803" ht="15" customHeight="1">
      <c r="A803" t="inlineStr">
        <is>
          <t>A 34205-2023</t>
        </is>
      </c>
      <c r="B803" s="1" t="n">
        <v>45138</v>
      </c>
      <c r="C803" s="1" t="n">
        <v>46094</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45114-2025</t>
        </is>
      </c>
      <c r="B804" s="1" t="n">
        <v>45919.42387731482</v>
      </c>
      <c r="C804" s="1" t="n">
        <v>46094</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45319-2025</t>
        </is>
      </c>
      <c r="B805" s="1" t="n">
        <v>45921.95611111111</v>
      </c>
      <c r="C805" s="1" t="n">
        <v>46094</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3268-2024</t>
        </is>
      </c>
      <c r="B806" s="1" t="n">
        <v>45317</v>
      </c>
      <c r="C806" s="1" t="n">
        <v>46094</v>
      </c>
      <c r="D806" t="inlineStr">
        <is>
          <t>KALMAR LÄN</t>
        </is>
      </c>
      <c r="E806" t="inlineStr">
        <is>
          <t>VIMMERBY</t>
        </is>
      </c>
      <c r="F806" t="inlineStr">
        <is>
          <t>Övriga Aktiebolag</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12819-2024</t>
        </is>
      </c>
      <c r="B807" s="1" t="n">
        <v>45384.66917824074</v>
      </c>
      <c r="C807" s="1" t="n">
        <v>46094</v>
      </c>
      <c r="D807" t="inlineStr">
        <is>
          <t>KALMAR LÄN</t>
        </is>
      </c>
      <c r="E807" t="inlineStr">
        <is>
          <t>VIMMERBY</t>
        </is>
      </c>
      <c r="G807" t="n">
        <v>5.1</v>
      </c>
      <c r="H807" t="n">
        <v>0</v>
      </c>
      <c r="I807" t="n">
        <v>0</v>
      </c>
      <c r="J807" t="n">
        <v>0</v>
      </c>
      <c r="K807" t="n">
        <v>0</v>
      </c>
      <c r="L807" t="n">
        <v>0</v>
      </c>
      <c r="M807" t="n">
        <v>0</v>
      </c>
      <c r="N807" t="n">
        <v>0</v>
      </c>
      <c r="O807" t="n">
        <v>0</v>
      </c>
      <c r="P807" t="n">
        <v>0</v>
      </c>
      <c r="Q807" t="n">
        <v>0</v>
      </c>
      <c r="R807" s="2" t="inlineStr"/>
    </row>
    <row r="808" ht="15" customHeight="1">
      <c r="A808" t="inlineStr">
        <is>
          <t>A 45320-2025</t>
        </is>
      </c>
      <c r="B808" s="1" t="n">
        <v>45921.96395833333</v>
      </c>
      <c r="C808" s="1" t="n">
        <v>46094</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6214-2025</t>
        </is>
      </c>
      <c r="B809" s="1" t="n">
        <v>45698.51711805556</v>
      </c>
      <c r="C809" s="1" t="n">
        <v>46094</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32569-2024</t>
        </is>
      </c>
      <c r="B810" s="1" t="n">
        <v>45513.55840277778</v>
      </c>
      <c r="C810" s="1" t="n">
        <v>46094</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32575-2024</t>
        </is>
      </c>
      <c r="B811" s="1" t="n">
        <v>45513.56527777778</v>
      </c>
      <c r="C811" s="1" t="n">
        <v>46094</v>
      </c>
      <c r="D811" t="inlineStr">
        <is>
          <t>KALMAR LÄN</t>
        </is>
      </c>
      <c r="E811" t="inlineStr">
        <is>
          <t>VIMMERBY</t>
        </is>
      </c>
      <c r="G811" t="n">
        <v>1.5</v>
      </c>
      <c r="H811" t="n">
        <v>0</v>
      </c>
      <c r="I811" t="n">
        <v>0</v>
      </c>
      <c r="J811" t="n">
        <v>0</v>
      </c>
      <c r="K811" t="n">
        <v>0</v>
      </c>
      <c r="L811" t="n">
        <v>0</v>
      </c>
      <c r="M811" t="n">
        <v>0</v>
      </c>
      <c r="N811" t="n">
        <v>0</v>
      </c>
      <c r="O811" t="n">
        <v>0</v>
      </c>
      <c r="P811" t="n">
        <v>0</v>
      </c>
      <c r="Q811" t="n">
        <v>0</v>
      </c>
      <c r="R811" s="2" t="inlineStr"/>
    </row>
    <row r="812" ht="15" customHeight="1">
      <c r="A812" t="inlineStr">
        <is>
          <t>A 46118-2025</t>
        </is>
      </c>
      <c r="B812" s="1" t="n">
        <v>45924.57697916667</v>
      </c>
      <c r="C812" s="1" t="n">
        <v>46094</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46365-2025</t>
        </is>
      </c>
      <c r="B813" s="1" t="n">
        <v>45925.50075231482</v>
      </c>
      <c r="C813" s="1" t="n">
        <v>46094</v>
      </c>
      <c r="D813" t="inlineStr">
        <is>
          <t>KALMAR LÄN</t>
        </is>
      </c>
      <c r="E813" t="inlineStr">
        <is>
          <t>VIMMERBY</t>
        </is>
      </c>
      <c r="G813" t="n">
        <v>5.6</v>
      </c>
      <c r="H813" t="n">
        <v>0</v>
      </c>
      <c r="I813" t="n">
        <v>0</v>
      </c>
      <c r="J813" t="n">
        <v>0</v>
      </c>
      <c r="K813" t="n">
        <v>0</v>
      </c>
      <c r="L813" t="n">
        <v>0</v>
      </c>
      <c r="M813" t="n">
        <v>0</v>
      </c>
      <c r="N813" t="n">
        <v>0</v>
      </c>
      <c r="O813" t="n">
        <v>0</v>
      </c>
      <c r="P813" t="n">
        <v>0</v>
      </c>
      <c r="Q813" t="n">
        <v>0</v>
      </c>
      <c r="R813" s="2" t="inlineStr"/>
    </row>
    <row r="814" ht="15" customHeight="1">
      <c r="A814" t="inlineStr">
        <is>
          <t>A 46361-2025</t>
        </is>
      </c>
      <c r="B814" s="1" t="n">
        <v>45925.49670138889</v>
      </c>
      <c r="C814" s="1" t="n">
        <v>46094</v>
      </c>
      <c r="D814" t="inlineStr">
        <is>
          <t>KALMAR LÄN</t>
        </is>
      </c>
      <c r="E814" t="inlineStr">
        <is>
          <t>VIMMERBY</t>
        </is>
      </c>
      <c r="G814" t="n">
        <v>4.2</v>
      </c>
      <c r="H814" t="n">
        <v>0</v>
      </c>
      <c r="I814" t="n">
        <v>0</v>
      </c>
      <c r="J814" t="n">
        <v>0</v>
      </c>
      <c r="K814" t="n">
        <v>0</v>
      </c>
      <c r="L814" t="n">
        <v>0</v>
      </c>
      <c r="M814" t="n">
        <v>0</v>
      </c>
      <c r="N814" t="n">
        <v>0</v>
      </c>
      <c r="O814" t="n">
        <v>0</v>
      </c>
      <c r="P814" t="n">
        <v>0</v>
      </c>
      <c r="Q814" t="n">
        <v>0</v>
      </c>
      <c r="R814" s="2" t="inlineStr"/>
    </row>
    <row r="815" ht="15" customHeight="1">
      <c r="A815" t="inlineStr">
        <is>
          <t>A 46887-2025</t>
        </is>
      </c>
      <c r="B815" s="1" t="n">
        <v>45929.3672337963</v>
      </c>
      <c r="C815" s="1" t="n">
        <v>46094</v>
      </c>
      <c r="D815" t="inlineStr">
        <is>
          <t>KALMAR LÄN</t>
        </is>
      </c>
      <c r="E815" t="inlineStr">
        <is>
          <t>VIMMERBY</t>
        </is>
      </c>
      <c r="F815" t="inlineStr">
        <is>
          <t>Sveaskog</t>
        </is>
      </c>
      <c r="G815" t="n">
        <v>1</v>
      </c>
      <c r="H815" t="n">
        <v>0</v>
      </c>
      <c r="I815" t="n">
        <v>0</v>
      </c>
      <c r="J815" t="n">
        <v>0</v>
      </c>
      <c r="K815" t="n">
        <v>0</v>
      </c>
      <c r="L815" t="n">
        <v>0</v>
      </c>
      <c r="M815" t="n">
        <v>0</v>
      </c>
      <c r="N815" t="n">
        <v>0</v>
      </c>
      <c r="O815" t="n">
        <v>0</v>
      </c>
      <c r="P815" t="n">
        <v>0</v>
      </c>
      <c r="Q815" t="n">
        <v>0</v>
      </c>
      <c r="R815" s="2" t="inlineStr"/>
    </row>
    <row r="816" ht="15" customHeight="1">
      <c r="A816" t="inlineStr">
        <is>
          <t>A 45856-2025</t>
        </is>
      </c>
      <c r="B816" s="1" t="n">
        <v>45923</v>
      </c>
      <c r="C816" s="1" t="n">
        <v>46094</v>
      </c>
      <c r="D816" t="inlineStr">
        <is>
          <t>KALMAR LÄN</t>
        </is>
      </c>
      <c r="E816" t="inlineStr">
        <is>
          <t>VIMMERBY</t>
        </is>
      </c>
      <c r="G816" t="n">
        <v>2.1</v>
      </c>
      <c r="H816" t="n">
        <v>0</v>
      </c>
      <c r="I816" t="n">
        <v>0</v>
      </c>
      <c r="J816" t="n">
        <v>0</v>
      </c>
      <c r="K816" t="n">
        <v>0</v>
      </c>
      <c r="L816" t="n">
        <v>0</v>
      </c>
      <c r="M816" t="n">
        <v>0</v>
      </c>
      <c r="N816" t="n">
        <v>0</v>
      </c>
      <c r="O816" t="n">
        <v>0</v>
      </c>
      <c r="P816" t="n">
        <v>0</v>
      </c>
      <c r="Q816" t="n">
        <v>0</v>
      </c>
      <c r="R816" s="2" t="inlineStr"/>
    </row>
    <row r="817" ht="15" customHeight="1">
      <c r="A817" t="inlineStr">
        <is>
          <t>A 45854-2025</t>
        </is>
      </c>
      <c r="B817" s="1" t="n">
        <v>45923</v>
      </c>
      <c r="C817" s="1" t="n">
        <v>46094</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45855-2025</t>
        </is>
      </c>
      <c r="B818" s="1" t="n">
        <v>45923</v>
      </c>
      <c r="C818" s="1" t="n">
        <v>46094</v>
      </c>
      <c r="D818" t="inlineStr">
        <is>
          <t>KALMAR LÄN</t>
        </is>
      </c>
      <c r="E818" t="inlineStr">
        <is>
          <t>VIMMERBY</t>
        </is>
      </c>
      <c r="G818" t="n">
        <v>1.4</v>
      </c>
      <c r="H818" t="n">
        <v>0</v>
      </c>
      <c r="I818" t="n">
        <v>0</v>
      </c>
      <c r="J818" t="n">
        <v>0</v>
      </c>
      <c r="K818" t="n">
        <v>0</v>
      </c>
      <c r="L818" t="n">
        <v>0</v>
      </c>
      <c r="M818" t="n">
        <v>0</v>
      </c>
      <c r="N818" t="n">
        <v>0</v>
      </c>
      <c r="O818" t="n">
        <v>0</v>
      </c>
      <c r="P818" t="n">
        <v>0</v>
      </c>
      <c r="Q818" t="n">
        <v>0</v>
      </c>
      <c r="R818" s="2" t="inlineStr"/>
    </row>
    <row r="819" ht="15" customHeight="1">
      <c r="A819" t="inlineStr">
        <is>
          <t>A 47227-2025</t>
        </is>
      </c>
      <c r="B819" s="1" t="n">
        <v>45930.39769675926</v>
      </c>
      <c r="C819" s="1" t="n">
        <v>46094</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48299-2025</t>
        </is>
      </c>
      <c r="B820" s="1" t="n">
        <v>45933.60982638889</v>
      </c>
      <c r="C820" s="1" t="n">
        <v>46094</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47965-2025</t>
        </is>
      </c>
      <c r="B821" s="1" t="n">
        <v>45932.59597222223</v>
      </c>
      <c r="C821" s="1" t="n">
        <v>46094</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47955-2025</t>
        </is>
      </c>
      <c r="B822" s="1" t="n">
        <v>45932.58896990741</v>
      </c>
      <c r="C822" s="1" t="n">
        <v>46094</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48723-2025</t>
        </is>
      </c>
      <c r="B823" s="1" t="n">
        <v>45936.65121527778</v>
      </c>
      <c r="C823" s="1" t="n">
        <v>46094</v>
      </c>
      <c r="D823" t="inlineStr">
        <is>
          <t>KALMAR LÄN</t>
        </is>
      </c>
      <c r="E823" t="inlineStr">
        <is>
          <t>VIMMERBY</t>
        </is>
      </c>
      <c r="G823" t="n">
        <v>3</v>
      </c>
      <c r="H823" t="n">
        <v>0</v>
      </c>
      <c r="I823" t="n">
        <v>0</v>
      </c>
      <c r="J823" t="n">
        <v>0</v>
      </c>
      <c r="K823" t="n">
        <v>0</v>
      </c>
      <c r="L823" t="n">
        <v>0</v>
      </c>
      <c r="M823" t="n">
        <v>0</v>
      </c>
      <c r="N823" t="n">
        <v>0</v>
      </c>
      <c r="O823" t="n">
        <v>0</v>
      </c>
      <c r="P823" t="n">
        <v>0</v>
      </c>
      <c r="Q823" t="n">
        <v>0</v>
      </c>
      <c r="R823" s="2" t="inlineStr"/>
    </row>
    <row r="824" ht="15" customHeight="1">
      <c r="A824" t="inlineStr">
        <is>
          <t>A 48712-2025</t>
        </is>
      </c>
      <c r="B824" s="1" t="n">
        <v>45936.63373842592</v>
      </c>
      <c r="C824" s="1" t="n">
        <v>46094</v>
      </c>
      <c r="D824" t="inlineStr">
        <is>
          <t>KALMAR LÄN</t>
        </is>
      </c>
      <c r="E824" t="inlineStr">
        <is>
          <t>VIMMERBY</t>
        </is>
      </c>
      <c r="G824" t="n">
        <v>3</v>
      </c>
      <c r="H824" t="n">
        <v>0</v>
      </c>
      <c r="I824" t="n">
        <v>0</v>
      </c>
      <c r="J824" t="n">
        <v>0</v>
      </c>
      <c r="K824" t="n">
        <v>0</v>
      </c>
      <c r="L824" t="n">
        <v>0</v>
      </c>
      <c r="M824" t="n">
        <v>0</v>
      </c>
      <c r="N824" t="n">
        <v>0</v>
      </c>
      <c r="O824" t="n">
        <v>0</v>
      </c>
      <c r="P824" t="n">
        <v>0</v>
      </c>
      <c r="Q824" t="n">
        <v>0</v>
      </c>
      <c r="R824" s="2" t="inlineStr"/>
    </row>
    <row r="825" ht="15" customHeight="1">
      <c r="A825" t="inlineStr">
        <is>
          <t>A 48408-2025</t>
        </is>
      </c>
      <c r="B825" s="1" t="n">
        <v>45934.40527777778</v>
      </c>
      <c r="C825" s="1" t="n">
        <v>46094</v>
      </c>
      <c r="D825" t="inlineStr">
        <is>
          <t>KALMAR LÄN</t>
        </is>
      </c>
      <c r="E825" t="inlineStr">
        <is>
          <t>VIMMERBY</t>
        </is>
      </c>
      <c r="G825" t="n">
        <v>2.4</v>
      </c>
      <c r="H825" t="n">
        <v>0</v>
      </c>
      <c r="I825" t="n">
        <v>0</v>
      </c>
      <c r="J825" t="n">
        <v>0</v>
      </c>
      <c r="K825" t="n">
        <v>0</v>
      </c>
      <c r="L825" t="n">
        <v>0</v>
      </c>
      <c r="M825" t="n">
        <v>0</v>
      </c>
      <c r="N825" t="n">
        <v>0</v>
      </c>
      <c r="O825" t="n">
        <v>0</v>
      </c>
      <c r="P825" t="n">
        <v>0</v>
      </c>
      <c r="Q825" t="n">
        <v>0</v>
      </c>
      <c r="R825" s="2" t="inlineStr"/>
    </row>
    <row r="826" ht="15" customHeight="1">
      <c r="A826" t="inlineStr">
        <is>
          <t>A 48409-2025</t>
        </is>
      </c>
      <c r="B826" s="1" t="n">
        <v>45934.41387731482</v>
      </c>
      <c r="C826" s="1" t="n">
        <v>46094</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48600-2025</t>
        </is>
      </c>
      <c r="B827" s="1" t="n">
        <v>45935</v>
      </c>
      <c r="C827" s="1" t="n">
        <v>46094</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49871-2025</t>
        </is>
      </c>
      <c r="B828" s="1" t="n">
        <v>45940.54104166666</v>
      </c>
      <c r="C828" s="1" t="n">
        <v>46094</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50544-2025</t>
        </is>
      </c>
      <c r="B829" s="1" t="n">
        <v>45945.50736111111</v>
      </c>
      <c r="C829" s="1" t="n">
        <v>46094</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50324-2025</t>
        </is>
      </c>
      <c r="B830" s="1" t="n">
        <v>45944.45962962963</v>
      </c>
      <c r="C830" s="1" t="n">
        <v>46094</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51062-2025</t>
        </is>
      </c>
      <c r="B831" s="1" t="n">
        <v>45947.44685185186</v>
      </c>
      <c r="C831" s="1" t="n">
        <v>46094</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51990-2025</t>
        </is>
      </c>
      <c r="B832" s="1" t="n">
        <v>45952.58061342593</v>
      </c>
      <c r="C832" s="1" t="n">
        <v>46094</v>
      </c>
      <c r="D832" t="inlineStr">
        <is>
          <t>KALMAR LÄN</t>
        </is>
      </c>
      <c r="E832" t="inlineStr">
        <is>
          <t>VIMMERBY</t>
        </is>
      </c>
      <c r="G832" t="n">
        <v>2.4</v>
      </c>
      <c r="H832" t="n">
        <v>0</v>
      </c>
      <c r="I832" t="n">
        <v>0</v>
      </c>
      <c r="J832" t="n">
        <v>0</v>
      </c>
      <c r="K832" t="n">
        <v>0</v>
      </c>
      <c r="L832" t="n">
        <v>0</v>
      </c>
      <c r="M832" t="n">
        <v>0</v>
      </c>
      <c r="N832" t="n">
        <v>0</v>
      </c>
      <c r="O832" t="n">
        <v>0</v>
      </c>
      <c r="P832" t="n">
        <v>0</v>
      </c>
      <c r="Q832" t="n">
        <v>0</v>
      </c>
      <c r="R832" s="2" t="inlineStr"/>
    </row>
    <row r="833" ht="15" customHeight="1">
      <c r="A833" t="inlineStr">
        <is>
          <t>A 51993-2025</t>
        </is>
      </c>
      <c r="B833" s="1" t="n">
        <v>45952.58194444444</v>
      </c>
      <c r="C833" s="1" t="n">
        <v>46094</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52465-2025</t>
        </is>
      </c>
      <c r="B834" s="1" t="n">
        <v>45954.44543981482</v>
      </c>
      <c r="C834" s="1" t="n">
        <v>46094</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52451-2025</t>
        </is>
      </c>
      <c r="B835" s="1" t="n">
        <v>45954.42326388889</v>
      </c>
      <c r="C835" s="1" t="n">
        <v>46094</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52516-2025</t>
        </is>
      </c>
      <c r="B836" s="1" t="n">
        <v>45954.51412037037</v>
      </c>
      <c r="C836" s="1" t="n">
        <v>46094</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52466-2025</t>
        </is>
      </c>
      <c r="B837" s="1" t="n">
        <v>45954.44707175926</v>
      </c>
      <c r="C837" s="1" t="n">
        <v>46094</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52473-2025</t>
        </is>
      </c>
      <c r="B838" s="1" t="n">
        <v>45954.45947916667</v>
      </c>
      <c r="C838" s="1" t="n">
        <v>46094</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52480-2025</t>
        </is>
      </c>
      <c r="B839" s="1" t="n">
        <v>45954.47172453703</v>
      </c>
      <c r="C839" s="1" t="n">
        <v>46094</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52475-2025</t>
        </is>
      </c>
      <c r="B840" s="1" t="n">
        <v>45954.468125</v>
      </c>
      <c r="C840" s="1" t="n">
        <v>46094</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53396-2025</t>
        </is>
      </c>
      <c r="B841" s="1" t="n">
        <v>45959.55577546296</v>
      </c>
      <c r="C841" s="1" t="n">
        <v>46094</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53416-2025</t>
        </is>
      </c>
      <c r="B842" s="1" t="n">
        <v>45959.58387731481</v>
      </c>
      <c r="C842" s="1" t="n">
        <v>46094</v>
      </c>
      <c r="D842" t="inlineStr">
        <is>
          <t>KALMAR LÄN</t>
        </is>
      </c>
      <c r="E842" t="inlineStr">
        <is>
          <t>VIMMERBY</t>
        </is>
      </c>
      <c r="G842" t="n">
        <v>4.4</v>
      </c>
      <c r="H842" t="n">
        <v>0</v>
      </c>
      <c r="I842" t="n">
        <v>0</v>
      </c>
      <c r="J842" t="n">
        <v>0</v>
      </c>
      <c r="K842" t="n">
        <v>0</v>
      </c>
      <c r="L842" t="n">
        <v>0</v>
      </c>
      <c r="M842" t="n">
        <v>0</v>
      </c>
      <c r="N842" t="n">
        <v>0</v>
      </c>
      <c r="O842" t="n">
        <v>0</v>
      </c>
      <c r="P842" t="n">
        <v>0</v>
      </c>
      <c r="Q842" t="n">
        <v>0</v>
      </c>
      <c r="R842" s="2" t="inlineStr"/>
    </row>
    <row r="843" ht="15" customHeight="1">
      <c r="A843" t="inlineStr">
        <is>
          <t>A 53398-2025</t>
        </is>
      </c>
      <c r="B843" s="1" t="n">
        <v>45959.56247685185</v>
      </c>
      <c r="C843" s="1" t="n">
        <v>46094</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53397-2025</t>
        </is>
      </c>
      <c r="B844" s="1" t="n">
        <v>45959.55918981481</v>
      </c>
      <c r="C844" s="1" t="n">
        <v>46094</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53220-2025</t>
        </is>
      </c>
      <c r="B845" s="1" t="n">
        <v>45958.60146990741</v>
      </c>
      <c r="C845" s="1" t="n">
        <v>46094</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53393-2025</t>
        </is>
      </c>
      <c r="B846" s="1" t="n">
        <v>45959.55284722222</v>
      </c>
      <c r="C846" s="1" t="n">
        <v>46094</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53413-2025</t>
        </is>
      </c>
      <c r="B847" s="1" t="n">
        <v>45959.5787037037</v>
      </c>
      <c r="C847" s="1" t="n">
        <v>46094</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53903-2025</t>
        </is>
      </c>
      <c r="B848" s="1" t="n">
        <v>45961.43738425926</v>
      </c>
      <c r="C848" s="1" t="n">
        <v>46094</v>
      </c>
      <c r="D848" t="inlineStr">
        <is>
          <t>KALMAR LÄN</t>
        </is>
      </c>
      <c r="E848" t="inlineStr">
        <is>
          <t>VIMMERBY</t>
        </is>
      </c>
      <c r="G848" t="n">
        <v>0.8</v>
      </c>
      <c r="H848" t="n">
        <v>0</v>
      </c>
      <c r="I848" t="n">
        <v>0</v>
      </c>
      <c r="J848" t="n">
        <v>0</v>
      </c>
      <c r="K848" t="n">
        <v>0</v>
      </c>
      <c r="L848" t="n">
        <v>0</v>
      </c>
      <c r="M848" t="n">
        <v>0</v>
      </c>
      <c r="N848" t="n">
        <v>0</v>
      </c>
      <c r="O848" t="n">
        <v>0</v>
      </c>
      <c r="P848" t="n">
        <v>0</v>
      </c>
      <c r="Q848" t="n">
        <v>0</v>
      </c>
      <c r="R848" s="2" t="inlineStr"/>
    </row>
    <row r="849" ht="15" customHeight="1">
      <c r="A849" t="inlineStr">
        <is>
          <t>A 53920-2025</t>
        </is>
      </c>
      <c r="B849" s="1" t="n">
        <v>45961.44951388889</v>
      </c>
      <c r="C849" s="1" t="n">
        <v>46094</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53927-2025</t>
        </is>
      </c>
      <c r="B850" s="1" t="n">
        <v>45961.46740740741</v>
      </c>
      <c r="C850" s="1" t="n">
        <v>46094</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53789-2025</t>
        </is>
      </c>
      <c r="B851" s="1" t="n">
        <v>45960</v>
      </c>
      <c r="C851" s="1" t="n">
        <v>46094</v>
      </c>
      <c r="D851" t="inlineStr">
        <is>
          <t>KALMAR LÄN</t>
        </is>
      </c>
      <c r="E851" t="inlineStr">
        <is>
          <t>VIMMERBY</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53923-2025</t>
        </is>
      </c>
      <c r="B852" s="1" t="n">
        <v>45961.4569212963</v>
      </c>
      <c r="C852" s="1" t="n">
        <v>46094</v>
      </c>
      <c r="D852" t="inlineStr">
        <is>
          <t>KALMAR LÄN</t>
        </is>
      </c>
      <c r="E852" t="inlineStr">
        <is>
          <t>VIMMERBY</t>
        </is>
      </c>
      <c r="G852" t="n">
        <v>2.4</v>
      </c>
      <c r="H852" t="n">
        <v>0</v>
      </c>
      <c r="I852" t="n">
        <v>0</v>
      </c>
      <c r="J852" t="n">
        <v>0</v>
      </c>
      <c r="K852" t="n">
        <v>0</v>
      </c>
      <c r="L852" t="n">
        <v>0</v>
      </c>
      <c r="M852" t="n">
        <v>0</v>
      </c>
      <c r="N852" t="n">
        <v>0</v>
      </c>
      <c r="O852" t="n">
        <v>0</v>
      </c>
      <c r="P852" t="n">
        <v>0</v>
      </c>
      <c r="Q852" t="n">
        <v>0</v>
      </c>
      <c r="R852" s="2" t="inlineStr"/>
    </row>
    <row r="853" ht="15" customHeight="1">
      <c r="A853" t="inlineStr">
        <is>
          <t>A 53933-2025</t>
        </is>
      </c>
      <c r="B853" s="1" t="n">
        <v>45961.47650462963</v>
      </c>
      <c r="C853" s="1" t="n">
        <v>46094</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53788-2025</t>
        </is>
      </c>
      <c r="B854" s="1" t="n">
        <v>45960</v>
      </c>
      <c r="C854" s="1" t="n">
        <v>46094</v>
      </c>
      <c r="D854" t="inlineStr">
        <is>
          <t>KALMAR LÄN</t>
        </is>
      </c>
      <c r="E854" t="inlineStr">
        <is>
          <t>VIMMERBY</t>
        </is>
      </c>
      <c r="F854" t="inlineStr">
        <is>
          <t>Övriga statliga verk och myndigheter</t>
        </is>
      </c>
      <c r="G854" t="n">
        <v>6.3</v>
      </c>
      <c r="H854" t="n">
        <v>0</v>
      </c>
      <c r="I854" t="n">
        <v>0</v>
      </c>
      <c r="J854" t="n">
        <v>0</v>
      </c>
      <c r="K854" t="n">
        <v>0</v>
      </c>
      <c r="L854" t="n">
        <v>0</v>
      </c>
      <c r="M854" t="n">
        <v>0</v>
      </c>
      <c r="N854" t="n">
        <v>0</v>
      </c>
      <c r="O854" t="n">
        <v>0</v>
      </c>
      <c r="P854" t="n">
        <v>0</v>
      </c>
      <c r="Q854" t="n">
        <v>0</v>
      </c>
      <c r="R854" s="2" t="inlineStr"/>
    </row>
    <row r="855" ht="15" customHeight="1">
      <c r="A855" t="inlineStr">
        <is>
          <t>A 54236-2025</t>
        </is>
      </c>
      <c r="B855" s="1" t="n">
        <v>45964.62671296296</v>
      </c>
      <c r="C855" s="1" t="n">
        <v>46094</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54234-2025</t>
        </is>
      </c>
      <c r="B856" s="1" t="n">
        <v>45964.62486111111</v>
      </c>
      <c r="C856" s="1" t="n">
        <v>46094</v>
      </c>
      <c r="D856" t="inlineStr">
        <is>
          <t>KALMAR LÄN</t>
        </is>
      </c>
      <c r="E856" t="inlineStr">
        <is>
          <t>VIMMERBY</t>
        </is>
      </c>
      <c r="G856" t="n">
        <v>4.1</v>
      </c>
      <c r="H856" t="n">
        <v>0</v>
      </c>
      <c r="I856" t="n">
        <v>0</v>
      </c>
      <c r="J856" t="n">
        <v>0</v>
      </c>
      <c r="K856" t="n">
        <v>0</v>
      </c>
      <c r="L856" t="n">
        <v>0</v>
      </c>
      <c r="M856" t="n">
        <v>0</v>
      </c>
      <c r="N856" t="n">
        <v>0</v>
      </c>
      <c r="O856" t="n">
        <v>0</v>
      </c>
      <c r="P856" t="n">
        <v>0</v>
      </c>
      <c r="Q856" t="n">
        <v>0</v>
      </c>
      <c r="R856" s="2" t="inlineStr"/>
    </row>
    <row r="857" ht="15" customHeight="1">
      <c r="A857" t="inlineStr">
        <is>
          <t>A 54737-2025</t>
        </is>
      </c>
      <c r="B857" s="1" t="n">
        <v>45966.56826388889</v>
      </c>
      <c r="C857" s="1" t="n">
        <v>46094</v>
      </c>
      <c r="D857" t="inlineStr">
        <is>
          <t>KALMAR LÄN</t>
        </is>
      </c>
      <c r="E857" t="inlineStr">
        <is>
          <t>VIMMERBY</t>
        </is>
      </c>
      <c r="G857" t="n">
        <v>2.1</v>
      </c>
      <c r="H857" t="n">
        <v>0</v>
      </c>
      <c r="I857" t="n">
        <v>0</v>
      </c>
      <c r="J857" t="n">
        <v>0</v>
      </c>
      <c r="K857" t="n">
        <v>0</v>
      </c>
      <c r="L857" t="n">
        <v>0</v>
      </c>
      <c r="M857" t="n">
        <v>0</v>
      </c>
      <c r="N857" t="n">
        <v>0</v>
      </c>
      <c r="O857" t="n">
        <v>0</v>
      </c>
      <c r="P857" t="n">
        <v>0</v>
      </c>
      <c r="Q857" t="n">
        <v>0</v>
      </c>
      <c r="R857" s="2" t="inlineStr"/>
    </row>
    <row r="858" ht="15" customHeight="1">
      <c r="A858" t="inlineStr">
        <is>
          <t>A 54813-2025</t>
        </is>
      </c>
      <c r="B858" s="1" t="n">
        <v>45966.64881944445</v>
      </c>
      <c r="C858" s="1" t="n">
        <v>46094</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55602-2025</t>
        </is>
      </c>
      <c r="B859" s="1" t="n">
        <v>45971</v>
      </c>
      <c r="C859" s="1" t="n">
        <v>46094</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55603-2025</t>
        </is>
      </c>
      <c r="B860" s="1" t="n">
        <v>45971</v>
      </c>
      <c r="C860" s="1" t="n">
        <v>46094</v>
      </c>
      <c r="D860" t="inlineStr">
        <is>
          <t>KALMAR LÄN</t>
        </is>
      </c>
      <c r="E860" t="inlineStr">
        <is>
          <t>VIMMERBY</t>
        </is>
      </c>
      <c r="G860" t="n">
        <v>0.9</v>
      </c>
      <c r="H860" t="n">
        <v>0</v>
      </c>
      <c r="I860" t="n">
        <v>0</v>
      </c>
      <c r="J860" t="n">
        <v>0</v>
      </c>
      <c r="K860" t="n">
        <v>0</v>
      </c>
      <c r="L860" t="n">
        <v>0</v>
      </c>
      <c r="M860" t="n">
        <v>0</v>
      </c>
      <c r="N860" t="n">
        <v>0</v>
      </c>
      <c r="O860" t="n">
        <v>0</v>
      </c>
      <c r="P860" t="n">
        <v>0</v>
      </c>
      <c r="Q860" t="n">
        <v>0</v>
      </c>
      <c r="R860" s="2" t="inlineStr"/>
    </row>
    <row r="861" ht="15" customHeight="1">
      <c r="A861" t="inlineStr">
        <is>
          <t>A 55605-2025</t>
        </is>
      </c>
      <c r="B861" s="1" t="n">
        <v>45971</v>
      </c>
      <c r="C861" s="1" t="n">
        <v>46094</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55385-2025</t>
        </is>
      </c>
      <c r="B862" s="1" t="n">
        <v>45971.43350694444</v>
      </c>
      <c r="C862" s="1" t="n">
        <v>46094</v>
      </c>
      <c r="D862" t="inlineStr">
        <is>
          <t>KALMAR LÄN</t>
        </is>
      </c>
      <c r="E862" t="inlineStr">
        <is>
          <t>VIMMERBY</t>
        </is>
      </c>
      <c r="G862" t="n">
        <v>5</v>
      </c>
      <c r="H862" t="n">
        <v>0</v>
      </c>
      <c r="I862" t="n">
        <v>0</v>
      </c>
      <c r="J862" t="n">
        <v>0</v>
      </c>
      <c r="K862" t="n">
        <v>0</v>
      </c>
      <c r="L862" t="n">
        <v>0</v>
      </c>
      <c r="M862" t="n">
        <v>0</v>
      </c>
      <c r="N862" t="n">
        <v>0</v>
      </c>
      <c r="O862" t="n">
        <v>0</v>
      </c>
      <c r="P862" t="n">
        <v>0</v>
      </c>
      <c r="Q862" t="n">
        <v>0</v>
      </c>
      <c r="R862" s="2" t="inlineStr"/>
    </row>
    <row r="863" ht="15" customHeight="1">
      <c r="A863" t="inlineStr">
        <is>
          <t>A 57728-2025</t>
        </is>
      </c>
      <c r="B863" s="1" t="n">
        <v>45981</v>
      </c>
      <c r="C863" s="1" t="n">
        <v>46094</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58503-2025</t>
        </is>
      </c>
      <c r="B864" s="1" t="n">
        <v>45985.69509259259</v>
      </c>
      <c r="C864" s="1" t="n">
        <v>46094</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58498-2025</t>
        </is>
      </c>
      <c r="B865" s="1" t="n">
        <v>45985.68671296296</v>
      </c>
      <c r="C865" s="1" t="n">
        <v>46094</v>
      </c>
      <c r="D865" t="inlineStr">
        <is>
          <t>KALMAR LÄN</t>
        </is>
      </c>
      <c r="E865" t="inlineStr">
        <is>
          <t>VIMMERBY</t>
        </is>
      </c>
      <c r="G865" t="n">
        <v>2.1</v>
      </c>
      <c r="H865" t="n">
        <v>0</v>
      </c>
      <c r="I865" t="n">
        <v>0</v>
      </c>
      <c r="J865" t="n">
        <v>0</v>
      </c>
      <c r="K865" t="n">
        <v>0</v>
      </c>
      <c r="L865" t="n">
        <v>0</v>
      </c>
      <c r="M865" t="n">
        <v>0</v>
      </c>
      <c r="N865" t="n">
        <v>0</v>
      </c>
      <c r="O865" t="n">
        <v>0</v>
      </c>
      <c r="P865" t="n">
        <v>0</v>
      </c>
      <c r="Q865" t="n">
        <v>0</v>
      </c>
      <c r="R865" s="2" t="inlineStr"/>
    </row>
    <row r="866" ht="15" customHeight="1">
      <c r="A866" t="inlineStr">
        <is>
          <t>A 58501-2025</t>
        </is>
      </c>
      <c r="B866" s="1" t="n">
        <v>45985.69153935185</v>
      </c>
      <c r="C866" s="1" t="n">
        <v>46094</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58514-2025</t>
        </is>
      </c>
      <c r="B867" s="1" t="n">
        <v>45985.70513888889</v>
      </c>
      <c r="C867" s="1" t="n">
        <v>46094</v>
      </c>
      <c r="D867" t="inlineStr">
        <is>
          <t>KALMAR LÄN</t>
        </is>
      </c>
      <c r="E867" t="inlineStr">
        <is>
          <t>VIMMERBY</t>
        </is>
      </c>
      <c r="G867" t="n">
        <v>3.7</v>
      </c>
      <c r="H867" t="n">
        <v>0</v>
      </c>
      <c r="I867" t="n">
        <v>0</v>
      </c>
      <c r="J867" t="n">
        <v>0</v>
      </c>
      <c r="K867" t="n">
        <v>0</v>
      </c>
      <c r="L867" t="n">
        <v>0</v>
      </c>
      <c r="M867" t="n">
        <v>0</v>
      </c>
      <c r="N867" t="n">
        <v>0</v>
      </c>
      <c r="O867" t="n">
        <v>0</v>
      </c>
      <c r="P867" t="n">
        <v>0</v>
      </c>
      <c r="Q867" t="n">
        <v>0</v>
      </c>
      <c r="R867" s="2" t="inlineStr"/>
    </row>
    <row r="868" ht="15" customHeight="1">
      <c r="A868" t="inlineStr">
        <is>
          <t>A 58442-2025</t>
        </is>
      </c>
      <c r="B868" s="1" t="n">
        <v>45985.61635416667</v>
      </c>
      <c r="C868" s="1" t="n">
        <v>46094</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58435-2025</t>
        </is>
      </c>
      <c r="B869" s="1" t="n">
        <v>45985.61501157407</v>
      </c>
      <c r="C869" s="1" t="n">
        <v>46094</v>
      </c>
      <c r="D869" t="inlineStr">
        <is>
          <t>KALMAR LÄN</t>
        </is>
      </c>
      <c r="E869" t="inlineStr">
        <is>
          <t>VIMMERBY</t>
        </is>
      </c>
      <c r="G869" t="n">
        <v>1.3</v>
      </c>
      <c r="H869" t="n">
        <v>0</v>
      </c>
      <c r="I869" t="n">
        <v>0</v>
      </c>
      <c r="J869" t="n">
        <v>0</v>
      </c>
      <c r="K869" t="n">
        <v>0</v>
      </c>
      <c r="L869" t="n">
        <v>0</v>
      </c>
      <c r="M869" t="n">
        <v>0</v>
      </c>
      <c r="N869" t="n">
        <v>0</v>
      </c>
      <c r="O869" t="n">
        <v>0</v>
      </c>
      <c r="P869" t="n">
        <v>0</v>
      </c>
      <c r="Q869" t="n">
        <v>0</v>
      </c>
      <c r="R869" s="2" t="inlineStr"/>
    </row>
    <row r="870" ht="15" customHeight="1">
      <c r="A870" t="inlineStr">
        <is>
          <t>A 58446-2025</t>
        </is>
      </c>
      <c r="B870" s="1" t="n">
        <v>45985.62168981481</v>
      </c>
      <c r="C870" s="1" t="n">
        <v>46094</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58500-2025</t>
        </is>
      </c>
      <c r="B871" s="1" t="n">
        <v>45985.69008101852</v>
      </c>
      <c r="C871" s="1" t="n">
        <v>46094</v>
      </c>
      <c r="D871" t="inlineStr">
        <is>
          <t>KALMAR LÄN</t>
        </is>
      </c>
      <c r="E871" t="inlineStr">
        <is>
          <t>VIMMERBY</t>
        </is>
      </c>
      <c r="G871" t="n">
        <v>1.8</v>
      </c>
      <c r="H871" t="n">
        <v>0</v>
      </c>
      <c r="I871" t="n">
        <v>0</v>
      </c>
      <c r="J871" t="n">
        <v>0</v>
      </c>
      <c r="K871" t="n">
        <v>0</v>
      </c>
      <c r="L871" t="n">
        <v>0</v>
      </c>
      <c r="M871" t="n">
        <v>0</v>
      </c>
      <c r="N871" t="n">
        <v>0</v>
      </c>
      <c r="O871" t="n">
        <v>0</v>
      </c>
      <c r="P871" t="n">
        <v>0</v>
      </c>
      <c r="Q871" t="n">
        <v>0</v>
      </c>
      <c r="R871" s="2" t="inlineStr"/>
    </row>
    <row r="872" ht="15" customHeight="1">
      <c r="A872" t="inlineStr">
        <is>
          <t>A 58841-2025</t>
        </is>
      </c>
      <c r="B872" s="1" t="n">
        <v>45987.36275462963</v>
      </c>
      <c r="C872" s="1" t="n">
        <v>46094</v>
      </c>
      <c r="D872" t="inlineStr">
        <is>
          <t>KALMAR LÄN</t>
        </is>
      </c>
      <c r="E872" t="inlineStr">
        <is>
          <t>VIMMERBY</t>
        </is>
      </c>
      <c r="G872" t="n">
        <v>3.5</v>
      </c>
      <c r="H872" t="n">
        <v>0</v>
      </c>
      <c r="I872" t="n">
        <v>0</v>
      </c>
      <c r="J872" t="n">
        <v>0</v>
      </c>
      <c r="K872" t="n">
        <v>0</v>
      </c>
      <c r="L872" t="n">
        <v>0</v>
      </c>
      <c r="M872" t="n">
        <v>0</v>
      </c>
      <c r="N872" t="n">
        <v>0</v>
      </c>
      <c r="O872" t="n">
        <v>0</v>
      </c>
      <c r="P872" t="n">
        <v>0</v>
      </c>
      <c r="Q872" t="n">
        <v>0</v>
      </c>
      <c r="R872" s="2" t="inlineStr"/>
    </row>
    <row r="873" ht="15" customHeight="1">
      <c r="A873" t="inlineStr">
        <is>
          <t>A 58858-2025</t>
        </is>
      </c>
      <c r="B873" s="1" t="n">
        <v>45987.4243287037</v>
      </c>
      <c r="C873" s="1" t="n">
        <v>46094</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59039-2025</t>
        </is>
      </c>
      <c r="B874" s="1" t="n">
        <v>45988.36790509259</v>
      </c>
      <c r="C874" s="1" t="n">
        <v>46094</v>
      </c>
      <c r="D874" t="inlineStr">
        <is>
          <t>KALMAR LÄN</t>
        </is>
      </c>
      <c r="E874" t="inlineStr">
        <is>
          <t>VIMMERBY</t>
        </is>
      </c>
      <c r="F874" t="inlineStr">
        <is>
          <t>Sveaskog</t>
        </is>
      </c>
      <c r="G874" t="n">
        <v>3.2</v>
      </c>
      <c r="H874" t="n">
        <v>0</v>
      </c>
      <c r="I874" t="n">
        <v>0</v>
      </c>
      <c r="J874" t="n">
        <v>0</v>
      </c>
      <c r="K874" t="n">
        <v>0</v>
      </c>
      <c r="L874" t="n">
        <v>0</v>
      </c>
      <c r="M874" t="n">
        <v>0</v>
      </c>
      <c r="N874" t="n">
        <v>0</v>
      </c>
      <c r="O874" t="n">
        <v>0</v>
      </c>
      <c r="P874" t="n">
        <v>0</v>
      </c>
      <c r="Q874" t="n">
        <v>0</v>
      </c>
      <c r="R874" s="2" t="inlineStr"/>
    </row>
    <row r="875" ht="15" customHeight="1">
      <c r="A875" t="inlineStr">
        <is>
          <t>A 59034-2025</t>
        </is>
      </c>
      <c r="B875" s="1" t="n">
        <v>45988.36243055556</v>
      </c>
      <c r="C875" s="1" t="n">
        <v>46094</v>
      </c>
      <c r="D875" t="inlineStr">
        <is>
          <t>KALMAR LÄN</t>
        </is>
      </c>
      <c r="E875" t="inlineStr">
        <is>
          <t>VIMMERBY</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59037-2025</t>
        </is>
      </c>
      <c r="B876" s="1" t="n">
        <v>45988.36508101852</v>
      </c>
      <c r="C876" s="1" t="n">
        <v>46094</v>
      </c>
      <c r="D876" t="inlineStr">
        <is>
          <t>KALMAR LÄN</t>
        </is>
      </c>
      <c r="E876" t="inlineStr">
        <is>
          <t>VIMMERBY</t>
        </is>
      </c>
      <c r="F876" t="inlineStr">
        <is>
          <t>Sveaskog</t>
        </is>
      </c>
      <c r="G876" t="n">
        <v>4</v>
      </c>
      <c r="H876" t="n">
        <v>0</v>
      </c>
      <c r="I876" t="n">
        <v>0</v>
      </c>
      <c r="J876" t="n">
        <v>0</v>
      </c>
      <c r="K876" t="n">
        <v>0</v>
      </c>
      <c r="L876" t="n">
        <v>0</v>
      </c>
      <c r="M876" t="n">
        <v>0</v>
      </c>
      <c r="N876" t="n">
        <v>0</v>
      </c>
      <c r="O876" t="n">
        <v>0</v>
      </c>
      <c r="P876" t="n">
        <v>0</v>
      </c>
      <c r="Q876" t="n">
        <v>0</v>
      </c>
      <c r="R876" s="2" t="inlineStr"/>
    </row>
    <row r="877" ht="15" customHeight="1">
      <c r="A877" t="inlineStr">
        <is>
          <t>A 59068-2025</t>
        </is>
      </c>
      <c r="B877" s="1" t="n">
        <v>45988.41725694444</v>
      </c>
      <c r="C877" s="1" t="n">
        <v>46094</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59579-2025</t>
        </is>
      </c>
      <c r="B878" s="1" t="n">
        <v>45992.30569444445</v>
      </c>
      <c r="C878" s="1" t="n">
        <v>46094</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60180-2025</t>
        </is>
      </c>
      <c r="B879" s="1" t="n">
        <v>45994.46428240741</v>
      </c>
      <c r="C879" s="1" t="n">
        <v>46094</v>
      </c>
      <c r="D879" t="inlineStr">
        <is>
          <t>KALMAR LÄN</t>
        </is>
      </c>
      <c r="E879" t="inlineStr">
        <is>
          <t>VIMMERBY</t>
        </is>
      </c>
      <c r="G879" t="n">
        <v>6.8</v>
      </c>
      <c r="H879" t="n">
        <v>0</v>
      </c>
      <c r="I879" t="n">
        <v>0</v>
      </c>
      <c r="J879" t="n">
        <v>0</v>
      </c>
      <c r="K879" t="n">
        <v>0</v>
      </c>
      <c r="L879" t="n">
        <v>0</v>
      </c>
      <c r="M879" t="n">
        <v>0</v>
      </c>
      <c r="N879" t="n">
        <v>0</v>
      </c>
      <c r="O879" t="n">
        <v>0</v>
      </c>
      <c r="P879" t="n">
        <v>0</v>
      </c>
      <c r="Q879" t="n">
        <v>0</v>
      </c>
      <c r="R879" s="2" t="inlineStr"/>
    </row>
    <row r="880" ht="15" customHeight="1">
      <c r="A880" t="inlineStr">
        <is>
          <t>A 60297-2025</t>
        </is>
      </c>
      <c r="B880" s="1" t="n">
        <v>45994</v>
      </c>
      <c r="C880" s="1" t="n">
        <v>46094</v>
      </c>
      <c r="D880" t="inlineStr">
        <is>
          <t>KALMAR LÄN</t>
        </is>
      </c>
      <c r="E880" t="inlineStr">
        <is>
          <t>VIMMERBY</t>
        </is>
      </c>
      <c r="G880" t="n">
        <v>4.2</v>
      </c>
      <c r="H880" t="n">
        <v>0</v>
      </c>
      <c r="I880" t="n">
        <v>0</v>
      </c>
      <c r="J880" t="n">
        <v>0</v>
      </c>
      <c r="K880" t="n">
        <v>0</v>
      </c>
      <c r="L880" t="n">
        <v>0</v>
      </c>
      <c r="M880" t="n">
        <v>0</v>
      </c>
      <c r="N880" t="n">
        <v>0</v>
      </c>
      <c r="O880" t="n">
        <v>0</v>
      </c>
      <c r="P880" t="n">
        <v>0</v>
      </c>
      <c r="Q880" t="n">
        <v>0</v>
      </c>
      <c r="R880" s="2" t="inlineStr"/>
    </row>
    <row r="881" ht="15" customHeight="1">
      <c r="A881" t="inlineStr">
        <is>
          <t>A 61725-2025</t>
        </is>
      </c>
      <c r="B881" s="1" t="n">
        <v>46002.58680555555</v>
      </c>
      <c r="C881" s="1" t="n">
        <v>46094</v>
      </c>
      <c r="D881" t="inlineStr">
        <is>
          <t>KALMAR LÄN</t>
        </is>
      </c>
      <c r="E881" t="inlineStr">
        <is>
          <t>VIMMERBY</t>
        </is>
      </c>
      <c r="F881" t="inlineStr">
        <is>
          <t>Sveaskog</t>
        </is>
      </c>
      <c r="G881" t="n">
        <v>2.4</v>
      </c>
      <c r="H881" t="n">
        <v>0</v>
      </c>
      <c r="I881" t="n">
        <v>0</v>
      </c>
      <c r="J881" t="n">
        <v>0</v>
      </c>
      <c r="K881" t="n">
        <v>0</v>
      </c>
      <c r="L881" t="n">
        <v>0</v>
      </c>
      <c r="M881" t="n">
        <v>0</v>
      </c>
      <c r="N881" t="n">
        <v>0</v>
      </c>
      <c r="O881" t="n">
        <v>0</v>
      </c>
      <c r="P881" t="n">
        <v>0</v>
      </c>
      <c r="Q881" t="n">
        <v>0</v>
      </c>
      <c r="R881" s="2" t="inlineStr"/>
    </row>
    <row r="882" ht="15" customHeight="1">
      <c r="A882" t="inlineStr">
        <is>
          <t>A 61790-2025</t>
        </is>
      </c>
      <c r="B882" s="1" t="n">
        <v>46002.68768518518</v>
      </c>
      <c r="C882" s="1" t="n">
        <v>46094</v>
      </c>
      <c r="D882" t="inlineStr">
        <is>
          <t>KALMAR LÄN</t>
        </is>
      </c>
      <c r="E882" t="inlineStr">
        <is>
          <t>VIMMERBY</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61726-2025</t>
        </is>
      </c>
      <c r="B883" s="1" t="n">
        <v>46002.58822916666</v>
      </c>
      <c r="C883" s="1" t="n">
        <v>46094</v>
      </c>
      <c r="D883" t="inlineStr">
        <is>
          <t>KALMAR LÄN</t>
        </is>
      </c>
      <c r="E883" t="inlineStr">
        <is>
          <t>VIMMERBY</t>
        </is>
      </c>
      <c r="F883" t="inlineStr">
        <is>
          <t>Sveaskog</t>
        </is>
      </c>
      <c r="G883" t="n">
        <v>0.2</v>
      </c>
      <c r="H883" t="n">
        <v>0</v>
      </c>
      <c r="I883" t="n">
        <v>0</v>
      </c>
      <c r="J883" t="n">
        <v>0</v>
      </c>
      <c r="K883" t="n">
        <v>0</v>
      </c>
      <c r="L883" t="n">
        <v>0</v>
      </c>
      <c r="M883" t="n">
        <v>0</v>
      </c>
      <c r="N883" t="n">
        <v>0</v>
      </c>
      <c r="O883" t="n">
        <v>0</v>
      </c>
      <c r="P883" t="n">
        <v>0</v>
      </c>
      <c r="Q883" t="n">
        <v>0</v>
      </c>
      <c r="R883" s="2" t="inlineStr"/>
    </row>
    <row r="884" ht="15" customHeight="1">
      <c r="A884" t="inlineStr">
        <is>
          <t>A 6817-2026</t>
        </is>
      </c>
      <c r="B884" s="1" t="n">
        <v>46057.38412037037</v>
      </c>
      <c r="C884" s="1" t="n">
        <v>46094</v>
      </c>
      <c r="D884" t="inlineStr">
        <is>
          <t>KALMAR LÄN</t>
        </is>
      </c>
      <c r="E884" t="inlineStr">
        <is>
          <t>VIMMERBY</t>
        </is>
      </c>
      <c r="G884" t="n">
        <v>0.7</v>
      </c>
      <c r="H884" t="n">
        <v>0</v>
      </c>
      <c r="I884" t="n">
        <v>0</v>
      </c>
      <c r="J884" t="n">
        <v>0</v>
      </c>
      <c r="K884" t="n">
        <v>0</v>
      </c>
      <c r="L884" t="n">
        <v>0</v>
      </c>
      <c r="M884" t="n">
        <v>0</v>
      </c>
      <c r="N884" t="n">
        <v>0</v>
      </c>
      <c r="O884" t="n">
        <v>0</v>
      </c>
      <c r="P884" t="n">
        <v>0</v>
      </c>
      <c r="Q884" t="n">
        <v>0</v>
      </c>
      <c r="R884" s="2" t="inlineStr"/>
    </row>
    <row r="885" ht="15" customHeight="1">
      <c r="A885" t="inlineStr">
        <is>
          <t>A 63711-2025</t>
        </is>
      </c>
      <c r="B885" s="1" t="n">
        <v>46014.62724537037</v>
      </c>
      <c r="C885" s="1" t="n">
        <v>46094</v>
      </c>
      <c r="D885" t="inlineStr">
        <is>
          <t>KALMAR LÄN</t>
        </is>
      </c>
      <c r="E885" t="inlineStr">
        <is>
          <t>VIMMERBY</t>
        </is>
      </c>
      <c r="G885" t="n">
        <v>2.1</v>
      </c>
      <c r="H885" t="n">
        <v>0</v>
      </c>
      <c r="I885" t="n">
        <v>0</v>
      </c>
      <c r="J885" t="n">
        <v>0</v>
      </c>
      <c r="K885" t="n">
        <v>0</v>
      </c>
      <c r="L885" t="n">
        <v>0</v>
      </c>
      <c r="M885" t="n">
        <v>0</v>
      </c>
      <c r="N885" t="n">
        <v>0</v>
      </c>
      <c r="O885" t="n">
        <v>0</v>
      </c>
      <c r="P885" t="n">
        <v>0</v>
      </c>
      <c r="Q885" t="n">
        <v>0</v>
      </c>
      <c r="R885" s="2" t="inlineStr"/>
    </row>
    <row r="886" ht="15" customHeight="1">
      <c r="A886" t="inlineStr">
        <is>
          <t>A 61937-2025</t>
        </is>
      </c>
      <c r="B886" s="1" t="n">
        <v>46003</v>
      </c>
      <c r="C886" s="1" t="n">
        <v>46094</v>
      </c>
      <c r="D886" t="inlineStr">
        <is>
          <t>KALMAR LÄN</t>
        </is>
      </c>
      <c r="E886" t="inlineStr">
        <is>
          <t>VIMMERBY</t>
        </is>
      </c>
      <c r="G886" t="n">
        <v>3.4</v>
      </c>
      <c r="H886" t="n">
        <v>0</v>
      </c>
      <c r="I886" t="n">
        <v>0</v>
      </c>
      <c r="J886" t="n">
        <v>0</v>
      </c>
      <c r="K886" t="n">
        <v>0</v>
      </c>
      <c r="L886" t="n">
        <v>0</v>
      </c>
      <c r="M886" t="n">
        <v>0</v>
      </c>
      <c r="N886" t="n">
        <v>0</v>
      </c>
      <c r="O886" t="n">
        <v>0</v>
      </c>
      <c r="P886" t="n">
        <v>0</v>
      </c>
      <c r="Q886" t="n">
        <v>0</v>
      </c>
      <c r="R886" s="2" t="inlineStr"/>
    </row>
    <row r="887" ht="15" customHeight="1">
      <c r="A887" t="inlineStr">
        <is>
          <t>A 63762-2025</t>
        </is>
      </c>
      <c r="B887" s="1" t="n">
        <v>46018.67197916667</v>
      </c>
      <c r="C887" s="1" t="n">
        <v>46094</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63758-2025</t>
        </is>
      </c>
      <c r="B888" s="1" t="n">
        <v>46018.46483796297</v>
      </c>
      <c r="C888" s="1" t="n">
        <v>46094</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63845-2025</t>
        </is>
      </c>
      <c r="B889" s="1" t="n">
        <v>46020.43715277778</v>
      </c>
      <c r="C889" s="1" t="n">
        <v>46094</v>
      </c>
      <c r="D889" t="inlineStr">
        <is>
          <t>KALMAR LÄN</t>
        </is>
      </c>
      <c r="E889" t="inlineStr">
        <is>
          <t>VIMMERBY</t>
        </is>
      </c>
      <c r="G889" t="n">
        <v>3.8</v>
      </c>
      <c r="H889" t="n">
        <v>0</v>
      </c>
      <c r="I889" t="n">
        <v>0</v>
      </c>
      <c r="J889" t="n">
        <v>0</v>
      </c>
      <c r="K889" t="n">
        <v>0</v>
      </c>
      <c r="L889" t="n">
        <v>0</v>
      </c>
      <c r="M889" t="n">
        <v>0</v>
      </c>
      <c r="N889" t="n">
        <v>0</v>
      </c>
      <c r="O889" t="n">
        <v>0</v>
      </c>
      <c r="P889" t="n">
        <v>0</v>
      </c>
      <c r="Q889" t="n">
        <v>0</v>
      </c>
      <c r="R889" s="2" t="inlineStr"/>
    </row>
    <row r="890" ht="15" customHeight="1">
      <c r="A890" t="inlineStr">
        <is>
          <t>A 63848-2025</t>
        </is>
      </c>
      <c r="B890" s="1" t="n">
        <v>46020.44902777778</v>
      </c>
      <c r="C890" s="1" t="n">
        <v>46094</v>
      </c>
      <c r="D890" t="inlineStr">
        <is>
          <t>KALMAR LÄN</t>
        </is>
      </c>
      <c r="E890" t="inlineStr">
        <is>
          <t>VIMMERBY</t>
        </is>
      </c>
      <c r="G890" t="n">
        <v>3.4</v>
      </c>
      <c r="H890" t="n">
        <v>0</v>
      </c>
      <c r="I890" t="n">
        <v>0</v>
      </c>
      <c r="J890" t="n">
        <v>0</v>
      </c>
      <c r="K890" t="n">
        <v>0</v>
      </c>
      <c r="L890" t="n">
        <v>0</v>
      </c>
      <c r="M890" t="n">
        <v>0</v>
      </c>
      <c r="N890" t="n">
        <v>0</v>
      </c>
      <c r="O890" t="n">
        <v>0</v>
      </c>
      <c r="P890" t="n">
        <v>0</v>
      </c>
      <c r="Q890" t="n">
        <v>0</v>
      </c>
      <c r="R890" s="2" t="inlineStr"/>
    </row>
    <row r="891" ht="15" customHeight="1">
      <c r="A891" t="inlineStr">
        <is>
          <t>A 63839-2025</t>
        </is>
      </c>
      <c r="B891" s="1" t="n">
        <v>46020.41998842593</v>
      </c>
      <c r="C891" s="1" t="n">
        <v>46094</v>
      </c>
      <c r="D891" t="inlineStr">
        <is>
          <t>KALMAR LÄN</t>
        </is>
      </c>
      <c r="E891" t="inlineStr">
        <is>
          <t>VIMMERBY</t>
        </is>
      </c>
      <c r="G891" t="n">
        <v>2.9</v>
      </c>
      <c r="H891" t="n">
        <v>0</v>
      </c>
      <c r="I891" t="n">
        <v>0</v>
      </c>
      <c r="J891" t="n">
        <v>0</v>
      </c>
      <c r="K891" t="n">
        <v>0</v>
      </c>
      <c r="L891" t="n">
        <v>0</v>
      </c>
      <c r="M891" t="n">
        <v>0</v>
      </c>
      <c r="N891" t="n">
        <v>0</v>
      </c>
      <c r="O891" t="n">
        <v>0</v>
      </c>
      <c r="P891" t="n">
        <v>0</v>
      </c>
      <c r="Q891" t="n">
        <v>0</v>
      </c>
      <c r="R891" s="2" t="inlineStr"/>
    </row>
    <row r="892" ht="15" customHeight="1">
      <c r="A892" t="inlineStr">
        <is>
          <t>A 8696-2026</t>
        </is>
      </c>
      <c r="B892" s="1" t="n">
        <v>46066.45273148148</v>
      </c>
      <c r="C892" s="1" t="n">
        <v>46094</v>
      </c>
      <c r="D892" t="inlineStr">
        <is>
          <t>KALMAR LÄN</t>
        </is>
      </c>
      <c r="E892" t="inlineStr">
        <is>
          <t>VIMMERBY</t>
        </is>
      </c>
      <c r="G892" t="n">
        <v>0.6</v>
      </c>
      <c r="H892" t="n">
        <v>0</v>
      </c>
      <c r="I892" t="n">
        <v>0</v>
      </c>
      <c r="J892" t="n">
        <v>0</v>
      </c>
      <c r="K892" t="n">
        <v>0</v>
      </c>
      <c r="L892" t="n">
        <v>0</v>
      </c>
      <c r="M892" t="n">
        <v>0</v>
      </c>
      <c r="N892" t="n">
        <v>0</v>
      </c>
      <c r="O892" t="n">
        <v>0</v>
      </c>
      <c r="P892" t="n">
        <v>0</v>
      </c>
      <c r="Q892" t="n">
        <v>0</v>
      </c>
      <c r="R892" s="2" t="inlineStr"/>
    </row>
    <row r="893" ht="15" customHeight="1">
      <c r="A893" t="inlineStr">
        <is>
          <t>A 8595-2026</t>
        </is>
      </c>
      <c r="B893" s="1" t="n">
        <v>46065.7372337963</v>
      </c>
      <c r="C893" s="1" t="n">
        <v>46094</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579-2026</t>
        </is>
      </c>
      <c r="B894" s="1" t="n">
        <v>46029.47912037037</v>
      </c>
      <c r="C894" s="1" t="n">
        <v>46094</v>
      </c>
      <c r="D894" t="inlineStr">
        <is>
          <t>KALMAR LÄN</t>
        </is>
      </c>
      <c r="E894" t="inlineStr">
        <is>
          <t>VIMMERBY</t>
        </is>
      </c>
      <c r="G894" t="n">
        <v>3</v>
      </c>
      <c r="H894" t="n">
        <v>0</v>
      </c>
      <c r="I894" t="n">
        <v>0</v>
      </c>
      <c r="J894" t="n">
        <v>0</v>
      </c>
      <c r="K894" t="n">
        <v>0</v>
      </c>
      <c r="L894" t="n">
        <v>0</v>
      </c>
      <c r="M894" t="n">
        <v>0</v>
      </c>
      <c r="N894" t="n">
        <v>0</v>
      </c>
      <c r="O894" t="n">
        <v>0</v>
      </c>
      <c r="P894" t="n">
        <v>0</v>
      </c>
      <c r="Q894" t="n">
        <v>0</v>
      </c>
      <c r="R894" s="2" t="inlineStr"/>
    </row>
    <row r="895" ht="15" customHeight="1">
      <c r="A895" t="inlineStr">
        <is>
          <t>A 409-2026</t>
        </is>
      </c>
      <c r="B895" s="1" t="n">
        <v>46028.69432870371</v>
      </c>
      <c r="C895" s="1" t="n">
        <v>46094</v>
      </c>
      <c r="D895" t="inlineStr">
        <is>
          <t>KALMAR LÄN</t>
        </is>
      </c>
      <c r="E895" t="inlineStr">
        <is>
          <t>VIMMERBY</t>
        </is>
      </c>
      <c r="G895" t="n">
        <v>2.2</v>
      </c>
      <c r="H895" t="n">
        <v>0</v>
      </c>
      <c r="I895" t="n">
        <v>0</v>
      </c>
      <c r="J895" t="n">
        <v>0</v>
      </c>
      <c r="K895" t="n">
        <v>0</v>
      </c>
      <c r="L895" t="n">
        <v>0</v>
      </c>
      <c r="M895" t="n">
        <v>0</v>
      </c>
      <c r="N895" t="n">
        <v>0</v>
      </c>
      <c r="O895" t="n">
        <v>0</v>
      </c>
      <c r="P895" t="n">
        <v>0</v>
      </c>
      <c r="Q895" t="n">
        <v>0</v>
      </c>
      <c r="R895" s="2" t="inlineStr"/>
    </row>
    <row r="896" ht="15" customHeight="1">
      <c r="A896" t="inlineStr">
        <is>
          <t>A 406-2026</t>
        </is>
      </c>
      <c r="B896" s="1" t="n">
        <v>46028.68663194445</v>
      </c>
      <c r="C896" s="1" t="n">
        <v>46094</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842-2026</t>
        </is>
      </c>
      <c r="B897" s="1" t="n">
        <v>46030.380625</v>
      </c>
      <c r="C897" s="1" t="n">
        <v>46094</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1069-2026</t>
        </is>
      </c>
      <c r="B898" s="1" t="n">
        <v>46030</v>
      </c>
      <c r="C898" s="1" t="n">
        <v>46094</v>
      </c>
      <c r="D898" t="inlineStr">
        <is>
          <t>KALMAR LÄN</t>
        </is>
      </c>
      <c r="E898" t="inlineStr">
        <is>
          <t>VIMMERBY</t>
        </is>
      </c>
      <c r="G898" t="n">
        <v>3.3</v>
      </c>
      <c r="H898" t="n">
        <v>0</v>
      </c>
      <c r="I898" t="n">
        <v>0</v>
      </c>
      <c r="J898" t="n">
        <v>0</v>
      </c>
      <c r="K898" t="n">
        <v>0</v>
      </c>
      <c r="L898" t="n">
        <v>0</v>
      </c>
      <c r="M898" t="n">
        <v>0</v>
      </c>
      <c r="N898" t="n">
        <v>0</v>
      </c>
      <c r="O898" t="n">
        <v>0</v>
      </c>
      <c r="P898" t="n">
        <v>0</v>
      </c>
      <c r="Q898" t="n">
        <v>0</v>
      </c>
      <c r="R898" s="2" t="inlineStr"/>
    </row>
    <row r="899" ht="15" customHeight="1">
      <c r="A899" t="inlineStr">
        <is>
          <t>A 1734-2026</t>
        </is>
      </c>
      <c r="B899" s="1" t="n">
        <v>46034</v>
      </c>
      <c r="C899" s="1" t="n">
        <v>46094</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1743-2026</t>
        </is>
      </c>
      <c r="B900" s="1" t="n">
        <v>46034</v>
      </c>
      <c r="C900" s="1" t="n">
        <v>46094</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1748-2026</t>
        </is>
      </c>
      <c r="B901" s="1" t="n">
        <v>46034.65589120371</v>
      </c>
      <c r="C901" s="1" t="n">
        <v>46094</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1862-2026</t>
        </is>
      </c>
      <c r="B902" s="1" t="n">
        <v>46035.44689814815</v>
      </c>
      <c r="C902" s="1" t="n">
        <v>46094</v>
      </c>
      <c r="D902" t="inlineStr">
        <is>
          <t>KALMAR LÄN</t>
        </is>
      </c>
      <c r="E902" t="inlineStr">
        <is>
          <t>VIMMERBY</t>
        </is>
      </c>
      <c r="G902" t="n">
        <v>3.1</v>
      </c>
      <c r="H902" t="n">
        <v>0</v>
      </c>
      <c r="I902" t="n">
        <v>0</v>
      </c>
      <c r="J902" t="n">
        <v>0</v>
      </c>
      <c r="K902" t="n">
        <v>0</v>
      </c>
      <c r="L902" t="n">
        <v>0</v>
      </c>
      <c r="M902" t="n">
        <v>0</v>
      </c>
      <c r="N902" t="n">
        <v>0</v>
      </c>
      <c r="O902" t="n">
        <v>0</v>
      </c>
      <c r="P902" t="n">
        <v>0</v>
      </c>
      <c r="Q902" t="n">
        <v>0</v>
      </c>
      <c r="R902" s="2" t="inlineStr"/>
    </row>
    <row r="903" ht="15" customHeight="1">
      <c r="A903" t="inlineStr">
        <is>
          <t>A 2518-2026</t>
        </is>
      </c>
      <c r="B903" s="1" t="n">
        <v>46037.42511574074</v>
      </c>
      <c r="C903" s="1" t="n">
        <v>46094</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10965-2026</t>
        </is>
      </c>
      <c r="B904" s="1" t="n">
        <v>46079.43295138889</v>
      </c>
      <c r="C904" s="1" t="n">
        <v>46094</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2514-2026</t>
        </is>
      </c>
      <c r="B905" s="1" t="n">
        <v>46037.42219907408</v>
      </c>
      <c r="C905" s="1" t="n">
        <v>46094</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2523-2026</t>
        </is>
      </c>
      <c r="B906" s="1" t="n">
        <v>46037.42825231481</v>
      </c>
      <c r="C906" s="1" t="n">
        <v>46094</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3266-2026</t>
        </is>
      </c>
      <c r="B907" s="1" t="n">
        <v>46041</v>
      </c>
      <c r="C907" s="1" t="n">
        <v>46094</v>
      </c>
      <c r="D907" t="inlineStr">
        <is>
          <t>KALMAR LÄN</t>
        </is>
      </c>
      <c r="E907" t="inlineStr">
        <is>
          <t>VIMMERBY</t>
        </is>
      </c>
      <c r="G907" t="n">
        <v>1.2</v>
      </c>
      <c r="H907" t="n">
        <v>0</v>
      </c>
      <c r="I907" t="n">
        <v>0</v>
      </c>
      <c r="J907" t="n">
        <v>0</v>
      </c>
      <c r="K907" t="n">
        <v>0</v>
      </c>
      <c r="L907" t="n">
        <v>0</v>
      </c>
      <c r="M907" t="n">
        <v>0</v>
      </c>
      <c r="N907" t="n">
        <v>0</v>
      </c>
      <c r="O907" t="n">
        <v>0</v>
      </c>
      <c r="P907" t="n">
        <v>0</v>
      </c>
      <c r="Q907" t="n">
        <v>0</v>
      </c>
      <c r="R907" s="2" t="inlineStr"/>
    </row>
    <row r="908" ht="15" customHeight="1">
      <c r="A908" t="inlineStr">
        <is>
          <t>A 3292-2026</t>
        </is>
      </c>
      <c r="B908" s="1" t="n">
        <v>46041</v>
      </c>
      <c r="C908" s="1" t="n">
        <v>46094</v>
      </c>
      <c r="D908" t="inlineStr">
        <is>
          <t>KALMAR LÄN</t>
        </is>
      </c>
      <c r="E908" t="inlineStr">
        <is>
          <t>VIMMERBY</t>
        </is>
      </c>
      <c r="G908" t="n">
        <v>3.9</v>
      </c>
      <c r="H908" t="n">
        <v>0</v>
      </c>
      <c r="I908" t="n">
        <v>0</v>
      </c>
      <c r="J908" t="n">
        <v>0</v>
      </c>
      <c r="K908" t="n">
        <v>0</v>
      </c>
      <c r="L908" t="n">
        <v>0</v>
      </c>
      <c r="M908" t="n">
        <v>0</v>
      </c>
      <c r="N908" t="n">
        <v>0</v>
      </c>
      <c r="O908" t="n">
        <v>0</v>
      </c>
      <c r="P908" t="n">
        <v>0</v>
      </c>
      <c r="Q908" t="n">
        <v>0</v>
      </c>
      <c r="R908" s="2" t="inlineStr"/>
    </row>
    <row r="909" ht="15" customHeight="1">
      <c r="A909" t="inlineStr">
        <is>
          <t>A 11273-2026</t>
        </is>
      </c>
      <c r="B909" s="1" t="n">
        <v>46080.57634259259</v>
      </c>
      <c r="C909" s="1" t="n">
        <v>46094</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3868-2026</t>
        </is>
      </c>
      <c r="B910" s="1" t="n">
        <v>46043.6360300926</v>
      </c>
      <c r="C910" s="1" t="n">
        <v>46094</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3869-2026</t>
        </is>
      </c>
      <c r="B911" s="1" t="n">
        <v>46043.63940972222</v>
      </c>
      <c r="C911" s="1" t="n">
        <v>46094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11407-2026</t>
        </is>
      </c>
      <c r="B912" s="1" t="n">
        <v>46083</v>
      </c>
      <c r="C912" s="1" t="n">
        <v>46094</v>
      </c>
      <c r="D912" t="inlineStr">
        <is>
          <t>KALMAR LÄN</t>
        </is>
      </c>
      <c r="E912" t="inlineStr">
        <is>
          <t>VIMMERBY</t>
        </is>
      </c>
      <c r="G912" t="n">
        <v>2.3</v>
      </c>
      <c r="H912" t="n">
        <v>0</v>
      </c>
      <c r="I912" t="n">
        <v>0</v>
      </c>
      <c r="J912" t="n">
        <v>0</v>
      </c>
      <c r="K912" t="n">
        <v>0</v>
      </c>
      <c r="L912" t="n">
        <v>0</v>
      </c>
      <c r="M912" t="n">
        <v>0</v>
      </c>
      <c r="N912" t="n">
        <v>0</v>
      </c>
      <c r="O912" t="n">
        <v>0</v>
      </c>
      <c r="P912" t="n">
        <v>0</v>
      </c>
      <c r="Q912" t="n">
        <v>0</v>
      </c>
      <c r="R912" s="2" t="inlineStr"/>
    </row>
    <row r="913" ht="15" customHeight="1">
      <c r="A913" t="inlineStr">
        <is>
          <t>A 11415-2026</t>
        </is>
      </c>
      <c r="B913" s="1" t="n">
        <v>46083</v>
      </c>
      <c r="C913" s="1" t="n">
        <v>46094</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11798-2026</t>
        </is>
      </c>
      <c r="B914" s="1" t="n">
        <v>46085.34020833333</v>
      </c>
      <c r="C914" s="1" t="n">
        <v>46094</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3965-2026</t>
        </is>
      </c>
      <c r="B915" s="1" t="n">
        <v>46044.34563657407</v>
      </c>
      <c r="C915" s="1" t="n">
        <v>46094</v>
      </c>
      <c r="D915" t="inlineStr">
        <is>
          <t>KALMAR LÄN</t>
        </is>
      </c>
      <c r="E915" t="inlineStr">
        <is>
          <t>VIMMERBY</t>
        </is>
      </c>
      <c r="G915" t="n">
        <v>2.6</v>
      </c>
      <c r="H915" t="n">
        <v>0</v>
      </c>
      <c r="I915" t="n">
        <v>0</v>
      </c>
      <c r="J915" t="n">
        <v>0</v>
      </c>
      <c r="K915" t="n">
        <v>0</v>
      </c>
      <c r="L915" t="n">
        <v>0</v>
      </c>
      <c r="M915" t="n">
        <v>0</v>
      </c>
      <c r="N915" t="n">
        <v>0</v>
      </c>
      <c r="O915" t="n">
        <v>0</v>
      </c>
      <c r="P915" t="n">
        <v>0</v>
      </c>
      <c r="Q915" t="n">
        <v>0</v>
      </c>
      <c r="R915" s="2" t="inlineStr"/>
    </row>
    <row r="916" ht="15" customHeight="1">
      <c r="A916" t="inlineStr">
        <is>
          <t>A 12730-2026</t>
        </is>
      </c>
      <c r="B916" s="1" t="n">
        <v>46091</v>
      </c>
      <c r="C916" s="1" t="n">
        <v>46094</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12821-2026</t>
        </is>
      </c>
      <c r="B917" s="1" t="n">
        <v>46092.41256944444</v>
      </c>
      <c r="C917" s="1" t="n">
        <v>46094</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12820-2026</t>
        </is>
      </c>
      <c r="B918" s="1" t="n">
        <v>46092.40909722223</v>
      </c>
      <c r="C918" s="1" t="n">
        <v>46094</v>
      </c>
      <c r="D918" t="inlineStr">
        <is>
          <t>KALMAR LÄN</t>
        </is>
      </c>
      <c r="E918" t="inlineStr">
        <is>
          <t>VIMMERBY</t>
        </is>
      </c>
      <c r="G918" t="n">
        <v>4.3</v>
      </c>
      <c r="H918" t="n">
        <v>0</v>
      </c>
      <c r="I918" t="n">
        <v>0</v>
      </c>
      <c r="J918" t="n">
        <v>0</v>
      </c>
      <c r="K918" t="n">
        <v>0</v>
      </c>
      <c r="L918" t="n">
        <v>0</v>
      </c>
      <c r="M918" t="n">
        <v>0</v>
      </c>
      <c r="N918" t="n">
        <v>0</v>
      </c>
      <c r="O918" t="n">
        <v>0</v>
      </c>
      <c r="P918" t="n">
        <v>0</v>
      </c>
      <c r="Q918" t="n">
        <v>0</v>
      </c>
      <c r="R918" s="2" t="inlineStr"/>
    </row>
    <row r="919">
      <c r="A919" t="inlineStr">
        <is>
          <t>A 12825-2026</t>
        </is>
      </c>
      <c r="B919" s="1" t="n">
        <v>46092.41561342592</v>
      </c>
      <c r="C919" s="1" t="n">
        <v>46094</v>
      </c>
      <c r="D919" t="inlineStr">
        <is>
          <t>KALMAR LÄN</t>
        </is>
      </c>
      <c r="E919" t="inlineStr">
        <is>
          <t>VIMMERBY</t>
        </is>
      </c>
      <c r="G919" t="n">
        <v>2.6</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2026-03-13T11:18:06Z</dcterms:created>
  <dcterms:modified xmlns:dcterms="http://purl.org/dc/terms/" xmlns:xsi="http://www.w3.org/2001/XMLSchema-instance" xsi:type="dcterms:W3CDTF">2026-03-13T11:18:07Z</dcterms:modified>
</cp:coreProperties>
</file>