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45965</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45965</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45965</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45965</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45965</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45965</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45965</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45965</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45965</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8411-2021</t>
        </is>
      </c>
      <c r="B15" s="1" t="n">
        <v>44245</v>
      </c>
      <c r="C15" s="1" t="n">
        <v>45965</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45965</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45965</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37667-2025</t>
        </is>
      </c>
      <c r="B18" s="1" t="n">
        <v>45880.51413194444</v>
      </c>
      <c r="C18" s="1" t="n">
        <v>45965</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14584-2025</t>
        </is>
      </c>
      <c r="B19" s="1" t="n">
        <v>45742</v>
      </c>
      <c r="C19" s="1" t="n">
        <v>45965</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45965</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45965</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45965</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19158-2023</t>
        </is>
      </c>
      <c r="B23" s="1" t="n">
        <v>45048</v>
      </c>
      <c r="C23" s="1" t="n">
        <v>45965</v>
      </c>
      <c r="D23" t="inlineStr">
        <is>
          <t>KALMAR LÄN</t>
        </is>
      </c>
      <c r="E23" t="inlineStr">
        <is>
          <t>VIMMERBY</t>
        </is>
      </c>
      <c r="G23" t="n">
        <v>2.2</v>
      </c>
      <c r="H23" t="n">
        <v>2</v>
      </c>
      <c r="I23" t="n">
        <v>0</v>
      </c>
      <c r="J23" t="n">
        <v>0</v>
      </c>
      <c r="K23" t="n">
        <v>1</v>
      </c>
      <c r="L23" t="n">
        <v>0</v>
      </c>
      <c r="M23" t="n">
        <v>0</v>
      </c>
      <c r="N23" t="n">
        <v>0</v>
      </c>
      <c r="O23" t="n">
        <v>1</v>
      </c>
      <c r="P23" t="n">
        <v>1</v>
      </c>
      <c r="Q23" t="n">
        <v>2</v>
      </c>
      <c r="R23" s="2" t="inlineStr">
        <is>
          <t>Knärot
Blåsippa</t>
        </is>
      </c>
      <c r="S23">
        <f>HYPERLINK("https://klasma.github.io/Logging_0884/artfynd/A 19158-2023 artfynd.xlsx", "A 19158-2023")</f>
        <v/>
      </c>
      <c r="T23">
        <f>HYPERLINK("https://klasma.github.io/Logging_0884/kartor/A 19158-2023 karta.png", "A 19158-2023")</f>
        <v/>
      </c>
      <c r="U23">
        <f>HYPERLINK("https://klasma.github.io/Logging_0884/knärot/A 19158-2023 karta knärot.png", "A 19158-2023")</f>
        <v/>
      </c>
      <c r="V23">
        <f>HYPERLINK("https://klasma.github.io/Logging_0884/klagomål/A 19158-2023 FSC-klagomål.docx", "A 19158-2023")</f>
        <v/>
      </c>
      <c r="W23">
        <f>HYPERLINK("https://klasma.github.io/Logging_0884/klagomålsmail/A 19158-2023 FSC-klagomål mail.docx", "A 19158-2023")</f>
        <v/>
      </c>
      <c r="X23">
        <f>HYPERLINK("https://klasma.github.io/Logging_0884/tillsyn/A 19158-2023 tillsynsbegäran.docx", "A 19158-2023")</f>
        <v/>
      </c>
      <c r="Y23">
        <f>HYPERLINK("https://klasma.github.io/Logging_0884/tillsynsmail/A 19158-2023 tillsynsbegäran mail.docx", "A 19158-2023")</f>
        <v/>
      </c>
    </row>
    <row r="24" ht="15" customHeight="1">
      <c r="A24" t="inlineStr">
        <is>
          <t>A 2518-2023</t>
        </is>
      </c>
      <c r="B24" s="1" t="n">
        <v>44943</v>
      </c>
      <c r="C24" s="1" t="n">
        <v>45965</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45965</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14024-2023</t>
        </is>
      </c>
      <c r="B26" s="1" t="n">
        <v>45008.60878472222</v>
      </c>
      <c r="C26" s="1" t="n">
        <v>45965</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22396-2025</t>
        </is>
      </c>
      <c r="B27" s="1" t="n">
        <v>45786.52827546297</v>
      </c>
      <c r="C27" s="1" t="n">
        <v>45965</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45965</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40684-2025</t>
        </is>
      </c>
      <c r="B29" s="1" t="n">
        <v>45896.86820601852</v>
      </c>
      <c r="C29" s="1" t="n">
        <v>45965</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45965</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45965</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45965</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45965</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23602-2023</t>
        </is>
      </c>
      <c r="B34" s="1" t="n">
        <v>45077</v>
      </c>
      <c r="C34" s="1" t="n">
        <v>45965</v>
      </c>
      <c r="D34" t="inlineStr">
        <is>
          <t>KALMAR LÄN</t>
        </is>
      </c>
      <c r="E34" t="inlineStr">
        <is>
          <t>VIMMERBY</t>
        </is>
      </c>
      <c r="G34" t="n">
        <v>1.6</v>
      </c>
      <c r="H34" t="n">
        <v>0</v>
      </c>
      <c r="I34" t="n">
        <v>0</v>
      </c>
      <c r="J34" t="n">
        <v>1</v>
      </c>
      <c r="K34" t="n">
        <v>0</v>
      </c>
      <c r="L34" t="n">
        <v>0</v>
      </c>
      <c r="M34" t="n">
        <v>0</v>
      </c>
      <c r="N34" t="n">
        <v>0</v>
      </c>
      <c r="O34" t="n">
        <v>1</v>
      </c>
      <c r="P34" t="n">
        <v>0</v>
      </c>
      <c r="Q34" t="n">
        <v>1</v>
      </c>
      <c r="R34" s="2" t="inlineStr">
        <is>
          <t>Vedtrappmossa</t>
        </is>
      </c>
      <c r="S34">
        <f>HYPERLINK("https://klasma.github.io/Logging_0884/artfynd/A 23602-2023 artfynd.xlsx", "A 23602-2023")</f>
        <v/>
      </c>
      <c r="T34">
        <f>HYPERLINK("https://klasma.github.io/Logging_0884/kartor/A 23602-2023 karta.png", "A 23602-2023")</f>
        <v/>
      </c>
      <c r="V34">
        <f>HYPERLINK("https://klasma.github.io/Logging_0884/klagomål/A 23602-2023 FSC-klagomål.docx", "A 23602-2023")</f>
        <v/>
      </c>
      <c r="W34">
        <f>HYPERLINK("https://klasma.github.io/Logging_0884/klagomålsmail/A 23602-2023 FSC-klagomål mail.docx", "A 23602-2023")</f>
        <v/>
      </c>
      <c r="X34">
        <f>HYPERLINK("https://klasma.github.io/Logging_0884/tillsyn/A 23602-2023 tillsynsbegäran.docx", "A 23602-2023")</f>
        <v/>
      </c>
      <c r="Y34">
        <f>HYPERLINK("https://klasma.github.io/Logging_0884/tillsynsmail/A 23602-2023 tillsynsbegäran mail.docx", "A 23602-2023")</f>
        <v/>
      </c>
    </row>
    <row r="35" ht="15" customHeight="1">
      <c r="A35" t="inlineStr">
        <is>
          <t>A 38602-2025</t>
        </is>
      </c>
      <c r="B35" s="1" t="n">
        <v>45884.50331018519</v>
      </c>
      <c r="C35" s="1" t="n">
        <v>45965</v>
      </c>
      <c r="D35" t="inlineStr">
        <is>
          <t>KALMAR LÄN</t>
        </is>
      </c>
      <c r="E35" t="inlineStr">
        <is>
          <t>VIMMERBY</t>
        </is>
      </c>
      <c r="F35" t="inlineStr">
        <is>
          <t>Sveaskog</t>
        </is>
      </c>
      <c r="G35" t="n">
        <v>4.9</v>
      </c>
      <c r="H35" t="n">
        <v>1</v>
      </c>
      <c r="I35" t="n">
        <v>0</v>
      </c>
      <c r="J35" t="n">
        <v>0</v>
      </c>
      <c r="K35" t="n">
        <v>1</v>
      </c>
      <c r="L35" t="n">
        <v>0</v>
      </c>
      <c r="M35" t="n">
        <v>0</v>
      </c>
      <c r="N35" t="n">
        <v>0</v>
      </c>
      <c r="O35" t="n">
        <v>1</v>
      </c>
      <c r="P35" t="n">
        <v>1</v>
      </c>
      <c r="Q35" t="n">
        <v>1</v>
      </c>
      <c r="R35" s="2" t="inlineStr">
        <is>
          <t>Knärot</t>
        </is>
      </c>
      <c r="S35">
        <f>HYPERLINK("https://klasma.github.io/Logging_0884/artfynd/A 38602-2025 artfynd.xlsx", "A 38602-2025")</f>
        <v/>
      </c>
      <c r="T35">
        <f>HYPERLINK("https://klasma.github.io/Logging_0884/kartor/A 38602-2025 karta.png", "A 38602-2025")</f>
        <v/>
      </c>
      <c r="U35">
        <f>HYPERLINK("https://klasma.github.io/Logging_0884/knärot/A 38602-2025 karta knärot.png", "A 38602-2025")</f>
        <v/>
      </c>
      <c r="V35">
        <f>HYPERLINK("https://klasma.github.io/Logging_0884/klagomål/A 38602-2025 FSC-klagomål.docx", "A 38602-2025")</f>
        <v/>
      </c>
      <c r="W35">
        <f>HYPERLINK("https://klasma.github.io/Logging_0884/klagomålsmail/A 38602-2025 FSC-klagomål mail.docx", "A 38602-2025")</f>
        <v/>
      </c>
      <c r="X35">
        <f>HYPERLINK("https://klasma.github.io/Logging_0884/tillsyn/A 38602-2025 tillsynsbegäran.docx", "A 38602-2025")</f>
        <v/>
      </c>
      <c r="Y35">
        <f>HYPERLINK("https://klasma.github.io/Logging_0884/tillsynsmail/A 38602-2025 tillsynsbegäran mail.docx", "A 38602-2025")</f>
        <v/>
      </c>
    </row>
    <row r="36" ht="15" customHeight="1">
      <c r="A36" t="inlineStr">
        <is>
          <t>A 52301-2023</t>
        </is>
      </c>
      <c r="B36" s="1" t="n">
        <v>45224</v>
      </c>
      <c r="C36" s="1" t="n">
        <v>45965</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33436-2021</t>
        </is>
      </c>
      <c r="B37" s="1" t="n">
        <v>44377.61104166666</v>
      </c>
      <c r="C37" s="1" t="n">
        <v>45965</v>
      </c>
      <c r="D37" t="inlineStr">
        <is>
          <t>KALMAR LÄN</t>
        </is>
      </c>
      <c r="E37" t="inlineStr">
        <is>
          <t>VIMMERBY</t>
        </is>
      </c>
      <c r="G37" t="n">
        <v>11.8</v>
      </c>
      <c r="H37" t="n">
        <v>1</v>
      </c>
      <c r="I37" t="n">
        <v>0</v>
      </c>
      <c r="J37" t="n">
        <v>0</v>
      </c>
      <c r="K37" t="n">
        <v>1</v>
      </c>
      <c r="L37" t="n">
        <v>0</v>
      </c>
      <c r="M37" t="n">
        <v>0</v>
      </c>
      <c r="N37" t="n">
        <v>0</v>
      </c>
      <c r="O37" t="n">
        <v>1</v>
      </c>
      <c r="P37" t="n">
        <v>1</v>
      </c>
      <c r="Q37" t="n">
        <v>1</v>
      </c>
      <c r="R37" s="2" t="inlineStr">
        <is>
          <t>Knärot</t>
        </is>
      </c>
      <c r="S37">
        <f>HYPERLINK("https://klasma.github.io/Logging_0884/artfynd/A 33436-2021 artfynd.xlsx", "A 33436-2021")</f>
        <v/>
      </c>
      <c r="T37">
        <f>HYPERLINK("https://klasma.github.io/Logging_0884/kartor/A 33436-2021 karta.png", "A 33436-2021")</f>
        <v/>
      </c>
      <c r="U37">
        <f>HYPERLINK("https://klasma.github.io/Logging_0884/knärot/A 33436-2021 karta knärot.png", "A 33436-2021")</f>
        <v/>
      </c>
      <c r="V37">
        <f>HYPERLINK("https://klasma.github.io/Logging_0884/klagomål/A 33436-2021 FSC-klagomål.docx", "A 33436-2021")</f>
        <v/>
      </c>
      <c r="W37">
        <f>HYPERLINK("https://klasma.github.io/Logging_0884/klagomålsmail/A 33436-2021 FSC-klagomål mail.docx", "A 33436-2021")</f>
        <v/>
      </c>
      <c r="X37">
        <f>HYPERLINK("https://klasma.github.io/Logging_0884/tillsyn/A 33436-2021 tillsynsbegäran.docx", "A 33436-2021")</f>
        <v/>
      </c>
      <c r="Y37">
        <f>HYPERLINK("https://klasma.github.io/Logging_0884/tillsynsmail/A 33436-2021 tillsynsbegäran mail.docx", "A 33436-2021")</f>
        <v/>
      </c>
    </row>
    <row r="38" ht="15" customHeight="1">
      <c r="A38" t="inlineStr">
        <is>
          <t>A 6841-2021</t>
        </is>
      </c>
      <c r="B38" s="1" t="n">
        <v>44236</v>
      </c>
      <c r="C38" s="1" t="n">
        <v>45965</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15122-2024</t>
        </is>
      </c>
      <c r="B39" s="1" t="n">
        <v>45399.71412037037</v>
      </c>
      <c r="C39" s="1" t="n">
        <v>45965</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32985-2023</t>
        </is>
      </c>
      <c r="B40" s="1" t="n">
        <v>45125</v>
      </c>
      <c r="C40" s="1" t="n">
        <v>45965</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61860-2024</t>
        </is>
      </c>
      <c r="B41" s="1" t="n">
        <v>45649</v>
      </c>
      <c r="C41" s="1" t="n">
        <v>45965</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40083-2023</t>
        </is>
      </c>
      <c r="B42" s="1" t="n">
        <v>45168</v>
      </c>
      <c r="C42" s="1" t="n">
        <v>45965</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45965</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28852-2023</t>
        </is>
      </c>
      <c r="B44" s="1" t="n">
        <v>45104</v>
      </c>
      <c r="C44" s="1" t="n">
        <v>45965</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44515-2024</t>
        </is>
      </c>
      <c r="B45" s="1" t="n">
        <v>45574.42767361111</v>
      </c>
      <c r="C45" s="1" t="n">
        <v>45965</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1201-2025</t>
        </is>
      </c>
      <c r="B46" s="1" t="n">
        <v>45667</v>
      </c>
      <c r="C46" s="1" t="n">
        <v>45965</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29183-2025</t>
        </is>
      </c>
      <c r="B47" s="1" t="n">
        <v>45821</v>
      </c>
      <c r="C47" s="1" t="n">
        <v>45965</v>
      </c>
      <c r="D47" t="inlineStr">
        <is>
          <t>KALMAR LÄN</t>
        </is>
      </c>
      <c r="E47" t="inlineStr">
        <is>
          <t>VIMMERBY</t>
        </is>
      </c>
      <c r="G47" t="n">
        <v>2.7</v>
      </c>
      <c r="H47" t="n">
        <v>0</v>
      </c>
      <c r="I47" t="n">
        <v>1</v>
      </c>
      <c r="J47" t="n">
        <v>0</v>
      </c>
      <c r="K47" t="n">
        <v>0</v>
      </c>
      <c r="L47" t="n">
        <v>0</v>
      </c>
      <c r="M47" t="n">
        <v>0</v>
      </c>
      <c r="N47" t="n">
        <v>0</v>
      </c>
      <c r="O47" t="n">
        <v>0</v>
      </c>
      <c r="P47" t="n">
        <v>0</v>
      </c>
      <c r="Q47" t="n">
        <v>1</v>
      </c>
      <c r="R47" s="2" t="inlineStr">
        <is>
          <t>Sårläka</t>
        </is>
      </c>
      <c r="S47">
        <f>HYPERLINK("https://klasma.github.io/Logging_0884/artfynd/A 29183-2025 artfynd.xlsx", "A 29183-2025")</f>
        <v/>
      </c>
      <c r="T47">
        <f>HYPERLINK("https://klasma.github.io/Logging_0884/kartor/A 29183-2025 karta.png", "A 29183-2025")</f>
        <v/>
      </c>
      <c r="V47">
        <f>HYPERLINK("https://klasma.github.io/Logging_0884/klagomål/A 29183-2025 FSC-klagomål.docx", "A 29183-2025")</f>
        <v/>
      </c>
      <c r="W47">
        <f>HYPERLINK("https://klasma.github.io/Logging_0884/klagomålsmail/A 29183-2025 FSC-klagomål mail.docx", "A 29183-2025")</f>
        <v/>
      </c>
      <c r="X47">
        <f>HYPERLINK("https://klasma.github.io/Logging_0884/tillsyn/A 29183-2025 tillsynsbegäran.docx", "A 29183-2025")</f>
        <v/>
      </c>
      <c r="Y47">
        <f>HYPERLINK("https://klasma.github.io/Logging_0884/tillsynsmail/A 29183-2025 tillsynsbegäran mail.docx", "A 29183-2025")</f>
        <v/>
      </c>
    </row>
    <row r="48" ht="15" customHeight="1">
      <c r="A48" t="inlineStr">
        <is>
          <t>A 9067-2025</t>
        </is>
      </c>
      <c r="B48" s="1" t="n">
        <v>45713</v>
      </c>
      <c r="C48" s="1" t="n">
        <v>45965</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15092-2021</t>
        </is>
      </c>
      <c r="B49" s="1" t="n">
        <v>44281.79269675926</v>
      </c>
      <c r="C49" s="1" t="n">
        <v>45965</v>
      </c>
      <c r="D49" t="inlineStr">
        <is>
          <t>KALMAR LÄN</t>
        </is>
      </c>
      <c r="E49" t="inlineStr">
        <is>
          <t>VIMMERBY</t>
        </is>
      </c>
      <c r="G49" t="n">
        <v>1.6</v>
      </c>
      <c r="H49" t="n">
        <v>0</v>
      </c>
      <c r="I49" t="n">
        <v>0</v>
      </c>
      <c r="J49" t="n">
        <v>0</v>
      </c>
      <c r="K49" t="n">
        <v>0</v>
      </c>
      <c r="L49" t="n">
        <v>0</v>
      </c>
      <c r="M49" t="n">
        <v>0</v>
      </c>
      <c r="N49" t="n">
        <v>0</v>
      </c>
      <c r="O49" t="n">
        <v>0</v>
      </c>
      <c r="P49" t="n">
        <v>0</v>
      </c>
      <c r="Q49" t="n">
        <v>0</v>
      </c>
      <c r="R49" s="2" t="inlineStr"/>
    </row>
    <row r="50" ht="15" customHeight="1">
      <c r="A50" t="inlineStr">
        <is>
          <t>A 12757-2021</t>
        </is>
      </c>
      <c r="B50" s="1" t="n">
        <v>44270.67071759259</v>
      </c>
      <c r="C50" s="1" t="n">
        <v>45965</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45965</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45965</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45965</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45965</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45965</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45965</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45965</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45965</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45965</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45965</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45965</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45965</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45965</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45965</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45965</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45965</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45965</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45965</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45965</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7515-2021</t>
        </is>
      </c>
      <c r="B70" s="1" t="n">
        <v>44238</v>
      </c>
      <c r="C70" s="1" t="n">
        <v>45965</v>
      </c>
      <c r="D70" t="inlineStr">
        <is>
          <t>KALMAR LÄN</t>
        </is>
      </c>
      <c r="E70" t="inlineStr">
        <is>
          <t>VIMMERBY</t>
        </is>
      </c>
      <c r="G70" t="n">
        <v>20.9</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45965</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45965</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45965</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45965</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45965</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45965</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45965</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45965</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45965</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45965</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45965</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45965</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45965</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45965</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45965</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45965</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45965</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45965</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11145-2021</t>
        </is>
      </c>
      <c r="B89" s="1" t="n">
        <v>44261</v>
      </c>
      <c r="C89" s="1" t="n">
        <v>45965</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45965</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45965</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45965</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45965</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65952-2020</t>
        </is>
      </c>
      <c r="B94" s="1" t="n">
        <v>44175.3815625</v>
      </c>
      <c r="C94" s="1" t="n">
        <v>45965</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65973-2020</t>
        </is>
      </c>
      <c r="B95" s="1" t="n">
        <v>44175.40881944444</v>
      </c>
      <c r="C95" s="1" t="n">
        <v>45965</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45965</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45965</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45965</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68840-2021</t>
        </is>
      </c>
      <c r="B99" s="1" t="n">
        <v>44530.38055555556</v>
      </c>
      <c r="C99" s="1" t="n">
        <v>45965</v>
      </c>
      <c r="D99" t="inlineStr">
        <is>
          <t>KALMAR LÄN</t>
        </is>
      </c>
      <c r="E99" t="inlineStr">
        <is>
          <t>VIMMERBY</t>
        </is>
      </c>
      <c r="G99" t="n">
        <v>1.4</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45965</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45965</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45965</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66913-2020</t>
        </is>
      </c>
      <c r="B103" s="1" t="n">
        <v>44175</v>
      </c>
      <c r="C103" s="1" t="n">
        <v>45965</v>
      </c>
      <c r="D103" t="inlineStr">
        <is>
          <t>KALMAR LÄN</t>
        </is>
      </c>
      <c r="E103" t="inlineStr">
        <is>
          <t>VIMMERBY</t>
        </is>
      </c>
      <c r="G103" t="n">
        <v>5.6</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45965</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45965</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45965</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45965</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45965</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45965</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45965</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45965</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45965</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45965</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45965</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45965</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45965</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45965</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45965</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45965</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45965</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45965</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45965</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45965</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45965</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45965</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45965</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45965</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12107-2022</t>
        </is>
      </c>
      <c r="B128" s="1" t="n">
        <v>44636</v>
      </c>
      <c r="C128" s="1" t="n">
        <v>45965</v>
      </c>
      <c r="D128" t="inlineStr">
        <is>
          <t>KALMAR LÄN</t>
        </is>
      </c>
      <c r="E128" t="inlineStr">
        <is>
          <t>VIMMERBY</t>
        </is>
      </c>
      <c r="G128" t="n">
        <v>1.8</v>
      </c>
      <c r="H128" t="n">
        <v>0</v>
      </c>
      <c r="I128" t="n">
        <v>0</v>
      </c>
      <c r="J128" t="n">
        <v>0</v>
      </c>
      <c r="K128" t="n">
        <v>0</v>
      </c>
      <c r="L128" t="n">
        <v>0</v>
      </c>
      <c r="M128" t="n">
        <v>0</v>
      </c>
      <c r="N128" t="n">
        <v>0</v>
      </c>
      <c r="O128" t="n">
        <v>0</v>
      </c>
      <c r="P128" t="n">
        <v>0</v>
      </c>
      <c r="Q128" t="n">
        <v>0</v>
      </c>
      <c r="R128" s="2" t="inlineStr"/>
    </row>
    <row r="129" ht="15" customHeight="1">
      <c r="A129" t="inlineStr">
        <is>
          <t>A 23825-2022</t>
        </is>
      </c>
      <c r="B129" s="1" t="n">
        <v>44722.48768518519</v>
      </c>
      <c r="C129" s="1" t="n">
        <v>45965</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36117-2021</t>
        </is>
      </c>
      <c r="B130" s="1" t="n">
        <v>44386</v>
      </c>
      <c r="C130" s="1" t="n">
        <v>45965</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42521-2021</t>
        </is>
      </c>
      <c r="B131" s="1" t="n">
        <v>44427</v>
      </c>
      <c r="C131" s="1" t="n">
        <v>45965</v>
      </c>
      <c r="D131" t="inlineStr">
        <is>
          <t>KALMAR LÄN</t>
        </is>
      </c>
      <c r="E131" t="inlineStr">
        <is>
          <t>VIMMERBY</t>
        </is>
      </c>
      <c r="G131" t="n">
        <v>5.4</v>
      </c>
      <c r="H131" t="n">
        <v>0</v>
      </c>
      <c r="I131" t="n">
        <v>0</v>
      </c>
      <c r="J131" t="n">
        <v>0</v>
      </c>
      <c r="K131" t="n">
        <v>0</v>
      </c>
      <c r="L131" t="n">
        <v>0</v>
      </c>
      <c r="M131" t="n">
        <v>0</v>
      </c>
      <c r="N131" t="n">
        <v>0</v>
      </c>
      <c r="O131" t="n">
        <v>0</v>
      </c>
      <c r="P131" t="n">
        <v>0</v>
      </c>
      <c r="Q131" t="n">
        <v>0</v>
      </c>
      <c r="R131" s="2" t="inlineStr"/>
    </row>
    <row r="132" ht="15" customHeight="1">
      <c r="A132" t="inlineStr">
        <is>
          <t>A 39225-2022</t>
        </is>
      </c>
      <c r="B132" s="1" t="n">
        <v>44817.57988425926</v>
      </c>
      <c r="C132" s="1" t="n">
        <v>45965</v>
      </c>
      <c r="D132" t="inlineStr">
        <is>
          <t>KALMAR LÄN</t>
        </is>
      </c>
      <c r="E132" t="inlineStr">
        <is>
          <t>VIMMERBY</t>
        </is>
      </c>
      <c r="G132" t="n">
        <v>2.2</v>
      </c>
      <c r="H132" t="n">
        <v>0</v>
      </c>
      <c r="I132" t="n">
        <v>0</v>
      </c>
      <c r="J132" t="n">
        <v>0</v>
      </c>
      <c r="K132" t="n">
        <v>0</v>
      </c>
      <c r="L132" t="n">
        <v>0</v>
      </c>
      <c r="M132" t="n">
        <v>0</v>
      </c>
      <c r="N132" t="n">
        <v>0</v>
      </c>
      <c r="O132" t="n">
        <v>0</v>
      </c>
      <c r="P132" t="n">
        <v>0</v>
      </c>
      <c r="Q132" t="n">
        <v>0</v>
      </c>
      <c r="R132" s="2" t="inlineStr"/>
    </row>
    <row r="133" ht="15" customHeight="1">
      <c r="A133" t="inlineStr">
        <is>
          <t>A 16602-2021</t>
        </is>
      </c>
      <c r="B133" s="1" t="n">
        <v>44294</v>
      </c>
      <c r="C133" s="1" t="n">
        <v>45965</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16607-2021</t>
        </is>
      </c>
      <c r="B134" s="1" t="n">
        <v>44294</v>
      </c>
      <c r="C134" s="1" t="n">
        <v>45965</v>
      </c>
      <c r="D134" t="inlineStr">
        <is>
          <t>KALMAR LÄN</t>
        </is>
      </c>
      <c r="E134" t="inlineStr">
        <is>
          <t>VIMMERBY</t>
        </is>
      </c>
      <c r="G134" t="n">
        <v>1</v>
      </c>
      <c r="H134" t="n">
        <v>0</v>
      </c>
      <c r="I134" t="n">
        <v>0</v>
      </c>
      <c r="J134" t="n">
        <v>0</v>
      </c>
      <c r="K134" t="n">
        <v>0</v>
      </c>
      <c r="L134" t="n">
        <v>0</v>
      </c>
      <c r="M134" t="n">
        <v>0</v>
      </c>
      <c r="N134" t="n">
        <v>0</v>
      </c>
      <c r="O134" t="n">
        <v>0</v>
      </c>
      <c r="P134" t="n">
        <v>0</v>
      </c>
      <c r="Q134" t="n">
        <v>0</v>
      </c>
      <c r="R134" s="2" t="inlineStr"/>
    </row>
    <row r="135" ht="15" customHeight="1">
      <c r="A135" t="inlineStr">
        <is>
          <t>A 17029-2022</t>
        </is>
      </c>
      <c r="B135" s="1" t="n">
        <v>44676.85248842592</v>
      </c>
      <c r="C135" s="1" t="n">
        <v>45965</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7167-2022</t>
        </is>
      </c>
      <c r="B136" s="1" t="n">
        <v>44604</v>
      </c>
      <c r="C136" s="1" t="n">
        <v>45965</v>
      </c>
      <c r="D136" t="inlineStr">
        <is>
          <t>KALMAR LÄN</t>
        </is>
      </c>
      <c r="E136" t="inlineStr">
        <is>
          <t>VIMMERBY</t>
        </is>
      </c>
      <c r="G136" t="n">
        <v>1.7</v>
      </c>
      <c r="H136" t="n">
        <v>0</v>
      </c>
      <c r="I136" t="n">
        <v>0</v>
      </c>
      <c r="J136" t="n">
        <v>0</v>
      </c>
      <c r="K136" t="n">
        <v>0</v>
      </c>
      <c r="L136" t="n">
        <v>0</v>
      </c>
      <c r="M136" t="n">
        <v>0</v>
      </c>
      <c r="N136" t="n">
        <v>0</v>
      </c>
      <c r="O136" t="n">
        <v>0</v>
      </c>
      <c r="P136" t="n">
        <v>0</v>
      </c>
      <c r="Q136" t="n">
        <v>0</v>
      </c>
      <c r="R136" s="2" t="inlineStr"/>
    </row>
    <row r="137" ht="15" customHeight="1">
      <c r="A137" t="inlineStr">
        <is>
          <t>A 18356-2021</t>
        </is>
      </c>
      <c r="B137" s="1" t="n">
        <v>44305</v>
      </c>
      <c r="C137" s="1" t="n">
        <v>45965</v>
      </c>
      <c r="D137" t="inlineStr">
        <is>
          <t>KALMAR LÄN</t>
        </is>
      </c>
      <c r="E137" t="inlineStr">
        <is>
          <t>VIMMERBY</t>
        </is>
      </c>
      <c r="G137" t="n">
        <v>3.4</v>
      </c>
      <c r="H137" t="n">
        <v>0</v>
      </c>
      <c r="I137" t="n">
        <v>0</v>
      </c>
      <c r="J137" t="n">
        <v>0</v>
      </c>
      <c r="K137" t="n">
        <v>0</v>
      </c>
      <c r="L137" t="n">
        <v>0</v>
      </c>
      <c r="M137" t="n">
        <v>0</v>
      </c>
      <c r="N137" t="n">
        <v>0</v>
      </c>
      <c r="O137" t="n">
        <v>0</v>
      </c>
      <c r="P137" t="n">
        <v>0</v>
      </c>
      <c r="Q137" t="n">
        <v>0</v>
      </c>
      <c r="R137" s="2" t="inlineStr"/>
    </row>
    <row r="138" ht="15" customHeight="1">
      <c r="A138" t="inlineStr">
        <is>
          <t>A 11814-2022</t>
        </is>
      </c>
      <c r="B138" s="1" t="n">
        <v>44634.69703703704</v>
      </c>
      <c r="C138" s="1" t="n">
        <v>45965</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57948-2020</t>
        </is>
      </c>
      <c r="B139" s="1" t="n">
        <v>44142</v>
      </c>
      <c r="C139" s="1" t="n">
        <v>45965</v>
      </c>
      <c r="D139" t="inlineStr">
        <is>
          <t>KALMAR LÄN</t>
        </is>
      </c>
      <c r="E139" t="inlineStr">
        <is>
          <t>VIMMERBY</t>
        </is>
      </c>
      <c r="G139" t="n">
        <v>7.1</v>
      </c>
      <c r="H139" t="n">
        <v>0</v>
      </c>
      <c r="I139" t="n">
        <v>0</v>
      </c>
      <c r="J139" t="n">
        <v>0</v>
      </c>
      <c r="K139" t="n">
        <v>0</v>
      </c>
      <c r="L139" t="n">
        <v>0</v>
      </c>
      <c r="M139" t="n">
        <v>0</v>
      </c>
      <c r="N139" t="n">
        <v>0</v>
      </c>
      <c r="O139" t="n">
        <v>0</v>
      </c>
      <c r="P139" t="n">
        <v>0</v>
      </c>
      <c r="Q139" t="n">
        <v>0</v>
      </c>
      <c r="R139" s="2" t="inlineStr"/>
    </row>
    <row r="140" ht="15" customHeight="1">
      <c r="A140" t="inlineStr">
        <is>
          <t>A 56385-2021</t>
        </is>
      </c>
      <c r="B140" s="1" t="n">
        <v>44480</v>
      </c>
      <c r="C140" s="1" t="n">
        <v>45965</v>
      </c>
      <c r="D140" t="inlineStr">
        <is>
          <t>KALMAR LÄN</t>
        </is>
      </c>
      <c r="E140" t="inlineStr">
        <is>
          <t>VIMMERBY</t>
        </is>
      </c>
      <c r="G140" t="n">
        <v>1.9</v>
      </c>
      <c r="H140" t="n">
        <v>0</v>
      </c>
      <c r="I140" t="n">
        <v>0</v>
      </c>
      <c r="J140" t="n">
        <v>0</v>
      </c>
      <c r="K140" t="n">
        <v>0</v>
      </c>
      <c r="L140" t="n">
        <v>0</v>
      </c>
      <c r="M140" t="n">
        <v>0</v>
      </c>
      <c r="N140" t="n">
        <v>0</v>
      </c>
      <c r="O140" t="n">
        <v>0</v>
      </c>
      <c r="P140" t="n">
        <v>0</v>
      </c>
      <c r="Q140" t="n">
        <v>0</v>
      </c>
      <c r="R140" s="2" t="inlineStr"/>
    </row>
    <row r="141" ht="15" customHeight="1">
      <c r="A141" t="inlineStr">
        <is>
          <t>A 31053-2022</t>
        </is>
      </c>
      <c r="B141" s="1" t="n">
        <v>44769.45422453704</v>
      </c>
      <c r="C141" s="1" t="n">
        <v>45965</v>
      </c>
      <c r="D141" t="inlineStr">
        <is>
          <t>KALMAR LÄN</t>
        </is>
      </c>
      <c r="E141" t="inlineStr">
        <is>
          <t>VIMMERBY</t>
        </is>
      </c>
      <c r="G141" t="n">
        <v>1.9</v>
      </c>
      <c r="H141" t="n">
        <v>0</v>
      </c>
      <c r="I141" t="n">
        <v>0</v>
      </c>
      <c r="J141" t="n">
        <v>0</v>
      </c>
      <c r="K141" t="n">
        <v>0</v>
      </c>
      <c r="L141" t="n">
        <v>0</v>
      </c>
      <c r="M141" t="n">
        <v>0</v>
      </c>
      <c r="N141" t="n">
        <v>0</v>
      </c>
      <c r="O141" t="n">
        <v>0</v>
      </c>
      <c r="P141" t="n">
        <v>0</v>
      </c>
      <c r="Q141" t="n">
        <v>0</v>
      </c>
      <c r="R141" s="2" t="inlineStr"/>
    </row>
    <row r="142" ht="15" customHeight="1">
      <c r="A142" t="inlineStr">
        <is>
          <t>A 24738-2021</t>
        </is>
      </c>
      <c r="B142" s="1" t="n">
        <v>44340.58002314815</v>
      </c>
      <c r="C142" s="1" t="n">
        <v>45965</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46964-2022</t>
        </is>
      </c>
      <c r="B143" s="1" t="n">
        <v>44851.95016203704</v>
      </c>
      <c r="C143" s="1" t="n">
        <v>45965</v>
      </c>
      <c r="D143" t="inlineStr">
        <is>
          <t>KALMAR LÄN</t>
        </is>
      </c>
      <c r="E143" t="inlineStr">
        <is>
          <t>VIMMERBY</t>
        </is>
      </c>
      <c r="G143" t="n">
        <v>0.2</v>
      </c>
      <c r="H143" t="n">
        <v>0</v>
      </c>
      <c r="I143" t="n">
        <v>0</v>
      </c>
      <c r="J143" t="n">
        <v>0</v>
      </c>
      <c r="K143" t="n">
        <v>0</v>
      </c>
      <c r="L143" t="n">
        <v>0</v>
      </c>
      <c r="M143" t="n">
        <v>0</v>
      </c>
      <c r="N143" t="n">
        <v>0</v>
      </c>
      <c r="O143" t="n">
        <v>0</v>
      </c>
      <c r="P143" t="n">
        <v>0</v>
      </c>
      <c r="Q143" t="n">
        <v>0</v>
      </c>
      <c r="R143" s="2" t="inlineStr"/>
    </row>
    <row r="144" ht="15" customHeight="1">
      <c r="A144" t="inlineStr">
        <is>
          <t>A 18276-2021</t>
        </is>
      </c>
      <c r="B144" s="1" t="n">
        <v>44305.40046296296</v>
      </c>
      <c r="C144" s="1" t="n">
        <v>45965</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47473-2021</t>
        </is>
      </c>
      <c r="B145" s="1" t="n">
        <v>44447</v>
      </c>
      <c r="C145" s="1" t="n">
        <v>45965</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35001-2021</t>
        </is>
      </c>
      <c r="B146" s="1" t="n">
        <v>44383</v>
      </c>
      <c r="C146" s="1" t="n">
        <v>45965</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8454-2022</t>
        </is>
      </c>
      <c r="B147" s="1" t="n">
        <v>44612.86762731482</v>
      </c>
      <c r="C147" s="1" t="n">
        <v>45965</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55674-2021</t>
        </is>
      </c>
      <c r="B148" s="1" t="n">
        <v>44476</v>
      </c>
      <c r="C148" s="1" t="n">
        <v>45965</v>
      </c>
      <c r="D148" t="inlineStr">
        <is>
          <t>KALMAR LÄN</t>
        </is>
      </c>
      <c r="E148" t="inlineStr">
        <is>
          <t>VIMMERBY</t>
        </is>
      </c>
      <c r="G148" t="n">
        <v>2.1</v>
      </c>
      <c r="H148" t="n">
        <v>0</v>
      </c>
      <c r="I148" t="n">
        <v>0</v>
      </c>
      <c r="J148" t="n">
        <v>0</v>
      </c>
      <c r="K148" t="n">
        <v>0</v>
      </c>
      <c r="L148" t="n">
        <v>0</v>
      </c>
      <c r="M148" t="n">
        <v>0</v>
      </c>
      <c r="N148" t="n">
        <v>0</v>
      </c>
      <c r="O148" t="n">
        <v>0</v>
      </c>
      <c r="P148" t="n">
        <v>0</v>
      </c>
      <c r="Q148" t="n">
        <v>0</v>
      </c>
      <c r="R148" s="2" t="inlineStr"/>
    </row>
    <row r="149" ht="15" customHeight="1">
      <c r="A149" t="inlineStr">
        <is>
          <t>A 40077-2021</t>
        </is>
      </c>
      <c r="B149" s="1" t="n">
        <v>44418</v>
      </c>
      <c r="C149" s="1" t="n">
        <v>45965</v>
      </c>
      <c r="D149" t="inlineStr">
        <is>
          <t>KALMAR LÄN</t>
        </is>
      </c>
      <c r="E149" t="inlineStr">
        <is>
          <t>VIMMERBY</t>
        </is>
      </c>
      <c r="G149" t="n">
        <v>2.9</v>
      </c>
      <c r="H149" t="n">
        <v>0</v>
      </c>
      <c r="I149" t="n">
        <v>0</v>
      </c>
      <c r="J149" t="n">
        <v>0</v>
      </c>
      <c r="K149" t="n">
        <v>0</v>
      </c>
      <c r="L149" t="n">
        <v>0</v>
      </c>
      <c r="M149" t="n">
        <v>0</v>
      </c>
      <c r="N149" t="n">
        <v>0</v>
      </c>
      <c r="O149" t="n">
        <v>0</v>
      </c>
      <c r="P149" t="n">
        <v>0</v>
      </c>
      <c r="Q149" t="n">
        <v>0</v>
      </c>
      <c r="R149" s="2" t="inlineStr"/>
    </row>
    <row r="150" ht="15" customHeight="1">
      <c r="A150" t="inlineStr">
        <is>
          <t>A 41056-2022</t>
        </is>
      </c>
      <c r="B150" s="1" t="n">
        <v>44824</v>
      </c>
      <c r="C150" s="1" t="n">
        <v>45965</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31660-2021</t>
        </is>
      </c>
      <c r="B151" s="1" t="n">
        <v>44369</v>
      </c>
      <c r="C151" s="1" t="n">
        <v>45965</v>
      </c>
      <c r="D151" t="inlineStr">
        <is>
          <t>KALMAR LÄN</t>
        </is>
      </c>
      <c r="E151" t="inlineStr">
        <is>
          <t>VIMMERBY</t>
        </is>
      </c>
      <c r="G151" t="n">
        <v>4.2</v>
      </c>
      <c r="H151" t="n">
        <v>0</v>
      </c>
      <c r="I151" t="n">
        <v>0</v>
      </c>
      <c r="J151" t="n">
        <v>0</v>
      </c>
      <c r="K151" t="n">
        <v>0</v>
      </c>
      <c r="L151" t="n">
        <v>0</v>
      </c>
      <c r="M151" t="n">
        <v>0</v>
      </c>
      <c r="N151" t="n">
        <v>0</v>
      </c>
      <c r="O151" t="n">
        <v>0</v>
      </c>
      <c r="P151" t="n">
        <v>0</v>
      </c>
      <c r="Q151" t="n">
        <v>0</v>
      </c>
      <c r="R151" s="2" t="inlineStr"/>
    </row>
    <row r="152" ht="15" customHeight="1">
      <c r="A152" t="inlineStr">
        <is>
          <t>A 27455-2022</t>
        </is>
      </c>
      <c r="B152" s="1" t="n">
        <v>44742</v>
      </c>
      <c r="C152" s="1" t="n">
        <v>45965</v>
      </c>
      <c r="D152" t="inlineStr">
        <is>
          <t>KALMAR LÄN</t>
        </is>
      </c>
      <c r="E152" t="inlineStr">
        <is>
          <t>VIMMERBY</t>
        </is>
      </c>
      <c r="G152" t="n">
        <v>1.6</v>
      </c>
      <c r="H152" t="n">
        <v>0</v>
      </c>
      <c r="I152" t="n">
        <v>0</v>
      </c>
      <c r="J152" t="n">
        <v>0</v>
      </c>
      <c r="K152" t="n">
        <v>0</v>
      </c>
      <c r="L152" t="n">
        <v>0</v>
      </c>
      <c r="M152" t="n">
        <v>0</v>
      </c>
      <c r="N152" t="n">
        <v>0</v>
      </c>
      <c r="O152" t="n">
        <v>0</v>
      </c>
      <c r="P152" t="n">
        <v>0</v>
      </c>
      <c r="Q152" t="n">
        <v>0</v>
      </c>
      <c r="R152" s="2" t="inlineStr"/>
    </row>
    <row r="153" ht="15" customHeight="1">
      <c r="A153" t="inlineStr">
        <is>
          <t>A 47769-2022</t>
        </is>
      </c>
      <c r="B153" s="1" t="n">
        <v>44854</v>
      </c>
      <c r="C153" s="1" t="n">
        <v>45965</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65887-2021</t>
        </is>
      </c>
      <c r="B154" s="1" t="n">
        <v>44517</v>
      </c>
      <c r="C154" s="1" t="n">
        <v>45965</v>
      </c>
      <c r="D154" t="inlineStr">
        <is>
          <t>KALMAR LÄN</t>
        </is>
      </c>
      <c r="E154" t="inlineStr">
        <is>
          <t>VIMMERBY</t>
        </is>
      </c>
      <c r="G154" t="n">
        <v>1.4</v>
      </c>
      <c r="H154" t="n">
        <v>0</v>
      </c>
      <c r="I154" t="n">
        <v>0</v>
      </c>
      <c r="J154" t="n">
        <v>0</v>
      </c>
      <c r="K154" t="n">
        <v>0</v>
      </c>
      <c r="L154" t="n">
        <v>0</v>
      </c>
      <c r="M154" t="n">
        <v>0</v>
      </c>
      <c r="N154" t="n">
        <v>0</v>
      </c>
      <c r="O154" t="n">
        <v>0</v>
      </c>
      <c r="P154" t="n">
        <v>0</v>
      </c>
      <c r="Q154" t="n">
        <v>0</v>
      </c>
      <c r="R154" s="2" t="inlineStr"/>
    </row>
    <row r="155" ht="15" customHeight="1">
      <c r="A155" t="inlineStr">
        <is>
          <t>A 3330-2021</t>
        </is>
      </c>
      <c r="B155" s="1" t="n">
        <v>44217.79856481482</v>
      </c>
      <c r="C155" s="1" t="n">
        <v>45965</v>
      </c>
      <c r="D155" t="inlineStr">
        <is>
          <t>KALMAR LÄN</t>
        </is>
      </c>
      <c r="E155" t="inlineStr">
        <is>
          <t>VIMMERBY</t>
        </is>
      </c>
      <c r="G155" t="n">
        <v>11.1</v>
      </c>
      <c r="H155" t="n">
        <v>0</v>
      </c>
      <c r="I155" t="n">
        <v>0</v>
      </c>
      <c r="J155" t="n">
        <v>0</v>
      </c>
      <c r="K155" t="n">
        <v>0</v>
      </c>
      <c r="L155" t="n">
        <v>0</v>
      </c>
      <c r="M155" t="n">
        <v>0</v>
      </c>
      <c r="N155" t="n">
        <v>0</v>
      </c>
      <c r="O155" t="n">
        <v>0</v>
      </c>
      <c r="P155" t="n">
        <v>0</v>
      </c>
      <c r="Q155" t="n">
        <v>0</v>
      </c>
      <c r="R155" s="2" t="inlineStr"/>
    </row>
    <row r="156" ht="15" customHeight="1">
      <c r="A156" t="inlineStr">
        <is>
          <t>A 39959-2022</t>
        </is>
      </c>
      <c r="B156" s="1" t="n">
        <v>44819</v>
      </c>
      <c r="C156" s="1" t="n">
        <v>45965</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13180-2022</t>
        </is>
      </c>
      <c r="B157" s="1" t="n">
        <v>44644</v>
      </c>
      <c r="C157" s="1" t="n">
        <v>45965</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48377-2021</t>
        </is>
      </c>
      <c r="B158" s="1" t="n">
        <v>44451.8375</v>
      </c>
      <c r="C158" s="1" t="n">
        <v>45965</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40472-2022</t>
        </is>
      </c>
      <c r="B159" s="1" t="n">
        <v>44823</v>
      </c>
      <c r="C159" s="1" t="n">
        <v>45965</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12661-2021</t>
        </is>
      </c>
      <c r="B160" s="1" t="n">
        <v>44270</v>
      </c>
      <c r="C160" s="1" t="n">
        <v>45965</v>
      </c>
      <c r="D160" t="inlineStr">
        <is>
          <t>KALMAR LÄN</t>
        </is>
      </c>
      <c r="E160" t="inlineStr">
        <is>
          <t>VIMMERBY</t>
        </is>
      </c>
      <c r="G160" t="n">
        <v>1.8</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45965</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24999-2021</t>
        </is>
      </c>
      <c r="B162" s="1" t="n">
        <v>44341</v>
      </c>
      <c r="C162" s="1" t="n">
        <v>45965</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33831-2022</t>
        </is>
      </c>
      <c r="B163" s="1" t="n">
        <v>44790.48503472222</v>
      </c>
      <c r="C163" s="1" t="n">
        <v>45965</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7917-2022</t>
        </is>
      </c>
      <c r="B164" s="1" t="n">
        <v>44608</v>
      </c>
      <c r="C164" s="1" t="n">
        <v>45965</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47708-2022</t>
        </is>
      </c>
      <c r="B165" s="1" t="n">
        <v>44854.59157407407</v>
      </c>
      <c r="C165" s="1" t="n">
        <v>45965</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47208-2021</t>
        </is>
      </c>
      <c r="B166" s="1" t="n">
        <v>44447.34237268518</v>
      </c>
      <c r="C166" s="1" t="n">
        <v>45965</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16705-2021</t>
        </is>
      </c>
      <c r="B167" s="1" t="n">
        <v>44294</v>
      </c>
      <c r="C167" s="1" t="n">
        <v>45965</v>
      </c>
      <c r="D167" t="inlineStr">
        <is>
          <t>KALMAR LÄN</t>
        </is>
      </c>
      <c r="E167" t="inlineStr">
        <is>
          <t>VIMMERBY</t>
        </is>
      </c>
      <c r="G167" t="n">
        <v>2.6</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45965</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9918-2022</t>
        </is>
      </c>
      <c r="B169" s="1" t="n">
        <v>44620</v>
      </c>
      <c r="C169" s="1" t="n">
        <v>45965</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8453-2022</t>
        </is>
      </c>
      <c r="B170" s="1" t="n">
        <v>44612.86554398148</v>
      </c>
      <c r="C170" s="1" t="n">
        <v>45965</v>
      </c>
      <c r="D170" t="inlineStr">
        <is>
          <t>KALMAR LÄN</t>
        </is>
      </c>
      <c r="E170" t="inlineStr">
        <is>
          <t>VIMMERBY</t>
        </is>
      </c>
      <c r="G170" t="n">
        <v>1.7</v>
      </c>
      <c r="H170" t="n">
        <v>0</v>
      </c>
      <c r="I170" t="n">
        <v>0</v>
      </c>
      <c r="J170" t="n">
        <v>0</v>
      </c>
      <c r="K170" t="n">
        <v>0</v>
      </c>
      <c r="L170" t="n">
        <v>0</v>
      </c>
      <c r="M170" t="n">
        <v>0</v>
      </c>
      <c r="N170" t="n">
        <v>0</v>
      </c>
      <c r="O170" t="n">
        <v>0</v>
      </c>
      <c r="P170" t="n">
        <v>0</v>
      </c>
      <c r="Q170" t="n">
        <v>0</v>
      </c>
      <c r="R170" s="2" t="inlineStr"/>
    </row>
    <row r="171" ht="15" customHeight="1">
      <c r="A171" t="inlineStr">
        <is>
          <t>A 52433-2021</t>
        </is>
      </c>
      <c r="B171" s="1" t="n">
        <v>44466.34726851852</v>
      </c>
      <c r="C171" s="1" t="n">
        <v>45965</v>
      </c>
      <c r="D171" t="inlineStr">
        <is>
          <t>KALMAR LÄN</t>
        </is>
      </c>
      <c r="E171" t="inlineStr">
        <is>
          <t>VIMMERBY</t>
        </is>
      </c>
      <c r="G171" t="n">
        <v>3.5</v>
      </c>
      <c r="H171" t="n">
        <v>0</v>
      </c>
      <c r="I171" t="n">
        <v>0</v>
      </c>
      <c r="J171" t="n">
        <v>0</v>
      </c>
      <c r="K171" t="n">
        <v>0</v>
      </c>
      <c r="L171" t="n">
        <v>0</v>
      </c>
      <c r="M171" t="n">
        <v>0</v>
      </c>
      <c r="N171" t="n">
        <v>0</v>
      </c>
      <c r="O171" t="n">
        <v>0</v>
      </c>
      <c r="P171" t="n">
        <v>0</v>
      </c>
      <c r="Q171" t="n">
        <v>0</v>
      </c>
      <c r="R171" s="2" t="inlineStr"/>
    </row>
    <row r="172" ht="15" customHeight="1">
      <c r="A172" t="inlineStr">
        <is>
          <t>A 50621-2022</t>
        </is>
      </c>
      <c r="B172" s="1" t="n">
        <v>44866.81100694444</v>
      </c>
      <c r="C172" s="1" t="n">
        <v>45965</v>
      </c>
      <c r="D172" t="inlineStr">
        <is>
          <t>KALMAR LÄN</t>
        </is>
      </c>
      <c r="E172" t="inlineStr">
        <is>
          <t>VIMMERBY</t>
        </is>
      </c>
      <c r="F172" t="inlineStr">
        <is>
          <t>Övriga Aktiebolag</t>
        </is>
      </c>
      <c r="G172" t="n">
        <v>5.1</v>
      </c>
      <c r="H172" t="n">
        <v>0</v>
      </c>
      <c r="I172" t="n">
        <v>0</v>
      </c>
      <c r="J172" t="n">
        <v>0</v>
      </c>
      <c r="K172" t="n">
        <v>0</v>
      </c>
      <c r="L172" t="n">
        <v>0</v>
      </c>
      <c r="M172" t="n">
        <v>0</v>
      </c>
      <c r="N172" t="n">
        <v>0</v>
      </c>
      <c r="O172" t="n">
        <v>0</v>
      </c>
      <c r="P172" t="n">
        <v>0</v>
      </c>
      <c r="Q172" t="n">
        <v>0</v>
      </c>
      <c r="R172" s="2" t="inlineStr"/>
    </row>
    <row r="173" ht="15" customHeight="1">
      <c r="A173" t="inlineStr">
        <is>
          <t>A 54065-2021</t>
        </is>
      </c>
      <c r="B173" s="1" t="n">
        <v>44470.44232638889</v>
      </c>
      <c r="C173" s="1" t="n">
        <v>45965</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31824-2022</t>
        </is>
      </c>
      <c r="B174" s="1" t="n">
        <v>44776</v>
      </c>
      <c r="C174" s="1" t="n">
        <v>45965</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11733-2022</t>
        </is>
      </c>
      <c r="B175" s="1" t="n">
        <v>44634</v>
      </c>
      <c r="C175" s="1" t="n">
        <v>45965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56389-2021</t>
        </is>
      </c>
      <c r="B176" s="1" t="n">
        <v>44480</v>
      </c>
      <c r="C176" s="1" t="n">
        <v>45965</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7804-2022</t>
        </is>
      </c>
      <c r="B177" s="1" t="n">
        <v>44608.50458333334</v>
      </c>
      <c r="C177" s="1" t="n">
        <v>45965</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39042-2022</t>
        </is>
      </c>
      <c r="B178" s="1" t="n">
        <v>44817</v>
      </c>
      <c r="C178" s="1" t="n">
        <v>45965</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618-2021</t>
        </is>
      </c>
      <c r="B179" s="1" t="n">
        <v>44203</v>
      </c>
      <c r="C179" s="1" t="n">
        <v>45965</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16288-2021</t>
        </is>
      </c>
      <c r="B180" s="1" t="n">
        <v>44292</v>
      </c>
      <c r="C180" s="1" t="n">
        <v>45965</v>
      </c>
      <c r="D180" t="inlineStr">
        <is>
          <t>KALMAR LÄN</t>
        </is>
      </c>
      <c r="E180" t="inlineStr">
        <is>
          <t>VIMMERBY</t>
        </is>
      </c>
      <c r="F180" t="inlineStr">
        <is>
          <t>Övriga Aktiebolag</t>
        </is>
      </c>
      <c r="G180" t="n">
        <v>27.6</v>
      </c>
      <c r="H180" t="n">
        <v>0</v>
      </c>
      <c r="I180" t="n">
        <v>0</v>
      </c>
      <c r="J180" t="n">
        <v>0</v>
      </c>
      <c r="K180" t="n">
        <v>0</v>
      </c>
      <c r="L180" t="n">
        <v>0</v>
      </c>
      <c r="M180" t="n">
        <v>0</v>
      </c>
      <c r="N180" t="n">
        <v>0</v>
      </c>
      <c r="O180" t="n">
        <v>0</v>
      </c>
      <c r="P180" t="n">
        <v>0</v>
      </c>
      <c r="Q180" t="n">
        <v>0</v>
      </c>
      <c r="R180" s="2" t="inlineStr"/>
    </row>
    <row r="181" ht="15" customHeight="1">
      <c r="A181" t="inlineStr">
        <is>
          <t>A 12241-2021</t>
        </is>
      </c>
      <c r="B181" s="1" t="n">
        <v>44266.7240625</v>
      </c>
      <c r="C181" s="1" t="n">
        <v>45965</v>
      </c>
      <c r="D181" t="inlineStr">
        <is>
          <t>KALMAR LÄN</t>
        </is>
      </c>
      <c r="E181" t="inlineStr">
        <is>
          <t>VIMMERBY</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12662-2021</t>
        </is>
      </c>
      <c r="B182" s="1" t="n">
        <v>44270.49743055556</v>
      </c>
      <c r="C182" s="1" t="n">
        <v>45965</v>
      </c>
      <c r="D182" t="inlineStr">
        <is>
          <t>KALMAR LÄN</t>
        </is>
      </c>
      <c r="E182" t="inlineStr">
        <is>
          <t>VIMMERBY</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29441-2024</t>
        </is>
      </c>
      <c r="B183" s="1" t="n">
        <v>45483.82834490741</v>
      </c>
      <c r="C183" s="1" t="n">
        <v>45965</v>
      </c>
      <c r="D183" t="inlineStr">
        <is>
          <t>KALMAR LÄN</t>
        </is>
      </c>
      <c r="E183" t="inlineStr">
        <is>
          <t>VIMMERBY</t>
        </is>
      </c>
      <c r="G183" t="n">
        <v>1.3</v>
      </c>
      <c r="H183" t="n">
        <v>0</v>
      </c>
      <c r="I183" t="n">
        <v>0</v>
      </c>
      <c r="J183" t="n">
        <v>0</v>
      </c>
      <c r="K183" t="n">
        <v>0</v>
      </c>
      <c r="L183" t="n">
        <v>0</v>
      </c>
      <c r="M183" t="n">
        <v>0</v>
      </c>
      <c r="N183" t="n">
        <v>0</v>
      </c>
      <c r="O183" t="n">
        <v>0</v>
      </c>
      <c r="P183" t="n">
        <v>0</v>
      </c>
      <c r="Q183" t="n">
        <v>0</v>
      </c>
      <c r="R183" s="2" t="inlineStr"/>
    </row>
    <row r="184" ht="15" customHeight="1">
      <c r="A184" t="inlineStr">
        <is>
          <t>A 67952-2021</t>
        </is>
      </c>
      <c r="B184" s="1" t="n">
        <v>44525.63913194444</v>
      </c>
      <c r="C184" s="1" t="n">
        <v>45965</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25728-2023</t>
        </is>
      </c>
      <c r="B185" s="1" t="n">
        <v>45090.38012731481</v>
      </c>
      <c r="C185" s="1" t="n">
        <v>45965</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14521-2021</t>
        </is>
      </c>
      <c r="B186" s="1" t="n">
        <v>44279.64934027778</v>
      </c>
      <c r="C186" s="1" t="n">
        <v>45965</v>
      </c>
      <c r="D186" t="inlineStr">
        <is>
          <t>KALMAR LÄN</t>
        </is>
      </c>
      <c r="E186" t="inlineStr">
        <is>
          <t>VIMMERBY</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15533-2022</t>
        </is>
      </c>
      <c r="B187" s="1" t="n">
        <v>44662</v>
      </c>
      <c r="C187" s="1" t="n">
        <v>45965</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165-2022</t>
        </is>
      </c>
      <c r="B188" s="1" t="n">
        <v>44564</v>
      </c>
      <c r="C188" s="1" t="n">
        <v>45965</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33374-2021</t>
        </is>
      </c>
      <c r="B189" s="1" t="n">
        <v>44377</v>
      </c>
      <c r="C189" s="1" t="n">
        <v>45965</v>
      </c>
      <c r="D189" t="inlineStr">
        <is>
          <t>KALMAR LÄN</t>
        </is>
      </c>
      <c r="E189" t="inlineStr">
        <is>
          <t>VIMMERBY</t>
        </is>
      </c>
      <c r="G189" t="n">
        <v>3.3</v>
      </c>
      <c r="H189" t="n">
        <v>0</v>
      </c>
      <c r="I189" t="n">
        <v>0</v>
      </c>
      <c r="J189" t="n">
        <v>0</v>
      </c>
      <c r="K189" t="n">
        <v>0</v>
      </c>
      <c r="L189" t="n">
        <v>0</v>
      </c>
      <c r="M189" t="n">
        <v>0</v>
      </c>
      <c r="N189" t="n">
        <v>0</v>
      </c>
      <c r="O189" t="n">
        <v>0</v>
      </c>
      <c r="P189" t="n">
        <v>0</v>
      </c>
      <c r="Q189" t="n">
        <v>0</v>
      </c>
      <c r="R189" s="2" t="inlineStr"/>
    </row>
    <row r="190" ht="15" customHeight="1">
      <c r="A190" t="inlineStr">
        <is>
          <t>A 10759-2023</t>
        </is>
      </c>
      <c r="B190" s="1" t="n">
        <v>44988</v>
      </c>
      <c r="C190" s="1" t="n">
        <v>45965</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18899-2025</t>
        </is>
      </c>
      <c r="B191" s="1" t="n">
        <v>45764.44931712963</v>
      </c>
      <c r="C191" s="1" t="n">
        <v>45965</v>
      </c>
      <c r="D191" t="inlineStr">
        <is>
          <t>KALMAR LÄN</t>
        </is>
      </c>
      <c r="E191" t="inlineStr">
        <is>
          <t>VIMMERBY</t>
        </is>
      </c>
      <c r="F191" t="inlineStr">
        <is>
          <t>Kommuner</t>
        </is>
      </c>
      <c r="G191" t="n">
        <v>4</v>
      </c>
      <c r="H191" t="n">
        <v>0</v>
      </c>
      <c r="I191" t="n">
        <v>0</v>
      </c>
      <c r="J191" t="n">
        <v>0</v>
      </c>
      <c r="K191" t="n">
        <v>0</v>
      </c>
      <c r="L191" t="n">
        <v>0</v>
      </c>
      <c r="M191" t="n">
        <v>0</v>
      </c>
      <c r="N191" t="n">
        <v>0</v>
      </c>
      <c r="O191" t="n">
        <v>0</v>
      </c>
      <c r="P191" t="n">
        <v>0</v>
      </c>
      <c r="Q191" t="n">
        <v>0</v>
      </c>
      <c r="R191" s="2" t="inlineStr"/>
    </row>
    <row r="192" ht="15" customHeight="1">
      <c r="A192" t="inlineStr">
        <is>
          <t>A 34040-2021</t>
        </is>
      </c>
      <c r="B192" s="1" t="n">
        <v>44379</v>
      </c>
      <c r="C192" s="1" t="n">
        <v>45965</v>
      </c>
      <c r="D192" t="inlineStr">
        <is>
          <t>KALMAR LÄN</t>
        </is>
      </c>
      <c r="E192" t="inlineStr">
        <is>
          <t>VIMMERBY</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15200-2021</t>
        </is>
      </c>
      <c r="B193" s="1" t="n">
        <v>44284.44574074074</v>
      </c>
      <c r="C193" s="1" t="n">
        <v>45965</v>
      </c>
      <c r="D193" t="inlineStr">
        <is>
          <t>KALMAR LÄN</t>
        </is>
      </c>
      <c r="E193" t="inlineStr">
        <is>
          <t>VIMMERBY</t>
        </is>
      </c>
      <c r="G193" t="n">
        <v>1.2</v>
      </c>
      <c r="H193" t="n">
        <v>0</v>
      </c>
      <c r="I193" t="n">
        <v>0</v>
      </c>
      <c r="J193" t="n">
        <v>0</v>
      </c>
      <c r="K193" t="n">
        <v>0</v>
      </c>
      <c r="L193" t="n">
        <v>0</v>
      </c>
      <c r="M193" t="n">
        <v>0</v>
      </c>
      <c r="N193" t="n">
        <v>0</v>
      </c>
      <c r="O193" t="n">
        <v>0</v>
      </c>
      <c r="P193" t="n">
        <v>0</v>
      </c>
      <c r="Q193" t="n">
        <v>0</v>
      </c>
      <c r="R193" s="2" t="inlineStr"/>
    </row>
    <row r="194" ht="15" customHeight="1">
      <c r="A194" t="inlineStr">
        <is>
          <t>A 61538-2022</t>
        </is>
      </c>
      <c r="B194" s="1" t="n">
        <v>44916.55414351852</v>
      </c>
      <c r="C194" s="1" t="n">
        <v>45965</v>
      </c>
      <c r="D194" t="inlineStr">
        <is>
          <t>KALMAR LÄN</t>
        </is>
      </c>
      <c r="E194" t="inlineStr">
        <is>
          <t>VIMMERBY</t>
        </is>
      </c>
      <c r="G194" t="n">
        <v>1.5</v>
      </c>
      <c r="H194" t="n">
        <v>0</v>
      </c>
      <c r="I194" t="n">
        <v>0</v>
      </c>
      <c r="J194" t="n">
        <v>0</v>
      </c>
      <c r="K194" t="n">
        <v>0</v>
      </c>
      <c r="L194" t="n">
        <v>0</v>
      </c>
      <c r="M194" t="n">
        <v>0</v>
      </c>
      <c r="N194" t="n">
        <v>0</v>
      </c>
      <c r="O194" t="n">
        <v>0</v>
      </c>
      <c r="P194" t="n">
        <v>0</v>
      </c>
      <c r="Q194" t="n">
        <v>0</v>
      </c>
      <c r="R194" s="2" t="inlineStr"/>
    </row>
    <row r="195" ht="15" customHeight="1">
      <c r="A195" t="inlineStr">
        <is>
          <t>A 12586-2021</t>
        </is>
      </c>
      <c r="B195" s="1" t="n">
        <v>44270.38002314815</v>
      </c>
      <c r="C195" s="1" t="n">
        <v>45965</v>
      </c>
      <c r="D195" t="inlineStr">
        <is>
          <t>KALMAR LÄN</t>
        </is>
      </c>
      <c r="E195" t="inlineStr">
        <is>
          <t>VIMMERBY</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694-2024</t>
        </is>
      </c>
      <c r="B196" s="1" t="n">
        <v>45300.3794212963</v>
      </c>
      <c r="C196" s="1" t="n">
        <v>45965</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57114-2023</t>
        </is>
      </c>
      <c r="B197" s="1" t="n">
        <v>45245.36174768519</v>
      </c>
      <c r="C197" s="1" t="n">
        <v>45965</v>
      </c>
      <c r="D197" t="inlineStr">
        <is>
          <t>KALMAR LÄN</t>
        </is>
      </c>
      <c r="E197" t="inlineStr">
        <is>
          <t>VIMMERBY</t>
        </is>
      </c>
      <c r="G197" t="n">
        <v>1.5</v>
      </c>
      <c r="H197" t="n">
        <v>0</v>
      </c>
      <c r="I197" t="n">
        <v>0</v>
      </c>
      <c r="J197" t="n">
        <v>0</v>
      </c>
      <c r="K197" t="n">
        <v>0</v>
      </c>
      <c r="L197" t="n">
        <v>0</v>
      </c>
      <c r="M197" t="n">
        <v>0</v>
      </c>
      <c r="N197" t="n">
        <v>0</v>
      </c>
      <c r="O197" t="n">
        <v>0</v>
      </c>
      <c r="P197" t="n">
        <v>0</v>
      </c>
      <c r="Q197" t="n">
        <v>0</v>
      </c>
      <c r="R197" s="2" t="inlineStr"/>
    </row>
    <row r="198" ht="15" customHeight="1">
      <c r="A198" t="inlineStr">
        <is>
          <t>A 32614-2023</t>
        </is>
      </c>
      <c r="B198" s="1" t="n">
        <v>45121</v>
      </c>
      <c r="C198" s="1" t="n">
        <v>45965</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61939-2021</t>
        </is>
      </c>
      <c r="B199" s="1" t="n">
        <v>44502</v>
      </c>
      <c r="C199" s="1" t="n">
        <v>45965</v>
      </c>
      <c r="D199" t="inlineStr">
        <is>
          <t>KALMAR LÄN</t>
        </is>
      </c>
      <c r="E199" t="inlineStr">
        <is>
          <t>VIMMERBY</t>
        </is>
      </c>
      <c r="G199" t="n">
        <v>2.7</v>
      </c>
      <c r="H199" t="n">
        <v>0</v>
      </c>
      <c r="I199" t="n">
        <v>0</v>
      </c>
      <c r="J199" t="n">
        <v>0</v>
      </c>
      <c r="K199" t="n">
        <v>0</v>
      </c>
      <c r="L199" t="n">
        <v>0</v>
      </c>
      <c r="M199" t="n">
        <v>0</v>
      </c>
      <c r="N199" t="n">
        <v>0</v>
      </c>
      <c r="O199" t="n">
        <v>0</v>
      </c>
      <c r="P199" t="n">
        <v>0</v>
      </c>
      <c r="Q199" t="n">
        <v>0</v>
      </c>
      <c r="R199" s="2" t="inlineStr"/>
    </row>
    <row r="200" ht="15" customHeight="1">
      <c r="A200" t="inlineStr">
        <is>
          <t>A 12327-2023</t>
        </is>
      </c>
      <c r="B200" s="1" t="n">
        <v>44999.36081018519</v>
      </c>
      <c r="C200" s="1" t="n">
        <v>45965</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30633-2024</t>
        </is>
      </c>
      <c r="B201" s="1" t="n">
        <v>45495</v>
      </c>
      <c r="C201" s="1" t="n">
        <v>45965</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52435-2021</t>
        </is>
      </c>
      <c r="B202" s="1" t="n">
        <v>44466.34962962963</v>
      </c>
      <c r="C202" s="1" t="n">
        <v>45965</v>
      </c>
      <c r="D202" t="inlineStr">
        <is>
          <t>KALMAR LÄN</t>
        </is>
      </c>
      <c r="E202" t="inlineStr">
        <is>
          <t>VIMMERBY</t>
        </is>
      </c>
      <c r="G202" t="n">
        <v>2.8</v>
      </c>
      <c r="H202" t="n">
        <v>0</v>
      </c>
      <c r="I202" t="n">
        <v>0</v>
      </c>
      <c r="J202" t="n">
        <v>0</v>
      </c>
      <c r="K202" t="n">
        <v>0</v>
      </c>
      <c r="L202" t="n">
        <v>0</v>
      </c>
      <c r="M202" t="n">
        <v>0</v>
      </c>
      <c r="N202" t="n">
        <v>0</v>
      </c>
      <c r="O202" t="n">
        <v>0</v>
      </c>
      <c r="P202" t="n">
        <v>0</v>
      </c>
      <c r="Q202" t="n">
        <v>0</v>
      </c>
      <c r="R202" s="2" t="inlineStr"/>
    </row>
    <row r="203" ht="15" customHeight="1">
      <c r="A203" t="inlineStr">
        <is>
          <t>A 33424-2023</t>
        </is>
      </c>
      <c r="B203" s="1" t="n">
        <v>45128.9325</v>
      </c>
      <c r="C203" s="1" t="n">
        <v>45965</v>
      </c>
      <c r="D203" t="inlineStr">
        <is>
          <t>KALMAR LÄN</t>
        </is>
      </c>
      <c r="E203" t="inlineStr">
        <is>
          <t>VIMMERBY</t>
        </is>
      </c>
      <c r="G203" t="n">
        <v>2.4</v>
      </c>
      <c r="H203" t="n">
        <v>0</v>
      </c>
      <c r="I203" t="n">
        <v>0</v>
      </c>
      <c r="J203" t="n">
        <v>0</v>
      </c>
      <c r="K203" t="n">
        <v>0</v>
      </c>
      <c r="L203" t="n">
        <v>0</v>
      </c>
      <c r="M203" t="n">
        <v>0</v>
      </c>
      <c r="N203" t="n">
        <v>0</v>
      </c>
      <c r="O203" t="n">
        <v>0</v>
      </c>
      <c r="P203" t="n">
        <v>0</v>
      </c>
      <c r="Q203" t="n">
        <v>0</v>
      </c>
      <c r="R203" s="2" t="inlineStr"/>
    </row>
    <row r="204" ht="15" customHeight="1">
      <c r="A204" t="inlineStr">
        <is>
          <t>A 33425-2023</t>
        </is>
      </c>
      <c r="B204" s="1" t="n">
        <v>45128.93540509259</v>
      </c>
      <c r="C204" s="1" t="n">
        <v>45965</v>
      </c>
      <c r="D204" t="inlineStr">
        <is>
          <t>KALMAR LÄN</t>
        </is>
      </c>
      <c r="E204" t="inlineStr">
        <is>
          <t>VIMMERBY</t>
        </is>
      </c>
      <c r="G204" t="n">
        <v>1.4</v>
      </c>
      <c r="H204" t="n">
        <v>0</v>
      </c>
      <c r="I204" t="n">
        <v>0</v>
      </c>
      <c r="J204" t="n">
        <v>0</v>
      </c>
      <c r="K204" t="n">
        <v>0</v>
      </c>
      <c r="L204" t="n">
        <v>0</v>
      </c>
      <c r="M204" t="n">
        <v>0</v>
      </c>
      <c r="N204" t="n">
        <v>0</v>
      </c>
      <c r="O204" t="n">
        <v>0</v>
      </c>
      <c r="P204" t="n">
        <v>0</v>
      </c>
      <c r="Q204" t="n">
        <v>0</v>
      </c>
      <c r="R204" s="2" t="inlineStr"/>
    </row>
    <row r="205" ht="15" customHeight="1">
      <c r="A205" t="inlineStr">
        <is>
          <t>A 29093-2023</t>
        </is>
      </c>
      <c r="B205" s="1" t="n">
        <v>45105</v>
      </c>
      <c r="C205" s="1" t="n">
        <v>45965</v>
      </c>
      <c r="D205" t="inlineStr">
        <is>
          <t>KALMAR LÄN</t>
        </is>
      </c>
      <c r="E205" t="inlineStr">
        <is>
          <t>VIMMERBY</t>
        </is>
      </c>
      <c r="G205" t="n">
        <v>2.9</v>
      </c>
      <c r="H205" t="n">
        <v>0</v>
      </c>
      <c r="I205" t="n">
        <v>0</v>
      </c>
      <c r="J205" t="n">
        <v>0</v>
      </c>
      <c r="K205" t="n">
        <v>0</v>
      </c>
      <c r="L205" t="n">
        <v>0</v>
      </c>
      <c r="M205" t="n">
        <v>0</v>
      </c>
      <c r="N205" t="n">
        <v>0</v>
      </c>
      <c r="O205" t="n">
        <v>0</v>
      </c>
      <c r="P205" t="n">
        <v>0</v>
      </c>
      <c r="Q205" t="n">
        <v>0</v>
      </c>
      <c r="R205" s="2" t="inlineStr"/>
    </row>
    <row r="206" ht="15" customHeight="1">
      <c r="A206" t="inlineStr">
        <is>
          <t>A 14220-2021</t>
        </is>
      </c>
      <c r="B206" s="1" t="n">
        <v>44278.54855324074</v>
      </c>
      <c r="C206" s="1" t="n">
        <v>45965</v>
      </c>
      <c r="D206" t="inlineStr">
        <is>
          <t>KALMAR LÄN</t>
        </is>
      </c>
      <c r="E206" t="inlineStr">
        <is>
          <t>VIMMERBY</t>
        </is>
      </c>
      <c r="G206" t="n">
        <v>0.3</v>
      </c>
      <c r="H206" t="n">
        <v>0</v>
      </c>
      <c r="I206" t="n">
        <v>0</v>
      </c>
      <c r="J206" t="n">
        <v>0</v>
      </c>
      <c r="K206" t="n">
        <v>0</v>
      </c>
      <c r="L206" t="n">
        <v>0</v>
      </c>
      <c r="M206" t="n">
        <v>0</v>
      </c>
      <c r="N206" t="n">
        <v>0</v>
      </c>
      <c r="O206" t="n">
        <v>0</v>
      </c>
      <c r="P206" t="n">
        <v>0</v>
      </c>
      <c r="Q206" t="n">
        <v>0</v>
      </c>
      <c r="R206" s="2" t="inlineStr"/>
    </row>
    <row r="207" ht="15" customHeight="1">
      <c r="A207" t="inlineStr">
        <is>
          <t>A 3609-2024</t>
        </is>
      </c>
      <c r="B207" s="1" t="n">
        <v>45320.89128472222</v>
      </c>
      <c r="C207" s="1" t="n">
        <v>45965</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6218-2025</t>
        </is>
      </c>
      <c r="B208" s="1" t="n">
        <v>45698.53336805556</v>
      </c>
      <c r="C208" s="1" t="n">
        <v>45965</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33359-2021</t>
        </is>
      </c>
      <c r="B209" s="1" t="n">
        <v>44377.49684027778</v>
      </c>
      <c r="C209" s="1" t="n">
        <v>45965</v>
      </c>
      <c r="D209" t="inlineStr">
        <is>
          <t>KALMAR LÄN</t>
        </is>
      </c>
      <c r="E209" t="inlineStr">
        <is>
          <t>VIMMERBY</t>
        </is>
      </c>
      <c r="F209" t="inlineStr">
        <is>
          <t>Kommuner</t>
        </is>
      </c>
      <c r="G209" t="n">
        <v>8</v>
      </c>
      <c r="H209" t="n">
        <v>0</v>
      </c>
      <c r="I209" t="n">
        <v>0</v>
      </c>
      <c r="J209" t="n">
        <v>0</v>
      </c>
      <c r="K209" t="n">
        <v>0</v>
      </c>
      <c r="L209" t="n">
        <v>0</v>
      </c>
      <c r="M209" t="n">
        <v>0</v>
      </c>
      <c r="N209" t="n">
        <v>0</v>
      </c>
      <c r="O209" t="n">
        <v>0</v>
      </c>
      <c r="P209" t="n">
        <v>0</v>
      </c>
      <c r="Q209" t="n">
        <v>0</v>
      </c>
      <c r="R209" s="2" t="inlineStr"/>
    </row>
    <row r="210" ht="15" customHeight="1">
      <c r="A210" t="inlineStr">
        <is>
          <t>A 40076-2021</t>
        </is>
      </c>
      <c r="B210" s="1" t="n">
        <v>44418</v>
      </c>
      <c r="C210" s="1" t="n">
        <v>45965</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43038-2022</t>
        </is>
      </c>
      <c r="B211" s="1" t="n">
        <v>44833.60123842592</v>
      </c>
      <c r="C211" s="1" t="n">
        <v>45965</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50087-2023</t>
        </is>
      </c>
      <c r="B212" s="1" t="n">
        <v>45215.59743055556</v>
      </c>
      <c r="C212" s="1" t="n">
        <v>45965</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33681-2022</t>
        </is>
      </c>
      <c r="B213" s="1" t="n">
        <v>44789</v>
      </c>
      <c r="C213" s="1" t="n">
        <v>45965</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8650-2022</t>
        </is>
      </c>
      <c r="B214" s="1" t="n">
        <v>44613</v>
      </c>
      <c r="C214" s="1" t="n">
        <v>45965</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16825-2024</t>
        </is>
      </c>
      <c r="B215" s="1" t="n">
        <v>45411.47335648148</v>
      </c>
      <c r="C215" s="1" t="n">
        <v>45965</v>
      </c>
      <c r="D215" t="inlineStr">
        <is>
          <t>KALMAR LÄN</t>
        </is>
      </c>
      <c r="E215" t="inlineStr">
        <is>
          <t>VIMMERBY</t>
        </is>
      </c>
      <c r="G215" t="n">
        <v>1</v>
      </c>
      <c r="H215" t="n">
        <v>0</v>
      </c>
      <c r="I215" t="n">
        <v>0</v>
      </c>
      <c r="J215" t="n">
        <v>0</v>
      </c>
      <c r="K215" t="n">
        <v>0</v>
      </c>
      <c r="L215" t="n">
        <v>0</v>
      </c>
      <c r="M215" t="n">
        <v>0</v>
      </c>
      <c r="N215" t="n">
        <v>0</v>
      </c>
      <c r="O215" t="n">
        <v>0</v>
      </c>
      <c r="P215" t="n">
        <v>0</v>
      </c>
      <c r="Q215" t="n">
        <v>0</v>
      </c>
      <c r="R215" s="2" t="inlineStr"/>
    </row>
    <row r="216" ht="15" customHeight="1">
      <c r="A216" t="inlineStr">
        <is>
          <t>A 12033-2024</t>
        </is>
      </c>
      <c r="B216" s="1" t="n">
        <v>45377.40043981482</v>
      </c>
      <c r="C216" s="1" t="n">
        <v>45965</v>
      </c>
      <c r="D216" t="inlineStr">
        <is>
          <t>KALMAR LÄN</t>
        </is>
      </c>
      <c r="E216" t="inlineStr">
        <is>
          <t>VIMMERBY</t>
        </is>
      </c>
      <c r="G216" t="n">
        <v>1.6</v>
      </c>
      <c r="H216" t="n">
        <v>0</v>
      </c>
      <c r="I216" t="n">
        <v>0</v>
      </c>
      <c r="J216" t="n">
        <v>0</v>
      </c>
      <c r="K216" t="n">
        <v>0</v>
      </c>
      <c r="L216" t="n">
        <v>0</v>
      </c>
      <c r="M216" t="n">
        <v>0</v>
      </c>
      <c r="N216" t="n">
        <v>0</v>
      </c>
      <c r="O216" t="n">
        <v>0</v>
      </c>
      <c r="P216" t="n">
        <v>0</v>
      </c>
      <c r="Q216" t="n">
        <v>0</v>
      </c>
      <c r="R216" s="2" t="inlineStr"/>
    </row>
    <row r="217" ht="15" customHeight="1">
      <c r="A217" t="inlineStr">
        <is>
          <t>A 6214-2025</t>
        </is>
      </c>
      <c r="B217" s="1" t="n">
        <v>45698.51711805556</v>
      </c>
      <c r="C217" s="1" t="n">
        <v>45965</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49408-2023</t>
        </is>
      </c>
      <c r="B218" s="1" t="n">
        <v>45211.43555555555</v>
      </c>
      <c r="C218" s="1" t="n">
        <v>45965</v>
      </c>
      <c r="D218" t="inlineStr">
        <is>
          <t>KALMAR LÄN</t>
        </is>
      </c>
      <c r="E218" t="inlineStr">
        <is>
          <t>VIMMERBY</t>
        </is>
      </c>
      <c r="G218" t="n">
        <v>13.1</v>
      </c>
      <c r="H218" t="n">
        <v>0</v>
      </c>
      <c r="I218" t="n">
        <v>0</v>
      </c>
      <c r="J218" t="n">
        <v>0</v>
      </c>
      <c r="K218" t="n">
        <v>0</v>
      </c>
      <c r="L218" t="n">
        <v>0</v>
      </c>
      <c r="M218" t="n">
        <v>0</v>
      </c>
      <c r="N218" t="n">
        <v>0</v>
      </c>
      <c r="O218" t="n">
        <v>0</v>
      </c>
      <c r="P218" t="n">
        <v>0</v>
      </c>
      <c r="Q218" t="n">
        <v>0</v>
      </c>
      <c r="R218" s="2" t="inlineStr"/>
    </row>
    <row r="219" ht="15" customHeight="1">
      <c r="A219" t="inlineStr">
        <is>
          <t>A 11147-2023</t>
        </is>
      </c>
      <c r="B219" s="1" t="n">
        <v>44992</v>
      </c>
      <c r="C219" s="1" t="n">
        <v>45965</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12588-2025</t>
        </is>
      </c>
      <c r="B220" s="1" t="n">
        <v>45732.76936342593</v>
      </c>
      <c r="C220" s="1" t="n">
        <v>45965</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25979-2023</t>
        </is>
      </c>
      <c r="B221" s="1" t="n">
        <v>45090.89653935185</v>
      </c>
      <c r="C221" s="1" t="n">
        <v>45965</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25980-2023</t>
        </is>
      </c>
      <c r="B222" s="1" t="n">
        <v>45090.89880787037</v>
      </c>
      <c r="C222" s="1" t="n">
        <v>45965</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27443-2023</t>
        </is>
      </c>
      <c r="B223" s="1" t="n">
        <v>45097.40524305555</v>
      </c>
      <c r="C223" s="1" t="n">
        <v>45965</v>
      </c>
      <c r="D223" t="inlineStr">
        <is>
          <t>KALMAR LÄN</t>
        </is>
      </c>
      <c r="E223" t="inlineStr">
        <is>
          <t>VIMMERBY</t>
        </is>
      </c>
      <c r="F223" t="inlineStr">
        <is>
          <t>Övriga Aktiebolag</t>
        </is>
      </c>
      <c r="G223" t="n">
        <v>2.3</v>
      </c>
      <c r="H223" t="n">
        <v>0</v>
      </c>
      <c r="I223" t="n">
        <v>0</v>
      </c>
      <c r="J223" t="n">
        <v>0</v>
      </c>
      <c r="K223" t="n">
        <v>0</v>
      </c>
      <c r="L223" t="n">
        <v>0</v>
      </c>
      <c r="M223" t="n">
        <v>0</v>
      </c>
      <c r="N223" t="n">
        <v>0</v>
      </c>
      <c r="O223" t="n">
        <v>0</v>
      </c>
      <c r="P223" t="n">
        <v>0</v>
      </c>
      <c r="Q223" t="n">
        <v>0</v>
      </c>
      <c r="R223" s="2" t="inlineStr"/>
    </row>
    <row r="224" ht="15" customHeight="1">
      <c r="A224" t="inlineStr">
        <is>
          <t>A 28395-2023</t>
        </is>
      </c>
      <c r="B224" s="1" t="n">
        <v>45100.4062962963</v>
      </c>
      <c r="C224" s="1" t="n">
        <v>45965</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46921-2023</t>
        </is>
      </c>
      <c r="B225" s="1" t="n">
        <v>45201.39996527778</v>
      </c>
      <c r="C225" s="1" t="n">
        <v>45965</v>
      </c>
      <c r="D225" t="inlineStr">
        <is>
          <t>KALMAR LÄN</t>
        </is>
      </c>
      <c r="E225" t="inlineStr">
        <is>
          <t>VIMMERBY</t>
        </is>
      </c>
      <c r="G225" t="n">
        <v>2.6</v>
      </c>
      <c r="H225" t="n">
        <v>0</v>
      </c>
      <c r="I225" t="n">
        <v>0</v>
      </c>
      <c r="J225" t="n">
        <v>0</v>
      </c>
      <c r="K225" t="n">
        <v>0</v>
      </c>
      <c r="L225" t="n">
        <v>0</v>
      </c>
      <c r="M225" t="n">
        <v>0</v>
      </c>
      <c r="N225" t="n">
        <v>0</v>
      </c>
      <c r="O225" t="n">
        <v>0</v>
      </c>
      <c r="P225" t="n">
        <v>0</v>
      </c>
      <c r="Q225" t="n">
        <v>0</v>
      </c>
      <c r="R225" s="2" t="inlineStr"/>
    </row>
    <row r="226" ht="15" customHeight="1">
      <c r="A226" t="inlineStr">
        <is>
          <t>A 10837-2023</t>
        </is>
      </c>
      <c r="B226" s="1" t="n">
        <v>44991.30547453704</v>
      </c>
      <c r="C226" s="1" t="n">
        <v>45965</v>
      </c>
      <c r="D226" t="inlineStr">
        <is>
          <t>KALMAR LÄN</t>
        </is>
      </c>
      <c r="E226" t="inlineStr">
        <is>
          <t>VIMMERBY</t>
        </is>
      </c>
      <c r="G226" t="n">
        <v>7.3</v>
      </c>
      <c r="H226" t="n">
        <v>0</v>
      </c>
      <c r="I226" t="n">
        <v>0</v>
      </c>
      <c r="J226" t="n">
        <v>0</v>
      </c>
      <c r="K226" t="n">
        <v>0</v>
      </c>
      <c r="L226" t="n">
        <v>0</v>
      </c>
      <c r="M226" t="n">
        <v>0</v>
      </c>
      <c r="N226" t="n">
        <v>0</v>
      </c>
      <c r="O226" t="n">
        <v>0</v>
      </c>
      <c r="P226" t="n">
        <v>0</v>
      </c>
      <c r="Q226" t="n">
        <v>0</v>
      </c>
      <c r="R226" s="2" t="inlineStr"/>
    </row>
    <row r="227" ht="15" customHeight="1">
      <c r="A227" t="inlineStr">
        <is>
          <t>A 10838-2023</t>
        </is>
      </c>
      <c r="B227" s="1" t="n">
        <v>44991</v>
      </c>
      <c r="C227" s="1" t="n">
        <v>45965</v>
      </c>
      <c r="D227" t="inlineStr">
        <is>
          <t>KALMAR LÄN</t>
        </is>
      </c>
      <c r="E227" t="inlineStr">
        <is>
          <t>VIMMERBY</t>
        </is>
      </c>
      <c r="G227" t="n">
        <v>5.1</v>
      </c>
      <c r="H227" t="n">
        <v>0</v>
      </c>
      <c r="I227" t="n">
        <v>0</v>
      </c>
      <c r="J227" t="n">
        <v>0</v>
      </c>
      <c r="K227" t="n">
        <v>0</v>
      </c>
      <c r="L227" t="n">
        <v>0</v>
      </c>
      <c r="M227" t="n">
        <v>0</v>
      </c>
      <c r="N227" t="n">
        <v>0</v>
      </c>
      <c r="O227" t="n">
        <v>0</v>
      </c>
      <c r="P227" t="n">
        <v>0</v>
      </c>
      <c r="Q227" t="n">
        <v>0</v>
      </c>
      <c r="R227" s="2" t="inlineStr"/>
    </row>
    <row r="228" ht="15" customHeight="1">
      <c r="A228" t="inlineStr">
        <is>
          <t>A 18501-2024</t>
        </is>
      </c>
      <c r="B228" s="1" t="n">
        <v>45425.57538194444</v>
      </c>
      <c r="C228" s="1" t="n">
        <v>45965</v>
      </c>
      <c r="D228" t="inlineStr">
        <is>
          <t>KALMAR LÄN</t>
        </is>
      </c>
      <c r="E228" t="inlineStr">
        <is>
          <t>VIMMERBY</t>
        </is>
      </c>
      <c r="G228" t="n">
        <v>2</v>
      </c>
      <c r="H228" t="n">
        <v>0</v>
      </c>
      <c r="I228" t="n">
        <v>0</v>
      </c>
      <c r="J228" t="n">
        <v>0</v>
      </c>
      <c r="K228" t="n">
        <v>0</v>
      </c>
      <c r="L228" t="n">
        <v>0</v>
      </c>
      <c r="M228" t="n">
        <v>0</v>
      </c>
      <c r="N228" t="n">
        <v>0</v>
      </c>
      <c r="O228" t="n">
        <v>0</v>
      </c>
      <c r="P228" t="n">
        <v>0</v>
      </c>
      <c r="Q228" t="n">
        <v>0</v>
      </c>
      <c r="R228" s="2" t="inlineStr"/>
    </row>
    <row r="229" ht="15" customHeight="1">
      <c r="A229" t="inlineStr">
        <is>
          <t>A 16676-2023</t>
        </is>
      </c>
      <c r="B229" s="1" t="n">
        <v>45028</v>
      </c>
      <c r="C229" s="1" t="n">
        <v>45965</v>
      </c>
      <c r="D229" t="inlineStr">
        <is>
          <t>KALMAR LÄN</t>
        </is>
      </c>
      <c r="E229" t="inlineStr">
        <is>
          <t>VIMMERBY</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30912-2023</t>
        </is>
      </c>
      <c r="B230" s="1" t="n">
        <v>45113.41633101852</v>
      </c>
      <c r="C230" s="1" t="n">
        <v>45965</v>
      </c>
      <c r="D230" t="inlineStr">
        <is>
          <t>KALMAR LÄN</t>
        </is>
      </c>
      <c r="E230" t="inlineStr">
        <is>
          <t>VIMMERBY</t>
        </is>
      </c>
      <c r="G230" t="n">
        <v>5</v>
      </c>
      <c r="H230" t="n">
        <v>0</v>
      </c>
      <c r="I230" t="n">
        <v>0</v>
      </c>
      <c r="J230" t="n">
        <v>0</v>
      </c>
      <c r="K230" t="n">
        <v>0</v>
      </c>
      <c r="L230" t="n">
        <v>0</v>
      </c>
      <c r="M230" t="n">
        <v>0</v>
      </c>
      <c r="N230" t="n">
        <v>0</v>
      </c>
      <c r="O230" t="n">
        <v>0</v>
      </c>
      <c r="P230" t="n">
        <v>0</v>
      </c>
      <c r="Q230" t="n">
        <v>0</v>
      </c>
      <c r="R230" s="2" t="inlineStr"/>
    </row>
    <row r="231" ht="15" customHeight="1">
      <c r="A231" t="inlineStr">
        <is>
          <t>A 55436-2023</t>
        </is>
      </c>
      <c r="B231" s="1" t="n">
        <v>45238.4328587963</v>
      </c>
      <c r="C231" s="1" t="n">
        <v>45965</v>
      </c>
      <c r="D231" t="inlineStr">
        <is>
          <t>KALMAR LÄN</t>
        </is>
      </c>
      <c r="E231" t="inlineStr">
        <is>
          <t>VIMMERBY</t>
        </is>
      </c>
      <c r="G231" t="n">
        <v>5.6</v>
      </c>
      <c r="H231" t="n">
        <v>0</v>
      </c>
      <c r="I231" t="n">
        <v>0</v>
      </c>
      <c r="J231" t="n">
        <v>0</v>
      </c>
      <c r="K231" t="n">
        <v>0</v>
      </c>
      <c r="L231" t="n">
        <v>0</v>
      </c>
      <c r="M231" t="n">
        <v>0</v>
      </c>
      <c r="N231" t="n">
        <v>0</v>
      </c>
      <c r="O231" t="n">
        <v>0</v>
      </c>
      <c r="P231" t="n">
        <v>0</v>
      </c>
      <c r="Q231" t="n">
        <v>0</v>
      </c>
      <c r="R231" s="2" t="inlineStr"/>
    </row>
    <row r="232" ht="15" customHeight="1">
      <c r="A232" t="inlineStr">
        <is>
          <t>A 23263-2024</t>
        </is>
      </c>
      <c r="B232" s="1" t="n">
        <v>45453.36854166666</v>
      </c>
      <c r="C232" s="1" t="n">
        <v>45965</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25799-2023</t>
        </is>
      </c>
      <c r="B233" s="1" t="n">
        <v>45090</v>
      </c>
      <c r="C233" s="1" t="n">
        <v>45965</v>
      </c>
      <c r="D233" t="inlineStr">
        <is>
          <t>KALMAR LÄN</t>
        </is>
      </c>
      <c r="E233" t="inlineStr">
        <is>
          <t>VIMMERBY</t>
        </is>
      </c>
      <c r="G233" t="n">
        <v>7.7</v>
      </c>
      <c r="H233" t="n">
        <v>0</v>
      </c>
      <c r="I233" t="n">
        <v>0</v>
      </c>
      <c r="J233" t="n">
        <v>0</v>
      </c>
      <c r="K233" t="n">
        <v>0</v>
      </c>
      <c r="L233" t="n">
        <v>0</v>
      </c>
      <c r="M233" t="n">
        <v>0</v>
      </c>
      <c r="N233" t="n">
        <v>0</v>
      </c>
      <c r="O233" t="n">
        <v>0</v>
      </c>
      <c r="P233" t="n">
        <v>0</v>
      </c>
      <c r="Q233" t="n">
        <v>0</v>
      </c>
      <c r="R233" s="2" t="inlineStr"/>
    </row>
    <row r="234" ht="15" customHeight="1">
      <c r="A234" t="inlineStr">
        <is>
          <t>A 21507-2023</t>
        </is>
      </c>
      <c r="B234" s="1" t="n">
        <v>45063.508125</v>
      </c>
      <c r="C234" s="1" t="n">
        <v>45965</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51187-2023</t>
        </is>
      </c>
      <c r="B235" s="1" t="n">
        <v>45219.40528935185</v>
      </c>
      <c r="C235" s="1" t="n">
        <v>45965</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42850-2022</t>
        </is>
      </c>
      <c r="B236" s="1" t="n">
        <v>44832.67608796297</v>
      </c>
      <c r="C236" s="1" t="n">
        <v>45965</v>
      </c>
      <c r="D236" t="inlineStr">
        <is>
          <t>KALMAR LÄN</t>
        </is>
      </c>
      <c r="E236" t="inlineStr">
        <is>
          <t>VIMMERBY</t>
        </is>
      </c>
      <c r="G236" t="n">
        <v>5.9</v>
      </c>
      <c r="H236" t="n">
        <v>0</v>
      </c>
      <c r="I236" t="n">
        <v>0</v>
      </c>
      <c r="J236" t="n">
        <v>0</v>
      </c>
      <c r="K236" t="n">
        <v>0</v>
      </c>
      <c r="L236" t="n">
        <v>0</v>
      </c>
      <c r="M236" t="n">
        <v>0</v>
      </c>
      <c r="N236" t="n">
        <v>0</v>
      </c>
      <c r="O236" t="n">
        <v>0</v>
      </c>
      <c r="P236" t="n">
        <v>0</v>
      </c>
      <c r="Q236" t="n">
        <v>0</v>
      </c>
      <c r="R236" s="2" t="inlineStr"/>
    </row>
    <row r="237" ht="15" customHeight="1">
      <c r="A237" t="inlineStr">
        <is>
          <t>A 16015-2025</t>
        </is>
      </c>
      <c r="B237" s="1" t="n">
        <v>45749.60487268519</v>
      </c>
      <c r="C237" s="1" t="n">
        <v>45965</v>
      </c>
      <c r="D237" t="inlineStr">
        <is>
          <t>KALMAR LÄN</t>
        </is>
      </c>
      <c r="E237" t="inlineStr">
        <is>
          <t>VIMMERBY</t>
        </is>
      </c>
      <c r="F237" t="inlineStr">
        <is>
          <t>Kyrkan</t>
        </is>
      </c>
      <c r="G237" t="n">
        <v>2.7</v>
      </c>
      <c r="H237" t="n">
        <v>0</v>
      </c>
      <c r="I237" t="n">
        <v>0</v>
      </c>
      <c r="J237" t="n">
        <v>0</v>
      </c>
      <c r="K237" t="n">
        <v>0</v>
      </c>
      <c r="L237" t="n">
        <v>0</v>
      </c>
      <c r="M237" t="n">
        <v>0</v>
      </c>
      <c r="N237" t="n">
        <v>0</v>
      </c>
      <c r="O237" t="n">
        <v>0</v>
      </c>
      <c r="P237" t="n">
        <v>0</v>
      </c>
      <c r="Q237" t="n">
        <v>0</v>
      </c>
      <c r="R237" s="2" t="inlineStr"/>
    </row>
    <row r="238" ht="15" customHeight="1">
      <c r="A238" t="inlineStr">
        <is>
          <t>A 57256-2023</t>
        </is>
      </c>
      <c r="B238" s="1" t="n">
        <v>45245.5735300926</v>
      </c>
      <c r="C238" s="1" t="n">
        <v>45965</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49488-2023</t>
        </is>
      </c>
      <c r="B239" s="1" t="n">
        <v>45211.55472222222</v>
      </c>
      <c r="C239" s="1" t="n">
        <v>45965</v>
      </c>
      <c r="D239" t="inlineStr">
        <is>
          <t>KALMAR LÄN</t>
        </is>
      </c>
      <c r="E239" t="inlineStr">
        <is>
          <t>VIMMERBY</t>
        </is>
      </c>
      <c r="F239" t="inlineStr">
        <is>
          <t>Sveaskog</t>
        </is>
      </c>
      <c r="G239" t="n">
        <v>6.2</v>
      </c>
      <c r="H239" t="n">
        <v>0</v>
      </c>
      <c r="I239" t="n">
        <v>0</v>
      </c>
      <c r="J239" t="n">
        <v>0</v>
      </c>
      <c r="K239" t="n">
        <v>0</v>
      </c>
      <c r="L239" t="n">
        <v>0</v>
      </c>
      <c r="M239" t="n">
        <v>0</v>
      </c>
      <c r="N239" t="n">
        <v>0</v>
      </c>
      <c r="O239" t="n">
        <v>0</v>
      </c>
      <c r="P239" t="n">
        <v>0</v>
      </c>
      <c r="Q239" t="n">
        <v>0</v>
      </c>
      <c r="R239" s="2" t="inlineStr"/>
    </row>
    <row r="240" ht="15" customHeight="1">
      <c r="A240" t="inlineStr">
        <is>
          <t>A 23088-2024</t>
        </is>
      </c>
      <c r="B240" s="1" t="n">
        <v>45450.51092592593</v>
      </c>
      <c r="C240" s="1" t="n">
        <v>45965</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13290-2025</t>
        </is>
      </c>
      <c r="B241" s="1" t="n">
        <v>45735.56751157407</v>
      </c>
      <c r="C241" s="1" t="n">
        <v>45965</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45560-2021</t>
        </is>
      </c>
      <c r="B242" s="1" t="n">
        <v>44440</v>
      </c>
      <c r="C242" s="1" t="n">
        <v>45965</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59768-2024</t>
        </is>
      </c>
      <c r="B243" s="1" t="n">
        <v>45639.56185185185</v>
      </c>
      <c r="C243" s="1" t="n">
        <v>45965</v>
      </c>
      <c r="D243" t="inlineStr">
        <is>
          <t>KALMAR LÄN</t>
        </is>
      </c>
      <c r="E243" t="inlineStr">
        <is>
          <t>VIMMERBY</t>
        </is>
      </c>
      <c r="G243" t="n">
        <v>5.9</v>
      </c>
      <c r="H243" t="n">
        <v>0</v>
      </c>
      <c r="I243" t="n">
        <v>0</v>
      </c>
      <c r="J243" t="n">
        <v>0</v>
      </c>
      <c r="K243" t="n">
        <v>0</v>
      </c>
      <c r="L243" t="n">
        <v>0</v>
      </c>
      <c r="M243" t="n">
        <v>0</v>
      </c>
      <c r="N243" t="n">
        <v>0</v>
      </c>
      <c r="O243" t="n">
        <v>0</v>
      </c>
      <c r="P243" t="n">
        <v>0</v>
      </c>
      <c r="Q243" t="n">
        <v>0</v>
      </c>
      <c r="R243" s="2" t="inlineStr"/>
    </row>
    <row r="244" ht="15" customHeight="1">
      <c r="A244" t="inlineStr">
        <is>
          <t>A 57189-2022</t>
        </is>
      </c>
      <c r="B244" s="1" t="n">
        <v>44895.62296296296</v>
      </c>
      <c r="C244" s="1" t="n">
        <v>45965</v>
      </c>
      <c r="D244" t="inlineStr">
        <is>
          <t>KALMAR LÄN</t>
        </is>
      </c>
      <c r="E244" t="inlineStr">
        <is>
          <t>VIMMERBY</t>
        </is>
      </c>
      <c r="G244" t="n">
        <v>0.8</v>
      </c>
      <c r="H244" t="n">
        <v>0</v>
      </c>
      <c r="I244" t="n">
        <v>0</v>
      </c>
      <c r="J244" t="n">
        <v>0</v>
      </c>
      <c r="K244" t="n">
        <v>0</v>
      </c>
      <c r="L244" t="n">
        <v>0</v>
      </c>
      <c r="M244" t="n">
        <v>0</v>
      </c>
      <c r="N244" t="n">
        <v>0</v>
      </c>
      <c r="O244" t="n">
        <v>0</v>
      </c>
      <c r="P244" t="n">
        <v>0</v>
      </c>
      <c r="Q244" t="n">
        <v>0</v>
      </c>
      <c r="R244" s="2" t="inlineStr"/>
    </row>
    <row r="245" ht="15" customHeight="1">
      <c r="A245" t="inlineStr">
        <is>
          <t>A 16622-2025</t>
        </is>
      </c>
      <c r="B245" s="1" t="n">
        <v>45754.33641203704</v>
      </c>
      <c r="C245" s="1" t="n">
        <v>45965</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72067-2021</t>
        </is>
      </c>
      <c r="B246" s="1" t="n">
        <v>44540</v>
      </c>
      <c r="C246" s="1" t="n">
        <v>45965</v>
      </c>
      <c r="D246" t="inlineStr">
        <is>
          <t>KALMAR LÄN</t>
        </is>
      </c>
      <c r="E246" t="inlineStr">
        <is>
          <t>VIMMERBY</t>
        </is>
      </c>
      <c r="G246" t="n">
        <v>1.6</v>
      </c>
      <c r="H246" t="n">
        <v>0</v>
      </c>
      <c r="I246" t="n">
        <v>0</v>
      </c>
      <c r="J246" t="n">
        <v>0</v>
      </c>
      <c r="K246" t="n">
        <v>0</v>
      </c>
      <c r="L246" t="n">
        <v>0</v>
      </c>
      <c r="M246" t="n">
        <v>0</v>
      </c>
      <c r="N246" t="n">
        <v>0</v>
      </c>
      <c r="O246" t="n">
        <v>0</v>
      </c>
      <c r="P246" t="n">
        <v>0</v>
      </c>
      <c r="Q246" t="n">
        <v>0</v>
      </c>
      <c r="R246" s="2" t="inlineStr"/>
    </row>
    <row r="247" ht="15" customHeight="1">
      <c r="A247" t="inlineStr">
        <is>
          <t>A 1987-2024</t>
        </is>
      </c>
      <c r="B247" s="1" t="n">
        <v>45308.61152777778</v>
      </c>
      <c r="C247" s="1" t="n">
        <v>45965</v>
      </c>
      <c r="D247" t="inlineStr">
        <is>
          <t>KALMAR LÄN</t>
        </is>
      </c>
      <c r="E247" t="inlineStr">
        <is>
          <t>VIMMERBY</t>
        </is>
      </c>
      <c r="G247" t="n">
        <v>3</v>
      </c>
      <c r="H247" t="n">
        <v>0</v>
      </c>
      <c r="I247" t="n">
        <v>0</v>
      </c>
      <c r="J247" t="n">
        <v>0</v>
      </c>
      <c r="K247" t="n">
        <v>0</v>
      </c>
      <c r="L247" t="n">
        <v>0</v>
      </c>
      <c r="M247" t="n">
        <v>0</v>
      </c>
      <c r="N247" t="n">
        <v>0</v>
      </c>
      <c r="O247" t="n">
        <v>0</v>
      </c>
      <c r="P247" t="n">
        <v>0</v>
      </c>
      <c r="Q247" t="n">
        <v>0</v>
      </c>
      <c r="R247" s="2" t="inlineStr"/>
    </row>
    <row r="248" ht="15" customHeight="1">
      <c r="A248" t="inlineStr">
        <is>
          <t>A 527-2024</t>
        </is>
      </c>
      <c r="B248" s="1" t="n">
        <v>45299.47513888889</v>
      </c>
      <c r="C248" s="1" t="n">
        <v>45965</v>
      </c>
      <c r="D248" t="inlineStr">
        <is>
          <t>KALMAR LÄN</t>
        </is>
      </c>
      <c r="E248" t="inlineStr">
        <is>
          <t>VIMMERBY</t>
        </is>
      </c>
      <c r="G248" t="n">
        <v>2.2</v>
      </c>
      <c r="H248" t="n">
        <v>0</v>
      </c>
      <c r="I248" t="n">
        <v>0</v>
      </c>
      <c r="J248" t="n">
        <v>0</v>
      </c>
      <c r="K248" t="n">
        <v>0</v>
      </c>
      <c r="L248" t="n">
        <v>0</v>
      </c>
      <c r="M248" t="n">
        <v>0</v>
      </c>
      <c r="N248" t="n">
        <v>0</v>
      </c>
      <c r="O248" t="n">
        <v>0</v>
      </c>
      <c r="P248" t="n">
        <v>0</v>
      </c>
      <c r="Q248" t="n">
        <v>0</v>
      </c>
      <c r="R248" s="2" t="inlineStr"/>
    </row>
    <row r="249" ht="15" customHeight="1">
      <c r="A249" t="inlineStr">
        <is>
          <t>A 41158-2023</t>
        </is>
      </c>
      <c r="B249" s="1" t="n">
        <v>45174.31395833333</v>
      </c>
      <c r="C249" s="1" t="n">
        <v>45965</v>
      </c>
      <c r="D249" t="inlineStr">
        <is>
          <t>KALMAR LÄN</t>
        </is>
      </c>
      <c r="E249" t="inlineStr">
        <is>
          <t>VIMMERBY</t>
        </is>
      </c>
      <c r="G249" t="n">
        <v>1.4</v>
      </c>
      <c r="H249" t="n">
        <v>0</v>
      </c>
      <c r="I249" t="n">
        <v>0</v>
      </c>
      <c r="J249" t="n">
        <v>0</v>
      </c>
      <c r="K249" t="n">
        <v>0</v>
      </c>
      <c r="L249" t="n">
        <v>0</v>
      </c>
      <c r="M249" t="n">
        <v>0</v>
      </c>
      <c r="N249" t="n">
        <v>0</v>
      </c>
      <c r="O249" t="n">
        <v>0</v>
      </c>
      <c r="P249" t="n">
        <v>0</v>
      </c>
      <c r="Q249" t="n">
        <v>0</v>
      </c>
      <c r="R249" s="2" t="inlineStr"/>
    </row>
    <row r="250" ht="15" customHeight="1">
      <c r="A250" t="inlineStr">
        <is>
          <t>A 22198-2024</t>
        </is>
      </c>
      <c r="B250" s="1" t="n">
        <v>45446.36865740741</v>
      </c>
      <c r="C250" s="1" t="n">
        <v>45965</v>
      </c>
      <c r="D250" t="inlineStr">
        <is>
          <t>KALMAR LÄN</t>
        </is>
      </c>
      <c r="E250" t="inlineStr">
        <is>
          <t>VIMMERBY</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9511-2023</t>
        </is>
      </c>
      <c r="B251" s="1" t="n">
        <v>44981.64725694444</v>
      </c>
      <c r="C251" s="1" t="n">
        <v>45965</v>
      </c>
      <c r="D251" t="inlineStr">
        <is>
          <t>KALMAR LÄN</t>
        </is>
      </c>
      <c r="E251" t="inlineStr">
        <is>
          <t>VIMMERBY</t>
        </is>
      </c>
      <c r="G251" t="n">
        <v>3.5</v>
      </c>
      <c r="H251" t="n">
        <v>0</v>
      </c>
      <c r="I251" t="n">
        <v>0</v>
      </c>
      <c r="J251" t="n">
        <v>0</v>
      </c>
      <c r="K251" t="n">
        <v>0</v>
      </c>
      <c r="L251" t="n">
        <v>0</v>
      </c>
      <c r="M251" t="n">
        <v>0</v>
      </c>
      <c r="N251" t="n">
        <v>0</v>
      </c>
      <c r="O251" t="n">
        <v>0</v>
      </c>
      <c r="P251" t="n">
        <v>0</v>
      </c>
      <c r="Q251" t="n">
        <v>0</v>
      </c>
      <c r="R251" s="2" t="inlineStr"/>
    </row>
    <row r="252" ht="15" customHeight="1">
      <c r="A252" t="inlineStr">
        <is>
          <t>A 37192-2024</t>
        </is>
      </c>
      <c r="B252" s="1" t="n">
        <v>45539.66027777778</v>
      </c>
      <c r="C252" s="1" t="n">
        <v>45965</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31340-2023</t>
        </is>
      </c>
      <c r="B253" s="1" t="n">
        <v>45114.47895833333</v>
      </c>
      <c r="C253" s="1" t="n">
        <v>45965</v>
      </c>
      <c r="D253" t="inlineStr">
        <is>
          <t>KALMAR LÄN</t>
        </is>
      </c>
      <c r="E253" t="inlineStr">
        <is>
          <t>VIMMERBY</t>
        </is>
      </c>
      <c r="G253" t="n">
        <v>1.8</v>
      </c>
      <c r="H253" t="n">
        <v>0</v>
      </c>
      <c r="I253" t="n">
        <v>0</v>
      </c>
      <c r="J253" t="n">
        <v>0</v>
      </c>
      <c r="K253" t="n">
        <v>0</v>
      </c>
      <c r="L253" t="n">
        <v>0</v>
      </c>
      <c r="M253" t="n">
        <v>0</v>
      </c>
      <c r="N253" t="n">
        <v>0</v>
      </c>
      <c r="O253" t="n">
        <v>0</v>
      </c>
      <c r="P253" t="n">
        <v>0</v>
      </c>
      <c r="Q253" t="n">
        <v>0</v>
      </c>
      <c r="R253" s="2" t="inlineStr"/>
    </row>
    <row r="254" ht="15" customHeight="1">
      <c r="A254" t="inlineStr">
        <is>
          <t>A 29168-2024</t>
        </is>
      </c>
      <c r="B254" s="1" t="n">
        <v>45482.49870370371</v>
      </c>
      <c r="C254" s="1" t="n">
        <v>45965</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29186-2024</t>
        </is>
      </c>
      <c r="B255" s="1" t="n">
        <v>45482.54844907407</v>
      </c>
      <c r="C255" s="1" t="n">
        <v>45965</v>
      </c>
      <c r="D255" t="inlineStr">
        <is>
          <t>KALMAR LÄN</t>
        </is>
      </c>
      <c r="E255" t="inlineStr">
        <is>
          <t>VIMMERBY</t>
        </is>
      </c>
      <c r="G255" t="n">
        <v>2.6</v>
      </c>
      <c r="H255" t="n">
        <v>0</v>
      </c>
      <c r="I255" t="n">
        <v>0</v>
      </c>
      <c r="J255" t="n">
        <v>0</v>
      </c>
      <c r="K255" t="n">
        <v>0</v>
      </c>
      <c r="L255" t="n">
        <v>0</v>
      </c>
      <c r="M255" t="n">
        <v>0</v>
      </c>
      <c r="N255" t="n">
        <v>0</v>
      </c>
      <c r="O255" t="n">
        <v>0</v>
      </c>
      <c r="P255" t="n">
        <v>0</v>
      </c>
      <c r="Q255" t="n">
        <v>0</v>
      </c>
      <c r="R255" s="2" t="inlineStr"/>
    </row>
    <row r="256" ht="15" customHeight="1">
      <c r="A256" t="inlineStr">
        <is>
          <t>A 35895-2024</t>
        </is>
      </c>
      <c r="B256" s="1" t="n">
        <v>45533.38870370371</v>
      </c>
      <c r="C256" s="1" t="n">
        <v>45965</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12590-2025</t>
        </is>
      </c>
      <c r="B257" s="1" t="n">
        <v>45732.79925925926</v>
      </c>
      <c r="C257" s="1" t="n">
        <v>45965</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30318-2023</t>
        </is>
      </c>
      <c r="B258" s="1" t="n">
        <v>45111.30824074074</v>
      </c>
      <c r="C258" s="1" t="n">
        <v>45965</v>
      </c>
      <c r="D258" t="inlineStr">
        <is>
          <t>KALMAR LÄN</t>
        </is>
      </c>
      <c r="E258" t="inlineStr">
        <is>
          <t>VIMMERBY</t>
        </is>
      </c>
      <c r="G258" t="n">
        <v>2.6</v>
      </c>
      <c r="H258" t="n">
        <v>0</v>
      </c>
      <c r="I258" t="n">
        <v>0</v>
      </c>
      <c r="J258" t="n">
        <v>0</v>
      </c>
      <c r="K258" t="n">
        <v>0</v>
      </c>
      <c r="L258" t="n">
        <v>0</v>
      </c>
      <c r="M258" t="n">
        <v>0</v>
      </c>
      <c r="N258" t="n">
        <v>0</v>
      </c>
      <c r="O258" t="n">
        <v>0</v>
      </c>
      <c r="P258" t="n">
        <v>0</v>
      </c>
      <c r="Q258" t="n">
        <v>0</v>
      </c>
      <c r="R258" s="2" t="inlineStr"/>
    </row>
    <row r="259" ht="15" customHeight="1">
      <c r="A259" t="inlineStr">
        <is>
          <t>A 43186-2021</t>
        </is>
      </c>
      <c r="B259" s="1" t="n">
        <v>44431.84840277778</v>
      </c>
      <c r="C259" s="1" t="n">
        <v>45965</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60215-2022</t>
        </is>
      </c>
      <c r="B260" s="1" t="n">
        <v>44910.41346064815</v>
      </c>
      <c r="C260" s="1" t="n">
        <v>45965</v>
      </c>
      <c r="D260" t="inlineStr">
        <is>
          <t>KALMAR LÄN</t>
        </is>
      </c>
      <c r="E260" t="inlineStr">
        <is>
          <t>VIMMERBY</t>
        </is>
      </c>
      <c r="G260" t="n">
        <v>1.1</v>
      </c>
      <c r="H260" t="n">
        <v>0</v>
      </c>
      <c r="I260" t="n">
        <v>0</v>
      </c>
      <c r="J260" t="n">
        <v>0</v>
      </c>
      <c r="K260" t="n">
        <v>0</v>
      </c>
      <c r="L260" t="n">
        <v>0</v>
      </c>
      <c r="M260" t="n">
        <v>0</v>
      </c>
      <c r="N260" t="n">
        <v>0</v>
      </c>
      <c r="O260" t="n">
        <v>0</v>
      </c>
      <c r="P260" t="n">
        <v>0</v>
      </c>
      <c r="Q260" t="n">
        <v>0</v>
      </c>
      <c r="R260" s="2" t="inlineStr"/>
    </row>
    <row r="261" ht="15" customHeight="1">
      <c r="A261" t="inlineStr">
        <is>
          <t>A 60230-2022</t>
        </is>
      </c>
      <c r="B261" s="1" t="n">
        <v>44910</v>
      </c>
      <c r="C261" s="1" t="n">
        <v>45965</v>
      </c>
      <c r="D261" t="inlineStr">
        <is>
          <t>KALMAR LÄN</t>
        </is>
      </c>
      <c r="E261" t="inlineStr">
        <is>
          <t>VIMMERBY</t>
        </is>
      </c>
      <c r="G261" t="n">
        <v>11.3</v>
      </c>
      <c r="H261" t="n">
        <v>0</v>
      </c>
      <c r="I261" t="n">
        <v>0</v>
      </c>
      <c r="J261" t="n">
        <v>0</v>
      </c>
      <c r="K261" t="n">
        <v>0</v>
      </c>
      <c r="L261" t="n">
        <v>0</v>
      </c>
      <c r="M261" t="n">
        <v>0</v>
      </c>
      <c r="N261" t="n">
        <v>0</v>
      </c>
      <c r="O261" t="n">
        <v>0</v>
      </c>
      <c r="P261" t="n">
        <v>0</v>
      </c>
      <c r="Q261" t="n">
        <v>0</v>
      </c>
      <c r="R261" s="2" t="inlineStr"/>
    </row>
    <row r="262" ht="15" customHeight="1">
      <c r="A262" t="inlineStr">
        <is>
          <t>A 5925-2022</t>
        </is>
      </c>
      <c r="B262" s="1" t="n">
        <v>44598.7384837963</v>
      </c>
      <c r="C262" s="1" t="n">
        <v>45965</v>
      </c>
      <c r="D262" t="inlineStr">
        <is>
          <t>KALMAR LÄN</t>
        </is>
      </c>
      <c r="E262" t="inlineStr">
        <is>
          <t>VIMMERBY</t>
        </is>
      </c>
      <c r="G262" t="n">
        <v>2.1</v>
      </c>
      <c r="H262" t="n">
        <v>0</v>
      </c>
      <c r="I262" t="n">
        <v>0</v>
      </c>
      <c r="J262" t="n">
        <v>0</v>
      </c>
      <c r="K262" t="n">
        <v>0</v>
      </c>
      <c r="L262" t="n">
        <v>0</v>
      </c>
      <c r="M262" t="n">
        <v>0</v>
      </c>
      <c r="N262" t="n">
        <v>0</v>
      </c>
      <c r="O262" t="n">
        <v>0</v>
      </c>
      <c r="P262" t="n">
        <v>0</v>
      </c>
      <c r="Q262" t="n">
        <v>0</v>
      </c>
      <c r="R262" s="2" t="inlineStr"/>
    </row>
    <row r="263" ht="15" customHeight="1">
      <c r="A263" t="inlineStr">
        <is>
          <t>A 845-2023</t>
        </is>
      </c>
      <c r="B263" s="1" t="n">
        <v>44931</v>
      </c>
      <c r="C263" s="1" t="n">
        <v>45965</v>
      </c>
      <c r="D263" t="inlineStr">
        <is>
          <t>KALMAR LÄN</t>
        </is>
      </c>
      <c r="E263" t="inlineStr">
        <is>
          <t>VIMMERBY</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47063-2022</t>
        </is>
      </c>
      <c r="B264" s="1" t="n">
        <v>44852</v>
      </c>
      <c r="C264" s="1" t="n">
        <v>45965</v>
      </c>
      <c r="D264" t="inlineStr">
        <is>
          <t>KALMAR LÄN</t>
        </is>
      </c>
      <c r="E264" t="inlineStr">
        <is>
          <t>VIMMERBY</t>
        </is>
      </c>
      <c r="G264" t="n">
        <v>2.5</v>
      </c>
      <c r="H264" t="n">
        <v>0</v>
      </c>
      <c r="I264" t="n">
        <v>0</v>
      </c>
      <c r="J264" t="n">
        <v>0</v>
      </c>
      <c r="K264" t="n">
        <v>0</v>
      </c>
      <c r="L264" t="n">
        <v>0</v>
      </c>
      <c r="M264" t="n">
        <v>0</v>
      </c>
      <c r="N264" t="n">
        <v>0</v>
      </c>
      <c r="O264" t="n">
        <v>0</v>
      </c>
      <c r="P264" t="n">
        <v>0</v>
      </c>
      <c r="Q264" t="n">
        <v>0</v>
      </c>
      <c r="R264" s="2" t="inlineStr"/>
    </row>
    <row r="265" ht="15" customHeight="1">
      <c r="A265" t="inlineStr">
        <is>
          <t>A 12819-2024</t>
        </is>
      </c>
      <c r="B265" s="1" t="n">
        <v>45384.66917824074</v>
      </c>
      <c r="C265" s="1" t="n">
        <v>45965</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34205-2023</t>
        </is>
      </c>
      <c r="B266" s="1" t="n">
        <v>45138</v>
      </c>
      <c r="C266" s="1" t="n">
        <v>45965</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16119-2023</t>
        </is>
      </c>
      <c r="B267" s="1" t="n">
        <v>45027.59450231482</v>
      </c>
      <c r="C267" s="1" t="n">
        <v>45965</v>
      </c>
      <c r="D267" t="inlineStr">
        <is>
          <t>KALMAR LÄN</t>
        </is>
      </c>
      <c r="E267" t="inlineStr">
        <is>
          <t>VIMMERBY</t>
        </is>
      </c>
      <c r="F267" t="inlineStr">
        <is>
          <t>Kommuner</t>
        </is>
      </c>
      <c r="G267" t="n">
        <v>4.4</v>
      </c>
      <c r="H267" t="n">
        <v>0</v>
      </c>
      <c r="I267" t="n">
        <v>0</v>
      </c>
      <c r="J267" t="n">
        <v>0</v>
      </c>
      <c r="K267" t="n">
        <v>0</v>
      </c>
      <c r="L267" t="n">
        <v>0</v>
      </c>
      <c r="M267" t="n">
        <v>0</v>
      </c>
      <c r="N267" t="n">
        <v>0</v>
      </c>
      <c r="O267" t="n">
        <v>0</v>
      </c>
      <c r="P267" t="n">
        <v>0</v>
      </c>
      <c r="Q267" t="n">
        <v>0</v>
      </c>
      <c r="R267" s="2" t="inlineStr"/>
    </row>
    <row r="268" ht="15" customHeight="1">
      <c r="A268" t="inlineStr">
        <is>
          <t>A 10086-2022</t>
        </is>
      </c>
      <c r="B268" s="1" t="n">
        <v>44621</v>
      </c>
      <c r="C268" s="1" t="n">
        <v>45965</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30588-2023</t>
        </is>
      </c>
      <c r="B269" s="1" t="n">
        <v>45112.33599537037</v>
      </c>
      <c r="C269" s="1" t="n">
        <v>45965</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57091-2022</t>
        </is>
      </c>
      <c r="B270" s="1" t="n">
        <v>44895.46524305556</v>
      </c>
      <c r="C270" s="1" t="n">
        <v>45965</v>
      </c>
      <c r="D270" t="inlineStr">
        <is>
          <t>KALMAR LÄN</t>
        </is>
      </c>
      <c r="E270" t="inlineStr">
        <is>
          <t>VIMMERBY</t>
        </is>
      </c>
      <c r="G270" t="n">
        <v>2.6</v>
      </c>
      <c r="H270" t="n">
        <v>0</v>
      </c>
      <c r="I270" t="n">
        <v>0</v>
      </c>
      <c r="J270" t="n">
        <v>0</v>
      </c>
      <c r="K270" t="n">
        <v>0</v>
      </c>
      <c r="L270" t="n">
        <v>0</v>
      </c>
      <c r="M270" t="n">
        <v>0</v>
      </c>
      <c r="N270" t="n">
        <v>0</v>
      </c>
      <c r="O270" t="n">
        <v>0</v>
      </c>
      <c r="P270" t="n">
        <v>0</v>
      </c>
      <c r="Q270" t="n">
        <v>0</v>
      </c>
      <c r="R270" s="2" t="inlineStr"/>
    </row>
    <row r="271" ht="15" customHeight="1">
      <c r="A271" t="inlineStr">
        <is>
          <t>A 31382-2023</t>
        </is>
      </c>
      <c r="B271" s="1" t="n">
        <v>45114.55136574074</v>
      </c>
      <c r="C271" s="1" t="n">
        <v>45965</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11073-2023</t>
        </is>
      </c>
      <c r="B272" s="1" t="n">
        <v>44992</v>
      </c>
      <c r="C272" s="1" t="n">
        <v>45965</v>
      </c>
      <c r="D272" t="inlineStr">
        <is>
          <t>KALMAR LÄN</t>
        </is>
      </c>
      <c r="E272" t="inlineStr">
        <is>
          <t>VIMMERBY</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45528-2021</t>
        </is>
      </c>
      <c r="B273" s="1" t="n">
        <v>44440.60415509259</v>
      </c>
      <c r="C273" s="1" t="n">
        <v>45965</v>
      </c>
      <c r="D273" t="inlineStr">
        <is>
          <t>KALMAR LÄN</t>
        </is>
      </c>
      <c r="E273" t="inlineStr">
        <is>
          <t>VIMMERBY</t>
        </is>
      </c>
      <c r="G273" t="n">
        <v>2.2</v>
      </c>
      <c r="H273" t="n">
        <v>0</v>
      </c>
      <c r="I273" t="n">
        <v>0</v>
      </c>
      <c r="J273" t="n">
        <v>0</v>
      </c>
      <c r="K273" t="n">
        <v>0</v>
      </c>
      <c r="L273" t="n">
        <v>0</v>
      </c>
      <c r="M273" t="n">
        <v>0</v>
      </c>
      <c r="N273" t="n">
        <v>0</v>
      </c>
      <c r="O273" t="n">
        <v>0</v>
      </c>
      <c r="P273" t="n">
        <v>0</v>
      </c>
      <c r="Q273" t="n">
        <v>0</v>
      </c>
      <c r="R273" s="2" t="inlineStr"/>
    </row>
    <row r="274" ht="15" customHeight="1">
      <c r="A274" t="inlineStr">
        <is>
          <t>A 2604-2025</t>
        </is>
      </c>
      <c r="B274" s="1" t="n">
        <v>45674.74094907408</v>
      </c>
      <c r="C274" s="1" t="n">
        <v>45965</v>
      </c>
      <c r="D274" t="inlineStr">
        <is>
          <t>KALMAR LÄN</t>
        </is>
      </c>
      <c r="E274" t="inlineStr">
        <is>
          <t>VIMMERBY</t>
        </is>
      </c>
      <c r="G274" t="n">
        <v>7.6</v>
      </c>
      <c r="H274" t="n">
        <v>0</v>
      </c>
      <c r="I274" t="n">
        <v>0</v>
      </c>
      <c r="J274" t="n">
        <v>0</v>
      </c>
      <c r="K274" t="n">
        <v>0</v>
      </c>
      <c r="L274" t="n">
        <v>0</v>
      </c>
      <c r="M274" t="n">
        <v>0</v>
      </c>
      <c r="N274" t="n">
        <v>0</v>
      </c>
      <c r="O274" t="n">
        <v>0</v>
      </c>
      <c r="P274" t="n">
        <v>0</v>
      </c>
      <c r="Q274" t="n">
        <v>0</v>
      </c>
      <c r="R274" s="2" t="inlineStr"/>
    </row>
    <row r="275" ht="15" customHeight="1">
      <c r="A275" t="inlineStr">
        <is>
          <t>A 6807-2025</t>
        </is>
      </c>
      <c r="B275" s="1" t="n">
        <v>45700.68672453704</v>
      </c>
      <c r="C275" s="1" t="n">
        <v>45965</v>
      </c>
      <c r="D275" t="inlineStr">
        <is>
          <t>KALMAR LÄN</t>
        </is>
      </c>
      <c r="E275" t="inlineStr">
        <is>
          <t>VIMMERBY</t>
        </is>
      </c>
      <c r="G275" t="n">
        <v>1.4</v>
      </c>
      <c r="H275" t="n">
        <v>0</v>
      </c>
      <c r="I275" t="n">
        <v>0</v>
      </c>
      <c r="J275" t="n">
        <v>0</v>
      </c>
      <c r="K275" t="n">
        <v>0</v>
      </c>
      <c r="L275" t="n">
        <v>0</v>
      </c>
      <c r="M275" t="n">
        <v>0</v>
      </c>
      <c r="N275" t="n">
        <v>0</v>
      </c>
      <c r="O275" t="n">
        <v>0</v>
      </c>
      <c r="P275" t="n">
        <v>0</v>
      </c>
      <c r="Q275" t="n">
        <v>0</v>
      </c>
      <c r="R275" s="2" t="inlineStr"/>
    </row>
    <row r="276" ht="15" customHeight="1">
      <c r="A276" t="inlineStr">
        <is>
          <t>A 38851-2023</t>
        </is>
      </c>
      <c r="B276" s="1" t="n">
        <v>45163</v>
      </c>
      <c r="C276" s="1" t="n">
        <v>45965</v>
      </c>
      <c r="D276" t="inlineStr">
        <is>
          <t>KALMAR LÄN</t>
        </is>
      </c>
      <c r="E276" t="inlineStr">
        <is>
          <t>VIMMERBY</t>
        </is>
      </c>
      <c r="G276" t="n">
        <v>4.3</v>
      </c>
      <c r="H276" t="n">
        <v>0</v>
      </c>
      <c r="I276" t="n">
        <v>0</v>
      </c>
      <c r="J276" t="n">
        <v>0</v>
      </c>
      <c r="K276" t="n">
        <v>0</v>
      </c>
      <c r="L276" t="n">
        <v>0</v>
      </c>
      <c r="M276" t="n">
        <v>0</v>
      </c>
      <c r="N276" t="n">
        <v>0</v>
      </c>
      <c r="O276" t="n">
        <v>0</v>
      </c>
      <c r="P276" t="n">
        <v>0</v>
      </c>
      <c r="Q276" t="n">
        <v>0</v>
      </c>
      <c r="R276" s="2" t="inlineStr"/>
    </row>
    <row r="277" ht="15" customHeight="1">
      <c r="A277" t="inlineStr">
        <is>
          <t>A 59955-2023</t>
        </is>
      </c>
      <c r="B277" s="1" t="n">
        <v>45257.70313657408</v>
      </c>
      <c r="C277" s="1" t="n">
        <v>45965</v>
      </c>
      <c r="D277" t="inlineStr">
        <is>
          <t>KALMAR LÄN</t>
        </is>
      </c>
      <c r="E277" t="inlineStr">
        <is>
          <t>VIMMERBY</t>
        </is>
      </c>
      <c r="G277" t="n">
        <v>13.8</v>
      </c>
      <c r="H277" t="n">
        <v>0</v>
      </c>
      <c r="I277" t="n">
        <v>0</v>
      </c>
      <c r="J277" t="n">
        <v>0</v>
      </c>
      <c r="K277" t="n">
        <v>0</v>
      </c>
      <c r="L277" t="n">
        <v>0</v>
      </c>
      <c r="M277" t="n">
        <v>0</v>
      </c>
      <c r="N277" t="n">
        <v>0</v>
      </c>
      <c r="O277" t="n">
        <v>0</v>
      </c>
      <c r="P277" t="n">
        <v>0</v>
      </c>
      <c r="Q277" t="n">
        <v>0</v>
      </c>
      <c r="R277" s="2" t="inlineStr"/>
    </row>
    <row r="278" ht="15" customHeight="1">
      <c r="A278" t="inlineStr">
        <is>
          <t>A 65564-2020</t>
        </is>
      </c>
      <c r="B278" s="1" t="n">
        <v>44172</v>
      </c>
      <c r="C278" s="1" t="n">
        <v>45965</v>
      </c>
      <c r="D278" t="inlineStr">
        <is>
          <t>KALMAR LÄN</t>
        </is>
      </c>
      <c r="E278" t="inlineStr">
        <is>
          <t>VIMMERBY</t>
        </is>
      </c>
      <c r="G278" t="n">
        <v>4.1</v>
      </c>
      <c r="H278" t="n">
        <v>0</v>
      </c>
      <c r="I278" t="n">
        <v>0</v>
      </c>
      <c r="J278" t="n">
        <v>0</v>
      </c>
      <c r="K278" t="n">
        <v>0</v>
      </c>
      <c r="L278" t="n">
        <v>0</v>
      </c>
      <c r="M278" t="n">
        <v>0</v>
      </c>
      <c r="N278" t="n">
        <v>0</v>
      </c>
      <c r="O278" t="n">
        <v>0</v>
      </c>
      <c r="P278" t="n">
        <v>0</v>
      </c>
      <c r="Q278" t="n">
        <v>0</v>
      </c>
      <c r="R278" s="2" t="inlineStr"/>
    </row>
    <row r="279" ht="15" customHeight="1">
      <c r="A279" t="inlineStr">
        <is>
          <t>A 16516-2023</t>
        </is>
      </c>
      <c r="B279" s="1" t="n">
        <v>45029</v>
      </c>
      <c r="C279" s="1" t="n">
        <v>45965</v>
      </c>
      <c r="D279" t="inlineStr">
        <is>
          <t>KALMAR LÄN</t>
        </is>
      </c>
      <c r="E279" t="inlineStr">
        <is>
          <t>VIMMERBY</t>
        </is>
      </c>
      <c r="G279" t="n">
        <v>4.3</v>
      </c>
      <c r="H279" t="n">
        <v>0</v>
      </c>
      <c r="I279" t="n">
        <v>0</v>
      </c>
      <c r="J279" t="n">
        <v>0</v>
      </c>
      <c r="K279" t="n">
        <v>0</v>
      </c>
      <c r="L279" t="n">
        <v>0</v>
      </c>
      <c r="M279" t="n">
        <v>0</v>
      </c>
      <c r="N279" t="n">
        <v>0</v>
      </c>
      <c r="O279" t="n">
        <v>0</v>
      </c>
      <c r="P279" t="n">
        <v>0</v>
      </c>
      <c r="Q279" t="n">
        <v>0</v>
      </c>
      <c r="R279" s="2" t="inlineStr"/>
    </row>
    <row r="280" ht="15" customHeight="1">
      <c r="A280" t="inlineStr">
        <is>
          <t>A 36802-2021</t>
        </is>
      </c>
      <c r="B280" s="1" t="n">
        <v>44392</v>
      </c>
      <c r="C280" s="1" t="n">
        <v>45965</v>
      </c>
      <c r="D280" t="inlineStr">
        <is>
          <t>KALMAR LÄN</t>
        </is>
      </c>
      <c r="E280" t="inlineStr">
        <is>
          <t>VIMMERBY</t>
        </is>
      </c>
      <c r="F280" t="inlineStr">
        <is>
          <t>Sveaskog</t>
        </is>
      </c>
      <c r="G280" t="n">
        <v>4.6</v>
      </c>
      <c r="H280" t="n">
        <v>0</v>
      </c>
      <c r="I280" t="n">
        <v>0</v>
      </c>
      <c r="J280" t="n">
        <v>0</v>
      </c>
      <c r="K280" t="n">
        <v>0</v>
      </c>
      <c r="L280" t="n">
        <v>0</v>
      </c>
      <c r="M280" t="n">
        <v>0</v>
      </c>
      <c r="N280" t="n">
        <v>0</v>
      </c>
      <c r="O280" t="n">
        <v>0</v>
      </c>
      <c r="P280" t="n">
        <v>0</v>
      </c>
      <c r="Q280" t="n">
        <v>0</v>
      </c>
      <c r="R280" s="2" t="inlineStr"/>
    </row>
    <row r="281" ht="15" customHeight="1">
      <c r="A281" t="inlineStr">
        <is>
          <t>A 23252-2024</t>
        </is>
      </c>
      <c r="B281" s="1" t="n">
        <v>45453.36067129629</v>
      </c>
      <c r="C281" s="1" t="n">
        <v>45965</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53145-2022</t>
        </is>
      </c>
      <c r="B282" s="1" t="n">
        <v>44876.48346064815</v>
      </c>
      <c r="C282" s="1" t="n">
        <v>45965</v>
      </c>
      <c r="D282" t="inlineStr">
        <is>
          <t>KALMAR LÄN</t>
        </is>
      </c>
      <c r="E282" t="inlineStr">
        <is>
          <t>VIMMERBY</t>
        </is>
      </c>
      <c r="G282" t="n">
        <v>0.4</v>
      </c>
      <c r="H282" t="n">
        <v>0</v>
      </c>
      <c r="I282" t="n">
        <v>0</v>
      </c>
      <c r="J282" t="n">
        <v>0</v>
      </c>
      <c r="K282" t="n">
        <v>0</v>
      </c>
      <c r="L282" t="n">
        <v>0</v>
      </c>
      <c r="M282" t="n">
        <v>0</v>
      </c>
      <c r="N282" t="n">
        <v>0</v>
      </c>
      <c r="O282" t="n">
        <v>0</v>
      </c>
      <c r="P282" t="n">
        <v>0</v>
      </c>
      <c r="Q282" t="n">
        <v>0</v>
      </c>
      <c r="R282" s="2" t="inlineStr"/>
    </row>
    <row r="283" ht="15" customHeight="1">
      <c r="A283" t="inlineStr">
        <is>
          <t>A 25738-2022</t>
        </is>
      </c>
      <c r="B283" s="1" t="n">
        <v>44733.43092592592</v>
      </c>
      <c r="C283" s="1" t="n">
        <v>45965</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2510-2023</t>
        </is>
      </c>
      <c r="B284" s="1" t="n">
        <v>44943.57309027778</v>
      </c>
      <c r="C284" s="1" t="n">
        <v>45965</v>
      </c>
      <c r="D284" t="inlineStr">
        <is>
          <t>KALMAR LÄN</t>
        </is>
      </c>
      <c r="E284" t="inlineStr">
        <is>
          <t>VIMMERBY</t>
        </is>
      </c>
      <c r="G284" t="n">
        <v>8.6</v>
      </c>
      <c r="H284" t="n">
        <v>0</v>
      </c>
      <c r="I284" t="n">
        <v>0</v>
      </c>
      <c r="J284" t="n">
        <v>0</v>
      </c>
      <c r="K284" t="n">
        <v>0</v>
      </c>
      <c r="L284" t="n">
        <v>0</v>
      </c>
      <c r="M284" t="n">
        <v>0</v>
      </c>
      <c r="N284" t="n">
        <v>0</v>
      </c>
      <c r="O284" t="n">
        <v>0</v>
      </c>
      <c r="P284" t="n">
        <v>0</v>
      </c>
      <c r="Q284" t="n">
        <v>0</v>
      </c>
      <c r="R284" s="2" t="inlineStr"/>
    </row>
    <row r="285" ht="15" customHeight="1">
      <c r="A285" t="inlineStr">
        <is>
          <t>A 61820-2023</t>
        </is>
      </c>
      <c r="B285" s="1" t="n">
        <v>45266.32614583334</v>
      </c>
      <c r="C285" s="1" t="n">
        <v>45965</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5792-2023</t>
        </is>
      </c>
      <c r="B286" s="1" t="n">
        <v>44963.44769675926</v>
      </c>
      <c r="C286" s="1" t="n">
        <v>45965</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2797-2023</t>
        </is>
      </c>
      <c r="B287" s="1" t="n">
        <v>44944.71386574074</v>
      </c>
      <c r="C287" s="1" t="n">
        <v>45965</v>
      </c>
      <c r="D287" t="inlineStr">
        <is>
          <t>KALMAR LÄN</t>
        </is>
      </c>
      <c r="E287" t="inlineStr">
        <is>
          <t>VIMMERBY</t>
        </is>
      </c>
      <c r="G287" t="n">
        <v>3.4</v>
      </c>
      <c r="H287" t="n">
        <v>0</v>
      </c>
      <c r="I287" t="n">
        <v>0</v>
      </c>
      <c r="J287" t="n">
        <v>0</v>
      </c>
      <c r="K287" t="n">
        <v>0</v>
      </c>
      <c r="L287" t="n">
        <v>0</v>
      </c>
      <c r="M287" t="n">
        <v>0</v>
      </c>
      <c r="N287" t="n">
        <v>0</v>
      </c>
      <c r="O287" t="n">
        <v>0</v>
      </c>
      <c r="P287" t="n">
        <v>0</v>
      </c>
      <c r="Q287" t="n">
        <v>0</v>
      </c>
      <c r="R287" s="2" t="inlineStr"/>
    </row>
    <row r="288" ht="15" customHeight="1">
      <c r="A288" t="inlineStr">
        <is>
          <t>A 2799-2023</t>
        </is>
      </c>
      <c r="B288" s="1" t="n">
        <v>44944.72100694444</v>
      </c>
      <c r="C288" s="1" t="n">
        <v>45965</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6220-2025</t>
        </is>
      </c>
      <c r="B289" s="1" t="n">
        <v>45698.53725694444</v>
      </c>
      <c r="C289" s="1" t="n">
        <v>45965</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3269-2024</t>
        </is>
      </c>
      <c r="B290" s="1" t="n">
        <v>45317.40372685185</v>
      </c>
      <c r="C290" s="1" t="n">
        <v>45965</v>
      </c>
      <c r="D290" t="inlineStr">
        <is>
          <t>KALMAR LÄN</t>
        </is>
      </c>
      <c r="E290" t="inlineStr">
        <is>
          <t>VIMMERBY</t>
        </is>
      </c>
      <c r="F290" t="inlineStr">
        <is>
          <t>Övriga Aktiebolag</t>
        </is>
      </c>
      <c r="G290" t="n">
        <v>1.7</v>
      </c>
      <c r="H290" t="n">
        <v>0</v>
      </c>
      <c r="I290" t="n">
        <v>0</v>
      </c>
      <c r="J290" t="n">
        <v>0</v>
      </c>
      <c r="K290" t="n">
        <v>0</v>
      </c>
      <c r="L290" t="n">
        <v>0</v>
      </c>
      <c r="M290" t="n">
        <v>0</v>
      </c>
      <c r="N290" t="n">
        <v>0</v>
      </c>
      <c r="O290" t="n">
        <v>0</v>
      </c>
      <c r="P290" t="n">
        <v>0</v>
      </c>
      <c r="Q290" t="n">
        <v>0</v>
      </c>
      <c r="R290" s="2" t="inlineStr"/>
    </row>
    <row r="291" ht="15" customHeight="1">
      <c r="A291" t="inlineStr">
        <is>
          <t>A 2157-2024</t>
        </is>
      </c>
      <c r="B291" s="1" t="n">
        <v>45309.59487268519</v>
      </c>
      <c r="C291" s="1" t="n">
        <v>45965</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8194-2022</t>
        </is>
      </c>
      <c r="B292" s="1" t="n">
        <v>44609</v>
      </c>
      <c r="C292" s="1" t="n">
        <v>45965</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9416-2024</t>
        </is>
      </c>
      <c r="B293" s="1" t="n">
        <v>45359.44837962963</v>
      </c>
      <c r="C293" s="1" t="n">
        <v>45965</v>
      </c>
      <c r="D293" t="inlineStr">
        <is>
          <t>KALMAR LÄN</t>
        </is>
      </c>
      <c r="E293" t="inlineStr">
        <is>
          <t>VIMMERBY</t>
        </is>
      </c>
      <c r="G293" t="n">
        <v>3.2</v>
      </c>
      <c r="H293" t="n">
        <v>0</v>
      </c>
      <c r="I293" t="n">
        <v>0</v>
      </c>
      <c r="J293" t="n">
        <v>0</v>
      </c>
      <c r="K293" t="n">
        <v>0</v>
      </c>
      <c r="L293" t="n">
        <v>0</v>
      </c>
      <c r="M293" t="n">
        <v>0</v>
      </c>
      <c r="N293" t="n">
        <v>0</v>
      </c>
      <c r="O293" t="n">
        <v>0</v>
      </c>
      <c r="P293" t="n">
        <v>0</v>
      </c>
      <c r="Q293" t="n">
        <v>0</v>
      </c>
      <c r="R293" s="2" t="inlineStr"/>
    </row>
    <row r="294" ht="15" customHeight="1">
      <c r="A294" t="inlineStr">
        <is>
          <t>A 15191-2021</t>
        </is>
      </c>
      <c r="B294" s="1" t="n">
        <v>44284.42348379629</v>
      </c>
      <c r="C294" s="1" t="n">
        <v>45965</v>
      </c>
      <c r="D294" t="inlineStr">
        <is>
          <t>KALMAR LÄN</t>
        </is>
      </c>
      <c r="E294" t="inlineStr">
        <is>
          <t>VIMMERBY</t>
        </is>
      </c>
      <c r="G294" t="n">
        <v>1.3</v>
      </c>
      <c r="H294" t="n">
        <v>0</v>
      </c>
      <c r="I294" t="n">
        <v>0</v>
      </c>
      <c r="J294" t="n">
        <v>0</v>
      </c>
      <c r="K294" t="n">
        <v>0</v>
      </c>
      <c r="L294" t="n">
        <v>0</v>
      </c>
      <c r="M294" t="n">
        <v>0</v>
      </c>
      <c r="N294" t="n">
        <v>0</v>
      </c>
      <c r="O294" t="n">
        <v>0</v>
      </c>
      <c r="P294" t="n">
        <v>0</v>
      </c>
      <c r="Q294" t="n">
        <v>0</v>
      </c>
      <c r="R294" s="2" t="inlineStr"/>
    </row>
    <row r="295" ht="15" customHeight="1">
      <c r="A295" t="inlineStr">
        <is>
          <t>A 58318-2021</t>
        </is>
      </c>
      <c r="B295" s="1" t="n">
        <v>44488.35878472222</v>
      </c>
      <c r="C295" s="1" t="n">
        <v>45965</v>
      </c>
      <c r="D295" t="inlineStr">
        <is>
          <t>KALMAR LÄN</t>
        </is>
      </c>
      <c r="E295" t="inlineStr">
        <is>
          <t>VIMMERBY</t>
        </is>
      </c>
      <c r="G295" t="n">
        <v>4</v>
      </c>
      <c r="H295" t="n">
        <v>0</v>
      </c>
      <c r="I295" t="n">
        <v>0</v>
      </c>
      <c r="J295" t="n">
        <v>0</v>
      </c>
      <c r="K295" t="n">
        <v>0</v>
      </c>
      <c r="L295" t="n">
        <v>0</v>
      </c>
      <c r="M295" t="n">
        <v>0</v>
      </c>
      <c r="N295" t="n">
        <v>0</v>
      </c>
      <c r="O295" t="n">
        <v>0</v>
      </c>
      <c r="P295" t="n">
        <v>0</v>
      </c>
      <c r="Q295" t="n">
        <v>0</v>
      </c>
      <c r="R295" s="2" t="inlineStr"/>
    </row>
    <row r="296" ht="15" customHeight="1">
      <c r="A296" t="inlineStr">
        <is>
          <t>A 48373-2021</t>
        </is>
      </c>
      <c r="B296" s="1" t="n">
        <v>44451</v>
      </c>
      <c r="C296" s="1" t="n">
        <v>45965</v>
      </c>
      <c r="D296" t="inlineStr">
        <is>
          <t>KALMAR LÄN</t>
        </is>
      </c>
      <c r="E296" t="inlineStr">
        <is>
          <t>VIMMERBY</t>
        </is>
      </c>
      <c r="G296" t="n">
        <v>2.2</v>
      </c>
      <c r="H296" t="n">
        <v>0</v>
      </c>
      <c r="I296" t="n">
        <v>0</v>
      </c>
      <c r="J296" t="n">
        <v>0</v>
      </c>
      <c r="K296" t="n">
        <v>0</v>
      </c>
      <c r="L296" t="n">
        <v>0</v>
      </c>
      <c r="M296" t="n">
        <v>0</v>
      </c>
      <c r="N296" t="n">
        <v>0</v>
      </c>
      <c r="O296" t="n">
        <v>0</v>
      </c>
      <c r="P296" t="n">
        <v>0</v>
      </c>
      <c r="Q296" t="n">
        <v>0</v>
      </c>
      <c r="R296" s="2" t="inlineStr"/>
    </row>
    <row r="297" ht="15" customHeight="1">
      <c r="A297" t="inlineStr">
        <is>
          <t>A 53083-2021</t>
        </is>
      </c>
      <c r="B297" s="1" t="n">
        <v>44467.83386574074</v>
      </c>
      <c r="C297" s="1" t="n">
        <v>45965</v>
      </c>
      <c r="D297" t="inlineStr">
        <is>
          <t>KALMAR LÄN</t>
        </is>
      </c>
      <c r="E297" t="inlineStr">
        <is>
          <t>VIMMERBY</t>
        </is>
      </c>
      <c r="G297" t="n">
        <v>6.8</v>
      </c>
      <c r="H297" t="n">
        <v>0</v>
      </c>
      <c r="I297" t="n">
        <v>0</v>
      </c>
      <c r="J297" t="n">
        <v>0</v>
      </c>
      <c r="K297" t="n">
        <v>0</v>
      </c>
      <c r="L297" t="n">
        <v>0</v>
      </c>
      <c r="M297" t="n">
        <v>0</v>
      </c>
      <c r="N297" t="n">
        <v>0</v>
      </c>
      <c r="O297" t="n">
        <v>0</v>
      </c>
      <c r="P297" t="n">
        <v>0</v>
      </c>
      <c r="Q297" t="n">
        <v>0</v>
      </c>
      <c r="R297" s="2" t="inlineStr"/>
    </row>
    <row r="298" ht="15" customHeight="1">
      <c r="A298" t="inlineStr">
        <is>
          <t>A 29173-2024</t>
        </is>
      </c>
      <c r="B298" s="1" t="n">
        <v>45482.52887731481</v>
      </c>
      <c r="C298" s="1" t="n">
        <v>45965</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11111-2024</t>
        </is>
      </c>
      <c r="B299" s="1" t="n">
        <v>45371.36359953704</v>
      </c>
      <c r="C299" s="1" t="n">
        <v>45965</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11141-2024</t>
        </is>
      </c>
      <c r="B300" s="1" t="n">
        <v>45371.45865740741</v>
      </c>
      <c r="C300" s="1" t="n">
        <v>45965</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58278-2023</t>
        </is>
      </c>
      <c r="B301" s="1" t="n">
        <v>45250.5278587963</v>
      </c>
      <c r="C301" s="1" t="n">
        <v>45965</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40971-2021</t>
        </is>
      </c>
      <c r="B302" s="1" t="n">
        <v>44421</v>
      </c>
      <c r="C302" s="1" t="n">
        <v>45965</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9418-2024</t>
        </is>
      </c>
      <c r="B303" s="1" t="n">
        <v>45359.45038194444</v>
      </c>
      <c r="C303" s="1" t="n">
        <v>45965</v>
      </c>
      <c r="D303" t="inlineStr">
        <is>
          <t>KALMAR LÄN</t>
        </is>
      </c>
      <c r="E303" t="inlineStr">
        <is>
          <t>VIMMERBY</t>
        </is>
      </c>
      <c r="G303" t="n">
        <v>1.9</v>
      </c>
      <c r="H303" t="n">
        <v>0</v>
      </c>
      <c r="I303" t="n">
        <v>0</v>
      </c>
      <c r="J303" t="n">
        <v>0</v>
      </c>
      <c r="K303" t="n">
        <v>0</v>
      </c>
      <c r="L303" t="n">
        <v>0</v>
      </c>
      <c r="M303" t="n">
        <v>0</v>
      </c>
      <c r="N303" t="n">
        <v>0</v>
      </c>
      <c r="O303" t="n">
        <v>0</v>
      </c>
      <c r="P303" t="n">
        <v>0</v>
      </c>
      <c r="Q303" t="n">
        <v>0</v>
      </c>
      <c r="R303" s="2" t="inlineStr"/>
    </row>
    <row r="304" ht="15" customHeight="1">
      <c r="A304" t="inlineStr">
        <is>
          <t>A 68744-2020</t>
        </is>
      </c>
      <c r="B304" s="1" t="n">
        <v>44186</v>
      </c>
      <c r="C304" s="1" t="n">
        <v>45965</v>
      </c>
      <c r="D304" t="inlineStr">
        <is>
          <t>KALMAR LÄN</t>
        </is>
      </c>
      <c r="E304" t="inlineStr">
        <is>
          <t>VIMMERBY</t>
        </is>
      </c>
      <c r="G304" t="n">
        <v>2.5</v>
      </c>
      <c r="H304" t="n">
        <v>0</v>
      </c>
      <c r="I304" t="n">
        <v>0</v>
      </c>
      <c r="J304" t="n">
        <v>0</v>
      </c>
      <c r="K304" t="n">
        <v>0</v>
      </c>
      <c r="L304" t="n">
        <v>0</v>
      </c>
      <c r="M304" t="n">
        <v>0</v>
      </c>
      <c r="N304" t="n">
        <v>0</v>
      </c>
      <c r="O304" t="n">
        <v>0</v>
      </c>
      <c r="P304" t="n">
        <v>0</v>
      </c>
      <c r="Q304" t="n">
        <v>0</v>
      </c>
      <c r="R304" s="2" t="inlineStr"/>
    </row>
    <row r="305" ht="15" customHeight="1">
      <c r="A305" t="inlineStr">
        <is>
          <t>A 36259-2022</t>
        </is>
      </c>
      <c r="B305" s="1" t="n">
        <v>44803.59118055556</v>
      </c>
      <c r="C305" s="1" t="n">
        <v>45965</v>
      </c>
      <c r="D305" t="inlineStr">
        <is>
          <t>KALMAR LÄN</t>
        </is>
      </c>
      <c r="E305" t="inlineStr">
        <is>
          <t>VIMMERBY</t>
        </is>
      </c>
      <c r="G305" t="n">
        <v>3.9</v>
      </c>
      <c r="H305" t="n">
        <v>0</v>
      </c>
      <c r="I305" t="n">
        <v>0</v>
      </c>
      <c r="J305" t="n">
        <v>0</v>
      </c>
      <c r="K305" t="n">
        <v>0</v>
      </c>
      <c r="L305" t="n">
        <v>0</v>
      </c>
      <c r="M305" t="n">
        <v>0</v>
      </c>
      <c r="N305" t="n">
        <v>0</v>
      </c>
      <c r="O305" t="n">
        <v>0</v>
      </c>
      <c r="P305" t="n">
        <v>0</v>
      </c>
      <c r="Q305" t="n">
        <v>0</v>
      </c>
      <c r="R305" s="2" t="inlineStr"/>
    </row>
    <row r="306" ht="15" customHeight="1">
      <c r="A306" t="inlineStr">
        <is>
          <t>A 7485-2024</t>
        </is>
      </c>
      <c r="B306" s="1" t="n">
        <v>45346.67184027778</v>
      </c>
      <c r="C306" s="1" t="n">
        <v>45965</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36526-2023</t>
        </is>
      </c>
      <c r="B307" s="1" t="n">
        <v>45153.32778935185</v>
      </c>
      <c r="C307" s="1" t="n">
        <v>45965</v>
      </c>
      <c r="D307" t="inlineStr">
        <is>
          <t>KALMAR LÄN</t>
        </is>
      </c>
      <c r="E307" t="inlineStr">
        <is>
          <t>VIMMERBY</t>
        </is>
      </c>
      <c r="G307" t="n">
        <v>2.7</v>
      </c>
      <c r="H307" t="n">
        <v>0</v>
      </c>
      <c r="I307" t="n">
        <v>0</v>
      </c>
      <c r="J307" t="n">
        <v>0</v>
      </c>
      <c r="K307" t="n">
        <v>0</v>
      </c>
      <c r="L307" t="n">
        <v>0</v>
      </c>
      <c r="M307" t="n">
        <v>0</v>
      </c>
      <c r="N307" t="n">
        <v>0</v>
      </c>
      <c r="O307" t="n">
        <v>0</v>
      </c>
      <c r="P307" t="n">
        <v>0</v>
      </c>
      <c r="Q307" t="n">
        <v>0</v>
      </c>
      <c r="R307" s="2" t="inlineStr"/>
    </row>
    <row r="308" ht="15" customHeight="1">
      <c r="A308" t="inlineStr">
        <is>
          <t>A 17988-2025</t>
        </is>
      </c>
      <c r="B308" s="1" t="n">
        <v>45761.39600694444</v>
      </c>
      <c r="C308" s="1" t="n">
        <v>45965</v>
      </c>
      <c r="D308" t="inlineStr">
        <is>
          <t>KALMAR LÄN</t>
        </is>
      </c>
      <c r="E308" t="inlineStr">
        <is>
          <t>VIMMERBY</t>
        </is>
      </c>
      <c r="G308" t="n">
        <v>2.8</v>
      </c>
      <c r="H308" t="n">
        <v>0</v>
      </c>
      <c r="I308" t="n">
        <v>0</v>
      </c>
      <c r="J308" t="n">
        <v>0</v>
      </c>
      <c r="K308" t="n">
        <v>0</v>
      </c>
      <c r="L308" t="n">
        <v>0</v>
      </c>
      <c r="M308" t="n">
        <v>0</v>
      </c>
      <c r="N308" t="n">
        <v>0</v>
      </c>
      <c r="O308" t="n">
        <v>0</v>
      </c>
      <c r="P308" t="n">
        <v>0</v>
      </c>
      <c r="Q308" t="n">
        <v>0</v>
      </c>
      <c r="R308" s="2" t="inlineStr"/>
    </row>
    <row r="309" ht="15" customHeight="1">
      <c r="A309" t="inlineStr">
        <is>
          <t>A 13457-2021</t>
        </is>
      </c>
      <c r="B309" s="1" t="n">
        <v>44273</v>
      </c>
      <c r="C309" s="1" t="n">
        <v>45965</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49313-2022</t>
        </is>
      </c>
      <c r="B310" s="1" t="n">
        <v>44861.52505787037</v>
      </c>
      <c r="C310" s="1" t="n">
        <v>45965</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35998-2024</t>
        </is>
      </c>
      <c r="B311" s="1" t="n">
        <v>45533.54429398148</v>
      </c>
      <c r="C311" s="1" t="n">
        <v>45965</v>
      </c>
      <c r="D311" t="inlineStr">
        <is>
          <t>KALMAR LÄN</t>
        </is>
      </c>
      <c r="E311" t="inlineStr">
        <is>
          <t>VIMMERBY</t>
        </is>
      </c>
      <c r="G311" t="n">
        <v>8.6</v>
      </c>
      <c r="H311" t="n">
        <v>0</v>
      </c>
      <c r="I311" t="n">
        <v>0</v>
      </c>
      <c r="J311" t="n">
        <v>0</v>
      </c>
      <c r="K311" t="n">
        <v>0</v>
      </c>
      <c r="L311" t="n">
        <v>0</v>
      </c>
      <c r="M311" t="n">
        <v>0</v>
      </c>
      <c r="N311" t="n">
        <v>0</v>
      </c>
      <c r="O311" t="n">
        <v>0</v>
      </c>
      <c r="P311" t="n">
        <v>0</v>
      </c>
      <c r="Q311" t="n">
        <v>0</v>
      </c>
      <c r="R311" s="2" t="inlineStr"/>
    </row>
    <row r="312" ht="15" customHeight="1">
      <c r="A312" t="inlineStr">
        <is>
          <t>A 36040-2024</t>
        </is>
      </c>
      <c r="B312" s="1" t="n">
        <v>45533.60232638889</v>
      </c>
      <c r="C312" s="1" t="n">
        <v>45965</v>
      </c>
      <c r="D312" t="inlineStr">
        <is>
          <t>KALMAR LÄN</t>
        </is>
      </c>
      <c r="E312" t="inlineStr">
        <is>
          <t>VIMMERBY</t>
        </is>
      </c>
      <c r="F312" t="inlineStr">
        <is>
          <t>Kommuner</t>
        </is>
      </c>
      <c r="G312" t="n">
        <v>3.6</v>
      </c>
      <c r="H312" t="n">
        <v>0</v>
      </c>
      <c r="I312" t="n">
        <v>0</v>
      </c>
      <c r="J312" t="n">
        <v>0</v>
      </c>
      <c r="K312" t="n">
        <v>0</v>
      </c>
      <c r="L312" t="n">
        <v>0</v>
      </c>
      <c r="M312" t="n">
        <v>0</v>
      </c>
      <c r="N312" t="n">
        <v>0</v>
      </c>
      <c r="O312" t="n">
        <v>0</v>
      </c>
      <c r="P312" t="n">
        <v>0</v>
      </c>
      <c r="Q312" t="n">
        <v>0</v>
      </c>
      <c r="R312" s="2" t="inlineStr"/>
    </row>
    <row r="313" ht="15" customHeight="1">
      <c r="A313" t="inlineStr">
        <is>
          <t>A 36043-2024</t>
        </is>
      </c>
      <c r="B313" s="1" t="n">
        <v>45533.60770833334</v>
      </c>
      <c r="C313" s="1" t="n">
        <v>45965</v>
      </c>
      <c r="D313" t="inlineStr">
        <is>
          <t>KALMAR LÄN</t>
        </is>
      </c>
      <c r="E313" t="inlineStr">
        <is>
          <t>VIMMERBY</t>
        </is>
      </c>
      <c r="F313" t="inlineStr">
        <is>
          <t>Kommuner</t>
        </is>
      </c>
      <c r="G313" t="n">
        <v>1.5</v>
      </c>
      <c r="H313" t="n">
        <v>0</v>
      </c>
      <c r="I313" t="n">
        <v>0</v>
      </c>
      <c r="J313" t="n">
        <v>0</v>
      </c>
      <c r="K313" t="n">
        <v>0</v>
      </c>
      <c r="L313" t="n">
        <v>0</v>
      </c>
      <c r="M313" t="n">
        <v>0</v>
      </c>
      <c r="N313" t="n">
        <v>0</v>
      </c>
      <c r="O313" t="n">
        <v>0</v>
      </c>
      <c r="P313" t="n">
        <v>0</v>
      </c>
      <c r="Q313" t="n">
        <v>0</v>
      </c>
      <c r="R313" s="2" t="inlineStr"/>
    </row>
    <row r="314" ht="15" customHeight="1">
      <c r="A314" t="inlineStr">
        <is>
          <t>A 14278-2021</t>
        </is>
      </c>
      <c r="B314" s="1" t="n">
        <v>44278.63479166666</v>
      </c>
      <c r="C314" s="1" t="n">
        <v>45965</v>
      </c>
      <c r="D314" t="inlineStr">
        <is>
          <t>KALMAR LÄN</t>
        </is>
      </c>
      <c r="E314" t="inlineStr">
        <is>
          <t>VIMMERBY</t>
        </is>
      </c>
      <c r="F314" t="inlineStr">
        <is>
          <t>Övriga statliga verk och myndigheter</t>
        </is>
      </c>
      <c r="G314" t="n">
        <v>0.8</v>
      </c>
      <c r="H314" t="n">
        <v>0</v>
      </c>
      <c r="I314" t="n">
        <v>0</v>
      </c>
      <c r="J314" t="n">
        <v>0</v>
      </c>
      <c r="K314" t="n">
        <v>0</v>
      </c>
      <c r="L314" t="n">
        <v>0</v>
      </c>
      <c r="M314" t="n">
        <v>0</v>
      </c>
      <c r="N314" t="n">
        <v>0</v>
      </c>
      <c r="O314" t="n">
        <v>0</v>
      </c>
      <c r="P314" t="n">
        <v>0</v>
      </c>
      <c r="Q314" t="n">
        <v>0</v>
      </c>
      <c r="R314" s="2" t="inlineStr"/>
    </row>
    <row r="315" ht="15" customHeight="1">
      <c r="A315" t="inlineStr">
        <is>
          <t>A 29350-2023</t>
        </is>
      </c>
      <c r="B315" s="1" t="n">
        <v>45106</v>
      </c>
      <c r="C315" s="1" t="n">
        <v>45965</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29351-2023</t>
        </is>
      </c>
      <c r="B316" s="1" t="n">
        <v>45106.2610300926</v>
      </c>
      <c r="C316" s="1" t="n">
        <v>45965</v>
      </c>
      <c r="D316" t="inlineStr">
        <is>
          <t>KALMAR LÄN</t>
        </is>
      </c>
      <c r="E316" t="inlineStr">
        <is>
          <t>VIMMERBY</t>
        </is>
      </c>
      <c r="G316" t="n">
        <v>0.4</v>
      </c>
      <c r="H316" t="n">
        <v>0</v>
      </c>
      <c r="I316" t="n">
        <v>0</v>
      </c>
      <c r="J316" t="n">
        <v>0</v>
      </c>
      <c r="K316" t="n">
        <v>0</v>
      </c>
      <c r="L316" t="n">
        <v>0</v>
      </c>
      <c r="M316" t="n">
        <v>0</v>
      </c>
      <c r="N316" t="n">
        <v>0</v>
      </c>
      <c r="O316" t="n">
        <v>0</v>
      </c>
      <c r="P316" t="n">
        <v>0</v>
      </c>
      <c r="Q316" t="n">
        <v>0</v>
      </c>
      <c r="R316" s="2" t="inlineStr"/>
    </row>
    <row r="317" ht="15" customHeight="1">
      <c r="A317" t="inlineStr">
        <is>
          <t>A 6574-2023</t>
        </is>
      </c>
      <c r="B317" s="1" t="n">
        <v>44966</v>
      </c>
      <c r="C317" s="1" t="n">
        <v>45965</v>
      </c>
      <c r="D317" t="inlineStr">
        <is>
          <t>KALMAR LÄN</t>
        </is>
      </c>
      <c r="E317" t="inlineStr">
        <is>
          <t>VIMMERBY</t>
        </is>
      </c>
      <c r="G317" t="n">
        <v>2.5</v>
      </c>
      <c r="H317" t="n">
        <v>0</v>
      </c>
      <c r="I317" t="n">
        <v>0</v>
      </c>
      <c r="J317" t="n">
        <v>0</v>
      </c>
      <c r="K317" t="n">
        <v>0</v>
      </c>
      <c r="L317" t="n">
        <v>0</v>
      </c>
      <c r="M317" t="n">
        <v>0</v>
      </c>
      <c r="N317" t="n">
        <v>0</v>
      </c>
      <c r="O317" t="n">
        <v>0</v>
      </c>
      <c r="P317" t="n">
        <v>0</v>
      </c>
      <c r="Q317" t="n">
        <v>0</v>
      </c>
      <c r="R317" s="2" t="inlineStr"/>
    </row>
    <row r="318" ht="15" customHeight="1">
      <c r="A318" t="inlineStr">
        <is>
          <t>A 22197-2024</t>
        </is>
      </c>
      <c r="B318" s="1" t="n">
        <v>45446.36774305555</v>
      </c>
      <c r="C318" s="1" t="n">
        <v>45965</v>
      </c>
      <c r="D318" t="inlineStr">
        <is>
          <t>KALMAR LÄN</t>
        </is>
      </c>
      <c r="E318" t="inlineStr">
        <is>
          <t>VIMMERBY</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20054-2023</t>
        </is>
      </c>
      <c r="B319" s="1" t="n">
        <v>45054.6750462963</v>
      </c>
      <c r="C319" s="1" t="n">
        <v>45965</v>
      </c>
      <c r="D319" t="inlineStr">
        <is>
          <t>KALMAR LÄN</t>
        </is>
      </c>
      <c r="E319" t="inlineStr">
        <is>
          <t>VIMMERBY</t>
        </is>
      </c>
      <c r="G319" t="n">
        <v>2.4</v>
      </c>
      <c r="H319" t="n">
        <v>0</v>
      </c>
      <c r="I319" t="n">
        <v>0</v>
      </c>
      <c r="J319" t="n">
        <v>0</v>
      </c>
      <c r="K319" t="n">
        <v>0</v>
      </c>
      <c r="L319" t="n">
        <v>0</v>
      </c>
      <c r="M319" t="n">
        <v>0</v>
      </c>
      <c r="N319" t="n">
        <v>0</v>
      </c>
      <c r="O319" t="n">
        <v>0</v>
      </c>
      <c r="P319" t="n">
        <v>0</v>
      </c>
      <c r="Q319" t="n">
        <v>0</v>
      </c>
      <c r="R319" s="2" t="inlineStr"/>
    </row>
    <row r="320" ht="15" customHeight="1">
      <c r="A320" t="inlineStr">
        <is>
          <t>A 6474-2025</t>
        </is>
      </c>
      <c r="B320" s="1" t="n">
        <v>45699.60055555555</v>
      </c>
      <c r="C320" s="1" t="n">
        <v>45965</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35710-2023</t>
        </is>
      </c>
      <c r="B321" s="1" t="n">
        <v>45147.67096064815</v>
      </c>
      <c r="C321" s="1" t="n">
        <v>45965</v>
      </c>
      <c r="D321" t="inlineStr">
        <is>
          <t>KALMAR LÄN</t>
        </is>
      </c>
      <c r="E321" t="inlineStr">
        <is>
          <t>VIMMERBY</t>
        </is>
      </c>
      <c r="G321" t="n">
        <v>3.1</v>
      </c>
      <c r="H321" t="n">
        <v>0</v>
      </c>
      <c r="I321" t="n">
        <v>0</v>
      </c>
      <c r="J321" t="n">
        <v>0</v>
      </c>
      <c r="K321" t="n">
        <v>0</v>
      </c>
      <c r="L321" t="n">
        <v>0</v>
      </c>
      <c r="M321" t="n">
        <v>0</v>
      </c>
      <c r="N321" t="n">
        <v>0</v>
      </c>
      <c r="O321" t="n">
        <v>0</v>
      </c>
      <c r="P321" t="n">
        <v>0</v>
      </c>
      <c r="Q321" t="n">
        <v>0</v>
      </c>
      <c r="R321" s="2" t="inlineStr"/>
    </row>
    <row r="322" ht="15" customHeight="1">
      <c r="A322" t="inlineStr">
        <is>
          <t>A 35711-2023</t>
        </is>
      </c>
      <c r="B322" s="1" t="n">
        <v>45147.67172453704</v>
      </c>
      <c r="C322" s="1" t="n">
        <v>45965</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58750-2022</t>
        </is>
      </c>
      <c r="B323" s="1" t="n">
        <v>44903.33363425926</v>
      </c>
      <c r="C323" s="1" t="n">
        <v>45965</v>
      </c>
      <c r="D323" t="inlineStr">
        <is>
          <t>KALMAR LÄN</t>
        </is>
      </c>
      <c r="E323" t="inlineStr">
        <is>
          <t>VIMMERBY</t>
        </is>
      </c>
      <c r="G323" t="n">
        <v>3.3</v>
      </c>
      <c r="H323" t="n">
        <v>0</v>
      </c>
      <c r="I323" t="n">
        <v>0</v>
      </c>
      <c r="J323" t="n">
        <v>0</v>
      </c>
      <c r="K323" t="n">
        <v>0</v>
      </c>
      <c r="L323" t="n">
        <v>0</v>
      </c>
      <c r="M323" t="n">
        <v>0</v>
      </c>
      <c r="N323" t="n">
        <v>0</v>
      </c>
      <c r="O323" t="n">
        <v>0</v>
      </c>
      <c r="P323" t="n">
        <v>0</v>
      </c>
      <c r="Q323" t="n">
        <v>0</v>
      </c>
      <c r="R323" s="2" t="inlineStr"/>
    </row>
    <row r="324" ht="15" customHeight="1">
      <c r="A324" t="inlineStr">
        <is>
          <t>A 46365-2025</t>
        </is>
      </c>
      <c r="B324" s="1" t="n">
        <v>45925.50075231482</v>
      </c>
      <c r="C324" s="1" t="n">
        <v>45965</v>
      </c>
      <c r="D324" t="inlineStr">
        <is>
          <t>KALMAR LÄN</t>
        </is>
      </c>
      <c r="E324" t="inlineStr">
        <is>
          <t>VIMMERBY</t>
        </is>
      </c>
      <c r="G324" t="n">
        <v>5.6</v>
      </c>
      <c r="H324" t="n">
        <v>0</v>
      </c>
      <c r="I324" t="n">
        <v>0</v>
      </c>
      <c r="J324" t="n">
        <v>0</v>
      </c>
      <c r="K324" t="n">
        <v>0</v>
      </c>
      <c r="L324" t="n">
        <v>0</v>
      </c>
      <c r="M324" t="n">
        <v>0</v>
      </c>
      <c r="N324" t="n">
        <v>0</v>
      </c>
      <c r="O324" t="n">
        <v>0</v>
      </c>
      <c r="P324" t="n">
        <v>0</v>
      </c>
      <c r="Q324" t="n">
        <v>0</v>
      </c>
      <c r="R324" s="2" t="inlineStr"/>
    </row>
    <row r="325" ht="15" customHeight="1">
      <c r="A325" t="inlineStr">
        <is>
          <t>A 17-2025</t>
        </is>
      </c>
      <c r="B325" s="1" t="n">
        <v>45658.78774305555</v>
      </c>
      <c r="C325" s="1" t="n">
        <v>45965</v>
      </c>
      <c r="D325" t="inlineStr">
        <is>
          <t>KALMAR LÄN</t>
        </is>
      </c>
      <c r="E325" t="inlineStr">
        <is>
          <t>VIMMERBY</t>
        </is>
      </c>
      <c r="G325" t="n">
        <v>4.4</v>
      </c>
      <c r="H325" t="n">
        <v>0</v>
      </c>
      <c r="I325" t="n">
        <v>0</v>
      </c>
      <c r="J325" t="n">
        <v>0</v>
      </c>
      <c r="K325" t="n">
        <v>0</v>
      </c>
      <c r="L325" t="n">
        <v>0</v>
      </c>
      <c r="M325" t="n">
        <v>0</v>
      </c>
      <c r="N325" t="n">
        <v>0</v>
      </c>
      <c r="O325" t="n">
        <v>0</v>
      </c>
      <c r="P325" t="n">
        <v>0</v>
      </c>
      <c r="Q325" t="n">
        <v>0</v>
      </c>
      <c r="R325" s="2" t="inlineStr"/>
    </row>
    <row r="326" ht="15" customHeight="1">
      <c r="A326" t="inlineStr">
        <is>
          <t>A 57555-2024</t>
        </is>
      </c>
      <c r="B326" s="1" t="n">
        <v>45630.45069444444</v>
      </c>
      <c r="C326" s="1" t="n">
        <v>45965</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2260-2022</t>
        </is>
      </c>
      <c r="B327" s="1" t="n">
        <v>44578.62943287037</v>
      </c>
      <c r="C327" s="1" t="n">
        <v>45965</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18411-2021</t>
        </is>
      </c>
      <c r="B328" s="1" t="n">
        <v>44302</v>
      </c>
      <c r="C328" s="1" t="n">
        <v>45965</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52279-2023</t>
        </is>
      </c>
      <c r="B329" s="1" t="n">
        <v>45224</v>
      </c>
      <c r="C329" s="1" t="n">
        <v>45965</v>
      </c>
      <c r="D329" t="inlineStr">
        <is>
          <t>KALMAR LÄN</t>
        </is>
      </c>
      <c r="E329" t="inlineStr">
        <is>
          <t>VIMMERBY</t>
        </is>
      </c>
      <c r="G329" t="n">
        <v>1.8</v>
      </c>
      <c r="H329" t="n">
        <v>0</v>
      </c>
      <c r="I329" t="n">
        <v>0</v>
      </c>
      <c r="J329" t="n">
        <v>0</v>
      </c>
      <c r="K329" t="n">
        <v>0</v>
      </c>
      <c r="L329" t="n">
        <v>0</v>
      </c>
      <c r="M329" t="n">
        <v>0</v>
      </c>
      <c r="N329" t="n">
        <v>0</v>
      </c>
      <c r="O329" t="n">
        <v>0</v>
      </c>
      <c r="P329" t="n">
        <v>0</v>
      </c>
      <c r="Q329" t="n">
        <v>0</v>
      </c>
      <c r="R329" s="2" t="inlineStr"/>
    </row>
    <row r="330" ht="15" customHeight="1">
      <c r="A330" t="inlineStr">
        <is>
          <t>A 52324-2023</t>
        </is>
      </c>
      <c r="B330" s="1" t="n">
        <v>45224.64659722222</v>
      </c>
      <c r="C330" s="1" t="n">
        <v>45965</v>
      </c>
      <c r="D330" t="inlineStr">
        <is>
          <t>KALMAR LÄN</t>
        </is>
      </c>
      <c r="E330" t="inlineStr">
        <is>
          <t>VIMMERBY</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34588-2024</t>
        </is>
      </c>
      <c r="B331" s="1" t="n">
        <v>45526.3865625</v>
      </c>
      <c r="C331" s="1" t="n">
        <v>45965</v>
      </c>
      <c r="D331" t="inlineStr">
        <is>
          <t>KALMAR LÄN</t>
        </is>
      </c>
      <c r="E331" t="inlineStr">
        <is>
          <t>VIMMERBY</t>
        </is>
      </c>
      <c r="F331" t="inlineStr">
        <is>
          <t>Övriga Aktiebolag</t>
        </is>
      </c>
      <c r="G331" t="n">
        <v>3.3</v>
      </c>
      <c r="H331" t="n">
        <v>0</v>
      </c>
      <c r="I331" t="n">
        <v>0</v>
      </c>
      <c r="J331" t="n">
        <v>0</v>
      </c>
      <c r="K331" t="n">
        <v>0</v>
      </c>
      <c r="L331" t="n">
        <v>0</v>
      </c>
      <c r="M331" t="n">
        <v>0</v>
      </c>
      <c r="N331" t="n">
        <v>0</v>
      </c>
      <c r="O331" t="n">
        <v>0</v>
      </c>
      <c r="P331" t="n">
        <v>0</v>
      </c>
      <c r="Q331" t="n">
        <v>0</v>
      </c>
      <c r="R331" s="2" t="inlineStr"/>
    </row>
    <row r="332" ht="15" customHeight="1">
      <c r="A332" t="inlineStr">
        <is>
          <t>A 50860-2022</t>
        </is>
      </c>
      <c r="B332" s="1" t="n">
        <v>44867</v>
      </c>
      <c r="C332" s="1" t="n">
        <v>45965</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53483-2022</t>
        </is>
      </c>
      <c r="B333" s="1" t="n">
        <v>44879.55940972222</v>
      </c>
      <c r="C333" s="1" t="n">
        <v>45965</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56659-2023</t>
        </is>
      </c>
      <c r="B334" s="1" t="n">
        <v>45243.84869212963</v>
      </c>
      <c r="C334" s="1" t="n">
        <v>45965</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58962-2022</t>
        </is>
      </c>
      <c r="B335" s="1" t="n">
        <v>44903</v>
      </c>
      <c r="C335" s="1" t="n">
        <v>45965</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58967-2022</t>
        </is>
      </c>
      <c r="B336" s="1" t="n">
        <v>44896</v>
      </c>
      <c r="C336" s="1" t="n">
        <v>45965</v>
      </c>
      <c r="D336" t="inlineStr">
        <is>
          <t>KALMAR LÄN</t>
        </is>
      </c>
      <c r="E336" t="inlineStr">
        <is>
          <t>VIMMERBY</t>
        </is>
      </c>
      <c r="G336" t="n">
        <v>5</v>
      </c>
      <c r="H336" t="n">
        <v>0</v>
      </c>
      <c r="I336" t="n">
        <v>0</v>
      </c>
      <c r="J336" t="n">
        <v>0</v>
      </c>
      <c r="K336" t="n">
        <v>0</v>
      </c>
      <c r="L336" t="n">
        <v>0</v>
      </c>
      <c r="M336" t="n">
        <v>0</v>
      </c>
      <c r="N336" t="n">
        <v>0</v>
      </c>
      <c r="O336" t="n">
        <v>0</v>
      </c>
      <c r="P336" t="n">
        <v>0</v>
      </c>
      <c r="Q336" t="n">
        <v>0</v>
      </c>
      <c r="R336" s="2" t="inlineStr"/>
    </row>
    <row r="337" ht="15" customHeight="1">
      <c r="A337" t="inlineStr">
        <is>
          <t>A 57682-2022</t>
        </is>
      </c>
      <c r="B337" s="1" t="n">
        <v>44890</v>
      </c>
      <c r="C337" s="1" t="n">
        <v>45965</v>
      </c>
      <c r="D337" t="inlineStr">
        <is>
          <t>KALMAR LÄN</t>
        </is>
      </c>
      <c r="E337" t="inlineStr">
        <is>
          <t>VIMMERBY</t>
        </is>
      </c>
      <c r="G337" t="n">
        <v>1.5</v>
      </c>
      <c r="H337" t="n">
        <v>0</v>
      </c>
      <c r="I337" t="n">
        <v>0</v>
      </c>
      <c r="J337" t="n">
        <v>0</v>
      </c>
      <c r="K337" t="n">
        <v>0</v>
      </c>
      <c r="L337" t="n">
        <v>0</v>
      </c>
      <c r="M337" t="n">
        <v>0</v>
      </c>
      <c r="N337" t="n">
        <v>0</v>
      </c>
      <c r="O337" t="n">
        <v>0</v>
      </c>
      <c r="P337" t="n">
        <v>0</v>
      </c>
      <c r="Q337" t="n">
        <v>0</v>
      </c>
      <c r="R337" s="2" t="inlineStr"/>
    </row>
    <row r="338" ht="15" customHeight="1">
      <c r="A338" t="inlineStr">
        <is>
          <t>A 32639-2023</t>
        </is>
      </c>
      <c r="B338" s="1" t="n">
        <v>45121.5965162037</v>
      </c>
      <c r="C338" s="1" t="n">
        <v>45965</v>
      </c>
      <c r="D338" t="inlineStr">
        <is>
          <t>KALMAR LÄN</t>
        </is>
      </c>
      <c r="E338" t="inlineStr">
        <is>
          <t>VIMMERBY</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32642-2023</t>
        </is>
      </c>
      <c r="B339" s="1" t="n">
        <v>45121.59954861111</v>
      </c>
      <c r="C339" s="1" t="n">
        <v>45965</v>
      </c>
      <c r="D339" t="inlineStr">
        <is>
          <t>KALMAR LÄN</t>
        </is>
      </c>
      <c r="E339" t="inlineStr">
        <is>
          <t>VIMMERBY</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32651-2023</t>
        </is>
      </c>
      <c r="B340" s="1" t="n">
        <v>45121.6096875</v>
      </c>
      <c r="C340" s="1" t="n">
        <v>45965</v>
      </c>
      <c r="D340" t="inlineStr">
        <is>
          <t>KALMAR LÄN</t>
        </is>
      </c>
      <c r="E340" t="inlineStr">
        <is>
          <t>VIMMERBY</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45856-2025</t>
        </is>
      </c>
      <c r="B341" s="1" t="n">
        <v>45923</v>
      </c>
      <c r="C341" s="1" t="n">
        <v>45965</v>
      </c>
      <c r="D341" t="inlineStr">
        <is>
          <t>KALMAR LÄN</t>
        </is>
      </c>
      <c r="E341" t="inlineStr">
        <is>
          <t>VIMMERBY</t>
        </is>
      </c>
      <c r="G341" t="n">
        <v>2.1</v>
      </c>
      <c r="H341" t="n">
        <v>0</v>
      </c>
      <c r="I341" t="n">
        <v>0</v>
      </c>
      <c r="J341" t="n">
        <v>0</v>
      </c>
      <c r="K341" t="n">
        <v>0</v>
      </c>
      <c r="L341" t="n">
        <v>0</v>
      </c>
      <c r="M341" t="n">
        <v>0</v>
      </c>
      <c r="N341" t="n">
        <v>0</v>
      </c>
      <c r="O341" t="n">
        <v>0</v>
      </c>
      <c r="P341" t="n">
        <v>0</v>
      </c>
      <c r="Q341" t="n">
        <v>0</v>
      </c>
      <c r="R341" s="2" t="inlineStr"/>
    </row>
    <row r="342" ht="15" customHeight="1">
      <c r="A342" t="inlineStr">
        <is>
          <t>A 40730-2024</t>
        </is>
      </c>
      <c r="B342" s="1" t="n">
        <v>45558.44914351852</v>
      </c>
      <c r="C342" s="1" t="n">
        <v>45965</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9643-2023</t>
        </is>
      </c>
      <c r="B343" s="1" t="n">
        <v>44984</v>
      </c>
      <c r="C343" s="1" t="n">
        <v>45965</v>
      </c>
      <c r="D343" t="inlineStr">
        <is>
          <t>KALMAR LÄN</t>
        </is>
      </c>
      <c r="E343" t="inlineStr">
        <is>
          <t>VIMMERBY</t>
        </is>
      </c>
      <c r="G343" t="n">
        <v>2</v>
      </c>
      <c r="H343" t="n">
        <v>0</v>
      </c>
      <c r="I343" t="n">
        <v>0</v>
      </c>
      <c r="J343" t="n">
        <v>0</v>
      </c>
      <c r="K343" t="n">
        <v>0</v>
      </c>
      <c r="L343" t="n">
        <v>0</v>
      </c>
      <c r="M343" t="n">
        <v>0</v>
      </c>
      <c r="N343" t="n">
        <v>0</v>
      </c>
      <c r="O343" t="n">
        <v>0</v>
      </c>
      <c r="P343" t="n">
        <v>0</v>
      </c>
      <c r="Q343" t="n">
        <v>0</v>
      </c>
      <c r="R343" s="2" t="inlineStr"/>
    </row>
    <row r="344" ht="15" customHeight="1">
      <c r="A344" t="inlineStr">
        <is>
          <t>A 56213-2024</t>
        </is>
      </c>
      <c r="B344" s="1" t="n">
        <v>45624.60141203704</v>
      </c>
      <c r="C344" s="1" t="n">
        <v>45965</v>
      </c>
      <c r="D344" t="inlineStr">
        <is>
          <t>KALMAR LÄN</t>
        </is>
      </c>
      <c r="E344" t="inlineStr">
        <is>
          <t>VIMMERBY</t>
        </is>
      </c>
      <c r="G344" t="n">
        <v>1</v>
      </c>
      <c r="H344" t="n">
        <v>0</v>
      </c>
      <c r="I344" t="n">
        <v>0</v>
      </c>
      <c r="J344" t="n">
        <v>0</v>
      </c>
      <c r="K344" t="n">
        <v>0</v>
      </c>
      <c r="L344" t="n">
        <v>0</v>
      </c>
      <c r="M344" t="n">
        <v>0</v>
      </c>
      <c r="N344" t="n">
        <v>0</v>
      </c>
      <c r="O344" t="n">
        <v>0</v>
      </c>
      <c r="P344" t="n">
        <v>0</v>
      </c>
      <c r="Q344" t="n">
        <v>0</v>
      </c>
      <c r="R344" s="2" t="inlineStr"/>
    </row>
    <row r="345" ht="15" customHeight="1">
      <c r="A345" t="inlineStr">
        <is>
          <t>A 20126-2024</t>
        </is>
      </c>
      <c r="B345" s="1" t="n">
        <v>45434.55471064815</v>
      </c>
      <c r="C345" s="1" t="n">
        <v>45965</v>
      </c>
      <c r="D345" t="inlineStr">
        <is>
          <t>KALMAR LÄN</t>
        </is>
      </c>
      <c r="E345" t="inlineStr">
        <is>
          <t>VIMMERBY</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19865-2021</t>
        </is>
      </c>
      <c r="B346" s="1" t="n">
        <v>44312</v>
      </c>
      <c r="C346" s="1" t="n">
        <v>45965</v>
      </c>
      <c r="D346" t="inlineStr">
        <is>
          <t>KALMAR LÄN</t>
        </is>
      </c>
      <c r="E346" t="inlineStr">
        <is>
          <t>VIMMERBY</t>
        </is>
      </c>
      <c r="G346" t="n">
        <v>8.6</v>
      </c>
      <c r="H346" t="n">
        <v>0</v>
      </c>
      <c r="I346" t="n">
        <v>0</v>
      </c>
      <c r="J346" t="n">
        <v>0</v>
      </c>
      <c r="K346" t="n">
        <v>0</v>
      </c>
      <c r="L346" t="n">
        <v>0</v>
      </c>
      <c r="M346" t="n">
        <v>0</v>
      </c>
      <c r="N346" t="n">
        <v>0</v>
      </c>
      <c r="O346" t="n">
        <v>0</v>
      </c>
      <c r="P346" t="n">
        <v>0</v>
      </c>
      <c r="Q346" t="n">
        <v>0</v>
      </c>
      <c r="R346" s="2" t="inlineStr"/>
    </row>
    <row r="347" ht="15" customHeight="1">
      <c r="A347" t="inlineStr">
        <is>
          <t>A 4076-2022</t>
        </is>
      </c>
      <c r="B347" s="1" t="n">
        <v>44588.37998842593</v>
      </c>
      <c r="C347" s="1" t="n">
        <v>45965</v>
      </c>
      <c r="D347" t="inlineStr">
        <is>
          <t>KALMAR LÄN</t>
        </is>
      </c>
      <c r="E347" t="inlineStr">
        <is>
          <t>VIMMERBY</t>
        </is>
      </c>
      <c r="G347" t="n">
        <v>3</v>
      </c>
      <c r="H347" t="n">
        <v>0</v>
      </c>
      <c r="I347" t="n">
        <v>0</v>
      </c>
      <c r="J347" t="n">
        <v>0</v>
      </c>
      <c r="K347" t="n">
        <v>0</v>
      </c>
      <c r="L347" t="n">
        <v>0</v>
      </c>
      <c r="M347" t="n">
        <v>0</v>
      </c>
      <c r="N347" t="n">
        <v>0</v>
      </c>
      <c r="O347" t="n">
        <v>0</v>
      </c>
      <c r="P347" t="n">
        <v>0</v>
      </c>
      <c r="Q347" t="n">
        <v>0</v>
      </c>
      <c r="R347" s="2" t="inlineStr"/>
    </row>
    <row r="348" ht="15" customHeight="1">
      <c r="A348" t="inlineStr">
        <is>
          <t>A 4122-2022</t>
        </is>
      </c>
      <c r="B348" s="1" t="n">
        <v>44588</v>
      </c>
      <c r="C348" s="1" t="n">
        <v>45965</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9694-2023</t>
        </is>
      </c>
      <c r="B349" s="1" t="n">
        <v>44984.45895833334</v>
      </c>
      <c r="C349" s="1" t="n">
        <v>45965</v>
      </c>
      <c r="D349" t="inlineStr">
        <is>
          <t>KALMAR LÄN</t>
        </is>
      </c>
      <c r="E349" t="inlineStr">
        <is>
          <t>VIMMERBY</t>
        </is>
      </c>
      <c r="G349" t="n">
        <v>2.1</v>
      </c>
      <c r="H349" t="n">
        <v>0</v>
      </c>
      <c r="I349" t="n">
        <v>0</v>
      </c>
      <c r="J349" t="n">
        <v>0</v>
      </c>
      <c r="K349" t="n">
        <v>0</v>
      </c>
      <c r="L349" t="n">
        <v>0</v>
      </c>
      <c r="M349" t="n">
        <v>0</v>
      </c>
      <c r="N349" t="n">
        <v>0</v>
      </c>
      <c r="O349" t="n">
        <v>0</v>
      </c>
      <c r="P349" t="n">
        <v>0</v>
      </c>
      <c r="Q349" t="n">
        <v>0</v>
      </c>
      <c r="R349" s="2" t="inlineStr"/>
    </row>
    <row r="350" ht="15" customHeight="1">
      <c r="A350" t="inlineStr">
        <is>
          <t>A 9710-2023</t>
        </is>
      </c>
      <c r="B350" s="1" t="n">
        <v>44984</v>
      </c>
      <c r="C350" s="1" t="n">
        <v>45965</v>
      </c>
      <c r="D350" t="inlineStr">
        <is>
          <t>KALMAR LÄN</t>
        </is>
      </c>
      <c r="E350" t="inlineStr">
        <is>
          <t>VIMMERBY</t>
        </is>
      </c>
      <c r="G350" t="n">
        <v>3.7</v>
      </c>
      <c r="H350" t="n">
        <v>0</v>
      </c>
      <c r="I350" t="n">
        <v>0</v>
      </c>
      <c r="J350" t="n">
        <v>0</v>
      </c>
      <c r="K350" t="n">
        <v>0</v>
      </c>
      <c r="L350" t="n">
        <v>0</v>
      </c>
      <c r="M350" t="n">
        <v>0</v>
      </c>
      <c r="N350" t="n">
        <v>0</v>
      </c>
      <c r="O350" t="n">
        <v>0</v>
      </c>
      <c r="P350" t="n">
        <v>0</v>
      </c>
      <c r="Q350" t="n">
        <v>0</v>
      </c>
      <c r="R350" s="2" t="inlineStr"/>
    </row>
    <row r="351" ht="15" customHeight="1">
      <c r="A351" t="inlineStr">
        <is>
          <t>A 6216-2025</t>
        </is>
      </c>
      <c r="B351" s="1" t="n">
        <v>45698.52806712963</v>
      </c>
      <c r="C351" s="1" t="n">
        <v>45965</v>
      </c>
      <c r="D351" t="inlineStr">
        <is>
          <t>KALMAR LÄN</t>
        </is>
      </c>
      <c r="E351" t="inlineStr">
        <is>
          <t>VIMMERBY</t>
        </is>
      </c>
      <c r="G351" t="n">
        <v>1.2</v>
      </c>
      <c r="H351" t="n">
        <v>0</v>
      </c>
      <c r="I351" t="n">
        <v>0</v>
      </c>
      <c r="J351" t="n">
        <v>0</v>
      </c>
      <c r="K351" t="n">
        <v>0</v>
      </c>
      <c r="L351" t="n">
        <v>0</v>
      </c>
      <c r="M351" t="n">
        <v>0</v>
      </c>
      <c r="N351" t="n">
        <v>0</v>
      </c>
      <c r="O351" t="n">
        <v>0</v>
      </c>
      <c r="P351" t="n">
        <v>0</v>
      </c>
      <c r="Q351" t="n">
        <v>0</v>
      </c>
      <c r="R351" s="2" t="inlineStr"/>
    </row>
    <row r="352" ht="15" customHeight="1">
      <c r="A352" t="inlineStr">
        <is>
          <t>A 3331-2023</t>
        </is>
      </c>
      <c r="B352" s="1" t="n">
        <v>44949</v>
      </c>
      <c r="C352" s="1" t="n">
        <v>45965</v>
      </c>
      <c r="D352" t="inlineStr">
        <is>
          <t>KALMAR LÄN</t>
        </is>
      </c>
      <c r="E352" t="inlineStr">
        <is>
          <t>VIMMERBY</t>
        </is>
      </c>
      <c r="G352" t="n">
        <v>6.2</v>
      </c>
      <c r="H352" t="n">
        <v>0</v>
      </c>
      <c r="I352" t="n">
        <v>0</v>
      </c>
      <c r="J352" t="n">
        <v>0</v>
      </c>
      <c r="K352" t="n">
        <v>0</v>
      </c>
      <c r="L352" t="n">
        <v>0</v>
      </c>
      <c r="M352" t="n">
        <v>0</v>
      </c>
      <c r="N352" t="n">
        <v>0</v>
      </c>
      <c r="O352" t="n">
        <v>0</v>
      </c>
      <c r="P352" t="n">
        <v>0</v>
      </c>
      <c r="Q352" t="n">
        <v>0</v>
      </c>
      <c r="R352" s="2" t="inlineStr"/>
    </row>
    <row r="353" ht="15" customHeight="1">
      <c r="A353" t="inlineStr">
        <is>
          <t>A 65961-2020</t>
        </is>
      </c>
      <c r="B353" s="1" t="n">
        <v>44175.39748842592</v>
      </c>
      <c r="C353" s="1" t="n">
        <v>45965</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40828-2023</t>
        </is>
      </c>
      <c r="B354" s="1" t="n">
        <v>45171.96248842592</v>
      </c>
      <c r="C354" s="1" t="n">
        <v>45965</v>
      </c>
      <c r="D354" t="inlineStr">
        <is>
          <t>KALMAR LÄN</t>
        </is>
      </c>
      <c r="E354" t="inlineStr">
        <is>
          <t>VIMMERBY</t>
        </is>
      </c>
      <c r="G354" t="n">
        <v>0.6</v>
      </c>
      <c r="H354" t="n">
        <v>0</v>
      </c>
      <c r="I354" t="n">
        <v>0</v>
      </c>
      <c r="J354" t="n">
        <v>0</v>
      </c>
      <c r="K354" t="n">
        <v>0</v>
      </c>
      <c r="L354" t="n">
        <v>0</v>
      </c>
      <c r="M354" t="n">
        <v>0</v>
      </c>
      <c r="N354" t="n">
        <v>0</v>
      </c>
      <c r="O354" t="n">
        <v>0</v>
      </c>
      <c r="P354" t="n">
        <v>0</v>
      </c>
      <c r="Q354" t="n">
        <v>0</v>
      </c>
      <c r="R354" s="2" t="inlineStr"/>
    </row>
    <row r="355" ht="15" customHeight="1">
      <c r="A355" t="inlineStr">
        <is>
          <t>A 9624-2024</t>
        </is>
      </c>
      <c r="B355" s="1" t="n">
        <v>45361.90282407407</v>
      </c>
      <c r="C355" s="1" t="n">
        <v>45965</v>
      </c>
      <c r="D355" t="inlineStr">
        <is>
          <t>KALMAR LÄN</t>
        </is>
      </c>
      <c r="E355" t="inlineStr">
        <is>
          <t>VIMMERBY</t>
        </is>
      </c>
      <c r="G355" t="n">
        <v>3.8</v>
      </c>
      <c r="H355" t="n">
        <v>0</v>
      </c>
      <c r="I355" t="n">
        <v>0</v>
      </c>
      <c r="J355" t="n">
        <v>0</v>
      </c>
      <c r="K355" t="n">
        <v>0</v>
      </c>
      <c r="L355" t="n">
        <v>0</v>
      </c>
      <c r="M355" t="n">
        <v>0</v>
      </c>
      <c r="N355" t="n">
        <v>0</v>
      </c>
      <c r="O355" t="n">
        <v>0</v>
      </c>
      <c r="P355" t="n">
        <v>0</v>
      </c>
      <c r="Q355" t="n">
        <v>0</v>
      </c>
      <c r="R355" s="2" t="inlineStr"/>
    </row>
    <row r="356" ht="15" customHeight="1">
      <c r="A356" t="inlineStr">
        <is>
          <t>A 52327-2023</t>
        </is>
      </c>
      <c r="B356" s="1" t="n">
        <v>45224.6515162037</v>
      </c>
      <c r="C356" s="1" t="n">
        <v>45965</v>
      </c>
      <c r="D356" t="inlineStr">
        <is>
          <t>KALMAR LÄN</t>
        </is>
      </c>
      <c r="E356" t="inlineStr">
        <is>
          <t>VIMMERBY</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16734-2023</t>
        </is>
      </c>
      <c r="B357" s="1" t="n">
        <v>45030.71012731481</v>
      </c>
      <c r="C357" s="1" t="n">
        <v>45965</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7944-2024</t>
        </is>
      </c>
      <c r="B358" s="1" t="n">
        <v>45350.53306712963</v>
      </c>
      <c r="C358" s="1" t="n">
        <v>45965</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46361-2025</t>
        </is>
      </c>
      <c r="B359" s="1" t="n">
        <v>45925.49670138889</v>
      </c>
      <c r="C359" s="1" t="n">
        <v>45965</v>
      </c>
      <c r="D359" t="inlineStr">
        <is>
          <t>KALMAR LÄN</t>
        </is>
      </c>
      <c r="E359" t="inlineStr">
        <is>
          <t>VIMMERBY</t>
        </is>
      </c>
      <c r="G359" t="n">
        <v>4.2</v>
      </c>
      <c r="H359" t="n">
        <v>0</v>
      </c>
      <c r="I359" t="n">
        <v>0</v>
      </c>
      <c r="J359" t="n">
        <v>0</v>
      </c>
      <c r="K359" t="n">
        <v>0</v>
      </c>
      <c r="L359" t="n">
        <v>0</v>
      </c>
      <c r="M359" t="n">
        <v>0</v>
      </c>
      <c r="N359" t="n">
        <v>0</v>
      </c>
      <c r="O359" t="n">
        <v>0</v>
      </c>
      <c r="P359" t="n">
        <v>0</v>
      </c>
      <c r="Q359" t="n">
        <v>0</v>
      </c>
      <c r="R359" s="2" t="inlineStr"/>
    </row>
    <row r="360" ht="15" customHeight="1">
      <c r="A360" t="inlineStr">
        <is>
          <t>A 29616-2022</t>
        </is>
      </c>
      <c r="B360" s="1" t="n">
        <v>44754</v>
      </c>
      <c r="C360" s="1" t="n">
        <v>45965</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29348-2023</t>
        </is>
      </c>
      <c r="B361" s="1" t="n">
        <v>45106.25025462963</v>
      </c>
      <c r="C361" s="1" t="n">
        <v>45965</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598-2025</t>
        </is>
      </c>
      <c r="B362" s="1" t="n">
        <v>45660</v>
      </c>
      <c r="C362" s="1" t="n">
        <v>45965</v>
      </c>
      <c r="D362" t="inlineStr">
        <is>
          <t>KALMAR LÄN</t>
        </is>
      </c>
      <c r="E362" t="inlineStr">
        <is>
          <t>VIMMERBY</t>
        </is>
      </c>
      <c r="G362" t="n">
        <v>12</v>
      </c>
      <c r="H362" t="n">
        <v>0</v>
      </c>
      <c r="I362" t="n">
        <v>0</v>
      </c>
      <c r="J362" t="n">
        <v>0</v>
      </c>
      <c r="K362" t="n">
        <v>0</v>
      </c>
      <c r="L362" t="n">
        <v>0</v>
      </c>
      <c r="M362" t="n">
        <v>0</v>
      </c>
      <c r="N362" t="n">
        <v>0</v>
      </c>
      <c r="O362" t="n">
        <v>0</v>
      </c>
      <c r="P362" t="n">
        <v>0</v>
      </c>
      <c r="Q362" t="n">
        <v>0</v>
      </c>
      <c r="R362" s="2" t="inlineStr"/>
    </row>
    <row r="363" ht="15" customHeight="1">
      <c r="A363" t="inlineStr">
        <is>
          <t>A 28403-2023</t>
        </is>
      </c>
      <c r="B363" s="1" t="n">
        <v>45100.85270833333</v>
      </c>
      <c r="C363" s="1" t="n">
        <v>45965</v>
      </c>
      <c r="D363" t="inlineStr">
        <is>
          <t>KALMAR LÄN</t>
        </is>
      </c>
      <c r="E363" t="inlineStr">
        <is>
          <t>VIMMERBY</t>
        </is>
      </c>
      <c r="G363" t="n">
        <v>1.8</v>
      </c>
      <c r="H363" t="n">
        <v>0</v>
      </c>
      <c r="I363" t="n">
        <v>0</v>
      </c>
      <c r="J363" t="n">
        <v>0</v>
      </c>
      <c r="K363" t="n">
        <v>0</v>
      </c>
      <c r="L363" t="n">
        <v>0</v>
      </c>
      <c r="M363" t="n">
        <v>0</v>
      </c>
      <c r="N363" t="n">
        <v>0</v>
      </c>
      <c r="O363" t="n">
        <v>0</v>
      </c>
      <c r="P363" t="n">
        <v>0</v>
      </c>
      <c r="Q363" t="n">
        <v>0</v>
      </c>
      <c r="R363" s="2" t="inlineStr"/>
    </row>
    <row r="364" ht="15" customHeight="1">
      <c r="A364" t="inlineStr">
        <is>
          <t>A 64143-2021</t>
        </is>
      </c>
      <c r="B364" s="1" t="n">
        <v>44510.52157407408</v>
      </c>
      <c r="C364" s="1" t="n">
        <v>45965</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9720-2023</t>
        </is>
      </c>
      <c r="B365" s="1" t="n">
        <v>44984</v>
      </c>
      <c r="C365" s="1" t="n">
        <v>45965</v>
      </c>
      <c r="D365" t="inlineStr">
        <is>
          <t>KALMAR LÄN</t>
        </is>
      </c>
      <c r="E365" t="inlineStr">
        <is>
          <t>VIMMERBY</t>
        </is>
      </c>
      <c r="G365" t="n">
        <v>4.4</v>
      </c>
      <c r="H365" t="n">
        <v>0</v>
      </c>
      <c r="I365" t="n">
        <v>0</v>
      </c>
      <c r="J365" t="n">
        <v>0</v>
      </c>
      <c r="K365" t="n">
        <v>0</v>
      </c>
      <c r="L365" t="n">
        <v>0</v>
      </c>
      <c r="M365" t="n">
        <v>0</v>
      </c>
      <c r="N365" t="n">
        <v>0</v>
      </c>
      <c r="O365" t="n">
        <v>0</v>
      </c>
      <c r="P365" t="n">
        <v>0</v>
      </c>
      <c r="Q365" t="n">
        <v>0</v>
      </c>
      <c r="R365" s="2" t="inlineStr"/>
    </row>
    <row r="366" ht="15" customHeight="1">
      <c r="A366" t="inlineStr">
        <is>
          <t>A 10674-2021</t>
        </is>
      </c>
      <c r="B366" s="1" t="n">
        <v>44258</v>
      </c>
      <c r="C366" s="1" t="n">
        <v>45965</v>
      </c>
      <c r="D366" t="inlineStr">
        <is>
          <t>KALMAR LÄN</t>
        </is>
      </c>
      <c r="E366" t="inlineStr">
        <is>
          <t>VIMMERBY</t>
        </is>
      </c>
      <c r="G366" t="n">
        <v>8.4</v>
      </c>
      <c r="H366" t="n">
        <v>0</v>
      </c>
      <c r="I366" t="n">
        <v>0</v>
      </c>
      <c r="J366" t="n">
        <v>0</v>
      </c>
      <c r="K366" t="n">
        <v>0</v>
      </c>
      <c r="L366" t="n">
        <v>0</v>
      </c>
      <c r="M366" t="n">
        <v>0</v>
      </c>
      <c r="N366" t="n">
        <v>0</v>
      </c>
      <c r="O366" t="n">
        <v>0</v>
      </c>
      <c r="P366" t="n">
        <v>0</v>
      </c>
      <c r="Q366" t="n">
        <v>0</v>
      </c>
      <c r="R366" s="2" t="inlineStr"/>
    </row>
    <row r="367" ht="15" customHeight="1">
      <c r="A367" t="inlineStr">
        <is>
          <t>A 17511-2024</t>
        </is>
      </c>
      <c r="B367" s="1" t="n">
        <v>45415.57682870371</v>
      </c>
      <c r="C367" s="1" t="n">
        <v>45965</v>
      </c>
      <c r="D367" t="inlineStr">
        <is>
          <t>KALMAR LÄN</t>
        </is>
      </c>
      <c r="E367" t="inlineStr">
        <is>
          <t>VIMMERBY</t>
        </is>
      </c>
      <c r="G367" t="n">
        <v>5.3</v>
      </c>
      <c r="H367" t="n">
        <v>0</v>
      </c>
      <c r="I367" t="n">
        <v>0</v>
      </c>
      <c r="J367" t="n">
        <v>0</v>
      </c>
      <c r="K367" t="n">
        <v>0</v>
      </c>
      <c r="L367" t="n">
        <v>0</v>
      </c>
      <c r="M367" t="n">
        <v>0</v>
      </c>
      <c r="N367" t="n">
        <v>0</v>
      </c>
      <c r="O367" t="n">
        <v>0</v>
      </c>
      <c r="P367" t="n">
        <v>0</v>
      </c>
      <c r="Q367" t="n">
        <v>0</v>
      </c>
      <c r="R367" s="2" t="inlineStr"/>
    </row>
    <row r="368" ht="15" customHeight="1">
      <c r="A368" t="inlineStr">
        <is>
          <t>A 5938-2022</t>
        </is>
      </c>
      <c r="B368" s="1" t="n">
        <v>44598</v>
      </c>
      <c r="C368" s="1" t="n">
        <v>45965</v>
      </c>
      <c r="D368" t="inlineStr">
        <is>
          <t>KALMAR LÄN</t>
        </is>
      </c>
      <c r="E368" t="inlineStr">
        <is>
          <t>VIMMERBY</t>
        </is>
      </c>
      <c r="G368" t="n">
        <v>2.4</v>
      </c>
      <c r="H368" t="n">
        <v>0</v>
      </c>
      <c r="I368" t="n">
        <v>0</v>
      </c>
      <c r="J368" t="n">
        <v>0</v>
      </c>
      <c r="K368" t="n">
        <v>0</v>
      </c>
      <c r="L368" t="n">
        <v>0</v>
      </c>
      <c r="M368" t="n">
        <v>0</v>
      </c>
      <c r="N368" t="n">
        <v>0</v>
      </c>
      <c r="O368" t="n">
        <v>0</v>
      </c>
      <c r="P368" t="n">
        <v>0</v>
      </c>
      <c r="Q368" t="n">
        <v>0</v>
      </c>
      <c r="R368" s="2" t="inlineStr"/>
    </row>
    <row r="369" ht="15" customHeight="1">
      <c r="A369" t="inlineStr">
        <is>
          <t>A 1687-2023</t>
        </is>
      </c>
      <c r="B369" s="1" t="n">
        <v>44938</v>
      </c>
      <c r="C369" s="1" t="n">
        <v>45965</v>
      </c>
      <c r="D369" t="inlineStr">
        <is>
          <t>KALMAR LÄN</t>
        </is>
      </c>
      <c r="E369" t="inlineStr">
        <is>
          <t>VIMMERBY</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29440-2024</t>
        </is>
      </c>
      <c r="B370" s="1" t="n">
        <v>45483.82479166667</v>
      </c>
      <c r="C370" s="1" t="n">
        <v>45965</v>
      </c>
      <c r="D370" t="inlineStr">
        <is>
          <t>KALMAR LÄN</t>
        </is>
      </c>
      <c r="E370" t="inlineStr">
        <is>
          <t>VIMMERBY</t>
        </is>
      </c>
      <c r="G370" t="n">
        <v>4.5</v>
      </c>
      <c r="H370" t="n">
        <v>0</v>
      </c>
      <c r="I370" t="n">
        <v>0</v>
      </c>
      <c r="J370" t="n">
        <v>0</v>
      </c>
      <c r="K370" t="n">
        <v>0</v>
      </c>
      <c r="L370" t="n">
        <v>0</v>
      </c>
      <c r="M370" t="n">
        <v>0</v>
      </c>
      <c r="N370" t="n">
        <v>0</v>
      </c>
      <c r="O370" t="n">
        <v>0</v>
      </c>
      <c r="P370" t="n">
        <v>0</v>
      </c>
      <c r="Q370" t="n">
        <v>0</v>
      </c>
      <c r="R370" s="2" t="inlineStr"/>
    </row>
    <row r="371" ht="15" customHeight="1">
      <c r="A371" t="inlineStr">
        <is>
          <t>A 30921-2024</t>
        </is>
      </c>
      <c r="B371" s="1" t="n">
        <v>45498</v>
      </c>
      <c r="C371" s="1" t="n">
        <v>45965</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10807-2024</t>
        </is>
      </c>
      <c r="B372" s="1" t="n">
        <v>45369.62780092593</v>
      </c>
      <c r="C372" s="1" t="n">
        <v>45965</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53482-2022</t>
        </is>
      </c>
      <c r="B373" s="1" t="n">
        <v>44879</v>
      </c>
      <c r="C373" s="1" t="n">
        <v>45965</v>
      </c>
      <c r="D373" t="inlineStr">
        <is>
          <t>KALMAR LÄN</t>
        </is>
      </c>
      <c r="E373" t="inlineStr">
        <is>
          <t>VIMMERBY</t>
        </is>
      </c>
      <c r="G373" t="n">
        <v>10.1</v>
      </c>
      <c r="H373" t="n">
        <v>0</v>
      </c>
      <c r="I373" t="n">
        <v>0</v>
      </c>
      <c r="J373" t="n">
        <v>0</v>
      </c>
      <c r="K373" t="n">
        <v>0</v>
      </c>
      <c r="L373" t="n">
        <v>0</v>
      </c>
      <c r="M373" t="n">
        <v>0</v>
      </c>
      <c r="N373" t="n">
        <v>0</v>
      </c>
      <c r="O373" t="n">
        <v>0</v>
      </c>
      <c r="P373" t="n">
        <v>0</v>
      </c>
      <c r="Q373" t="n">
        <v>0</v>
      </c>
      <c r="R373" s="2" t="inlineStr"/>
    </row>
    <row r="374" ht="15" customHeight="1">
      <c r="A374" t="inlineStr">
        <is>
          <t>A 66022-2021</t>
        </is>
      </c>
      <c r="B374" s="1" t="n">
        <v>44517</v>
      </c>
      <c r="C374" s="1" t="n">
        <v>45965</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29973-2023</t>
        </is>
      </c>
      <c r="B375" s="1" t="n">
        <v>45108.703125</v>
      </c>
      <c r="C375" s="1" t="n">
        <v>45965</v>
      </c>
      <c r="D375" t="inlineStr">
        <is>
          <t>KALMAR LÄN</t>
        </is>
      </c>
      <c r="E375" t="inlineStr">
        <is>
          <t>VIMMERBY</t>
        </is>
      </c>
      <c r="G375" t="n">
        <v>4</v>
      </c>
      <c r="H375" t="n">
        <v>0</v>
      </c>
      <c r="I375" t="n">
        <v>0</v>
      </c>
      <c r="J375" t="n">
        <v>0</v>
      </c>
      <c r="K375" t="n">
        <v>0</v>
      </c>
      <c r="L375" t="n">
        <v>0</v>
      </c>
      <c r="M375" t="n">
        <v>0</v>
      </c>
      <c r="N375" t="n">
        <v>0</v>
      </c>
      <c r="O375" t="n">
        <v>0</v>
      </c>
      <c r="P375" t="n">
        <v>0</v>
      </c>
      <c r="Q375" t="n">
        <v>0</v>
      </c>
      <c r="R375" s="2" t="inlineStr"/>
    </row>
    <row r="376" ht="15" customHeight="1">
      <c r="A376" t="inlineStr">
        <is>
          <t>A 40260-2024</t>
        </is>
      </c>
      <c r="B376" s="1" t="n">
        <v>45554.63225694445</v>
      </c>
      <c r="C376" s="1" t="n">
        <v>45965</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10787-2025</t>
        </is>
      </c>
      <c r="B377" s="1" t="n">
        <v>45722.48915509259</v>
      </c>
      <c r="C377" s="1" t="n">
        <v>45965</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30070-2023</t>
        </is>
      </c>
      <c r="B378" s="1" t="n">
        <v>45110.4275</v>
      </c>
      <c r="C378" s="1" t="n">
        <v>45965</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58577-2024</t>
        </is>
      </c>
      <c r="B379" s="1" t="n">
        <v>45635.4874537037</v>
      </c>
      <c r="C379" s="1" t="n">
        <v>45965</v>
      </c>
      <c r="D379" t="inlineStr">
        <is>
          <t>KALMAR LÄN</t>
        </is>
      </c>
      <c r="E379" t="inlineStr">
        <is>
          <t>VIMMERBY</t>
        </is>
      </c>
      <c r="G379" t="n">
        <v>1.1</v>
      </c>
      <c r="H379" t="n">
        <v>0</v>
      </c>
      <c r="I379" t="n">
        <v>0</v>
      </c>
      <c r="J379" t="n">
        <v>0</v>
      </c>
      <c r="K379" t="n">
        <v>0</v>
      </c>
      <c r="L379" t="n">
        <v>0</v>
      </c>
      <c r="M379" t="n">
        <v>0</v>
      </c>
      <c r="N379" t="n">
        <v>0</v>
      </c>
      <c r="O379" t="n">
        <v>0</v>
      </c>
      <c r="P379" t="n">
        <v>0</v>
      </c>
      <c r="Q379" t="n">
        <v>0</v>
      </c>
      <c r="R379" s="2" t="inlineStr"/>
    </row>
    <row r="380" ht="15" customHeight="1">
      <c r="A380" t="inlineStr">
        <is>
          <t>A 38198-2024</t>
        </is>
      </c>
      <c r="B380" s="1" t="n">
        <v>45545.49508101852</v>
      </c>
      <c r="C380" s="1" t="n">
        <v>45965</v>
      </c>
      <c r="D380" t="inlineStr">
        <is>
          <t>KALMAR LÄN</t>
        </is>
      </c>
      <c r="E380" t="inlineStr">
        <is>
          <t>VIMMERBY</t>
        </is>
      </c>
      <c r="G380" t="n">
        <v>7.9</v>
      </c>
      <c r="H380" t="n">
        <v>0</v>
      </c>
      <c r="I380" t="n">
        <v>0</v>
      </c>
      <c r="J380" t="n">
        <v>0</v>
      </c>
      <c r="K380" t="n">
        <v>0</v>
      </c>
      <c r="L380" t="n">
        <v>0</v>
      </c>
      <c r="M380" t="n">
        <v>0</v>
      </c>
      <c r="N380" t="n">
        <v>0</v>
      </c>
      <c r="O380" t="n">
        <v>0</v>
      </c>
      <c r="P380" t="n">
        <v>0</v>
      </c>
      <c r="Q380" t="n">
        <v>0</v>
      </c>
      <c r="R380" s="2" t="inlineStr"/>
    </row>
    <row r="381" ht="15" customHeight="1">
      <c r="A381" t="inlineStr">
        <is>
          <t>A 43617-2024</t>
        </is>
      </c>
      <c r="B381" s="1" t="n">
        <v>45569.47494212963</v>
      </c>
      <c r="C381" s="1" t="n">
        <v>45965</v>
      </c>
      <c r="D381" t="inlineStr">
        <is>
          <t>KALMAR LÄN</t>
        </is>
      </c>
      <c r="E381" t="inlineStr">
        <is>
          <t>VIMMERBY</t>
        </is>
      </c>
      <c r="G381" t="n">
        <v>2.7</v>
      </c>
      <c r="H381" t="n">
        <v>0</v>
      </c>
      <c r="I381" t="n">
        <v>0</v>
      </c>
      <c r="J381" t="n">
        <v>0</v>
      </c>
      <c r="K381" t="n">
        <v>0</v>
      </c>
      <c r="L381" t="n">
        <v>0</v>
      </c>
      <c r="M381" t="n">
        <v>0</v>
      </c>
      <c r="N381" t="n">
        <v>0</v>
      </c>
      <c r="O381" t="n">
        <v>0</v>
      </c>
      <c r="P381" t="n">
        <v>0</v>
      </c>
      <c r="Q381" t="n">
        <v>0</v>
      </c>
      <c r="R381" s="2" t="inlineStr"/>
    </row>
    <row r="382" ht="15" customHeight="1">
      <c r="A382" t="inlineStr">
        <is>
          <t>A 29180-2024</t>
        </is>
      </c>
      <c r="B382" s="1" t="n">
        <v>45482.54108796296</v>
      </c>
      <c r="C382" s="1" t="n">
        <v>45965</v>
      </c>
      <c r="D382" t="inlineStr">
        <is>
          <t>KALMAR LÄN</t>
        </is>
      </c>
      <c r="E382" t="inlineStr">
        <is>
          <t>VIMMERBY</t>
        </is>
      </c>
      <c r="G382" t="n">
        <v>3.8</v>
      </c>
      <c r="H382" t="n">
        <v>0</v>
      </c>
      <c r="I382" t="n">
        <v>0</v>
      </c>
      <c r="J382" t="n">
        <v>0</v>
      </c>
      <c r="K382" t="n">
        <v>0</v>
      </c>
      <c r="L382" t="n">
        <v>0</v>
      </c>
      <c r="M382" t="n">
        <v>0</v>
      </c>
      <c r="N382" t="n">
        <v>0</v>
      </c>
      <c r="O382" t="n">
        <v>0</v>
      </c>
      <c r="P382" t="n">
        <v>0</v>
      </c>
      <c r="Q382" t="n">
        <v>0</v>
      </c>
      <c r="R382" s="2" t="inlineStr"/>
    </row>
    <row r="383" ht="15" customHeight="1">
      <c r="A383" t="inlineStr">
        <is>
          <t>A 46078-2023</t>
        </is>
      </c>
      <c r="B383" s="1" t="n">
        <v>45196</v>
      </c>
      <c r="C383" s="1" t="n">
        <v>45965</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7643-2022</t>
        </is>
      </c>
      <c r="B384" s="1" t="n">
        <v>44607</v>
      </c>
      <c r="C384" s="1" t="n">
        <v>45965</v>
      </c>
      <c r="D384" t="inlineStr">
        <is>
          <t>KALMAR LÄN</t>
        </is>
      </c>
      <c r="E384" t="inlineStr">
        <is>
          <t>VIMMERBY</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3494-2023</t>
        </is>
      </c>
      <c r="B385" s="1" t="n">
        <v>44949</v>
      </c>
      <c r="C385" s="1" t="n">
        <v>45965</v>
      </c>
      <c r="D385" t="inlineStr">
        <is>
          <t>KALMAR LÄN</t>
        </is>
      </c>
      <c r="E385" t="inlineStr">
        <is>
          <t>VIMMERBY</t>
        </is>
      </c>
      <c r="F385" t="inlineStr">
        <is>
          <t>Kyrkan</t>
        </is>
      </c>
      <c r="G385" t="n">
        <v>0.8</v>
      </c>
      <c r="H385" t="n">
        <v>0</v>
      </c>
      <c r="I385" t="n">
        <v>0</v>
      </c>
      <c r="J385" t="n">
        <v>0</v>
      </c>
      <c r="K385" t="n">
        <v>0</v>
      </c>
      <c r="L385" t="n">
        <v>0</v>
      </c>
      <c r="M385" t="n">
        <v>0</v>
      </c>
      <c r="N385" t="n">
        <v>0</v>
      </c>
      <c r="O385" t="n">
        <v>0</v>
      </c>
      <c r="P385" t="n">
        <v>0</v>
      </c>
      <c r="Q385" t="n">
        <v>0</v>
      </c>
      <c r="R385" s="2" t="inlineStr"/>
    </row>
    <row r="386" ht="15" customHeight="1">
      <c r="A386" t="inlineStr">
        <is>
          <t>A 38604-2025</t>
        </is>
      </c>
      <c r="B386" s="1" t="n">
        <v>45884.50613425926</v>
      </c>
      <c r="C386" s="1" t="n">
        <v>45965</v>
      </c>
      <c r="D386" t="inlineStr">
        <is>
          <t>KALMAR LÄN</t>
        </is>
      </c>
      <c r="E386" t="inlineStr">
        <is>
          <t>VIMMERBY</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22264-2023</t>
        </is>
      </c>
      <c r="B387" s="1" t="n">
        <v>45070.3665625</v>
      </c>
      <c r="C387" s="1" t="n">
        <v>45965</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22266-2023</t>
        </is>
      </c>
      <c r="B388" s="1" t="n">
        <v>45070</v>
      </c>
      <c r="C388" s="1" t="n">
        <v>45965</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29783-2024</t>
        </is>
      </c>
      <c r="B389" s="1" t="n">
        <v>45485.45778935185</v>
      </c>
      <c r="C389" s="1" t="n">
        <v>45965</v>
      </c>
      <c r="D389" t="inlineStr">
        <is>
          <t>KALMAR LÄN</t>
        </is>
      </c>
      <c r="E389" t="inlineStr">
        <is>
          <t>VIMMERBY</t>
        </is>
      </c>
      <c r="G389" t="n">
        <v>3.1</v>
      </c>
      <c r="H389" t="n">
        <v>0</v>
      </c>
      <c r="I389" t="n">
        <v>0</v>
      </c>
      <c r="J389" t="n">
        <v>0</v>
      </c>
      <c r="K389" t="n">
        <v>0</v>
      </c>
      <c r="L389" t="n">
        <v>0</v>
      </c>
      <c r="M389" t="n">
        <v>0</v>
      </c>
      <c r="N389" t="n">
        <v>0</v>
      </c>
      <c r="O389" t="n">
        <v>0</v>
      </c>
      <c r="P389" t="n">
        <v>0</v>
      </c>
      <c r="Q389" t="n">
        <v>0</v>
      </c>
      <c r="R389" s="2" t="inlineStr"/>
    </row>
    <row r="390" ht="15" customHeight="1">
      <c r="A390" t="inlineStr">
        <is>
          <t>A 32633-2023</t>
        </is>
      </c>
      <c r="B390" s="1" t="n">
        <v>45121.58699074074</v>
      </c>
      <c r="C390" s="1" t="n">
        <v>45965</v>
      </c>
      <c r="D390" t="inlineStr">
        <is>
          <t>KALMAR LÄN</t>
        </is>
      </c>
      <c r="E390" t="inlineStr">
        <is>
          <t>VIMMERBY</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50091-2023</t>
        </is>
      </c>
      <c r="B391" s="1" t="n">
        <v>45215.60199074074</v>
      </c>
      <c r="C391" s="1" t="n">
        <v>45965</v>
      </c>
      <c r="D391" t="inlineStr">
        <is>
          <t>KALMAR LÄN</t>
        </is>
      </c>
      <c r="E391" t="inlineStr">
        <is>
          <t>VIMMERBY</t>
        </is>
      </c>
      <c r="G391" t="n">
        <v>1.7</v>
      </c>
      <c r="H391" t="n">
        <v>0</v>
      </c>
      <c r="I391" t="n">
        <v>0</v>
      </c>
      <c r="J391" t="n">
        <v>0</v>
      </c>
      <c r="K391" t="n">
        <v>0</v>
      </c>
      <c r="L391" t="n">
        <v>0</v>
      </c>
      <c r="M391" t="n">
        <v>0</v>
      </c>
      <c r="N391" t="n">
        <v>0</v>
      </c>
      <c r="O391" t="n">
        <v>0</v>
      </c>
      <c r="P391" t="n">
        <v>0</v>
      </c>
      <c r="Q391" t="n">
        <v>0</v>
      </c>
      <c r="R391" s="2" t="inlineStr"/>
    </row>
    <row r="392" ht="15" customHeight="1">
      <c r="A392" t="inlineStr">
        <is>
          <t>A 54838-2024</t>
        </is>
      </c>
      <c r="B392" s="1" t="n">
        <v>45618.56787037037</v>
      </c>
      <c r="C392" s="1" t="n">
        <v>45965</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43601-2024</t>
        </is>
      </c>
      <c r="B393" s="1" t="n">
        <v>45569.44684027778</v>
      </c>
      <c r="C393" s="1" t="n">
        <v>45965</v>
      </c>
      <c r="D393" t="inlineStr">
        <is>
          <t>KALMAR LÄN</t>
        </is>
      </c>
      <c r="E393" t="inlineStr">
        <is>
          <t>VIMMERBY</t>
        </is>
      </c>
      <c r="G393" t="n">
        <v>0.5</v>
      </c>
      <c r="H393" t="n">
        <v>0</v>
      </c>
      <c r="I393" t="n">
        <v>0</v>
      </c>
      <c r="J393" t="n">
        <v>0</v>
      </c>
      <c r="K393" t="n">
        <v>0</v>
      </c>
      <c r="L393" t="n">
        <v>0</v>
      </c>
      <c r="M393" t="n">
        <v>0</v>
      </c>
      <c r="N393" t="n">
        <v>0</v>
      </c>
      <c r="O393" t="n">
        <v>0</v>
      </c>
      <c r="P393" t="n">
        <v>0</v>
      </c>
      <c r="Q393" t="n">
        <v>0</v>
      </c>
      <c r="R393" s="2" t="inlineStr"/>
    </row>
    <row r="394" ht="15" customHeight="1">
      <c r="A394" t="inlineStr">
        <is>
          <t>A 10303-2025</t>
        </is>
      </c>
      <c r="B394" s="1" t="n">
        <v>45720.44217592593</v>
      </c>
      <c r="C394" s="1" t="n">
        <v>45965</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11027-2023</t>
        </is>
      </c>
      <c r="B395" s="1" t="n">
        <v>44991.89657407408</v>
      </c>
      <c r="C395" s="1" t="n">
        <v>45965</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25987-2024</t>
        </is>
      </c>
      <c r="B396" s="1" t="n">
        <v>45467.74417824074</v>
      </c>
      <c r="C396" s="1" t="n">
        <v>45965</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25109-2023</t>
        </is>
      </c>
      <c r="B397" s="1" t="n">
        <v>45086</v>
      </c>
      <c r="C397" s="1" t="n">
        <v>45965</v>
      </c>
      <c r="D397" t="inlineStr">
        <is>
          <t>KALMAR LÄN</t>
        </is>
      </c>
      <c r="E397" t="inlineStr">
        <is>
          <t>VIMMERBY</t>
        </is>
      </c>
      <c r="G397" t="n">
        <v>1.5</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45965</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13813-2024</t>
        </is>
      </c>
      <c r="B399" s="1" t="n">
        <v>45391.41310185185</v>
      </c>
      <c r="C399" s="1" t="n">
        <v>45965</v>
      </c>
      <c r="D399" t="inlineStr">
        <is>
          <t>KALMAR LÄN</t>
        </is>
      </c>
      <c r="E399" t="inlineStr">
        <is>
          <t>VIMMERBY</t>
        </is>
      </c>
      <c r="G399" t="n">
        <v>0.4</v>
      </c>
      <c r="H399" t="n">
        <v>0</v>
      </c>
      <c r="I399" t="n">
        <v>0</v>
      </c>
      <c r="J399" t="n">
        <v>0</v>
      </c>
      <c r="K399" t="n">
        <v>0</v>
      </c>
      <c r="L399" t="n">
        <v>0</v>
      </c>
      <c r="M399" t="n">
        <v>0</v>
      </c>
      <c r="N399" t="n">
        <v>0</v>
      </c>
      <c r="O399" t="n">
        <v>0</v>
      </c>
      <c r="P399" t="n">
        <v>0</v>
      </c>
      <c r="Q399" t="n">
        <v>0</v>
      </c>
      <c r="R399" s="2" t="inlineStr"/>
    </row>
    <row r="400" ht="15" customHeight="1">
      <c r="A400" t="inlineStr">
        <is>
          <t>A 62023-2022</t>
        </is>
      </c>
      <c r="B400" s="1" t="n">
        <v>44918.50106481482</v>
      </c>
      <c r="C400" s="1" t="n">
        <v>45965</v>
      </c>
      <c r="D400" t="inlineStr">
        <is>
          <t>KALMAR LÄN</t>
        </is>
      </c>
      <c r="E400" t="inlineStr">
        <is>
          <t>VIMMERBY</t>
        </is>
      </c>
      <c r="G400" t="n">
        <v>0.3</v>
      </c>
      <c r="H400" t="n">
        <v>0</v>
      </c>
      <c r="I400" t="n">
        <v>0</v>
      </c>
      <c r="J400" t="n">
        <v>0</v>
      </c>
      <c r="K400" t="n">
        <v>0</v>
      </c>
      <c r="L400" t="n">
        <v>0</v>
      </c>
      <c r="M400" t="n">
        <v>0</v>
      </c>
      <c r="N400" t="n">
        <v>0</v>
      </c>
      <c r="O400" t="n">
        <v>0</v>
      </c>
      <c r="P400" t="n">
        <v>0</v>
      </c>
      <c r="Q400" t="n">
        <v>0</v>
      </c>
      <c r="R400" s="2" t="inlineStr"/>
    </row>
    <row r="401" ht="15" customHeight="1">
      <c r="A401" t="inlineStr">
        <is>
          <t>A 25234-2023</t>
        </is>
      </c>
      <c r="B401" s="1" t="n">
        <v>45086.63194444445</v>
      </c>
      <c r="C401" s="1" t="n">
        <v>45965</v>
      </c>
      <c r="D401" t="inlineStr">
        <is>
          <t>KALMAR LÄN</t>
        </is>
      </c>
      <c r="E401" t="inlineStr">
        <is>
          <t>VIMMERBY</t>
        </is>
      </c>
      <c r="G401" t="n">
        <v>2.1</v>
      </c>
      <c r="H401" t="n">
        <v>0</v>
      </c>
      <c r="I401" t="n">
        <v>0</v>
      </c>
      <c r="J401" t="n">
        <v>0</v>
      </c>
      <c r="K401" t="n">
        <v>0</v>
      </c>
      <c r="L401" t="n">
        <v>0</v>
      </c>
      <c r="M401" t="n">
        <v>0</v>
      </c>
      <c r="N401" t="n">
        <v>0</v>
      </c>
      <c r="O401" t="n">
        <v>0</v>
      </c>
      <c r="P401" t="n">
        <v>0</v>
      </c>
      <c r="Q401" t="n">
        <v>0</v>
      </c>
      <c r="R401" s="2" t="inlineStr"/>
    </row>
    <row r="402" ht="15" customHeight="1">
      <c r="A402" t="inlineStr">
        <is>
          <t>A 11661-2023</t>
        </is>
      </c>
      <c r="B402" s="1" t="n">
        <v>44994.46908564815</v>
      </c>
      <c r="C402" s="1" t="n">
        <v>45965</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36155-2023</t>
        </is>
      </c>
      <c r="B403" s="1" t="n">
        <v>45149.60917824074</v>
      </c>
      <c r="C403" s="1" t="n">
        <v>45965</v>
      </c>
      <c r="D403" t="inlineStr">
        <is>
          <t>KALMAR LÄN</t>
        </is>
      </c>
      <c r="E403" t="inlineStr">
        <is>
          <t>VIMMERBY</t>
        </is>
      </c>
      <c r="G403" t="n">
        <v>5</v>
      </c>
      <c r="H403" t="n">
        <v>0</v>
      </c>
      <c r="I403" t="n">
        <v>0</v>
      </c>
      <c r="J403" t="n">
        <v>0</v>
      </c>
      <c r="K403" t="n">
        <v>0</v>
      </c>
      <c r="L403" t="n">
        <v>0</v>
      </c>
      <c r="M403" t="n">
        <v>0</v>
      </c>
      <c r="N403" t="n">
        <v>0</v>
      </c>
      <c r="O403" t="n">
        <v>0</v>
      </c>
      <c r="P403" t="n">
        <v>0</v>
      </c>
      <c r="Q403" t="n">
        <v>0</v>
      </c>
      <c r="R403" s="2" t="inlineStr"/>
    </row>
    <row r="404" ht="15" customHeight="1">
      <c r="A404" t="inlineStr">
        <is>
          <t>A 25236-2023</t>
        </is>
      </c>
      <c r="B404" s="1" t="n">
        <v>45086.63334490741</v>
      </c>
      <c r="C404" s="1" t="n">
        <v>45965</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40147-2023</t>
        </is>
      </c>
      <c r="B405" s="1" t="n">
        <v>45169</v>
      </c>
      <c r="C405" s="1" t="n">
        <v>45965</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58104-2024</t>
        </is>
      </c>
      <c r="B406" s="1" t="n">
        <v>45632.37459490741</v>
      </c>
      <c r="C406" s="1" t="n">
        <v>45965</v>
      </c>
      <c r="D406" t="inlineStr">
        <is>
          <t>KALMAR LÄN</t>
        </is>
      </c>
      <c r="E406" t="inlineStr">
        <is>
          <t>VIMMERBY</t>
        </is>
      </c>
      <c r="G406" t="n">
        <v>5</v>
      </c>
      <c r="H406" t="n">
        <v>0</v>
      </c>
      <c r="I406" t="n">
        <v>0</v>
      </c>
      <c r="J406" t="n">
        <v>0</v>
      </c>
      <c r="K406" t="n">
        <v>0</v>
      </c>
      <c r="L406" t="n">
        <v>0</v>
      </c>
      <c r="M406" t="n">
        <v>0</v>
      </c>
      <c r="N406" t="n">
        <v>0</v>
      </c>
      <c r="O406" t="n">
        <v>0</v>
      </c>
      <c r="P406" t="n">
        <v>0</v>
      </c>
      <c r="Q406" t="n">
        <v>0</v>
      </c>
      <c r="R406" s="2" t="inlineStr"/>
    </row>
    <row r="407" ht="15" customHeight="1">
      <c r="A407" t="inlineStr">
        <is>
          <t>A 25244-2023</t>
        </is>
      </c>
      <c r="B407" s="1" t="n">
        <v>45086</v>
      </c>
      <c r="C407" s="1" t="n">
        <v>45965</v>
      </c>
      <c r="D407" t="inlineStr">
        <is>
          <t>KALMAR LÄN</t>
        </is>
      </c>
      <c r="E407" t="inlineStr">
        <is>
          <t>VIMMERBY</t>
        </is>
      </c>
      <c r="G407" t="n">
        <v>4.7</v>
      </c>
      <c r="H407" t="n">
        <v>0</v>
      </c>
      <c r="I407" t="n">
        <v>0</v>
      </c>
      <c r="J407" t="n">
        <v>0</v>
      </c>
      <c r="K407" t="n">
        <v>0</v>
      </c>
      <c r="L407" t="n">
        <v>0</v>
      </c>
      <c r="M407" t="n">
        <v>0</v>
      </c>
      <c r="N407" t="n">
        <v>0</v>
      </c>
      <c r="O407" t="n">
        <v>0</v>
      </c>
      <c r="P407" t="n">
        <v>0</v>
      </c>
      <c r="Q407" t="n">
        <v>0</v>
      </c>
      <c r="R407" s="2" t="inlineStr"/>
    </row>
    <row r="408" ht="15" customHeight="1">
      <c r="A408" t="inlineStr">
        <is>
          <t>A 12215-2024</t>
        </is>
      </c>
      <c r="B408" s="1" t="n">
        <v>45378.32185185186</v>
      </c>
      <c r="C408" s="1" t="n">
        <v>45965</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30920-2024</t>
        </is>
      </c>
      <c r="B409" s="1" t="n">
        <v>45498.673125</v>
      </c>
      <c r="C409" s="1" t="n">
        <v>45965</v>
      </c>
      <c r="D409" t="inlineStr">
        <is>
          <t>KALMAR LÄN</t>
        </is>
      </c>
      <c r="E409" t="inlineStr">
        <is>
          <t>VIMMERBY</t>
        </is>
      </c>
      <c r="G409" t="n">
        <v>1.3</v>
      </c>
      <c r="H409" t="n">
        <v>0</v>
      </c>
      <c r="I409" t="n">
        <v>0</v>
      </c>
      <c r="J409" t="n">
        <v>0</v>
      </c>
      <c r="K409" t="n">
        <v>0</v>
      </c>
      <c r="L409" t="n">
        <v>0</v>
      </c>
      <c r="M409" t="n">
        <v>0</v>
      </c>
      <c r="N409" t="n">
        <v>0</v>
      </c>
      <c r="O409" t="n">
        <v>0</v>
      </c>
      <c r="P409" t="n">
        <v>0</v>
      </c>
      <c r="Q409" t="n">
        <v>0</v>
      </c>
      <c r="R409" s="2" t="inlineStr"/>
    </row>
    <row r="410" ht="15" customHeight="1">
      <c r="A410" t="inlineStr">
        <is>
          <t>A 56536-2022</t>
        </is>
      </c>
      <c r="B410" s="1" t="n">
        <v>44893</v>
      </c>
      <c r="C410" s="1" t="n">
        <v>45965</v>
      </c>
      <c r="D410" t="inlineStr">
        <is>
          <t>KALMAR LÄN</t>
        </is>
      </c>
      <c r="E410" t="inlineStr">
        <is>
          <t>VIMMERBY</t>
        </is>
      </c>
      <c r="G410" t="n">
        <v>3.2</v>
      </c>
      <c r="H410" t="n">
        <v>0</v>
      </c>
      <c r="I410" t="n">
        <v>0</v>
      </c>
      <c r="J410" t="n">
        <v>0</v>
      </c>
      <c r="K410" t="n">
        <v>0</v>
      </c>
      <c r="L410" t="n">
        <v>0</v>
      </c>
      <c r="M410" t="n">
        <v>0</v>
      </c>
      <c r="N410" t="n">
        <v>0</v>
      </c>
      <c r="O410" t="n">
        <v>0</v>
      </c>
      <c r="P410" t="n">
        <v>0</v>
      </c>
      <c r="Q410" t="n">
        <v>0</v>
      </c>
      <c r="R410" s="2" t="inlineStr"/>
    </row>
    <row r="411" ht="15" customHeight="1">
      <c r="A411" t="inlineStr">
        <is>
          <t>A 63950-2023</t>
        </is>
      </c>
      <c r="B411" s="1" t="n">
        <v>45278</v>
      </c>
      <c r="C411" s="1" t="n">
        <v>45965</v>
      </c>
      <c r="D411" t="inlineStr">
        <is>
          <t>KALMAR LÄN</t>
        </is>
      </c>
      <c r="E411" t="inlineStr">
        <is>
          <t>VIMMERBY</t>
        </is>
      </c>
      <c r="F411" t="inlineStr">
        <is>
          <t>Kyrkan</t>
        </is>
      </c>
      <c r="G411" t="n">
        <v>2.7</v>
      </c>
      <c r="H411" t="n">
        <v>0</v>
      </c>
      <c r="I411" t="n">
        <v>0</v>
      </c>
      <c r="J411" t="n">
        <v>0</v>
      </c>
      <c r="K411" t="n">
        <v>0</v>
      </c>
      <c r="L411" t="n">
        <v>0</v>
      </c>
      <c r="M411" t="n">
        <v>0</v>
      </c>
      <c r="N411" t="n">
        <v>0</v>
      </c>
      <c r="O411" t="n">
        <v>0</v>
      </c>
      <c r="P411" t="n">
        <v>0</v>
      </c>
      <c r="Q411" t="n">
        <v>0</v>
      </c>
      <c r="R411" s="2" t="inlineStr"/>
    </row>
    <row r="412" ht="15" customHeight="1">
      <c r="A412" t="inlineStr">
        <is>
          <t>A 24096-2024</t>
        </is>
      </c>
      <c r="B412" s="1" t="n">
        <v>45456.59289351852</v>
      </c>
      <c r="C412" s="1" t="n">
        <v>45965</v>
      </c>
      <c r="D412" t="inlineStr">
        <is>
          <t>KALMAR LÄN</t>
        </is>
      </c>
      <c r="E412" t="inlineStr">
        <is>
          <t>VIMMERBY</t>
        </is>
      </c>
      <c r="G412" t="n">
        <v>2.3</v>
      </c>
      <c r="H412" t="n">
        <v>0</v>
      </c>
      <c r="I412" t="n">
        <v>0</v>
      </c>
      <c r="J412" t="n">
        <v>0</v>
      </c>
      <c r="K412" t="n">
        <v>0</v>
      </c>
      <c r="L412" t="n">
        <v>0</v>
      </c>
      <c r="M412" t="n">
        <v>0</v>
      </c>
      <c r="N412" t="n">
        <v>0</v>
      </c>
      <c r="O412" t="n">
        <v>0</v>
      </c>
      <c r="P412" t="n">
        <v>0</v>
      </c>
      <c r="Q412" t="n">
        <v>0</v>
      </c>
      <c r="R412" s="2" t="inlineStr"/>
    </row>
    <row r="413" ht="15" customHeight="1">
      <c r="A413" t="inlineStr">
        <is>
          <t>A 63541-2023</t>
        </is>
      </c>
      <c r="B413" s="1" t="n">
        <v>45275.32266203704</v>
      </c>
      <c r="C413" s="1" t="n">
        <v>45965</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37323-2024</t>
        </is>
      </c>
      <c r="B414" s="1" t="n">
        <v>45540.50098379629</v>
      </c>
      <c r="C414" s="1" t="n">
        <v>45965</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23341-2022</t>
        </is>
      </c>
      <c r="B415" s="1" t="n">
        <v>44720.53898148148</v>
      </c>
      <c r="C415" s="1" t="n">
        <v>45965</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45965</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13015-2023</t>
        </is>
      </c>
      <c r="B417" s="1" t="n">
        <v>45002</v>
      </c>
      <c r="C417" s="1" t="n">
        <v>45965</v>
      </c>
      <c r="D417" t="inlineStr">
        <is>
          <t>KALMAR LÄN</t>
        </is>
      </c>
      <c r="E417" t="inlineStr">
        <is>
          <t>VIMMERBY</t>
        </is>
      </c>
      <c r="G417" t="n">
        <v>3.2</v>
      </c>
      <c r="H417" t="n">
        <v>0</v>
      </c>
      <c r="I417" t="n">
        <v>0</v>
      </c>
      <c r="J417" t="n">
        <v>0</v>
      </c>
      <c r="K417" t="n">
        <v>0</v>
      </c>
      <c r="L417" t="n">
        <v>0</v>
      </c>
      <c r="M417" t="n">
        <v>0</v>
      </c>
      <c r="N417" t="n">
        <v>0</v>
      </c>
      <c r="O417" t="n">
        <v>0</v>
      </c>
      <c r="P417" t="n">
        <v>0</v>
      </c>
      <c r="Q417" t="n">
        <v>0</v>
      </c>
      <c r="R417" s="2" t="inlineStr"/>
    </row>
    <row r="418" ht="15" customHeight="1">
      <c r="A418" t="inlineStr">
        <is>
          <t>A 71793-2021</t>
        </is>
      </c>
      <c r="B418" s="1" t="n">
        <v>44539</v>
      </c>
      <c r="C418" s="1" t="n">
        <v>45965</v>
      </c>
      <c r="D418" t="inlineStr">
        <is>
          <t>KALMAR LÄN</t>
        </is>
      </c>
      <c r="E418" t="inlineStr">
        <is>
          <t>VIMMERBY</t>
        </is>
      </c>
      <c r="G418" t="n">
        <v>2.7</v>
      </c>
      <c r="H418" t="n">
        <v>0</v>
      </c>
      <c r="I418" t="n">
        <v>0</v>
      </c>
      <c r="J418" t="n">
        <v>0</v>
      </c>
      <c r="K418" t="n">
        <v>0</v>
      </c>
      <c r="L418" t="n">
        <v>0</v>
      </c>
      <c r="M418" t="n">
        <v>0</v>
      </c>
      <c r="N418" t="n">
        <v>0</v>
      </c>
      <c r="O418" t="n">
        <v>0</v>
      </c>
      <c r="P418" t="n">
        <v>0</v>
      </c>
      <c r="Q418" t="n">
        <v>0</v>
      </c>
      <c r="R418" s="2" t="inlineStr"/>
    </row>
    <row r="419" ht="15" customHeight="1">
      <c r="A419" t="inlineStr">
        <is>
          <t>A 41199-2023</t>
        </is>
      </c>
      <c r="B419" s="1" t="n">
        <v>45174.40454861111</v>
      </c>
      <c r="C419" s="1" t="n">
        <v>45965</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36014-2024</t>
        </is>
      </c>
      <c r="B420" s="1" t="n">
        <v>45533.56108796296</v>
      </c>
      <c r="C420" s="1" t="n">
        <v>45965</v>
      </c>
      <c r="D420" t="inlineStr">
        <is>
          <t>KALMAR LÄN</t>
        </is>
      </c>
      <c r="E420" t="inlineStr">
        <is>
          <t>VIMMERBY</t>
        </is>
      </c>
      <c r="G420" t="n">
        <v>2.3</v>
      </c>
      <c r="H420" t="n">
        <v>0</v>
      </c>
      <c r="I420" t="n">
        <v>0</v>
      </c>
      <c r="J420" t="n">
        <v>0</v>
      </c>
      <c r="K420" t="n">
        <v>0</v>
      </c>
      <c r="L420" t="n">
        <v>0</v>
      </c>
      <c r="M420" t="n">
        <v>0</v>
      </c>
      <c r="N420" t="n">
        <v>0</v>
      </c>
      <c r="O420" t="n">
        <v>0</v>
      </c>
      <c r="P420" t="n">
        <v>0</v>
      </c>
      <c r="Q420" t="n">
        <v>0</v>
      </c>
      <c r="R420" s="2" t="inlineStr"/>
    </row>
    <row r="421" ht="15" customHeight="1">
      <c r="A421" t="inlineStr">
        <is>
          <t>A 36030-2024</t>
        </is>
      </c>
      <c r="B421" s="1" t="n">
        <v>45533.58302083334</v>
      </c>
      <c r="C421" s="1" t="n">
        <v>45965</v>
      </c>
      <c r="D421" t="inlineStr">
        <is>
          <t>KALMAR LÄN</t>
        </is>
      </c>
      <c r="E421" t="inlineStr">
        <is>
          <t>VIMMERBY</t>
        </is>
      </c>
      <c r="F421" t="inlineStr">
        <is>
          <t>Kommuner</t>
        </is>
      </c>
      <c r="G421" t="n">
        <v>4</v>
      </c>
      <c r="H421" t="n">
        <v>0</v>
      </c>
      <c r="I421" t="n">
        <v>0</v>
      </c>
      <c r="J421" t="n">
        <v>0</v>
      </c>
      <c r="K421" t="n">
        <v>0</v>
      </c>
      <c r="L421" t="n">
        <v>0</v>
      </c>
      <c r="M421" t="n">
        <v>0</v>
      </c>
      <c r="N421" t="n">
        <v>0</v>
      </c>
      <c r="O421" t="n">
        <v>0</v>
      </c>
      <c r="P421" t="n">
        <v>0</v>
      </c>
      <c r="Q421" t="n">
        <v>0</v>
      </c>
      <c r="R421" s="2" t="inlineStr"/>
    </row>
    <row r="422" ht="15" customHeight="1">
      <c r="A422" t="inlineStr">
        <is>
          <t>A 73938-2021</t>
        </is>
      </c>
      <c r="B422" s="1" t="n">
        <v>44553</v>
      </c>
      <c r="C422" s="1" t="n">
        <v>45965</v>
      </c>
      <c r="D422" t="inlineStr">
        <is>
          <t>KALMAR LÄN</t>
        </is>
      </c>
      <c r="E422" t="inlineStr">
        <is>
          <t>VIMMERBY</t>
        </is>
      </c>
      <c r="G422" t="n">
        <v>3.2</v>
      </c>
      <c r="H422" t="n">
        <v>0</v>
      </c>
      <c r="I422" t="n">
        <v>0</v>
      </c>
      <c r="J422" t="n">
        <v>0</v>
      </c>
      <c r="K422" t="n">
        <v>0</v>
      </c>
      <c r="L422" t="n">
        <v>0</v>
      </c>
      <c r="M422" t="n">
        <v>0</v>
      </c>
      <c r="N422" t="n">
        <v>0</v>
      </c>
      <c r="O422" t="n">
        <v>0</v>
      </c>
      <c r="P422" t="n">
        <v>0</v>
      </c>
      <c r="Q422" t="n">
        <v>0</v>
      </c>
      <c r="R422" s="2" t="inlineStr"/>
    </row>
    <row r="423" ht="15" customHeight="1">
      <c r="A423" t="inlineStr">
        <is>
          <t>A 11429-2022</t>
        </is>
      </c>
      <c r="B423" s="1" t="n">
        <v>44630</v>
      </c>
      <c r="C423" s="1" t="n">
        <v>45965</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6069-2023</t>
        </is>
      </c>
      <c r="B424" s="1" t="n">
        <v>44964.5115162037</v>
      </c>
      <c r="C424" s="1" t="n">
        <v>45965</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56582-2022</t>
        </is>
      </c>
      <c r="B425" s="1" t="n">
        <v>44893</v>
      </c>
      <c r="C425" s="1" t="n">
        <v>45965</v>
      </c>
      <c r="D425" t="inlineStr">
        <is>
          <t>KALMAR LÄN</t>
        </is>
      </c>
      <c r="E425" t="inlineStr">
        <is>
          <t>VIMMERBY</t>
        </is>
      </c>
      <c r="G425" t="n">
        <v>2.2</v>
      </c>
      <c r="H425" t="n">
        <v>0</v>
      </c>
      <c r="I425" t="n">
        <v>0</v>
      </c>
      <c r="J425" t="n">
        <v>0</v>
      </c>
      <c r="K425" t="n">
        <v>0</v>
      </c>
      <c r="L425" t="n">
        <v>0</v>
      </c>
      <c r="M425" t="n">
        <v>0</v>
      </c>
      <c r="N425" t="n">
        <v>0</v>
      </c>
      <c r="O425" t="n">
        <v>0</v>
      </c>
      <c r="P425" t="n">
        <v>0</v>
      </c>
      <c r="Q425" t="n">
        <v>0</v>
      </c>
      <c r="R425" s="2" t="inlineStr"/>
    </row>
    <row r="426" ht="15" customHeight="1">
      <c r="A426" t="inlineStr">
        <is>
          <t>A 6321-2023</t>
        </is>
      </c>
      <c r="B426" s="1" t="n">
        <v>44965.4815162037</v>
      </c>
      <c r="C426" s="1" t="n">
        <v>45965</v>
      </c>
      <c r="D426" t="inlineStr">
        <is>
          <t>KALMAR LÄN</t>
        </is>
      </c>
      <c r="E426" t="inlineStr">
        <is>
          <t>VIMMERBY</t>
        </is>
      </c>
      <c r="G426" t="n">
        <v>1.8</v>
      </c>
      <c r="H426" t="n">
        <v>0</v>
      </c>
      <c r="I426" t="n">
        <v>0</v>
      </c>
      <c r="J426" t="n">
        <v>0</v>
      </c>
      <c r="K426" t="n">
        <v>0</v>
      </c>
      <c r="L426" t="n">
        <v>0</v>
      </c>
      <c r="M426" t="n">
        <v>0</v>
      </c>
      <c r="N426" t="n">
        <v>0</v>
      </c>
      <c r="O426" t="n">
        <v>0</v>
      </c>
      <c r="P426" t="n">
        <v>0</v>
      </c>
      <c r="Q426" t="n">
        <v>0</v>
      </c>
      <c r="R426" s="2" t="inlineStr"/>
    </row>
    <row r="427" ht="15" customHeight="1">
      <c r="A427" t="inlineStr">
        <is>
          <t>A 6408-2025</t>
        </is>
      </c>
      <c r="B427" s="1" t="n">
        <v>45699.45671296296</v>
      </c>
      <c r="C427" s="1" t="n">
        <v>45965</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11609-2023</t>
        </is>
      </c>
      <c r="B428" s="1" t="n">
        <v>44994.40635416667</v>
      </c>
      <c r="C428" s="1" t="n">
        <v>45965</v>
      </c>
      <c r="D428" t="inlineStr">
        <is>
          <t>KALMAR LÄN</t>
        </is>
      </c>
      <c r="E428" t="inlineStr">
        <is>
          <t>VIMMERBY</t>
        </is>
      </c>
      <c r="G428" t="n">
        <v>4.9</v>
      </c>
      <c r="H428" t="n">
        <v>0</v>
      </c>
      <c r="I428" t="n">
        <v>0</v>
      </c>
      <c r="J428" t="n">
        <v>0</v>
      </c>
      <c r="K428" t="n">
        <v>0</v>
      </c>
      <c r="L428" t="n">
        <v>0</v>
      </c>
      <c r="M428" t="n">
        <v>0</v>
      </c>
      <c r="N428" t="n">
        <v>0</v>
      </c>
      <c r="O428" t="n">
        <v>0</v>
      </c>
      <c r="P428" t="n">
        <v>0</v>
      </c>
      <c r="Q428" t="n">
        <v>0</v>
      </c>
      <c r="R428" s="2" t="inlineStr"/>
    </row>
    <row r="429" ht="15" customHeight="1">
      <c r="A429" t="inlineStr">
        <is>
          <t>A 50995-2022</t>
        </is>
      </c>
      <c r="B429" s="1" t="n">
        <v>44867</v>
      </c>
      <c r="C429" s="1" t="n">
        <v>45965</v>
      </c>
      <c r="D429" t="inlineStr">
        <is>
          <t>KALMAR LÄN</t>
        </is>
      </c>
      <c r="E429" t="inlineStr">
        <is>
          <t>VIMMERBY</t>
        </is>
      </c>
      <c r="G429" t="n">
        <v>2.4</v>
      </c>
      <c r="H429" t="n">
        <v>0</v>
      </c>
      <c r="I429" t="n">
        <v>0</v>
      </c>
      <c r="J429" t="n">
        <v>0</v>
      </c>
      <c r="K429" t="n">
        <v>0</v>
      </c>
      <c r="L429" t="n">
        <v>0</v>
      </c>
      <c r="M429" t="n">
        <v>0</v>
      </c>
      <c r="N429" t="n">
        <v>0</v>
      </c>
      <c r="O429" t="n">
        <v>0</v>
      </c>
      <c r="P429" t="n">
        <v>0</v>
      </c>
      <c r="Q429" t="n">
        <v>0</v>
      </c>
      <c r="R429" s="2" t="inlineStr"/>
    </row>
    <row r="430" ht="15" customHeight="1">
      <c r="A430" t="inlineStr">
        <is>
          <t>A 44464-2024</t>
        </is>
      </c>
      <c r="B430" s="1" t="n">
        <v>45574.35809027778</v>
      </c>
      <c r="C430" s="1" t="n">
        <v>45965</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52755-2022</t>
        </is>
      </c>
      <c r="B431" s="1" t="n">
        <v>44875.27736111111</v>
      </c>
      <c r="C431" s="1" t="n">
        <v>45965</v>
      </c>
      <c r="D431" t="inlineStr">
        <is>
          <t>KALMAR LÄN</t>
        </is>
      </c>
      <c r="E431" t="inlineStr">
        <is>
          <t>VIMMERBY</t>
        </is>
      </c>
      <c r="G431" t="n">
        <v>1.1</v>
      </c>
      <c r="H431" t="n">
        <v>0</v>
      </c>
      <c r="I431" t="n">
        <v>0</v>
      </c>
      <c r="J431" t="n">
        <v>0</v>
      </c>
      <c r="K431" t="n">
        <v>0</v>
      </c>
      <c r="L431" t="n">
        <v>0</v>
      </c>
      <c r="M431" t="n">
        <v>0</v>
      </c>
      <c r="N431" t="n">
        <v>0</v>
      </c>
      <c r="O431" t="n">
        <v>0</v>
      </c>
      <c r="P431" t="n">
        <v>0</v>
      </c>
      <c r="Q431" t="n">
        <v>0</v>
      </c>
      <c r="R431" s="2" t="inlineStr"/>
    </row>
    <row r="432" ht="15" customHeight="1">
      <c r="A432" t="inlineStr">
        <is>
          <t>A 27122-2023</t>
        </is>
      </c>
      <c r="B432" s="1" t="n">
        <v>45096.45247685185</v>
      </c>
      <c r="C432" s="1" t="n">
        <v>45965</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41066-2024</t>
        </is>
      </c>
      <c r="B433" s="1" t="n">
        <v>45559.38876157408</v>
      </c>
      <c r="C433" s="1" t="n">
        <v>45965</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40823-2023</t>
        </is>
      </c>
      <c r="B434" s="1" t="n">
        <v>45171.77335648148</v>
      </c>
      <c r="C434" s="1" t="n">
        <v>45965</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30402-2023</t>
        </is>
      </c>
      <c r="B435" s="1" t="n">
        <v>45111.48395833333</v>
      </c>
      <c r="C435" s="1" t="n">
        <v>45965</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3816-2022</t>
        </is>
      </c>
      <c r="B436" s="1" t="n">
        <v>44587</v>
      </c>
      <c r="C436" s="1" t="n">
        <v>45965</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27761-2024</t>
        </is>
      </c>
      <c r="B437" s="1" t="n">
        <v>45475.49018518518</v>
      </c>
      <c r="C437" s="1" t="n">
        <v>45965</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21028-2023</t>
        </is>
      </c>
      <c r="B438" s="1" t="n">
        <v>45061</v>
      </c>
      <c r="C438" s="1" t="n">
        <v>45965</v>
      </c>
      <c r="D438" t="inlineStr">
        <is>
          <t>KALMAR LÄN</t>
        </is>
      </c>
      <c r="E438" t="inlineStr">
        <is>
          <t>VIMMERBY</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64203-2021</t>
        </is>
      </c>
      <c r="B439" s="1" t="n">
        <v>44510.60921296296</v>
      </c>
      <c r="C439" s="1" t="n">
        <v>45965</v>
      </c>
      <c r="D439" t="inlineStr">
        <is>
          <t>KALMAR LÄN</t>
        </is>
      </c>
      <c r="E439" t="inlineStr">
        <is>
          <t>VIMMERBY</t>
        </is>
      </c>
      <c r="F439" t="inlineStr">
        <is>
          <t>Övriga Aktiebolag</t>
        </is>
      </c>
      <c r="G439" t="n">
        <v>5.4</v>
      </c>
      <c r="H439" t="n">
        <v>0</v>
      </c>
      <c r="I439" t="n">
        <v>0</v>
      </c>
      <c r="J439" t="n">
        <v>0</v>
      </c>
      <c r="K439" t="n">
        <v>0</v>
      </c>
      <c r="L439" t="n">
        <v>0</v>
      </c>
      <c r="M439" t="n">
        <v>0</v>
      </c>
      <c r="N439" t="n">
        <v>0</v>
      </c>
      <c r="O439" t="n">
        <v>0</v>
      </c>
      <c r="P439" t="n">
        <v>0</v>
      </c>
      <c r="Q439" t="n">
        <v>0</v>
      </c>
      <c r="R439" s="2" t="inlineStr"/>
    </row>
    <row r="440" ht="15" customHeight="1">
      <c r="A440" t="inlineStr">
        <is>
          <t>A 47842-2024</t>
        </is>
      </c>
      <c r="B440" s="1" t="n">
        <v>45588.65545138889</v>
      </c>
      <c r="C440" s="1" t="n">
        <v>45965</v>
      </c>
      <c r="D440" t="inlineStr">
        <is>
          <t>KALMAR LÄN</t>
        </is>
      </c>
      <c r="E440" t="inlineStr">
        <is>
          <t>VIMMERBY</t>
        </is>
      </c>
      <c r="G440" t="n">
        <v>2.4</v>
      </c>
      <c r="H440" t="n">
        <v>0</v>
      </c>
      <c r="I440" t="n">
        <v>0</v>
      </c>
      <c r="J440" t="n">
        <v>0</v>
      </c>
      <c r="K440" t="n">
        <v>0</v>
      </c>
      <c r="L440" t="n">
        <v>0</v>
      </c>
      <c r="M440" t="n">
        <v>0</v>
      </c>
      <c r="N440" t="n">
        <v>0</v>
      </c>
      <c r="O440" t="n">
        <v>0</v>
      </c>
      <c r="P440" t="n">
        <v>0</v>
      </c>
      <c r="Q440" t="n">
        <v>0</v>
      </c>
      <c r="R440" s="2" t="inlineStr"/>
    </row>
    <row r="441" ht="15" customHeight="1">
      <c r="A441" t="inlineStr">
        <is>
          <t>A 6857-2023</t>
        </is>
      </c>
      <c r="B441" s="1" t="n">
        <v>44967.45122685185</v>
      </c>
      <c r="C441" s="1" t="n">
        <v>45965</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1016-2024</t>
        </is>
      </c>
      <c r="B442" s="1" t="n">
        <v>45301</v>
      </c>
      <c r="C442" s="1" t="n">
        <v>45965</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1024-2024</t>
        </is>
      </c>
      <c r="B443" s="1" t="n">
        <v>45301.68237268519</v>
      </c>
      <c r="C443" s="1" t="n">
        <v>45965</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1081-2023</t>
        </is>
      </c>
      <c r="B444" s="1" t="n">
        <v>44935</v>
      </c>
      <c r="C444" s="1" t="n">
        <v>45965</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27758-2024</t>
        </is>
      </c>
      <c r="B445" s="1" t="n">
        <v>45475.48303240741</v>
      </c>
      <c r="C445" s="1" t="n">
        <v>45965</v>
      </c>
      <c r="D445" t="inlineStr">
        <is>
          <t>KALMAR LÄN</t>
        </is>
      </c>
      <c r="E445" t="inlineStr">
        <is>
          <t>VIMMERBY</t>
        </is>
      </c>
      <c r="G445" t="n">
        <v>2.6</v>
      </c>
      <c r="H445" t="n">
        <v>0</v>
      </c>
      <c r="I445" t="n">
        <v>0</v>
      </c>
      <c r="J445" t="n">
        <v>0</v>
      </c>
      <c r="K445" t="n">
        <v>0</v>
      </c>
      <c r="L445" t="n">
        <v>0</v>
      </c>
      <c r="M445" t="n">
        <v>0</v>
      </c>
      <c r="N445" t="n">
        <v>0</v>
      </c>
      <c r="O445" t="n">
        <v>0</v>
      </c>
      <c r="P445" t="n">
        <v>0</v>
      </c>
      <c r="Q445" t="n">
        <v>0</v>
      </c>
      <c r="R445" s="2" t="inlineStr"/>
    </row>
    <row r="446" ht="15" customHeight="1">
      <c r="A446" t="inlineStr">
        <is>
          <t>A 7047-2022</t>
        </is>
      </c>
      <c r="B446" s="1" t="n">
        <v>44603</v>
      </c>
      <c r="C446" s="1" t="n">
        <v>45965</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12499-2023</t>
        </is>
      </c>
      <c r="B447" s="1" t="n">
        <v>44999.86172453704</v>
      </c>
      <c r="C447" s="1" t="n">
        <v>45965</v>
      </c>
      <c r="D447" t="inlineStr">
        <is>
          <t>KALMAR LÄN</t>
        </is>
      </c>
      <c r="E447" t="inlineStr">
        <is>
          <t>VIMMERBY</t>
        </is>
      </c>
      <c r="G447" t="n">
        <v>0.8</v>
      </c>
      <c r="H447" t="n">
        <v>0</v>
      </c>
      <c r="I447" t="n">
        <v>0</v>
      </c>
      <c r="J447" t="n">
        <v>0</v>
      </c>
      <c r="K447" t="n">
        <v>0</v>
      </c>
      <c r="L447" t="n">
        <v>0</v>
      </c>
      <c r="M447" t="n">
        <v>0</v>
      </c>
      <c r="N447" t="n">
        <v>0</v>
      </c>
      <c r="O447" t="n">
        <v>0</v>
      </c>
      <c r="P447" t="n">
        <v>0</v>
      </c>
      <c r="Q447" t="n">
        <v>0</v>
      </c>
      <c r="R447" s="2" t="inlineStr"/>
    </row>
    <row r="448" ht="15" customHeight="1">
      <c r="A448" t="inlineStr">
        <is>
          <t>A 12500-2023</t>
        </is>
      </c>
      <c r="B448" s="1" t="n">
        <v>44999.8625</v>
      </c>
      <c r="C448" s="1" t="n">
        <v>45965</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6066-2023</t>
        </is>
      </c>
      <c r="B449" s="1" t="n">
        <v>44964.50894675926</v>
      </c>
      <c r="C449" s="1" t="n">
        <v>45965</v>
      </c>
      <c r="D449" t="inlineStr">
        <is>
          <t>KALMAR LÄN</t>
        </is>
      </c>
      <c r="E449" t="inlineStr">
        <is>
          <t>VIMMERBY</t>
        </is>
      </c>
      <c r="G449" t="n">
        <v>2.8</v>
      </c>
      <c r="H449" t="n">
        <v>0</v>
      </c>
      <c r="I449" t="n">
        <v>0</v>
      </c>
      <c r="J449" t="n">
        <v>0</v>
      </c>
      <c r="K449" t="n">
        <v>0</v>
      </c>
      <c r="L449" t="n">
        <v>0</v>
      </c>
      <c r="M449" t="n">
        <v>0</v>
      </c>
      <c r="N449" t="n">
        <v>0</v>
      </c>
      <c r="O449" t="n">
        <v>0</v>
      </c>
      <c r="P449" t="n">
        <v>0</v>
      </c>
      <c r="Q449" t="n">
        <v>0</v>
      </c>
      <c r="R449" s="2" t="inlineStr"/>
    </row>
    <row r="450" ht="15" customHeight="1">
      <c r="A450" t="inlineStr">
        <is>
          <t>A 46224-2024</t>
        </is>
      </c>
      <c r="B450" s="1" t="n">
        <v>45581.57016203704</v>
      </c>
      <c r="C450" s="1" t="n">
        <v>45965</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33103-2024</t>
        </is>
      </c>
      <c r="B451" s="1" t="n">
        <v>45517.8162037037</v>
      </c>
      <c r="C451" s="1" t="n">
        <v>45965</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33161-2024</t>
        </is>
      </c>
      <c r="B452" s="1" t="n">
        <v>45518.40657407408</v>
      </c>
      <c r="C452" s="1" t="n">
        <v>45965</v>
      </c>
      <c r="D452" t="inlineStr">
        <is>
          <t>KALMAR LÄN</t>
        </is>
      </c>
      <c r="E452" t="inlineStr">
        <is>
          <t>VIMMERBY</t>
        </is>
      </c>
      <c r="G452" t="n">
        <v>4.7</v>
      </c>
      <c r="H452" t="n">
        <v>0</v>
      </c>
      <c r="I452" t="n">
        <v>0</v>
      </c>
      <c r="J452" t="n">
        <v>0</v>
      </c>
      <c r="K452" t="n">
        <v>0</v>
      </c>
      <c r="L452" t="n">
        <v>0</v>
      </c>
      <c r="M452" t="n">
        <v>0</v>
      </c>
      <c r="N452" t="n">
        <v>0</v>
      </c>
      <c r="O452" t="n">
        <v>0</v>
      </c>
      <c r="P452" t="n">
        <v>0</v>
      </c>
      <c r="Q452" t="n">
        <v>0</v>
      </c>
      <c r="R452" s="2" t="inlineStr"/>
    </row>
    <row r="453" ht="15" customHeight="1">
      <c r="A453" t="inlineStr">
        <is>
          <t>A 12510-2022</t>
        </is>
      </c>
      <c r="B453" s="1" t="n">
        <v>44638.55256944444</v>
      </c>
      <c r="C453" s="1" t="n">
        <v>45965</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32865-2023</t>
        </is>
      </c>
      <c r="B454" s="1" t="n">
        <v>45124</v>
      </c>
      <c r="C454" s="1" t="n">
        <v>45965</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22194-2024</t>
        </is>
      </c>
      <c r="B455" s="1" t="n">
        <v>45446.36482638889</v>
      </c>
      <c r="C455" s="1" t="n">
        <v>45965</v>
      </c>
      <c r="D455" t="inlineStr">
        <is>
          <t>KALMAR LÄN</t>
        </is>
      </c>
      <c r="E455" t="inlineStr">
        <is>
          <t>VIMMERBY</t>
        </is>
      </c>
      <c r="F455" t="inlineStr">
        <is>
          <t>Sveaskog</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17926-2025</t>
        </is>
      </c>
      <c r="B456" s="1" t="n">
        <v>45759.38987268518</v>
      </c>
      <c r="C456" s="1" t="n">
        <v>45965</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35127-2024</t>
        </is>
      </c>
      <c r="B457" s="1" t="n">
        <v>45530.33202546297</v>
      </c>
      <c r="C457" s="1" t="n">
        <v>45965</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29013-2024</t>
        </is>
      </c>
      <c r="B458" s="1" t="n">
        <v>45481.55984953704</v>
      </c>
      <c r="C458" s="1" t="n">
        <v>45965</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37028-2024</t>
        </is>
      </c>
      <c r="B459" s="1" t="n">
        <v>45539.38744212963</v>
      </c>
      <c r="C459" s="1" t="n">
        <v>45965</v>
      </c>
      <c r="D459" t="inlineStr">
        <is>
          <t>KALMAR LÄN</t>
        </is>
      </c>
      <c r="E459" t="inlineStr">
        <is>
          <t>VIMMERBY</t>
        </is>
      </c>
      <c r="G459" t="n">
        <v>5.2</v>
      </c>
      <c r="H459" t="n">
        <v>0</v>
      </c>
      <c r="I459" t="n">
        <v>0</v>
      </c>
      <c r="J459" t="n">
        <v>0</v>
      </c>
      <c r="K459" t="n">
        <v>0</v>
      </c>
      <c r="L459" t="n">
        <v>0</v>
      </c>
      <c r="M459" t="n">
        <v>0</v>
      </c>
      <c r="N459" t="n">
        <v>0</v>
      </c>
      <c r="O459" t="n">
        <v>0</v>
      </c>
      <c r="P459" t="n">
        <v>0</v>
      </c>
      <c r="Q459" t="n">
        <v>0</v>
      </c>
      <c r="R459" s="2" t="inlineStr"/>
    </row>
    <row r="460" ht="15" customHeight="1">
      <c r="A460" t="inlineStr">
        <is>
          <t>A 45854-2025</t>
        </is>
      </c>
      <c r="B460" s="1" t="n">
        <v>45923</v>
      </c>
      <c r="C460" s="1" t="n">
        <v>45965</v>
      </c>
      <c r="D460" t="inlineStr">
        <is>
          <t>KALMAR LÄN</t>
        </is>
      </c>
      <c r="E460" t="inlineStr">
        <is>
          <t>VIMMERBY</t>
        </is>
      </c>
      <c r="G460" t="n">
        <v>2.2</v>
      </c>
      <c r="H460" t="n">
        <v>0</v>
      </c>
      <c r="I460" t="n">
        <v>0</v>
      </c>
      <c r="J460" t="n">
        <v>0</v>
      </c>
      <c r="K460" t="n">
        <v>0</v>
      </c>
      <c r="L460" t="n">
        <v>0</v>
      </c>
      <c r="M460" t="n">
        <v>0</v>
      </c>
      <c r="N460" t="n">
        <v>0</v>
      </c>
      <c r="O460" t="n">
        <v>0</v>
      </c>
      <c r="P460" t="n">
        <v>0</v>
      </c>
      <c r="Q460" t="n">
        <v>0</v>
      </c>
      <c r="R460" s="2" t="inlineStr"/>
    </row>
    <row r="461" ht="15" customHeight="1">
      <c r="A461" t="inlineStr">
        <is>
          <t>A 33383-2023</t>
        </is>
      </c>
      <c r="B461" s="1" t="n">
        <v>45128.58414351852</v>
      </c>
      <c r="C461" s="1" t="n">
        <v>45965</v>
      </c>
      <c r="D461" t="inlineStr">
        <is>
          <t>KALMAR LÄN</t>
        </is>
      </c>
      <c r="E461" t="inlineStr">
        <is>
          <t>VIMMERBY</t>
        </is>
      </c>
      <c r="G461" t="n">
        <v>2.3</v>
      </c>
      <c r="H461" t="n">
        <v>0</v>
      </c>
      <c r="I461" t="n">
        <v>0</v>
      </c>
      <c r="J461" t="n">
        <v>0</v>
      </c>
      <c r="K461" t="n">
        <v>0</v>
      </c>
      <c r="L461" t="n">
        <v>0</v>
      </c>
      <c r="M461" t="n">
        <v>0</v>
      </c>
      <c r="N461" t="n">
        <v>0</v>
      </c>
      <c r="O461" t="n">
        <v>0</v>
      </c>
      <c r="P461" t="n">
        <v>0</v>
      </c>
      <c r="Q461" t="n">
        <v>0</v>
      </c>
      <c r="R461" s="2" t="inlineStr"/>
    </row>
    <row r="462" ht="15" customHeight="1">
      <c r="A462" t="inlineStr">
        <is>
          <t>A 1146-2025</t>
        </is>
      </c>
      <c r="B462" s="1" t="n">
        <v>45666</v>
      </c>
      <c r="C462" s="1" t="n">
        <v>45965</v>
      </c>
      <c r="D462" t="inlineStr">
        <is>
          <t>KALMAR LÄN</t>
        </is>
      </c>
      <c r="E462" t="inlineStr">
        <is>
          <t>VIMMERBY</t>
        </is>
      </c>
      <c r="G462" t="n">
        <v>4</v>
      </c>
      <c r="H462" t="n">
        <v>0</v>
      </c>
      <c r="I462" t="n">
        <v>0</v>
      </c>
      <c r="J462" t="n">
        <v>0</v>
      </c>
      <c r="K462" t="n">
        <v>0</v>
      </c>
      <c r="L462" t="n">
        <v>0</v>
      </c>
      <c r="M462" t="n">
        <v>0</v>
      </c>
      <c r="N462" t="n">
        <v>0</v>
      </c>
      <c r="O462" t="n">
        <v>0</v>
      </c>
      <c r="P462" t="n">
        <v>0</v>
      </c>
      <c r="Q462" t="n">
        <v>0</v>
      </c>
      <c r="R462" s="2" t="inlineStr"/>
    </row>
    <row r="463" ht="15" customHeight="1">
      <c r="A463" t="inlineStr">
        <is>
          <t>A 37187-2024</t>
        </is>
      </c>
      <c r="B463" s="1" t="n">
        <v>45539.65212962963</v>
      </c>
      <c r="C463" s="1" t="n">
        <v>45965</v>
      </c>
      <c r="D463" t="inlineStr">
        <is>
          <t>KALMAR LÄN</t>
        </is>
      </c>
      <c r="E463" t="inlineStr">
        <is>
          <t>VIMMERBY</t>
        </is>
      </c>
      <c r="G463" t="n">
        <v>2.7</v>
      </c>
      <c r="H463" t="n">
        <v>0</v>
      </c>
      <c r="I463" t="n">
        <v>0</v>
      </c>
      <c r="J463" t="n">
        <v>0</v>
      </c>
      <c r="K463" t="n">
        <v>0</v>
      </c>
      <c r="L463" t="n">
        <v>0</v>
      </c>
      <c r="M463" t="n">
        <v>0</v>
      </c>
      <c r="N463" t="n">
        <v>0</v>
      </c>
      <c r="O463" t="n">
        <v>0</v>
      </c>
      <c r="P463" t="n">
        <v>0</v>
      </c>
      <c r="Q463" t="n">
        <v>0</v>
      </c>
      <c r="R463" s="2" t="inlineStr"/>
    </row>
    <row r="464" ht="15" customHeight="1">
      <c r="A464" t="inlineStr">
        <is>
          <t>A 4297-2022</t>
        </is>
      </c>
      <c r="B464" s="1" t="n">
        <v>44588</v>
      </c>
      <c r="C464" s="1" t="n">
        <v>45965</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12890-2023</t>
        </is>
      </c>
      <c r="B465" s="1" t="n">
        <v>45001.59209490741</v>
      </c>
      <c r="C465" s="1" t="n">
        <v>45965</v>
      </c>
      <c r="D465" t="inlineStr">
        <is>
          <t>KALMAR LÄN</t>
        </is>
      </c>
      <c r="E465" t="inlineStr">
        <is>
          <t>VIMMERBY</t>
        </is>
      </c>
      <c r="G465" t="n">
        <v>2.8</v>
      </c>
      <c r="H465" t="n">
        <v>0</v>
      </c>
      <c r="I465" t="n">
        <v>0</v>
      </c>
      <c r="J465" t="n">
        <v>0</v>
      </c>
      <c r="K465" t="n">
        <v>0</v>
      </c>
      <c r="L465" t="n">
        <v>0</v>
      </c>
      <c r="M465" t="n">
        <v>0</v>
      </c>
      <c r="N465" t="n">
        <v>0</v>
      </c>
      <c r="O465" t="n">
        <v>0</v>
      </c>
      <c r="P465" t="n">
        <v>0</v>
      </c>
      <c r="Q465" t="n">
        <v>0</v>
      </c>
      <c r="R465" s="2" t="inlineStr"/>
    </row>
    <row r="466" ht="15" customHeight="1">
      <c r="A466" t="inlineStr">
        <is>
          <t>A 3902-2022</t>
        </is>
      </c>
      <c r="B466" s="1" t="n">
        <v>44587.48847222222</v>
      </c>
      <c r="C466" s="1" t="n">
        <v>45965</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12630-2023</t>
        </is>
      </c>
      <c r="B467" s="1" t="n">
        <v>45000.47998842593</v>
      </c>
      <c r="C467" s="1" t="n">
        <v>45965</v>
      </c>
      <c r="D467" t="inlineStr">
        <is>
          <t>KALMAR LÄN</t>
        </is>
      </c>
      <c r="E467" t="inlineStr">
        <is>
          <t>VIMMERBY</t>
        </is>
      </c>
      <c r="G467" t="n">
        <v>2.1</v>
      </c>
      <c r="H467" t="n">
        <v>0</v>
      </c>
      <c r="I467" t="n">
        <v>0</v>
      </c>
      <c r="J467" t="n">
        <v>0</v>
      </c>
      <c r="K467" t="n">
        <v>0</v>
      </c>
      <c r="L467" t="n">
        <v>0</v>
      </c>
      <c r="M467" t="n">
        <v>0</v>
      </c>
      <c r="N467" t="n">
        <v>0</v>
      </c>
      <c r="O467" t="n">
        <v>0</v>
      </c>
      <c r="P467" t="n">
        <v>0</v>
      </c>
      <c r="Q467" t="n">
        <v>0</v>
      </c>
      <c r="R467" s="2" t="inlineStr"/>
    </row>
    <row r="468" ht="15" customHeight="1">
      <c r="A468" t="inlineStr">
        <is>
          <t>A 89-2023</t>
        </is>
      </c>
      <c r="B468" s="1" t="n">
        <v>44918</v>
      </c>
      <c r="C468" s="1" t="n">
        <v>45965</v>
      </c>
      <c r="D468" t="inlineStr">
        <is>
          <t>KALMAR LÄN</t>
        </is>
      </c>
      <c r="E468" t="inlineStr">
        <is>
          <t>VIMMERBY</t>
        </is>
      </c>
      <c r="G468" t="n">
        <v>16.1</v>
      </c>
      <c r="H468" t="n">
        <v>0</v>
      </c>
      <c r="I468" t="n">
        <v>0</v>
      </c>
      <c r="J468" t="n">
        <v>0</v>
      </c>
      <c r="K468" t="n">
        <v>0</v>
      </c>
      <c r="L468" t="n">
        <v>0</v>
      </c>
      <c r="M468" t="n">
        <v>0</v>
      </c>
      <c r="N468" t="n">
        <v>0</v>
      </c>
      <c r="O468" t="n">
        <v>0</v>
      </c>
      <c r="P468" t="n">
        <v>0</v>
      </c>
      <c r="Q468" t="n">
        <v>0</v>
      </c>
      <c r="R468" s="2" t="inlineStr"/>
    </row>
    <row r="469" ht="15" customHeight="1">
      <c r="A469" t="inlineStr">
        <is>
          <t>A 55716-2023</t>
        </is>
      </c>
      <c r="B469" s="1" t="n">
        <v>45232</v>
      </c>
      <c r="C469" s="1" t="n">
        <v>45965</v>
      </c>
      <c r="D469" t="inlineStr">
        <is>
          <t>KALMAR LÄN</t>
        </is>
      </c>
      <c r="E469" t="inlineStr">
        <is>
          <t>VIMMERBY</t>
        </is>
      </c>
      <c r="G469" t="n">
        <v>2.3</v>
      </c>
      <c r="H469" t="n">
        <v>0</v>
      </c>
      <c r="I469" t="n">
        <v>0</v>
      </c>
      <c r="J469" t="n">
        <v>0</v>
      </c>
      <c r="K469" t="n">
        <v>0</v>
      </c>
      <c r="L469" t="n">
        <v>0</v>
      </c>
      <c r="M469" t="n">
        <v>0</v>
      </c>
      <c r="N469" t="n">
        <v>0</v>
      </c>
      <c r="O469" t="n">
        <v>0</v>
      </c>
      <c r="P469" t="n">
        <v>0</v>
      </c>
      <c r="Q469" t="n">
        <v>0</v>
      </c>
      <c r="R469" s="2" t="inlineStr"/>
    </row>
    <row r="470" ht="15" customHeight="1">
      <c r="A470" t="inlineStr">
        <is>
          <t>A 5382-2023</t>
        </is>
      </c>
      <c r="B470" s="1" t="n">
        <v>44959.66407407408</v>
      </c>
      <c r="C470" s="1" t="n">
        <v>45965</v>
      </c>
      <c r="D470" t="inlineStr">
        <is>
          <t>KALMAR LÄN</t>
        </is>
      </c>
      <c r="E470" t="inlineStr">
        <is>
          <t>VIMMERBY</t>
        </is>
      </c>
      <c r="G470" t="n">
        <v>1</v>
      </c>
      <c r="H470" t="n">
        <v>0</v>
      </c>
      <c r="I470" t="n">
        <v>0</v>
      </c>
      <c r="J470" t="n">
        <v>0</v>
      </c>
      <c r="K470" t="n">
        <v>0</v>
      </c>
      <c r="L470" t="n">
        <v>0</v>
      </c>
      <c r="M470" t="n">
        <v>0</v>
      </c>
      <c r="N470" t="n">
        <v>0</v>
      </c>
      <c r="O470" t="n">
        <v>0</v>
      </c>
      <c r="P470" t="n">
        <v>0</v>
      </c>
      <c r="Q470" t="n">
        <v>0</v>
      </c>
      <c r="R470" s="2" t="inlineStr"/>
    </row>
    <row r="471" ht="15" customHeight="1">
      <c r="A471" t="inlineStr">
        <is>
          <t>A 34386-2024</t>
        </is>
      </c>
      <c r="B471" s="1" t="n">
        <v>45525.41762731481</v>
      </c>
      <c r="C471" s="1" t="n">
        <v>45965</v>
      </c>
      <c r="D471" t="inlineStr">
        <is>
          <t>KALMAR LÄN</t>
        </is>
      </c>
      <c r="E471" t="inlineStr">
        <is>
          <t>VIMMERBY</t>
        </is>
      </c>
      <c r="G471" t="n">
        <v>0.3</v>
      </c>
      <c r="H471" t="n">
        <v>0</v>
      </c>
      <c r="I471" t="n">
        <v>0</v>
      </c>
      <c r="J471" t="n">
        <v>0</v>
      </c>
      <c r="K471" t="n">
        <v>0</v>
      </c>
      <c r="L471" t="n">
        <v>0</v>
      </c>
      <c r="M471" t="n">
        <v>0</v>
      </c>
      <c r="N471" t="n">
        <v>0</v>
      </c>
      <c r="O471" t="n">
        <v>0</v>
      </c>
      <c r="P471" t="n">
        <v>0</v>
      </c>
      <c r="Q471" t="n">
        <v>0</v>
      </c>
      <c r="R471" s="2" t="inlineStr"/>
    </row>
    <row r="472" ht="15" customHeight="1">
      <c r="A472" t="inlineStr">
        <is>
          <t>A 6668-2023</t>
        </is>
      </c>
      <c r="B472" s="1" t="n">
        <v>44966</v>
      </c>
      <c r="C472" s="1" t="n">
        <v>45965</v>
      </c>
      <c r="D472" t="inlineStr">
        <is>
          <t>KALMAR LÄN</t>
        </is>
      </c>
      <c r="E472" t="inlineStr">
        <is>
          <t>VIMMERBY</t>
        </is>
      </c>
      <c r="G472" t="n">
        <v>0.9</v>
      </c>
      <c r="H472" t="n">
        <v>0</v>
      </c>
      <c r="I472" t="n">
        <v>0</v>
      </c>
      <c r="J472" t="n">
        <v>0</v>
      </c>
      <c r="K472" t="n">
        <v>0</v>
      </c>
      <c r="L472" t="n">
        <v>0</v>
      </c>
      <c r="M472" t="n">
        <v>0</v>
      </c>
      <c r="N472" t="n">
        <v>0</v>
      </c>
      <c r="O472" t="n">
        <v>0</v>
      </c>
      <c r="P472" t="n">
        <v>0</v>
      </c>
      <c r="Q472" t="n">
        <v>0</v>
      </c>
      <c r="R472" s="2" t="inlineStr"/>
    </row>
    <row r="473" ht="15" customHeight="1">
      <c r="A473" t="inlineStr">
        <is>
          <t>A 172-2022</t>
        </is>
      </c>
      <c r="B473" s="1" t="n">
        <v>44564.62598379629</v>
      </c>
      <c r="C473" s="1" t="n">
        <v>45965</v>
      </c>
      <c r="D473" t="inlineStr">
        <is>
          <t>KALMAR LÄN</t>
        </is>
      </c>
      <c r="E473" t="inlineStr">
        <is>
          <t>VIMMERBY</t>
        </is>
      </c>
      <c r="G473" t="n">
        <v>2.1</v>
      </c>
      <c r="H473" t="n">
        <v>0</v>
      </c>
      <c r="I473" t="n">
        <v>0</v>
      </c>
      <c r="J473" t="n">
        <v>0</v>
      </c>
      <c r="K473" t="n">
        <v>0</v>
      </c>
      <c r="L473" t="n">
        <v>0</v>
      </c>
      <c r="M473" t="n">
        <v>0</v>
      </c>
      <c r="N473" t="n">
        <v>0</v>
      </c>
      <c r="O473" t="n">
        <v>0</v>
      </c>
      <c r="P473" t="n">
        <v>0</v>
      </c>
      <c r="Q473" t="n">
        <v>0</v>
      </c>
      <c r="R473" s="2" t="inlineStr"/>
    </row>
    <row r="474" ht="15" customHeight="1">
      <c r="A474" t="inlineStr">
        <is>
          <t>A 39584-2024</t>
        </is>
      </c>
      <c r="B474" s="1" t="n">
        <v>45552.36759259259</v>
      </c>
      <c r="C474" s="1" t="n">
        <v>45965</v>
      </c>
      <c r="D474" t="inlineStr">
        <is>
          <t>KALMAR LÄN</t>
        </is>
      </c>
      <c r="E474" t="inlineStr">
        <is>
          <t>VIMMERBY</t>
        </is>
      </c>
      <c r="G474" t="n">
        <v>1.9</v>
      </c>
      <c r="H474" t="n">
        <v>0</v>
      </c>
      <c r="I474" t="n">
        <v>0</v>
      </c>
      <c r="J474" t="n">
        <v>0</v>
      </c>
      <c r="K474" t="n">
        <v>0</v>
      </c>
      <c r="L474" t="n">
        <v>0</v>
      </c>
      <c r="M474" t="n">
        <v>0</v>
      </c>
      <c r="N474" t="n">
        <v>0</v>
      </c>
      <c r="O474" t="n">
        <v>0</v>
      </c>
      <c r="P474" t="n">
        <v>0</v>
      </c>
      <c r="Q474" t="n">
        <v>0</v>
      </c>
      <c r="R474" s="2" t="inlineStr"/>
    </row>
    <row r="475" ht="15" customHeight="1">
      <c r="A475" t="inlineStr">
        <is>
          <t>A 27705-2023</t>
        </is>
      </c>
      <c r="B475" s="1" t="n">
        <v>45098.30535879629</v>
      </c>
      <c r="C475" s="1" t="n">
        <v>45965</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42429-2024</t>
        </is>
      </c>
      <c r="B476" s="1" t="n">
        <v>45565.40657407408</v>
      </c>
      <c r="C476" s="1" t="n">
        <v>45965</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30634-2024</t>
        </is>
      </c>
      <c r="B477" s="1" t="n">
        <v>45495</v>
      </c>
      <c r="C477" s="1" t="n">
        <v>45965</v>
      </c>
      <c r="D477" t="inlineStr">
        <is>
          <t>KALMAR LÄN</t>
        </is>
      </c>
      <c r="E477" t="inlineStr">
        <is>
          <t>VIMMERBY</t>
        </is>
      </c>
      <c r="G477" t="n">
        <v>1.2</v>
      </c>
      <c r="H477" t="n">
        <v>0</v>
      </c>
      <c r="I477" t="n">
        <v>0</v>
      </c>
      <c r="J477" t="n">
        <v>0</v>
      </c>
      <c r="K477" t="n">
        <v>0</v>
      </c>
      <c r="L477" t="n">
        <v>0</v>
      </c>
      <c r="M477" t="n">
        <v>0</v>
      </c>
      <c r="N477" t="n">
        <v>0</v>
      </c>
      <c r="O477" t="n">
        <v>0</v>
      </c>
      <c r="P477" t="n">
        <v>0</v>
      </c>
      <c r="Q477" t="n">
        <v>0</v>
      </c>
      <c r="R477" s="2" t="inlineStr"/>
    </row>
    <row r="478" ht="15" customHeight="1">
      <c r="A478" t="inlineStr">
        <is>
          <t>A 11946-2025</t>
        </is>
      </c>
      <c r="B478" s="1" t="n">
        <v>45728.54832175926</v>
      </c>
      <c r="C478" s="1" t="n">
        <v>45965</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6355-2022</t>
        </is>
      </c>
      <c r="B479" s="1" t="n">
        <v>44600</v>
      </c>
      <c r="C479" s="1" t="n">
        <v>45965</v>
      </c>
      <c r="D479" t="inlineStr">
        <is>
          <t>KALMAR LÄN</t>
        </is>
      </c>
      <c r="E479" t="inlineStr">
        <is>
          <t>VIMMERBY</t>
        </is>
      </c>
      <c r="G479" t="n">
        <v>4.9</v>
      </c>
      <c r="H479" t="n">
        <v>0</v>
      </c>
      <c r="I479" t="n">
        <v>0</v>
      </c>
      <c r="J479" t="n">
        <v>0</v>
      </c>
      <c r="K479" t="n">
        <v>0</v>
      </c>
      <c r="L479" t="n">
        <v>0</v>
      </c>
      <c r="M479" t="n">
        <v>0</v>
      </c>
      <c r="N479" t="n">
        <v>0</v>
      </c>
      <c r="O479" t="n">
        <v>0</v>
      </c>
      <c r="P479" t="n">
        <v>0</v>
      </c>
      <c r="Q479" t="n">
        <v>0</v>
      </c>
      <c r="R479" s="2" t="inlineStr"/>
    </row>
    <row r="480" ht="15" customHeight="1">
      <c r="A480" t="inlineStr">
        <is>
          <t>A 31013-2023</t>
        </is>
      </c>
      <c r="B480" s="1" t="n">
        <v>45113.56574074074</v>
      </c>
      <c r="C480" s="1" t="n">
        <v>45965</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16020-2023</t>
        </is>
      </c>
      <c r="B481" s="1" t="n">
        <v>45026.82216435186</v>
      </c>
      <c r="C481" s="1" t="n">
        <v>45965</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15388-2025</t>
        </is>
      </c>
      <c r="B482" s="1" t="n">
        <v>45747.42633101852</v>
      </c>
      <c r="C482" s="1" t="n">
        <v>45965</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15391-2025</t>
        </is>
      </c>
      <c r="B483" s="1" t="n">
        <v>45747.42958333333</v>
      </c>
      <c r="C483" s="1" t="n">
        <v>45965</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60292-2022</t>
        </is>
      </c>
      <c r="B484" s="1" t="n">
        <v>44910.54231481482</v>
      </c>
      <c r="C484" s="1" t="n">
        <v>45965</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59943-2023</t>
        </is>
      </c>
      <c r="B485" s="1" t="n">
        <v>45257.67958333333</v>
      </c>
      <c r="C485" s="1" t="n">
        <v>45965</v>
      </c>
      <c r="D485" t="inlineStr">
        <is>
          <t>KALMAR LÄN</t>
        </is>
      </c>
      <c r="E485" t="inlineStr">
        <is>
          <t>VIMMERBY</t>
        </is>
      </c>
      <c r="G485" t="n">
        <v>6.4</v>
      </c>
      <c r="H485" t="n">
        <v>0</v>
      </c>
      <c r="I485" t="n">
        <v>0</v>
      </c>
      <c r="J485" t="n">
        <v>0</v>
      </c>
      <c r="K485" t="n">
        <v>0</v>
      </c>
      <c r="L485" t="n">
        <v>0</v>
      </c>
      <c r="M485" t="n">
        <v>0</v>
      </c>
      <c r="N485" t="n">
        <v>0</v>
      </c>
      <c r="O485" t="n">
        <v>0</v>
      </c>
      <c r="P485" t="n">
        <v>0</v>
      </c>
      <c r="Q485" t="n">
        <v>0</v>
      </c>
      <c r="R485" s="2" t="inlineStr"/>
    </row>
    <row r="486" ht="15" customHeight="1">
      <c r="A486" t="inlineStr">
        <is>
          <t>A 11303-2025</t>
        </is>
      </c>
      <c r="B486" s="1" t="n">
        <v>45726.44471064815</v>
      </c>
      <c r="C486" s="1" t="n">
        <v>45965</v>
      </c>
      <c r="D486" t="inlineStr">
        <is>
          <t>KALMAR LÄN</t>
        </is>
      </c>
      <c r="E486" t="inlineStr">
        <is>
          <t>VIMMERBY</t>
        </is>
      </c>
      <c r="G486" t="n">
        <v>2.1</v>
      </c>
      <c r="H486" t="n">
        <v>0</v>
      </c>
      <c r="I486" t="n">
        <v>0</v>
      </c>
      <c r="J486" t="n">
        <v>0</v>
      </c>
      <c r="K486" t="n">
        <v>0</v>
      </c>
      <c r="L486" t="n">
        <v>0</v>
      </c>
      <c r="M486" t="n">
        <v>0</v>
      </c>
      <c r="N486" t="n">
        <v>0</v>
      </c>
      <c r="O486" t="n">
        <v>0</v>
      </c>
      <c r="P486" t="n">
        <v>0</v>
      </c>
      <c r="Q486" t="n">
        <v>0</v>
      </c>
      <c r="R486" s="2" t="inlineStr"/>
    </row>
    <row r="487" ht="15" customHeight="1">
      <c r="A487" t="inlineStr">
        <is>
          <t>A 47227-2025</t>
        </is>
      </c>
      <c r="B487" s="1" t="n">
        <v>45930.39769675926</v>
      </c>
      <c r="C487" s="1" t="n">
        <v>45965</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15493-2023</t>
        </is>
      </c>
      <c r="B488" s="1" t="n">
        <v>45018</v>
      </c>
      <c r="C488" s="1" t="n">
        <v>45965</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51881-2024</t>
        </is>
      </c>
      <c r="B489" s="1" t="n">
        <v>45607.56773148148</v>
      </c>
      <c r="C489" s="1" t="n">
        <v>45965</v>
      </c>
      <c r="D489" t="inlineStr">
        <is>
          <t>KALMAR LÄN</t>
        </is>
      </c>
      <c r="E489" t="inlineStr">
        <is>
          <t>VIMMERBY</t>
        </is>
      </c>
      <c r="G489" t="n">
        <v>3.4</v>
      </c>
      <c r="H489" t="n">
        <v>0</v>
      </c>
      <c r="I489" t="n">
        <v>0</v>
      </c>
      <c r="J489" t="n">
        <v>0</v>
      </c>
      <c r="K489" t="n">
        <v>0</v>
      </c>
      <c r="L489" t="n">
        <v>0</v>
      </c>
      <c r="M489" t="n">
        <v>0</v>
      </c>
      <c r="N489" t="n">
        <v>0</v>
      </c>
      <c r="O489" t="n">
        <v>0</v>
      </c>
      <c r="P489" t="n">
        <v>0</v>
      </c>
      <c r="Q489" t="n">
        <v>0</v>
      </c>
      <c r="R489" s="2" t="inlineStr"/>
    </row>
    <row r="490" ht="15" customHeight="1">
      <c r="A490" t="inlineStr">
        <is>
          <t>A 43034-2024</t>
        </is>
      </c>
      <c r="B490" s="1" t="n">
        <v>45567.42011574074</v>
      </c>
      <c r="C490" s="1" t="n">
        <v>45965</v>
      </c>
      <c r="D490" t="inlineStr">
        <is>
          <t>KALMAR LÄN</t>
        </is>
      </c>
      <c r="E490" t="inlineStr">
        <is>
          <t>VIMMERBY</t>
        </is>
      </c>
      <c r="G490" t="n">
        <v>1.8</v>
      </c>
      <c r="H490" t="n">
        <v>0</v>
      </c>
      <c r="I490" t="n">
        <v>0</v>
      </c>
      <c r="J490" t="n">
        <v>0</v>
      </c>
      <c r="K490" t="n">
        <v>0</v>
      </c>
      <c r="L490" t="n">
        <v>0</v>
      </c>
      <c r="M490" t="n">
        <v>0</v>
      </c>
      <c r="N490" t="n">
        <v>0</v>
      </c>
      <c r="O490" t="n">
        <v>0</v>
      </c>
      <c r="P490" t="n">
        <v>0</v>
      </c>
      <c r="Q490" t="n">
        <v>0</v>
      </c>
      <c r="R490" s="2" t="inlineStr"/>
    </row>
    <row r="491" ht="15" customHeight="1">
      <c r="A491" t="inlineStr">
        <is>
          <t>A 40256-2024</t>
        </is>
      </c>
      <c r="B491" s="1" t="n">
        <v>45554.62944444444</v>
      </c>
      <c r="C491" s="1" t="n">
        <v>45965</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1021-2024</t>
        </is>
      </c>
      <c r="B492" s="1" t="n">
        <v>45301.67736111111</v>
      </c>
      <c r="C492" s="1" t="n">
        <v>45965</v>
      </c>
      <c r="D492" t="inlineStr">
        <is>
          <t>KALMAR LÄN</t>
        </is>
      </c>
      <c r="E492" t="inlineStr">
        <is>
          <t>VIMMERBY</t>
        </is>
      </c>
      <c r="G492" t="n">
        <v>1</v>
      </c>
      <c r="H492" t="n">
        <v>0</v>
      </c>
      <c r="I492" t="n">
        <v>0</v>
      </c>
      <c r="J492" t="n">
        <v>0</v>
      </c>
      <c r="K492" t="n">
        <v>0</v>
      </c>
      <c r="L492" t="n">
        <v>0</v>
      </c>
      <c r="M492" t="n">
        <v>0</v>
      </c>
      <c r="N492" t="n">
        <v>0</v>
      </c>
      <c r="O492" t="n">
        <v>0</v>
      </c>
      <c r="P492" t="n">
        <v>0</v>
      </c>
      <c r="Q492" t="n">
        <v>0</v>
      </c>
      <c r="R492" s="2" t="inlineStr"/>
    </row>
    <row r="493" ht="15" customHeight="1">
      <c r="A493" t="inlineStr">
        <is>
          <t>A 32569-2024</t>
        </is>
      </c>
      <c r="B493" s="1" t="n">
        <v>45513.55840277778</v>
      </c>
      <c r="C493" s="1" t="n">
        <v>45965</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32575-2024</t>
        </is>
      </c>
      <c r="B494" s="1" t="n">
        <v>45513.56527777778</v>
      </c>
      <c r="C494" s="1" t="n">
        <v>45965</v>
      </c>
      <c r="D494" t="inlineStr">
        <is>
          <t>KALMAR LÄN</t>
        </is>
      </c>
      <c r="E494" t="inlineStr">
        <is>
          <t>VIMMERBY</t>
        </is>
      </c>
      <c r="G494" t="n">
        <v>1.5</v>
      </c>
      <c r="H494" t="n">
        <v>0</v>
      </c>
      <c r="I494" t="n">
        <v>0</v>
      </c>
      <c r="J494" t="n">
        <v>0</v>
      </c>
      <c r="K494" t="n">
        <v>0</v>
      </c>
      <c r="L494" t="n">
        <v>0</v>
      </c>
      <c r="M494" t="n">
        <v>0</v>
      </c>
      <c r="N494" t="n">
        <v>0</v>
      </c>
      <c r="O494" t="n">
        <v>0</v>
      </c>
      <c r="P494" t="n">
        <v>0</v>
      </c>
      <c r="Q494" t="n">
        <v>0</v>
      </c>
      <c r="R494" s="2" t="inlineStr"/>
    </row>
    <row r="495" ht="15" customHeight="1">
      <c r="A495" t="inlineStr">
        <is>
          <t>A 33352-2022</t>
        </is>
      </c>
      <c r="B495" s="1" t="n">
        <v>44788</v>
      </c>
      <c r="C495" s="1" t="n">
        <v>45965</v>
      </c>
      <c r="D495" t="inlineStr">
        <is>
          <t>KALMAR LÄN</t>
        </is>
      </c>
      <c r="E495" t="inlineStr">
        <is>
          <t>VIMMERBY</t>
        </is>
      </c>
      <c r="G495" t="n">
        <v>0.8</v>
      </c>
      <c r="H495" t="n">
        <v>0</v>
      </c>
      <c r="I495" t="n">
        <v>0</v>
      </c>
      <c r="J495" t="n">
        <v>0</v>
      </c>
      <c r="K495" t="n">
        <v>0</v>
      </c>
      <c r="L495" t="n">
        <v>0</v>
      </c>
      <c r="M495" t="n">
        <v>0</v>
      </c>
      <c r="N495" t="n">
        <v>0</v>
      </c>
      <c r="O495" t="n">
        <v>0</v>
      </c>
      <c r="P495" t="n">
        <v>0</v>
      </c>
      <c r="Q495" t="n">
        <v>0</v>
      </c>
      <c r="R495" s="2" t="inlineStr"/>
    </row>
    <row r="496" ht="15" customHeight="1">
      <c r="A496" t="inlineStr">
        <is>
          <t>A 30063-2023</t>
        </is>
      </c>
      <c r="B496" s="1" t="n">
        <v>45110.4184375</v>
      </c>
      <c r="C496" s="1" t="n">
        <v>45965</v>
      </c>
      <c r="D496" t="inlineStr">
        <is>
          <t>KALMAR LÄN</t>
        </is>
      </c>
      <c r="E496" t="inlineStr">
        <is>
          <t>VIMMERBY</t>
        </is>
      </c>
      <c r="G496" t="n">
        <v>1.2</v>
      </c>
      <c r="H496" t="n">
        <v>0</v>
      </c>
      <c r="I496" t="n">
        <v>0</v>
      </c>
      <c r="J496" t="n">
        <v>0</v>
      </c>
      <c r="K496" t="n">
        <v>0</v>
      </c>
      <c r="L496" t="n">
        <v>0</v>
      </c>
      <c r="M496" t="n">
        <v>0</v>
      </c>
      <c r="N496" t="n">
        <v>0</v>
      </c>
      <c r="O496" t="n">
        <v>0</v>
      </c>
      <c r="P496" t="n">
        <v>0</v>
      </c>
      <c r="Q496" t="n">
        <v>0</v>
      </c>
      <c r="R496" s="2" t="inlineStr"/>
    </row>
    <row r="497" ht="15" customHeight="1">
      <c r="A497" t="inlineStr">
        <is>
          <t>A 46234-2024</t>
        </is>
      </c>
      <c r="B497" s="1" t="n">
        <v>45581.57958333333</v>
      </c>
      <c r="C497" s="1" t="n">
        <v>45965</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17482-2024</t>
        </is>
      </c>
      <c r="B498" s="1" t="n">
        <v>45415.47848379629</v>
      </c>
      <c r="C498" s="1" t="n">
        <v>45965</v>
      </c>
      <c r="D498" t="inlineStr">
        <is>
          <t>KALMAR LÄN</t>
        </is>
      </c>
      <c r="E498" t="inlineStr">
        <is>
          <t>VIMMERBY</t>
        </is>
      </c>
      <c r="G498" t="n">
        <v>1.7</v>
      </c>
      <c r="H498" t="n">
        <v>0</v>
      </c>
      <c r="I498" t="n">
        <v>0</v>
      </c>
      <c r="J498" t="n">
        <v>0</v>
      </c>
      <c r="K498" t="n">
        <v>0</v>
      </c>
      <c r="L498" t="n">
        <v>0</v>
      </c>
      <c r="M498" t="n">
        <v>0</v>
      </c>
      <c r="N498" t="n">
        <v>0</v>
      </c>
      <c r="O498" t="n">
        <v>0</v>
      </c>
      <c r="P498" t="n">
        <v>0</v>
      </c>
      <c r="Q498" t="n">
        <v>0</v>
      </c>
      <c r="R498" s="2" t="inlineStr"/>
    </row>
    <row r="499" ht="15" customHeight="1">
      <c r="A499" t="inlineStr">
        <is>
          <t>A 39053-2024</t>
        </is>
      </c>
      <c r="B499" s="1" t="n">
        <v>45548</v>
      </c>
      <c r="C499" s="1" t="n">
        <v>45965</v>
      </c>
      <c r="D499" t="inlineStr">
        <is>
          <t>KALMAR LÄN</t>
        </is>
      </c>
      <c r="E499" t="inlineStr">
        <is>
          <t>VIMMERBY</t>
        </is>
      </c>
      <c r="G499" t="n">
        <v>5</v>
      </c>
      <c r="H499" t="n">
        <v>0</v>
      </c>
      <c r="I499" t="n">
        <v>0</v>
      </c>
      <c r="J499" t="n">
        <v>0</v>
      </c>
      <c r="K499" t="n">
        <v>0</v>
      </c>
      <c r="L499" t="n">
        <v>0</v>
      </c>
      <c r="M499" t="n">
        <v>0</v>
      </c>
      <c r="N499" t="n">
        <v>0</v>
      </c>
      <c r="O499" t="n">
        <v>0</v>
      </c>
      <c r="P499" t="n">
        <v>0</v>
      </c>
      <c r="Q499" t="n">
        <v>0</v>
      </c>
      <c r="R499" s="2" t="inlineStr"/>
    </row>
    <row r="500" ht="15" customHeight="1">
      <c r="A500" t="inlineStr">
        <is>
          <t>A 15449-2023</t>
        </is>
      </c>
      <c r="B500" s="1" t="n">
        <v>45020</v>
      </c>
      <c r="C500" s="1" t="n">
        <v>45965</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13817-2024</t>
        </is>
      </c>
      <c r="B501" s="1" t="n">
        <v>45391.41976851852</v>
      </c>
      <c r="C501" s="1" t="n">
        <v>45965</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43594-2024</t>
        </is>
      </c>
      <c r="B502" s="1" t="n">
        <v>45569.44295138889</v>
      </c>
      <c r="C502" s="1" t="n">
        <v>45965</v>
      </c>
      <c r="D502" t="inlineStr">
        <is>
          <t>KALMAR LÄN</t>
        </is>
      </c>
      <c r="E502" t="inlineStr">
        <is>
          <t>VIMMERBY</t>
        </is>
      </c>
      <c r="G502" t="n">
        <v>3.9</v>
      </c>
      <c r="H502" t="n">
        <v>0</v>
      </c>
      <c r="I502" t="n">
        <v>0</v>
      </c>
      <c r="J502" t="n">
        <v>0</v>
      </c>
      <c r="K502" t="n">
        <v>0</v>
      </c>
      <c r="L502" t="n">
        <v>0</v>
      </c>
      <c r="M502" t="n">
        <v>0</v>
      </c>
      <c r="N502" t="n">
        <v>0</v>
      </c>
      <c r="O502" t="n">
        <v>0</v>
      </c>
      <c r="P502" t="n">
        <v>0</v>
      </c>
      <c r="Q502" t="n">
        <v>0</v>
      </c>
      <c r="R502" s="2" t="inlineStr"/>
    </row>
    <row r="503" ht="15" customHeight="1">
      <c r="A503" t="inlineStr">
        <is>
          <t>A 30406-2023</t>
        </is>
      </c>
      <c r="B503" s="1" t="n">
        <v>45111.48787037037</v>
      </c>
      <c r="C503" s="1" t="n">
        <v>45965</v>
      </c>
      <c r="D503" t="inlineStr">
        <is>
          <t>KALMAR LÄN</t>
        </is>
      </c>
      <c r="E503" t="inlineStr">
        <is>
          <t>VIMMERBY</t>
        </is>
      </c>
      <c r="G503" t="n">
        <v>2.4</v>
      </c>
      <c r="H503" t="n">
        <v>0</v>
      </c>
      <c r="I503" t="n">
        <v>0</v>
      </c>
      <c r="J503" t="n">
        <v>0</v>
      </c>
      <c r="K503" t="n">
        <v>0</v>
      </c>
      <c r="L503" t="n">
        <v>0</v>
      </c>
      <c r="M503" t="n">
        <v>0</v>
      </c>
      <c r="N503" t="n">
        <v>0</v>
      </c>
      <c r="O503" t="n">
        <v>0</v>
      </c>
      <c r="P503" t="n">
        <v>0</v>
      </c>
      <c r="Q503" t="n">
        <v>0</v>
      </c>
      <c r="R503" s="2" t="inlineStr"/>
    </row>
    <row r="504" ht="15" customHeight="1">
      <c r="A504" t="inlineStr">
        <is>
          <t>A 17486-2024</t>
        </is>
      </c>
      <c r="B504" s="1" t="n">
        <v>45415.48979166667</v>
      </c>
      <c r="C504" s="1" t="n">
        <v>45965</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43093-2024</t>
        </is>
      </c>
      <c r="B505" s="1" t="n">
        <v>45567</v>
      </c>
      <c r="C505" s="1" t="n">
        <v>45965</v>
      </c>
      <c r="D505" t="inlineStr">
        <is>
          <t>KALMAR LÄN</t>
        </is>
      </c>
      <c r="E505" t="inlineStr">
        <is>
          <t>VIMMERBY</t>
        </is>
      </c>
      <c r="G505" t="n">
        <v>0.7</v>
      </c>
      <c r="H505" t="n">
        <v>0</v>
      </c>
      <c r="I505" t="n">
        <v>0</v>
      </c>
      <c r="J505" t="n">
        <v>0</v>
      </c>
      <c r="K505" t="n">
        <v>0</v>
      </c>
      <c r="L505" t="n">
        <v>0</v>
      </c>
      <c r="M505" t="n">
        <v>0</v>
      </c>
      <c r="N505" t="n">
        <v>0</v>
      </c>
      <c r="O505" t="n">
        <v>0</v>
      </c>
      <c r="P505" t="n">
        <v>0</v>
      </c>
      <c r="Q505" t="n">
        <v>0</v>
      </c>
      <c r="R505" s="2" t="inlineStr"/>
    </row>
    <row r="506" ht="15" customHeight="1">
      <c r="A506" t="inlineStr">
        <is>
          <t>A 14248-2023</t>
        </is>
      </c>
      <c r="B506" s="1" t="n">
        <v>45009</v>
      </c>
      <c r="C506" s="1" t="n">
        <v>45965</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29020-2024</t>
        </is>
      </c>
      <c r="B507" s="1" t="n">
        <v>45481.58048611111</v>
      </c>
      <c r="C507" s="1" t="n">
        <v>45965</v>
      </c>
      <c r="D507" t="inlineStr">
        <is>
          <t>KALMAR LÄN</t>
        </is>
      </c>
      <c r="E507" t="inlineStr">
        <is>
          <t>VIMMERBY</t>
        </is>
      </c>
      <c r="G507" t="n">
        <v>2.3</v>
      </c>
      <c r="H507" t="n">
        <v>0</v>
      </c>
      <c r="I507" t="n">
        <v>0</v>
      </c>
      <c r="J507" t="n">
        <v>0</v>
      </c>
      <c r="K507" t="n">
        <v>0</v>
      </c>
      <c r="L507" t="n">
        <v>0</v>
      </c>
      <c r="M507" t="n">
        <v>0</v>
      </c>
      <c r="N507" t="n">
        <v>0</v>
      </c>
      <c r="O507" t="n">
        <v>0</v>
      </c>
      <c r="P507" t="n">
        <v>0</v>
      </c>
      <c r="Q507" t="n">
        <v>0</v>
      </c>
      <c r="R507" s="2" t="inlineStr"/>
    </row>
    <row r="508" ht="15" customHeight="1">
      <c r="A508" t="inlineStr">
        <is>
          <t>A 29726-2025</t>
        </is>
      </c>
      <c r="B508" s="1" t="n">
        <v>45825.57805555555</v>
      </c>
      <c r="C508" s="1" t="n">
        <v>45965</v>
      </c>
      <c r="D508" t="inlineStr">
        <is>
          <t>KALMAR LÄN</t>
        </is>
      </c>
      <c r="E508" t="inlineStr">
        <is>
          <t>VIMMERBY</t>
        </is>
      </c>
      <c r="G508" t="n">
        <v>2</v>
      </c>
      <c r="H508" t="n">
        <v>0</v>
      </c>
      <c r="I508" t="n">
        <v>0</v>
      </c>
      <c r="J508" t="n">
        <v>0</v>
      </c>
      <c r="K508" t="n">
        <v>0</v>
      </c>
      <c r="L508" t="n">
        <v>0</v>
      </c>
      <c r="M508" t="n">
        <v>0</v>
      </c>
      <c r="N508" t="n">
        <v>0</v>
      </c>
      <c r="O508" t="n">
        <v>0</v>
      </c>
      <c r="P508" t="n">
        <v>0</v>
      </c>
      <c r="Q508" t="n">
        <v>0</v>
      </c>
      <c r="R508" s="2" t="inlineStr"/>
    </row>
    <row r="509" ht="15" customHeight="1">
      <c r="A509" t="inlineStr">
        <is>
          <t>A 35198-2023</t>
        </is>
      </c>
      <c r="B509" s="1" t="n">
        <v>45145</v>
      </c>
      <c r="C509" s="1" t="n">
        <v>45965</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30400-2023</t>
        </is>
      </c>
      <c r="B510" s="1" t="n">
        <v>45111.48225694444</v>
      </c>
      <c r="C510" s="1" t="n">
        <v>45965</v>
      </c>
      <c r="D510" t="inlineStr">
        <is>
          <t>KALMAR LÄN</t>
        </is>
      </c>
      <c r="E510" t="inlineStr">
        <is>
          <t>VIMMERBY</t>
        </is>
      </c>
      <c r="G510" t="n">
        <v>2.7</v>
      </c>
      <c r="H510" t="n">
        <v>0</v>
      </c>
      <c r="I510" t="n">
        <v>0</v>
      </c>
      <c r="J510" t="n">
        <v>0</v>
      </c>
      <c r="K510" t="n">
        <v>0</v>
      </c>
      <c r="L510" t="n">
        <v>0</v>
      </c>
      <c r="M510" t="n">
        <v>0</v>
      </c>
      <c r="N510" t="n">
        <v>0</v>
      </c>
      <c r="O510" t="n">
        <v>0</v>
      </c>
      <c r="P510" t="n">
        <v>0</v>
      </c>
      <c r="Q510" t="n">
        <v>0</v>
      </c>
      <c r="R510" s="2" t="inlineStr"/>
    </row>
    <row r="511" ht="15" customHeight="1">
      <c r="A511" t="inlineStr">
        <is>
          <t>A 30404-2023</t>
        </is>
      </c>
      <c r="B511" s="1" t="n">
        <v>45111.48636574074</v>
      </c>
      <c r="C511" s="1" t="n">
        <v>45965</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55123-2024</t>
        </is>
      </c>
      <c r="B512" s="1" t="n">
        <v>45621.46103009259</v>
      </c>
      <c r="C512" s="1" t="n">
        <v>45965</v>
      </c>
      <c r="D512" t="inlineStr">
        <is>
          <t>KALMAR LÄN</t>
        </is>
      </c>
      <c r="E512" t="inlineStr">
        <is>
          <t>VIMMERBY</t>
        </is>
      </c>
      <c r="G512" t="n">
        <v>3.1</v>
      </c>
      <c r="H512" t="n">
        <v>0</v>
      </c>
      <c r="I512" t="n">
        <v>0</v>
      </c>
      <c r="J512" t="n">
        <v>0</v>
      </c>
      <c r="K512" t="n">
        <v>0</v>
      </c>
      <c r="L512" t="n">
        <v>0</v>
      </c>
      <c r="M512" t="n">
        <v>0</v>
      </c>
      <c r="N512" t="n">
        <v>0</v>
      </c>
      <c r="O512" t="n">
        <v>0</v>
      </c>
      <c r="P512" t="n">
        <v>0</v>
      </c>
      <c r="Q512" t="n">
        <v>0</v>
      </c>
      <c r="R512" s="2" t="inlineStr"/>
    </row>
    <row r="513" ht="15" customHeight="1">
      <c r="A513" t="inlineStr">
        <is>
          <t>A 31405-2023</t>
        </is>
      </c>
      <c r="B513" s="1" t="n">
        <v>45114.58148148148</v>
      </c>
      <c r="C513" s="1" t="n">
        <v>45965</v>
      </c>
      <c r="D513" t="inlineStr">
        <is>
          <t>KALMAR LÄN</t>
        </is>
      </c>
      <c r="E513" t="inlineStr">
        <is>
          <t>VIMMERBY</t>
        </is>
      </c>
      <c r="G513" t="n">
        <v>2.6</v>
      </c>
      <c r="H513" t="n">
        <v>0</v>
      </c>
      <c r="I513" t="n">
        <v>0</v>
      </c>
      <c r="J513" t="n">
        <v>0</v>
      </c>
      <c r="K513" t="n">
        <v>0</v>
      </c>
      <c r="L513" t="n">
        <v>0</v>
      </c>
      <c r="M513" t="n">
        <v>0</v>
      </c>
      <c r="N513" t="n">
        <v>0</v>
      </c>
      <c r="O513" t="n">
        <v>0</v>
      </c>
      <c r="P513" t="n">
        <v>0</v>
      </c>
      <c r="Q513" t="n">
        <v>0</v>
      </c>
      <c r="R513" s="2" t="inlineStr"/>
    </row>
    <row r="514" ht="15" customHeight="1">
      <c r="A514" t="inlineStr">
        <is>
          <t>A 58374-2024</t>
        </is>
      </c>
      <c r="B514" s="1" t="n">
        <v>45632.72635416667</v>
      </c>
      <c r="C514" s="1" t="n">
        <v>45965</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24707-2024</t>
        </is>
      </c>
      <c r="B515" s="1" t="n">
        <v>45460.62172453704</v>
      </c>
      <c r="C515" s="1" t="n">
        <v>45965</v>
      </c>
      <c r="D515" t="inlineStr">
        <is>
          <t>KALMAR LÄN</t>
        </is>
      </c>
      <c r="E515" t="inlineStr">
        <is>
          <t>VIMMERBY</t>
        </is>
      </c>
      <c r="G515" t="n">
        <v>1.7</v>
      </c>
      <c r="H515" t="n">
        <v>0</v>
      </c>
      <c r="I515" t="n">
        <v>0</v>
      </c>
      <c r="J515" t="n">
        <v>0</v>
      </c>
      <c r="K515" t="n">
        <v>0</v>
      </c>
      <c r="L515" t="n">
        <v>0</v>
      </c>
      <c r="M515" t="n">
        <v>0</v>
      </c>
      <c r="N515" t="n">
        <v>0</v>
      </c>
      <c r="O515" t="n">
        <v>0</v>
      </c>
      <c r="P515" t="n">
        <v>0</v>
      </c>
      <c r="Q515" t="n">
        <v>0</v>
      </c>
      <c r="R515" s="2" t="inlineStr"/>
    </row>
    <row r="516" ht="15" customHeight="1">
      <c r="A516" t="inlineStr">
        <is>
          <t>A 55300-2021</t>
        </is>
      </c>
      <c r="B516" s="1" t="n">
        <v>44475</v>
      </c>
      <c r="C516" s="1" t="n">
        <v>45965</v>
      </c>
      <c r="D516" t="inlineStr">
        <is>
          <t>KALMAR LÄN</t>
        </is>
      </c>
      <c r="E516" t="inlineStr">
        <is>
          <t>VIMMERBY</t>
        </is>
      </c>
      <c r="G516" t="n">
        <v>3.4</v>
      </c>
      <c r="H516" t="n">
        <v>0</v>
      </c>
      <c r="I516" t="n">
        <v>0</v>
      </c>
      <c r="J516" t="n">
        <v>0</v>
      </c>
      <c r="K516" t="n">
        <v>0</v>
      </c>
      <c r="L516" t="n">
        <v>0</v>
      </c>
      <c r="M516" t="n">
        <v>0</v>
      </c>
      <c r="N516" t="n">
        <v>0</v>
      </c>
      <c r="O516" t="n">
        <v>0</v>
      </c>
      <c r="P516" t="n">
        <v>0</v>
      </c>
      <c r="Q516" t="n">
        <v>0</v>
      </c>
      <c r="R516" s="2" t="inlineStr"/>
    </row>
    <row r="517" ht="15" customHeight="1">
      <c r="A517" t="inlineStr">
        <is>
          <t>A 47263-2023</t>
        </is>
      </c>
      <c r="B517" s="1" t="n">
        <v>45202.4209837963</v>
      </c>
      <c r="C517" s="1" t="n">
        <v>45965</v>
      </c>
      <c r="D517" t="inlineStr">
        <is>
          <t>KALMAR LÄN</t>
        </is>
      </c>
      <c r="E517" t="inlineStr">
        <is>
          <t>VIMMERBY</t>
        </is>
      </c>
      <c r="G517" t="n">
        <v>1.8</v>
      </c>
      <c r="H517" t="n">
        <v>0</v>
      </c>
      <c r="I517" t="n">
        <v>0</v>
      </c>
      <c r="J517" t="n">
        <v>0</v>
      </c>
      <c r="K517" t="n">
        <v>0</v>
      </c>
      <c r="L517" t="n">
        <v>0</v>
      </c>
      <c r="M517" t="n">
        <v>0</v>
      </c>
      <c r="N517" t="n">
        <v>0</v>
      </c>
      <c r="O517" t="n">
        <v>0</v>
      </c>
      <c r="P517" t="n">
        <v>0</v>
      </c>
      <c r="Q517" t="n">
        <v>0</v>
      </c>
      <c r="R517" s="2" t="inlineStr"/>
    </row>
    <row r="518" ht="15" customHeight="1">
      <c r="A518" t="inlineStr">
        <is>
          <t>A 36049-2024</t>
        </is>
      </c>
      <c r="B518" s="1" t="n">
        <v>45533.61996527778</v>
      </c>
      <c r="C518" s="1" t="n">
        <v>45965</v>
      </c>
      <c r="D518" t="inlineStr">
        <is>
          <t>KALMAR LÄN</t>
        </is>
      </c>
      <c r="E518" t="inlineStr">
        <is>
          <t>VIMMERBY</t>
        </is>
      </c>
      <c r="F518" t="inlineStr">
        <is>
          <t>Kommuner</t>
        </is>
      </c>
      <c r="G518" t="n">
        <v>2.6</v>
      </c>
      <c r="H518" t="n">
        <v>0</v>
      </c>
      <c r="I518" t="n">
        <v>0</v>
      </c>
      <c r="J518" t="n">
        <v>0</v>
      </c>
      <c r="K518" t="n">
        <v>0</v>
      </c>
      <c r="L518" t="n">
        <v>0</v>
      </c>
      <c r="M518" t="n">
        <v>0</v>
      </c>
      <c r="N518" t="n">
        <v>0</v>
      </c>
      <c r="O518" t="n">
        <v>0</v>
      </c>
      <c r="P518" t="n">
        <v>0</v>
      </c>
      <c r="Q518" t="n">
        <v>0</v>
      </c>
      <c r="R518" s="2" t="inlineStr"/>
    </row>
    <row r="519" ht="15" customHeight="1">
      <c r="A519" t="inlineStr">
        <is>
          <t>A 2536-2023</t>
        </is>
      </c>
      <c r="B519" s="1" t="n">
        <v>44943.62954861111</v>
      </c>
      <c r="C519" s="1" t="n">
        <v>45965</v>
      </c>
      <c r="D519" t="inlineStr">
        <is>
          <t>KALMAR LÄN</t>
        </is>
      </c>
      <c r="E519" t="inlineStr">
        <is>
          <t>VIMMERBY</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2801-2023</t>
        </is>
      </c>
      <c r="B520" s="1" t="n">
        <v>44944.73487268519</v>
      </c>
      <c r="C520" s="1" t="n">
        <v>45965</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17968-2025</t>
        </is>
      </c>
      <c r="B521" s="1" t="n">
        <v>45761.35990740741</v>
      </c>
      <c r="C521" s="1" t="n">
        <v>45965</v>
      </c>
      <c r="D521" t="inlineStr">
        <is>
          <t>KALMAR LÄN</t>
        </is>
      </c>
      <c r="E521" t="inlineStr">
        <is>
          <t>VIMMERBY</t>
        </is>
      </c>
      <c r="G521" t="n">
        <v>3.3</v>
      </c>
      <c r="H521" t="n">
        <v>0</v>
      </c>
      <c r="I521" t="n">
        <v>0</v>
      </c>
      <c r="J521" t="n">
        <v>0</v>
      </c>
      <c r="K521" t="n">
        <v>0</v>
      </c>
      <c r="L521" t="n">
        <v>0</v>
      </c>
      <c r="M521" t="n">
        <v>0</v>
      </c>
      <c r="N521" t="n">
        <v>0</v>
      </c>
      <c r="O521" t="n">
        <v>0</v>
      </c>
      <c r="P521" t="n">
        <v>0</v>
      </c>
      <c r="Q521" t="n">
        <v>0</v>
      </c>
      <c r="R521" s="2" t="inlineStr"/>
    </row>
    <row r="522" ht="15" customHeight="1">
      <c r="A522" t="inlineStr">
        <is>
          <t>A 58159-2024</t>
        </is>
      </c>
      <c r="B522" s="1" t="n">
        <v>45632.44886574074</v>
      </c>
      <c r="C522" s="1" t="n">
        <v>45965</v>
      </c>
      <c r="D522" t="inlineStr">
        <is>
          <t>KALMAR LÄN</t>
        </is>
      </c>
      <c r="E522" t="inlineStr">
        <is>
          <t>VIMMERBY</t>
        </is>
      </c>
      <c r="G522" t="n">
        <v>7.5</v>
      </c>
      <c r="H522" t="n">
        <v>0</v>
      </c>
      <c r="I522" t="n">
        <v>0</v>
      </c>
      <c r="J522" t="n">
        <v>0</v>
      </c>
      <c r="K522" t="n">
        <v>0</v>
      </c>
      <c r="L522" t="n">
        <v>0</v>
      </c>
      <c r="M522" t="n">
        <v>0</v>
      </c>
      <c r="N522" t="n">
        <v>0</v>
      </c>
      <c r="O522" t="n">
        <v>0</v>
      </c>
      <c r="P522" t="n">
        <v>0</v>
      </c>
      <c r="Q522" t="n">
        <v>0</v>
      </c>
      <c r="R522" s="2" t="inlineStr"/>
    </row>
    <row r="523" ht="15" customHeight="1">
      <c r="A523" t="inlineStr">
        <is>
          <t>A 25582-2024</t>
        </is>
      </c>
      <c r="B523" s="1" t="n">
        <v>45463</v>
      </c>
      <c r="C523" s="1" t="n">
        <v>45965</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14359-2025</t>
        </is>
      </c>
      <c r="B524" s="1" t="n">
        <v>45741.37270833334</v>
      </c>
      <c r="C524" s="1" t="n">
        <v>45965</v>
      </c>
      <c r="D524" t="inlineStr">
        <is>
          <t>KALMAR LÄN</t>
        </is>
      </c>
      <c r="E524" t="inlineStr">
        <is>
          <t>VIMMERBY</t>
        </is>
      </c>
      <c r="G524" t="n">
        <v>2</v>
      </c>
      <c r="H524" t="n">
        <v>0</v>
      </c>
      <c r="I524" t="n">
        <v>0</v>
      </c>
      <c r="J524" t="n">
        <v>0</v>
      </c>
      <c r="K524" t="n">
        <v>0</v>
      </c>
      <c r="L524" t="n">
        <v>0</v>
      </c>
      <c r="M524" t="n">
        <v>0</v>
      </c>
      <c r="N524" t="n">
        <v>0</v>
      </c>
      <c r="O524" t="n">
        <v>0</v>
      </c>
      <c r="P524" t="n">
        <v>0</v>
      </c>
      <c r="Q524" t="n">
        <v>0</v>
      </c>
      <c r="R524" s="2" t="inlineStr"/>
    </row>
    <row r="525" ht="15" customHeight="1">
      <c r="A525" t="inlineStr">
        <is>
          <t>A 57578-2024</t>
        </is>
      </c>
      <c r="B525" s="1" t="n">
        <v>45630.47564814815</v>
      </c>
      <c r="C525" s="1" t="n">
        <v>45965</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46887-2025</t>
        </is>
      </c>
      <c r="B526" s="1" t="n">
        <v>45929.3672337963</v>
      </c>
      <c r="C526" s="1" t="n">
        <v>45965</v>
      </c>
      <c r="D526" t="inlineStr">
        <is>
          <t>KALMAR LÄN</t>
        </is>
      </c>
      <c r="E526" t="inlineStr">
        <is>
          <t>VIMMERBY</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39578-2024</t>
        </is>
      </c>
      <c r="B527" s="1" t="n">
        <v>45552.36484953704</v>
      </c>
      <c r="C527" s="1" t="n">
        <v>45965</v>
      </c>
      <c r="D527" t="inlineStr">
        <is>
          <t>KALMAR LÄN</t>
        </is>
      </c>
      <c r="E527" t="inlineStr">
        <is>
          <t>VIMMERBY</t>
        </is>
      </c>
      <c r="G527" t="n">
        <v>1.5</v>
      </c>
      <c r="H527" t="n">
        <v>0</v>
      </c>
      <c r="I527" t="n">
        <v>0</v>
      </c>
      <c r="J527" t="n">
        <v>0</v>
      </c>
      <c r="K527" t="n">
        <v>0</v>
      </c>
      <c r="L527" t="n">
        <v>0</v>
      </c>
      <c r="M527" t="n">
        <v>0</v>
      </c>
      <c r="N527" t="n">
        <v>0</v>
      </c>
      <c r="O527" t="n">
        <v>0</v>
      </c>
      <c r="P527" t="n">
        <v>0</v>
      </c>
      <c r="Q527" t="n">
        <v>0</v>
      </c>
      <c r="R527" s="2" t="inlineStr"/>
    </row>
    <row r="528" ht="15" customHeight="1">
      <c r="A528" t="inlineStr">
        <is>
          <t>A 14451-2024</t>
        </is>
      </c>
      <c r="B528" s="1" t="n">
        <v>45394.50028935185</v>
      </c>
      <c r="C528" s="1" t="n">
        <v>45965</v>
      </c>
      <c r="D528" t="inlineStr">
        <is>
          <t>KALMAR LÄN</t>
        </is>
      </c>
      <c r="E528" t="inlineStr">
        <is>
          <t>VIMMERBY</t>
        </is>
      </c>
      <c r="G528" t="n">
        <v>1.9</v>
      </c>
      <c r="H528" t="n">
        <v>0</v>
      </c>
      <c r="I528" t="n">
        <v>0</v>
      </c>
      <c r="J528" t="n">
        <v>0</v>
      </c>
      <c r="K528" t="n">
        <v>0</v>
      </c>
      <c r="L528" t="n">
        <v>0</v>
      </c>
      <c r="M528" t="n">
        <v>0</v>
      </c>
      <c r="N528" t="n">
        <v>0</v>
      </c>
      <c r="O528" t="n">
        <v>0</v>
      </c>
      <c r="P528" t="n">
        <v>0</v>
      </c>
      <c r="Q528" t="n">
        <v>0</v>
      </c>
      <c r="R528" s="2" t="inlineStr"/>
    </row>
    <row r="529" ht="15" customHeight="1">
      <c r="A529" t="inlineStr">
        <is>
          <t>A 46238-2024</t>
        </is>
      </c>
      <c r="B529" s="1" t="n">
        <v>45581.58418981481</v>
      </c>
      <c r="C529" s="1" t="n">
        <v>45965</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38964-2025</t>
        </is>
      </c>
      <c r="B530" s="1" t="n">
        <v>45887.68759259259</v>
      </c>
      <c r="C530" s="1" t="n">
        <v>45965</v>
      </c>
      <c r="D530" t="inlineStr">
        <is>
          <t>KALMAR LÄN</t>
        </is>
      </c>
      <c r="E530" t="inlineStr">
        <is>
          <t>VIMMERBY</t>
        </is>
      </c>
      <c r="G530" t="n">
        <v>7.5</v>
      </c>
      <c r="H530" t="n">
        <v>0</v>
      </c>
      <c r="I530" t="n">
        <v>0</v>
      </c>
      <c r="J530" t="n">
        <v>0</v>
      </c>
      <c r="K530" t="n">
        <v>0</v>
      </c>
      <c r="L530" t="n">
        <v>0</v>
      </c>
      <c r="M530" t="n">
        <v>0</v>
      </c>
      <c r="N530" t="n">
        <v>0</v>
      </c>
      <c r="O530" t="n">
        <v>0</v>
      </c>
      <c r="P530" t="n">
        <v>0</v>
      </c>
      <c r="Q530" t="n">
        <v>0</v>
      </c>
      <c r="R530" s="2" t="inlineStr"/>
    </row>
    <row r="531" ht="15" customHeight="1">
      <c r="A531" t="inlineStr">
        <is>
          <t>A 50993-2022</t>
        </is>
      </c>
      <c r="B531" s="1" t="n">
        <v>44867</v>
      </c>
      <c r="C531" s="1" t="n">
        <v>45965</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62779-2023</t>
        </is>
      </c>
      <c r="B532" s="1" t="n">
        <v>45271.66576388889</v>
      </c>
      <c r="C532" s="1" t="n">
        <v>45965</v>
      </c>
      <c r="D532" t="inlineStr">
        <is>
          <t>KALMAR LÄN</t>
        </is>
      </c>
      <c r="E532" t="inlineStr">
        <is>
          <t>VIMMERBY</t>
        </is>
      </c>
      <c r="G532" t="n">
        <v>1.1</v>
      </c>
      <c r="H532" t="n">
        <v>0</v>
      </c>
      <c r="I532" t="n">
        <v>0</v>
      </c>
      <c r="J532" t="n">
        <v>0</v>
      </c>
      <c r="K532" t="n">
        <v>0</v>
      </c>
      <c r="L532" t="n">
        <v>0</v>
      </c>
      <c r="M532" t="n">
        <v>0</v>
      </c>
      <c r="N532" t="n">
        <v>0</v>
      </c>
      <c r="O532" t="n">
        <v>0</v>
      </c>
      <c r="P532" t="n">
        <v>0</v>
      </c>
      <c r="Q532" t="n">
        <v>0</v>
      </c>
      <c r="R532" s="2" t="inlineStr"/>
    </row>
    <row r="533" ht="15" customHeight="1">
      <c r="A533" t="inlineStr">
        <is>
          <t>A 46225-2024</t>
        </is>
      </c>
      <c r="B533" s="1" t="n">
        <v>45581.57333333333</v>
      </c>
      <c r="C533" s="1" t="n">
        <v>45965</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22399-2025</t>
        </is>
      </c>
      <c r="B534" s="1" t="n">
        <v>45786.52996527778</v>
      </c>
      <c r="C534" s="1" t="n">
        <v>45965</v>
      </c>
      <c r="D534" t="inlineStr">
        <is>
          <t>KALMAR LÄN</t>
        </is>
      </c>
      <c r="E534" t="inlineStr">
        <is>
          <t>VIMMERBY</t>
        </is>
      </c>
      <c r="G534" t="n">
        <v>2.1</v>
      </c>
      <c r="H534" t="n">
        <v>0</v>
      </c>
      <c r="I534" t="n">
        <v>0</v>
      </c>
      <c r="J534" t="n">
        <v>0</v>
      </c>
      <c r="K534" t="n">
        <v>0</v>
      </c>
      <c r="L534" t="n">
        <v>0</v>
      </c>
      <c r="M534" t="n">
        <v>0</v>
      </c>
      <c r="N534" t="n">
        <v>0</v>
      </c>
      <c r="O534" t="n">
        <v>0</v>
      </c>
      <c r="P534" t="n">
        <v>0</v>
      </c>
      <c r="Q534" t="n">
        <v>0</v>
      </c>
      <c r="R534" s="2" t="inlineStr"/>
    </row>
    <row r="535" ht="15" customHeight="1">
      <c r="A535" t="inlineStr">
        <is>
          <t>A 36055-2024</t>
        </is>
      </c>
      <c r="B535" s="1" t="n">
        <v>45533.63056712963</v>
      </c>
      <c r="C535" s="1" t="n">
        <v>45965</v>
      </c>
      <c r="D535" t="inlineStr">
        <is>
          <t>KALMAR LÄN</t>
        </is>
      </c>
      <c r="E535" t="inlineStr">
        <is>
          <t>VIMMERBY</t>
        </is>
      </c>
      <c r="F535" t="inlineStr">
        <is>
          <t>Kommuner</t>
        </is>
      </c>
      <c r="G535" t="n">
        <v>1.9</v>
      </c>
      <c r="H535" t="n">
        <v>0</v>
      </c>
      <c r="I535" t="n">
        <v>0</v>
      </c>
      <c r="J535" t="n">
        <v>0</v>
      </c>
      <c r="K535" t="n">
        <v>0</v>
      </c>
      <c r="L535" t="n">
        <v>0</v>
      </c>
      <c r="M535" t="n">
        <v>0</v>
      </c>
      <c r="N535" t="n">
        <v>0</v>
      </c>
      <c r="O535" t="n">
        <v>0</v>
      </c>
      <c r="P535" t="n">
        <v>0</v>
      </c>
      <c r="Q535" t="n">
        <v>0</v>
      </c>
      <c r="R535" s="2" t="inlineStr"/>
    </row>
    <row r="536" ht="15" customHeight="1">
      <c r="A536" t="inlineStr">
        <is>
          <t>A 47859-2024</t>
        </is>
      </c>
      <c r="B536" s="1" t="n">
        <v>45588.67070601852</v>
      </c>
      <c r="C536" s="1" t="n">
        <v>45965</v>
      </c>
      <c r="D536" t="inlineStr">
        <is>
          <t>KALMAR LÄN</t>
        </is>
      </c>
      <c r="E536" t="inlineStr">
        <is>
          <t>VIMMERBY</t>
        </is>
      </c>
      <c r="G536" t="n">
        <v>1.7</v>
      </c>
      <c r="H536" t="n">
        <v>0</v>
      </c>
      <c r="I536" t="n">
        <v>0</v>
      </c>
      <c r="J536" t="n">
        <v>0</v>
      </c>
      <c r="K536" t="n">
        <v>0</v>
      </c>
      <c r="L536" t="n">
        <v>0</v>
      </c>
      <c r="M536" t="n">
        <v>0</v>
      </c>
      <c r="N536" t="n">
        <v>0</v>
      </c>
      <c r="O536" t="n">
        <v>0</v>
      </c>
      <c r="P536" t="n">
        <v>0</v>
      </c>
      <c r="Q536" t="n">
        <v>0</v>
      </c>
      <c r="R536" s="2" t="inlineStr"/>
    </row>
    <row r="537" ht="15" customHeight="1">
      <c r="A537" t="inlineStr">
        <is>
          <t>A 46399-2024</t>
        </is>
      </c>
      <c r="B537" s="1" t="n">
        <v>45582.41200231481</v>
      </c>
      <c r="C537" s="1" t="n">
        <v>45965</v>
      </c>
      <c r="D537" t="inlineStr">
        <is>
          <t>KALMAR LÄN</t>
        </is>
      </c>
      <c r="E537" t="inlineStr">
        <is>
          <t>VIMMERBY</t>
        </is>
      </c>
      <c r="G537" t="n">
        <v>4.6</v>
      </c>
      <c r="H537" t="n">
        <v>0</v>
      </c>
      <c r="I537" t="n">
        <v>0</v>
      </c>
      <c r="J537" t="n">
        <v>0</v>
      </c>
      <c r="K537" t="n">
        <v>0</v>
      </c>
      <c r="L537" t="n">
        <v>0</v>
      </c>
      <c r="M537" t="n">
        <v>0</v>
      </c>
      <c r="N537" t="n">
        <v>0</v>
      </c>
      <c r="O537" t="n">
        <v>0</v>
      </c>
      <c r="P537" t="n">
        <v>0</v>
      </c>
      <c r="Q537" t="n">
        <v>0</v>
      </c>
      <c r="R537" s="2" t="inlineStr"/>
    </row>
    <row r="538" ht="15" customHeight="1">
      <c r="A538" t="inlineStr">
        <is>
          <t>A 32835-2022</t>
        </is>
      </c>
      <c r="B538" s="1" t="n">
        <v>44784.42528935185</v>
      </c>
      <c r="C538" s="1" t="n">
        <v>45965</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3425-2022</t>
        </is>
      </c>
      <c r="B539" s="1" t="n">
        <v>44585.51060185185</v>
      </c>
      <c r="C539" s="1" t="n">
        <v>45965</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43962-2024</t>
        </is>
      </c>
      <c r="B540" s="1" t="n">
        <v>45572.48293981481</v>
      </c>
      <c r="C540" s="1" t="n">
        <v>45965</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12810-2023</t>
        </is>
      </c>
      <c r="B541" s="1" t="n">
        <v>45001.43854166667</v>
      </c>
      <c r="C541" s="1" t="n">
        <v>45965</v>
      </c>
      <c r="D541" t="inlineStr">
        <is>
          <t>KALMAR LÄN</t>
        </is>
      </c>
      <c r="E541" t="inlineStr">
        <is>
          <t>VIMMERBY</t>
        </is>
      </c>
      <c r="G541" t="n">
        <v>1.5</v>
      </c>
      <c r="H541" t="n">
        <v>0</v>
      </c>
      <c r="I541" t="n">
        <v>0</v>
      </c>
      <c r="J541" t="n">
        <v>0</v>
      </c>
      <c r="K541" t="n">
        <v>0</v>
      </c>
      <c r="L541" t="n">
        <v>0</v>
      </c>
      <c r="M541" t="n">
        <v>0</v>
      </c>
      <c r="N541" t="n">
        <v>0</v>
      </c>
      <c r="O541" t="n">
        <v>0</v>
      </c>
      <c r="P541" t="n">
        <v>0</v>
      </c>
      <c r="Q541" t="n">
        <v>0</v>
      </c>
      <c r="R541" s="2" t="inlineStr"/>
    </row>
    <row r="542" ht="15" customHeight="1">
      <c r="A542" t="inlineStr">
        <is>
          <t>A 22397-2025</t>
        </is>
      </c>
      <c r="B542" s="1" t="n">
        <v>45786.52878472222</v>
      </c>
      <c r="C542" s="1" t="n">
        <v>45965</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43068-2023</t>
        </is>
      </c>
      <c r="B543" s="1" t="n">
        <v>45182.78834490741</v>
      </c>
      <c r="C543" s="1" t="n">
        <v>45965</v>
      </c>
      <c r="D543" t="inlineStr">
        <is>
          <t>KALMAR LÄN</t>
        </is>
      </c>
      <c r="E543" t="inlineStr">
        <is>
          <t>VIMMERBY</t>
        </is>
      </c>
      <c r="G543" t="n">
        <v>1.5</v>
      </c>
      <c r="H543" t="n">
        <v>0</v>
      </c>
      <c r="I543" t="n">
        <v>0</v>
      </c>
      <c r="J543" t="n">
        <v>0</v>
      </c>
      <c r="K543" t="n">
        <v>0</v>
      </c>
      <c r="L543" t="n">
        <v>0</v>
      </c>
      <c r="M543" t="n">
        <v>0</v>
      </c>
      <c r="N543" t="n">
        <v>0</v>
      </c>
      <c r="O543" t="n">
        <v>0</v>
      </c>
      <c r="P543" t="n">
        <v>0</v>
      </c>
      <c r="Q543" t="n">
        <v>0</v>
      </c>
      <c r="R543" s="2" t="inlineStr"/>
    </row>
    <row r="544" ht="15" customHeight="1">
      <c r="A544" t="inlineStr">
        <is>
          <t>A 41896-2023</t>
        </is>
      </c>
      <c r="B544" s="1" t="n">
        <v>45176.72427083334</v>
      </c>
      <c r="C544" s="1" t="n">
        <v>45965</v>
      </c>
      <c r="D544" t="inlineStr">
        <is>
          <t>KALMAR LÄN</t>
        </is>
      </c>
      <c r="E544" t="inlineStr">
        <is>
          <t>VIMMERBY</t>
        </is>
      </c>
      <c r="G544" t="n">
        <v>1.3</v>
      </c>
      <c r="H544" t="n">
        <v>0</v>
      </c>
      <c r="I544" t="n">
        <v>0</v>
      </c>
      <c r="J544" t="n">
        <v>0</v>
      </c>
      <c r="K544" t="n">
        <v>0</v>
      </c>
      <c r="L544" t="n">
        <v>0</v>
      </c>
      <c r="M544" t="n">
        <v>0</v>
      </c>
      <c r="N544" t="n">
        <v>0</v>
      </c>
      <c r="O544" t="n">
        <v>0</v>
      </c>
      <c r="P544" t="n">
        <v>0</v>
      </c>
      <c r="Q544" t="n">
        <v>0</v>
      </c>
      <c r="R544" s="2" t="inlineStr"/>
    </row>
    <row r="545" ht="15" customHeight="1">
      <c r="A545" t="inlineStr">
        <is>
          <t>A 43606-2024</t>
        </is>
      </c>
      <c r="B545" s="1" t="n">
        <v>45569.45017361111</v>
      </c>
      <c r="C545" s="1" t="n">
        <v>45965</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12325-2023</t>
        </is>
      </c>
      <c r="B546" s="1" t="n">
        <v>44999.35858796296</v>
      </c>
      <c r="C546" s="1" t="n">
        <v>45965</v>
      </c>
      <c r="D546" t="inlineStr">
        <is>
          <t>KALMAR LÄN</t>
        </is>
      </c>
      <c r="E546" t="inlineStr">
        <is>
          <t>VIMMERBY</t>
        </is>
      </c>
      <c r="G546" t="n">
        <v>3.4</v>
      </c>
      <c r="H546" t="n">
        <v>0</v>
      </c>
      <c r="I546" t="n">
        <v>0</v>
      </c>
      <c r="J546" t="n">
        <v>0</v>
      </c>
      <c r="K546" t="n">
        <v>0</v>
      </c>
      <c r="L546" t="n">
        <v>0</v>
      </c>
      <c r="M546" t="n">
        <v>0</v>
      </c>
      <c r="N546" t="n">
        <v>0</v>
      </c>
      <c r="O546" t="n">
        <v>0</v>
      </c>
      <c r="P546" t="n">
        <v>0</v>
      </c>
      <c r="Q546" t="n">
        <v>0</v>
      </c>
      <c r="R546" s="2" t="inlineStr"/>
    </row>
    <row r="547" ht="15" customHeight="1">
      <c r="A547" t="inlineStr">
        <is>
          <t>A 8945-2025</t>
        </is>
      </c>
      <c r="B547" s="1" t="n">
        <v>45713.45311342592</v>
      </c>
      <c r="C547" s="1" t="n">
        <v>45965</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11442-2025</t>
        </is>
      </c>
      <c r="B548" s="1" t="n">
        <v>45726.62721064815</v>
      </c>
      <c r="C548" s="1" t="n">
        <v>45965</v>
      </c>
      <c r="D548" t="inlineStr">
        <is>
          <t>KALMAR LÄN</t>
        </is>
      </c>
      <c r="E548" t="inlineStr">
        <is>
          <t>VIMMERBY</t>
        </is>
      </c>
      <c r="G548" t="n">
        <v>2.6</v>
      </c>
      <c r="H548" t="n">
        <v>0</v>
      </c>
      <c r="I548" t="n">
        <v>0</v>
      </c>
      <c r="J548" t="n">
        <v>0</v>
      </c>
      <c r="K548" t="n">
        <v>0</v>
      </c>
      <c r="L548" t="n">
        <v>0</v>
      </c>
      <c r="M548" t="n">
        <v>0</v>
      </c>
      <c r="N548" t="n">
        <v>0</v>
      </c>
      <c r="O548" t="n">
        <v>0</v>
      </c>
      <c r="P548" t="n">
        <v>0</v>
      </c>
      <c r="Q548" t="n">
        <v>0</v>
      </c>
      <c r="R548" s="2" t="inlineStr"/>
    </row>
    <row r="549" ht="15" customHeight="1">
      <c r="A549" t="inlineStr">
        <is>
          <t>A 12075-2024</t>
        </is>
      </c>
      <c r="B549" s="1" t="n">
        <v>45377</v>
      </c>
      <c r="C549" s="1" t="n">
        <v>45965</v>
      </c>
      <c r="D549" t="inlineStr">
        <is>
          <t>KALMAR LÄN</t>
        </is>
      </c>
      <c r="E549" t="inlineStr">
        <is>
          <t>VIMMERBY</t>
        </is>
      </c>
      <c r="G549" t="n">
        <v>3.7</v>
      </c>
      <c r="H549" t="n">
        <v>0</v>
      </c>
      <c r="I549" t="n">
        <v>0</v>
      </c>
      <c r="J549" t="n">
        <v>0</v>
      </c>
      <c r="K549" t="n">
        <v>0</v>
      </c>
      <c r="L549" t="n">
        <v>0</v>
      </c>
      <c r="M549" t="n">
        <v>0</v>
      </c>
      <c r="N549" t="n">
        <v>0</v>
      </c>
      <c r="O549" t="n">
        <v>0</v>
      </c>
      <c r="P549" t="n">
        <v>0</v>
      </c>
      <c r="Q549" t="n">
        <v>0</v>
      </c>
      <c r="R549" s="2" t="inlineStr"/>
    </row>
    <row r="550" ht="15" customHeight="1">
      <c r="A550" t="inlineStr">
        <is>
          <t>A 47955-2025</t>
        </is>
      </c>
      <c r="B550" s="1" t="n">
        <v>45932.58896990741</v>
      </c>
      <c r="C550" s="1" t="n">
        <v>45965</v>
      </c>
      <c r="D550" t="inlineStr">
        <is>
          <t>KALMAR LÄN</t>
        </is>
      </c>
      <c r="E550" t="inlineStr">
        <is>
          <t>VIMMERBY</t>
        </is>
      </c>
      <c r="G550" t="n">
        <v>3.4</v>
      </c>
      <c r="H550" t="n">
        <v>0</v>
      </c>
      <c r="I550" t="n">
        <v>0</v>
      </c>
      <c r="J550" t="n">
        <v>0</v>
      </c>
      <c r="K550" t="n">
        <v>0</v>
      </c>
      <c r="L550" t="n">
        <v>0</v>
      </c>
      <c r="M550" t="n">
        <v>0</v>
      </c>
      <c r="N550" t="n">
        <v>0</v>
      </c>
      <c r="O550" t="n">
        <v>0</v>
      </c>
      <c r="P550" t="n">
        <v>0</v>
      </c>
      <c r="Q550" t="n">
        <v>0</v>
      </c>
      <c r="R550" s="2" t="inlineStr"/>
    </row>
    <row r="551" ht="15" customHeight="1">
      <c r="A551" t="inlineStr">
        <is>
          <t>A 6307-2025</t>
        </is>
      </c>
      <c r="B551" s="1" t="n">
        <v>45698.69016203703</v>
      </c>
      <c r="C551" s="1" t="n">
        <v>45965</v>
      </c>
      <c r="D551" t="inlineStr">
        <is>
          <t>KALMAR LÄN</t>
        </is>
      </c>
      <c r="E551" t="inlineStr">
        <is>
          <t>VIMMERBY</t>
        </is>
      </c>
      <c r="G551" t="n">
        <v>3</v>
      </c>
      <c r="H551" t="n">
        <v>0</v>
      </c>
      <c r="I551" t="n">
        <v>0</v>
      </c>
      <c r="J551" t="n">
        <v>0</v>
      </c>
      <c r="K551" t="n">
        <v>0</v>
      </c>
      <c r="L551" t="n">
        <v>0</v>
      </c>
      <c r="M551" t="n">
        <v>0</v>
      </c>
      <c r="N551" t="n">
        <v>0</v>
      </c>
      <c r="O551" t="n">
        <v>0</v>
      </c>
      <c r="P551" t="n">
        <v>0</v>
      </c>
      <c r="Q551" t="n">
        <v>0</v>
      </c>
      <c r="R551" s="2" t="inlineStr"/>
    </row>
    <row r="552" ht="15" customHeight="1">
      <c r="A552" t="inlineStr">
        <is>
          <t>A 40665-2023</t>
        </is>
      </c>
      <c r="B552" s="1" t="n">
        <v>45170</v>
      </c>
      <c r="C552" s="1" t="n">
        <v>45965</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13307-2025</t>
        </is>
      </c>
      <c r="B553" s="1" t="n">
        <v>45735.58024305556</v>
      </c>
      <c r="C553" s="1" t="n">
        <v>45965</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28034-2022</t>
        </is>
      </c>
      <c r="B554" s="1" t="n">
        <v>44746.38834490741</v>
      </c>
      <c r="C554" s="1" t="n">
        <v>45965</v>
      </c>
      <c r="D554" t="inlineStr">
        <is>
          <t>KALMAR LÄN</t>
        </is>
      </c>
      <c r="E554" t="inlineStr">
        <is>
          <t>VIMMERBY</t>
        </is>
      </c>
      <c r="G554" t="n">
        <v>2</v>
      </c>
      <c r="H554" t="n">
        <v>0</v>
      </c>
      <c r="I554" t="n">
        <v>0</v>
      </c>
      <c r="J554" t="n">
        <v>0</v>
      </c>
      <c r="K554" t="n">
        <v>0</v>
      </c>
      <c r="L554" t="n">
        <v>0</v>
      </c>
      <c r="M554" t="n">
        <v>0</v>
      </c>
      <c r="N554" t="n">
        <v>0</v>
      </c>
      <c r="O554" t="n">
        <v>0</v>
      </c>
      <c r="P554" t="n">
        <v>0</v>
      </c>
      <c r="Q554" t="n">
        <v>0</v>
      </c>
      <c r="R554" s="2" t="inlineStr"/>
    </row>
    <row r="555" ht="15" customHeight="1">
      <c r="A555" t="inlineStr">
        <is>
          <t>A 1799-2025</t>
        </is>
      </c>
      <c r="B555" s="1" t="n">
        <v>45671.46746527778</v>
      </c>
      <c r="C555" s="1" t="n">
        <v>45965</v>
      </c>
      <c r="D555" t="inlineStr">
        <is>
          <t>KALMAR LÄN</t>
        </is>
      </c>
      <c r="E555" t="inlineStr">
        <is>
          <t>VIMMERBY</t>
        </is>
      </c>
      <c r="G555" t="n">
        <v>3.3</v>
      </c>
      <c r="H555" t="n">
        <v>0</v>
      </c>
      <c r="I555" t="n">
        <v>0</v>
      </c>
      <c r="J555" t="n">
        <v>0</v>
      </c>
      <c r="K555" t="n">
        <v>0</v>
      </c>
      <c r="L555" t="n">
        <v>0</v>
      </c>
      <c r="M555" t="n">
        <v>0</v>
      </c>
      <c r="N555" t="n">
        <v>0</v>
      </c>
      <c r="O555" t="n">
        <v>0</v>
      </c>
      <c r="P555" t="n">
        <v>0</v>
      </c>
      <c r="Q555" t="n">
        <v>0</v>
      </c>
      <c r="R555" s="2" t="inlineStr"/>
    </row>
    <row r="556" ht="15" customHeight="1">
      <c r="A556" t="inlineStr">
        <is>
          <t>A 47965-2025</t>
        </is>
      </c>
      <c r="B556" s="1" t="n">
        <v>45932.59597222223</v>
      </c>
      <c r="C556" s="1" t="n">
        <v>45965</v>
      </c>
      <c r="D556" t="inlineStr">
        <is>
          <t>KALMAR LÄN</t>
        </is>
      </c>
      <c r="E556" t="inlineStr">
        <is>
          <t>VIMMERBY</t>
        </is>
      </c>
      <c r="G556" t="n">
        <v>2.2</v>
      </c>
      <c r="H556" t="n">
        <v>0</v>
      </c>
      <c r="I556" t="n">
        <v>0</v>
      </c>
      <c r="J556" t="n">
        <v>0</v>
      </c>
      <c r="K556" t="n">
        <v>0</v>
      </c>
      <c r="L556" t="n">
        <v>0</v>
      </c>
      <c r="M556" t="n">
        <v>0</v>
      </c>
      <c r="N556" t="n">
        <v>0</v>
      </c>
      <c r="O556" t="n">
        <v>0</v>
      </c>
      <c r="P556" t="n">
        <v>0</v>
      </c>
      <c r="Q556" t="n">
        <v>0</v>
      </c>
      <c r="R556" s="2" t="inlineStr"/>
    </row>
    <row r="557" ht="15" customHeight="1">
      <c r="A557" t="inlineStr">
        <is>
          <t>A 55605-2024</t>
        </is>
      </c>
      <c r="B557" s="1" t="n">
        <v>45622</v>
      </c>
      <c r="C557" s="1" t="n">
        <v>45965</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2462-2022</t>
        </is>
      </c>
      <c r="B558" s="1" t="n">
        <v>44579.62225694444</v>
      </c>
      <c r="C558" s="1" t="n">
        <v>45965</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42165-2024</t>
        </is>
      </c>
      <c r="B559" s="1" t="n">
        <v>45562.46342592593</v>
      </c>
      <c r="C559" s="1" t="n">
        <v>45965</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23394-2025</t>
        </is>
      </c>
      <c r="B560" s="1" t="n">
        <v>45791.89865740741</v>
      </c>
      <c r="C560" s="1" t="n">
        <v>45965</v>
      </c>
      <c r="D560" t="inlineStr">
        <is>
          <t>KALMAR LÄN</t>
        </is>
      </c>
      <c r="E560" t="inlineStr">
        <is>
          <t>VIMMERBY</t>
        </is>
      </c>
      <c r="G560" t="n">
        <v>3.1</v>
      </c>
      <c r="H560" t="n">
        <v>0</v>
      </c>
      <c r="I560" t="n">
        <v>0</v>
      </c>
      <c r="J560" t="n">
        <v>0</v>
      </c>
      <c r="K560" t="n">
        <v>0</v>
      </c>
      <c r="L560" t="n">
        <v>0</v>
      </c>
      <c r="M560" t="n">
        <v>0</v>
      </c>
      <c r="N560" t="n">
        <v>0</v>
      </c>
      <c r="O560" t="n">
        <v>0</v>
      </c>
      <c r="P560" t="n">
        <v>0</v>
      </c>
      <c r="Q560" t="n">
        <v>0</v>
      </c>
      <c r="R560" s="2" t="inlineStr"/>
    </row>
    <row r="561" ht="15" customHeight="1">
      <c r="A561" t="inlineStr">
        <is>
          <t>A 20129-2024</t>
        </is>
      </c>
      <c r="B561" s="1" t="n">
        <v>45434.55831018519</v>
      </c>
      <c r="C561" s="1" t="n">
        <v>45965</v>
      </c>
      <c r="D561" t="inlineStr">
        <is>
          <t>KALMAR LÄN</t>
        </is>
      </c>
      <c r="E561" t="inlineStr">
        <is>
          <t>VIMMERBY</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20137-2024</t>
        </is>
      </c>
      <c r="B562" s="1" t="n">
        <v>45434.56398148148</v>
      </c>
      <c r="C562" s="1" t="n">
        <v>45965</v>
      </c>
      <c r="D562" t="inlineStr">
        <is>
          <t>KALMAR LÄN</t>
        </is>
      </c>
      <c r="E562" t="inlineStr">
        <is>
          <t>VIMMERBY</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23095-2023</t>
        </is>
      </c>
      <c r="B563" s="1" t="n">
        <v>45075.43059027778</v>
      </c>
      <c r="C563" s="1" t="n">
        <v>45965</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13015-2022</t>
        </is>
      </c>
      <c r="B564" s="1" t="n">
        <v>44643</v>
      </c>
      <c r="C564" s="1" t="n">
        <v>45965</v>
      </c>
      <c r="D564" t="inlineStr">
        <is>
          <t>KALMAR LÄN</t>
        </is>
      </c>
      <c r="E564" t="inlineStr">
        <is>
          <t>VIMMERBY</t>
        </is>
      </c>
      <c r="G564" t="n">
        <v>2.4</v>
      </c>
      <c r="H564" t="n">
        <v>0</v>
      </c>
      <c r="I564" t="n">
        <v>0</v>
      </c>
      <c r="J564" t="n">
        <v>0</v>
      </c>
      <c r="K564" t="n">
        <v>0</v>
      </c>
      <c r="L564" t="n">
        <v>0</v>
      </c>
      <c r="M564" t="n">
        <v>0</v>
      </c>
      <c r="N564" t="n">
        <v>0</v>
      </c>
      <c r="O564" t="n">
        <v>0</v>
      </c>
      <c r="P564" t="n">
        <v>0</v>
      </c>
      <c r="Q564" t="n">
        <v>0</v>
      </c>
      <c r="R564" s="2" t="inlineStr"/>
    </row>
    <row r="565" ht="15" customHeight="1">
      <c r="A565" t="inlineStr">
        <is>
          <t>A 32919-2022</t>
        </is>
      </c>
      <c r="B565" s="1" t="n">
        <v>44784.62724537037</v>
      </c>
      <c r="C565" s="1" t="n">
        <v>45965</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4624-2024</t>
        </is>
      </c>
      <c r="B566" s="1" t="n">
        <v>45328.38755787037</v>
      </c>
      <c r="C566" s="1" t="n">
        <v>45965</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9129-2025</t>
        </is>
      </c>
      <c r="B567" s="1" t="n">
        <v>45713.92412037037</v>
      </c>
      <c r="C567" s="1" t="n">
        <v>45965</v>
      </c>
      <c r="D567" t="inlineStr">
        <is>
          <t>KALMAR LÄN</t>
        </is>
      </c>
      <c r="E567" t="inlineStr">
        <is>
          <t>VIMMERBY</t>
        </is>
      </c>
      <c r="G567" t="n">
        <v>2.8</v>
      </c>
      <c r="H567" t="n">
        <v>0</v>
      </c>
      <c r="I567" t="n">
        <v>0</v>
      </c>
      <c r="J567" t="n">
        <v>0</v>
      </c>
      <c r="K567" t="n">
        <v>0</v>
      </c>
      <c r="L567" t="n">
        <v>0</v>
      </c>
      <c r="M567" t="n">
        <v>0</v>
      </c>
      <c r="N567" t="n">
        <v>0</v>
      </c>
      <c r="O567" t="n">
        <v>0</v>
      </c>
      <c r="P567" t="n">
        <v>0</v>
      </c>
      <c r="Q567" t="n">
        <v>0</v>
      </c>
      <c r="R567" s="2" t="inlineStr"/>
    </row>
    <row r="568" ht="15" customHeight="1">
      <c r="A568" t="inlineStr">
        <is>
          <t>A 7068-2024</t>
        </is>
      </c>
      <c r="B568" s="1" t="n">
        <v>45343.68038194445</v>
      </c>
      <c r="C568" s="1" t="n">
        <v>45965</v>
      </c>
      <c r="D568" t="inlineStr">
        <is>
          <t>KALMAR LÄN</t>
        </is>
      </c>
      <c r="E568" t="inlineStr">
        <is>
          <t>VIMMERBY</t>
        </is>
      </c>
      <c r="G568" t="n">
        <v>2.5</v>
      </c>
      <c r="H568" t="n">
        <v>0</v>
      </c>
      <c r="I568" t="n">
        <v>0</v>
      </c>
      <c r="J568" t="n">
        <v>0</v>
      </c>
      <c r="K568" t="n">
        <v>0</v>
      </c>
      <c r="L568" t="n">
        <v>0</v>
      </c>
      <c r="M568" t="n">
        <v>0</v>
      </c>
      <c r="N568" t="n">
        <v>0</v>
      </c>
      <c r="O568" t="n">
        <v>0</v>
      </c>
      <c r="P568" t="n">
        <v>0</v>
      </c>
      <c r="Q568" t="n">
        <v>0</v>
      </c>
      <c r="R568" s="2" t="inlineStr"/>
    </row>
    <row r="569" ht="15" customHeight="1">
      <c r="A569" t="inlineStr">
        <is>
          <t>A 12596-2021</t>
        </is>
      </c>
      <c r="B569" s="1" t="n">
        <v>44270.39765046296</v>
      </c>
      <c r="C569" s="1" t="n">
        <v>45965</v>
      </c>
      <c r="D569" t="inlineStr">
        <is>
          <t>KALMAR LÄN</t>
        </is>
      </c>
      <c r="E569" t="inlineStr">
        <is>
          <t>VIMMERBY</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22643-2023</t>
        </is>
      </c>
      <c r="B570" s="1" t="n">
        <v>45071</v>
      </c>
      <c r="C570" s="1" t="n">
        <v>45965</v>
      </c>
      <c r="D570" t="inlineStr">
        <is>
          <t>KALMAR LÄN</t>
        </is>
      </c>
      <c r="E570" t="inlineStr">
        <is>
          <t>VIMMERBY</t>
        </is>
      </c>
      <c r="G570" t="n">
        <v>3.9</v>
      </c>
      <c r="H570" t="n">
        <v>0</v>
      </c>
      <c r="I570" t="n">
        <v>0</v>
      </c>
      <c r="J570" t="n">
        <v>0</v>
      </c>
      <c r="K570" t="n">
        <v>0</v>
      </c>
      <c r="L570" t="n">
        <v>0</v>
      </c>
      <c r="M570" t="n">
        <v>0</v>
      </c>
      <c r="N570" t="n">
        <v>0</v>
      </c>
      <c r="O570" t="n">
        <v>0</v>
      </c>
      <c r="P570" t="n">
        <v>0</v>
      </c>
      <c r="Q570" t="n">
        <v>0</v>
      </c>
      <c r="R570" s="2" t="inlineStr"/>
    </row>
    <row r="571" ht="15" customHeight="1">
      <c r="A571" t="inlineStr">
        <is>
          <t>A 32655-2023</t>
        </is>
      </c>
      <c r="B571" s="1" t="n">
        <v>45121.61318287037</v>
      </c>
      <c r="C571" s="1" t="n">
        <v>45965</v>
      </c>
      <c r="D571" t="inlineStr">
        <is>
          <t>KALMAR LÄN</t>
        </is>
      </c>
      <c r="E571" t="inlineStr">
        <is>
          <t>VIMMERBY</t>
        </is>
      </c>
      <c r="F571" t="inlineStr">
        <is>
          <t>Sveaskog</t>
        </is>
      </c>
      <c r="G571" t="n">
        <v>2</v>
      </c>
      <c r="H571" t="n">
        <v>0</v>
      </c>
      <c r="I571" t="n">
        <v>0</v>
      </c>
      <c r="J571" t="n">
        <v>0</v>
      </c>
      <c r="K571" t="n">
        <v>0</v>
      </c>
      <c r="L571" t="n">
        <v>0</v>
      </c>
      <c r="M571" t="n">
        <v>0</v>
      </c>
      <c r="N571" t="n">
        <v>0</v>
      </c>
      <c r="O571" t="n">
        <v>0</v>
      </c>
      <c r="P571" t="n">
        <v>0</v>
      </c>
      <c r="Q571" t="n">
        <v>0</v>
      </c>
      <c r="R571" s="2" t="inlineStr"/>
    </row>
    <row r="572" ht="15" customHeight="1">
      <c r="A572" t="inlineStr">
        <is>
          <t>A 54409-2024</t>
        </is>
      </c>
      <c r="B572" s="1" t="n">
        <v>45617.47570601852</v>
      </c>
      <c r="C572" s="1" t="n">
        <v>45965</v>
      </c>
      <c r="D572" t="inlineStr">
        <is>
          <t>KALMAR LÄN</t>
        </is>
      </c>
      <c r="E572" t="inlineStr">
        <is>
          <t>VIMMERBY</t>
        </is>
      </c>
      <c r="G572" t="n">
        <v>4.3</v>
      </c>
      <c r="H572" t="n">
        <v>0</v>
      </c>
      <c r="I572" t="n">
        <v>0</v>
      </c>
      <c r="J572" t="n">
        <v>0</v>
      </c>
      <c r="K572" t="n">
        <v>0</v>
      </c>
      <c r="L572" t="n">
        <v>0</v>
      </c>
      <c r="M572" t="n">
        <v>0</v>
      </c>
      <c r="N572" t="n">
        <v>0</v>
      </c>
      <c r="O572" t="n">
        <v>0</v>
      </c>
      <c r="P572" t="n">
        <v>0</v>
      </c>
      <c r="Q572" t="n">
        <v>0</v>
      </c>
      <c r="R572" s="2" t="inlineStr"/>
    </row>
    <row r="573" ht="15" customHeight="1">
      <c r="A573" t="inlineStr">
        <is>
          <t>A 23984-2025</t>
        </is>
      </c>
      <c r="B573" s="1" t="n">
        <v>45796</v>
      </c>
      <c r="C573" s="1" t="n">
        <v>45965</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34597-2022</t>
        </is>
      </c>
      <c r="B574" s="1" t="n">
        <v>44795</v>
      </c>
      <c r="C574" s="1" t="n">
        <v>45965</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40079-2023</t>
        </is>
      </c>
      <c r="B575" s="1" t="n">
        <v>45168.89298611111</v>
      </c>
      <c r="C575" s="1" t="n">
        <v>45965</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9475-2023</t>
        </is>
      </c>
      <c r="B576" s="1" t="n">
        <v>44981.58834490741</v>
      </c>
      <c r="C576" s="1" t="n">
        <v>45965</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19833-2023</t>
        </is>
      </c>
      <c r="B577" s="1" t="n">
        <v>45052</v>
      </c>
      <c r="C577" s="1" t="n">
        <v>45965</v>
      </c>
      <c r="D577" t="inlineStr">
        <is>
          <t>KALMAR LÄN</t>
        </is>
      </c>
      <c r="E577" t="inlineStr">
        <is>
          <t>VIMMERBY</t>
        </is>
      </c>
      <c r="G577" t="n">
        <v>6.7</v>
      </c>
      <c r="H577" t="n">
        <v>0</v>
      </c>
      <c r="I577" t="n">
        <v>0</v>
      </c>
      <c r="J577" t="n">
        <v>0</v>
      </c>
      <c r="K577" t="n">
        <v>0</v>
      </c>
      <c r="L577" t="n">
        <v>0</v>
      </c>
      <c r="M577" t="n">
        <v>0</v>
      </c>
      <c r="N577" t="n">
        <v>0</v>
      </c>
      <c r="O577" t="n">
        <v>0</v>
      </c>
      <c r="P577" t="n">
        <v>0</v>
      </c>
      <c r="Q577" t="n">
        <v>0</v>
      </c>
      <c r="R577" s="2" t="inlineStr"/>
    </row>
    <row r="578" ht="15" customHeight="1">
      <c r="A578" t="inlineStr">
        <is>
          <t>A 43092-2024</t>
        </is>
      </c>
      <c r="B578" s="1" t="n">
        <v>45567</v>
      </c>
      <c r="C578" s="1" t="n">
        <v>45965</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11619-2023</t>
        </is>
      </c>
      <c r="B579" s="1" t="n">
        <v>44994.42113425926</v>
      </c>
      <c r="C579" s="1" t="n">
        <v>45965</v>
      </c>
      <c r="D579" t="inlineStr">
        <is>
          <t>KALMAR LÄN</t>
        </is>
      </c>
      <c r="E579" t="inlineStr">
        <is>
          <t>VIMMERBY</t>
        </is>
      </c>
      <c r="G579" t="n">
        <v>2.5</v>
      </c>
      <c r="H579" t="n">
        <v>0</v>
      </c>
      <c r="I579" t="n">
        <v>0</v>
      </c>
      <c r="J579" t="n">
        <v>0</v>
      </c>
      <c r="K579" t="n">
        <v>0</v>
      </c>
      <c r="L579" t="n">
        <v>0</v>
      </c>
      <c r="M579" t="n">
        <v>0</v>
      </c>
      <c r="N579" t="n">
        <v>0</v>
      </c>
      <c r="O579" t="n">
        <v>0</v>
      </c>
      <c r="P579" t="n">
        <v>0</v>
      </c>
      <c r="Q579" t="n">
        <v>0</v>
      </c>
      <c r="R579" s="2" t="inlineStr"/>
    </row>
    <row r="580" ht="15" customHeight="1">
      <c r="A580" t="inlineStr">
        <is>
          <t>A 5074-2023</t>
        </is>
      </c>
      <c r="B580" s="1" t="n">
        <v>44958.61047453704</v>
      </c>
      <c r="C580" s="1" t="n">
        <v>45965</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6368-2023</t>
        </is>
      </c>
      <c r="B581" s="1" t="n">
        <v>44965</v>
      </c>
      <c r="C581" s="1" t="n">
        <v>45965</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5701-2024</t>
        </is>
      </c>
      <c r="B582" s="1" t="n">
        <v>45334.78826388889</v>
      </c>
      <c r="C582" s="1" t="n">
        <v>45965</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17084-2025</t>
        </is>
      </c>
      <c r="B583" s="1" t="n">
        <v>45755.64450231481</v>
      </c>
      <c r="C583" s="1" t="n">
        <v>45965</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56022-2024</t>
        </is>
      </c>
      <c r="B584" s="1" t="n">
        <v>45623.95947916667</v>
      </c>
      <c r="C584" s="1" t="n">
        <v>45965</v>
      </c>
      <c r="D584" t="inlineStr">
        <is>
          <t>KALMAR LÄN</t>
        </is>
      </c>
      <c r="E584" t="inlineStr">
        <is>
          <t>VIMMERBY</t>
        </is>
      </c>
      <c r="G584" t="n">
        <v>0.3</v>
      </c>
      <c r="H584" t="n">
        <v>0</v>
      </c>
      <c r="I584" t="n">
        <v>0</v>
      </c>
      <c r="J584" t="n">
        <v>0</v>
      </c>
      <c r="K584" t="n">
        <v>0</v>
      </c>
      <c r="L584" t="n">
        <v>0</v>
      </c>
      <c r="M584" t="n">
        <v>0</v>
      </c>
      <c r="N584" t="n">
        <v>0</v>
      </c>
      <c r="O584" t="n">
        <v>0</v>
      </c>
      <c r="P584" t="n">
        <v>0</v>
      </c>
      <c r="Q584" t="n">
        <v>0</v>
      </c>
      <c r="R584" s="2" t="inlineStr"/>
    </row>
    <row r="585" ht="15" customHeight="1">
      <c r="A585" t="inlineStr">
        <is>
          <t>A 11928-2022</t>
        </is>
      </c>
      <c r="B585" s="1" t="n">
        <v>44635</v>
      </c>
      <c r="C585" s="1" t="n">
        <v>45965</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51278-2024</t>
        </is>
      </c>
      <c r="B586" s="1" t="n">
        <v>45603.74959490741</v>
      </c>
      <c r="C586" s="1" t="n">
        <v>45965</v>
      </c>
      <c r="D586" t="inlineStr">
        <is>
          <t>KALMAR LÄN</t>
        </is>
      </c>
      <c r="E586" t="inlineStr">
        <is>
          <t>VIMMERBY</t>
        </is>
      </c>
      <c r="G586" t="n">
        <v>3.4</v>
      </c>
      <c r="H586" t="n">
        <v>0</v>
      </c>
      <c r="I586" t="n">
        <v>0</v>
      </c>
      <c r="J586" t="n">
        <v>0</v>
      </c>
      <c r="K586" t="n">
        <v>0</v>
      </c>
      <c r="L586" t="n">
        <v>0</v>
      </c>
      <c r="M586" t="n">
        <v>0</v>
      </c>
      <c r="N586" t="n">
        <v>0</v>
      </c>
      <c r="O586" t="n">
        <v>0</v>
      </c>
      <c r="P586" t="n">
        <v>0</v>
      </c>
      <c r="Q586" t="n">
        <v>0</v>
      </c>
      <c r="R586" s="2" t="inlineStr"/>
    </row>
    <row r="587" ht="15" customHeight="1">
      <c r="A587" t="inlineStr">
        <is>
          <t>A 7797-2023</t>
        </is>
      </c>
      <c r="B587" s="1" t="n">
        <v>44973.43075231482</v>
      </c>
      <c r="C587" s="1" t="n">
        <v>45965</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35082-2024</t>
        </is>
      </c>
      <c r="B588" s="1" t="n">
        <v>45527.68784722222</v>
      </c>
      <c r="C588" s="1" t="n">
        <v>45965</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5527-2022</t>
        </is>
      </c>
      <c r="B589" s="1" t="n">
        <v>44595.583125</v>
      </c>
      <c r="C589" s="1" t="n">
        <v>45965</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24655-2021</t>
        </is>
      </c>
      <c r="B590" s="1" t="n">
        <v>44340</v>
      </c>
      <c r="C590" s="1" t="n">
        <v>45965</v>
      </c>
      <c r="D590" t="inlineStr">
        <is>
          <t>KALMAR LÄN</t>
        </is>
      </c>
      <c r="E590" t="inlineStr">
        <is>
          <t>VIMMERBY</t>
        </is>
      </c>
      <c r="G590" t="n">
        <v>14.9</v>
      </c>
      <c r="H590" t="n">
        <v>0</v>
      </c>
      <c r="I590" t="n">
        <v>0</v>
      </c>
      <c r="J590" t="n">
        <v>0</v>
      </c>
      <c r="K590" t="n">
        <v>0</v>
      </c>
      <c r="L590" t="n">
        <v>0</v>
      </c>
      <c r="M590" t="n">
        <v>0</v>
      </c>
      <c r="N590" t="n">
        <v>0</v>
      </c>
      <c r="O590" t="n">
        <v>0</v>
      </c>
      <c r="P590" t="n">
        <v>0</v>
      </c>
      <c r="Q590" t="n">
        <v>0</v>
      </c>
      <c r="R590" s="2" t="inlineStr"/>
    </row>
    <row r="591" ht="15" customHeight="1">
      <c r="A591" t="inlineStr">
        <is>
          <t>A 44582-2024</t>
        </is>
      </c>
      <c r="B591" s="1" t="n">
        <v>45574.49298611111</v>
      </c>
      <c r="C591" s="1" t="n">
        <v>45965</v>
      </c>
      <c r="D591" t="inlineStr">
        <is>
          <t>KALMAR LÄN</t>
        </is>
      </c>
      <c r="E591" t="inlineStr">
        <is>
          <t>VIMMERBY</t>
        </is>
      </c>
      <c r="G591" t="n">
        <v>1.1</v>
      </c>
      <c r="H591" t="n">
        <v>0</v>
      </c>
      <c r="I591" t="n">
        <v>0</v>
      </c>
      <c r="J591" t="n">
        <v>0</v>
      </c>
      <c r="K591" t="n">
        <v>0</v>
      </c>
      <c r="L591" t="n">
        <v>0</v>
      </c>
      <c r="M591" t="n">
        <v>0</v>
      </c>
      <c r="N591" t="n">
        <v>0</v>
      </c>
      <c r="O591" t="n">
        <v>0</v>
      </c>
      <c r="P591" t="n">
        <v>0</v>
      </c>
      <c r="Q591" t="n">
        <v>0</v>
      </c>
      <c r="R591" s="2" t="inlineStr"/>
    </row>
    <row r="592" ht="15" customHeight="1">
      <c r="A592" t="inlineStr">
        <is>
          <t>A 9456-2025</t>
        </is>
      </c>
      <c r="B592" s="1" t="n">
        <v>45715.44159722222</v>
      </c>
      <c r="C592" s="1" t="n">
        <v>45965</v>
      </c>
      <c r="D592" t="inlineStr">
        <is>
          <t>KALMAR LÄN</t>
        </is>
      </c>
      <c r="E592" t="inlineStr">
        <is>
          <t>VIMMERBY</t>
        </is>
      </c>
      <c r="G592" t="n">
        <v>1.5</v>
      </c>
      <c r="H592" t="n">
        <v>0</v>
      </c>
      <c r="I592" t="n">
        <v>0</v>
      </c>
      <c r="J592" t="n">
        <v>0</v>
      </c>
      <c r="K592" t="n">
        <v>0</v>
      </c>
      <c r="L592" t="n">
        <v>0</v>
      </c>
      <c r="M592" t="n">
        <v>0</v>
      </c>
      <c r="N592" t="n">
        <v>0</v>
      </c>
      <c r="O592" t="n">
        <v>0</v>
      </c>
      <c r="P592" t="n">
        <v>0</v>
      </c>
      <c r="Q592" t="n">
        <v>0</v>
      </c>
      <c r="R592" s="2" t="inlineStr"/>
    </row>
    <row r="593" ht="15" customHeight="1">
      <c r="A593" t="inlineStr">
        <is>
          <t>A 11111-2023</t>
        </is>
      </c>
      <c r="B593" s="1" t="n">
        <v>44992.4255787037</v>
      </c>
      <c r="C593" s="1" t="n">
        <v>45965</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49461-2023</t>
        </is>
      </c>
      <c r="B594" s="1" t="n">
        <v>45211.52642361111</v>
      </c>
      <c r="C594" s="1" t="n">
        <v>45965</v>
      </c>
      <c r="D594" t="inlineStr">
        <is>
          <t>KALMAR LÄN</t>
        </is>
      </c>
      <c r="E594" t="inlineStr">
        <is>
          <t>VIMMERBY</t>
        </is>
      </c>
      <c r="G594" t="n">
        <v>1.5</v>
      </c>
      <c r="H594" t="n">
        <v>0</v>
      </c>
      <c r="I594" t="n">
        <v>0</v>
      </c>
      <c r="J594" t="n">
        <v>0</v>
      </c>
      <c r="K594" t="n">
        <v>0</v>
      </c>
      <c r="L594" t="n">
        <v>0</v>
      </c>
      <c r="M594" t="n">
        <v>0</v>
      </c>
      <c r="N594" t="n">
        <v>0</v>
      </c>
      <c r="O594" t="n">
        <v>0</v>
      </c>
      <c r="P594" t="n">
        <v>0</v>
      </c>
      <c r="Q594" t="n">
        <v>0</v>
      </c>
      <c r="R594" s="2" t="inlineStr"/>
    </row>
    <row r="595" ht="15" customHeight="1">
      <c r="A595" t="inlineStr">
        <is>
          <t>A 49474-2023</t>
        </is>
      </c>
      <c r="B595" s="1" t="n">
        <v>45211.541875</v>
      </c>
      <c r="C595" s="1" t="n">
        <v>45965</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61861-2024</t>
        </is>
      </c>
      <c r="B596" s="1" t="n">
        <v>45650.37370370371</v>
      </c>
      <c r="C596" s="1" t="n">
        <v>45965</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8410-2023</t>
        </is>
      </c>
      <c r="B597" s="1" t="n">
        <v>44977</v>
      </c>
      <c r="C597" s="1" t="n">
        <v>45965</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48600-2025</t>
        </is>
      </c>
      <c r="B598" s="1" t="n">
        <v>45935</v>
      </c>
      <c r="C598" s="1" t="n">
        <v>45965</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39801-2025</t>
        </is>
      </c>
      <c r="B599" s="1" t="n">
        <v>45891.50216435185</v>
      </c>
      <c r="C599" s="1" t="n">
        <v>45965</v>
      </c>
      <c r="D599" t="inlineStr">
        <is>
          <t>KALMAR LÄN</t>
        </is>
      </c>
      <c r="E599" t="inlineStr">
        <is>
          <t>VIMMERBY</t>
        </is>
      </c>
      <c r="G599" t="n">
        <v>2</v>
      </c>
      <c r="H599" t="n">
        <v>0</v>
      </c>
      <c r="I599" t="n">
        <v>0</v>
      </c>
      <c r="J599" t="n">
        <v>0</v>
      </c>
      <c r="K599" t="n">
        <v>0</v>
      </c>
      <c r="L599" t="n">
        <v>0</v>
      </c>
      <c r="M599" t="n">
        <v>0</v>
      </c>
      <c r="N599" t="n">
        <v>0</v>
      </c>
      <c r="O599" t="n">
        <v>0</v>
      </c>
      <c r="P599" t="n">
        <v>0</v>
      </c>
      <c r="Q599" t="n">
        <v>0</v>
      </c>
      <c r="R599" s="2" t="inlineStr"/>
    </row>
    <row r="600" ht="15" customHeight="1">
      <c r="A600" t="inlineStr">
        <is>
          <t>A 58724-2024</t>
        </is>
      </c>
      <c r="B600" s="1" t="n">
        <v>45635.66409722222</v>
      </c>
      <c r="C600" s="1" t="n">
        <v>45965</v>
      </c>
      <c r="D600" t="inlineStr">
        <is>
          <t>KALMAR LÄN</t>
        </is>
      </c>
      <c r="E600" t="inlineStr">
        <is>
          <t>VIMMERBY</t>
        </is>
      </c>
      <c r="G600" t="n">
        <v>1</v>
      </c>
      <c r="H600" t="n">
        <v>0</v>
      </c>
      <c r="I600" t="n">
        <v>0</v>
      </c>
      <c r="J600" t="n">
        <v>0</v>
      </c>
      <c r="K600" t="n">
        <v>0</v>
      </c>
      <c r="L600" t="n">
        <v>0</v>
      </c>
      <c r="M600" t="n">
        <v>0</v>
      </c>
      <c r="N600" t="n">
        <v>0</v>
      </c>
      <c r="O600" t="n">
        <v>0</v>
      </c>
      <c r="P600" t="n">
        <v>0</v>
      </c>
      <c r="Q600" t="n">
        <v>0</v>
      </c>
      <c r="R600" s="2" t="inlineStr"/>
    </row>
    <row r="601" ht="15" customHeight="1">
      <c r="A601" t="inlineStr">
        <is>
          <t>A 45846-2023</t>
        </is>
      </c>
      <c r="B601" s="1" t="n">
        <v>45195.58452546296</v>
      </c>
      <c r="C601" s="1" t="n">
        <v>45965</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6028-2023</t>
        </is>
      </c>
      <c r="B602" s="1" t="n">
        <v>44964.44356481481</v>
      </c>
      <c r="C602" s="1" t="n">
        <v>45965</v>
      </c>
      <c r="D602" t="inlineStr">
        <is>
          <t>KALMAR LÄN</t>
        </is>
      </c>
      <c r="E602" t="inlineStr">
        <is>
          <t>VIMMERBY</t>
        </is>
      </c>
      <c r="G602" t="n">
        <v>2.5</v>
      </c>
      <c r="H602" t="n">
        <v>0</v>
      </c>
      <c r="I602" t="n">
        <v>0</v>
      </c>
      <c r="J602" t="n">
        <v>0</v>
      </c>
      <c r="K602" t="n">
        <v>0</v>
      </c>
      <c r="L602" t="n">
        <v>0</v>
      </c>
      <c r="M602" t="n">
        <v>0</v>
      </c>
      <c r="N602" t="n">
        <v>0</v>
      </c>
      <c r="O602" t="n">
        <v>0</v>
      </c>
      <c r="P602" t="n">
        <v>0</v>
      </c>
      <c r="Q602" t="n">
        <v>0</v>
      </c>
      <c r="R602" s="2" t="inlineStr"/>
    </row>
    <row r="603" ht="15" customHeight="1">
      <c r="A603" t="inlineStr">
        <is>
          <t>A 8167-2024</t>
        </is>
      </c>
      <c r="B603" s="1" t="n">
        <v>45351.6062962963</v>
      </c>
      <c r="C603" s="1" t="n">
        <v>45965</v>
      </c>
      <c r="D603" t="inlineStr">
        <is>
          <t>KALMAR LÄN</t>
        </is>
      </c>
      <c r="E603" t="inlineStr">
        <is>
          <t>VIMMERBY</t>
        </is>
      </c>
      <c r="G603" t="n">
        <v>3.8</v>
      </c>
      <c r="H603" t="n">
        <v>0</v>
      </c>
      <c r="I603" t="n">
        <v>0</v>
      </c>
      <c r="J603" t="n">
        <v>0</v>
      </c>
      <c r="K603" t="n">
        <v>0</v>
      </c>
      <c r="L603" t="n">
        <v>0</v>
      </c>
      <c r="M603" t="n">
        <v>0</v>
      </c>
      <c r="N603" t="n">
        <v>0</v>
      </c>
      <c r="O603" t="n">
        <v>0</v>
      </c>
      <c r="P603" t="n">
        <v>0</v>
      </c>
      <c r="Q603" t="n">
        <v>0</v>
      </c>
      <c r="R603" s="2" t="inlineStr"/>
    </row>
    <row r="604" ht="15" customHeight="1">
      <c r="A604" t="inlineStr">
        <is>
          <t>A 39807-2025</t>
        </is>
      </c>
      <c r="B604" s="1" t="n">
        <v>45891.50986111111</v>
      </c>
      <c r="C604" s="1" t="n">
        <v>45965</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15494-2024</t>
        </is>
      </c>
      <c r="B605" s="1" t="n">
        <v>45401.53033564815</v>
      </c>
      <c r="C605" s="1" t="n">
        <v>45965</v>
      </c>
      <c r="D605" t="inlineStr">
        <is>
          <t>KALMAR LÄN</t>
        </is>
      </c>
      <c r="E605" t="inlineStr">
        <is>
          <t>VIMMERBY</t>
        </is>
      </c>
      <c r="G605" t="n">
        <v>3.2</v>
      </c>
      <c r="H605" t="n">
        <v>0</v>
      </c>
      <c r="I605" t="n">
        <v>0</v>
      </c>
      <c r="J605" t="n">
        <v>0</v>
      </c>
      <c r="K605" t="n">
        <v>0</v>
      </c>
      <c r="L605" t="n">
        <v>0</v>
      </c>
      <c r="M605" t="n">
        <v>0</v>
      </c>
      <c r="N605" t="n">
        <v>0</v>
      </c>
      <c r="O605" t="n">
        <v>0</v>
      </c>
      <c r="P605" t="n">
        <v>0</v>
      </c>
      <c r="Q605" t="n">
        <v>0</v>
      </c>
      <c r="R605" s="2" t="inlineStr"/>
    </row>
    <row r="606" ht="15" customHeight="1">
      <c r="A606" t="inlineStr">
        <is>
          <t>A 52823-2024</t>
        </is>
      </c>
      <c r="B606" s="1" t="n">
        <v>45610.59094907407</v>
      </c>
      <c r="C606" s="1" t="n">
        <v>45965</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26039-2025</t>
        </is>
      </c>
      <c r="B607" s="1" t="n">
        <v>45804.6953587963</v>
      </c>
      <c r="C607" s="1" t="n">
        <v>45965</v>
      </c>
      <c r="D607" t="inlineStr">
        <is>
          <t>KALMAR LÄN</t>
        </is>
      </c>
      <c r="E607" t="inlineStr">
        <is>
          <t>VIMMERBY</t>
        </is>
      </c>
      <c r="F607" t="inlineStr">
        <is>
          <t>Sveaskog</t>
        </is>
      </c>
      <c r="G607" t="n">
        <v>5.2</v>
      </c>
      <c r="H607" t="n">
        <v>0</v>
      </c>
      <c r="I607" t="n">
        <v>0</v>
      </c>
      <c r="J607" t="n">
        <v>0</v>
      </c>
      <c r="K607" t="n">
        <v>0</v>
      </c>
      <c r="L607" t="n">
        <v>0</v>
      </c>
      <c r="M607" t="n">
        <v>0</v>
      </c>
      <c r="N607" t="n">
        <v>0</v>
      </c>
      <c r="O607" t="n">
        <v>0</v>
      </c>
      <c r="P607" t="n">
        <v>0</v>
      </c>
      <c r="Q607" t="n">
        <v>0</v>
      </c>
      <c r="R607" s="2" t="inlineStr"/>
    </row>
    <row r="608" ht="15" customHeight="1">
      <c r="A608" t="inlineStr">
        <is>
          <t>A 26046-2025</t>
        </is>
      </c>
      <c r="B608" s="1" t="n">
        <v>45804.708125</v>
      </c>
      <c r="C608" s="1" t="n">
        <v>45965</v>
      </c>
      <c r="D608" t="inlineStr">
        <is>
          <t>KALMAR LÄN</t>
        </is>
      </c>
      <c r="E608" t="inlineStr">
        <is>
          <t>VIMMERBY</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49382-2023</t>
        </is>
      </c>
      <c r="B609" s="1" t="n">
        <v>45208</v>
      </c>
      <c r="C609" s="1" t="n">
        <v>45965</v>
      </c>
      <c r="D609" t="inlineStr">
        <is>
          <t>KALMAR LÄN</t>
        </is>
      </c>
      <c r="E609" t="inlineStr">
        <is>
          <t>VIMMERBY</t>
        </is>
      </c>
      <c r="G609" t="n">
        <v>2.2</v>
      </c>
      <c r="H609" t="n">
        <v>0</v>
      </c>
      <c r="I609" t="n">
        <v>0</v>
      </c>
      <c r="J609" t="n">
        <v>0</v>
      </c>
      <c r="K609" t="n">
        <v>0</v>
      </c>
      <c r="L609" t="n">
        <v>0</v>
      </c>
      <c r="M609" t="n">
        <v>0</v>
      </c>
      <c r="N609" t="n">
        <v>0</v>
      </c>
      <c r="O609" t="n">
        <v>0</v>
      </c>
      <c r="P609" t="n">
        <v>0</v>
      </c>
      <c r="Q609" t="n">
        <v>0</v>
      </c>
      <c r="R609" s="2" t="inlineStr"/>
    </row>
    <row r="610" ht="15" customHeight="1">
      <c r="A610" t="inlineStr">
        <is>
          <t>A 25792-2025</t>
        </is>
      </c>
      <c r="B610" s="1" t="n">
        <v>45804.39141203704</v>
      </c>
      <c r="C610" s="1" t="n">
        <v>45965</v>
      </c>
      <c r="D610" t="inlineStr">
        <is>
          <t>KALMAR LÄN</t>
        </is>
      </c>
      <c r="E610" t="inlineStr">
        <is>
          <t>VIMMERBY</t>
        </is>
      </c>
      <c r="G610" t="n">
        <v>0.8</v>
      </c>
      <c r="H610" t="n">
        <v>0</v>
      </c>
      <c r="I610" t="n">
        <v>0</v>
      </c>
      <c r="J610" t="n">
        <v>0</v>
      </c>
      <c r="K610" t="n">
        <v>0</v>
      </c>
      <c r="L610" t="n">
        <v>0</v>
      </c>
      <c r="M610" t="n">
        <v>0</v>
      </c>
      <c r="N610" t="n">
        <v>0</v>
      </c>
      <c r="O610" t="n">
        <v>0</v>
      </c>
      <c r="P610" t="n">
        <v>0</v>
      </c>
      <c r="Q610" t="n">
        <v>0</v>
      </c>
      <c r="R610" s="2" t="inlineStr"/>
    </row>
    <row r="611" ht="15" customHeight="1">
      <c r="A611" t="inlineStr">
        <is>
          <t>A 12121-2025</t>
        </is>
      </c>
      <c r="B611" s="1" t="n">
        <v>45729.36868055556</v>
      </c>
      <c r="C611" s="1" t="n">
        <v>45965</v>
      </c>
      <c r="D611" t="inlineStr">
        <is>
          <t>KALMAR LÄN</t>
        </is>
      </c>
      <c r="E611" t="inlineStr">
        <is>
          <t>VIMMERBY</t>
        </is>
      </c>
      <c r="G611" t="n">
        <v>4.3</v>
      </c>
      <c r="H611" t="n">
        <v>0</v>
      </c>
      <c r="I611" t="n">
        <v>0</v>
      </c>
      <c r="J611" t="n">
        <v>0</v>
      </c>
      <c r="K611" t="n">
        <v>0</v>
      </c>
      <c r="L611" t="n">
        <v>0</v>
      </c>
      <c r="M611" t="n">
        <v>0</v>
      </c>
      <c r="N611" t="n">
        <v>0</v>
      </c>
      <c r="O611" t="n">
        <v>0</v>
      </c>
      <c r="P611" t="n">
        <v>0</v>
      </c>
      <c r="Q611" t="n">
        <v>0</v>
      </c>
      <c r="R611" s="2" t="inlineStr"/>
    </row>
    <row r="612" ht="15" customHeight="1">
      <c r="A612" t="inlineStr">
        <is>
          <t>A 56853-2022</t>
        </is>
      </c>
      <c r="B612" s="1" t="n">
        <v>44894.49538194444</v>
      </c>
      <c r="C612" s="1" t="n">
        <v>45965</v>
      </c>
      <c r="D612" t="inlineStr">
        <is>
          <t>KALMAR LÄN</t>
        </is>
      </c>
      <c r="E612" t="inlineStr">
        <is>
          <t>VIMMERBY</t>
        </is>
      </c>
      <c r="G612" t="n">
        <v>4.3</v>
      </c>
      <c r="H612" t="n">
        <v>0</v>
      </c>
      <c r="I612" t="n">
        <v>0</v>
      </c>
      <c r="J612" t="n">
        <v>0</v>
      </c>
      <c r="K612" t="n">
        <v>0</v>
      </c>
      <c r="L612" t="n">
        <v>0</v>
      </c>
      <c r="M612" t="n">
        <v>0</v>
      </c>
      <c r="N612" t="n">
        <v>0</v>
      </c>
      <c r="O612" t="n">
        <v>0</v>
      </c>
      <c r="P612" t="n">
        <v>0</v>
      </c>
      <c r="Q612" t="n">
        <v>0</v>
      </c>
      <c r="R612" s="2" t="inlineStr"/>
    </row>
    <row r="613" ht="15" customHeight="1">
      <c r="A613" t="inlineStr">
        <is>
          <t>A 11152-2023</t>
        </is>
      </c>
      <c r="B613" s="1" t="n">
        <v>44992</v>
      </c>
      <c r="C613" s="1" t="n">
        <v>45965</v>
      </c>
      <c r="D613" t="inlineStr">
        <is>
          <t>KALMAR LÄN</t>
        </is>
      </c>
      <c r="E613" t="inlineStr">
        <is>
          <t>VIMMERBY</t>
        </is>
      </c>
      <c r="G613" t="n">
        <v>10.6</v>
      </c>
      <c r="H613" t="n">
        <v>0</v>
      </c>
      <c r="I613" t="n">
        <v>0</v>
      </c>
      <c r="J613" t="n">
        <v>0</v>
      </c>
      <c r="K613" t="n">
        <v>0</v>
      </c>
      <c r="L613" t="n">
        <v>0</v>
      </c>
      <c r="M613" t="n">
        <v>0</v>
      </c>
      <c r="N613" t="n">
        <v>0</v>
      </c>
      <c r="O613" t="n">
        <v>0</v>
      </c>
      <c r="P613" t="n">
        <v>0</v>
      </c>
      <c r="Q613" t="n">
        <v>0</v>
      </c>
      <c r="R613" s="2" t="inlineStr"/>
    </row>
    <row r="614" ht="15" customHeight="1">
      <c r="A614" t="inlineStr">
        <is>
          <t>A 35846-2023</t>
        </is>
      </c>
      <c r="B614" s="1" t="n">
        <v>45148</v>
      </c>
      <c r="C614" s="1" t="n">
        <v>45965</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15550-2023</t>
        </is>
      </c>
      <c r="B615" s="1" t="n">
        <v>45020</v>
      </c>
      <c r="C615" s="1" t="n">
        <v>45965</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35913-2023</t>
        </is>
      </c>
      <c r="B616" s="1" t="n">
        <v>45148</v>
      </c>
      <c r="C616" s="1" t="n">
        <v>45965</v>
      </c>
      <c r="D616" t="inlineStr">
        <is>
          <t>KALMAR LÄN</t>
        </is>
      </c>
      <c r="E616" t="inlineStr">
        <is>
          <t>VIMMERBY</t>
        </is>
      </c>
      <c r="G616" t="n">
        <v>6.9</v>
      </c>
      <c r="H616" t="n">
        <v>0</v>
      </c>
      <c r="I616" t="n">
        <v>0</v>
      </c>
      <c r="J616" t="n">
        <v>0</v>
      </c>
      <c r="K616" t="n">
        <v>0</v>
      </c>
      <c r="L616" t="n">
        <v>0</v>
      </c>
      <c r="M616" t="n">
        <v>0</v>
      </c>
      <c r="N616" t="n">
        <v>0</v>
      </c>
      <c r="O616" t="n">
        <v>0</v>
      </c>
      <c r="P616" t="n">
        <v>0</v>
      </c>
      <c r="Q616" t="n">
        <v>0</v>
      </c>
      <c r="R616" s="2" t="inlineStr"/>
    </row>
    <row r="617" ht="15" customHeight="1">
      <c r="A617" t="inlineStr">
        <is>
          <t>A 25830-2025</t>
        </is>
      </c>
      <c r="B617" s="1" t="n">
        <v>45804.44519675926</v>
      </c>
      <c r="C617" s="1" t="n">
        <v>45965</v>
      </c>
      <c r="D617" t="inlineStr">
        <is>
          <t>KALMAR LÄN</t>
        </is>
      </c>
      <c r="E617" t="inlineStr">
        <is>
          <t>VIMMERBY</t>
        </is>
      </c>
      <c r="G617" t="n">
        <v>4.9</v>
      </c>
      <c r="H617" t="n">
        <v>0</v>
      </c>
      <c r="I617" t="n">
        <v>0</v>
      </c>
      <c r="J617" t="n">
        <v>0</v>
      </c>
      <c r="K617" t="n">
        <v>0</v>
      </c>
      <c r="L617" t="n">
        <v>0</v>
      </c>
      <c r="M617" t="n">
        <v>0</v>
      </c>
      <c r="N617" t="n">
        <v>0</v>
      </c>
      <c r="O617" t="n">
        <v>0</v>
      </c>
      <c r="P617" t="n">
        <v>0</v>
      </c>
      <c r="Q617" t="n">
        <v>0</v>
      </c>
      <c r="R617" s="2" t="inlineStr"/>
    </row>
    <row r="618" ht="15" customHeight="1">
      <c r="A618" t="inlineStr">
        <is>
          <t>A 38757-2023</t>
        </is>
      </c>
      <c r="B618" s="1" t="n">
        <v>45163.41376157408</v>
      </c>
      <c r="C618" s="1" t="n">
        <v>45965</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20136-2024</t>
        </is>
      </c>
      <c r="B619" s="1" t="n">
        <v>45434.56291666667</v>
      </c>
      <c r="C619" s="1" t="n">
        <v>45965</v>
      </c>
      <c r="D619" t="inlineStr">
        <is>
          <t>KALMAR LÄN</t>
        </is>
      </c>
      <c r="E619" t="inlineStr">
        <is>
          <t>VIMMERBY</t>
        </is>
      </c>
      <c r="F619" t="inlineStr">
        <is>
          <t>Sveaskog</t>
        </is>
      </c>
      <c r="G619" t="n">
        <v>8.4</v>
      </c>
      <c r="H619" t="n">
        <v>0</v>
      </c>
      <c r="I619" t="n">
        <v>0</v>
      </c>
      <c r="J619" t="n">
        <v>0</v>
      </c>
      <c r="K619" t="n">
        <v>0</v>
      </c>
      <c r="L619" t="n">
        <v>0</v>
      </c>
      <c r="M619" t="n">
        <v>0</v>
      </c>
      <c r="N619" t="n">
        <v>0</v>
      </c>
      <c r="O619" t="n">
        <v>0</v>
      </c>
      <c r="P619" t="n">
        <v>0</v>
      </c>
      <c r="Q619" t="n">
        <v>0</v>
      </c>
      <c r="R619" s="2" t="inlineStr"/>
    </row>
    <row r="620" ht="15" customHeight="1">
      <c r="A620" t="inlineStr">
        <is>
          <t>A 26124-2025</t>
        </is>
      </c>
      <c r="B620" s="1" t="n">
        <v>45805.39247685186</v>
      </c>
      <c r="C620" s="1" t="n">
        <v>45965</v>
      </c>
      <c r="D620" t="inlineStr">
        <is>
          <t>KALMAR LÄN</t>
        </is>
      </c>
      <c r="E620" t="inlineStr">
        <is>
          <t>VIMMERBY</t>
        </is>
      </c>
      <c r="G620" t="n">
        <v>6.6</v>
      </c>
      <c r="H620" t="n">
        <v>0</v>
      </c>
      <c r="I620" t="n">
        <v>0</v>
      </c>
      <c r="J620" t="n">
        <v>0</v>
      </c>
      <c r="K620" t="n">
        <v>0</v>
      </c>
      <c r="L620" t="n">
        <v>0</v>
      </c>
      <c r="M620" t="n">
        <v>0</v>
      </c>
      <c r="N620" t="n">
        <v>0</v>
      </c>
      <c r="O620" t="n">
        <v>0</v>
      </c>
      <c r="P620" t="n">
        <v>0</v>
      </c>
      <c r="Q620" t="n">
        <v>0</v>
      </c>
      <c r="R620" s="2" t="inlineStr"/>
    </row>
    <row r="621" ht="15" customHeight="1">
      <c r="A621" t="inlineStr">
        <is>
          <t>A 26254-2025</t>
        </is>
      </c>
      <c r="B621" s="1" t="n">
        <v>45805</v>
      </c>
      <c r="C621" s="1" t="n">
        <v>45965</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31355-2023</t>
        </is>
      </c>
      <c r="B622" s="1" t="n">
        <v>45114.49505787037</v>
      </c>
      <c r="C622" s="1" t="n">
        <v>45965</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24283-2023</t>
        </is>
      </c>
      <c r="B623" s="1" t="n">
        <v>45079.87827546296</v>
      </c>
      <c r="C623" s="1" t="n">
        <v>45965</v>
      </c>
      <c r="D623" t="inlineStr">
        <is>
          <t>KALMAR LÄN</t>
        </is>
      </c>
      <c r="E623" t="inlineStr">
        <is>
          <t>VIMMERBY</t>
        </is>
      </c>
      <c r="G623" t="n">
        <v>2</v>
      </c>
      <c r="H623" t="n">
        <v>0</v>
      </c>
      <c r="I623" t="n">
        <v>0</v>
      </c>
      <c r="J623" t="n">
        <v>0</v>
      </c>
      <c r="K623" t="n">
        <v>0</v>
      </c>
      <c r="L623" t="n">
        <v>0</v>
      </c>
      <c r="M623" t="n">
        <v>0</v>
      </c>
      <c r="N623" t="n">
        <v>0</v>
      </c>
      <c r="O623" t="n">
        <v>0</v>
      </c>
      <c r="P623" t="n">
        <v>0</v>
      </c>
      <c r="Q623" t="n">
        <v>0</v>
      </c>
      <c r="R623" s="2" t="inlineStr"/>
    </row>
    <row r="624" ht="15" customHeight="1">
      <c r="A624" t="inlineStr">
        <is>
          <t>A 18330-2023</t>
        </is>
      </c>
      <c r="B624" s="1" t="n">
        <v>45041</v>
      </c>
      <c r="C624" s="1" t="n">
        <v>45965</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26207-2025</t>
        </is>
      </c>
      <c r="B625" s="1" t="n">
        <v>45805.52983796296</v>
      </c>
      <c r="C625" s="1" t="n">
        <v>45965</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58100-2024</t>
        </is>
      </c>
      <c r="B626" s="1" t="n">
        <v>45632.36706018518</v>
      </c>
      <c r="C626" s="1" t="n">
        <v>45965</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44745.84396990741</v>
      </c>
      <c r="C627" s="1" t="n">
        <v>45965</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59598-2023</t>
        </is>
      </c>
      <c r="B628" s="1" t="n">
        <v>45254.62489583333</v>
      </c>
      <c r="C628" s="1" t="n">
        <v>45965</v>
      </c>
      <c r="D628" t="inlineStr">
        <is>
          <t>KALMAR LÄN</t>
        </is>
      </c>
      <c r="E628" t="inlineStr">
        <is>
          <t>VIMMERBY</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30920-2023</t>
        </is>
      </c>
      <c r="B629" s="1" t="n">
        <v>45113.43921296296</v>
      </c>
      <c r="C629" s="1" t="n">
        <v>45965</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38969-2023</t>
        </is>
      </c>
      <c r="B630" s="1" t="n">
        <v>45163.63621527778</v>
      </c>
      <c r="C630" s="1" t="n">
        <v>45965</v>
      </c>
      <c r="D630" t="inlineStr">
        <is>
          <t>KALMAR LÄN</t>
        </is>
      </c>
      <c r="E630" t="inlineStr">
        <is>
          <t>VIMMERBY</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53752-2024</t>
        </is>
      </c>
      <c r="B631" s="1" t="n">
        <v>45615.48927083334</v>
      </c>
      <c r="C631" s="1" t="n">
        <v>45965</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48408-2025</t>
        </is>
      </c>
      <c r="B632" s="1" t="n">
        <v>45934.40527777778</v>
      </c>
      <c r="C632" s="1" t="n">
        <v>45965</v>
      </c>
      <c r="D632" t="inlineStr">
        <is>
          <t>KALMAR LÄN</t>
        </is>
      </c>
      <c r="E632" t="inlineStr">
        <is>
          <t>VIMMERBY</t>
        </is>
      </c>
      <c r="G632" t="n">
        <v>2.4</v>
      </c>
      <c r="H632" t="n">
        <v>0</v>
      </c>
      <c r="I632" t="n">
        <v>0</v>
      </c>
      <c r="J632" t="n">
        <v>0</v>
      </c>
      <c r="K632" t="n">
        <v>0</v>
      </c>
      <c r="L632" t="n">
        <v>0</v>
      </c>
      <c r="M632" t="n">
        <v>0</v>
      </c>
      <c r="N632" t="n">
        <v>0</v>
      </c>
      <c r="O632" t="n">
        <v>0</v>
      </c>
      <c r="P632" t="n">
        <v>0</v>
      </c>
      <c r="Q632" t="n">
        <v>0</v>
      </c>
      <c r="R632" s="2" t="inlineStr"/>
    </row>
    <row r="633" ht="15" customHeight="1">
      <c r="A633" t="inlineStr">
        <is>
          <t>A 48409-2025</t>
        </is>
      </c>
      <c r="B633" s="1" t="n">
        <v>45934.41387731482</v>
      </c>
      <c r="C633" s="1" t="n">
        <v>45965</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40929-2022</t>
        </is>
      </c>
      <c r="B634" s="1" t="n">
        <v>44825.4336574074</v>
      </c>
      <c r="C634" s="1" t="n">
        <v>45965</v>
      </c>
      <c r="D634" t="inlineStr">
        <is>
          <t>KALMAR LÄN</t>
        </is>
      </c>
      <c r="E634" t="inlineStr">
        <is>
          <t>VIMMERBY</t>
        </is>
      </c>
      <c r="G634" t="n">
        <v>2.5</v>
      </c>
      <c r="H634" t="n">
        <v>0</v>
      </c>
      <c r="I634" t="n">
        <v>0</v>
      </c>
      <c r="J634" t="n">
        <v>0</v>
      </c>
      <c r="K634" t="n">
        <v>0</v>
      </c>
      <c r="L634" t="n">
        <v>0</v>
      </c>
      <c r="M634" t="n">
        <v>0</v>
      </c>
      <c r="N634" t="n">
        <v>0</v>
      </c>
      <c r="O634" t="n">
        <v>0</v>
      </c>
      <c r="P634" t="n">
        <v>0</v>
      </c>
      <c r="Q634" t="n">
        <v>0</v>
      </c>
      <c r="R634" s="2" t="inlineStr"/>
    </row>
    <row r="635" ht="15" customHeight="1">
      <c r="A635" t="inlineStr">
        <is>
          <t>A 58728-2024</t>
        </is>
      </c>
      <c r="B635" s="1" t="n">
        <v>45635.66695601852</v>
      </c>
      <c r="C635" s="1" t="n">
        <v>45965</v>
      </c>
      <c r="D635" t="inlineStr">
        <is>
          <t>KALMAR LÄN</t>
        </is>
      </c>
      <c r="E635" t="inlineStr">
        <is>
          <t>VIMMERBY</t>
        </is>
      </c>
      <c r="G635" t="n">
        <v>0.4</v>
      </c>
      <c r="H635" t="n">
        <v>0</v>
      </c>
      <c r="I635" t="n">
        <v>0</v>
      </c>
      <c r="J635" t="n">
        <v>0</v>
      </c>
      <c r="K635" t="n">
        <v>0</v>
      </c>
      <c r="L635" t="n">
        <v>0</v>
      </c>
      <c r="M635" t="n">
        <v>0</v>
      </c>
      <c r="N635" t="n">
        <v>0</v>
      </c>
      <c r="O635" t="n">
        <v>0</v>
      </c>
      <c r="P635" t="n">
        <v>0</v>
      </c>
      <c r="Q635" t="n">
        <v>0</v>
      </c>
      <c r="R635" s="2" t="inlineStr"/>
    </row>
    <row r="636" ht="15" customHeight="1">
      <c r="A636" t="inlineStr">
        <is>
          <t>A 43242-2024</t>
        </is>
      </c>
      <c r="B636" s="1" t="n">
        <v>45568.30189814815</v>
      </c>
      <c r="C636" s="1" t="n">
        <v>45965</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16983-2023</t>
        </is>
      </c>
      <c r="B637" s="1" t="n">
        <v>45033.76043981482</v>
      </c>
      <c r="C637" s="1" t="n">
        <v>45965</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33380-2023</t>
        </is>
      </c>
      <c r="B638" s="1" t="n">
        <v>45128</v>
      </c>
      <c r="C638" s="1" t="n">
        <v>45965</v>
      </c>
      <c r="D638" t="inlineStr">
        <is>
          <t>KALMAR LÄN</t>
        </is>
      </c>
      <c r="E638" t="inlineStr">
        <is>
          <t>VIMMERBY</t>
        </is>
      </c>
      <c r="G638" t="n">
        <v>5.2</v>
      </c>
      <c r="H638" t="n">
        <v>0</v>
      </c>
      <c r="I638" t="n">
        <v>0</v>
      </c>
      <c r="J638" t="n">
        <v>0</v>
      </c>
      <c r="K638" t="n">
        <v>0</v>
      </c>
      <c r="L638" t="n">
        <v>0</v>
      </c>
      <c r="M638" t="n">
        <v>0</v>
      </c>
      <c r="N638" t="n">
        <v>0</v>
      </c>
      <c r="O638" t="n">
        <v>0</v>
      </c>
      <c r="P638" t="n">
        <v>0</v>
      </c>
      <c r="Q638" t="n">
        <v>0</v>
      </c>
      <c r="R638" s="2" t="inlineStr"/>
    </row>
    <row r="639" ht="15" customHeight="1">
      <c r="A639" t="inlineStr">
        <is>
          <t>A 46144-2023</t>
        </is>
      </c>
      <c r="B639" s="1" t="n">
        <v>45196.57247685185</v>
      </c>
      <c r="C639" s="1" t="n">
        <v>45965</v>
      </c>
      <c r="D639" t="inlineStr">
        <is>
          <t>KALMAR LÄN</t>
        </is>
      </c>
      <c r="E639" t="inlineStr">
        <is>
          <t>VIMMERBY</t>
        </is>
      </c>
      <c r="G639" t="n">
        <v>6.5</v>
      </c>
      <c r="H639" t="n">
        <v>0</v>
      </c>
      <c r="I639" t="n">
        <v>0</v>
      </c>
      <c r="J639" t="n">
        <v>0</v>
      </c>
      <c r="K639" t="n">
        <v>0</v>
      </c>
      <c r="L639" t="n">
        <v>0</v>
      </c>
      <c r="M639" t="n">
        <v>0</v>
      </c>
      <c r="N639" t="n">
        <v>0</v>
      </c>
      <c r="O639" t="n">
        <v>0</v>
      </c>
      <c r="P639" t="n">
        <v>0</v>
      </c>
      <c r="Q639" t="n">
        <v>0</v>
      </c>
      <c r="R639" s="2" t="inlineStr"/>
    </row>
    <row r="640" ht="15" customHeight="1">
      <c r="A640" t="inlineStr">
        <is>
          <t>A 6405-2025</t>
        </is>
      </c>
      <c r="B640" s="1" t="n">
        <v>45699.45392361111</v>
      </c>
      <c r="C640" s="1" t="n">
        <v>45965</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36843-2023</t>
        </is>
      </c>
      <c r="B641" s="1" t="n">
        <v>45154.49831018518</v>
      </c>
      <c r="C641" s="1" t="n">
        <v>45965</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54787-2023</t>
        </is>
      </c>
      <c r="B642" s="1" t="n">
        <v>45236</v>
      </c>
      <c r="C642" s="1" t="n">
        <v>45965</v>
      </c>
      <c r="D642" t="inlineStr">
        <is>
          <t>KALMAR LÄN</t>
        </is>
      </c>
      <c r="E642" t="inlineStr">
        <is>
          <t>VIMMERBY</t>
        </is>
      </c>
      <c r="G642" t="n">
        <v>1</v>
      </c>
      <c r="H642" t="n">
        <v>0</v>
      </c>
      <c r="I642" t="n">
        <v>0</v>
      </c>
      <c r="J642" t="n">
        <v>0</v>
      </c>
      <c r="K642" t="n">
        <v>0</v>
      </c>
      <c r="L642" t="n">
        <v>0</v>
      </c>
      <c r="M642" t="n">
        <v>0</v>
      </c>
      <c r="N642" t="n">
        <v>0</v>
      </c>
      <c r="O642" t="n">
        <v>0</v>
      </c>
      <c r="P642" t="n">
        <v>0</v>
      </c>
      <c r="Q642" t="n">
        <v>0</v>
      </c>
      <c r="R642" s="2" t="inlineStr"/>
    </row>
    <row r="643" ht="15" customHeight="1">
      <c r="A643" t="inlineStr">
        <is>
          <t>A 15715-2022</t>
        </is>
      </c>
      <c r="B643" s="1" t="n">
        <v>44663</v>
      </c>
      <c r="C643" s="1" t="n">
        <v>45965</v>
      </c>
      <c r="D643" t="inlineStr">
        <is>
          <t>KALMAR LÄN</t>
        </is>
      </c>
      <c r="E643" t="inlineStr">
        <is>
          <t>VIMMERBY</t>
        </is>
      </c>
      <c r="G643" t="n">
        <v>2.3</v>
      </c>
      <c r="H643" t="n">
        <v>0</v>
      </c>
      <c r="I643" t="n">
        <v>0</v>
      </c>
      <c r="J643" t="n">
        <v>0</v>
      </c>
      <c r="K643" t="n">
        <v>0</v>
      </c>
      <c r="L643" t="n">
        <v>0</v>
      </c>
      <c r="M643" t="n">
        <v>0</v>
      </c>
      <c r="N643" t="n">
        <v>0</v>
      </c>
      <c r="O643" t="n">
        <v>0</v>
      </c>
      <c r="P643" t="n">
        <v>0</v>
      </c>
      <c r="Q643" t="n">
        <v>0</v>
      </c>
      <c r="R643" s="2" t="inlineStr"/>
    </row>
    <row r="644" ht="15" customHeight="1">
      <c r="A644" t="inlineStr">
        <is>
          <t>A 57486-2024</t>
        </is>
      </c>
      <c r="B644" s="1" t="n">
        <v>45630.35827546296</v>
      </c>
      <c r="C644" s="1" t="n">
        <v>45965</v>
      </c>
      <c r="D644" t="inlineStr">
        <is>
          <t>KALMAR LÄN</t>
        </is>
      </c>
      <c r="E644" t="inlineStr">
        <is>
          <t>VIMMERBY</t>
        </is>
      </c>
      <c r="G644" t="n">
        <v>0.4</v>
      </c>
      <c r="H644" t="n">
        <v>0</v>
      </c>
      <c r="I644" t="n">
        <v>0</v>
      </c>
      <c r="J644" t="n">
        <v>0</v>
      </c>
      <c r="K644" t="n">
        <v>0</v>
      </c>
      <c r="L644" t="n">
        <v>0</v>
      </c>
      <c r="M644" t="n">
        <v>0</v>
      </c>
      <c r="N644" t="n">
        <v>0</v>
      </c>
      <c r="O644" t="n">
        <v>0</v>
      </c>
      <c r="P644" t="n">
        <v>0</v>
      </c>
      <c r="Q644" t="n">
        <v>0</v>
      </c>
      <c r="R644" s="2" t="inlineStr"/>
    </row>
    <row r="645" ht="15" customHeight="1">
      <c r="A645" t="inlineStr">
        <is>
          <t>A 43774-2023</t>
        </is>
      </c>
      <c r="B645" s="1" t="n">
        <v>45187</v>
      </c>
      <c r="C645" s="1" t="n">
        <v>45965</v>
      </c>
      <c r="D645" t="inlineStr">
        <is>
          <t>KALMAR LÄN</t>
        </is>
      </c>
      <c r="E645" t="inlineStr">
        <is>
          <t>VIMMERBY</t>
        </is>
      </c>
      <c r="G645" t="n">
        <v>3.4</v>
      </c>
      <c r="H645" t="n">
        <v>0</v>
      </c>
      <c r="I645" t="n">
        <v>0</v>
      </c>
      <c r="J645" t="n">
        <v>0</v>
      </c>
      <c r="K645" t="n">
        <v>0</v>
      </c>
      <c r="L645" t="n">
        <v>0</v>
      </c>
      <c r="M645" t="n">
        <v>0</v>
      </c>
      <c r="N645" t="n">
        <v>0</v>
      </c>
      <c r="O645" t="n">
        <v>0</v>
      </c>
      <c r="P645" t="n">
        <v>0</v>
      </c>
      <c r="Q645" t="n">
        <v>0</v>
      </c>
      <c r="R645" s="2" t="inlineStr"/>
    </row>
    <row r="646" ht="15" customHeight="1">
      <c r="A646" t="inlineStr">
        <is>
          <t>A 66295-2020</t>
        </is>
      </c>
      <c r="B646" s="1" t="n">
        <v>44176</v>
      </c>
      <c r="C646" s="1" t="n">
        <v>45965</v>
      </c>
      <c r="D646" t="inlineStr">
        <is>
          <t>KALMAR LÄN</t>
        </is>
      </c>
      <c r="E646" t="inlineStr">
        <is>
          <t>VIMMERBY</t>
        </is>
      </c>
      <c r="G646" t="n">
        <v>4.1</v>
      </c>
      <c r="H646" t="n">
        <v>0</v>
      </c>
      <c r="I646" t="n">
        <v>0</v>
      </c>
      <c r="J646" t="n">
        <v>0</v>
      </c>
      <c r="K646" t="n">
        <v>0</v>
      </c>
      <c r="L646" t="n">
        <v>0</v>
      </c>
      <c r="M646" t="n">
        <v>0</v>
      </c>
      <c r="N646" t="n">
        <v>0</v>
      </c>
      <c r="O646" t="n">
        <v>0</v>
      </c>
      <c r="P646" t="n">
        <v>0</v>
      </c>
      <c r="Q646" t="n">
        <v>0</v>
      </c>
      <c r="R646" s="2" t="inlineStr"/>
    </row>
    <row r="647" ht="15" customHeight="1">
      <c r="A647" t="inlineStr">
        <is>
          <t>A 43705-2023</t>
        </is>
      </c>
      <c r="B647" s="1" t="n">
        <v>45187.42854166667</v>
      </c>
      <c r="C647" s="1" t="n">
        <v>45965</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7932-2025</t>
        </is>
      </c>
      <c r="B648" s="1" t="n">
        <v>45707.3793287037</v>
      </c>
      <c r="C648" s="1" t="n">
        <v>45965</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13532-2025</t>
        </is>
      </c>
      <c r="B649" s="1" t="n">
        <v>45736.50743055555</v>
      </c>
      <c r="C649" s="1" t="n">
        <v>45965</v>
      </c>
      <c r="D649" t="inlineStr">
        <is>
          <t>KALMAR LÄN</t>
        </is>
      </c>
      <c r="E649" t="inlineStr">
        <is>
          <t>VIMMERBY</t>
        </is>
      </c>
      <c r="G649" t="n">
        <v>3.6</v>
      </c>
      <c r="H649" t="n">
        <v>0</v>
      </c>
      <c r="I649" t="n">
        <v>0</v>
      </c>
      <c r="J649" t="n">
        <v>0</v>
      </c>
      <c r="K649" t="n">
        <v>0</v>
      </c>
      <c r="L649" t="n">
        <v>0</v>
      </c>
      <c r="M649" t="n">
        <v>0</v>
      </c>
      <c r="N649" t="n">
        <v>0</v>
      </c>
      <c r="O649" t="n">
        <v>0</v>
      </c>
      <c r="P649" t="n">
        <v>0</v>
      </c>
      <c r="Q649" t="n">
        <v>0</v>
      </c>
      <c r="R649" s="2" t="inlineStr"/>
    </row>
    <row r="650" ht="15" customHeight="1">
      <c r="A650" t="inlineStr">
        <is>
          <t>A 39736-2025</t>
        </is>
      </c>
      <c r="B650" s="1" t="n">
        <v>45891</v>
      </c>
      <c r="C650" s="1" t="n">
        <v>45965</v>
      </c>
      <c r="D650" t="inlineStr">
        <is>
          <t>KALMAR LÄN</t>
        </is>
      </c>
      <c r="E650" t="inlineStr">
        <is>
          <t>VIMMERBY</t>
        </is>
      </c>
      <c r="G650" t="n">
        <v>12.8</v>
      </c>
      <c r="H650" t="n">
        <v>0</v>
      </c>
      <c r="I650" t="n">
        <v>0</v>
      </c>
      <c r="J650" t="n">
        <v>0</v>
      </c>
      <c r="K650" t="n">
        <v>0</v>
      </c>
      <c r="L650" t="n">
        <v>0</v>
      </c>
      <c r="M650" t="n">
        <v>0</v>
      </c>
      <c r="N650" t="n">
        <v>0</v>
      </c>
      <c r="O650" t="n">
        <v>0</v>
      </c>
      <c r="P650" t="n">
        <v>0</v>
      </c>
      <c r="Q650" t="n">
        <v>0</v>
      </c>
      <c r="R650" s="2" t="inlineStr"/>
    </row>
    <row r="651" ht="15" customHeight="1">
      <c r="A651" t="inlineStr">
        <is>
          <t>A 65049-2020</t>
        </is>
      </c>
      <c r="B651" s="1" t="n">
        <v>44172</v>
      </c>
      <c r="C651" s="1" t="n">
        <v>45965</v>
      </c>
      <c r="D651" t="inlineStr">
        <is>
          <t>KALMAR LÄN</t>
        </is>
      </c>
      <c r="E651" t="inlineStr">
        <is>
          <t>VIMMERBY</t>
        </is>
      </c>
      <c r="G651" t="n">
        <v>2.3</v>
      </c>
      <c r="H651" t="n">
        <v>0</v>
      </c>
      <c r="I651" t="n">
        <v>0</v>
      </c>
      <c r="J651" t="n">
        <v>0</v>
      </c>
      <c r="K651" t="n">
        <v>0</v>
      </c>
      <c r="L651" t="n">
        <v>0</v>
      </c>
      <c r="M651" t="n">
        <v>0</v>
      </c>
      <c r="N651" t="n">
        <v>0</v>
      </c>
      <c r="O651" t="n">
        <v>0</v>
      </c>
      <c r="P651" t="n">
        <v>0</v>
      </c>
      <c r="Q651" t="n">
        <v>0</v>
      </c>
      <c r="R651" s="2" t="inlineStr"/>
    </row>
    <row r="652" ht="15" customHeight="1">
      <c r="A652" t="inlineStr">
        <is>
          <t>A 48723-2025</t>
        </is>
      </c>
      <c r="B652" s="1" t="n">
        <v>45936.65121527778</v>
      </c>
      <c r="C652" s="1" t="n">
        <v>45965</v>
      </c>
      <c r="D652" t="inlineStr">
        <is>
          <t>KALMAR LÄN</t>
        </is>
      </c>
      <c r="E652" t="inlineStr">
        <is>
          <t>VIMMERBY</t>
        </is>
      </c>
      <c r="G652" t="n">
        <v>3</v>
      </c>
      <c r="H652" t="n">
        <v>0</v>
      </c>
      <c r="I652" t="n">
        <v>0</v>
      </c>
      <c r="J652" t="n">
        <v>0</v>
      </c>
      <c r="K652" t="n">
        <v>0</v>
      </c>
      <c r="L652" t="n">
        <v>0</v>
      </c>
      <c r="M652" t="n">
        <v>0</v>
      </c>
      <c r="N652" t="n">
        <v>0</v>
      </c>
      <c r="O652" t="n">
        <v>0</v>
      </c>
      <c r="P652" t="n">
        <v>0</v>
      </c>
      <c r="Q652" t="n">
        <v>0</v>
      </c>
      <c r="R652" s="2" t="inlineStr"/>
    </row>
    <row r="653" ht="15" customHeight="1">
      <c r="A653" t="inlineStr">
        <is>
          <t>A 44423-2023</t>
        </is>
      </c>
      <c r="B653" s="1" t="n">
        <v>45189</v>
      </c>
      <c r="C653" s="1" t="n">
        <v>45965</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20-2025</t>
        </is>
      </c>
      <c r="B654" s="1" t="n">
        <v>45658.80232638889</v>
      </c>
      <c r="C654" s="1" t="n">
        <v>45965</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23-2025</t>
        </is>
      </c>
      <c r="B655" s="1" t="n">
        <v>45658.80827546296</v>
      </c>
      <c r="C655" s="1" t="n">
        <v>45965</v>
      </c>
      <c r="D655" t="inlineStr">
        <is>
          <t>KALMAR LÄN</t>
        </is>
      </c>
      <c r="E655" t="inlineStr">
        <is>
          <t>VIMMERBY</t>
        </is>
      </c>
      <c r="G655" t="n">
        <v>1.8</v>
      </c>
      <c r="H655" t="n">
        <v>0</v>
      </c>
      <c r="I655" t="n">
        <v>0</v>
      </c>
      <c r="J655" t="n">
        <v>0</v>
      </c>
      <c r="K655" t="n">
        <v>0</v>
      </c>
      <c r="L655" t="n">
        <v>0</v>
      </c>
      <c r="M655" t="n">
        <v>0</v>
      </c>
      <c r="N655" t="n">
        <v>0</v>
      </c>
      <c r="O655" t="n">
        <v>0</v>
      </c>
      <c r="P655" t="n">
        <v>0</v>
      </c>
      <c r="Q655" t="n">
        <v>0</v>
      </c>
      <c r="R655" s="2" t="inlineStr"/>
    </row>
    <row r="656" ht="15" customHeight="1">
      <c r="A656" t="inlineStr">
        <is>
          <t>A 21496-2023</t>
        </is>
      </c>
      <c r="B656" s="1" t="n">
        <v>45063.49936342592</v>
      </c>
      <c r="C656" s="1" t="n">
        <v>45965</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28290-2025</t>
        </is>
      </c>
      <c r="B657" s="1" t="n">
        <v>45818.59261574074</v>
      </c>
      <c r="C657" s="1" t="n">
        <v>45965</v>
      </c>
      <c r="D657" t="inlineStr">
        <is>
          <t>KALMAR LÄN</t>
        </is>
      </c>
      <c r="E657" t="inlineStr">
        <is>
          <t>VIMMERBY</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48712-2025</t>
        </is>
      </c>
      <c r="B658" s="1" t="n">
        <v>45936.63373842592</v>
      </c>
      <c r="C658" s="1" t="n">
        <v>45965</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28280-2025</t>
        </is>
      </c>
      <c r="B659" s="1" t="n">
        <v>45818.5862037037</v>
      </c>
      <c r="C659" s="1" t="n">
        <v>45965</v>
      </c>
      <c r="D659" t="inlineStr">
        <is>
          <t>KALMAR LÄN</t>
        </is>
      </c>
      <c r="E659" t="inlineStr">
        <is>
          <t>VIMMERBY</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28286-2025</t>
        </is>
      </c>
      <c r="B660" s="1" t="n">
        <v>45818.58993055556</v>
      </c>
      <c r="C660" s="1" t="n">
        <v>45965</v>
      </c>
      <c r="D660" t="inlineStr">
        <is>
          <t>KALMAR LÄN</t>
        </is>
      </c>
      <c r="E660" t="inlineStr">
        <is>
          <t>VIMMERBY</t>
        </is>
      </c>
      <c r="F660" t="inlineStr">
        <is>
          <t>Sveaskog</t>
        </is>
      </c>
      <c r="G660" t="n">
        <v>8</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44769.45805555556</v>
      </c>
      <c r="C661" s="1" t="n">
        <v>45965</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72701-2021</t>
        </is>
      </c>
      <c r="B662" s="1" t="n">
        <v>44546</v>
      </c>
      <c r="C662" s="1" t="n">
        <v>45965</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52294-2023</t>
        </is>
      </c>
      <c r="B663" s="1" t="n">
        <v>45224.60075231481</v>
      </c>
      <c r="C663" s="1" t="n">
        <v>45965</v>
      </c>
      <c r="D663" t="inlineStr">
        <is>
          <t>KALMAR LÄN</t>
        </is>
      </c>
      <c r="E663" t="inlineStr">
        <is>
          <t>VIMMERBY</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28282-2025</t>
        </is>
      </c>
      <c r="B664" s="1" t="n">
        <v>45818.58769675926</v>
      </c>
      <c r="C664" s="1" t="n">
        <v>45965</v>
      </c>
      <c r="D664" t="inlineStr">
        <is>
          <t>KALMAR LÄN</t>
        </is>
      </c>
      <c r="E664" t="inlineStr">
        <is>
          <t>VIMMERBY</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28294-2025</t>
        </is>
      </c>
      <c r="B665" s="1" t="n">
        <v>45818.595625</v>
      </c>
      <c r="C665" s="1" t="n">
        <v>45965</v>
      </c>
      <c r="D665" t="inlineStr">
        <is>
          <t>KALMAR LÄN</t>
        </is>
      </c>
      <c r="E665" t="inlineStr">
        <is>
          <t>VIMMERBY</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61355-2024</t>
        </is>
      </c>
      <c r="B666" s="1" t="n">
        <v>45646.38200231481</v>
      </c>
      <c r="C666" s="1" t="n">
        <v>45965</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39803-2025</t>
        </is>
      </c>
      <c r="B667" s="1" t="n">
        <v>45891.50525462963</v>
      </c>
      <c r="C667" s="1" t="n">
        <v>45965</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1978-2024</t>
        </is>
      </c>
      <c r="B668" s="1" t="n">
        <v>45308.59001157407</v>
      </c>
      <c r="C668" s="1" t="n">
        <v>45965</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6399-2025</t>
        </is>
      </c>
      <c r="B669" s="1" t="n">
        <v>45699.44291666667</v>
      </c>
      <c r="C669" s="1" t="n">
        <v>45965</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41311-2023</t>
        </is>
      </c>
      <c r="B670" s="1" t="n">
        <v>45174</v>
      </c>
      <c r="C670" s="1" t="n">
        <v>45965</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39889-2025</t>
        </is>
      </c>
      <c r="B671" s="1" t="n">
        <v>45891</v>
      </c>
      <c r="C671" s="1" t="n">
        <v>45965</v>
      </c>
      <c r="D671" t="inlineStr">
        <is>
          <t>KALMAR LÄN</t>
        </is>
      </c>
      <c r="E671" t="inlineStr">
        <is>
          <t>VIMMERBY</t>
        </is>
      </c>
      <c r="G671" t="n">
        <v>4.5</v>
      </c>
      <c r="H671" t="n">
        <v>0</v>
      </c>
      <c r="I671" t="n">
        <v>0</v>
      </c>
      <c r="J671" t="n">
        <v>0</v>
      </c>
      <c r="K671" t="n">
        <v>0</v>
      </c>
      <c r="L671" t="n">
        <v>0</v>
      </c>
      <c r="M671" t="n">
        <v>0</v>
      </c>
      <c r="N671" t="n">
        <v>0</v>
      </c>
      <c r="O671" t="n">
        <v>0</v>
      </c>
      <c r="P671" t="n">
        <v>0</v>
      </c>
      <c r="Q671" t="n">
        <v>0</v>
      </c>
      <c r="R671" s="2" t="inlineStr"/>
    </row>
    <row r="672" ht="15" customHeight="1">
      <c r="A672" t="inlineStr">
        <is>
          <t>A 48299-2025</t>
        </is>
      </c>
      <c r="B672" s="1" t="n">
        <v>45933.60982638889</v>
      </c>
      <c r="C672" s="1" t="n">
        <v>45965</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28713-2025</t>
        </is>
      </c>
      <c r="B673" s="1" t="n">
        <v>45820.33930555556</v>
      </c>
      <c r="C673" s="1" t="n">
        <v>45965</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10785-2025</t>
        </is>
      </c>
      <c r="B674" s="1" t="n">
        <v>45722.48634259259</v>
      </c>
      <c r="C674" s="1" t="n">
        <v>45965</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28712-2025</t>
        </is>
      </c>
      <c r="B675" s="1" t="n">
        <v>45820.33708333333</v>
      </c>
      <c r="C675" s="1" t="n">
        <v>45965</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28714-2025</t>
        </is>
      </c>
      <c r="B676" s="1" t="n">
        <v>45820.34128472222</v>
      </c>
      <c r="C676" s="1" t="n">
        <v>45965</v>
      </c>
      <c r="D676" t="inlineStr">
        <is>
          <t>KALMAR LÄN</t>
        </is>
      </c>
      <c r="E676" t="inlineStr">
        <is>
          <t>VIMMERBY</t>
        </is>
      </c>
      <c r="G676" t="n">
        <v>1.8</v>
      </c>
      <c r="H676" t="n">
        <v>0</v>
      </c>
      <c r="I676" t="n">
        <v>0</v>
      </c>
      <c r="J676" t="n">
        <v>0</v>
      </c>
      <c r="K676" t="n">
        <v>0</v>
      </c>
      <c r="L676" t="n">
        <v>0</v>
      </c>
      <c r="M676" t="n">
        <v>0</v>
      </c>
      <c r="N676" t="n">
        <v>0</v>
      </c>
      <c r="O676" t="n">
        <v>0</v>
      </c>
      <c r="P676" t="n">
        <v>0</v>
      </c>
      <c r="Q676" t="n">
        <v>0</v>
      </c>
      <c r="R676" s="2" t="inlineStr"/>
    </row>
    <row r="677" ht="15" customHeight="1">
      <c r="A677" t="inlineStr">
        <is>
          <t>A 28620-2025</t>
        </is>
      </c>
      <c r="B677" s="1" t="n">
        <v>45819.61060185185</v>
      </c>
      <c r="C677" s="1" t="n">
        <v>45965</v>
      </c>
      <c r="D677" t="inlineStr">
        <is>
          <t>KALMAR LÄN</t>
        </is>
      </c>
      <c r="E677" t="inlineStr">
        <is>
          <t>VIMMERBY</t>
        </is>
      </c>
      <c r="G677" t="n">
        <v>5.6</v>
      </c>
      <c r="H677" t="n">
        <v>0</v>
      </c>
      <c r="I677" t="n">
        <v>0</v>
      </c>
      <c r="J677" t="n">
        <v>0</v>
      </c>
      <c r="K677" t="n">
        <v>0</v>
      </c>
      <c r="L677" t="n">
        <v>0</v>
      </c>
      <c r="M677" t="n">
        <v>0</v>
      </c>
      <c r="N677" t="n">
        <v>0</v>
      </c>
      <c r="O677" t="n">
        <v>0</v>
      </c>
      <c r="P677" t="n">
        <v>0</v>
      </c>
      <c r="Q677" t="n">
        <v>0</v>
      </c>
      <c r="R677" s="2" t="inlineStr"/>
    </row>
    <row r="678" ht="15" customHeight="1">
      <c r="A678" t="inlineStr">
        <is>
          <t>A 18020-2025</t>
        </is>
      </c>
      <c r="B678" s="1" t="n">
        <v>45761.4437962963</v>
      </c>
      <c r="C678" s="1" t="n">
        <v>45965</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585-2024</t>
        </is>
      </c>
      <c r="B679" s="1" t="n">
        <v>45299.62576388889</v>
      </c>
      <c r="C679" s="1" t="n">
        <v>45965</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6802-2025</t>
        </is>
      </c>
      <c r="B680" s="1" t="n">
        <v>45700.68289351852</v>
      </c>
      <c r="C680" s="1" t="n">
        <v>45965</v>
      </c>
      <c r="D680" t="inlineStr">
        <is>
          <t>KALMAR LÄN</t>
        </is>
      </c>
      <c r="E680" t="inlineStr">
        <is>
          <t>VIMMERBY</t>
        </is>
      </c>
      <c r="G680" t="n">
        <v>1.3</v>
      </c>
      <c r="H680" t="n">
        <v>0</v>
      </c>
      <c r="I680" t="n">
        <v>0</v>
      </c>
      <c r="J680" t="n">
        <v>0</v>
      </c>
      <c r="K680" t="n">
        <v>0</v>
      </c>
      <c r="L680" t="n">
        <v>0</v>
      </c>
      <c r="M680" t="n">
        <v>0</v>
      </c>
      <c r="N680" t="n">
        <v>0</v>
      </c>
      <c r="O680" t="n">
        <v>0</v>
      </c>
      <c r="P680" t="n">
        <v>0</v>
      </c>
      <c r="Q680" t="n">
        <v>0</v>
      </c>
      <c r="R680" s="2" t="inlineStr"/>
    </row>
    <row r="681" ht="15" customHeight="1">
      <c r="A681" t="inlineStr">
        <is>
          <t>A 29727-2025</t>
        </is>
      </c>
      <c r="B681" s="1" t="n">
        <v>45825.5796875</v>
      </c>
      <c r="C681" s="1" t="n">
        <v>45965</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29737-2025</t>
        </is>
      </c>
      <c r="B682" s="1" t="n">
        <v>45825.58672453704</v>
      </c>
      <c r="C682" s="1" t="n">
        <v>45965</v>
      </c>
      <c r="D682" t="inlineStr">
        <is>
          <t>KALMAR LÄN</t>
        </is>
      </c>
      <c r="E682" t="inlineStr">
        <is>
          <t>VIMMERBY</t>
        </is>
      </c>
      <c r="G682" t="n">
        <v>1.2</v>
      </c>
      <c r="H682" t="n">
        <v>0</v>
      </c>
      <c r="I682" t="n">
        <v>0</v>
      </c>
      <c r="J682" t="n">
        <v>0</v>
      </c>
      <c r="K682" t="n">
        <v>0</v>
      </c>
      <c r="L682" t="n">
        <v>0</v>
      </c>
      <c r="M682" t="n">
        <v>0</v>
      </c>
      <c r="N682" t="n">
        <v>0</v>
      </c>
      <c r="O682" t="n">
        <v>0</v>
      </c>
      <c r="P682" t="n">
        <v>0</v>
      </c>
      <c r="Q682" t="n">
        <v>0</v>
      </c>
      <c r="R682" s="2" t="inlineStr"/>
    </row>
    <row r="683" ht="15" customHeight="1">
      <c r="A683" t="inlineStr">
        <is>
          <t>A 56020-2024</t>
        </is>
      </c>
      <c r="B683" s="1" t="n">
        <v>45623.9525462963</v>
      </c>
      <c r="C683" s="1" t="n">
        <v>45965</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33842-2022</t>
        </is>
      </c>
      <c r="B684" s="1" t="n">
        <v>44790.49523148148</v>
      </c>
      <c r="C684" s="1" t="n">
        <v>45965</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60675-2023</t>
        </is>
      </c>
      <c r="B685" s="1" t="n">
        <v>45260.4716550926</v>
      </c>
      <c r="C685" s="1" t="n">
        <v>45965</v>
      </c>
      <c r="D685" t="inlineStr">
        <is>
          <t>KALMAR LÄN</t>
        </is>
      </c>
      <c r="E685" t="inlineStr">
        <is>
          <t>VIMMERBY</t>
        </is>
      </c>
      <c r="G685" t="n">
        <v>1.2</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45965</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19537-2022</t>
        </is>
      </c>
      <c r="B687" s="1" t="n">
        <v>44693.62822916666</v>
      </c>
      <c r="C687" s="1" t="n">
        <v>45965</v>
      </c>
      <c r="D687" t="inlineStr">
        <is>
          <t>KALMAR LÄN</t>
        </is>
      </c>
      <c r="E687" t="inlineStr">
        <is>
          <t>VIMMERBY</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57311-2023</t>
        </is>
      </c>
      <c r="B688" s="1" t="n">
        <v>45245.63574074074</v>
      </c>
      <c r="C688" s="1" t="n">
        <v>45965</v>
      </c>
      <c r="D688" t="inlineStr">
        <is>
          <t>KALMAR LÄN</t>
        </is>
      </c>
      <c r="E688" t="inlineStr">
        <is>
          <t>VIMMERBY</t>
        </is>
      </c>
      <c r="G688" t="n">
        <v>1.6</v>
      </c>
      <c r="H688" t="n">
        <v>0</v>
      </c>
      <c r="I688" t="n">
        <v>0</v>
      </c>
      <c r="J688" t="n">
        <v>0</v>
      </c>
      <c r="K688" t="n">
        <v>0</v>
      </c>
      <c r="L688" t="n">
        <v>0</v>
      </c>
      <c r="M688" t="n">
        <v>0</v>
      </c>
      <c r="N688" t="n">
        <v>0</v>
      </c>
      <c r="O688" t="n">
        <v>0</v>
      </c>
      <c r="P688" t="n">
        <v>0</v>
      </c>
      <c r="Q688" t="n">
        <v>0</v>
      </c>
      <c r="R688" s="2" t="inlineStr"/>
    </row>
    <row r="689" ht="15" customHeight="1">
      <c r="A689" t="inlineStr">
        <is>
          <t>A 64428-2023</t>
        </is>
      </c>
      <c r="B689" s="1" t="n">
        <v>45280.66769675926</v>
      </c>
      <c r="C689" s="1" t="n">
        <v>45965</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30293-2025</t>
        </is>
      </c>
      <c r="B690" s="1" t="n">
        <v>45827</v>
      </c>
      <c r="C690" s="1" t="n">
        <v>45965</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4527-2023</t>
        </is>
      </c>
      <c r="B691" s="1" t="n">
        <v>44956</v>
      </c>
      <c r="C691" s="1" t="n">
        <v>45965</v>
      </c>
      <c r="D691" t="inlineStr">
        <is>
          <t>KALMAR LÄN</t>
        </is>
      </c>
      <c r="E691" t="inlineStr">
        <is>
          <t>VIMMERBY</t>
        </is>
      </c>
      <c r="F691" t="inlineStr">
        <is>
          <t>Kommuner</t>
        </is>
      </c>
      <c r="G691" t="n">
        <v>8.5</v>
      </c>
      <c r="H691" t="n">
        <v>0</v>
      </c>
      <c r="I691" t="n">
        <v>0</v>
      </c>
      <c r="J691" t="n">
        <v>0</v>
      </c>
      <c r="K691" t="n">
        <v>0</v>
      </c>
      <c r="L691" t="n">
        <v>0</v>
      </c>
      <c r="M691" t="n">
        <v>0</v>
      </c>
      <c r="N691" t="n">
        <v>0</v>
      </c>
      <c r="O691" t="n">
        <v>0</v>
      </c>
      <c r="P691" t="n">
        <v>0</v>
      </c>
      <c r="Q691" t="n">
        <v>0</v>
      </c>
      <c r="R691" s="2" t="inlineStr"/>
    </row>
    <row r="692" ht="15" customHeight="1">
      <c r="A692" t="inlineStr">
        <is>
          <t>A 3268-2024</t>
        </is>
      </c>
      <c r="B692" s="1" t="n">
        <v>45317</v>
      </c>
      <c r="C692" s="1" t="n">
        <v>45965</v>
      </c>
      <c r="D692" t="inlineStr">
        <is>
          <t>KALMAR LÄN</t>
        </is>
      </c>
      <c r="E692" t="inlineStr">
        <is>
          <t>VIMMERBY</t>
        </is>
      </c>
      <c r="F692" t="inlineStr">
        <is>
          <t>Övriga Aktiebolag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51408-2023</t>
        </is>
      </c>
      <c r="B693" s="1" t="n">
        <v>45219.69356481481</v>
      </c>
      <c r="C693" s="1" t="n">
        <v>45965</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30290-2025</t>
        </is>
      </c>
      <c r="B694" s="1" t="n">
        <v>45827</v>
      </c>
      <c r="C694" s="1" t="n">
        <v>45965</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12480-2024</t>
        </is>
      </c>
      <c r="B695" s="1" t="n">
        <v>45379</v>
      </c>
      <c r="C695" s="1" t="n">
        <v>45965</v>
      </c>
      <c r="D695" t="inlineStr">
        <is>
          <t>KALMAR LÄN</t>
        </is>
      </c>
      <c r="E695" t="inlineStr">
        <is>
          <t>VIMMERBY</t>
        </is>
      </c>
      <c r="G695" t="n">
        <v>2.8</v>
      </c>
      <c r="H695" t="n">
        <v>0</v>
      </c>
      <c r="I695" t="n">
        <v>0</v>
      </c>
      <c r="J695" t="n">
        <v>0</v>
      </c>
      <c r="K695" t="n">
        <v>0</v>
      </c>
      <c r="L695" t="n">
        <v>0</v>
      </c>
      <c r="M695" t="n">
        <v>0</v>
      </c>
      <c r="N695" t="n">
        <v>0</v>
      </c>
      <c r="O695" t="n">
        <v>0</v>
      </c>
      <c r="P695" t="n">
        <v>0</v>
      </c>
      <c r="Q695" t="n">
        <v>0</v>
      </c>
      <c r="R695" s="2" t="inlineStr"/>
    </row>
    <row r="696" ht="15" customHeight="1">
      <c r="A696" t="inlineStr">
        <is>
          <t>A 52588-2023</t>
        </is>
      </c>
      <c r="B696" s="1" t="n">
        <v>45225.60192129629</v>
      </c>
      <c r="C696" s="1" t="n">
        <v>45965</v>
      </c>
      <c r="D696" t="inlineStr">
        <is>
          <t>KALMAR LÄN</t>
        </is>
      </c>
      <c r="E696" t="inlineStr">
        <is>
          <t>VIMMERBY</t>
        </is>
      </c>
      <c r="G696" t="n">
        <v>2.9</v>
      </c>
      <c r="H696" t="n">
        <v>0</v>
      </c>
      <c r="I696" t="n">
        <v>0</v>
      </c>
      <c r="J696" t="n">
        <v>0</v>
      </c>
      <c r="K696" t="n">
        <v>0</v>
      </c>
      <c r="L696" t="n">
        <v>0</v>
      </c>
      <c r="M696" t="n">
        <v>0</v>
      </c>
      <c r="N696" t="n">
        <v>0</v>
      </c>
      <c r="O696" t="n">
        <v>0</v>
      </c>
      <c r="P696" t="n">
        <v>0</v>
      </c>
      <c r="Q696" t="n">
        <v>0</v>
      </c>
      <c r="R696" s="2" t="inlineStr"/>
    </row>
    <row r="697" ht="15" customHeight="1">
      <c r="A697" t="inlineStr">
        <is>
          <t>A 30850-2025</t>
        </is>
      </c>
      <c r="B697" s="1" t="n">
        <v>45831</v>
      </c>
      <c r="C697" s="1" t="n">
        <v>45965</v>
      </c>
      <c r="D697" t="inlineStr">
        <is>
          <t>KALMAR LÄN</t>
        </is>
      </c>
      <c r="E697" t="inlineStr">
        <is>
          <t>VIMMERBY</t>
        </is>
      </c>
      <c r="G697" t="n">
        <v>2.7</v>
      </c>
      <c r="H697" t="n">
        <v>0</v>
      </c>
      <c r="I697" t="n">
        <v>0</v>
      </c>
      <c r="J697" t="n">
        <v>0</v>
      </c>
      <c r="K697" t="n">
        <v>0</v>
      </c>
      <c r="L697" t="n">
        <v>0</v>
      </c>
      <c r="M697" t="n">
        <v>0</v>
      </c>
      <c r="N697" t="n">
        <v>0</v>
      </c>
      <c r="O697" t="n">
        <v>0</v>
      </c>
      <c r="P697" t="n">
        <v>0</v>
      </c>
      <c r="Q697" t="n">
        <v>0</v>
      </c>
      <c r="R697" s="2" t="inlineStr"/>
    </row>
    <row r="698" ht="15" customHeight="1">
      <c r="A698" t="inlineStr">
        <is>
          <t>A 55236-2023</t>
        </is>
      </c>
      <c r="B698" s="1" t="n">
        <v>45237.63225694445</v>
      </c>
      <c r="C698" s="1" t="n">
        <v>45965</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55245-2023</t>
        </is>
      </c>
      <c r="B699" s="1" t="n">
        <v>45237.64408564815</v>
      </c>
      <c r="C699" s="1" t="n">
        <v>45965</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19111-2025</t>
        </is>
      </c>
      <c r="B700" s="1" t="n">
        <v>45768.65611111111</v>
      </c>
      <c r="C700" s="1" t="n">
        <v>45965</v>
      </c>
      <c r="D700" t="inlineStr">
        <is>
          <t>KALMAR LÄN</t>
        </is>
      </c>
      <c r="E700" t="inlineStr">
        <is>
          <t>VIMMERBY</t>
        </is>
      </c>
      <c r="G700" t="n">
        <v>6.2</v>
      </c>
      <c r="H700" t="n">
        <v>0</v>
      </c>
      <c r="I700" t="n">
        <v>0</v>
      </c>
      <c r="J700" t="n">
        <v>0</v>
      </c>
      <c r="K700" t="n">
        <v>0</v>
      </c>
      <c r="L700" t="n">
        <v>0</v>
      </c>
      <c r="M700" t="n">
        <v>0</v>
      </c>
      <c r="N700" t="n">
        <v>0</v>
      </c>
      <c r="O700" t="n">
        <v>0</v>
      </c>
      <c r="P700" t="n">
        <v>0</v>
      </c>
      <c r="Q700" t="n">
        <v>0</v>
      </c>
      <c r="R700" s="2" t="inlineStr"/>
    </row>
    <row r="701" ht="15" customHeight="1">
      <c r="A701" t="inlineStr">
        <is>
          <t>A 25370-2022</t>
        </is>
      </c>
      <c r="B701" s="1" t="n">
        <v>44732.3659837963</v>
      </c>
      <c r="C701" s="1" t="n">
        <v>45965</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30882-2025</t>
        </is>
      </c>
      <c r="B702" s="1" t="n">
        <v>45832.34540509259</v>
      </c>
      <c r="C702" s="1" t="n">
        <v>45965</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30971-2025</t>
        </is>
      </c>
      <c r="B703" s="1" t="n">
        <v>45832.46146990741</v>
      </c>
      <c r="C703" s="1" t="n">
        <v>45965</v>
      </c>
      <c r="D703" t="inlineStr">
        <is>
          <t>KALMAR LÄN</t>
        </is>
      </c>
      <c r="E703" t="inlineStr">
        <is>
          <t>VIMMERBY</t>
        </is>
      </c>
      <c r="G703" t="n">
        <v>1.2</v>
      </c>
      <c r="H703" t="n">
        <v>0</v>
      </c>
      <c r="I703" t="n">
        <v>0</v>
      </c>
      <c r="J703" t="n">
        <v>0</v>
      </c>
      <c r="K703" t="n">
        <v>0</v>
      </c>
      <c r="L703" t="n">
        <v>0</v>
      </c>
      <c r="M703" t="n">
        <v>0</v>
      </c>
      <c r="N703" t="n">
        <v>0</v>
      </c>
      <c r="O703" t="n">
        <v>0</v>
      </c>
      <c r="P703" t="n">
        <v>0</v>
      </c>
      <c r="Q703" t="n">
        <v>0</v>
      </c>
      <c r="R703" s="2" t="inlineStr"/>
    </row>
    <row r="704" ht="15" customHeight="1">
      <c r="A704" t="inlineStr">
        <is>
          <t>A 31552-2025</t>
        </is>
      </c>
      <c r="B704" s="1" t="n">
        <v>45833.64563657407</v>
      </c>
      <c r="C704" s="1" t="n">
        <v>45965</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31555-2025</t>
        </is>
      </c>
      <c r="B705" s="1" t="n">
        <v>45833.64814814815</v>
      </c>
      <c r="C705" s="1" t="n">
        <v>45965</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33838-2022</t>
        </is>
      </c>
      <c r="B706" s="1" t="n">
        <v>44790.49040509259</v>
      </c>
      <c r="C706" s="1" t="n">
        <v>45965</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4058-2024</t>
        </is>
      </c>
      <c r="B707" s="1" t="n">
        <v>45323.53744212963</v>
      </c>
      <c r="C707" s="1" t="n">
        <v>45965</v>
      </c>
      <c r="D707" t="inlineStr">
        <is>
          <t>KALMAR LÄN</t>
        </is>
      </c>
      <c r="E707" t="inlineStr">
        <is>
          <t>VIMMERBY</t>
        </is>
      </c>
      <c r="G707" t="n">
        <v>6.5</v>
      </c>
      <c r="H707" t="n">
        <v>0</v>
      </c>
      <c r="I707" t="n">
        <v>0</v>
      </c>
      <c r="J707" t="n">
        <v>0</v>
      </c>
      <c r="K707" t="n">
        <v>0</v>
      </c>
      <c r="L707" t="n">
        <v>0</v>
      </c>
      <c r="M707" t="n">
        <v>0</v>
      </c>
      <c r="N707" t="n">
        <v>0</v>
      </c>
      <c r="O707" t="n">
        <v>0</v>
      </c>
      <c r="P707" t="n">
        <v>0</v>
      </c>
      <c r="Q707" t="n">
        <v>0</v>
      </c>
      <c r="R707" s="2" t="inlineStr"/>
    </row>
    <row r="708" ht="15" customHeight="1">
      <c r="A708" t="inlineStr">
        <is>
          <t>A 36008-2024</t>
        </is>
      </c>
      <c r="B708" s="1" t="n">
        <v>45533.55362268518</v>
      </c>
      <c r="C708" s="1" t="n">
        <v>45965</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31870-2025</t>
        </is>
      </c>
      <c r="B709" s="1" t="n">
        <v>45834.64667824074</v>
      </c>
      <c r="C709" s="1" t="n">
        <v>45965</v>
      </c>
      <c r="D709" t="inlineStr">
        <is>
          <t>KALMAR LÄN</t>
        </is>
      </c>
      <c r="E709" t="inlineStr">
        <is>
          <t>VIMMERBY</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18669-2025</t>
        </is>
      </c>
      <c r="B710" s="1" t="n">
        <v>45763.59436342592</v>
      </c>
      <c r="C710" s="1" t="n">
        <v>45965</v>
      </c>
      <c r="D710" t="inlineStr">
        <is>
          <t>KALMAR LÄN</t>
        </is>
      </c>
      <c r="E710" t="inlineStr">
        <is>
          <t>VIMMERBY</t>
        </is>
      </c>
      <c r="G710" t="n">
        <v>2.7</v>
      </c>
      <c r="H710" t="n">
        <v>0</v>
      </c>
      <c r="I710" t="n">
        <v>0</v>
      </c>
      <c r="J710" t="n">
        <v>0</v>
      </c>
      <c r="K710" t="n">
        <v>0</v>
      </c>
      <c r="L710" t="n">
        <v>0</v>
      </c>
      <c r="M710" t="n">
        <v>0</v>
      </c>
      <c r="N710" t="n">
        <v>0</v>
      </c>
      <c r="O710" t="n">
        <v>0</v>
      </c>
      <c r="P710" t="n">
        <v>0</v>
      </c>
      <c r="Q710" t="n">
        <v>0</v>
      </c>
      <c r="R710" s="2" t="inlineStr"/>
    </row>
    <row r="711" ht="15" customHeight="1">
      <c r="A711" t="inlineStr">
        <is>
          <t>A 8540-2024</t>
        </is>
      </c>
      <c r="B711" s="1" t="n">
        <v>45355.54138888889</v>
      </c>
      <c r="C711" s="1" t="n">
        <v>45965</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9623-2024</t>
        </is>
      </c>
      <c r="B712" s="1" t="n">
        <v>45361.87975694444</v>
      </c>
      <c r="C712" s="1" t="n">
        <v>45965</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5146-2024</t>
        </is>
      </c>
      <c r="B713" s="1" t="n">
        <v>45330</v>
      </c>
      <c r="C713" s="1" t="n">
        <v>45965</v>
      </c>
      <c r="D713" t="inlineStr">
        <is>
          <t>KALMAR LÄN</t>
        </is>
      </c>
      <c r="E713" t="inlineStr">
        <is>
          <t>VIMMERBY</t>
        </is>
      </c>
      <c r="G713" t="n">
        <v>5.3</v>
      </c>
      <c r="H713" t="n">
        <v>0</v>
      </c>
      <c r="I713" t="n">
        <v>0</v>
      </c>
      <c r="J713" t="n">
        <v>0</v>
      </c>
      <c r="K713" t="n">
        <v>0</v>
      </c>
      <c r="L713" t="n">
        <v>0</v>
      </c>
      <c r="M713" t="n">
        <v>0</v>
      </c>
      <c r="N713" t="n">
        <v>0</v>
      </c>
      <c r="O713" t="n">
        <v>0</v>
      </c>
      <c r="P713" t="n">
        <v>0</v>
      </c>
      <c r="Q713" t="n">
        <v>0</v>
      </c>
      <c r="R713" s="2" t="inlineStr"/>
    </row>
    <row r="714" ht="15" customHeight="1">
      <c r="A714" t="inlineStr">
        <is>
          <t>A 5148-2024</t>
        </is>
      </c>
      <c r="B714" s="1" t="n">
        <v>45330</v>
      </c>
      <c r="C714" s="1" t="n">
        <v>45965</v>
      </c>
      <c r="D714" t="inlineStr">
        <is>
          <t>KALMAR LÄN</t>
        </is>
      </c>
      <c r="E714" t="inlineStr">
        <is>
          <t>VIMMERBY</t>
        </is>
      </c>
      <c r="G714" t="n">
        <v>5.6</v>
      </c>
      <c r="H714" t="n">
        <v>0</v>
      </c>
      <c r="I714" t="n">
        <v>0</v>
      </c>
      <c r="J714" t="n">
        <v>0</v>
      </c>
      <c r="K714" t="n">
        <v>0</v>
      </c>
      <c r="L714" t="n">
        <v>0</v>
      </c>
      <c r="M714" t="n">
        <v>0</v>
      </c>
      <c r="N714" t="n">
        <v>0</v>
      </c>
      <c r="O714" t="n">
        <v>0</v>
      </c>
      <c r="P714" t="n">
        <v>0</v>
      </c>
      <c r="Q714" t="n">
        <v>0</v>
      </c>
      <c r="R714" s="2" t="inlineStr"/>
    </row>
    <row r="715" ht="15" customHeight="1">
      <c r="A715" t="inlineStr">
        <is>
          <t>A 40970-2025</t>
        </is>
      </c>
      <c r="B715" s="1" t="n">
        <v>45897.88706018519</v>
      </c>
      <c r="C715" s="1" t="n">
        <v>45965</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40973-2025</t>
        </is>
      </c>
      <c r="B716" s="1" t="n">
        <v>45897.89737268518</v>
      </c>
      <c r="C716" s="1" t="n">
        <v>45965</v>
      </c>
      <c r="D716" t="inlineStr">
        <is>
          <t>KALMAR LÄN</t>
        </is>
      </c>
      <c r="E716" t="inlineStr">
        <is>
          <t>VIMMERBY</t>
        </is>
      </c>
      <c r="G716" t="n">
        <v>1.8</v>
      </c>
      <c r="H716" t="n">
        <v>0</v>
      </c>
      <c r="I716" t="n">
        <v>0</v>
      </c>
      <c r="J716" t="n">
        <v>0</v>
      </c>
      <c r="K716" t="n">
        <v>0</v>
      </c>
      <c r="L716" t="n">
        <v>0</v>
      </c>
      <c r="M716" t="n">
        <v>0</v>
      </c>
      <c r="N716" t="n">
        <v>0</v>
      </c>
      <c r="O716" t="n">
        <v>0</v>
      </c>
      <c r="P716" t="n">
        <v>0</v>
      </c>
      <c r="Q716" t="n">
        <v>0</v>
      </c>
      <c r="R716" s="2" t="inlineStr"/>
    </row>
    <row r="717" ht="15" customHeight="1">
      <c r="A717" t="inlineStr">
        <is>
          <t>A 8559-2025</t>
        </is>
      </c>
      <c r="B717" s="1" t="n">
        <v>45709.62280092593</v>
      </c>
      <c r="C717" s="1" t="n">
        <v>45965</v>
      </c>
      <c r="D717" t="inlineStr">
        <is>
          <t>KALMAR LÄN</t>
        </is>
      </c>
      <c r="E717" t="inlineStr">
        <is>
          <t>VIMMERBY</t>
        </is>
      </c>
      <c r="G717" t="n">
        <v>8.9</v>
      </c>
      <c r="H717" t="n">
        <v>0</v>
      </c>
      <c r="I717" t="n">
        <v>0</v>
      </c>
      <c r="J717" t="n">
        <v>0</v>
      </c>
      <c r="K717" t="n">
        <v>0</v>
      </c>
      <c r="L717" t="n">
        <v>0</v>
      </c>
      <c r="M717" t="n">
        <v>0</v>
      </c>
      <c r="N717" t="n">
        <v>0</v>
      </c>
      <c r="O717" t="n">
        <v>0</v>
      </c>
      <c r="P717" t="n">
        <v>0</v>
      </c>
      <c r="Q717" t="n">
        <v>0</v>
      </c>
      <c r="R717" s="2" t="inlineStr"/>
    </row>
    <row r="718" ht="15" customHeight="1">
      <c r="A718" t="inlineStr">
        <is>
          <t>A 31872-2025</t>
        </is>
      </c>
      <c r="B718" s="1" t="n">
        <v>45834.65040509259</v>
      </c>
      <c r="C718" s="1" t="n">
        <v>45965</v>
      </c>
      <c r="D718" t="inlineStr">
        <is>
          <t>KALMAR LÄN</t>
        </is>
      </c>
      <c r="E718" t="inlineStr">
        <is>
          <t>VIMMERBY</t>
        </is>
      </c>
      <c r="F718" t="inlineStr">
        <is>
          <t>Sveaskog</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31876-2025</t>
        </is>
      </c>
      <c r="B719" s="1" t="n">
        <v>45834.65197916667</v>
      </c>
      <c r="C719" s="1" t="n">
        <v>45965</v>
      </c>
      <c r="D719" t="inlineStr">
        <is>
          <t>KALMAR LÄN</t>
        </is>
      </c>
      <c r="E719" t="inlineStr">
        <is>
          <t>VIMMERBY</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44179-2022</t>
        </is>
      </c>
      <c r="B720" s="1" t="n">
        <v>44839.4528125</v>
      </c>
      <c r="C720" s="1" t="n">
        <v>45965</v>
      </c>
      <c r="D720" t="inlineStr">
        <is>
          <t>KALMAR LÄN</t>
        </is>
      </c>
      <c r="E720" t="inlineStr">
        <is>
          <t>VIMMERBY</t>
        </is>
      </c>
      <c r="G720" t="n">
        <v>2.8</v>
      </c>
      <c r="H720" t="n">
        <v>0</v>
      </c>
      <c r="I720" t="n">
        <v>0</v>
      </c>
      <c r="J720" t="n">
        <v>0</v>
      </c>
      <c r="K720" t="n">
        <v>0</v>
      </c>
      <c r="L720" t="n">
        <v>0</v>
      </c>
      <c r="M720" t="n">
        <v>0</v>
      </c>
      <c r="N720" t="n">
        <v>0</v>
      </c>
      <c r="O720" t="n">
        <v>0</v>
      </c>
      <c r="P720" t="n">
        <v>0</v>
      </c>
      <c r="Q720" t="n">
        <v>0</v>
      </c>
      <c r="R720" s="2" t="inlineStr"/>
    </row>
    <row r="721" ht="15" customHeight="1">
      <c r="A721" t="inlineStr">
        <is>
          <t>A 31551-2025</t>
        </is>
      </c>
      <c r="B721" s="1" t="n">
        <v>45833.64237268519</v>
      </c>
      <c r="C721" s="1" t="n">
        <v>45965</v>
      </c>
      <c r="D721" t="inlineStr">
        <is>
          <t>KALMAR LÄN</t>
        </is>
      </c>
      <c r="E721" t="inlineStr">
        <is>
          <t>VIMMERBY</t>
        </is>
      </c>
      <c r="G721" t="n">
        <v>1.9</v>
      </c>
      <c r="H721" t="n">
        <v>0</v>
      </c>
      <c r="I721" t="n">
        <v>0</v>
      </c>
      <c r="J721" t="n">
        <v>0</v>
      </c>
      <c r="K721" t="n">
        <v>0</v>
      </c>
      <c r="L721" t="n">
        <v>0</v>
      </c>
      <c r="M721" t="n">
        <v>0</v>
      </c>
      <c r="N721" t="n">
        <v>0</v>
      </c>
      <c r="O721" t="n">
        <v>0</v>
      </c>
      <c r="P721" t="n">
        <v>0</v>
      </c>
      <c r="Q721" t="n">
        <v>0</v>
      </c>
      <c r="R721" s="2" t="inlineStr"/>
    </row>
    <row r="722" ht="15" customHeight="1">
      <c r="A722" t="inlineStr">
        <is>
          <t>A 50648-2023</t>
        </is>
      </c>
      <c r="B722" s="1" t="n">
        <v>45217.47834490741</v>
      </c>
      <c r="C722" s="1" t="n">
        <v>45965</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31987-2025</t>
        </is>
      </c>
      <c r="B723" s="1" t="n">
        <v>45835.36229166666</v>
      </c>
      <c r="C723" s="1" t="n">
        <v>45965</v>
      </c>
      <c r="D723" t="inlineStr">
        <is>
          <t>KALMAR LÄN</t>
        </is>
      </c>
      <c r="E723" t="inlineStr">
        <is>
          <t>VIMMERBY</t>
        </is>
      </c>
      <c r="F723" t="inlineStr">
        <is>
          <t>Kyrkan</t>
        </is>
      </c>
      <c r="G723" t="n">
        <v>1.2</v>
      </c>
      <c r="H723" t="n">
        <v>0</v>
      </c>
      <c r="I723" t="n">
        <v>0</v>
      </c>
      <c r="J723" t="n">
        <v>0</v>
      </c>
      <c r="K723" t="n">
        <v>0</v>
      </c>
      <c r="L723" t="n">
        <v>0</v>
      </c>
      <c r="M723" t="n">
        <v>0</v>
      </c>
      <c r="N723" t="n">
        <v>0</v>
      </c>
      <c r="O723" t="n">
        <v>0</v>
      </c>
      <c r="P723" t="n">
        <v>0</v>
      </c>
      <c r="Q723" t="n">
        <v>0</v>
      </c>
      <c r="R723" s="2" t="inlineStr"/>
    </row>
    <row r="724" ht="15" customHeight="1">
      <c r="A724" t="inlineStr">
        <is>
          <t>A 41224-2025</t>
        </is>
      </c>
      <c r="B724" s="1" t="n">
        <v>45898.58861111111</v>
      </c>
      <c r="C724" s="1" t="n">
        <v>45965</v>
      </c>
      <c r="D724" t="inlineStr">
        <is>
          <t>KALMAR LÄN</t>
        </is>
      </c>
      <c r="E724" t="inlineStr">
        <is>
          <t>VIMMERBY</t>
        </is>
      </c>
      <c r="G724" t="n">
        <v>4.4</v>
      </c>
      <c r="H724" t="n">
        <v>0</v>
      </c>
      <c r="I724" t="n">
        <v>0</v>
      </c>
      <c r="J724" t="n">
        <v>0</v>
      </c>
      <c r="K724" t="n">
        <v>0</v>
      </c>
      <c r="L724" t="n">
        <v>0</v>
      </c>
      <c r="M724" t="n">
        <v>0</v>
      </c>
      <c r="N724" t="n">
        <v>0</v>
      </c>
      <c r="O724" t="n">
        <v>0</v>
      </c>
      <c r="P724" t="n">
        <v>0</v>
      </c>
      <c r="Q724" t="n">
        <v>0</v>
      </c>
      <c r="R724" s="2" t="inlineStr"/>
    </row>
    <row r="725" ht="15" customHeight="1">
      <c r="A725" t="inlineStr">
        <is>
          <t>A 32120-2025</t>
        </is>
      </c>
      <c r="B725" s="1" t="n">
        <v>45835.4924537037</v>
      </c>
      <c r="C725" s="1" t="n">
        <v>45965</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32116-2025</t>
        </is>
      </c>
      <c r="B726" s="1" t="n">
        <v>45835.48862268519</v>
      </c>
      <c r="C726" s="1" t="n">
        <v>45965</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2121-2022</t>
        </is>
      </c>
      <c r="B727" s="1" t="n">
        <v>44578.32717592592</v>
      </c>
      <c r="C727" s="1" t="n">
        <v>45965</v>
      </c>
      <c r="D727" t="inlineStr">
        <is>
          <t>KALMAR LÄN</t>
        </is>
      </c>
      <c r="E727" t="inlineStr">
        <is>
          <t>VIMMERBY</t>
        </is>
      </c>
      <c r="G727" t="n">
        <v>2</v>
      </c>
      <c r="H727" t="n">
        <v>0</v>
      </c>
      <c r="I727" t="n">
        <v>0</v>
      </c>
      <c r="J727" t="n">
        <v>0</v>
      </c>
      <c r="K727" t="n">
        <v>0</v>
      </c>
      <c r="L727" t="n">
        <v>0</v>
      </c>
      <c r="M727" t="n">
        <v>0</v>
      </c>
      <c r="N727" t="n">
        <v>0</v>
      </c>
      <c r="O727" t="n">
        <v>0</v>
      </c>
      <c r="P727" t="n">
        <v>0</v>
      </c>
      <c r="Q727" t="n">
        <v>0</v>
      </c>
      <c r="R727" s="2" t="inlineStr"/>
    </row>
    <row r="728" ht="15" customHeight="1">
      <c r="A728" t="inlineStr">
        <is>
          <t>A 57799-2022</t>
        </is>
      </c>
      <c r="B728" s="1" t="n">
        <v>44897</v>
      </c>
      <c r="C728" s="1" t="n">
        <v>45965</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15394-2025</t>
        </is>
      </c>
      <c r="B729" s="1" t="n">
        <v>45747.43196759259</v>
      </c>
      <c r="C729" s="1" t="n">
        <v>45965</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32380-2025</t>
        </is>
      </c>
      <c r="B730" s="1" t="n">
        <v>45837.77701388889</v>
      </c>
      <c r="C730" s="1" t="n">
        <v>45965</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26318-2023</t>
        </is>
      </c>
      <c r="B731" s="1" t="n">
        <v>45091.67936342592</v>
      </c>
      <c r="C731" s="1" t="n">
        <v>45965</v>
      </c>
      <c r="D731" t="inlineStr">
        <is>
          <t>KALMAR LÄN</t>
        </is>
      </c>
      <c r="E731" t="inlineStr">
        <is>
          <t>VIMMERBY</t>
        </is>
      </c>
      <c r="G731" t="n">
        <v>3.8</v>
      </c>
      <c r="H731" t="n">
        <v>0</v>
      </c>
      <c r="I731" t="n">
        <v>0</v>
      </c>
      <c r="J731" t="n">
        <v>0</v>
      </c>
      <c r="K731" t="n">
        <v>0</v>
      </c>
      <c r="L731" t="n">
        <v>0</v>
      </c>
      <c r="M731" t="n">
        <v>0</v>
      </c>
      <c r="N731" t="n">
        <v>0</v>
      </c>
      <c r="O731" t="n">
        <v>0</v>
      </c>
      <c r="P731" t="n">
        <v>0</v>
      </c>
      <c r="Q731" t="n">
        <v>0</v>
      </c>
      <c r="R731" s="2" t="inlineStr"/>
    </row>
    <row r="732" ht="15" customHeight="1">
      <c r="A732" t="inlineStr">
        <is>
          <t>A 32109-2025</t>
        </is>
      </c>
      <c r="B732" s="1" t="n">
        <v>45835.48267361111</v>
      </c>
      <c r="C732" s="1" t="n">
        <v>45965</v>
      </c>
      <c r="D732" t="inlineStr">
        <is>
          <t>KALMAR LÄN</t>
        </is>
      </c>
      <c r="E732" t="inlineStr">
        <is>
          <t>VIMMERBY</t>
        </is>
      </c>
      <c r="G732" t="n">
        <v>2.5</v>
      </c>
      <c r="H732" t="n">
        <v>0</v>
      </c>
      <c r="I732" t="n">
        <v>0</v>
      </c>
      <c r="J732" t="n">
        <v>0</v>
      </c>
      <c r="K732" t="n">
        <v>0</v>
      </c>
      <c r="L732" t="n">
        <v>0</v>
      </c>
      <c r="M732" t="n">
        <v>0</v>
      </c>
      <c r="N732" t="n">
        <v>0</v>
      </c>
      <c r="O732" t="n">
        <v>0</v>
      </c>
      <c r="P732" t="n">
        <v>0</v>
      </c>
      <c r="Q732" t="n">
        <v>0</v>
      </c>
      <c r="R732" s="2" t="inlineStr"/>
    </row>
    <row r="733" ht="15" customHeight="1">
      <c r="A733" t="inlineStr">
        <is>
          <t>A 32113-2025</t>
        </is>
      </c>
      <c r="B733" s="1" t="n">
        <v>45835.48445601852</v>
      </c>
      <c r="C733" s="1" t="n">
        <v>45965</v>
      </c>
      <c r="D733" t="inlineStr">
        <is>
          <t>KALMAR LÄN</t>
        </is>
      </c>
      <c r="E733" t="inlineStr">
        <is>
          <t>VIMMERBY</t>
        </is>
      </c>
      <c r="G733" t="n">
        <v>3.5</v>
      </c>
      <c r="H733" t="n">
        <v>0</v>
      </c>
      <c r="I733" t="n">
        <v>0</v>
      </c>
      <c r="J733" t="n">
        <v>0</v>
      </c>
      <c r="K733" t="n">
        <v>0</v>
      </c>
      <c r="L733" t="n">
        <v>0</v>
      </c>
      <c r="M733" t="n">
        <v>0</v>
      </c>
      <c r="N733" t="n">
        <v>0</v>
      </c>
      <c r="O733" t="n">
        <v>0</v>
      </c>
      <c r="P733" t="n">
        <v>0</v>
      </c>
      <c r="Q733" t="n">
        <v>0</v>
      </c>
      <c r="R733" s="2" t="inlineStr"/>
    </row>
    <row r="734" ht="15" customHeight="1">
      <c r="A734" t="inlineStr">
        <is>
          <t>A 60437-2023</t>
        </is>
      </c>
      <c r="B734" s="1" t="n">
        <v>45259.51916666667</v>
      </c>
      <c r="C734" s="1" t="n">
        <v>45965</v>
      </c>
      <c r="D734" t="inlineStr">
        <is>
          <t>KALMAR LÄN</t>
        </is>
      </c>
      <c r="E734" t="inlineStr">
        <is>
          <t>VIMMERBY</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60438-2023</t>
        </is>
      </c>
      <c r="B735" s="1" t="n">
        <v>45259.52020833334</v>
      </c>
      <c r="C735" s="1" t="n">
        <v>45965</v>
      </c>
      <c r="D735" t="inlineStr">
        <is>
          <t>KALMAR LÄN</t>
        </is>
      </c>
      <c r="E735" t="inlineStr">
        <is>
          <t>VIMMERBY</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49871-2025</t>
        </is>
      </c>
      <c r="B736" s="1" t="n">
        <v>45940.54104166666</v>
      </c>
      <c r="C736" s="1" t="n">
        <v>45965</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32077-2025</t>
        </is>
      </c>
      <c r="B737" s="1" t="n">
        <v>45835.45099537037</v>
      </c>
      <c r="C737" s="1" t="n">
        <v>45965</v>
      </c>
      <c r="D737" t="inlineStr">
        <is>
          <t>KALMAR LÄN</t>
        </is>
      </c>
      <c r="E737" t="inlineStr">
        <is>
          <t>VIMMERBY</t>
        </is>
      </c>
      <c r="G737" t="n">
        <v>1.8</v>
      </c>
      <c r="H737" t="n">
        <v>0</v>
      </c>
      <c r="I737" t="n">
        <v>0</v>
      </c>
      <c r="J737" t="n">
        <v>0</v>
      </c>
      <c r="K737" t="n">
        <v>0</v>
      </c>
      <c r="L737" t="n">
        <v>0</v>
      </c>
      <c r="M737" t="n">
        <v>0</v>
      </c>
      <c r="N737" t="n">
        <v>0</v>
      </c>
      <c r="O737" t="n">
        <v>0</v>
      </c>
      <c r="P737" t="n">
        <v>0</v>
      </c>
      <c r="Q737" t="n">
        <v>0</v>
      </c>
      <c r="R737" s="2" t="inlineStr"/>
    </row>
    <row r="738" ht="15" customHeight="1">
      <c r="A738" t="inlineStr">
        <is>
          <t>A 32064-2025</t>
        </is>
      </c>
      <c r="B738" s="1" t="n">
        <v>45835.44709490741</v>
      </c>
      <c r="C738" s="1" t="n">
        <v>45965</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32065-2025</t>
        </is>
      </c>
      <c r="B739" s="1" t="n">
        <v>45835.44732638889</v>
      </c>
      <c r="C739" s="1" t="n">
        <v>45965</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7758-2024</t>
        </is>
      </c>
      <c r="B740" s="1" t="n">
        <v>45349.54434027777</v>
      </c>
      <c r="C740" s="1" t="n">
        <v>45965</v>
      </c>
      <c r="D740" t="inlineStr">
        <is>
          <t>KALMAR LÄN</t>
        </is>
      </c>
      <c r="E740" t="inlineStr">
        <is>
          <t>VIMMERBY</t>
        </is>
      </c>
      <c r="G740" t="n">
        <v>3.5</v>
      </c>
      <c r="H740" t="n">
        <v>0</v>
      </c>
      <c r="I740" t="n">
        <v>0</v>
      </c>
      <c r="J740" t="n">
        <v>0</v>
      </c>
      <c r="K740" t="n">
        <v>0</v>
      </c>
      <c r="L740" t="n">
        <v>0</v>
      </c>
      <c r="M740" t="n">
        <v>0</v>
      </c>
      <c r="N740" t="n">
        <v>0</v>
      </c>
      <c r="O740" t="n">
        <v>0</v>
      </c>
      <c r="P740" t="n">
        <v>0</v>
      </c>
      <c r="Q740" t="n">
        <v>0</v>
      </c>
      <c r="R740" s="2" t="inlineStr"/>
    </row>
    <row r="741" ht="15" customHeight="1">
      <c r="A741" t="inlineStr">
        <is>
          <t>A 7456-2024</t>
        </is>
      </c>
      <c r="B741" s="1" t="n">
        <v>45345.83557870371</v>
      </c>
      <c r="C741" s="1" t="n">
        <v>45965</v>
      </c>
      <c r="D741" t="inlineStr">
        <is>
          <t>KALMAR LÄN</t>
        </is>
      </c>
      <c r="E741" t="inlineStr">
        <is>
          <t>VIMMERBY</t>
        </is>
      </c>
      <c r="G741" t="n">
        <v>4.1</v>
      </c>
      <c r="H741" t="n">
        <v>0</v>
      </c>
      <c r="I741" t="n">
        <v>0</v>
      </c>
      <c r="J741" t="n">
        <v>0</v>
      </c>
      <c r="K741" t="n">
        <v>0</v>
      </c>
      <c r="L741" t="n">
        <v>0</v>
      </c>
      <c r="M741" t="n">
        <v>0</v>
      </c>
      <c r="N741" t="n">
        <v>0</v>
      </c>
      <c r="O741" t="n">
        <v>0</v>
      </c>
      <c r="P741" t="n">
        <v>0</v>
      </c>
      <c r="Q741" t="n">
        <v>0</v>
      </c>
      <c r="R741" s="2" t="inlineStr"/>
    </row>
    <row r="742" ht="15" customHeight="1">
      <c r="A742" t="inlineStr">
        <is>
          <t>A 6082-2022</t>
        </is>
      </c>
      <c r="B742" s="1" t="n">
        <v>44599</v>
      </c>
      <c r="C742" s="1" t="n">
        <v>45965</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46979-2023</t>
        </is>
      </c>
      <c r="B743" s="1" t="n">
        <v>45201</v>
      </c>
      <c r="C743" s="1" t="n">
        <v>45965</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33186-2025</t>
        </is>
      </c>
      <c r="B744" s="1" t="n">
        <v>45840.59474537037</v>
      </c>
      <c r="C744" s="1" t="n">
        <v>45965</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2596-2025</t>
        </is>
      </c>
      <c r="B745" s="1" t="n">
        <v>45674.71810185185</v>
      </c>
      <c r="C745" s="1" t="n">
        <v>45965</v>
      </c>
      <c r="D745" t="inlineStr">
        <is>
          <t>KALMAR LÄN</t>
        </is>
      </c>
      <c r="E745" t="inlineStr">
        <is>
          <t>VIMMERBY</t>
        </is>
      </c>
      <c r="G745" t="n">
        <v>9</v>
      </c>
      <c r="H745" t="n">
        <v>0</v>
      </c>
      <c r="I745" t="n">
        <v>0</v>
      </c>
      <c r="J745" t="n">
        <v>0</v>
      </c>
      <c r="K745" t="n">
        <v>0</v>
      </c>
      <c r="L745" t="n">
        <v>0</v>
      </c>
      <c r="M745" t="n">
        <v>0</v>
      </c>
      <c r="N745" t="n">
        <v>0</v>
      </c>
      <c r="O745" t="n">
        <v>0</v>
      </c>
      <c r="P745" t="n">
        <v>0</v>
      </c>
      <c r="Q745" t="n">
        <v>0</v>
      </c>
      <c r="R745" s="2" t="inlineStr"/>
    </row>
    <row r="746" ht="15" customHeight="1">
      <c r="A746" t="inlineStr">
        <is>
          <t>A 47855-2024</t>
        </is>
      </c>
      <c r="B746" s="1" t="n">
        <v>45588.66457175926</v>
      </c>
      <c r="C746" s="1" t="n">
        <v>45965</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63583-2023</t>
        </is>
      </c>
      <c r="B747" s="1" t="n">
        <v>45275.41833333333</v>
      </c>
      <c r="C747" s="1" t="n">
        <v>45965</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30977-2025</t>
        </is>
      </c>
      <c r="B748" s="1" t="n">
        <v>45832.46649305556</v>
      </c>
      <c r="C748" s="1" t="n">
        <v>45965</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33695-2025</t>
        </is>
      </c>
      <c r="B749" s="1" t="n">
        <v>45841.70569444444</v>
      </c>
      <c r="C749" s="1" t="n">
        <v>45965</v>
      </c>
      <c r="D749" t="inlineStr">
        <is>
          <t>KALMAR LÄN</t>
        </is>
      </c>
      <c r="E749" t="inlineStr">
        <is>
          <t>VIMMERBY</t>
        </is>
      </c>
      <c r="G749" t="n">
        <v>2.7</v>
      </c>
      <c r="H749" t="n">
        <v>0</v>
      </c>
      <c r="I749" t="n">
        <v>0</v>
      </c>
      <c r="J749" t="n">
        <v>0</v>
      </c>
      <c r="K749" t="n">
        <v>0</v>
      </c>
      <c r="L749" t="n">
        <v>0</v>
      </c>
      <c r="M749" t="n">
        <v>0</v>
      </c>
      <c r="N749" t="n">
        <v>0</v>
      </c>
      <c r="O749" t="n">
        <v>0</v>
      </c>
      <c r="P749" t="n">
        <v>0</v>
      </c>
      <c r="Q749" t="n">
        <v>0</v>
      </c>
      <c r="R749" s="2" t="inlineStr"/>
    </row>
    <row r="750" ht="15" customHeight="1">
      <c r="A750" t="inlineStr">
        <is>
          <t>A 33698-2025</t>
        </is>
      </c>
      <c r="B750" s="1" t="n">
        <v>45841.70868055556</v>
      </c>
      <c r="C750" s="1" t="n">
        <v>45965</v>
      </c>
      <c r="D750" t="inlineStr">
        <is>
          <t>KALMAR LÄN</t>
        </is>
      </c>
      <c r="E750" t="inlineStr">
        <is>
          <t>VIMMERBY</t>
        </is>
      </c>
      <c r="G750" t="n">
        <v>3.7</v>
      </c>
      <c r="H750" t="n">
        <v>0</v>
      </c>
      <c r="I750" t="n">
        <v>0</v>
      </c>
      <c r="J750" t="n">
        <v>0</v>
      </c>
      <c r="K750" t="n">
        <v>0</v>
      </c>
      <c r="L750" t="n">
        <v>0</v>
      </c>
      <c r="M750" t="n">
        <v>0</v>
      </c>
      <c r="N750" t="n">
        <v>0</v>
      </c>
      <c r="O750" t="n">
        <v>0</v>
      </c>
      <c r="P750" t="n">
        <v>0</v>
      </c>
      <c r="Q750" t="n">
        <v>0</v>
      </c>
      <c r="R750" s="2" t="inlineStr"/>
    </row>
    <row r="751" ht="15" customHeight="1">
      <c r="A751" t="inlineStr">
        <is>
          <t>A 40925-2025</t>
        </is>
      </c>
      <c r="B751" s="1" t="n">
        <v>45897.64208333333</v>
      </c>
      <c r="C751" s="1" t="n">
        <v>45965</v>
      </c>
      <c r="D751" t="inlineStr">
        <is>
          <t>KALMAR LÄN</t>
        </is>
      </c>
      <c r="E751" t="inlineStr">
        <is>
          <t>VIMMERBY</t>
        </is>
      </c>
      <c r="G751" t="n">
        <v>1.9</v>
      </c>
      <c r="H751" t="n">
        <v>0</v>
      </c>
      <c r="I751" t="n">
        <v>0</v>
      </c>
      <c r="J751" t="n">
        <v>0</v>
      </c>
      <c r="K751" t="n">
        <v>0</v>
      </c>
      <c r="L751" t="n">
        <v>0</v>
      </c>
      <c r="M751" t="n">
        <v>0</v>
      </c>
      <c r="N751" t="n">
        <v>0</v>
      </c>
      <c r="O751" t="n">
        <v>0</v>
      </c>
      <c r="P751" t="n">
        <v>0</v>
      </c>
      <c r="Q751" t="n">
        <v>0</v>
      </c>
      <c r="R751" s="2" t="inlineStr"/>
    </row>
    <row r="752" ht="15" customHeight="1">
      <c r="A752" t="inlineStr">
        <is>
          <t>A 60228-2021</t>
        </is>
      </c>
      <c r="B752" s="1" t="n">
        <v>44495</v>
      </c>
      <c r="C752" s="1" t="n">
        <v>45965</v>
      </c>
      <c r="D752" t="inlineStr">
        <is>
          <t>KALMAR LÄN</t>
        </is>
      </c>
      <c r="E752" t="inlineStr">
        <is>
          <t>VIMMERBY</t>
        </is>
      </c>
      <c r="G752" t="n">
        <v>4.1</v>
      </c>
      <c r="H752" t="n">
        <v>0</v>
      </c>
      <c r="I752" t="n">
        <v>0</v>
      </c>
      <c r="J752" t="n">
        <v>0</v>
      </c>
      <c r="K752" t="n">
        <v>0</v>
      </c>
      <c r="L752" t="n">
        <v>0</v>
      </c>
      <c r="M752" t="n">
        <v>0</v>
      </c>
      <c r="N752" t="n">
        <v>0</v>
      </c>
      <c r="O752" t="n">
        <v>0</v>
      </c>
      <c r="P752" t="n">
        <v>0</v>
      </c>
      <c r="Q752" t="n">
        <v>0</v>
      </c>
      <c r="R752" s="2" t="inlineStr"/>
    </row>
    <row r="753" ht="15" customHeight="1">
      <c r="A753" t="inlineStr">
        <is>
          <t>A 45855-2025</t>
        </is>
      </c>
      <c r="B753" s="1" t="n">
        <v>45923</v>
      </c>
      <c r="C753" s="1" t="n">
        <v>45965</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40921-2025</t>
        </is>
      </c>
      <c r="B754" s="1" t="n">
        <v>45897.63520833333</v>
      </c>
      <c r="C754" s="1" t="n">
        <v>45965</v>
      </c>
      <c r="D754" t="inlineStr">
        <is>
          <t>KALMAR LÄN</t>
        </is>
      </c>
      <c r="E754" t="inlineStr">
        <is>
          <t>VIMMERBY</t>
        </is>
      </c>
      <c r="G754" t="n">
        <v>4.2</v>
      </c>
      <c r="H754" t="n">
        <v>0</v>
      </c>
      <c r="I754" t="n">
        <v>0</v>
      </c>
      <c r="J754" t="n">
        <v>0</v>
      </c>
      <c r="K754" t="n">
        <v>0</v>
      </c>
      <c r="L754" t="n">
        <v>0</v>
      </c>
      <c r="M754" t="n">
        <v>0</v>
      </c>
      <c r="N754" t="n">
        <v>0</v>
      </c>
      <c r="O754" t="n">
        <v>0</v>
      </c>
      <c r="P754" t="n">
        <v>0</v>
      </c>
      <c r="Q754" t="n">
        <v>0</v>
      </c>
      <c r="R754" s="2" t="inlineStr"/>
    </row>
    <row r="755" ht="15" customHeight="1">
      <c r="A755" t="inlineStr">
        <is>
          <t>A 40971-2025</t>
        </is>
      </c>
      <c r="B755" s="1" t="n">
        <v>45897.88836805556</v>
      </c>
      <c r="C755" s="1" t="n">
        <v>45965</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46522-2022</t>
        </is>
      </c>
      <c r="B756" s="1" t="n">
        <v>44848.59133101852</v>
      </c>
      <c r="C756" s="1" t="n">
        <v>45965</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33696-2025</t>
        </is>
      </c>
      <c r="B757" s="1" t="n">
        <v>45841.7072337963</v>
      </c>
      <c r="C757" s="1" t="n">
        <v>45965</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21109-2024</t>
        </is>
      </c>
      <c r="B758" s="1" t="n">
        <v>45440.28329861111</v>
      </c>
      <c r="C758" s="1" t="n">
        <v>45965</v>
      </c>
      <c r="D758" t="inlineStr">
        <is>
          <t>KALMAR LÄN</t>
        </is>
      </c>
      <c r="E758" t="inlineStr">
        <is>
          <t>VIMMERBY</t>
        </is>
      </c>
      <c r="G758" t="n">
        <v>0.8</v>
      </c>
      <c r="H758" t="n">
        <v>0</v>
      </c>
      <c r="I758" t="n">
        <v>0</v>
      </c>
      <c r="J758" t="n">
        <v>0</v>
      </c>
      <c r="K758" t="n">
        <v>0</v>
      </c>
      <c r="L758" t="n">
        <v>0</v>
      </c>
      <c r="M758" t="n">
        <v>0</v>
      </c>
      <c r="N758" t="n">
        <v>0</v>
      </c>
      <c r="O758" t="n">
        <v>0</v>
      </c>
      <c r="P758" t="n">
        <v>0</v>
      </c>
      <c r="Q758" t="n">
        <v>0</v>
      </c>
      <c r="R758" s="2" t="inlineStr"/>
    </row>
    <row r="759" ht="15" customHeight="1">
      <c r="A759" t="inlineStr">
        <is>
          <t>A 33815-2022</t>
        </is>
      </c>
      <c r="B759" s="1" t="n">
        <v>44790.45876157407</v>
      </c>
      <c r="C759" s="1" t="n">
        <v>45965</v>
      </c>
      <c r="D759" t="inlineStr">
        <is>
          <t>KALMAR LÄN</t>
        </is>
      </c>
      <c r="E759" t="inlineStr">
        <is>
          <t>VIMMERBY</t>
        </is>
      </c>
      <c r="G759" t="n">
        <v>0.9</v>
      </c>
      <c r="H759" t="n">
        <v>0</v>
      </c>
      <c r="I759" t="n">
        <v>0</v>
      </c>
      <c r="J759" t="n">
        <v>0</v>
      </c>
      <c r="K759" t="n">
        <v>0</v>
      </c>
      <c r="L759" t="n">
        <v>0</v>
      </c>
      <c r="M759" t="n">
        <v>0</v>
      </c>
      <c r="N759" t="n">
        <v>0</v>
      </c>
      <c r="O759" t="n">
        <v>0</v>
      </c>
      <c r="P759" t="n">
        <v>0</v>
      </c>
      <c r="Q759" t="n">
        <v>0</v>
      </c>
      <c r="R759" s="2" t="inlineStr"/>
    </row>
    <row r="760" ht="15" customHeight="1">
      <c r="A760" t="inlineStr">
        <is>
          <t>A 49461-2022</t>
        </is>
      </c>
      <c r="B760" s="1" t="n">
        <v>44861</v>
      </c>
      <c r="C760" s="1" t="n">
        <v>45965</v>
      </c>
      <c r="D760" t="inlineStr">
        <is>
          <t>KALMAR LÄN</t>
        </is>
      </c>
      <c r="E760" t="inlineStr">
        <is>
          <t>VIMMERBY</t>
        </is>
      </c>
      <c r="G760" t="n">
        <v>3.2</v>
      </c>
      <c r="H760" t="n">
        <v>0</v>
      </c>
      <c r="I760" t="n">
        <v>0</v>
      </c>
      <c r="J760" t="n">
        <v>0</v>
      </c>
      <c r="K760" t="n">
        <v>0</v>
      </c>
      <c r="L760" t="n">
        <v>0</v>
      </c>
      <c r="M760" t="n">
        <v>0</v>
      </c>
      <c r="N760" t="n">
        <v>0</v>
      </c>
      <c r="O760" t="n">
        <v>0</v>
      </c>
      <c r="P760" t="n">
        <v>0</v>
      </c>
      <c r="Q760" t="n">
        <v>0</v>
      </c>
      <c r="R760" s="2" t="inlineStr"/>
    </row>
    <row r="761" ht="15" customHeight="1">
      <c r="A761" t="inlineStr">
        <is>
          <t>A 28702-2025</t>
        </is>
      </c>
      <c r="B761" s="1" t="n">
        <v>45820.03976851852</v>
      </c>
      <c r="C761" s="1" t="n">
        <v>45965</v>
      </c>
      <c r="D761" t="inlineStr">
        <is>
          <t>KALMAR LÄN</t>
        </is>
      </c>
      <c r="E761" t="inlineStr">
        <is>
          <t>VIMMERBY</t>
        </is>
      </c>
      <c r="G761" t="n">
        <v>2.1</v>
      </c>
      <c r="H761" t="n">
        <v>0</v>
      </c>
      <c r="I761" t="n">
        <v>0</v>
      </c>
      <c r="J761" t="n">
        <v>0</v>
      </c>
      <c r="K761" t="n">
        <v>0</v>
      </c>
      <c r="L761" t="n">
        <v>0</v>
      </c>
      <c r="M761" t="n">
        <v>0</v>
      </c>
      <c r="N761" t="n">
        <v>0</v>
      </c>
      <c r="O761" t="n">
        <v>0</v>
      </c>
      <c r="P761" t="n">
        <v>0</v>
      </c>
      <c r="Q761" t="n">
        <v>0</v>
      </c>
      <c r="R761" s="2" t="inlineStr"/>
    </row>
    <row r="762" ht="15" customHeight="1">
      <c r="A762" t="inlineStr">
        <is>
          <t>A 53542-2022</t>
        </is>
      </c>
      <c r="B762" s="1" t="n">
        <v>44879.62173611111</v>
      </c>
      <c r="C762" s="1" t="n">
        <v>45965</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ht="15" customHeight="1">
      <c r="A763" t="inlineStr">
        <is>
          <t>A 35713-2023</t>
        </is>
      </c>
      <c r="B763" s="1" t="n">
        <v>45147</v>
      </c>
      <c r="C763" s="1" t="n">
        <v>45965</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10424-2023</t>
        </is>
      </c>
      <c r="B764" s="1" t="n">
        <v>44987.54104166666</v>
      </c>
      <c r="C764" s="1" t="n">
        <v>45965</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34071-2025</t>
        </is>
      </c>
      <c r="B765" s="1" t="n">
        <v>45845.43803240741</v>
      </c>
      <c r="C765" s="1" t="n">
        <v>45965</v>
      </c>
      <c r="D765" t="inlineStr">
        <is>
          <t>KALMAR LÄN</t>
        </is>
      </c>
      <c r="E765" t="inlineStr">
        <is>
          <t>VIMMERBY</t>
        </is>
      </c>
      <c r="G765" t="n">
        <v>6.8</v>
      </c>
      <c r="H765" t="n">
        <v>0</v>
      </c>
      <c r="I765" t="n">
        <v>0</v>
      </c>
      <c r="J765" t="n">
        <v>0</v>
      </c>
      <c r="K765" t="n">
        <v>0</v>
      </c>
      <c r="L765" t="n">
        <v>0</v>
      </c>
      <c r="M765" t="n">
        <v>0</v>
      </c>
      <c r="N765" t="n">
        <v>0</v>
      </c>
      <c r="O765" t="n">
        <v>0</v>
      </c>
      <c r="P765" t="n">
        <v>0</v>
      </c>
      <c r="Q765" t="n">
        <v>0</v>
      </c>
      <c r="R765" s="2" t="inlineStr"/>
    </row>
    <row r="766" ht="15" customHeight="1">
      <c r="A766" t="inlineStr">
        <is>
          <t>A 34106-2025</t>
        </is>
      </c>
      <c r="B766" s="1" t="n">
        <v>45845.49414351852</v>
      </c>
      <c r="C766" s="1" t="n">
        <v>45965</v>
      </c>
      <c r="D766" t="inlineStr">
        <is>
          <t>KALMAR LÄN</t>
        </is>
      </c>
      <c r="E766" t="inlineStr">
        <is>
          <t>VIMMERBY</t>
        </is>
      </c>
      <c r="G766" t="n">
        <v>6</v>
      </c>
      <c r="H766" t="n">
        <v>0</v>
      </c>
      <c r="I766" t="n">
        <v>0</v>
      </c>
      <c r="J766" t="n">
        <v>0</v>
      </c>
      <c r="K766" t="n">
        <v>0</v>
      </c>
      <c r="L766" t="n">
        <v>0</v>
      </c>
      <c r="M766" t="n">
        <v>0</v>
      </c>
      <c r="N766" t="n">
        <v>0</v>
      </c>
      <c r="O766" t="n">
        <v>0</v>
      </c>
      <c r="P766" t="n">
        <v>0</v>
      </c>
      <c r="Q766" t="n">
        <v>0</v>
      </c>
      <c r="R766" s="2" t="inlineStr"/>
    </row>
    <row r="767" ht="15" customHeight="1">
      <c r="A767" t="inlineStr">
        <is>
          <t>A 26956-2025</t>
        </is>
      </c>
      <c r="B767" s="1" t="n">
        <v>45811.45460648148</v>
      </c>
      <c r="C767" s="1" t="n">
        <v>45965</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41591-2025</t>
        </is>
      </c>
      <c r="B768" s="1" t="n">
        <v>45901.6327662037</v>
      </c>
      <c r="C768" s="1" t="n">
        <v>45965</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33340-2023</t>
        </is>
      </c>
      <c r="B769" s="1" t="n">
        <v>45128.37305555555</v>
      </c>
      <c r="C769" s="1" t="n">
        <v>45965</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34628-2025</t>
        </is>
      </c>
      <c r="B770" s="1" t="n">
        <v>45847.91280092593</v>
      </c>
      <c r="C770" s="1" t="n">
        <v>45965</v>
      </c>
      <c r="D770" t="inlineStr">
        <is>
          <t>KALMAR LÄN</t>
        </is>
      </c>
      <c r="E770" t="inlineStr">
        <is>
          <t>VIMMERBY</t>
        </is>
      </c>
      <c r="G770" t="n">
        <v>4.2</v>
      </c>
      <c r="H770" t="n">
        <v>0</v>
      </c>
      <c r="I770" t="n">
        <v>0</v>
      </c>
      <c r="J770" t="n">
        <v>0</v>
      </c>
      <c r="K770" t="n">
        <v>0</v>
      </c>
      <c r="L770" t="n">
        <v>0</v>
      </c>
      <c r="M770" t="n">
        <v>0</v>
      </c>
      <c r="N770" t="n">
        <v>0</v>
      </c>
      <c r="O770" t="n">
        <v>0</v>
      </c>
      <c r="P770" t="n">
        <v>0</v>
      </c>
      <c r="Q770" t="n">
        <v>0</v>
      </c>
      <c r="R770" s="2" t="inlineStr"/>
    </row>
    <row r="771" ht="15" customHeight="1">
      <c r="A771" t="inlineStr">
        <is>
          <t>A 41589-2025</t>
        </is>
      </c>
      <c r="B771" s="1" t="n">
        <v>45901.63219907408</v>
      </c>
      <c r="C771" s="1" t="n">
        <v>45965</v>
      </c>
      <c r="D771" t="inlineStr">
        <is>
          <t>KALMAR LÄN</t>
        </is>
      </c>
      <c r="E771" t="inlineStr">
        <is>
          <t>VIMMERBY</t>
        </is>
      </c>
      <c r="G771" t="n">
        <v>1.7</v>
      </c>
      <c r="H771" t="n">
        <v>0</v>
      </c>
      <c r="I771" t="n">
        <v>0</v>
      </c>
      <c r="J771" t="n">
        <v>0</v>
      </c>
      <c r="K771" t="n">
        <v>0</v>
      </c>
      <c r="L771" t="n">
        <v>0</v>
      </c>
      <c r="M771" t="n">
        <v>0</v>
      </c>
      <c r="N771" t="n">
        <v>0</v>
      </c>
      <c r="O771" t="n">
        <v>0</v>
      </c>
      <c r="P771" t="n">
        <v>0</v>
      </c>
      <c r="Q771" t="n">
        <v>0</v>
      </c>
      <c r="R771" s="2" t="inlineStr"/>
    </row>
    <row r="772" ht="15" customHeight="1">
      <c r="A772" t="inlineStr">
        <is>
          <t>A 29017-2024</t>
        </is>
      </c>
      <c r="B772" s="1" t="n">
        <v>45481.56722222222</v>
      </c>
      <c r="C772" s="1" t="n">
        <v>45965</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58046-2022</t>
        </is>
      </c>
      <c r="B773" s="1" t="n">
        <v>44900.57393518519</v>
      </c>
      <c r="C773" s="1" t="n">
        <v>45965</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14548-2024</t>
        </is>
      </c>
      <c r="B774" s="1" t="n">
        <v>45394.66887731481</v>
      </c>
      <c r="C774" s="1" t="n">
        <v>45965</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48120-2022</t>
        </is>
      </c>
      <c r="B775" s="1" t="n">
        <v>44857.65989583333</v>
      </c>
      <c r="C775" s="1" t="n">
        <v>45965</v>
      </c>
      <c r="D775" t="inlineStr">
        <is>
          <t>KALMAR LÄN</t>
        </is>
      </c>
      <c r="E775" t="inlineStr">
        <is>
          <t>VIMMERBY</t>
        </is>
      </c>
      <c r="G775" t="n">
        <v>1.7</v>
      </c>
      <c r="H775" t="n">
        <v>0</v>
      </c>
      <c r="I775" t="n">
        <v>0</v>
      </c>
      <c r="J775" t="n">
        <v>0</v>
      </c>
      <c r="K775" t="n">
        <v>0</v>
      </c>
      <c r="L775" t="n">
        <v>0</v>
      </c>
      <c r="M775" t="n">
        <v>0</v>
      </c>
      <c r="N775" t="n">
        <v>0</v>
      </c>
      <c r="O775" t="n">
        <v>0</v>
      </c>
      <c r="P775" t="n">
        <v>0</v>
      </c>
      <c r="Q775" t="n">
        <v>0</v>
      </c>
      <c r="R775" s="2" t="inlineStr"/>
    </row>
    <row r="776" ht="15" customHeight="1">
      <c r="A776" t="inlineStr">
        <is>
          <t>A 3423-2022</t>
        </is>
      </c>
      <c r="B776" s="1" t="n">
        <v>44585.50431712963</v>
      </c>
      <c r="C776" s="1" t="n">
        <v>45965</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11074-2023</t>
        </is>
      </c>
      <c r="B777" s="1" t="n">
        <v>44992.34151620371</v>
      </c>
      <c r="C777" s="1" t="n">
        <v>45965</v>
      </c>
      <c r="D777" t="inlineStr">
        <is>
          <t>KALMAR LÄN</t>
        </is>
      </c>
      <c r="E777" t="inlineStr">
        <is>
          <t>VIMMERBY</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71631-2021</t>
        </is>
      </c>
      <c r="B778" s="1" t="n">
        <v>44542.90072916666</v>
      </c>
      <c r="C778" s="1" t="n">
        <v>45965</v>
      </c>
      <c r="D778" t="inlineStr">
        <is>
          <t>KALMAR LÄN</t>
        </is>
      </c>
      <c r="E778" t="inlineStr">
        <is>
          <t>VIMMERBY</t>
        </is>
      </c>
      <c r="G778" t="n">
        <v>0.9</v>
      </c>
      <c r="H778" t="n">
        <v>0</v>
      </c>
      <c r="I778" t="n">
        <v>0</v>
      </c>
      <c r="J778" t="n">
        <v>0</v>
      </c>
      <c r="K778" t="n">
        <v>0</v>
      </c>
      <c r="L778" t="n">
        <v>0</v>
      </c>
      <c r="M778" t="n">
        <v>0</v>
      </c>
      <c r="N778" t="n">
        <v>0</v>
      </c>
      <c r="O778" t="n">
        <v>0</v>
      </c>
      <c r="P778" t="n">
        <v>0</v>
      </c>
      <c r="Q778" t="n">
        <v>0</v>
      </c>
      <c r="R778" s="2" t="inlineStr"/>
    </row>
    <row r="779" ht="15" customHeight="1">
      <c r="A779" t="inlineStr">
        <is>
          <t>A 35270-2025</t>
        </is>
      </c>
      <c r="B779" s="1" t="n">
        <v>45853.87112268519</v>
      </c>
      <c r="C779" s="1" t="n">
        <v>45965</v>
      </c>
      <c r="D779" t="inlineStr">
        <is>
          <t>KALMAR LÄN</t>
        </is>
      </c>
      <c r="E779" t="inlineStr">
        <is>
          <t>VIMMERBY</t>
        </is>
      </c>
      <c r="G779" t="n">
        <v>2.4</v>
      </c>
      <c r="H779" t="n">
        <v>0</v>
      </c>
      <c r="I779" t="n">
        <v>0</v>
      </c>
      <c r="J779" t="n">
        <v>0</v>
      </c>
      <c r="K779" t="n">
        <v>0</v>
      </c>
      <c r="L779" t="n">
        <v>0</v>
      </c>
      <c r="M779" t="n">
        <v>0</v>
      </c>
      <c r="N779" t="n">
        <v>0</v>
      </c>
      <c r="O779" t="n">
        <v>0</v>
      </c>
      <c r="P779" t="n">
        <v>0</v>
      </c>
      <c r="Q779" t="n">
        <v>0</v>
      </c>
      <c r="R779" s="2" t="inlineStr"/>
    </row>
    <row r="780" ht="15" customHeight="1">
      <c r="A780" t="inlineStr">
        <is>
          <t>A 35271-2025</t>
        </is>
      </c>
      <c r="B780" s="1" t="n">
        <v>45853.87599537037</v>
      </c>
      <c r="C780" s="1" t="n">
        <v>45965</v>
      </c>
      <c r="D780" t="inlineStr">
        <is>
          <t>KALMAR LÄN</t>
        </is>
      </c>
      <c r="E780" t="inlineStr">
        <is>
          <t>VIMMERBY</t>
        </is>
      </c>
      <c r="G780" t="n">
        <v>0.4</v>
      </c>
      <c r="H780" t="n">
        <v>0</v>
      </c>
      <c r="I780" t="n">
        <v>0</v>
      </c>
      <c r="J780" t="n">
        <v>0</v>
      </c>
      <c r="K780" t="n">
        <v>0</v>
      </c>
      <c r="L780" t="n">
        <v>0</v>
      </c>
      <c r="M780" t="n">
        <v>0</v>
      </c>
      <c r="N780" t="n">
        <v>0</v>
      </c>
      <c r="O780" t="n">
        <v>0</v>
      </c>
      <c r="P780" t="n">
        <v>0</v>
      </c>
      <c r="Q780" t="n">
        <v>0</v>
      </c>
      <c r="R780" s="2" t="inlineStr"/>
    </row>
    <row r="781" ht="15" customHeight="1">
      <c r="A781" t="inlineStr">
        <is>
          <t>A 35272-2025</t>
        </is>
      </c>
      <c r="B781" s="1" t="n">
        <v>45853.88070601852</v>
      </c>
      <c r="C781" s="1" t="n">
        <v>45965</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16953-2025</t>
        </is>
      </c>
      <c r="B782" s="1" t="n">
        <v>45755.44333333334</v>
      </c>
      <c r="C782" s="1" t="n">
        <v>45965</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49039-2021</t>
        </is>
      </c>
      <c r="B783" s="1" t="n">
        <v>44453.56578703703</v>
      </c>
      <c r="C783" s="1" t="n">
        <v>45965</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50324-2025</t>
        </is>
      </c>
      <c r="B784" s="1" t="n">
        <v>45944.45962962963</v>
      </c>
      <c r="C784" s="1" t="n">
        <v>45965</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42918-2021</t>
        </is>
      </c>
      <c r="B785" s="1" t="n">
        <v>44431</v>
      </c>
      <c r="C785" s="1" t="n">
        <v>45965</v>
      </c>
      <c r="D785" t="inlineStr">
        <is>
          <t>KALMAR LÄN</t>
        </is>
      </c>
      <c r="E785" t="inlineStr">
        <is>
          <t>VIMMERBY</t>
        </is>
      </c>
      <c r="G785" t="n">
        <v>1.6</v>
      </c>
      <c r="H785" t="n">
        <v>0</v>
      </c>
      <c r="I785" t="n">
        <v>0</v>
      </c>
      <c r="J785" t="n">
        <v>0</v>
      </c>
      <c r="K785" t="n">
        <v>0</v>
      </c>
      <c r="L785" t="n">
        <v>0</v>
      </c>
      <c r="M785" t="n">
        <v>0</v>
      </c>
      <c r="N785" t="n">
        <v>0</v>
      </c>
      <c r="O785" t="n">
        <v>0</v>
      </c>
      <c r="P785" t="n">
        <v>0</v>
      </c>
      <c r="Q785" t="n">
        <v>0</v>
      </c>
      <c r="R785" s="2" t="inlineStr"/>
    </row>
    <row r="786" ht="15" customHeight="1">
      <c r="A786" t="inlineStr">
        <is>
          <t>A 529-2022</t>
        </is>
      </c>
      <c r="B786" s="1" t="n">
        <v>44566</v>
      </c>
      <c r="C786" s="1" t="n">
        <v>45965</v>
      </c>
      <c r="D786" t="inlineStr">
        <is>
          <t>KALMAR LÄN</t>
        </is>
      </c>
      <c r="E786" t="inlineStr">
        <is>
          <t>VIMMERBY</t>
        </is>
      </c>
      <c r="G786" t="n">
        <v>1.5</v>
      </c>
      <c r="H786" t="n">
        <v>0</v>
      </c>
      <c r="I786" t="n">
        <v>0</v>
      </c>
      <c r="J786" t="n">
        <v>0</v>
      </c>
      <c r="K786" t="n">
        <v>0</v>
      </c>
      <c r="L786" t="n">
        <v>0</v>
      </c>
      <c r="M786" t="n">
        <v>0</v>
      </c>
      <c r="N786" t="n">
        <v>0</v>
      </c>
      <c r="O786" t="n">
        <v>0</v>
      </c>
      <c r="P786" t="n">
        <v>0</v>
      </c>
      <c r="Q786" t="n">
        <v>0</v>
      </c>
      <c r="R786" s="2" t="inlineStr"/>
    </row>
    <row r="787" ht="15" customHeight="1">
      <c r="A787" t="inlineStr">
        <is>
          <t>A 35597-2025</t>
        </is>
      </c>
      <c r="B787" s="1" t="n">
        <v>45858.66019675926</v>
      </c>
      <c r="C787" s="1" t="n">
        <v>45965</v>
      </c>
      <c r="D787" t="inlineStr">
        <is>
          <t>KALMAR LÄN</t>
        </is>
      </c>
      <c r="E787" t="inlineStr">
        <is>
          <t>VIMMERBY</t>
        </is>
      </c>
      <c r="G787" t="n">
        <v>6.4</v>
      </c>
      <c r="H787" t="n">
        <v>0</v>
      </c>
      <c r="I787" t="n">
        <v>0</v>
      </c>
      <c r="J787" t="n">
        <v>0</v>
      </c>
      <c r="K787" t="n">
        <v>0</v>
      </c>
      <c r="L787" t="n">
        <v>0</v>
      </c>
      <c r="M787" t="n">
        <v>0</v>
      </c>
      <c r="N787" t="n">
        <v>0</v>
      </c>
      <c r="O787" t="n">
        <v>0</v>
      </c>
      <c r="P787" t="n">
        <v>0</v>
      </c>
      <c r="Q787" t="n">
        <v>0</v>
      </c>
      <c r="R787" s="2" t="inlineStr"/>
    </row>
    <row r="788" ht="15" customHeight="1">
      <c r="A788" t="inlineStr">
        <is>
          <t>A 14855-2025</t>
        </is>
      </c>
      <c r="B788" s="1" t="n">
        <v>45743.41148148148</v>
      </c>
      <c r="C788" s="1" t="n">
        <v>45965</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60951-2023</t>
        </is>
      </c>
      <c r="B789" s="1" t="n">
        <v>45261.44914351852</v>
      </c>
      <c r="C789" s="1" t="n">
        <v>45965</v>
      </c>
      <c r="D789" t="inlineStr">
        <is>
          <t>KALMAR LÄN</t>
        </is>
      </c>
      <c r="E789" t="inlineStr">
        <is>
          <t>VIMMERBY</t>
        </is>
      </c>
      <c r="G789" t="n">
        <v>4.3</v>
      </c>
      <c r="H789" t="n">
        <v>0</v>
      </c>
      <c r="I789" t="n">
        <v>0</v>
      </c>
      <c r="J789" t="n">
        <v>0</v>
      </c>
      <c r="K789" t="n">
        <v>0</v>
      </c>
      <c r="L789" t="n">
        <v>0</v>
      </c>
      <c r="M789" t="n">
        <v>0</v>
      </c>
      <c r="N789" t="n">
        <v>0</v>
      </c>
      <c r="O789" t="n">
        <v>0</v>
      </c>
      <c r="P789" t="n">
        <v>0</v>
      </c>
      <c r="Q789" t="n">
        <v>0</v>
      </c>
      <c r="R789" s="2" t="inlineStr"/>
    </row>
    <row r="790" ht="15" customHeight="1">
      <c r="A790" t="inlineStr">
        <is>
          <t>A 19162-2023</t>
        </is>
      </c>
      <c r="B790" s="1" t="n">
        <v>45048.59699074074</v>
      </c>
      <c r="C790" s="1" t="n">
        <v>45965</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35596-2025</t>
        </is>
      </c>
      <c r="B791" s="1" t="n">
        <v>45858.60641203704</v>
      </c>
      <c r="C791" s="1" t="n">
        <v>45965</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31209-2024</t>
        </is>
      </c>
      <c r="B792" s="1" t="n">
        <v>45503.5658912037</v>
      </c>
      <c r="C792" s="1" t="n">
        <v>45965</v>
      </c>
      <c r="D792" t="inlineStr">
        <is>
          <t>KALMAR LÄN</t>
        </is>
      </c>
      <c r="E792" t="inlineStr">
        <is>
          <t>VIMMERBY</t>
        </is>
      </c>
      <c r="G792" t="n">
        <v>1.7</v>
      </c>
      <c r="H792" t="n">
        <v>0</v>
      </c>
      <c r="I792" t="n">
        <v>0</v>
      </c>
      <c r="J792" t="n">
        <v>0</v>
      </c>
      <c r="K792" t="n">
        <v>0</v>
      </c>
      <c r="L792" t="n">
        <v>0</v>
      </c>
      <c r="M792" t="n">
        <v>0</v>
      </c>
      <c r="N792" t="n">
        <v>0</v>
      </c>
      <c r="O792" t="n">
        <v>0</v>
      </c>
      <c r="P792" t="n">
        <v>0</v>
      </c>
      <c r="Q792" t="n">
        <v>0</v>
      </c>
      <c r="R792" s="2" t="inlineStr"/>
    </row>
    <row r="793" ht="15" customHeight="1">
      <c r="A793" t="inlineStr">
        <is>
          <t>A 5864-2022</t>
        </is>
      </c>
      <c r="B793" s="1" t="n">
        <v>44596</v>
      </c>
      <c r="C793" s="1" t="n">
        <v>45965</v>
      </c>
      <c r="D793" t="inlineStr">
        <is>
          <t>KALMAR LÄN</t>
        </is>
      </c>
      <c r="E793" t="inlineStr">
        <is>
          <t>VIMMERBY</t>
        </is>
      </c>
      <c r="G793" t="n">
        <v>0.7</v>
      </c>
      <c r="H793" t="n">
        <v>0</v>
      </c>
      <c r="I793" t="n">
        <v>0</v>
      </c>
      <c r="J793" t="n">
        <v>0</v>
      </c>
      <c r="K793" t="n">
        <v>0</v>
      </c>
      <c r="L793" t="n">
        <v>0</v>
      </c>
      <c r="M793" t="n">
        <v>0</v>
      </c>
      <c r="N793" t="n">
        <v>0</v>
      </c>
      <c r="O793" t="n">
        <v>0</v>
      </c>
      <c r="P793" t="n">
        <v>0</v>
      </c>
      <c r="Q793" t="n">
        <v>0</v>
      </c>
      <c r="R793" s="2" t="inlineStr"/>
    </row>
    <row r="794" ht="15" customHeight="1">
      <c r="A794" t="inlineStr">
        <is>
          <t>A 34090-2025</t>
        </is>
      </c>
      <c r="B794" s="1" t="n">
        <v>45845</v>
      </c>
      <c r="C794" s="1" t="n">
        <v>45965</v>
      </c>
      <c r="D794" t="inlineStr">
        <is>
          <t>KALMAR LÄN</t>
        </is>
      </c>
      <c r="E794" t="inlineStr">
        <is>
          <t>VIMMERBY</t>
        </is>
      </c>
      <c r="G794" t="n">
        <v>2.8</v>
      </c>
      <c r="H794" t="n">
        <v>0</v>
      </c>
      <c r="I794" t="n">
        <v>0</v>
      </c>
      <c r="J794" t="n">
        <v>0</v>
      </c>
      <c r="K794" t="n">
        <v>0</v>
      </c>
      <c r="L794" t="n">
        <v>0</v>
      </c>
      <c r="M794" t="n">
        <v>0</v>
      </c>
      <c r="N794" t="n">
        <v>0</v>
      </c>
      <c r="O794" t="n">
        <v>0</v>
      </c>
      <c r="P794" t="n">
        <v>0</v>
      </c>
      <c r="Q794" t="n">
        <v>0</v>
      </c>
      <c r="R794" s="2" t="inlineStr"/>
    </row>
    <row r="795" ht="15" customHeight="1">
      <c r="A795" t="inlineStr">
        <is>
          <t>A 3938-2023</t>
        </is>
      </c>
      <c r="B795" s="1" t="n">
        <v>44952.35775462963</v>
      </c>
      <c r="C795" s="1" t="n">
        <v>45965</v>
      </c>
      <c r="D795" t="inlineStr">
        <is>
          <t>KALMAR LÄN</t>
        </is>
      </c>
      <c r="E795" t="inlineStr">
        <is>
          <t>VIMMERBY</t>
        </is>
      </c>
      <c r="G795" t="n">
        <v>0.9</v>
      </c>
      <c r="H795" t="n">
        <v>0</v>
      </c>
      <c r="I795" t="n">
        <v>0</v>
      </c>
      <c r="J795" t="n">
        <v>0</v>
      </c>
      <c r="K795" t="n">
        <v>0</v>
      </c>
      <c r="L795" t="n">
        <v>0</v>
      </c>
      <c r="M795" t="n">
        <v>0</v>
      </c>
      <c r="N795" t="n">
        <v>0</v>
      </c>
      <c r="O795" t="n">
        <v>0</v>
      </c>
      <c r="P795" t="n">
        <v>0</v>
      </c>
      <c r="Q795" t="n">
        <v>0</v>
      </c>
      <c r="R795" s="2" t="inlineStr"/>
    </row>
    <row r="796" ht="15" customHeight="1">
      <c r="A796" t="inlineStr">
        <is>
          <t>A 19502-2025</t>
        </is>
      </c>
      <c r="B796" s="1" t="n">
        <v>45769</v>
      </c>
      <c r="C796" s="1" t="n">
        <v>45965</v>
      </c>
      <c r="D796" t="inlineStr">
        <is>
          <t>KALMAR LÄN</t>
        </is>
      </c>
      <c r="E796" t="inlineStr">
        <is>
          <t>VIMMERBY</t>
        </is>
      </c>
      <c r="G796" t="n">
        <v>1.9</v>
      </c>
      <c r="H796" t="n">
        <v>0</v>
      </c>
      <c r="I796" t="n">
        <v>0</v>
      </c>
      <c r="J796" t="n">
        <v>0</v>
      </c>
      <c r="K796" t="n">
        <v>0</v>
      </c>
      <c r="L796" t="n">
        <v>0</v>
      </c>
      <c r="M796" t="n">
        <v>0</v>
      </c>
      <c r="N796" t="n">
        <v>0</v>
      </c>
      <c r="O796" t="n">
        <v>0</v>
      </c>
      <c r="P796" t="n">
        <v>0</v>
      </c>
      <c r="Q796" t="n">
        <v>0</v>
      </c>
      <c r="R796" s="2" t="inlineStr"/>
    </row>
    <row r="797" ht="15" customHeight="1">
      <c r="A797" t="inlineStr">
        <is>
          <t>A 26937-2023</t>
        </is>
      </c>
      <c r="B797" s="1" t="n">
        <v>45093.62777777778</v>
      </c>
      <c r="C797" s="1" t="n">
        <v>45965</v>
      </c>
      <c r="D797" t="inlineStr">
        <is>
          <t>KALMAR LÄN</t>
        </is>
      </c>
      <c r="E797" t="inlineStr">
        <is>
          <t>VIMMERBY</t>
        </is>
      </c>
      <c r="F797" t="inlineStr">
        <is>
          <t>Sveaskog</t>
        </is>
      </c>
      <c r="G797" t="n">
        <v>14.5</v>
      </c>
      <c r="H797" t="n">
        <v>0</v>
      </c>
      <c r="I797" t="n">
        <v>0</v>
      </c>
      <c r="J797" t="n">
        <v>0</v>
      </c>
      <c r="K797" t="n">
        <v>0</v>
      </c>
      <c r="L797" t="n">
        <v>0</v>
      </c>
      <c r="M797" t="n">
        <v>0</v>
      </c>
      <c r="N797" t="n">
        <v>0</v>
      </c>
      <c r="O797" t="n">
        <v>0</v>
      </c>
      <c r="P797" t="n">
        <v>0</v>
      </c>
      <c r="Q797" t="n">
        <v>0</v>
      </c>
      <c r="R797" s="2" t="inlineStr"/>
    </row>
    <row r="798" ht="15" customHeight="1">
      <c r="A798" t="inlineStr">
        <is>
          <t>A 50085-2023</t>
        </is>
      </c>
      <c r="B798" s="1" t="n">
        <v>45215.5959375</v>
      </c>
      <c r="C798" s="1" t="n">
        <v>45965</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41735-2025</t>
        </is>
      </c>
      <c r="B799" s="1" t="n">
        <v>45902.47164351852</v>
      </c>
      <c r="C799" s="1" t="n">
        <v>45965</v>
      </c>
      <c r="D799" t="inlineStr">
        <is>
          <t>KALMAR LÄN</t>
        </is>
      </c>
      <c r="E799" t="inlineStr">
        <is>
          <t>VIMMERBY</t>
        </is>
      </c>
      <c r="G799" t="n">
        <v>3</v>
      </c>
      <c r="H799" t="n">
        <v>0</v>
      </c>
      <c r="I799" t="n">
        <v>0</v>
      </c>
      <c r="J799" t="n">
        <v>0</v>
      </c>
      <c r="K799" t="n">
        <v>0</v>
      </c>
      <c r="L799" t="n">
        <v>0</v>
      </c>
      <c r="M799" t="n">
        <v>0</v>
      </c>
      <c r="N799" t="n">
        <v>0</v>
      </c>
      <c r="O799" t="n">
        <v>0</v>
      </c>
      <c r="P799" t="n">
        <v>0</v>
      </c>
      <c r="Q799" t="n">
        <v>0</v>
      </c>
      <c r="R799" s="2" t="inlineStr"/>
    </row>
    <row r="800" ht="15" customHeight="1">
      <c r="A800" t="inlineStr">
        <is>
          <t>A 11219-2023</t>
        </is>
      </c>
      <c r="B800" s="1" t="n">
        <v>44992.62498842592</v>
      </c>
      <c r="C800" s="1" t="n">
        <v>45965</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36273-2025</t>
        </is>
      </c>
      <c r="B801" s="1" t="n">
        <v>45867.63094907408</v>
      </c>
      <c r="C801" s="1" t="n">
        <v>45965</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36299-2025</t>
        </is>
      </c>
      <c r="B802" s="1" t="n">
        <v>45867.69346064814</v>
      </c>
      <c r="C802" s="1" t="n">
        <v>45965</v>
      </c>
      <c r="D802" t="inlineStr">
        <is>
          <t>KALMAR LÄN</t>
        </is>
      </c>
      <c r="E802" t="inlineStr">
        <is>
          <t>VIMMERBY</t>
        </is>
      </c>
      <c r="G802" t="n">
        <v>7.6</v>
      </c>
      <c r="H802" t="n">
        <v>0</v>
      </c>
      <c r="I802" t="n">
        <v>0</v>
      </c>
      <c r="J802" t="n">
        <v>0</v>
      </c>
      <c r="K802" t="n">
        <v>0</v>
      </c>
      <c r="L802" t="n">
        <v>0</v>
      </c>
      <c r="M802" t="n">
        <v>0</v>
      </c>
      <c r="N802" t="n">
        <v>0</v>
      </c>
      <c r="O802" t="n">
        <v>0</v>
      </c>
      <c r="P802" t="n">
        <v>0</v>
      </c>
      <c r="Q802" t="n">
        <v>0</v>
      </c>
      <c r="R802" s="2" t="inlineStr"/>
    </row>
    <row r="803" ht="15" customHeight="1">
      <c r="A803" t="inlineStr">
        <is>
          <t>A 36221-2025</t>
        </is>
      </c>
      <c r="B803" s="1" t="n">
        <v>45867.50792824074</v>
      </c>
      <c r="C803" s="1" t="n">
        <v>45965</v>
      </c>
      <c r="D803" t="inlineStr">
        <is>
          <t>KALMAR LÄN</t>
        </is>
      </c>
      <c r="E803" t="inlineStr">
        <is>
          <t>VIMMERBY</t>
        </is>
      </c>
      <c r="G803" t="n">
        <v>2.5</v>
      </c>
      <c r="H803" t="n">
        <v>0</v>
      </c>
      <c r="I803" t="n">
        <v>0</v>
      </c>
      <c r="J803" t="n">
        <v>0</v>
      </c>
      <c r="K803" t="n">
        <v>0</v>
      </c>
      <c r="L803" t="n">
        <v>0</v>
      </c>
      <c r="M803" t="n">
        <v>0</v>
      </c>
      <c r="N803" t="n">
        <v>0</v>
      </c>
      <c r="O803" t="n">
        <v>0</v>
      </c>
      <c r="P803" t="n">
        <v>0</v>
      </c>
      <c r="Q803" t="n">
        <v>0</v>
      </c>
      <c r="R803" s="2" t="inlineStr"/>
    </row>
    <row r="804" ht="15" customHeight="1">
      <c r="A804" t="inlineStr">
        <is>
          <t>A 36226-2025</t>
        </is>
      </c>
      <c r="B804" s="1" t="n">
        <v>45867.51630787037</v>
      </c>
      <c r="C804" s="1" t="n">
        <v>45965</v>
      </c>
      <c r="D804" t="inlineStr">
        <is>
          <t>KALMAR LÄN</t>
        </is>
      </c>
      <c r="E804" t="inlineStr">
        <is>
          <t>VIMMERBY</t>
        </is>
      </c>
      <c r="G804" t="n">
        <v>3.1</v>
      </c>
      <c r="H804" t="n">
        <v>0</v>
      </c>
      <c r="I804" t="n">
        <v>0</v>
      </c>
      <c r="J804" t="n">
        <v>0</v>
      </c>
      <c r="K804" t="n">
        <v>0</v>
      </c>
      <c r="L804" t="n">
        <v>0</v>
      </c>
      <c r="M804" t="n">
        <v>0</v>
      </c>
      <c r="N804" t="n">
        <v>0</v>
      </c>
      <c r="O804" t="n">
        <v>0</v>
      </c>
      <c r="P804" t="n">
        <v>0</v>
      </c>
      <c r="Q804" t="n">
        <v>0</v>
      </c>
      <c r="R804" s="2" t="inlineStr"/>
    </row>
    <row r="805" ht="15" customHeight="1">
      <c r="A805" t="inlineStr">
        <is>
          <t>A 36297-2025</t>
        </is>
      </c>
      <c r="B805" s="1" t="n">
        <v>45867.68625</v>
      </c>
      <c r="C805" s="1" t="n">
        <v>45965</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36246-2025</t>
        </is>
      </c>
      <c r="B806" s="1" t="n">
        <v>45867.56320601852</v>
      </c>
      <c r="C806" s="1" t="n">
        <v>45965</v>
      </c>
      <c r="D806" t="inlineStr">
        <is>
          <t>KALMAR LÄN</t>
        </is>
      </c>
      <c r="E806" t="inlineStr">
        <is>
          <t>VIMMERBY</t>
        </is>
      </c>
      <c r="G806" t="n">
        <v>1</v>
      </c>
      <c r="H806" t="n">
        <v>0</v>
      </c>
      <c r="I806" t="n">
        <v>0</v>
      </c>
      <c r="J806" t="n">
        <v>0</v>
      </c>
      <c r="K806" t="n">
        <v>0</v>
      </c>
      <c r="L806" t="n">
        <v>0</v>
      </c>
      <c r="M806" t="n">
        <v>0</v>
      </c>
      <c r="N806" t="n">
        <v>0</v>
      </c>
      <c r="O806" t="n">
        <v>0</v>
      </c>
      <c r="P806" t="n">
        <v>0</v>
      </c>
      <c r="Q806" t="n">
        <v>0</v>
      </c>
      <c r="R806" s="2" t="inlineStr"/>
    </row>
    <row r="807" ht="15" customHeight="1">
      <c r="A807" t="inlineStr">
        <is>
          <t>A 36282-2025</t>
        </is>
      </c>
      <c r="B807" s="1" t="n">
        <v>45867.64663194444</v>
      </c>
      <c r="C807" s="1" t="n">
        <v>45965</v>
      </c>
      <c r="D807" t="inlineStr">
        <is>
          <t>KALMAR LÄN</t>
        </is>
      </c>
      <c r="E807" t="inlineStr">
        <is>
          <t>VIMMERBY</t>
        </is>
      </c>
      <c r="G807" t="n">
        <v>1.4</v>
      </c>
      <c r="H807" t="n">
        <v>0</v>
      </c>
      <c r="I807" t="n">
        <v>0</v>
      </c>
      <c r="J807" t="n">
        <v>0</v>
      </c>
      <c r="K807" t="n">
        <v>0</v>
      </c>
      <c r="L807" t="n">
        <v>0</v>
      </c>
      <c r="M807" t="n">
        <v>0</v>
      </c>
      <c r="N807" t="n">
        <v>0</v>
      </c>
      <c r="O807" t="n">
        <v>0</v>
      </c>
      <c r="P807" t="n">
        <v>0</v>
      </c>
      <c r="Q807" t="n">
        <v>0</v>
      </c>
      <c r="R807" s="2" t="inlineStr"/>
    </row>
    <row r="808" ht="15" customHeight="1">
      <c r="A808" t="inlineStr">
        <is>
          <t>A 36538-2025</t>
        </is>
      </c>
      <c r="B808" s="1" t="n">
        <v>45869.62276620371</v>
      </c>
      <c r="C808" s="1" t="n">
        <v>45965</v>
      </c>
      <c r="D808" t="inlineStr">
        <is>
          <t>KALMAR LÄN</t>
        </is>
      </c>
      <c r="E808" t="inlineStr">
        <is>
          <t>VIMMERBY</t>
        </is>
      </c>
      <c r="G808" t="n">
        <v>2.6</v>
      </c>
      <c r="H808" t="n">
        <v>0</v>
      </c>
      <c r="I808" t="n">
        <v>0</v>
      </c>
      <c r="J808" t="n">
        <v>0</v>
      </c>
      <c r="K808" t="n">
        <v>0</v>
      </c>
      <c r="L808" t="n">
        <v>0</v>
      </c>
      <c r="M808" t="n">
        <v>0</v>
      </c>
      <c r="N808" t="n">
        <v>0</v>
      </c>
      <c r="O808" t="n">
        <v>0</v>
      </c>
      <c r="P808" t="n">
        <v>0</v>
      </c>
      <c r="Q808" t="n">
        <v>0</v>
      </c>
      <c r="R808" s="2" t="inlineStr"/>
    </row>
    <row r="809" ht="15" customHeight="1">
      <c r="A809" t="inlineStr">
        <is>
          <t>A 36598-2025</t>
        </is>
      </c>
      <c r="B809" s="1" t="n">
        <v>45870.51708333333</v>
      </c>
      <c r="C809" s="1" t="n">
        <v>45965</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36602-2025</t>
        </is>
      </c>
      <c r="B810" s="1" t="n">
        <v>45870.52111111111</v>
      </c>
      <c r="C810" s="1" t="n">
        <v>45965</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36600-2025</t>
        </is>
      </c>
      <c r="B811" s="1" t="n">
        <v>45870.51958333333</v>
      </c>
      <c r="C811" s="1" t="n">
        <v>45965</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36601-2025</t>
        </is>
      </c>
      <c r="B812" s="1" t="n">
        <v>45870.52005787037</v>
      </c>
      <c r="C812" s="1" t="n">
        <v>45965</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36603-2025</t>
        </is>
      </c>
      <c r="B813" s="1" t="n">
        <v>45870.52142361111</v>
      </c>
      <c r="C813" s="1" t="n">
        <v>45965</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6850-2023</t>
        </is>
      </c>
      <c r="B814" s="1" t="n">
        <v>44967.44255787037</v>
      </c>
      <c r="C814" s="1" t="n">
        <v>45965</v>
      </c>
      <c r="D814" t="inlineStr">
        <is>
          <t>KALMAR LÄN</t>
        </is>
      </c>
      <c r="E814" t="inlineStr">
        <is>
          <t>VIMMERBY</t>
        </is>
      </c>
      <c r="G814" t="n">
        <v>0.6</v>
      </c>
      <c r="H814" t="n">
        <v>0</v>
      </c>
      <c r="I814" t="n">
        <v>0</v>
      </c>
      <c r="J814" t="n">
        <v>0</v>
      </c>
      <c r="K814" t="n">
        <v>0</v>
      </c>
      <c r="L814" t="n">
        <v>0</v>
      </c>
      <c r="M814" t="n">
        <v>0</v>
      </c>
      <c r="N814" t="n">
        <v>0</v>
      </c>
      <c r="O814" t="n">
        <v>0</v>
      </c>
      <c r="P814" t="n">
        <v>0</v>
      </c>
      <c r="Q814" t="n">
        <v>0</v>
      </c>
      <c r="R814" s="2" t="inlineStr"/>
    </row>
    <row r="815" ht="15" customHeight="1">
      <c r="A815" t="inlineStr">
        <is>
          <t>A 50544-2025</t>
        </is>
      </c>
      <c r="B815" s="1" t="n">
        <v>45945.50736111111</v>
      </c>
      <c r="C815" s="1" t="n">
        <v>45965</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6358-2022</t>
        </is>
      </c>
      <c r="B816" s="1" t="n">
        <v>44600</v>
      </c>
      <c r="C816" s="1" t="n">
        <v>45965</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43853-2023</t>
        </is>
      </c>
      <c r="B817" s="1" t="n">
        <v>45187.60813657408</v>
      </c>
      <c r="C817" s="1" t="n">
        <v>45965</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7075-2021</t>
        </is>
      </c>
      <c r="B818" s="1" t="n">
        <v>44237</v>
      </c>
      <c r="C818" s="1" t="n">
        <v>45965</v>
      </c>
      <c r="D818" t="inlineStr">
        <is>
          <t>KALMAR LÄN</t>
        </is>
      </c>
      <c r="E818" t="inlineStr">
        <is>
          <t>VIMMERBY</t>
        </is>
      </c>
      <c r="G818" t="n">
        <v>3.6</v>
      </c>
      <c r="H818" t="n">
        <v>0</v>
      </c>
      <c r="I818" t="n">
        <v>0</v>
      </c>
      <c r="J818" t="n">
        <v>0</v>
      </c>
      <c r="K818" t="n">
        <v>0</v>
      </c>
      <c r="L818" t="n">
        <v>0</v>
      </c>
      <c r="M818" t="n">
        <v>0</v>
      </c>
      <c r="N818" t="n">
        <v>0</v>
      </c>
      <c r="O818" t="n">
        <v>0</v>
      </c>
      <c r="P818" t="n">
        <v>0</v>
      </c>
      <c r="Q818" t="n">
        <v>0</v>
      </c>
      <c r="R818" s="2" t="inlineStr"/>
    </row>
    <row r="819" ht="15" customHeight="1">
      <c r="A819" t="inlineStr">
        <is>
          <t>A 48673-2021</t>
        </is>
      </c>
      <c r="B819" s="1" t="n">
        <v>44452</v>
      </c>
      <c r="C819" s="1" t="n">
        <v>45965</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14137-2023</t>
        </is>
      </c>
      <c r="B820" s="1" t="n">
        <v>45009.4671875</v>
      </c>
      <c r="C820" s="1" t="n">
        <v>45965</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7630-2025</t>
        </is>
      </c>
      <c r="B821" s="1" t="n">
        <v>45705.74418981482</v>
      </c>
      <c r="C821" s="1" t="n">
        <v>45965</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36934-2025</t>
        </is>
      </c>
      <c r="B822" s="1" t="n">
        <v>45874.57109953704</v>
      </c>
      <c r="C822" s="1" t="n">
        <v>45965</v>
      </c>
      <c r="D822" t="inlineStr">
        <is>
          <t>KALMAR LÄN</t>
        </is>
      </c>
      <c r="E822" t="inlineStr">
        <is>
          <t>VIMMERBY</t>
        </is>
      </c>
      <c r="G822" t="n">
        <v>4.2</v>
      </c>
      <c r="H822" t="n">
        <v>0</v>
      </c>
      <c r="I822" t="n">
        <v>0</v>
      </c>
      <c r="J822" t="n">
        <v>0</v>
      </c>
      <c r="K822" t="n">
        <v>0</v>
      </c>
      <c r="L822" t="n">
        <v>0</v>
      </c>
      <c r="M822" t="n">
        <v>0</v>
      </c>
      <c r="N822" t="n">
        <v>0</v>
      </c>
      <c r="O822" t="n">
        <v>0</v>
      </c>
      <c r="P822" t="n">
        <v>0</v>
      </c>
      <c r="Q822" t="n">
        <v>0</v>
      </c>
      <c r="R822" s="2" t="inlineStr"/>
    </row>
    <row r="823" ht="15" customHeight="1">
      <c r="A823" t="inlineStr">
        <is>
          <t>A 38780-2021</t>
        </is>
      </c>
      <c r="B823" s="1" t="n">
        <v>44410</v>
      </c>
      <c r="C823" s="1" t="n">
        <v>45965</v>
      </c>
      <c r="D823" t="inlineStr">
        <is>
          <t>KALMAR LÄN</t>
        </is>
      </c>
      <c r="E823" t="inlineStr">
        <is>
          <t>VIMMERBY</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30503-2023</t>
        </is>
      </c>
      <c r="B824" s="1" t="n">
        <v>45111</v>
      </c>
      <c r="C824" s="1" t="n">
        <v>45965</v>
      </c>
      <c r="D824" t="inlineStr">
        <is>
          <t>KALMAR LÄN</t>
        </is>
      </c>
      <c r="E824" t="inlineStr">
        <is>
          <t>VIMMERBY</t>
        </is>
      </c>
      <c r="G824" t="n">
        <v>0.5</v>
      </c>
      <c r="H824" t="n">
        <v>0</v>
      </c>
      <c r="I824" t="n">
        <v>0</v>
      </c>
      <c r="J824" t="n">
        <v>0</v>
      </c>
      <c r="K824" t="n">
        <v>0</v>
      </c>
      <c r="L824" t="n">
        <v>0</v>
      </c>
      <c r="M824" t="n">
        <v>0</v>
      </c>
      <c r="N824" t="n">
        <v>0</v>
      </c>
      <c r="O824" t="n">
        <v>0</v>
      </c>
      <c r="P824" t="n">
        <v>0</v>
      </c>
      <c r="Q824" t="n">
        <v>0</v>
      </c>
      <c r="R824" s="2" t="inlineStr"/>
    </row>
    <row r="825" ht="15" customHeight="1">
      <c r="A825" t="inlineStr">
        <is>
          <t>A 37088-2025</t>
        </is>
      </c>
      <c r="B825" s="1" t="n">
        <v>45875.45716435185</v>
      </c>
      <c r="C825" s="1" t="n">
        <v>45965</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37102-2025</t>
        </is>
      </c>
      <c r="B826" s="1" t="n">
        <v>45875.47454861111</v>
      </c>
      <c r="C826" s="1" t="n">
        <v>45965</v>
      </c>
      <c r="D826" t="inlineStr">
        <is>
          <t>KALMAR LÄN</t>
        </is>
      </c>
      <c r="E826" t="inlineStr">
        <is>
          <t>VIMMERBY</t>
        </is>
      </c>
      <c r="G826" t="n">
        <v>1.3</v>
      </c>
      <c r="H826" t="n">
        <v>0</v>
      </c>
      <c r="I826" t="n">
        <v>0</v>
      </c>
      <c r="J826" t="n">
        <v>0</v>
      </c>
      <c r="K826" t="n">
        <v>0</v>
      </c>
      <c r="L826" t="n">
        <v>0</v>
      </c>
      <c r="M826" t="n">
        <v>0</v>
      </c>
      <c r="N826" t="n">
        <v>0</v>
      </c>
      <c r="O826" t="n">
        <v>0</v>
      </c>
      <c r="P826" t="n">
        <v>0</v>
      </c>
      <c r="Q826" t="n">
        <v>0</v>
      </c>
      <c r="R826" s="2" t="inlineStr"/>
    </row>
    <row r="827" ht="15" customHeight="1">
      <c r="A827" t="inlineStr">
        <is>
          <t>A 60110-2022</t>
        </is>
      </c>
      <c r="B827" s="1" t="n">
        <v>44909</v>
      </c>
      <c r="C827" s="1" t="n">
        <v>45965</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59300-2024</t>
        </is>
      </c>
      <c r="B828" s="1" t="n">
        <v>45637.66542824074</v>
      </c>
      <c r="C828" s="1" t="n">
        <v>45965</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37079-2025</t>
        </is>
      </c>
      <c r="B829" s="1" t="n">
        <v>45875.42716435185</v>
      </c>
      <c r="C829" s="1" t="n">
        <v>45965</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37668-2025</t>
        </is>
      </c>
      <c r="B830" s="1" t="n">
        <v>45880.51550925926</v>
      </c>
      <c r="C830" s="1" t="n">
        <v>45965</v>
      </c>
      <c r="D830" t="inlineStr">
        <is>
          <t>KALMAR LÄN</t>
        </is>
      </c>
      <c r="E830" t="inlineStr">
        <is>
          <t>VIMMERBY</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37578-2025</t>
        </is>
      </c>
      <c r="B831" s="1" t="n">
        <v>45880.38380787037</v>
      </c>
      <c r="C831" s="1" t="n">
        <v>45965</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19445-2021</t>
        </is>
      </c>
      <c r="B832" s="1" t="n">
        <v>44310</v>
      </c>
      <c r="C832" s="1" t="n">
        <v>45965</v>
      </c>
      <c r="D832" t="inlineStr">
        <is>
          <t>KALMAR LÄN</t>
        </is>
      </c>
      <c r="E832" t="inlineStr">
        <is>
          <t>VIMMERBY</t>
        </is>
      </c>
      <c r="G832" t="n">
        <v>6.8</v>
      </c>
      <c r="H832" t="n">
        <v>0</v>
      </c>
      <c r="I832" t="n">
        <v>0</v>
      </c>
      <c r="J832" t="n">
        <v>0</v>
      </c>
      <c r="K832" t="n">
        <v>0</v>
      </c>
      <c r="L832" t="n">
        <v>0</v>
      </c>
      <c r="M832" t="n">
        <v>0</v>
      </c>
      <c r="N832" t="n">
        <v>0</v>
      </c>
      <c r="O832" t="n">
        <v>0</v>
      </c>
      <c r="P832" t="n">
        <v>0</v>
      </c>
      <c r="Q832" t="n">
        <v>0</v>
      </c>
      <c r="R832" s="2" t="inlineStr"/>
    </row>
    <row r="833" ht="15" customHeight="1">
      <c r="A833" t="inlineStr">
        <is>
          <t>A 18329-2023</t>
        </is>
      </c>
      <c r="B833" s="1" t="n">
        <v>45041.63380787037</v>
      </c>
      <c r="C833" s="1" t="n">
        <v>45965</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5720-2023</t>
        </is>
      </c>
      <c r="B834" s="1" t="n">
        <v>44961</v>
      </c>
      <c r="C834" s="1" t="n">
        <v>45965</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46118-2025</t>
        </is>
      </c>
      <c r="B835" s="1" t="n">
        <v>45924.57697916667</v>
      </c>
      <c r="C835" s="1" t="n">
        <v>45965</v>
      </c>
      <c r="D835" t="inlineStr">
        <is>
          <t>KALMAR LÄN</t>
        </is>
      </c>
      <c r="E835" t="inlineStr">
        <is>
          <t>VIMMERBY</t>
        </is>
      </c>
      <c r="G835" t="n">
        <v>2.9</v>
      </c>
      <c r="H835" t="n">
        <v>0</v>
      </c>
      <c r="I835" t="n">
        <v>0</v>
      </c>
      <c r="J835" t="n">
        <v>0</v>
      </c>
      <c r="K835" t="n">
        <v>0</v>
      </c>
      <c r="L835" t="n">
        <v>0</v>
      </c>
      <c r="M835" t="n">
        <v>0</v>
      </c>
      <c r="N835" t="n">
        <v>0</v>
      </c>
      <c r="O835" t="n">
        <v>0</v>
      </c>
      <c r="P835" t="n">
        <v>0</v>
      </c>
      <c r="Q835" t="n">
        <v>0</v>
      </c>
      <c r="R835" s="2" t="inlineStr"/>
    </row>
    <row r="836" ht="15" customHeight="1">
      <c r="A836" t="inlineStr">
        <is>
          <t>A 42828-2025</t>
        </is>
      </c>
      <c r="B836" s="1" t="n">
        <v>45908.57716435185</v>
      </c>
      <c r="C836" s="1" t="n">
        <v>45965</v>
      </c>
      <c r="D836" t="inlineStr">
        <is>
          <t>KALMAR LÄN</t>
        </is>
      </c>
      <c r="E836" t="inlineStr">
        <is>
          <t>VIMMERBY</t>
        </is>
      </c>
      <c r="G836" t="n">
        <v>5.2</v>
      </c>
      <c r="H836" t="n">
        <v>0</v>
      </c>
      <c r="I836" t="n">
        <v>0</v>
      </c>
      <c r="J836" t="n">
        <v>0</v>
      </c>
      <c r="K836" t="n">
        <v>0</v>
      </c>
      <c r="L836" t="n">
        <v>0</v>
      </c>
      <c r="M836" t="n">
        <v>0</v>
      </c>
      <c r="N836" t="n">
        <v>0</v>
      </c>
      <c r="O836" t="n">
        <v>0</v>
      </c>
      <c r="P836" t="n">
        <v>0</v>
      </c>
      <c r="Q836" t="n">
        <v>0</v>
      </c>
      <c r="R836" s="2" t="inlineStr"/>
    </row>
    <row r="837" ht="15" customHeight="1">
      <c r="A837" t="inlineStr">
        <is>
          <t>A 37866-2025</t>
        </is>
      </c>
      <c r="B837" s="1" t="n">
        <v>45881</v>
      </c>
      <c r="C837" s="1" t="n">
        <v>45965</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42794-2025</t>
        </is>
      </c>
      <c r="B838" s="1" t="n">
        <v>45908</v>
      </c>
      <c r="C838" s="1" t="n">
        <v>45965</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37939-2025</t>
        </is>
      </c>
      <c r="B839" s="1" t="n">
        <v>45881.59877314815</v>
      </c>
      <c r="C839" s="1" t="n">
        <v>45965</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51062-2025</t>
        </is>
      </c>
      <c r="B840" s="1" t="n">
        <v>45947.44685185186</v>
      </c>
      <c r="C840" s="1" t="n">
        <v>45965</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42820-2025</t>
        </is>
      </c>
      <c r="B841" s="1" t="n">
        <v>45908</v>
      </c>
      <c r="C841" s="1" t="n">
        <v>45965</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34060-2025</t>
        </is>
      </c>
      <c r="B842" s="1" t="n">
        <v>45845.42015046296</v>
      </c>
      <c r="C842" s="1" t="n">
        <v>45965</v>
      </c>
      <c r="D842" t="inlineStr">
        <is>
          <t>KALMAR LÄN</t>
        </is>
      </c>
      <c r="E842" t="inlineStr">
        <is>
          <t>VIMMERBY</t>
        </is>
      </c>
      <c r="G842" t="n">
        <v>5.7</v>
      </c>
      <c r="H842" t="n">
        <v>0</v>
      </c>
      <c r="I842" t="n">
        <v>0</v>
      </c>
      <c r="J842" t="n">
        <v>0</v>
      </c>
      <c r="K842" t="n">
        <v>0</v>
      </c>
      <c r="L842" t="n">
        <v>0</v>
      </c>
      <c r="M842" t="n">
        <v>0</v>
      </c>
      <c r="N842" t="n">
        <v>0</v>
      </c>
      <c r="O842" t="n">
        <v>0</v>
      </c>
      <c r="P842" t="n">
        <v>0</v>
      </c>
      <c r="Q842" t="n">
        <v>0</v>
      </c>
      <c r="R842" s="2" t="inlineStr"/>
    </row>
    <row r="843" ht="15" customHeight="1">
      <c r="A843" t="inlineStr">
        <is>
          <t>A 51990-2025</t>
        </is>
      </c>
      <c r="B843" s="1" t="n">
        <v>45952.58061342593</v>
      </c>
      <c r="C843" s="1" t="n">
        <v>45965</v>
      </c>
      <c r="D843" t="inlineStr">
        <is>
          <t>KALMAR LÄN</t>
        </is>
      </c>
      <c r="E843" t="inlineStr">
        <is>
          <t>VIMMERBY</t>
        </is>
      </c>
      <c r="G843" t="n">
        <v>2.4</v>
      </c>
      <c r="H843" t="n">
        <v>0</v>
      </c>
      <c r="I843" t="n">
        <v>0</v>
      </c>
      <c r="J843" t="n">
        <v>0</v>
      </c>
      <c r="K843" t="n">
        <v>0</v>
      </c>
      <c r="L843" t="n">
        <v>0</v>
      </c>
      <c r="M843" t="n">
        <v>0</v>
      </c>
      <c r="N843" t="n">
        <v>0</v>
      </c>
      <c r="O843" t="n">
        <v>0</v>
      </c>
      <c r="P843" t="n">
        <v>0</v>
      </c>
      <c r="Q843" t="n">
        <v>0</v>
      </c>
      <c r="R843" s="2" t="inlineStr"/>
    </row>
    <row r="844" ht="15" customHeight="1">
      <c r="A844" t="inlineStr">
        <is>
          <t>A 51993-2025</t>
        </is>
      </c>
      <c r="B844" s="1" t="n">
        <v>45952.58194444444</v>
      </c>
      <c r="C844" s="1" t="n">
        <v>45965</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43617-2025</t>
        </is>
      </c>
      <c r="B845" s="1" t="n">
        <v>45911.67798611111</v>
      </c>
      <c r="C845" s="1" t="n">
        <v>45965</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52465-2025</t>
        </is>
      </c>
      <c r="B846" s="1" t="n">
        <v>45954.44543981482</v>
      </c>
      <c r="C846" s="1" t="n">
        <v>45965</v>
      </c>
      <c r="D846" t="inlineStr">
        <is>
          <t>KALMAR LÄN</t>
        </is>
      </c>
      <c r="E846" t="inlineStr">
        <is>
          <t>VIMMERBY</t>
        </is>
      </c>
      <c r="G846" t="n">
        <v>0.9</v>
      </c>
      <c r="H846" t="n">
        <v>0</v>
      </c>
      <c r="I846" t="n">
        <v>0</v>
      </c>
      <c r="J846" t="n">
        <v>0</v>
      </c>
      <c r="K846" t="n">
        <v>0</v>
      </c>
      <c r="L846" t="n">
        <v>0</v>
      </c>
      <c r="M846" t="n">
        <v>0</v>
      </c>
      <c r="N846" t="n">
        <v>0</v>
      </c>
      <c r="O846" t="n">
        <v>0</v>
      </c>
      <c r="P846" t="n">
        <v>0</v>
      </c>
      <c r="Q846" t="n">
        <v>0</v>
      </c>
      <c r="R846" s="2" t="inlineStr"/>
    </row>
    <row r="847" ht="15" customHeight="1">
      <c r="A847" t="inlineStr">
        <is>
          <t>A 52451-2025</t>
        </is>
      </c>
      <c r="B847" s="1" t="n">
        <v>45954.42326388889</v>
      </c>
      <c r="C847" s="1" t="n">
        <v>45965</v>
      </c>
      <c r="D847" t="inlineStr">
        <is>
          <t>KALMAR LÄN</t>
        </is>
      </c>
      <c r="E847" t="inlineStr">
        <is>
          <t>VIMMERBY</t>
        </is>
      </c>
      <c r="G847" t="n">
        <v>2.8</v>
      </c>
      <c r="H847" t="n">
        <v>0</v>
      </c>
      <c r="I847" t="n">
        <v>0</v>
      </c>
      <c r="J847" t="n">
        <v>0</v>
      </c>
      <c r="K847" t="n">
        <v>0</v>
      </c>
      <c r="L847" t="n">
        <v>0</v>
      </c>
      <c r="M847" t="n">
        <v>0</v>
      </c>
      <c r="N847" t="n">
        <v>0</v>
      </c>
      <c r="O847" t="n">
        <v>0</v>
      </c>
      <c r="P847" t="n">
        <v>0</v>
      </c>
      <c r="Q847" t="n">
        <v>0</v>
      </c>
      <c r="R847" s="2" t="inlineStr"/>
    </row>
    <row r="848" ht="15" customHeight="1">
      <c r="A848" t="inlineStr">
        <is>
          <t>A 43465-2025</t>
        </is>
      </c>
      <c r="B848" s="1" t="n">
        <v>45911.47138888889</v>
      </c>
      <c r="C848" s="1" t="n">
        <v>45965</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52473-2025</t>
        </is>
      </c>
      <c r="B849" s="1" t="n">
        <v>45954.45947916667</v>
      </c>
      <c r="C849" s="1" t="n">
        <v>45965</v>
      </c>
      <c r="D849" t="inlineStr">
        <is>
          <t>KALMAR LÄN</t>
        </is>
      </c>
      <c r="E849" t="inlineStr">
        <is>
          <t>VIMMERBY</t>
        </is>
      </c>
      <c r="G849" t="n">
        <v>2.4</v>
      </c>
      <c r="H849" t="n">
        <v>0</v>
      </c>
      <c r="I849" t="n">
        <v>0</v>
      </c>
      <c r="J849" t="n">
        <v>0</v>
      </c>
      <c r="K849" t="n">
        <v>0</v>
      </c>
      <c r="L849" t="n">
        <v>0</v>
      </c>
      <c r="M849" t="n">
        <v>0</v>
      </c>
      <c r="N849" t="n">
        <v>0</v>
      </c>
      <c r="O849" t="n">
        <v>0</v>
      </c>
      <c r="P849" t="n">
        <v>0</v>
      </c>
      <c r="Q849" t="n">
        <v>0</v>
      </c>
      <c r="R849" s="2" t="inlineStr"/>
    </row>
    <row r="850" ht="15" customHeight="1">
      <c r="A850" t="inlineStr">
        <is>
          <t>A 52480-2025</t>
        </is>
      </c>
      <c r="B850" s="1" t="n">
        <v>45954.47172453703</v>
      </c>
      <c r="C850" s="1" t="n">
        <v>45965</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52466-2025</t>
        </is>
      </c>
      <c r="B851" s="1" t="n">
        <v>45954.44707175926</v>
      </c>
      <c r="C851" s="1" t="n">
        <v>45965</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52475-2025</t>
        </is>
      </c>
      <c r="B852" s="1" t="n">
        <v>45954.468125</v>
      </c>
      <c r="C852" s="1" t="n">
        <v>45965</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52516-2025</t>
        </is>
      </c>
      <c r="B853" s="1" t="n">
        <v>45954.51412037037</v>
      </c>
      <c r="C853" s="1" t="n">
        <v>45965</v>
      </c>
      <c r="D853" t="inlineStr">
        <is>
          <t>KALMAR LÄN</t>
        </is>
      </c>
      <c r="E853" t="inlineStr">
        <is>
          <t>VIMMERBY</t>
        </is>
      </c>
      <c r="G853" t="n">
        <v>2.8</v>
      </c>
      <c r="H853" t="n">
        <v>0</v>
      </c>
      <c r="I853" t="n">
        <v>0</v>
      </c>
      <c r="J853" t="n">
        <v>0</v>
      </c>
      <c r="K853" t="n">
        <v>0</v>
      </c>
      <c r="L853" t="n">
        <v>0</v>
      </c>
      <c r="M853" t="n">
        <v>0</v>
      </c>
      <c r="N853" t="n">
        <v>0</v>
      </c>
      <c r="O853" t="n">
        <v>0</v>
      </c>
      <c r="P853" t="n">
        <v>0</v>
      </c>
      <c r="Q853" t="n">
        <v>0</v>
      </c>
      <c r="R853" s="2" t="inlineStr"/>
    </row>
    <row r="854" ht="15" customHeight="1">
      <c r="A854" t="inlineStr">
        <is>
          <t>A 44329-2025</t>
        </is>
      </c>
      <c r="B854" s="1" t="n">
        <v>45916.41019675926</v>
      </c>
      <c r="C854" s="1" t="n">
        <v>45965</v>
      </c>
      <c r="D854" t="inlineStr">
        <is>
          <t>KALMAR LÄN</t>
        </is>
      </c>
      <c r="E854" t="inlineStr">
        <is>
          <t>VIMMERBY</t>
        </is>
      </c>
      <c r="G854" t="n">
        <v>4.3</v>
      </c>
      <c r="H854" t="n">
        <v>0</v>
      </c>
      <c r="I854" t="n">
        <v>0</v>
      </c>
      <c r="J854" t="n">
        <v>0</v>
      </c>
      <c r="K854" t="n">
        <v>0</v>
      </c>
      <c r="L854" t="n">
        <v>0</v>
      </c>
      <c r="M854" t="n">
        <v>0</v>
      </c>
      <c r="N854" t="n">
        <v>0</v>
      </c>
      <c r="O854" t="n">
        <v>0</v>
      </c>
      <c r="P854" t="n">
        <v>0</v>
      </c>
      <c r="Q854" t="n">
        <v>0</v>
      </c>
      <c r="R854" s="2" t="inlineStr"/>
    </row>
    <row r="855" ht="15" customHeight="1">
      <c r="A855" t="inlineStr">
        <is>
          <t>A 44517-2025</t>
        </is>
      </c>
      <c r="B855" s="1" t="n">
        <v>45916.7103587963</v>
      </c>
      <c r="C855" s="1" t="n">
        <v>45965</v>
      </c>
      <c r="D855" t="inlineStr">
        <is>
          <t>KALMAR LÄN</t>
        </is>
      </c>
      <c r="E855" t="inlineStr">
        <is>
          <t>VIMMERBY</t>
        </is>
      </c>
      <c r="G855" t="n">
        <v>0.9</v>
      </c>
      <c r="H855" t="n">
        <v>0</v>
      </c>
      <c r="I855" t="n">
        <v>0</v>
      </c>
      <c r="J855" t="n">
        <v>0</v>
      </c>
      <c r="K855" t="n">
        <v>0</v>
      </c>
      <c r="L855" t="n">
        <v>0</v>
      </c>
      <c r="M855" t="n">
        <v>0</v>
      </c>
      <c r="N855" t="n">
        <v>0</v>
      </c>
      <c r="O855" t="n">
        <v>0</v>
      </c>
      <c r="P855" t="n">
        <v>0</v>
      </c>
      <c r="Q855" t="n">
        <v>0</v>
      </c>
      <c r="R855" s="2" t="inlineStr"/>
    </row>
    <row r="856" ht="15" customHeight="1">
      <c r="A856" t="inlineStr">
        <is>
          <t>A 53220-2025</t>
        </is>
      </c>
      <c r="B856" s="1" t="n">
        <v>45958.60146990741</v>
      </c>
      <c r="C856" s="1" t="n">
        <v>45965</v>
      </c>
      <c r="D856" t="inlineStr">
        <is>
          <t>KALMAR LÄN</t>
        </is>
      </c>
      <c r="E856" t="inlineStr">
        <is>
          <t>VIMMERBY</t>
        </is>
      </c>
      <c r="G856" t="n">
        <v>2.2</v>
      </c>
      <c r="H856" t="n">
        <v>0</v>
      </c>
      <c r="I856" t="n">
        <v>0</v>
      </c>
      <c r="J856" t="n">
        <v>0</v>
      </c>
      <c r="K856" t="n">
        <v>0</v>
      </c>
      <c r="L856" t="n">
        <v>0</v>
      </c>
      <c r="M856" t="n">
        <v>0</v>
      </c>
      <c r="N856" t="n">
        <v>0</v>
      </c>
      <c r="O856" t="n">
        <v>0</v>
      </c>
      <c r="P856" t="n">
        <v>0</v>
      </c>
      <c r="Q856" t="n">
        <v>0</v>
      </c>
      <c r="R856" s="2" t="inlineStr"/>
    </row>
    <row r="857" ht="15" customHeight="1">
      <c r="A857" t="inlineStr">
        <is>
          <t>A 44091-2025</t>
        </is>
      </c>
      <c r="B857" s="1" t="n">
        <v>45915.55950231481</v>
      </c>
      <c r="C857" s="1" t="n">
        <v>45965</v>
      </c>
      <c r="D857" t="inlineStr">
        <is>
          <t>KALMAR LÄN</t>
        </is>
      </c>
      <c r="E857" t="inlineStr">
        <is>
          <t>VIMMERBY</t>
        </is>
      </c>
      <c r="G857" t="n">
        <v>0.8</v>
      </c>
      <c r="H857" t="n">
        <v>0</v>
      </c>
      <c r="I857" t="n">
        <v>0</v>
      </c>
      <c r="J857" t="n">
        <v>0</v>
      </c>
      <c r="K857" t="n">
        <v>0</v>
      </c>
      <c r="L857" t="n">
        <v>0</v>
      </c>
      <c r="M857" t="n">
        <v>0</v>
      </c>
      <c r="N857" t="n">
        <v>0</v>
      </c>
      <c r="O857" t="n">
        <v>0</v>
      </c>
      <c r="P857" t="n">
        <v>0</v>
      </c>
      <c r="Q857" t="n">
        <v>0</v>
      </c>
      <c r="R857" s="2" t="inlineStr"/>
    </row>
    <row r="858" ht="15" customHeight="1">
      <c r="A858" t="inlineStr">
        <is>
          <t>A 44095-2025</t>
        </is>
      </c>
      <c r="B858" s="1" t="n">
        <v>45915.56430555556</v>
      </c>
      <c r="C858" s="1" t="n">
        <v>45965</v>
      </c>
      <c r="D858" t="inlineStr">
        <is>
          <t>KALMAR LÄN</t>
        </is>
      </c>
      <c r="E858" t="inlineStr">
        <is>
          <t>VIMMERBY</t>
        </is>
      </c>
      <c r="G858" t="n">
        <v>2.4</v>
      </c>
      <c r="H858" t="n">
        <v>0</v>
      </c>
      <c r="I858" t="n">
        <v>0</v>
      </c>
      <c r="J858" t="n">
        <v>0</v>
      </c>
      <c r="K858" t="n">
        <v>0</v>
      </c>
      <c r="L858" t="n">
        <v>0</v>
      </c>
      <c r="M858" t="n">
        <v>0</v>
      </c>
      <c r="N858" t="n">
        <v>0</v>
      </c>
      <c r="O858" t="n">
        <v>0</v>
      </c>
      <c r="P858" t="n">
        <v>0</v>
      </c>
      <c r="Q858" t="n">
        <v>0</v>
      </c>
      <c r="R858" s="2" t="inlineStr"/>
    </row>
    <row r="859" ht="15" customHeight="1">
      <c r="A859" t="inlineStr">
        <is>
          <t>A 53404-2025</t>
        </is>
      </c>
      <c r="B859" s="1" t="n">
        <v>45959.57126157408</v>
      </c>
      <c r="C859" s="1" t="n">
        <v>45965</v>
      </c>
      <c r="D859" t="inlineStr">
        <is>
          <t>KALMAR LÄN</t>
        </is>
      </c>
      <c r="E859" t="inlineStr">
        <is>
          <t>VIMMERBY</t>
        </is>
      </c>
      <c r="G859" t="n">
        <v>6.4</v>
      </c>
      <c r="H859" t="n">
        <v>0</v>
      </c>
      <c r="I859" t="n">
        <v>0</v>
      </c>
      <c r="J859" t="n">
        <v>0</v>
      </c>
      <c r="K859" t="n">
        <v>0</v>
      </c>
      <c r="L859" t="n">
        <v>0</v>
      </c>
      <c r="M859" t="n">
        <v>0</v>
      </c>
      <c r="N859" t="n">
        <v>0</v>
      </c>
      <c r="O859" t="n">
        <v>0</v>
      </c>
      <c r="P859" t="n">
        <v>0</v>
      </c>
      <c r="Q859" t="n">
        <v>0</v>
      </c>
      <c r="R859" s="2" t="inlineStr"/>
    </row>
    <row r="860" ht="15" customHeight="1">
      <c r="A860" t="inlineStr">
        <is>
          <t>A 44742-2025</t>
        </is>
      </c>
      <c r="B860" s="1" t="n">
        <v>45917.67054398148</v>
      </c>
      <c r="C860" s="1" t="n">
        <v>45965</v>
      </c>
      <c r="D860" t="inlineStr">
        <is>
          <t>KALMAR LÄN</t>
        </is>
      </c>
      <c r="E860" t="inlineStr">
        <is>
          <t>VIMMERBY</t>
        </is>
      </c>
      <c r="G860" t="n">
        <v>4.7</v>
      </c>
      <c r="H860" t="n">
        <v>0</v>
      </c>
      <c r="I860" t="n">
        <v>0</v>
      </c>
      <c r="J860" t="n">
        <v>0</v>
      </c>
      <c r="K860" t="n">
        <v>0</v>
      </c>
      <c r="L860" t="n">
        <v>0</v>
      </c>
      <c r="M860" t="n">
        <v>0</v>
      </c>
      <c r="N860" t="n">
        <v>0</v>
      </c>
      <c r="O860" t="n">
        <v>0</v>
      </c>
      <c r="P860" t="n">
        <v>0</v>
      </c>
      <c r="Q860" t="n">
        <v>0</v>
      </c>
      <c r="R860" s="2" t="inlineStr"/>
    </row>
    <row r="861" ht="15" customHeight="1">
      <c r="A861" t="inlineStr">
        <is>
          <t>A 53397-2025</t>
        </is>
      </c>
      <c r="B861" s="1" t="n">
        <v>45959.55918981481</v>
      </c>
      <c r="C861" s="1" t="n">
        <v>45965</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53413-2025</t>
        </is>
      </c>
      <c r="B862" s="1" t="n">
        <v>45959.5787037037</v>
      </c>
      <c r="C862" s="1" t="n">
        <v>45965</v>
      </c>
      <c r="D862" t="inlineStr">
        <is>
          <t>KALMAR LÄN</t>
        </is>
      </c>
      <c r="E862" t="inlineStr">
        <is>
          <t>VIMMERBY</t>
        </is>
      </c>
      <c r="G862" t="n">
        <v>4.3</v>
      </c>
      <c r="H862" t="n">
        <v>0</v>
      </c>
      <c r="I862" t="n">
        <v>0</v>
      </c>
      <c r="J862" t="n">
        <v>0</v>
      </c>
      <c r="K862" t="n">
        <v>0</v>
      </c>
      <c r="L862" t="n">
        <v>0</v>
      </c>
      <c r="M862" t="n">
        <v>0</v>
      </c>
      <c r="N862" t="n">
        <v>0</v>
      </c>
      <c r="O862" t="n">
        <v>0</v>
      </c>
      <c r="P862" t="n">
        <v>0</v>
      </c>
      <c r="Q862" t="n">
        <v>0</v>
      </c>
      <c r="R862" s="2" t="inlineStr"/>
    </row>
    <row r="863" ht="15" customHeight="1">
      <c r="A863" t="inlineStr">
        <is>
          <t>A 41896-2025</t>
        </is>
      </c>
      <c r="B863" s="1" t="n">
        <v>45903.38800925926</v>
      </c>
      <c r="C863" s="1" t="n">
        <v>45965</v>
      </c>
      <c r="D863" t="inlineStr">
        <is>
          <t>KALMAR LÄN</t>
        </is>
      </c>
      <c r="E863" t="inlineStr">
        <is>
          <t>VIMMERBY</t>
        </is>
      </c>
      <c r="G863" t="n">
        <v>2.9</v>
      </c>
      <c r="H863" t="n">
        <v>0</v>
      </c>
      <c r="I863" t="n">
        <v>0</v>
      </c>
      <c r="J863" t="n">
        <v>0</v>
      </c>
      <c r="K863" t="n">
        <v>0</v>
      </c>
      <c r="L863" t="n">
        <v>0</v>
      </c>
      <c r="M863" t="n">
        <v>0</v>
      </c>
      <c r="N863" t="n">
        <v>0</v>
      </c>
      <c r="O863" t="n">
        <v>0</v>
      </c>
      <c r="P863" t="n">
        <v>0</v>
      </c>
      <c r="Q863" t="n">
        <v>0</v>
      </c>
      <c r="R863" s="2" t="inlineStr"/>
    </row>
    <row r="864" ht="15" customHeight="1">
      <c r="A864" t="inlineStr">
        <is>
          <t>A 53396-2025</t>
        </is>
      </c>
      <c r="B864" s="1" t="n">
        <v>45959.55577546296</v>
      </c>
      <c r="C864" s="1" t="n">
        <v>45965</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53416-2025</t>
        </is>
      </c>
      <c r="B865" s="1" t="n">
        <v>45959.58387731481</v>
      </c>
      <c r="C865" s="1" t="n">
        <v>45965</v>
      </c>
      <c r="D865" t="inlineStr">
        <is>
          <t>KALMAR LÄN</t>
        </is>
      </c>
      <c r="E865" t="inlineStr">
        <is>
          <t>VIMMERBY</t>
        </is>
      </c>
      <c r="G865" t="n">
        <v>4.4</v>
      </c>
      <c r="H865" t="n">
        <v>0</v>
      </c>
      <c r="I865" t="n">
        <v>0</v>
      </c>
      <c r="J865" t="n">
        <v>0</v>
      </c>
      <c r="K865" t="n">
        <v>0</v>
      </c>
      <c r="L865" t="n">
        <v>0</v>
      </c>
      <c r="M865" t="n">
        <v>0</v>
      </c>
      <c r="N865" t="n">
        <v>0</v>
      </c>
      <c r="O865" t="n">
        <v>0</v>
      </c>
      <c r="P865" t="n">
        <v>0</v>
      </c>
      <c r="Q865" t="n">
        <v>0</v>
      </c>
      <c r="R865" s="2" t="inlineStr"/>
    </row>
    <row r="866" ht="15" customHeight="1">
      <c r="A866" t="inlineStr">
        <is>
          <t>A 53586-2025</t>
        </is>
      </c>
      <c r="B866" s="1" t="n">
        <v>45960.43395833333</v>
      </c>
      <c r="C866" s="1" t="n">
        <v>45965</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53393-2025</t>
        </is>
      </c>
      <c r="B867" s="1" t="n">
        <v>45959.55284722222</v>
      </c>
      <c r="C867" s="1" t="n">
        <v>45965</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53398-2025</t>
        </is>
      </c>
      <c r="B868" s="1" t="n">
        <v>45959.56247685185</v>
      </c>
      <c r="C868" s="1" t="n">
        <v>45965</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53400-2025</t>
        </is>
      </c>
      <c r="B869" s="1" t="n">
        <v>45959.56684027778</v>
      </c>
      <c r="C869" s="1" t="n">
        <v>45965</v>
      </c>
      <c r="D869" t="inlineStr">
        <is>
          <t>KALMAR LÄN</t>
        </is>
      </c>
      <c r="E869" t="inlineStr">
        <is>
          <t>VIMMERBY</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53903-2025</t>
        </is>
      </c>
      <c r="B870" s="1" t="n">
        <v>45961.43738425926</v>
      </c>
      <c r="C870" s="1" t="n">
        <v>45965</v>
      </c>
      <c r="D870" t="inlineStr">
        <is>
          <t>KALMAR LÄN</t>
        </is>
      </c>
      <c r="E870" t="inlineStr">
        <is>
          <t>VIMMERBY</t>
        </is>
      </c>
      <c r="G870" t="n">
        <v>0.8</v>
      </c>
      <c r="H870" t="n">
        <v>0</v>
      </c>
      <c r="I870" t="n">
        <v>0</v>
      </c>
      <c r="J870" t="n">
        <v>0</v>
      </c>
      <c r="K870" t="n">
        <v>0</v>
      </c>
      <c r="L870" t="n">
        <v>0</v>
      </c>
      <c r="M870" t="n">
        <v>0</v>
      </c>
      <c r="N870" t="n">
        <v>0</v>
      </c>
      <c r="O870" t="n">
        <v>0</v>
      </c>
      <c r="P870" t="n">
        <v>0</v>
      </c>
      <c r="Q870" t="n">
        <v>0</v>
      </c>
      <c r="R870" s="2" t="inlineStr"/>
    </row>
    <row r="871" ht="15" customHeight="1">
      <c r="A871" t="inlineStr">
        <is>
          <t>A 53920-2025</t>
        </is>
      </c>
      <c r="B871" s="1" t="n">
        <v>45961.44951388889</v>
      </c>
      <c r="C871" s="1" t="n">
        <v>45965</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54234-2025</t>
        </is>
      </c>
      <c r="B872" s="1" t="n">
        <v>45964.62486111111</v>
      </c>
      <c r="C872" s="1" t="n">
        <v>45965</v>
      </c>
      <c r="D872" t="inlineStr">
        <is>
          <t>KALMAR LÄN</t>
        </is>
      </c>
      <c r="E872" t="inlineStr">
        <is>
          <t>VIMMERBY</t>
        </is>
      </c>
      <c r="G872" t="n">
        <v>4.1</v>
      </c>
      <c r="H872" t="n">
        <v>0</v>
      </c>
      <c r="I872" t="n">
        <v>0</v>
      </c>
      <c r="J872" t="n">
        <v>0</v>
      </c>
      <c r="K872" t="n">
        <v>0</v>
      </c>
      <c r="L872" t="n">
        <v>0</v>
      </c>
      <c r="M872" t="n">
        <v>0</v>
      </c>
      <c r="N872" t="n">
        <v>0</v>
      </c>
      <c r="O872" t="n">
        <v>0</v>
      </c>
      <c r="P872" t="n">
        <v>0</v>
      </c>
      <c r="Q872" t="n">
        <v>0</v>
      </c>
      <c r="R872" s="2" t="inlineStr"/>
    </row>
    <row r="873" ht="15" customHeight="1">
      <c r="A873" t="inlineStr">
        <is>
          <t>A 53789-2025</t>
        </is>
      </c>
      <c r="B873" s="1" t="n">
        <v>45960</v>
      </c>
      <c r="C873" s="1" t="n">
        <v>45965</v>
      </c>
      <c r="D873" t="inlineStr">
        <is>
          <t>KALMAR LÄN</t>
        </is>
      </c>
      <c r="E873" t="inlineStr">
        <is>
          <t>VIMMERBY</t>
        </is>
      </c>
      <c r="F873" t="inlineStr">
        <is>
          <t>Övriga statliga verk och myndigheter</t>
        </is>
      </c>
      <c r="G873" t="n">
        <v>1.6</v>
      </c>
      <c r="H873" t="n">
        <v>0</v>
      </c>
      <c r="I873" t="n">
        <v>0</v>
      </c>
      <c r="J873" t="n">
        <v>0</v>
      </c>
      <c r="K873" t="n">
        <v>0</v>
      </c>
      <c r="L873" t="n">
        <v>0</v>
      </c>
      <c r="M873" t="n">
        <v>0</v>
      </c>
      <c r="N873" t="n">
        <v>0</v>
      </c>
      <c r="O873" t="n">
        <v>0</v>
      </c>
      <c r="P873" t="n">
        <v>0</v>
      </c>
      <c r="Q873" t="n">
        <v>0</v>
      </c>
      <c r="R873" s="2" t="inlineStr"/>
    </row>
    <row r="874" ht="15" customHeight="1">
      <c r="A874" t="inlineStr">
        <is>
          <t>A 53923-2025</t>
        </is>
      </c>
      <c r="B874" s="1" t="n">
        <v>45961.4569212963</v>
      </c>
      <c r="C874" s="1" t="n">
        <v>45965</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52138-2025</t>
        </is>
      </c>
      <c r="B875" s="1" t="n">
        <v>45953</v>
      </c>
      <c r="C875" s="1" t="n">
        <v>45965</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53786-2025</t>
        </is>
      </c>
      <c r="B876" s="1" t="n">
        <v>45960</v>
      </c>
      <c r="C876" s="1" t="n">
        <v>45965</v>
      </c>
      <c r="D876" t="inlineStr">
        <is>
          <t>KALMAR LÄN</t>
        </is>
      </c>
      <c r="E876" t="inlineStr">
        <is>
          <t>VIMMERBY</t>
        </is>
      </c>
      <c r="F876" t="inlineStr">
        <is>
          <t>Övriga statliga verk och myndigheter</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45319-2025</t>
        </is>
      </c>
      <c r="B877" s="1" t="n">
        <v>45921.95611111111</v>
      </c>
      <c r="C877" s="1" t="n">
        <v>45965</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45320-2025</t>
        </is>
      </c>
      <c r="B878" s="1" t="n">
        <v>45921.96395833333</v>
      </c>
      <c r="C878" s="1" t="n">
        <v>45965</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54236-2025</t>
        </is>
      </c>
      <c r="B879" s="1" t="n">
        <v>45964.62671296296</v>
      </c>
      <c r="C879" s="1" t="n">
        <v>45965</v>
      </c>
      <c r="D879" t="inlineStr">
        <is>
          <t>KALMAR LÄN</t>
        </is>
      </c>
      <c r="E879" t="inlineStr">
        <is>
          <t>VIMMERBY</t>
        </is>
      </c>
      <c r="G879" t="n">
        <v>1.3</v>
      </c>
      <c r="H879" t="n">
        <v>0</v>
      </c>
      <c r="I879" t="n">
        <v>0</v>
      </c>
      <c r="J879" t="n">
        <v>0</v>
      </c>
      <c r="K879" t="n">
        <v>0</v>
      </c>
      <c r="L879" t="n">
        <v>0</v>
      </c>
      <c r="M879" t="n">
        <v>0</v>
      </c>
      <c r="N879" t="n">
        <v>0</v>
      </c>
      <c r="O879" t="n">
        <v>0</v>
      </c>
      <c r="P879" t="n">
        <v>0</v>
      </c>
      <c r="Q879" t="n">
        <v>0</v>
      </c>
      <c r="R879" s="2" t="inlineStr"/>
    </row>
    <row r="880" ht="15" customHeight="1">
      <c r="A880" t="inlineStr">
        <is>
          <t>A 53927-2025</t>
        </is>
      </c>
      <c r="B880" s="1" t="n">
        <v>45961.46740740741</v>
      </c>
      <c r="C880" s="1" t="n">
        <v>45965</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45114-2025</t>
        </is>
      </c>
      <c r="B881" s="1" t="n">
        <v>45919.42387731482</v>
      </c>
      <c r="C881" s="1" t="n">
        <v>45965</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c r="A882" t="inlineStr">
        <is>
          <t>A 53933-2025</t>
        </is>
      </c>
      <c r="B882" s="1" t="n">
        <v>45961.47650462963</v>
      </c>
      <c r="C882" s="1" t="n">
        <v>45965</v>
      </c>
      <c r="D882" t="inlineStr">
        <is>
          <t>KALMAR LÄN</t>
        </is>
      </c>
      <c r="E882" t="inlineStr">
        <is>
          <t>VIMMERBY</t>
        </is>
      </c>
      <c r="G882" t="n">
        <v>0.9</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2025-11-04T10:09:16Z</dcterms:created>
  <dcterms:modified xmlns:dcterms="http://purl.org/dc/terms/" xmlns:xsi="http://www.w3.org/2001/XMLSchema-instance" xsi:type="dcterms:W3CDTF">2025-11-04T10:09:17Z</dcterms:modified>
</cp:coreProperties>
</file>