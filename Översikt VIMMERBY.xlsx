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46189</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16954-2025</t>
        </is>
      </c>
      <c r="B7" s="1" t="n">
        <v>45755</v>
      </c>
      <c r="C7" s="1" t="n">
        <v>46189</v>
      </c>
      <c r="D7" t="inlineStr">
        <is>
          <t>KALMAR LÄN</t>
        </is>
      </c>
      <c r="E7" t="inlineStr">
        <is>
          <t>VIMMERBY</t>
        </is>
      </c>
      <c r="G7" t="n">
        <v>3.5</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16954-2025 artfynd.xlsx", "A 16954-2025")</f>
        <v/>
      </c>
      <c r="T7">
        <f>HYPERLINK("https://klasma.github.io/Logging_0884/kartor/A 16954-2025 karta.png", "A 16954-2025")</f>
        <v/>
      </c>
      <c r="U7">
        <f>HYPERLINK("https://klasma.github.io/Logging_0884/knärot/A 16954-2025 karta knärot.png", "A 16954-2025")</f>
        <v/>
      </c>
      <c r="V7">
        <f>HYPERLINK("https://klasma.github.io/Logging_0884/klagomål/A 16954-2025 FSC-klagomål.docx", "A 16954-2025")</f>
        <v/>
      </c>
      <c r="W7">
        <f>HYPERLINK("https://klasma.github.io/Logging_0884/klagomålsmail/A 16954-2025 FSC-klagomål mail.docx", "A 16954-2025")</f>
        <v/>
      </c>
      <c r="X7">
        <f>HYPERLINK("https://klasma.github.io/Logging_0884/tillsyn/A 16954-2025 tillsynsbegäran.docx", "A 16954-2025")</f>
        <v/>
      </c>
      <c r="Y7">
        <f>HYPERLINK("https://klasma.github.io/Logging_0884/tillsynsmail/A 16954-2025 tillsynsbegäran mail.docx", "A 16954-2025")</f>
        <v/>
      </c>
      <c r="Z7">
        <f>HYPERLINK("https://klasma.github.io/Logging_0884/fåglar/A 16954-2025 prioriterade fågelarter.docx", "A 16954-2025")</f>
        <v/>
      </c>
    </row>
    <row r="8" ht="15" customHeight="1">
      <c r="A8" t="inlineStr">
        <is>
          <t>A 12081-2024</t>
        </is>
      </c>
      <c r="B8" s="1" t="n">
        <v>45377.54726851852</v>
      </c>
      <c r="C8" s="1" t="n">
        <v>46189</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46189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32645-2023</t>
        </is>
      </c>
      <c r="B10" s="1" t="n">
        <v>45121.60543981481</v>
      </c>
      <c r="C10" s="1" t="n">
        <v>46189</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4</v>
      </c>
      <c r="R10" s="2" t="inlineStr">
        <is>
          <t>Dvärgbägarlav
Spillkråka
Talltita
Mindre märgborre</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3075-2025</t>
        </is>
      </c>
      <c r="B11" s="1" t="n">
        <v>45678</v>
      </c>
      <c r="C11" s="1" t="n">
        <v>46189</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46824-2025</t>
        </is>
      </c>
      <c r="B12" s="1" t="n">
        <v>45926.90006944445</v>
      </c>
      <c r="C12" s="1" t="n">
        <v>46189</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46189</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46189</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15427-2023</t>
        </is>
      </c>
      <c r="B15" s="1" t="n">
        <v>45020</v>
      </c>
      <c r="C15" s="1" t="n">
        <v>46189</v>
      </c>
      <c r="D15" t="inlineStr">
        <is>
          <t>KALMAR LÄN</t>
        </is>
      </c>
      <c r="E15" t="inlineStr">
        <is>
          <t>VIMMERBY</t>
        </is>
      </c>
      <c r="G15" t="n">
        <v>4.1</v>
      </c>
      <c r="H15" t="n">
        <v>0</v>
      </c>
      <c r="I15" t="n">
        <v>1</v>
      </c>
      <c r="J15" t="n">
        <v>2</v>
      </c>
      <c r="K15" t="n">
        <v>0</v>
      </c>
      <c r="L15" t="n">
        <v>0</v>
      </c>
      <c r="M15" t="n">
        <v>0</v>
      </c>
      <c r="N15" t="n">
        <v>0</v>
      </c>
      <c r="O15" t="n">
        <v>2</v>
      </c>
      <c r="P15" t="n">
        <v>0</v>
      </c>
      <c r="Q15" t="n">
        <v>3</v>
      </c>
      <c r="R15" s="2" t="inlineStr">
        <is>
          <t>Slåtterfibbla
Solvända
Strävlosta</t>
        </is>
      </c>
      <c r="S15">
        <f>HYPERLINK("https://klasma.github.io/Logging_0884/artfynd/A 15427-2023 artfynd.xlsx", "A 15427-2023")</f>
        <v/>
      </c>
      <c r="T15">
        <f>HYPERLINK("https://klasma.github.io/Logging_0884/kartor/A 15427-2023 karta.png", "A 15427-2023")</f>
        <v/>
      </c>
      <c r="V15">
        <f>HYPERLINK("https://klasma.github.io/Logging_0884/klagomål/A 15427-2023 FSC-klagomål.docx", "A 15427-2023")</f>
        <v/>
      </c>
      <c r="W15">
        <f>HYPERLINK("https://klasma.github.io/Logging_0884/klagomålsmail/A 15427-2023 FSC-klagomål mail.docx", "A 15427-2023")</f>
        <v/>
      </c>
      <c r="X15">
        <f>HYPERLINK("https://klasma.github.io/Logging_0884/tillsyn/A 15427-2023 tillsynsbegäran.docx", "A 15427-2023")</f>
        <v/>
      </c>
      <c r="Y15">
        <f>HYPERLINK("https://klasma.github.io/Logging_0884/tillsynsmail/A 15427-2023 tillsynsbegäran mail.docx", "A 15427-2023")</f>
        <v/>
      </c>
    </row>
    <row r="16" ht="15" customHeight="1">
      <c r="A16" t="inlineStr">
        <is>
          <t>A 14584-2025</t>
        </is>
      </c>
      <c r="B16" s="1" t="n">
        <v>45742</v>
      </c>
      <c r="C16" s="1" t="n">
        <v>46189</v>
      </c>
      <c r="D16" t="inlineStr">
        <is>
          <t>KALMAR LÄN</t>
        </is>
      </c>
      <c r="E16" t="inlineStr">
        <is>
          <t>VIMMERBY</t>
        </is>
      </c>
      <c r="G16" t="n">
        <v>5.4</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41398-2021</t>
        </is>
      </c>
      <c r="B17" s="1" t="n">
        <v>44424</v>
      </c>
      <c r="C17" s="1" t="n">
        <v>46189</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46189</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46189</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17935-2025</t>
        </is>
      </c>
      <c r="B20" s="1" t="n">
        <v>45760.34877314815</v>
      </c>
      <c r="C20" s="1" t="n">
        <v>46189</v>
      </c>
      <c r="D20" t="inlineStr">
        <is>
          <t>KALMAR LÄN</t>
        </is>
      </c>
      <c r="E20" t="inlineStr">
        <is>
          <t>VIMMERBY</t>
        </is>
      </c>
      <c r="G20" t="n">
        <v>2.2</v>
      </c>
      <c r="H20" t="n">
        <v>1</v>
      </c>
      <c r="I20" t="n">
        <v>1</v>
      </c>
      <c r="J20" t="n">
        <v>0</v>
      </c>
      <c r="K20" t="n">
        <v>0</v>
      </c>
      <c r="L20" t="n">
        <v>0</v>
      </c>
      <c r="M20" t="n">
        <v>0</v>
      </c>
      <c r="N20" t="n">
        <v>0</v>
      </c>
      <c r="O20" t="n">
        <v>0</v>
      </c>
      <c r="P20" t="n">
        <v>0</v>
      </c>
      <c r="Q20" t="n">
        <v>2</v>
      </c>
      <c r="R20" s="2" t="inlineStr">
        <is>
          <t>Gräsull
Fläcknycklar</t>
        </is>
      </c>
      <c r="S20">
        <f>HYPERLINK("https://klasma.github.io/Logging_0884/artfynd/A 17935-2025 artfynd.xlsx", "A 17935-2025")</f>
        <v/>
      </c>
      <c r="T20">
        <f>HYPERLINK("https://klasma.github.io/Logging_0884/kartor/A 17935-2025 karta.png", "A 17935-2025")</f>
        <v/>
      </c>
      <c r="V20">
        <f>HYPERLINK("https://klasma.github.io/Logging_0884/klagomål/A 17935-2025 FSC-klagomål.docx", "A 17935-2025")</f>
        <v/>
      </c>
      <c r="W20">
        <f>HYPERLINK("https://klasma.github.io/Logging_0884/klagomålsmail/A 17935-2025 FSC-klagomål mail.docx", "A 17935-2025")</f>
        <v/>
      </c>
      <c r="X20">
        <f>HYPERLINK("https://klasma.github.io/Logging_0884/tillsyn/A 17935-2025 tillsynsbegäran.docx", "A 17935-2025")</f>
        <v/>
      </c>
      <c r="Y20">
        <f>HYPERLINK("https://klasma.github.io/Logging_0884/tillsynsmail/A 17935-2025 tillsynsbegäran mail.docx", "A 17935-2025")</f>
        <v/>
      </c>
    </row>
    <row r="21" ht="15" customHeight="1">
      <c r="A21" t="inlineStr">
        <is>
          <t>A 2518-2023</t>
        </is>
      </c>
      <c r="B21" s="1" t="n">
        <v>44943</v>
      </c>
      <c r="C21" s="1" t="n">
        <v>46189</v>
      </c>
      <c r="D21" t="inlineStr">
        <is>
          <t>KALMAR LÄN</t>
        </is>
      </c>
      <c r="E21" t="inlineStr">
        <is>
          <t>VIMMERBY</t>
        </is>
      </c>
      <c r="G21" t="n">
        <v>6.1</v>
      </c>
      <c r="H21" t="n">
        <v>1</v>
      </c>
      <c r="I21" t="n">
        <v>1</v>
      </c>
      <c r="J21" t="n">
        <v>0</v>
      </c>
      <c r="K21" t="n">
        <v>1</v>
      </c>
      <c r="L21" t="n">
        <v>0</v>
      </c>
      <c r="M21" t="n">
        <v>0</v>
      </c>
      <c r="N21" t="n">
        <v>0</v>
      </c>
      <c r="O21" t="n">
        <v>1</v>
      </c>
      <c r="P21" t="n">
        <v>1</v>
      </c>
      <c r="Q21" t="n">
        <v>2</v>
      </c>
      <c r="R21" s="2" t="inlineStr">
        <is>
          <t>Knärot
Grönpyrola</t>
        </is>
      </c>
      <c r="S21">
        <f>HYPERLINK("https://klasma.github.io/Logging_0884/artfynd/A 2518-2023 artfynd.xlsx", "A 2518-2023")</f>
        <v/>
      </c>
      <c r="T21">
        <f>HYPERLINK("https://klasma.github.io/Logging_0884/kartor/A 2518-2023 karta.png", "A 2518-2023")</f>
        <v/>
      </c>
      <c r="U21">
        <f>HYPERLINK("https://klasma.github.io/Logging_0884/knärot/A 2518-2023 karta knärot.png", "A 2518-2023")</f>
        <v/>
      </c>
      <c r="V21">
        <f>HYPERLINK("https://klasma.github.io/Logging_0884/klagomål/A 2518-2023 FSC-klagomål.docx", "A 2518-2023")</f>
        <v/>
      </c>
      <c r="W21">
        <f>HYPERLINK("https://klasma.github.io/Logging_0884/klagomålsmail/A 2518-2023 FSC-klagomål mail.docx", "A 2518-2023")</f>
        <v/>
      </c>
      <c r="X21">
        <f>HYPERLINK("https://klasma.github.io/Logging_0884/tillsyn/A 2518-2023 tillsynsbegäran.docx", "A 2518-2023")</f>
        <v/>
      </c>
      <c r="Y21">
        <f>HYPERLINK("https://klasma.github.io/Logging_0884/tillsynsmail/A 2518-2023 tillsynsbegäran mail.docx", "A 2518-2023")</f>
        <v/>
      </c>
    </row>
    <row r="22" ht="15" customHeight="1">
      <c r="A22" t="inlineStr">
        <is>
          <t>A 19158-2023</t>
        </is>
      </c>
      <c r="B22" s="1" t="n">
        <v>45048</v>
      </c>
      <c r="C22" s="1" t="n">
        <v>46189</v>
      </c>
      <c r="D22" t="inlineStr">
        <is>
          <t>KALMAR LÄN</t>
        </is>
      </c>
      <c r="E22" t="inlineStr">
        <is>
          <t>VIMMERBY</t>
        </is>
      </c>
      <c r="G22" t="n">
        <v>2.2</v>
      </c>
      <c r="H22" t="n">
        <v>2</v>
      </c>
      <c r="I22" t="n">
        <v>0</v>
      </c>
      <c r="J22" t="n">
        <v>0</v>
      </c>
      <c r="K22" t="n">
        <v>1</v>
      </c>
      <c r="L22" t="n">
        <v>0</v>
      </c>
      <c r="M22" t="n">
        <v>0</v>
      </c>
      <c r="N22" t="n">
        <v>0</v>
      </c>
      <c r="O22" t="n">
        <v>1</v>
      </c>
      <c r="P22" t="n">
        <v>1</v>
      </c>
      <c r="Q22" t="n">
        <v>2</v>
      </c>
      <c r="R22" s="2" t="inlineStr">
        <is>
          <t>Knärot
Blåsippa</t>
        </is>
      </c>
      <c r="S22">
        <f>HYPERLINK("https://klasma.github.io/Logging_0884/artfynd/A 19158-2023 artfynd.xlsx", "A 19158-2023")</f>
        <v/>
      </c>
      <c r="T22">
        <f>HYPERLINK("https://klasma.github.io/Logging_0884/kartor/A 19158-2023 karta.png", "A 19158-2023")</f>
        <v/>
      </c>
      <c r="U22">
        <f>HYPERLINK("https://klasma.github.io/Logging_0884/knärot/A 19158-2023 karta knärot.png", "A 19158-2023")</f>
        <v/>
      </c>
      <c r="V22">
        <f>HYPERLINK("https://klasma.github.io/Logging_0884/klagomål/A 19158-2023 FSC-klagomål.docx", "A 19158-2023")</f>
        <v/>
      </c>
      <c r="W22">
        <f>HYPERLINK("https://klasma.github.io/Logging_0884/klagomålsmail/A 19158-2023 FSC-klagomål mail.docx", "A 19158-2023")</f>
        <v/>
      </c>
      <c r="X22">
        <f>HYPERLINK("https://klasma.github.io/Logging_0884/tillsyn/A 19158-2023 tillsynsbegäran.docx", "A 19158-2023")</f>
        <v/>
      </c>
      <c r="Y22">
        <f>HYPERLINK("https://klasma.github.io/Logging_0884/tillsynsmail/A 19158-2023 tillsynsbegäran mail.docx", "A 19158-2023")</f>
        <v/>
      </c>
    </row>
    <row r="23" ht="15" customHeight="1">
      <c r="A23" t="inlineStr">
        <is>
          <t>A 42802-2025</t>
        </is>
      </c>
      <c r="B23" s="1" t="n">
        <v>45908</v>
      </c>
      <c r="C23" s="1" t="n">
        <v>46189</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14024-2023</t>
        </is>
      </c>
      <c r="B24" s="1" t="n">
        <v>45008.60878472222</v>
      </c>
      <c r="C24" s="1" t="n">
        <v>46189</v>
      </c>
      <c r="D24" t="inlineStr">
        <is>
          <t>KALMAR LÄN</t>
        </is>
      </c>
      <c r="E24" t="inlineStr">
        <is>
          <t>VIMMERBY</t>
        </is>
      </c>
      <c r="G24" t="n">
        <v>3.2</v>
      </c>
      <c r="H24" t="n">
        <v>1</v>
      </c>
      <c r="I24" t="n">
        <v>1</v>
      </c>
      <c r="J24" t="n">
        <v>0</v>
      </c>
      <c r="K24" t="n">
        <v>0</v>
      </c>
      <c r="L24" t="n">
        <v>1</v>
      </c>
      <c r="M24" t="n">
        <v>0</v>
      </c>
      <c r="N24" t="n">
        <v>0</v>
      </c>
      <c r="O24" t="n">
        <v>1</v>
      </c>
      <c r="P24" t="n">
        <v>1</v>
      </c>
      <c r="Q24" t="n">
        <v>2</v>
      </c>
      <c r="R24" s="2" t="inlineStr">
        <is>
          <t>Ryl
Purpurknipprot</t>
        </is>
      </c>
      <c r="S24">
        <f>HYPERLINK("https://klasma.github.io/Logging_0884/artfynd/A 14024-2023 artfynd.xlsx", "A 14024-2023")</f>
        <v/>
      </c>
      <c r="T24">
        <f>HYPERLINK("https://klasma.github.io/Logging_0884/kartor/A 14024-2023 karta.png", "A 14024-2023")</f>
        <v/>
      </c>
      <c r="V24">
        <f>HYPERLINK("https://klasma.github.io/Logging_0884/klagomål/A 14024-2023 FSC-klagomål.docx", "A 14024-2023")</f>
        <v/>
      </c>
      <c r="W24">
        <f>HYPERLINK("https://klasma.github.io/Logging_0884/klagomålsmail/A 14024-2023 FSC-klagomål mail.docx", "A 14024-2023")</f>
        <v/>
      </c>
      <c r="X24">
        <f>HYPERLINK("https://klasma.github.io/Logging_0884/tillsyn/A 14024-2023 tillsynsbegäran.docx", "A 14024-2023")</f>
        <v/>
      </c>
      <c r="Y24">
        <f>HYPERLINK("https://klasma.github.io/Logging_0884/tillsynsmail/A 14024-2023 tillsynsbegäran mail.docx", "A 14024-2023")</f>
        <v/>
      </c>
    </row>
    <row r="25" ht="15" customHeight="1">
      <c r="A25" t="inlineStr">
        <is>
          <t>A 22825-2023</t>
        </is>
      </c>
      <c r="B25" s="1" t="n">
        <v>45072</v>
      </c>
      <c r="C25" s="1" t="n">
        <v>46189</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14426-2026</t>
        </is>
      </c>
      <c r="B26" s="1" t="n">
        <v>46100.46956018519</v>
      </c>
      <c r="C26" s="1" t="n">
        <v>46189</v>
      </c>
      <c r="D26" t="inlineStr">
        <is>
          <t>KALMAR LÄN</t>
        </is>
      </c>
      <c r="E26" t="inlineStr">
        <is>
          <t>VIMMERBY</t>
        </is>
      </c>
      <c r="F26" t="inlineStr">
        <is>
          <t>Kyrkan</t>
        </is>
      </c>
      <c r="G26" t="n">
        <v>8.6</v>
      </c>
      <c r="H26" t="n">
        <v>1</v>
      </c>
      <c r="I26" t="n">
        <v>0</v>
      </c>
      <c r="J26" t="n">
        <v>1</v>
      </c>
      <c r="K26" t="n">
        <v>1</v>
      </c>
      <c r="L26" t="n">
        <v>0</v>
      </c>
      <c r="M26" t="n">
        <v>0</v>
      </c>
      <c r="N26" t="n">
        <v>0</v>
      </c>
      <c r="O26" t="n">
        <v>2</v>
      </c>
      <c r="P26" t="n">
        <v>1</v>
      </c>
      <c r="Q26" t="n">
        <v>2</v>
      </c>
      <c r="R26" s="2" t="inlineStr">
        <is>
          <t>Knärot
Tallticka</t>
        </is>
      </c>
      <c r="S26">
        <f>HYPERLINK("https://klasma.github.io/Logging_0884/artfynd/A 14426-2026 artfynd.xlsx", "A 14426-2026")</f>
        <v/>
      </c>
      <c r="T26">
        <f>HYPERLINK("https://klasma.github.io/Logging_0884/kartor/A 14426-2026 karta.png", "A 14426-2026")</f>
        <v/>
      </c>
      <c r="U26">
        <f>HYPERLINK("https://klasma.github.io/Logging_0884/knärot/A 14426-2026 karta knärot.png", "A 14426-2026")</f>
        <v/>
      </c>
      <c r="V26">
        <f>HYPERLINK("https://klasma.github.io/Logging_0884/klagomål/A 14426-2026 FSC-klagomål.docx", "A 14426-2026")</f>
        <v/>
      </c>
      <c r="W26">
        <f>HYPERLINK("https://klasma.github.io/Logging_0884/klagomålsmail/A 14426-2026 FSC-klagomål mail.docx", "A 14426-2026")</f>
        <v/>
      </c>
      <c r="X26">
        <f>HYPERLINK("https://klasma.github.io/Logging_0884/tillsyn/A 14426-2026 tillsynsbegäran.docx", "A 14426-2026")</f>
        <v/>
      </c>
      <c r="Y26">
        <f>HYPERLINK("https://klasma.github.io/Logging_0884/tillsynsmail/A 14426-2026 tillsynsbegäran mail.docx", "A 14426-2026")</f>
        <v/>
      </c>
    </row>
    <row r="27" ht="15" customHeight="1">
      <c r="A27" t="inlineStr">
        <is>
          <t>A 25155-2026</t>
        </is>
      </c>
      <c r="B27" s="1" t="n">
        <v>46175.44809027778</v>
      </c>
      <c r="C27" s="1" t="n">
        <v>46189</v>
      </c>
      <c r="D27" t="inlineStr">
        <is>
          <t>KALMAR LÄN</t>
        </is>
      </c>
      <c r="E27" t="inlineStr">
        <is>
          <t>VIMMERBY</t>
        </is>
      </c>
      <c r="G27" t="n">
        <v>2.9</v>
      </c>
      <c r="H27" t="n">
        <v>0</v>
      </c>
      <c r="I27" t="n">
        <v>1</v>
      </c>
      <c r="J27" t="n">
        <v>0</v>
      </c>
      <c r="K27" t="n">
        <v>0</v>
      </c>
      <c r="L27" t="n">
        <v>1</v>
      </c>
      <c r="M27" t="n">
        <v>0</v>
      </c>
      <c r="N27" t="n">
        <v>0</v>
      </c>
      <c r="O27" t="n">
        <v>1</v>
      </c>
      <c r="P27" t="n">
        <v>1</v>
      </c>
      <c r="Q27" t="n">
        <v>2</v>
      </c>
      <c r="R27" s="2" t="inlineStr">
        <is>
          <t>Ryl
Grönpyrola</t>
        </is>
      </c>
      <c r="S27">
        <f>HYPERLINK("https://klasma.github.io/Logging_0884/artfynd/A 25155-2026 artfynd.xlsx", "A 25155-2026")</f>
        <v/>
      </c>
      <c r="T27">
        <f>HYPERLINK("https://klasma.github.io/Logging_0884/kartor/A 25155-2026 karta.png", "A 25155-2026")</f>
        <v/>
      </c>
      <c r="V27">
        <f>HYPERLINK("https://klasma.github.io/Logging_0884/klagomål/A 25155-2026 FSC-klagomål.docx", "A 25155-2026")</f>
        <v/>
      </c>
      <c r="W27">
        <f>HYPERLINK("https://klasma.github.io/Logging_0884/klagomålsmail/A 25155-2026 FSC-klagomål mail.docx", "A 25155-2026")</f>
        <v/>
      </c>
      <c r="X27">
        <f>HYPERLINK("https://klasma.github.io/Logging_0884/tillsyn/A 25155-2026 tillsynsbegäran.docx", "A 25155-2026")</f>
        <v/>
      </c>
      <c r="Y27">
        <f>HYPERLINK("https://klasma.github.io/Logging_0884/tillsynsmail/A 25155-2026 tillsynsbegäran mail.docx", "A 25155-2026")</f>
        <v/>
      </c>
    </row>
    <row r="28" ht="15" customHeight="1">
      <c r="A28" t="inlineStr">
        <is>
          <t>A 22396-2025</t>
        </is>
      </c>
      <c r="B28" s="1" t="n">
        <v>45786.52827546297</v>
      </c>
      <c r="C28" s="1" t="n">
        <v>46189</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32396-2021</t>
        </is>
      </c>
      <c r="B29" s="1" t="n">
        <v>44371</v>
      </c>
      <c r="C29" s="1" t="n">
        <v>46189</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37930-2021</t>
        </is>
      </c>
      <c r="B30" s="1" t="n">
        <v>44403</v>
      </c>
      <c r="C30" s="1" t="n">
        <v>46189</v>
      </c>
      <c r="D30" t="inlineStr">
        <is>
          <t>KALMAR LÄN</t>
        </is>
      </c>
      <c r="E30" t="inlineStr">
        <is>
          <t>VIMMERBY</t>
        </is>
      </c>
      <c r="G30" t="n">
        <v>4.4</v>
      </c>
      <c r="H30" t="n">
        <v>0</v>
      </c>
      <c r="I30" t="n">
        <v>0</v>
      </c>
      <c r="J30" t="n">
        <v>1</v>
      </c>
      <c r="K30" t="n">
        <v>0</v>
      </c>
      <c r="L30" t="n">
        <v>0</v>
      </c>
      <c r="M30" t="n">
        <v>0</v>
      </c>
      <c r="N30" t="n">
        <v>0</v>
      </c>
      <c r="O30" t="n">
        <v>1</v>
      </c>
      <c r="P30" t="n">
        <v>0</v>
      </c>
      <c r="Q30" t="n">
        <v>1</v>
      </c>
      <c r="R30" s="2" t="inlineStr">
        <is>
          <t>Spindelört</t>
        </is>
      </c>
      <c r="S30">
        <f>HYPERLINK("https://klasma.github.io/Logging_0884/artfynd/A 37930-2021 artfynd.xlsx", "A 37930-2021")</f>
        <v/>
      </c>
      <c r="T30">
        <f>HYPERLINK("https://klasma.github.io/Logging_0884/kartor/A 37930-2021 karta.png", "A 37930-2021")</f>
        <v/>
      </c>
      <c r="V30">
        <f>HYPERLINK("https://klasma.github.io/Logging_0884/klagomål/A 37930-2021 FSC-klagomål.docx", "A 37930-2021")</f>
        <v/>
      </c>
      <c r="W30">
        <f>HYPERLINK("https://klasma.github.io/Logging_0884/klagomålsmail/A 37930-2021 FSC-klagomål mail.docx", "A 37930-2021")</f>
        <v/>
      </c>
      <c r="X30">
        <f>HYPERLINK("https://klasma.github.io/Logging_0884/tillsyn/A 37930-2021 tillsynsbegäran.docx", "A 37930-2021")</f>
        <v/>
      </c>
      <c r="Y30">
        <f>HYPERLINK("https://klasma.github.io/Logging_0884/tillsynsmail/A 37930-2021 tillsynsbegäran mail.docx", "A 37930-2021")</f>
        <v/>
      </c>
    </row>
    <row r="31" ht="15" customHeight="1">
      <c r="A31" t="inlineStr">
        <is>
          <t>A 40083-2023</t>
        </is>
      </c>
      <c r="B31" s="1" t="n">
        <v>45168</v>
      </c>
      <c r="C31" s="1" t="n">
        <v>46189</v>
      </c>
      <c r="D31" t="inlineStr">
        <is>
          <t>KALMAR LÄN</t>
        </is>
      </c>
      <c r="E31" t="inlineStr">
        <is>
          <t>VIMMERBY</t>
        </is>
      </c>
      <c r="G31" t="n">
        <v>2.2</v>
      </c>
      <c r="H31" t="n">
        <v>1</v>
      </c>
      <c r="I31" t="n">
        <v>0</v>
      </c>
      <c r="J31" t="n">
        <v>0</v>
      </c>
      <c r="K31" t="n">
        <v>0</v>
      </c>
      <c r="L31" t="n">
        <v>0</v>
      </c>
      <c r="M31" t="n">
        <v>0</v>
      </c>
      <c r="N31" t="n">
        <v>0</v>
      </c>
      <c r="O31" t="n">
        <v>0</v>
      </c>
      <c r="P31" t="n">
        <v>0</v>
      </c>
      <c r="Q31" t="n">
        <v>1</v>
      </c>
      <c r="R31" s="2" t="inlineStr">
        <is>
          <t>Revlummer</t>
        </is>
      </c>
      <c r="S31">
        <f>HYPERLINK("https://klasma.github.io/Logging_0884/artfynd/A 40083-2023 artfynd.xlsx", "A 40083-2023")</f>
        <v/>
      </c>
      <c r="T31">
        <f>HYPERLINK("https://klasma.github.io/Logging_0884/kartor/A 40083-2023 karta.png", "A 40083-2023")</f>
        <v/>
      </c>
      <c r="V31">
        <f>HYPERLINK("https://klasma.github.io/Logging_0884/klagomål/A 40083-2023 FSC-klagomål.docx", "A 40083-2023")</f>
        <v/>
      </c>
      <c r="W31">
        <f>HYPERLINK("https://klasma.github.io/Logging_0884/klagomålsmail/A 40083-2023 FSC-klagomål mail.docx", "A 40083-2023")</f>
        <v/>
      </c>
      <c r="X31">
        <f>HYPERLINK("https://klasma.github.io/Logging_0884/tillsyn/A 40083-2023 tillsynsbegäran.docx", "A 40083-2023")</f>
        <v/>
      </c>
      <c r="Y31">
        <f>HYPERLINK("https://klasma.github.io/Logging_0884/tillsynsmail/A 40083-2023 tillsynsbegäran mail.docx", "A 40083-2023")</f>
        <v/>
      </c>
    </row>
    <row r="32" ht="15" customHeight="1">
      <c r="A32" t="inlineStr">
        <is>
          <t>A 40084-2023</t>
        </is>
      </c>
      <c r="B32" s="1" t="n">
        <v>45168</v>
      </c>
      <c r="C32" s="1" t="n">
        <v>46189</v>
      </c>
      <c r="D32" t="inlineStr">
        <is>
          <t>KALMAR LÄN</t>
        </is>
      </c>
      <c r="E32" t="inlineStr">
        <is>
          <t>VIMMERBY</t>
        </is>
      </c>
      <c r="G32" t="n">
        <v>1.3</v>
      </c>
      <c r="H32" t="n">
        <v>1</v>
      </c>
      <c r="I32" t="n">
        <v>0</v>
      </c>
      <c r="J32" t="n">
        <v>1</v>
      </c>
      <c r="K32" t="n">
        <v>0</v>
      </c>
      <c r="L32" t="n">
        <v>0</v>
      </c>
      <c r="M32" t="n">
        <v>0</v>
      </c>
      <c r="N32" t="n">
        <v>0</v>
      </c>
      <c r="O32" t="n">
        <v>1</v>
      </c>
      <c r="P32" t="n">
        <v>0</v>
      </c>
      <c r="Q32" t="n">
        <v>1</v>
      </c>
      <c r="R32" s="2" t="inlineStr">
        <is>
          <t>Entita</t>
        </is>
      </c>
      <c r="S32">
        <f>HYPERLINK("https://klasma.github.io/Logging_0884/artfynd/A 40084-2023 artfynd.xlsx", "A 40084-2023")</f>
        <v/>
      </c>
      <c r="T32">
        <f>HYPERLINK("https://klasma.github.io/Logging_0884/kartor/A 40084-2023 karta.png", "A 40084-2023")</f>
        <v/>
      </c>
      <c r="V32">
        <f>HYPERLINK("https://klasma.github.io/Logging_0884/klagomål/A 40084-2023 FSC-klagomål.docx", "A 40084-2023")</f>
        <v/>
      </c>
      <c r="W32">
        <f>HYPERLINK("https://klasma.github.io/Logging_0884/klagomålsmail/A 40084-2023 FSC-klagomål mail.docx", "A 40084-2023")</f>
        <v/>
      </c>
      <c r="X32">
        <f>HYPERLINK("https://klasma.github.io/Logging_0884/tillsyn/A 40084-2023 tillsynsbegäran.docx", "A 40084-2023")</f>
        <v/>
      </c>
      <c r="Y32">
        <f>HYPERLINK("https://klasma.github.io/Logging_0884/tillsynsmail/A 40084-2023 tillsynsbegäran mail.docx", "A 40084-2023")</f>
        <v/>
      </c>
      <c r="Z32">
        <f>HYPERLINK("https://klasma.github.io/Logging_0884/fåglar/A 40084-2023 prioriterade fågelarter.docx", "A 40084-2023")</f>
        <v/>
      </c>
    </row>
    <row r="33" ht="15" customHeight="1">
      <c r="A33" t="inlineStr">
        <is>
          <t>A 23602-2023</t>
        </is>
      </c>
      <c r="B33" s="1" t="n">
        <v>45077</v>
      </c>
      <c r="C33" s="1" t="n">
        <v>46189</v>
      </c>
      <c r="D33" t="inlineStr">
        <is>
          <t>KALMAR LÄN</t>
        </is>
      </c>
      <c r="E33" t="inlineStr">
        <is>
          <t>VIMMERBY</t>
        </is>
      </c>
      <c r="G33" t="n">
        <v>1.6</v>
      </c>
      <c r="H33" t="n">
        <v>0</v>
      </c>
      <c r="I33" t="n">
        <v>0</v>
      </c>
      <c r="J33" t="n">
        <v>1</v>
      </c>
      <c r="K33" t="n">
        <v>0</v>
      </c>
      <c r="L33" t="n">
        <v>0</v>
      </c>
      <c r="M33" t="n">
        <v>0</v>
      </c>
      <c r="N33" t="n">
        <v>0</v>
      </c>
      <c r="O33" t="n">
        <v>1</v>
      </c>
      <c r="P33" t="n">
        <v>0</v>
      </c>
      <c r="Q33" t="n">
        <v>1</v>
      </c>
      <c r="R33" s="2" t="inlineStr">
        <is>
          <t>Vedtrappmossa</t>
        </is>
      </c>
      <c r="S33">
        <f>HYPERLINK("https://klasma.github.io/Logging_0884/artfynd/A 23602-2023 artfynd.xlsx", "A 23602-2023")</f>
        <v/>
      </c>
      <c r="T33">
        <f>HYPERLINK("https://klasma.github.io/Logging_0884/kartor/A 23602-2023 karta.png", "A 23602-2023")</f>
        <v/>
      </c>
      <c r="V33">
        <f>HYPERLINK("https://klasma.github.io/Logging_0884/klagomål/A 23602-2023 FSC-klagomål.docx", "A 23602-2023")</f>
        <v/>
      </c>
      <c r="W33">
        <f>HYPERLINK("https://klasma.github.io/Logging_0884/klagomålsmail/A 23602-2023 FSC-klagomål mail.docx", "A 23602-2023")</f>
        <v/>
      </c>
      <c r="X33">
        <f>HYPERLINK("https://klasma.github.io/Logging_0884/tillsyn/A 23602-2023 tillsynsbegäran.docx", "A 23602-2023")</f>
        <v/>
      </c>
      <c r="Y33">
        <f>HYPERLINK("https://klasma.github.io/Logging_0884/tillsynsmail/A 23602-2023 tillsynsbegäran mail.docx", "A 23602-2023")</f>
        <v/>
      </c>
    </row>
    <row r="34" ht="15" customHeight="1">
      <c r="A34" t="inlineStr">
        <is>
          <t>A 15122-2024</t>
        </is>
      </c>
      <c r="B34" s="1" t="n">
        <v>45399.71412037037</v>
      </c>
      <c r="C34" s="1" t="n">
        <v>46189</v>
      </c>
      <c r="D34" t="inlineStr">
        <is>
          <t>KALMAR LÄN</t>
        </is>
      </c>
      <c r="E34" t="inlineStr">
        <is>
          <t>VIMMERBY</t>
        </is>
      </c>
      <c r="G34" t="n">
        <v>1.7</v>
      </c>
      <c r="H34" t="n">
        <v>0</v>
      </c>
      <c r="I34" t="n">
        <v>0</v>
      </c>
      <c r="J34" t="n">
        <v>0</v>
      </c>
      <c r="K34" t="n">
        <v>1</v>
      </c>
      <c r="L34" t="n">
        <v>0</v>
      </c>
      <c r="M34" t="n">
        <v>0</v>
      </c>
      <c r="N34" t="n">
        <v>0</v>
      </c>
      <c r="O34" t="n">
        <v>1</v>
      </c>
      <c r="P34" t="n">
        <v>1</v>
      </c>
      <c r="Q34" t="n">
        <v>1</v>
      </c>
      <c r="R34" s="2" t="inlineStr">
        <is>
          <t>Sågfibbla</t>
        </is>
      </c>
      <c r="S34">
        <f>HYPERLINK("https://klasma.github.io/Logging_0884/artfynd/A 15122-2024 artfynd.xlsx", "A 15122-2024")</f>
        <v/>
      </c>
      <c r="T34">
        <f>HYPERLINK("https://klasma.github.io/Logging_0884/kartor/A 15122-2024 karta.png", "A 15122-2024")</f>
        <v/>
      </c>
      <c r="V34">
        <f>HYPERLINK("https://klasma.github.io/Logging_0884/klagomål/A 15122-2024 FSC-klagomål.docx", "A 15122-2024")</f>
        <v/>
      </c>
      <c r="W34">
        <f>HYPERLINK("https://klasma.github.io/Logging_0884/klagomålsmail/A 15122-2024 FSC-klagomål mail.docx", "A 15122-2024")</f>
        <v/>
      </c>
      <c r="X34">
        <f>HYPERLINK("https://klasma.github.io/Logging_0884/tillsyn/A 15122-2024 tillsynsbegäran.docx", "A 15122-2024")</f>
        <v/>
      </c>
      <c r="Y34">
        <f>HYPERLINK("https://klasma.github.io/Logging_0884/tillsynsmail/A 15122-2024 tillsynsbegäran mail.docx", "A 15122-2024")</f>
        <v/>
      </c>
    </row>
    <row r="35" ht="15" customHeight="1">
      <c r="A35" t="inlineStr">
        <is>
          <t>A 32985-2023</t>
        </is>
      </c>
      <c r="B35" s="1" t="n">
        <v>45125</v>
      </c>
      <c r="C35" s="1" t="n">
        <v>46189</v>
      </c>
      <c r="D35" t="inlineStr">
        <is>
          <t>KALMAR LÄN</t>
        </is>
      </c>
      <c r="E35" t="inlineStr">
        <is>
          <t>VIMMERBY</t>
        </is>
      </c>
      <c r="G35" t="n">
        <v>1.9</v>
      </c>
      <c r="H35" t="n">
        <v>0</v>
      </c>
      <c r="I35" t="n">
        <v>0</v>
      </c>
      <c r="J35" t="n">
        <v>0</v>
      </c>
      <c r="K35" t="n">
        <v>0</v>
      </c>
      <c r="L35" t="n">
        <v>1</v>
      </c>
      <c r="M35" t="n">
        <v>0</v>
      </c>
      <c r="N35" t="n">
        <v>0</v>
      </c>
      <c r="O35" t="n">
        <v>1</v>
      </c>
      <c r="P35" t="n">
        <v>1</v>
      </c>
      <c r="Q35" t="n">
        <v>1</v>
      </c>
      <c r="R35" s="2" t="inlineStr">
        <is>
          <t>Ryl</t>
        </is>
      </c>
      <c r="S35">
        <f>HYPERLINK("https://klasma.github.io/Logging_0884/artfynd/A 32985-2023 artfynd.xlsx", "A 32985-2023")</f>
        <v/>
      </c>
      <c r="T35">
        <f>HYPERLINK("https://klasma.github.io/Logging_0884/kartor/A 32985-2023 karta.png", "A 32985-2023")</f>
        <v/>
      </c>
      <c r="V35">
        <f>HYPERLINK("https://klasma.github.io/Logging_0884/klagomål/A 32985-2023 FSC-klagomål.docx", "A 32985-2023")</f>
        <v/>
      </c>
      <c r="W35">
        <f>HYPERLINK("https://klasma.github.io/Logging_0884/klagomålsmail/A 32985-2023 FSC-klagomål mail.docx", "A 32985-2023")</f>
        <v/>
      </c>
      <c r="X35">
        <f>HYPERLINK("https://klasma.github.io/Logging_0884/tillsyn/A 32985-2023 tillsynsbegäran.docx", "A 32985-2023")</f>
        <v/>
      </c>
      <c r="Y35">
        <f>HYPERLINK("https://klasma.github.io/Logging_0884/tillsynsmail/A 32985-2023 tillsynsbegäran mail.docx", "A 32985-2023")</f>
        <v/>
      </c>
    </row>
    <row r="36" ht="15" customHeight="1">
      <c r="A36" t="inlineStr">
        <is>
          <t>A 53404-2025</t>
        </is>
      </c>
      <c r="B36" s="1" t="n">
        <v>45959.57126157408</v>
      </c>
      <c r="C36" s="1" t="n">
        <v>46189</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53404-2025 artfynd.xlsx", "A 53404-2025")</f>
        <v/>
      </c>
      <c r="T36">
        <f>HYPERLINK("https://klasma.github.io/Logging_0884/kartor/A 53404-2025 karta.png", "A 53404-2025")</f>
        <v/>
      </c>
      <c r="U36">
        <f>HYPERLINK("https://klasma.github.io/Logging_0884/knärot/A 53404-2025 karta knärot.png", "A 53404-2025")</f>
        <v/>
      </c>
      <c r="V36">
        <f>HYPERLINK("https://klasma.github.io/Logging_0884/klagomål/A 53404-2025 FSC-klagomål.docx", "A 53404-2025")</f>
        <v/>
      </c>
      <c r="W36">
        <f>HYPERLINK("https://klasma.github.io/Logging_0884/klagomålsmail/A 53404-2025 FSC-klagomål mail.docx", "A 53404-2025")</f>
        <v/>
      </c>
      <c r="X36">
        <f>HYPERLINK("https://klasma.github.io/Logging_0884/tillsyn/A 53404-2025 tillsynsbegäran.docx", "A 53404-2025")</f>
        <v/>
      </c>
      <c r="Y36">
        <f>HYPERLINK("https://klasma.github.io/Logging_0884/tillsynsmail/A 53404-2025 tillsynsbegäran mail.docx", "A 53404-2025")</f>
        <v/>
      </c>
    </row>
    <row r="37" ht="15" customHeight="1">
      <c r="A37" t="inlineStr">
        <is>
          <t>A 28852-2023</t>
        </is>
      </c>
      <c r="B37" s="1" t="n">
        <v>45104</v>
      </c>
      <c r="C37" s="1" t="n">
        <v>46189</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44515-2024</t>
        </is>
      </c>
      <c r="B38" s="1" t="n">
        <v>45574.42767361111</v>
      </c>
      <c r="C38" s="1" t="n">
        <v>46189</v>
      </c>
      <c r="D38" t="inlineStr">
        <is>
          <t>KALMAR LÄN</t>
        </is>
      </c>
      <c r="E38" t="inlineStr">
        <is>
          <t>VIMMERBY</t>
        </is>
      </c>
      <c r="G38" t="n">
        <v>1.4</v>
      </c>
      <c r="H38" t="n">
        <v>1</v>
      </c>
      <c r="I38" t="n">
        <v>0</v>
      </c>
      <c r="J38" t="n">
        <v>0</v>
      </c>
      <c r="K38" t="n">
        <v>1</v>
      </c>
      <c r="L38" t="n">
        <v>0</v>
      </c>
      <c r="M38" t="n">
        <v>0</v>
      </c>
      <c r="N38" t="n">
        <v>0</v>
      </c>
      <c r="O38" t="n">
        <v>1</v>
      </c>
      <c r="P38" t="n">
        <v>1</v>
      </c>
      <c r="Q38" t="n">
        <v>1</v>
      </c>
      <c r="R38" s="2" t="inlineStr">
        <is>
          <t>Knärot</t>
        </is>
      </c>
      <c r="S38">
        <f>HYPERLINK("https://klasma.github.io/Logging_0884/artfynd/A 44515-2024 artfynd.xlsx", "A 44515-2024")</f>
        <v/>
      </c>
      <c r="T38">
        <f>HYPERLINK("https://klasma.github.io/Logging_0884/kartor/A 44515-2024 karta.png", "A 44515-2024")</f>
        <v/>
      </c>
      <c r="U38">
        <f>HYPERLINK("https://klasma.github.io/Logging_0884/knärot/A 44515-2024 karta knärot.png", "A 44515-2024")</f>
        <v/>
      </c>
      <c r="V38">
        <f>HYPERLINK("https://klasma.github.io/Logging_0884/klagomål/A 44515-2024 FSC-klagomål.docx", "A 44515-2024")</f>
        <v/>
      </c>
      <c r="W38">
        <f>HYPERLINK("https://klasma.github.io/Logging_0884/klagomålsmail/A 44515-2024 FSC-klagomål mail.docx", "A 44515-2024")</f>
        <v/>
      </c>
      <c r="X38">
        <f>HYPERLINK("https://klasma.github.io/Logging_0884/tillsyn/A 44515-2024 tillsynsbegäran.docx", "A 44515-2024")</f>
        <v/>
      </c>
      <c r="Y38">
        <f>HYPERLINK("https://klasma.github.io/Logging_0884/tillsynsmail/A 44515-2024 tillsynsbegäran mail.docx", "A 44515-2024")</f>
        <v/>
      </c>
    </row>
    <row r="39" ht="15" customHeight="1">
      <c r="A39" t="inlineStr">
        <is>
          <t>A 57062-2025</t>
        </is>
      </c>
      <c r="B39" s="1" t="n">
        <v>45979.37598379629</v>
      </c>
      <c r="C39" s="1" t="n">
        <v>46189</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61860-2024</t>
        </is>
      </c>
      <c r="B40" s="1" t="n">
        <v>45649</v>
      </c>
      <c r="C40" s="1" t="n">
        <v>46189</v>
      </c>
      <c r="D40" t="inlineStr">
        <is>
          <t>KALMAR LÄN</t>
        </is>
      </c>
      <c r="E40" t="inlineStr">
        <is>
          <t>VIMMERBY</t>
        </is>
      </c>
      <c r="G40" t="n">
        <v>4.4</v>
      </c>
      <c r="H40" t="n">
        <v>1</v>
      </c>
      <c r="I40" t="n">
        <v>0</v>
      </c>
      <c r="J40" t="n">
        <v>0</v>
      </c>
      <c r="K40" t="n">
        <v>1</v>
      </c>
      <c r="L40" t="n">
        <v>0</v>
      </c>
      <c r="M40" t="n">
        <v>0</v>
      </c>
      <c r="N40" t="n">
        <v>0</v>
      </c>
      <c r="O40" t="n">
        <v>1</v>
      </c>
      <c r="P40" t="n">
        <v>1</v>
      </c>
      <c r="Q40" t="n">
        <v>1</v>
      </c>
      <c r="R40" s="2" t="inlineStr">
        <is>
          <t>Knärot</t>
        </is>
      </c>
      <c r="S40">
        <f>HYPERLINK("https://klasma.github.io/Logging_0884/artfynd/A 61860-2024 artfynd.xlsx", "A 61860-2024")</f>
        <v/>
      </c>
      <c r="T40">
        <f>HYPERLINK("https://klasma.github.io/Logging_0884/kartor/A 61860-2024 karta.png", "A 61860-2024")</f>
        <v/>
      </c>
      <c r="U40">
        <f>HYPERLINK("https://klasma.github.io/Logging_0884/knärot/A 61860-2024 karta knärot.png", "A 61860-2024")</f>
        <v/>
      </c>
      <c r="V40">
        <f>HYPERLINK("https://klasma.github.io/Logging_0884/klagomål/A 61860-2024 FSC-klagomål.docx", "A 61860-2024")</f>
        <v/>
      </c>
      <c r="W40">
        <f>HYPERLINK("https://klasma.github.io/Logging_0884/klagomålsmail/A 61860-2024 FSC-klagomål mail.docx", "A 61860-2024")</f>
        <v/>
      </c>
      <c r="X40">
        <f>HYPERLINK("https://klasma.github.io/Logging_0884/tillsyn/A 61860-2024 tillsynsbegäran.docx", "A 61860-2024")</f>
        <v/>
      </c>
      <c r="Y40">
        <f>HYPERLINK("https://klasma.github.io/Logging_0884/tillsynsmail/A 61860-2024 tillsynsbegäran mail.docx", "A 61860-2024")</f>
        <v/>
      </c>
    </row>
    <row r="41" ht="15" customHeight="1">
      <c r="A41" t="inlineStr">
        <is>
          <t>A 52301-2023</t>
        </is>
      </c>
      <c r="B41" s="1" t="n">
        <v>45224</v>
      </c>
      <c r="C41" s="1" t="n">
        <v>46189</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33436-2021</t>
        </is>
      </c>
      <c r="B42" s="1" t="n">
        <v>44377.61104166666</v>
      </c>
      <c r="C42" s="1" t="n">
        <v>46189</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1201-2025</t>
        </is>
      </c>
      <c r="B43" s="1" t="n">
        <v>45667</v>
      </c>
      <c r="C43" s="1" t="n">
        <v>46189</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29183-2025</t>
        </is>
      </c>
      <c r="B44" s="1" t="n">
        <v>45821</v>
      </c>
      <c r="C44" s="1" t="n">
        <v>46189</v>
      </c>
      <c r="D44" t="inlineStr">
        <is>
          <t>KALMAR LÄN</t>
        </is>
      </c>
      <c r="E44" t="inlineStr">
        <is>
          <t>VIMMERBY</t>
        </is>
      </c>
      <c r="G44" t="n">
        <v>2.7</v>
      </c>
      <c r="H44" t="n">
        <v>0</v>
      </c>
      <c r="I44" t="n">
        <v>1</v>
      </c>
      <c r="J44" t="n">
        <v>0</v>
      </c>
      <c r="K44" t="n">
        <v>0</v>
      </c>
      <c r="L44" t="n">
        <v>0</v>
      </c>
      <c r="M44" t="n">
        <v>0</v>
      </c>
      <c r="N44" t="n">
        <v>0</v>
      </c>
      <c r="O44" t="n">
        <v>0</v>
      </c>
      <c r="P44" t="n">
        <v>0</v>
      </c>
      <c r="Q44" t="n">
        <v>1</v>
      </c>
      <c r="R44" s="2" t="inlineStr">
        <is>
          <t>Sårläka</t>
        </is>
      </c>
      <c r="S44">
        <f>HYPERLINK("https://klasma.github.io/Logging_0884/artfynd/A 29183-2025 artfynd.xlsx", "A 29183-2025")</f>
        <v/>
      </c>
      <c r="T44">
        <f>HYPERLINK("https://klasma.github.io/Logging_0884/kartor/A 29183-2025 karta.png", "A 29183-2025")</f>
        <v/>
      </c>
      <c r="V44">
        <f>HYPERLINK("https://klasma.github.io/Logging_0884/klagomål/A 29183-2025 FSC-klagomål.docx", "A 29183-2025")</f>
        <v/>
      </c>
      <c r="W44">
        <f>HYPERLINK("https://klasma.github.io/Logging_0884/klagomålsmail/A 29183-2025 FSC-klagomål mail.docx", "A 29183-2025")</f>
        <v/>
      </c>
      <c r="X44">
        <f>HYPERLINK("https://klasma.github.io/Logging_0884/tillsyn/A 29183-2025 tillsynsbegäran.docx", "A 29183-2025")</f>
        <v/>
      </c>
      <c r="Y44">
        <f>HYPERLINK("https://klasma.github.io/Logging_0884/tillsynsmail/A 29183-2025 tillsynsbegäran mail.docx", "A 29183-2025")</f>
        <v/>
      </c>
    </row>
    <row r="45" ht="15" customHeight="1">
      <c r="A45" t="inlineStr">
        <is>
          <t>A 59070-2021</t>
        </is>
      </c>
      <c r="B45" s="1" t="n">
        <v>44490.38613425926</v>
      </c>
      <c r="C45" s="1" t="n">
        <v>46189</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46189</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56754-2021</t>
        </is>
      </c>
      <c r="B47" s="1" t="n">
        <v>44481.47483796296</v>
      </c>
      <c r="C47" s="1" t="n">
        <v>46189</v>
      </c>
      <c r="D47" t="inlineStr">
        <is>
          <t>KALMAR LÄN</t>
        </is>
      </c>
      <c r="E47" t="inlineStr">
        <is>
          <t>VIMMERBY</t>
        </is>
      </c>
      <c r="G47" t="n">
        <v>1.4</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46189</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8908-2022</t>
        </is>
      </c>
      <c r="B49" s="1" t="n">
        <v>44614</v>
      </c>
      <c r="C49" s="1" t="n">
        <v>46189</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16283-2022</t>
        </is>
      </c>
      <c r="B50" s="1" t="n">
        <v>44670</v>
      </c>
      <c r="C50" s="1" t="n">
        <v>46189</v>
      </c>
      <c r="D50" t="inlineStr">
        <is>
          <t>KALMAR LÄN</t>
        </is>
      </c>
      <c r="E50" t="inlineStr">
        <is>
          <t>VIMMERBY</t>
        </is>
      </c>
      <c r="G50" t="n">
        <v>1.4</v>
      </c>
      <c r="H50" t="n">
        <v>0</v>
      </c>
      <c r="I50" t="n">
        <v>0</v>
      </c>
      <c r="J50" t="n">
        <v>0</v>
      </c>
      <c r="K50" t="n">
        <v>0</v>
      </c>
      <c r="L50" t="n">
        <v>0</v>
      </c>
      <c r="M50" t="n">
        <v>0</v>
      </c>
      <c r="N50" t="n">
        <v>0</v>
      </c>
      <c r="O50" t="n">
        <v>0</v>
      </c>
      <c r="P50" t="n">
        <v>0</v>
      </c>
      <c r="Q50" t="n">
        <v>0</v>
      </c>
      <c r="R50" s="2" t="inlineStr"/>
    </row>
    <row r="51" ht="15" customHeight="1">
      <c r="A51" t="inlineStr">
        <is>
          <t>A 16288-2022</t>
        </is>
      </c>
      <c r="B51" s="1" t="n">
        <v>44670</v>
      </c>
      <c r="C51" s="1" t="n">
        <v>46189</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38348-2021</t>
        </is>
      </c>
      <c r="B52" s="1" t="n">
        <v>44406</v>
      </c>
      <c r="C52" s="1" t="n">
        <v>46189</v>
      </c>
      <c r="D52" t="inlineStr">
        <is>
          <t>KALMAR LÄN</t>
        </is>
      </c>
      <c r="E52" t="inlineStr">
        <is>
          <t>VIMMERBY</t>
        </is>
      </c>
      <c r="G52" t="n">
        <v>2.2</v>
      </c>
      <c r="H52" t="n">
        <v>0</v>
      </c>
      <c r="I52" t="n">
        <v>0</v>
      </c>
      <c r="J52" t="n">
        <v>0</v>
      </c>
      <c r="K52" t="n">
        <v>0</v>
      </c>
      <c r="L52" t="n">
        <v>0</v>
      </c>
      <c r="M52" t="n">
        <v>0</v>
      </c>
      <c r="N52" t="n">
        <v>0</v>
      </c>
      <c r="O52" t="n">
        <v>0</v>
      </c>
      <c r="P52" t="n">
        <v>0</v>
      </c>
      <c r="Q52" t="n">
        <v>0</v>
      </c>
      <c r="R52" s="2" t="inlineStr"/>
    </row>
    <row r="53" ht="15" customHeight="1">
      <c r="A53" t="inlineStr">
        <is>
          <t>A 63926-2021</t>
        </is>
      </c>
      <c r="B53" s="1" t="n">
        <v>44509</v>
      </c>
      <c r="C53" s="1" t="n">
        <v>46189</v>
      </c>
      <c r="D53" t="inlineStr">
        <is>
          <t>KALMAR LÄN</t>
        </is>
      </c>
      <c r="E53" t="inlineStr">
        <is>
          <t>VIMMERBY</t>
        </is>
      </c>
      <c r="G53" t="n">
        <v>0.7</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46189</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46189</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46189</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46189</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46189</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41438-2022</t>
        </is>
      </c>
      <c r="B59" s="1" t="n">
        <v>44826.68010416667</v>
      </c>
      <c r="C59" s="1" t="n">
        <v>46189</v>
      </c>
      <c r="D59" t="inlineStr">
        <is>
          <t>KALMAR LÄN</t>
        </is>
      </c>
      <c r="E59" t="inlineStr">
        <is>
          <t>VIMMERBY</t>
        </is>
      </c>
      <c r="G59" t="n">
        <v>3.1</v>
      </c>
      <c r="H59" t="n">
        <v>0</v>
      </c>
      <c r="I59" t="n">
        <v>0</v>
      </c>
      <c r="J59" t="n">
        <v>0</v>
      </c>
      <c r="K59" t="n">
        <v>0</v>
      </c>
      <c r="L59" t="n">
        <v>0</v>
      </c>
      <c r="M59" t="n">
        <v>0</v>
      </c>
      <c r="N59" t="n">
        <v>0</v>
      </c>
      <c r="O59" t="n">
        <v>0</v>
      </c>
      <c r="P59" t="n">
        <v>0</v>
      </c>
      <c r="Q59" t="n">
        <v>0</v>
      </c>
      <c r="R59" s="2" t="inlineStr"/>
    </row>
    <row r="60" ht="15" customHeight="1">
      <c r="A60" t="inlineStr">
        <is>
          <t>A 50809-2022</t>
        </is>
      </c>
      <c r="B60" s="1" t="n">
        <v>44862</v>
      </c>
      <c r="C60" s="1" t="n">
        <v>46189</v>
      </c>
      <c r="D60" t="inlineStr">
        <is>
          <t>KALMAR LÄN</t>
        </is>
      </c>
      <c r="E60" t="inlineStr">
        <is>
          <t>VIMMERBY</t>
        </is>
      </c>
      <c r="G60" t="n">
        <v>3.7</v>
      </c>
      <c r="H60" t="n">
        <v>0</v>
      </c>
      <c r="I60" t="n">
        <v>0</v>
      </c>
      <c r="J60" t="n">
        <v>0</v>
      </c>
      <c r="K60" t="n">
        <v>0</v>
      </c>
      <c r="L60" t="n">
        <v>0</v>
      </c>
      <c r="M60" t="n">
        <v>0</v>
      </c>
      <c r="N60" t="n">
        <v>0</v>
      </c>
      <c r="O60" t="n">
        <v>0</v>
      </c>
      <c r="P60" t="n">
        <v>0</v>
      </c>
      <c r="Q60" t="n">
        <v>0</v>
      </c>
      <c r="R60" s="2" t="inlineStr"/>
    </row>
    <row r="61" ht="15" customHeight="1">
      <c r="A61" t="inlineStr">
        <is>
          <t>A 2183-2022</t>
        </is>
      </c>
      <c r="B61" s="1" t="n">
        <v>44578.47597222222</v>
      </c>
      <c r="C61" s="1" t="n">
        <v>46189</v>
      </c>
      <c r="D61" t="inlineStr">
        <is>
          <t>KALMAR LÄN</t>
        </is>
      </c>
      <c r="E61" t="inlineStr">
        <is>
          <t>VIMMERBY</t>
        </is>
      </c>
      <c r="G61" t="n">
        <v>4.8</v>
      </c>
      <c r="H61" t="n">
        <v>0</v>
      </c>
      <c r="I61" t="n">
        <v>0</v>
      </c>
      <c r="J61" t="n">
        <v>0</v>
      </c>
      <c r="K61" t="n">
        <v>0</v>
      </c>
      <c r="L61" t="n">
        <v>0</v>
      </c>
      <c r="M61" t="n">
        <v>0</v>
      </c>
      <c r="N61" t="n">
        <v>0</v>
      </c>
      <c r="O61" t="n">
        <v>0</v>
      </c>
      <c r="P61" t="n">
        <v>0</v>
      </c>
      <c r="Q61" t="n">
        <v>0</v>
      </c>
      <c r="R61" s="2" t="inlineStr"/>
    </row>
    <row r="62" ht="15" customHeight="1">
      <c r="A62" t="inlineStr">
        <is>
          <t>A 65670-2021</t>
        </is>
      </c>
      <c r="B62" s="1" t="n">
        <v>44516.59703703703</v>
      </c>
      <c r="C62" s="1" t="n">
        <v>46189</v>
      </c>
      <c r="D62" t="inlineStr">
        <is>
          <t>KALMAR LÄN</t>
        </is>
      </c>
      <c r="E62" t="inlineStr">
        <is>
          <t>VIMMERBY</t>
        </is>
      </c>
      <c r="G62" t="n">
        <v>1.9</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46189</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46189</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46189</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46189</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59791-2021</t>
        </is>
      </c>
      <c r="B67" s="1" t="n">
        <v>44494</v>
      </c>
      <c r="C67" s="1" t="n">
        <v>46189</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71626-2021</t>
        </is>
      </c>
      <c r="B68" s="1" t="n">
        <v>44542.8859375</v>
      </c>
      <c r="C68" s="1" t="n">
        <v>46189</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46189</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46189</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46189</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46189</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46189</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46189</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46189</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46189</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46189</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46189</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46189</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46189</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46189</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46189</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46189</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46189</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46189</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46189</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46189</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46189</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4042-2022</t>
        </is>
      </c>
      <c r="B89" s="1" t="n">
        <v>44588</v>
      </c>
      <c r="C89" s="1" t="n">
        <v>46189</v>
      </c>
      <c r="D89" t="inlineStr">
        <is>
          <t>KALMAR LÄN</t>
        </is>
      </c>
      <c r="E89" t="inlineStr">
        <is>
          <t>VIMMERBY</t>
        </is>
      </c>
      <c r="G89" t="n">
        <v>4.7</v>
      </c>
      <c r="H89" t="n">
        <v>0</v>
      </c>
      <c r="I89" t="n">
        <v>0</v>
      </c>
      <c r="J89" t="n">
        <v>0</v>
      </c>
      <c r="K89" t="n">
        <v>0</v>
      </c>
      <c r="L89" t="n">
        <v>0</v>
      </c>
      <c r="M89" t="n">
        <v>0</v>
      </c>
      <c r="N89" t="n">
        <v>0</v>
      </c>
      <c r="O89" t="n">
        <v>0</v>
      </c>
      <c r="P89" t="n">
        <v>0</v>
      </c>
      <c r="Q89" t="n">
        <v>0</v>
      </c>
      <c r="R89" s="2" t="inlineStr"/>
    </row>
    <row r="90" ht="15" customHeight="1">
      <c r="A90" t="inlineStr">
        <is>
          <t>A 33690-2022</t>
        </is>
      </c>
      <c r="B90" s="1" t="n">
        <v>44789</v>
      </c>
      <c r="C90" s="1" t="n">
        <v>46189</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35198-2021</t>
        </is>
      </c>
      <c r="B91" s="1" t="n">
        <v>44377</v>
      </c>
      <c r="C91" s="1" t="n">
        <v>46189</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46189</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56385-2021</t>
        </is>
      </c>
      <c r="B93" s="1" t="n">
        <v>44480</v>
      </c>
      <c r="C93" s="1" t="n">
        <v>46189</v>
      </c>
      <c r="D93" t="inlineStr">
        <is>
          <t>KALMAR LÄN</t>
        </is>
      </c>
      <c r="E93" t="inlineStr">
        <is>
          <t>VIMMERBY</t>
        </is>
      </c>
      <c r="G93" t="n">
        <v>1.9</v>
      </c>
      <c r="H93" t="n">
        <v>0</v>
      </c>
      <c r="I93" t="n">
        <v>0</v>
      </c>
      <c r="J93" t="n">
        <v>0</v>
      </c>
      <c r="K93" t="n">
        <v>0</v>
      </c>
      <c r="L93" t="n">
        <v>0</v>
      </c>
      <c r="M93" t="n">
        <v>0</v>
      </c>
      <c r="N93" t="n">
        <v>0</v>
      </c>
      <c r="O93" t="n">
        <v>0</v>
      </c>
      <c r="P93" t="n">
        <v>0</v>
      </c>
      <c r="Q93" t="n">
        <v>0</v>
      </c>
      <c r="R93" s="2" t="inlineStr"/>
    </row>
    <row r="94" ht="15" customHeight="1">
      <c r="A94" t="inlineStr">
        <is>
          <t>A 11814-2022</t>
        </is>
      </c>
      <c r="B94" s="1" t="n">
        <v>44634.69703703704</v>
      </c>
      <c r="C94" s="1" t="n">
        <v>46189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31053-2022</t>
        </is>
      </c>
      <c r="B95" s="1" t="n">
        <v>44769.45422453704</v>
      </c>
      <c r="C95" s="1" t="n">
        <v>46189</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46189</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46189</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46189</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46189</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46189</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46189</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46189</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46189</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46189</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46189</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46189</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46189</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46189</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46189</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40077-2021</t>
        </is>
      </c>
      <c r="B112" s="1" t="n">
        <v>44418</v>
      </c>
      <c r="C112" s="1" t="n">
        <v>46189</v>
      </c>
      <c r="D112" t="inlineStr">
        <is>
          <t>KALMAR LÄN</t>
        </is>
      </c>
      <c r="E112" t="inlineStr">
        <is>
          <t>VIMMERBY</t>
        </is>
      </c>
      <c r="G112" t="n">
        <v>2.9</v>
      </c>
      <c r="H112" t="n">
        <v>0</v>
      </c>
      <c r="I112" t="n">
        <v>0</v>
      </c>
      <c r="J112" t="n">
        <v>0</v>
      </c>
      <c r="K112" t="n">
        <v>0</v>
      </c>
      <c r="L112" t="n">
        <v>0</v>
      </c>
      <c r="M112" t="n">
        <v>0</v>
      </c>
      <c r="N112" t="n">
        <v>0</v>
      </c>
      <c r="O112" t="n">
        <v>0</v>
      </c>
      <c r="P112" t="n">
        <v>0</v>
      </c>
      <c r="Q112" t="n">
        <v>0</v>
      </c>
      <c r="R112" s="2" t="inlineStr"/>
    </row>
    <row r="113" ht="15" customHeight="1">
      <c r="A113" t="inlineStr">
        <is>
          <t>A 47769-2022</t>
        </is>
      </c>
      <c r="B113" s="1" t="n">
        <v>44854</v>
      </c>
      <c r="C113" s="1" t="n">
        <v>46189</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46189</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46189</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47708-2022</t>
        </is>
      </c>
      <c r="B116" s="1" t="n">
        <v>44854.59157407407</v>
      </c>
      <c r="C116" s="1" t="n">
        <v>46189</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35316-2021</t>
        </is>
      </c>
      <c r="B117" s="1" t="n">
        <v>44384</v>
      </c>
      <c r="C117" s="1" t="n">
        <v>46189</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9918-2022</t>
        </is>
      </c>
      <c r="B118" s="1" t="n">
        <v>44620</v>
      </c>
      <c r="C118" s="1" t="n">
        <v>46189</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33831-2022</t>
        </is>
      </c>
      <c r="B119" s="1" t="n">
        <v>44790.48503472222</v>
      </c>
      <c r="C119" s="1" t="n">
        <v>46189</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23825-2022</t>
        </is>
      </c>
      <c r="B120" s="1" t="n">
        <v>44722.48768518519</v>
      </c>
      <c r="C120" s="1" t="n">
        <v>46189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47473-2021</t>
        </is>
      </c>
      <c r="B121" s="1" t="n">
        <v>44447</v>
      </c>
      <c r="C121" s="1" t="n">
        <v>46189</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41056-2022</t>
        </is>
      </c>
      <c r="B122" s="1" t="n">
        <v>44824</v>
      </c>
      <c r="C122" s="1" t="n">
        <v>46189</v>
      </c>
      <c r="D122" t="inlineStr">
        <is>
          <t>KALMAR LÄN</t>
        </is>
      </c>
      <c r="E122" t="inlineStr">
        <is>
          <t>VIMMERBY</t>
        </is>
      </c>
      <c r="G122" t="n">
        <v>0.8</v>
      </c>
      <c r="H122" t="n">
        <v>0</v>
      </c>
      <c r="I122" t="n">
        <v>0</v>
      </c>
      <c r="J122" t="n">
        <v>0</v>
      </c>
      <c r="K122" t="n">
        <v>0</v>
      </c>
      <c r="L122" t="n">
        <v>0</v>
      </c>
      <c r="M122" t="n">
        <v>0</v>
      </c>
      <c r="N122" t="n">
        <v>0</v>
      </c>
      <c r="O122" t="n">
        <v>0</v>
      </c>
      <c r="P122" t="n">
        <v>0</v>
      </c>
      <c r="Q122" t="n">
        <v>0</v>
      </c>
      <c r="R122" s="2" t="inlineStr"/>
    </row>
    <row r="123" ht="15" customHeight="1">
      <c r="A123" t="inlineStr">
        <is>
          <t>A 31660-2021</t>
        </is>
      </c>
      <c r="B123" s="1" t="n">
        <v>44369</v>
      </c>
      <c r="C123" s="1" t="n">
        <v>46189</v>
      </c>
      <c r="D123" t="inlineStr">
        <is>
          <t>KALMAR LÄN</t>
        </is>
      </c>
      <c r="E123" t="inlineStr">
        <is>
          <t>VIMMERBY</t>
        </is>
      </c>
      <c r="G123" t="n">
        <v>4.2</v>
      </c>
      <c r="H123" t="n">
        <v>0</v>
      </c>
      <c r="I123" t="n">
        <v>0</v>
      </c>
      <c r="J123" t="n">
        <v>0</v>
      </c>
      <c r="K123" t="n">
        <v>0</v>
      </c>
      <c r="L123" t="n">
        <v>0</v>
      </c>
      <c r="M123" t="n">
        <v>0</v>
      </c>
      <c r="N123" t="n">
        <v>0</v>
      </c>
      <c r="O123" t="n">
        <v>0</v>
      </c>
      <c r="P123" t="n">
        <v>0</v>
      </c>
      <c r="Q123" t="n">
        <v>0</v>
      </c>
      <c r="R123" s="2" t="inlineStr"/>
    </row>
    <row r="124" ht="15" customHeight="1">
      <c r="A124" t="inlineStr">
        <is>
          <t>A 27455-2022</t>
        </is>
      </c>
      <c r="B124" s="1" t="n">
        <v>44742</v>
      </c>
      <c r="C124" s="1" t="n">
        <v>46189</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32603-2021</t>
        </is>
      </c>
      <c r="B125" s="1" t="n">
        <v>44375.38789351852</v>
      </c>
      <c r="C125" s="1" t="n">
        <v>46189</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36117-2021</t>
        </is>
      </c>
      <c r="B126" s="1" t="n">
        <v>44386</v>
      </c>
      <c r="C126" s="1" t="n">
        <v>46189</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42521-2021</t>
        </is>
      </c>
      <c r="B127" s="1" t="n">
        <v>44427</v>
      </c>
      <c r="C127" s="1" t="n">
        <v>46189</v>
      </c>
      <c r="D127" t="inlineStr">
        <is>
          <t>KALMAR LÄN</t>
        </is>
      </c>
      <c r="E127" t="inlineStr">
        <is>
          <t>VIMMERBY</t>
        </is>
      </c>
      <c r="G127" t="n">
        <v>5.4</v>
      </c>
      <c r="H127" t="n">
        <v>0</v>
      </c>
      <c r="I127" t="n">
        <v>0</v>
      </c>
      <c r="J127" t="n">
        <v>0</v>
      </c>
      <c r="K127" t="n">
        <v>0</v>
      </c>
      <c r="L127" t="n">
        <v>0</v>
      </c>
      <c r="M127" t="n">
        <v>0</v>
      </c>
      <c r="N127" t="n">
        <v>0</v>
      </c>
      <c r="O127" t="n">
        <v>0</v>
      </c>
      <c r="P127" t="n">
        <v>0</v>
      </c>
      <c r="Q127" t="n">
        <v>0</v>
      </c>
      <c r="R127" s="2" t="inlineStr"/>
    </row>
    <row r="128" ht="15" customHeight="1">
      <c r="A128" t="inlineStr">
        <is>
          <t>A 46964-2022</t>
        </is>
      </c>
      <c r="B128" s="1" t="n">
        <v>44851.95016203704</v>
      </c>
      <c r="C128" s="1" t="n">
        <v>46189</v>
      </c>
      <c r="D128" t="inlineStr">
        <is>
          <t>KALMAR LÄN</t>
        </is>
      </c>
      <c r="E128" t="inlineStr">
        <is>
          <t>VIMMERBY</t>
        </is>
      </c>
      <c r="G128" t="n">
        <v>0.2</v>
      </c>
      <c r="H128" t="n">
        <v>0</v>
      </c>
      <c r="I128" t="n">
        <v>0</v>
      </c>
      <c r="J128" t="n">
        <v>0</v>
      </c>
      <c r="K128" t="n">
        <v>0</v>
      </c>
      <c r="L128" t="n">
        <v>0</v>
      </c>
      <c r="M128" t="n">
        <v>0</v>
      </c>
      <c r="N128" t="n">
        <v>0</v>
      </c>
      <c r="O128" t="n">
        <v>0</v>
      </c>
      <c r="P128" t="n">
        <v>0</v>
      </c>
      <c r="Q128" t="n">
        <v>0</v>
      </c>
      <c r="R128" s="2" t="inlineStr"/>
    </row>
    <row r="129" ht="15" customHeight="1">
      <c r="A129" t="inlineStr">
        <is>
          <t>A 13180-2022</t>
        </is>
      </c>
      <c r="B129" s="1" t="n">
        <v>44644</v>
      </c>
      <c r="C129" s="1" t="n">
        <v>46189</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46189</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44876.48346064815</v>
      </c>
      <c r="C131" s="1" t="n">
        <v>46189</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44733.43092592592</v>
      </c>
      <c r="C132" s="1" t="n">
        <v>46189</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46189</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46189</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8453-2022</t>
        </is>
      </c>
      <c r="B135" s="1" t="n">
        <v>44612.86554398148</v>
      </c>
      <c r="C135" s="1" t="n">
        <v>46189</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54065-2021</t>
        </is>
      </c>
      <c r="B136" s="1" t="n">
        <v>44470.44232638889</v>
      </c>
      <c r="C136" s="1" t="n">
        <v>46189</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52433-2021</t>
        </is>
      </c>
      <c r="B137" s="1" t="n">
        <v>44466.34726851852</v>
      </c>
      <c r="C137" s="1" t="n">
        <v>46189</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31824-2022</t>
        </is>
      </c>
      <c r="B138" s="1" t="n">
        <v>44776</v>
      </c>
      <c r="C138" s="1" t="n">
        <v>46189</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50621-2022</t>
        </is>
      </c>
      <c r="B139" s="1" t="n">
        <v>44866.81100694444</v>
      </c>
      <c r="C139" s="1" t="n">
        <v>46189</v>
      </c>
      <c r="D139" t="inlineStr">
        <is>
          <t>KALMAR LÄN</t>
        </is>
      </c>
      <c r="E139" t="inlineStr">
        <is>
          <t>VIMMERBY</t>
        </is>
      </c>
      <c r="F139" t="inlineStr">
        <is>
          <t>Övriga Aktiebolag</t>
        </is>
      </c>
      <c r="G139" t="n">
        <v>5.1</v>
      </c>
      <c r="H139" t="n">
        <v>0</v>
      </c>
      <c r="I139" t="n">
        <v>0</v>
      </c>
      <c r="J139" t="n">
        <v>0</v>
      </c>
      <c r="K139" t="n">
        <v>0</v>
      </c>
      <c r="L139" t="n">
        <v>0</v>
      </c>
      <c r="M139" t="n">
        <v>0</v>
      </c>
      <c r="N139" t="n">
        <v>0</v>
      </c>
      <c r="O139" t="n">
        <v>0</v>
      </c>
      <c r="P139" t="n">
        <v>0</v>
      </c>
      <c r="Q139" t="n">
        <v>0</v>
      </c>
      <c r="R139" s="2" t="inlineStr"/>
    </row>
    <row r="140" ht="15" customHeight="1">
      <c r="A140" t="inlineStr">
        <is>
          <t>A 11733-2022</t>
        </is>
      </c>
      <c r="B140" s="1" t="n">
        <v>44634</v>
      </c>
      <c r="C140" s="1" t="n">
        <v>46189</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7804-2022</t>
        </is>
      </c>
      <c r="B141" s="1" t="n">
        <v>44608.50458333334</v>
      </c>
      <c r="C141" s="1" t="n">
        <v>46189</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39042-2022</t>
        </is>
      </c>
      <c r="B142" s="1" t="n">
        <v>44817</v>
      </c>
      <c r="C142" s="1" t="n">
        <v>46189</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29441-2024</t>
        </is>
      </c>
      <c r="B143" s="1" t="n">
        <v>45483.82834490741</v>
      </c>
      <c r="C143" s="1" t="n">
        <v>46189</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25728-2023</t>
        </is>
      </c>
      <c r="B144" s="1" t="n">
        <v>45090.38012731481</v>
      </c>
      <c r="C144" s="1" t="n">
        <v>46189</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33359-2021</t>
        </is>
      </c>
      <c r="B145" s="1" t="n">
        <v>44377.49684027778</v>
      </c>
      <c r="C145" s="1" t="n">
        <v>46189</v>
      </c>
      <c r="D145" t="inlineStr">
        <is>
          <t>KALMAR LÄN</t>
        </is>
      </c>
      <c r="E145" t="inlineStr">
        <is>
          <t>VIMMERBY</t>
        </is>
      </c>
      <c r="F145" t="inlineStr">
        <is>
          <t>Kommuner</t>
        </is>
      </c>
      <c r="G145" t="n">
        <v>8</v>
      </c>
      <c r="H145" t="n">
        <v>0</v>
      </c>
      <c r="I145" t="n">
        <v>0</v>
      </c>
      <c r="J145" t="n">
        <v>0</v>
      </c>
      <c r="K145" t="n">
        <v>0</v>
      </c>
      <c r="L145" t="n">
        <v>0</v>
      </c>
      <c r="M145" t="n">
        <v>0</v>
      </c>
      <c r="N145" t="n">
        <v>0</v>
      </c>
      <c r="O145" t="n">
        <v>0</v>
      </c>
      <c r="P145" t="n">
        <v>0</v>
      </c>
      <c r="Q145" t="n">
        <v>0</v>
      </c>
      <c r="R145" s="2" t="inlineStr"/>
    </row>
    <row r="146" ht="15" customHeight="1">
      <c r="A146" t="inlineStr">
        <is>
          <t>A 43038-2022</t>
        </is>
      </c>
      <c r="B146" s="1" t="n">
        <v>44833.60123842592</v>
      </c>
      <c r="C146" s="1" t="n">
        <v>46189</v>
      </c>
      <c r="D146" t="inlineStr">
        <is>
          <t>KALMAR LÄN</t>
        </is>
      </c>
      <c r="E146" t="inlineStr">
        <is>
          <t>VIMMERBY</t>
        </is>
      </c>
      <c r="G146" t="n">
        <v>4.2</v>
      </c>
      <c r="H146" t="n">
        <v>0</v>
      </c>
      <c r="I146" t="n">
        <v>0</v>
      </c>
      <c r="J146" t="n">
        <v>0</v>
      </c>
      <c r="K146" t="n">
        <v>0</v>
      </c>
      <c r="L146" t="n">
        <v>0</v>
      </c>
      <c r="M146" t="n">
        <v>0</v>
      </c>
      <c r="N146" t="n">
        <v>0</v>
      </c>
      <c r="O146" t="n">
        <v>0</v>
      </c>
      <c r="P146" t="n">
        <v>0</v>
      </c>
      <c r="Q146" t="n">
        <v>0</v>
      </c>
      <c r="R146" s="2" t="inlineStr"/>
    </row>
    <row r="147" ht="15" customHeight="1">
      <c r="A147" t="inlineStr">
        <is>
          <t>A 52435-2021</t>
        </is>
      </c>
      <c r="B147" s="1" t="n">
        <v>44466.34962962963</v>
      </c>
      <c r="C147" s="1" t="n">
        <v>46189</v>
      </c>
      <c r="D147" t="inlineStr">
        <is>
          <t>KALMAR LÄN</t>
        </is>
      </c>
      <c r="E147" t="inlineStr">
        <is>
          <t>VIMMERBY</t>
        </is>
      </c>
      <c r="G147" t="n">
        <v>2.8</v>
      </c>
      <c r="H147" t="n">
        <v>0</v>
      </c>
      <c r="I147" t="n">
        <v>0</v>
      </c>
      <c r="J147" t="n">
        <v>0</v>
      </c>
      <c r="K147" t="n">
        <v>0</v>
      </c>
      <c r="L147" t="n">
        <v>0</v>
      </c>
      <c r="M147" t="n">
        <v>0</v>
      </c>
      <c r="N147" t="n">
        <v>0</v>
      </c>
      <c r="O147" t="n">
        <v>0</v>
      </c>
      <c r="P147" t="n">
        <v>0</v>
      </c>
      <c r="Q147" t="n">
        <v>0</v>
      </c>
      <c r="R147" s="2" t="inlineStr"/>
    </row>
    <row r="148" ht="15" customHeight="1">
      <c r="A148" t="inlineStr">
        <is>
          <t>A 50087-2023</t>
        </is>
      </c>
      <c r="B148" s="1" t="n">
        <v>45215.59743055556</v>
      </c>
      <c r="C148" s="1" t="n">
        <v>46189</v>
      </c>
      <c r="D148" t="inlineStr">
        <is>
          <t>KALMAR LÄN</t>
        </is>
      </c>
      <c r="E148" t="inlineStr">
        <is>
          <t>VIMMERBY</t>
        </is>
      </c>
      <c r="G148" t="n">
        <v>0.9</v>
      </c>
      <c r="H148" t="n">
        <v>0</v>
      </c>
      <c r="I148" t="n">
        <v>0</v>
      </c>
      <c r="J148" t="n">
        <v>0</v>
      </c>
      <c r="K148" t="n">
        <v>0</v>
      </c>
      <c r="L148" t="n">
        <v>0</v>
      </c>
      <c r="M148" t="n">
        <v>0</v>
      </c>
      <c r="N148" t="n">
        <v>0</v>
      </c>
      <c r="O148" t="n">
        <v>0</v>
      </c>
      <c r="P148" t="n">
        <v>0</v>
      </c>
      <c r="Q148" t="n">
        <v>0</v>
      </c>
      <c r="R148" s="2" t="inlineStr"/>
    </row>
    <row r="149" ht="15" customHeight="1">
      <c r="A149" t="inlineStr">
        <is>
          <t>A 29093-2023</t>
        </is>
      </c>
      <c r="B149" s="1" t="n">
        <v>45105</v>
      </c>
      <c r="C149" s="1" t="n">
        <v>46189</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33681-2022</t>
        </is>
      </c>
      <c r="B150" s="1" t="n">
        <v>44789</v>
      </c>
      <c r="C150" s="1" t="n">
        <v>46189</v>
      </c>
      <c r="D150" t="inlineStr">
        <is>
          <t>KALMAR LÄN</t>
        </is>
      </c>
      <c r="E150" t="inlineStr">
        <is>
          <t>VIMMERBY</t>
        </is>
      </c>
      <c r="G150" t="n">
        <v>3.2</v>
      </c>
      <c r="H150" t="n">
        <v>0</v>
      </c>
      <c r="I150" t="n">
        <v>0</v>
      </c>
      <c r="J150" t="n">
        <v>0</v>
      </c>
      <c r="K150" t="n">
        <v>0</v>
      </c>
      <c r="L150" t="n">
        <v>0</v>
      </c>
      <c r="M150" t="n">
        <v>0</v>
      </c>
      <c r="N150" t="n">
        <v>0</v>
      </c>
      <c r="O150" t="n">
        <v>0</v>
      </c>
      <c r="P150" t="n">
        <v>0</v>
      </c>
      <c r="Q150" t="n">
        <v>0</v>
      </c>
      <c r="R150" s="2" t="inlineStr"/>
    </row>
    <row r="151" ht="15" customHeight="1">
      <c r="A151" t="inlineStr">
        <is>
          <t>A 16825-2024</t>
        </is>
      </c>
      <c r="B151" s="1" t="n">
        <v>45411.47335648148</v>
      </c>
      <c r="C151" s="1" t="n">
        <v>46189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12033-2024</t>
        </is>
      </c>
      <c r="B152" s="1" t="n">
        <v>45377.40043981482</v>
      </c>
      <c r="C152" s="1" t="n">
        <v>46189</v>
      </c>
      <c r="D152" t="inlineStr">
        <is>
          <t>KALMAR LÄN</t>
        </is>
      </c>
      <c r="E152" t="inlineStr">
        <is>
          <t>VIMMERBY</t>
        </is>
      </c>
      <c r="G152" t="n">
        <v>1.6</v>
      </c>
      <c r="H152" t="n">
        <v>0</v>
      </c>
      <c r="I152" t="n">
        <v>0</v>
      </c>
      <c r="J152" t="n">
        <v>0</v>
      </c>
      <c r="K152" t="n">
        <v>0</v>
      </c>
      <c r="L152" t="n">
        <v>0</v>
      </c>
      <c r="M152" t="n">
        <v>0</v>
      </c>
      <c r="N152" t="n">
        <v>0</v>
      </c>
      <c r="O152" t="n">
        <v>0</v>
      </c>
      <c r="P152" t="n">
        <v>0</v>
      </c>
      <c r="Q152" t="n">
        <v>0</v>
      </c>
      <c r="R152" s="2" t="inlineStr"/>
    </row>
    <row r="153" ht="15" customHeight="1">
      <c r="A153" t="inlineStr">
        <is>
          <t>A 49408-2023</t>
        </is>
      </c>
      <c r="B153" s="1" t="n">
        <v>45211.43555555555</v>
      </c>
      <c r="C153" s="1" t="n">
        <v>46189</v>
      </c>
      <c r="D153" t="inlineStr">
        <is>
          <t>KALMAR LÄN</t>
        </is>
      </c>
      <c r="E153" t="inlineStr">
        <is>
          <t>VIMMERBY</t>
        </is>
      </c>
      <c r="G153" t="n">
        <v>13.1</v>
      </c>
      <c r="H153" t="n">
        <v>0</v>
      </c>
      <c r="I153" t="n">
        <v>0</v>
      </c>
      <c r="J153" t="n">
        <v>0</v>
      </c>
      <c r="K153" t="n">
        <v>0</v>
      </c>
      <c r="L153" t="n">
        <v>0</v>
      </c>
      <c r="M153" t="n">
        <v>0</v>
      </c>
      <c r="N153" t="n">
        <v>0</v>
      </c>
      <c r="O153" t="n">
        <v>0</v>
      </c>
      <c r="P153" t="n">
        <v>0</v>
      </c>
      <c r="Q153" t="n">
        <v>0</v>
      </c>
      <c r="R153" s="2" t="inlineStr"/>
    </row>
    <row r="154" ht="15" customHeight="1">
      <c r="A154" t="inlineStr">
        <is>
          <t>A 28395-2023</t>
        </is>
      </c>
      <c r="B154" s="1" t="n">
        <v>45100.4062962963</v>
      </c>
      <c r="C154" s="1" t="n">
        <v>46189</v>
      </c>
      <c r="D154" t="inlineStr">
        <is>
          <t>KALMAR LÄN</t>
        </is>
      </c>
      <c r="E154" t="inlineStr">
        <is>
          <t>VIMMERBY</t>
        </is>
      </c>
      <c r="G154" t="n">
        <v>1.4</v>
      </c>
      <c r="H154" t="n">
        <v>0</v>
      </c>
      <c r="I154" t="n">
        <v>0</v>
      </c>
      <c r="J154" t="n">
        <v>0</v>
      </c>
      <c r="K154" t="n">
        <v>0</v>
      </c>
      <c r="L154" t="n">
        <v>0</v>
      </c>
      <c r="M154" t="n">
        <v>0</v>
      </c>
      <c r="N154" t="n">
        <v>0</v>
      </c>
      <c r="O154" t="n">
        <v>0</v>
      </c>
      <c r="P154" t="n">
        <v>0</v>
      </c>
      <c r="Q154" t="n">
        <v>0</v>
      </c>
      <c r="R154" s="2" t="inlineStr"/>
    </row>
    <row r="155" ht="15" customHeight="1">
      <c r="A155" t="inlineStr">
        <is>
          <t>A 18501-2024</t>
        </is>
      </c>
      <c r="B155" s="1" t="n">
        <v>45425.57538194444</v>
      </c>
      <c r="C155" s="1" t="n">
        <v>46189</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27443-2023</t>
        </is>
      </c>
      <c r="B156" s="1" t="n">
        <v>45097.40524305555</v>
      </c>
      <c r="C156" s="1" t="n">
        <v>46189</v>
      </c>
      <c r="D156" t="inlineStr">
        <is>
          <t>KALMAR LÄN</t>
        </is>
      </c>
      <c r="E156" t="inlineStr">
        <is>
          <t>VIMMERBY</t>
        </is>
      </c>
      <c r="F156" t="inlineStr">
        <is>
          <t>Övriga Aktiebolag</t>
        </is>
      </c>
      <c r="G156" t="n">
        <v>2.3</v>
      </c>
      <c r="H156" t="n">
        <v>0</v>
      </c>
      <c r="I156" t="n">
        <v>0</v>
      </c>
      <c r="J156" t="n">
        <v>0</v>
      </c>
      <c r="K156" t="n">
        <v>0</v>
      </c>
      <c r="L156" t="n">
        <v>0</v>
      </c>
      <c r="M156" t="n">
        <v>0</v>
      </c>
      <c r="N156" t="n">
        <v>0</v>
      </c>
      <c r="O156" t="n">
        <v>0</v>
      </c>
      <c r="P156" t="n">
        <v>0</v>
      </c>
      <c r="Q156" t="n">
        <v>0</v>
      </c>
      <c r="R156" s="2" t="inlineStr"/>
    </row>
    <row r="157" ht="15" customHeight="1">
      <c r="A157" t="inlineStr">
        <is>
          <t>A 25799-2023</t>
        </is>
      </c>
      <c r="B157" s="1" t="n">
        <v>45090</v>
      </c>
      <c r="C157" s="1" t="n">
        <v>46189</v>
      </c>
      <c r="D157" t="inlineStr">
        <is>
          <t>KALMAR LÄN</t>
        </is>
      </c>
      <c r="E157" t="inlineStr">
        <is>
          <t>VIMMERBY</t>
        </is>
      </c>
      <c r="G157" t="n">
        <v>7.7</v>
      </c>
      <c r="H157" t="n">
        <v>0</v>
      </c>
      <c r="I157" t="n">
        <v>0</v>
      </c>
      <c r="J157" t="n">
        <v>0</v>
      </c>
      <c r="K157" t="n">
        <v>0</v>
      </c>
      <c r="L157" t="n">
        <v>0</v>
      </c>
      <c r="M157" t="n">
        <v>0</v>
      </c>
      <c r="N157" t="n">
        <v>0</v>
      </c>
      <c r="O157" t="n">
        <v>0</v>
      </c>
      <c r="P157" t="n">
        <v>0</v>
      </c>
      <c r="Q157" t="n">
        <v>0</v>
      </c>
      <c r="R157" s="2" t="inlineStr"/>
    </row>
    <row r="158" ht="15" customHeight="1">
      <c r="A158" t="inlineStr">
        <is>
          <t>A 57256-2023</t>
        </is>
      </c>
      <c r="B158" s="1" t="n">
        <v>45245.5735300926</v>
      </c>
      <c r="C158" s="1" t="n">
        <v>46189</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23088-2024</t>
        </is>
      </c>
      <c r="B159" s="1" t="n">
        <v>45450.51092592593</v>
      </c>
      <c r="C159" s="1" t="n">
        <v>46189</v>
      </c>
      <c r="D159" t="inlineStr">
        <is>
          <t>KALMAR LÄN</t>
        </is>
      </c>
      <c r="E159" t="inlineStr">
        <is>
          <t>VIMMERBY</t>
        </is>
      </c>
      <c r="G159" t="n">
        <v>1.9</v>
      </c>
      <c r="H159" t="n">
        <v>0</v>
      </c>
      <c r="I159" t="n">
        <v>0</v>
      </c>
      <c r="J159" t="n">
        <v>0</v>
      </c>
      <c r="K159" t="n">
        <v>0</v>
      </c>
      <c r="L159" t="n">
        <v>0</v>
      </c>
      <c r="M159" t="n">
        <v>0</v>
      </c>
      <c r="N159" t="n">
        <v>0</v>
      </c>
      <c r="O159" t="n">
        <v>0</v>
      </c>
      <c r="P159" t="n">
        <v>0</v>
      </c>
      <c r="Q159" t="n">
        <v>0</v>
      </c>
      <c r="R159" s="2" t="inlineStr"/>
    </row>
    <row r="160" ht="15" customHeight="1">
      <c r="A160" t="inlineStr">
        <is>
          <t>A 1987-2024</t>
        </is>
      </c>
      <c r="B160" s="1" t="n">
        <v>45308.61152777778</v>
      </c>
      <c r="C160" s="1" t="n">
        <v>46189</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527-2024</t>
        </is>
      </c>
      <c r="B161" s="1" t="n">
        <v>45299.47513888889</v>
      </c>
      <c r="C161" s="1" t="n">
        <v>46189</v>
      </c>
      <c r="D161" t="inlineStr">
        <is>
          <t>KALMAR LÄN</t>
        </is>
      </c>
      <c r="E161" t="inlineStr">
        <is>
          <t>VIMMERBY</t>
        </is>
      </c>
      <c r="G161" t="n">
        <v>2.2</v>
      </c>
      <c r="H161" t="n">
        <v>0</v>
      </c>
      <c r="I161" t="n">
        <v>0</v>
      </c>
      <c r="J161" t="n">
        <v>0</v>
      </c>
      <c r="K161" t="n">
        <v>0</v>
      </c>
      <c r="L161" t="n">
        <v>0</v>
      </c>
      <c r="M161" t="n">
        <v>0</v>
      </c>
      <c r="N161" t="n">
        <v>0</v>
      </c>
      <c r="O161" t="n">
        <v>0</v>
      </c>
      <c r="P161" t="n">
        <v>0</v>
      </c>
      <c r="Q161" t="n">
        <v>0</v>
      </c>
      <c r="R161" s="2" t="inlineStr"/>
    </row>
    <row r="162" ht="15" customHeight="1">
      <c r="A162" t="inlineStr">
        <is>
          <t>A 57189-2022</t>
        </is>
      </c>
      <c r="B162" s="1" t="n">
        <v>44895.62296296296</v>
      </c>
      <c r="C162" s="1" t="n">
        <v>46189</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37192-2024</t>
        </is>
      </c>
      <c r="B163" s="1" t="n">
        <v>45539.66027777778</v>
      </c>
      <c r="C163" s="1" t="n">
        <v>46189</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47063-2022</t>
        </is>
      </c>
      <c r="B164" s="1" t="n">
        <v>44852</v>
      </c>
      <c r="C164" s="1" t="n">
        <v>46189</v>
      </c>
      <c r="D164" t="inlineStr">
        <is>
          <t>KALMAR LÄN</t>
        </is>
      </c>
      <c r="E164" t="inlineStr">
        <is>
          <t>VIMMERBY</t>
        </is>
      </c>
      <c r="G164" t="n">
        <v>2.5</v>
      </c>
      <c r="H164" t="n">
        <v>0</v>
      </c>
      <c r="I164" t="n">
        <v>0</v>
      </c>
      <c r="J164" t="n">
        <v>0</v>
      </c>
      <c r="K164" t="n">
        <v>0</v>
      </c>
      <c r="L164" t="n">
        <v>0</v>
      </c>
      <c r="M164" t="n">
        <v>0</v>
      </c>
      <c r="N164" t="n">
        <v>0</v>
      </c>
      <c r="O164" t="n">
        <v>0</v>
      </c>
      <c r="P164" t="n">
        <v>0</v>
      </c>
      <c r="Q164" t="n">
        <v>0</v>
      </c>
      <c r="R164" s="2" t="inlineStr"/>
    </row>
    <row r="165" ht="15" customHeight="1">
      <c r="A165" t="inlineStr">
        <is>
          <t>A 12819-2024</t>
        </is>
      </c>
      <c r="B165" s="1" t="n">
        <v>45384.66917824074</v>
      </c>
      <c r="C165" s="1" t="n">
        <v>46189</v>
      </c>
      <c r="D165" t="inlineStr">
        <is>
          <t>KALMAR LÄN</t>
        </is>
      </c>
      <c r="E165" t="inlineStr">
        <is>
          <t>VIMMERBY</t>
        </is>
      </c>
      <c r="G165" t="n">
        <v>5.1</v>
      </c>
      <c r="H165" t="n">
        <v>0</v>
      </c>
      <c r="I165" t="n">
        <v>0</v>
      </c>
      <c r="J165" t="n">
        <v>0</v>
      </c>
      <c r="K165" t="n">
        <v>0</v>
      </c>
      <c r="L165" t="n">
        <v>0</v>
      </c>
      <c r="M165" t="n">
        <v>0</v>
      </c>
      <c r="N165" t="n">
        <v>0</v>
      </c>
      <c r="O165" t="n">
        <v>0</v>
      </c>
      <c r="P165" t="n">
        <v>0</v>
      </c>
      <c r="Q165" t="n">
        <v>0</v>
      </c>
      <c r="R165" s="2" t="inlineStr"/>
    </row>
    <row r="166" ht="15" customHeight="1">
      <c r="A166" t="inlineStr">
        <is>
          <t>A 31382-2023</t>
        </is>
      </c>
      <c r="B166" s="1" t="n">
        <v>45114.55136574074</v>
      </c>
      <c r="C166" s="1" t="n">
        <v>46189</v>
      </c>
      <c r="D166" t="inlineStr">
        <is>
          <t>KALMAR LÄN</t>
        </is>
      </c>
      <c r="E166" t="inlineStr">
        <is>
          <t>VIMMERBY</t>
        </is>
      </c>
      <c r="G166" t="n">
        <v>3.7</v>
      </c>
      <c r="H166" t="n">
        <v>0</v>
      </c>
      <c r="I166" t="n">
        <v>0</v>
      </c>
      <c r="J166" t="n">
        <v>0</v>
      </c>
      <c r="K166" t="n">
        <v>0</v>
      </c>
      <c r="L166" t="n">
        <v>0</v>
      </c>
      <c r="M166" t="n">
        <v>0</v>
      </c>
      <c r="N166" t="n">
        <v>0</v>
      </c>
      <c r="O166" t="n">
        <v>0</v>
      </c>
      <c r="P166" t="n">
        <v>0</v>
      </c>
      <c r="Q166" t="n">
        <v>0</v>
      </c>
      <c r="R166" s="2" t="inlineStr"/>
    </row>
    <row r="167" ht="15" customHeight="1">
      <c r="A167" t="inlineStr">
        <is>
          <t>A 11073-2023</t>
        </is>
      </c>
      <c r="B167" s="1" t="n">
        <v>44992</v>
      </c>
      <c r="C167" s="1" t="n">
        <v>46189</v>
      </c>
      <c r="D167" t="inlineStr">
        <is>
          <t>KALMAR LÄN</t>
        </is>
      </c>
      <c r="E167" t="inlineStr">
        <is>
          <t>VIMMERBY</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61820-2023</t>
        </is>
      </c>
      <c r="B168" s="1" t="n">
        <v>45266.32614583334</v>
      </c>
      <c r="C168" s="1" t="n">
        <v>46189</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59955-2023</t>
        </is>
      </c>
      <c r="B169" s="1" t="n">
        <v>45257.70313657408</v>
      </c>
      <c r="C169" s="1" t="n">
        <v>46189</v>
      </c>
      <c r="D169" t="inlineStr">
        <is>
          <t>KALMAR LÄN</t>
        </is>
      </c>
      <c r="E169" t="inlineStr">
        <is>
          <t>VIMMERBY</t>
        </is>
      </c>
      <c r="G169" t="n">
        <v>13.8</v>
      </c>
      <c r="H169" t="n">
        <v>0</v>
      </c>
      <c r="I169" t="n">
        <v>0</v>
      </c>
      <c r="J169" t="n">
        <v>0</v>
      </c>
      <c r="K169" t="n">
        <v>0</v>
      </c>
      <c r="L169" t="n">
        <v>0</v>
      </c>
      <c r="M169" t="n">
        <v>0</v>
      </c>
      <c r="N169" t="n">
        <v>0</v>
      </c>
      <c r="O169" t="n">
        <v>0</v>
      </c>
      <c r="P169" t="n">
        <v>0</v>
      </c>
      <c r="Q169" t="n">
        <v>0</v>
      </c>
      <c r="R169" s="2" t="inlineStr"/>
    </row>
    <row r="170" ht="15" customHeight="1">
      <c r="A170" t="inlineStr">
        <is>
          <t>A 36802-2021</t>
        </is>
      </c>
      <c r="B170" s="1" t="n">
        <v>44392</v>
      </c>
      <c r="C170" s="1" t="n">
        <v>46189</v>
      </c>
      <c r="D170" t="inlineStr">
        <is>
          <t>KALMAR LÄN</t>
        </is>
      </c>
      <c r="E170" t="inlineStr">
        <is>
          <t>VIMMERBY</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3269-2024</t>
        </is>
      </c>
      <c r="B171" s="1" t="n">
        <v>45317.40372685185</v>
      </c>
      <c r="C171" s="1" t="n">
        <v>46189</v>
      </c>
      <c r="D171" t="inlineStr">
        <is>
          <t>KALMAR LÄN</t>
        </is>
      </c>
      <c r="E171" t="inlineStr">
        <is>
          <t>VIMMERBY</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9418-2024</t>
        </is>
      </c>
      <c r="B172" s="1" t="n">
        <v>45359.45038194444</v>
      </c>
      <c r="C172" s="1" t="n">
        <v>46189</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2157-2024</t>
        </is>
      </c>
      <c r="B173" s="1" t="n">
        <v>45309.59487268519</v>
      </c>
      <c r="C173" s="1" t="n">
        <v>46189</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9416-2024</t>
        </is>
      </c>
      <c r="B174" s="1" t="n">
        <v>45359.44837962963</v>
      </c>
      <c r="C174" s="1" t="n">
        <v>46189</v>
      </c>
      <c r="D174" t="inlineStr">
        <is>
          <t>KALMAR LÄN</t>
        </is>
      </c>
      <c r="E174" t="inlineStr">
        <is>
          <t>VIMMERBY</t>
        </is>
      </c>
      <c r="G174" t="n">
        <v>3.2</v>
      </c>
      <c r="H174" t="n">
        <v>0</v>
      </c>
      <c r="I174" t="n">
        <v>0</v>
      </c>
      <c r="J174" t="n">
        <v>0</v>
      </c>
      <c r="K174" t="n">
        <v>0</v>
      </c>
      <c r="L174" t="n">
        <v>0</v>
      </c>
      <c r="M174" t="n">
        <v>0</v>
      </c>
      <c r="N174" t="n">
        <v>0</v>
      </c>
      <c r="O174" t="n">
        <v>0</v>
      </c>
      <c r="P174" t="n">
        <v>0</v>
      </c>
      <c r="Q174" t="n">
        <v>0</v>
      </c>
      <c r="R174" s="2" t="inlineStr"/>
    </row>
    <row r="175" ht="15" customHeight="1">
      <c r="A175" t="inlineStr">
        <is>
          <t>A 58318-2021</t>
        </is>
      </c>
      <c r="B175" s="1" t="n">
        <v>44488.35878472222</v>
      </c>
      <c r="C175" s="1" t="n">
        <v>46189</v>
      </c>
      <c r="D175" t="inlineStr">
        <is>
          <t>KALMAR LÄN</t>
        </is>
      </c>
      <c r="E175" t="inlineStr">
        <is>
          <t>VIMMERBY</t>
        </is>
      </c>
      <c r="G175" t="n">
        <v>4</v>
      </c>
      <c r="H175" t="n">
        <v>0</v>
      </c>
      <c r="I175" t="n">
        <v>0</v>
      </c>
      <c r="J175" t="n">
        <v>0</v>
      </c>
      <c r="K175" t="n">
        <v>0</v>
      </c>
      <c r="L175" t="n">
        <v>0</v>
      </c>
      <c r="M175" t="n">
        <v>0</v>
      </c>
      <c r="N175" t="n">
        <v>0</v>
      </c>
      <c r="O175" t="n">
        <v>0</v>
      </c>
      <c r="P175" t="n">
        <v>0</v>
      </c>
      <c r="Q175" t="n">
        <v>0</v>
      </c>
      <c r="R175" s="2" t="inlineStr"/>
    </row>
    <row r="176" ht="15" customHeight="1">
      <c r="A176" t="inlineStr">
        <is>
          <t>A 53083-2021</t>
        </is>
      </c>
      <c r="B176" s="1" t="n">
        <v>44467.83386574074</v>
      </c>
      <c r="C176" s="1" t="n">
        <v>46189</v>
      </c>
      <c r="D176" t="inlineStr">
        <is>
          <t>KALMAR LÄN</t>
        </is>
      </c>
      <c r="E176" t="inlineStr">
        <is>
          <t>VIMMERBY</t>
        </is>
      </c>
      <c r="G176" t="n">
        <v>6.8</v>
      </c>
      <c r="H176" t="n">
        <v>0</v>
      </c>
      <c r="I176" t="n">
        <v>0</v>
      </c>
      <c r="J176" t="n">
        <v>0</v>
      </c>
      <c r="K176" t="n">
        <v>0</v>
      </c>
      <c r="L176" t="n">
        <v>0</v>
      </c>
      <c r="M176" t="n">
        <v>0</v>
      </c>
      <c r="N176" t="n">
        <v>0</v>
      </c>
      <c r="O176" t="n">
        <v>0</v>
      </c>
      <c r="P176" t="n">
        <v>0</v>
      </c>
      <c r="Q176" t="n">
        <v>0</v>
      </c>
      <c r="R176" s="2" t="inlineStr"/>
    </row>
    <row r="177" ht="15" customHeight="1">
      <c r="A177" t="inlineStr">
        <is>
          <t>A 29173-2024</t>
        </is>
      </c>
      <c r="B177" s="1" t="n">
        <v>45482.52887731481</v>
      </c>
      <c r="C177" s="1" t="n">
        <v>46189</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11111-2024</t>
        </is>
      </c>
      <c r="B178" s="1" t="n">
        <v>45371.36359953704</v>
      </c>
      <c r="C178" s="1" t="n">
        <v>46189</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11141-2024</t>
        </is>
      </c>
      <c r="B179" s="1" t="n">
        <v>45371.45865740741</v>
      </c>
      <c r="C179" s="1" t="n">
        <v>46189</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49313-2022</t>
        </is>
      </c>
      <c r="B180" s="1" t="n">
        <v>44861.52505787037</v>
      </c>
      <c r="C180" s="1" t="n">
        <v>46189</v>
      </c>
      <c r="D180" t="inlineStr">
        <is>
          <t>KALMAR LÄN</t>
        </is>
      </c>
      <c r="E180" t="inlineStr">
        <is>
          <t>VIMMERBY</t>
        </is>
      </c>
      <c r="G180" t="n">
        <v>1.9</v>
      </c>
      <c r="H180" t="n">
        <v>0</v>
      </c>
      <c r="I180" t="n">
        <v>0</v>
      </c>
      <c r="J180" t="n">
        <v>0</v>
      </c>
      <c r="K180" t="n">
        <v>0</v>
      </c>
      <c r="L180" t="n">
        <v>0</v>
      </c>
      <c r="M180" t="n">
        <v>0</v>
      </c>
      <c r="N180" t="n">
        <v>0</v>
      </c>
      <c r="O180" t="n">
        <v>0</v>
      </c>
      <c r="P180" t="n">
        <v>0</v>
      </c>
      <c r="Q180" t="n">
        <v>0</v>
      </c>
      <c r="R180" s="2" t="inlineStr"/>
    </row>
    <row r="181" ht="15" customHeight="1">
      <c r="A181" t="inlineStr">
        <is>
          <t>A 35998-2024</t>
        </is>
      </c>
      <c r="B181" s="1" t="n">
        <v>45533.54429398148</v>
      </c>
      <c r="C181" s="1" t="n">
        <v>46189</v>
      </c>
      <c r="D181" t="inlineStr">
        <is>
          <t>KALMAR LÄN</t>
        </is>
      </c>
      <c r="E181" t="inlineStr">
        <is>
          <t>VIMMERBY</t>
        </is>
      </c>
      <c r="G181" t="n">
        <v>8.6</v>
      </c>
      <c r="H181" t="n">
        <v>0</v>
      </c>
      <c r="I181" t="n">
        <v>0</v>
      </c>
      <c r="J181" t="n">
        <v>0</v>
      </c>
      <c r="K181" t="n">
        <v>0</v>
      </c>
      <c r="L181" t="n">
        <v>0</v>
      </c>
      <c r="M181" t="n">
        <v>0</v>
      </c>
      <c r="N181" t="n">
        <v>0</v>
      </c>
      <c r="O181" t="n">
        <v>0</v>
      </c>
      <c r="P181" t="n">
        <v>0</v>
      </c>
      <c r="Q181" t="n">
        <v>0</v>
      </c>
      <c r="R181" s="2" t="inlineStr"/>
    </row>
    <row r="182" ht="15" customHeight="1">
      <c r="A182" t="inlineStr">
        <is>
          <t>A 36040-2024</t>
        </is>
      </c>
      <c r="B182" s="1" t="n">
        <v>45533.60232638889</v>
      </c>
      <c r="C182" s="1" t="n">
        <v>46189</v>
      </c>
      <c r="D182" t="inlineStr">
        <is>
          <t>KALMAR LÄN</t>
        </is>
      </c>
      <c r="E182" t="inlineStr">
        <is>
          <t>VIMMERBY</t>
        </is>
      </c>
      <c r="F182" t="inlineStr">
        <is>
          <t>Kommuner</t>
        </is>
      </c>
      <c r="G182" t="n">
        <v>3.6</v>
      </c>
      <c r="H182" t="n">
        <v>0</v>
      </c>
      <c r="I182" t="n">
        <v>0</v>
      </c>
      <c r="J182" t="n">
        <v>0</v>
      </c>
      <c r="K182" t="n">
        <v>0</v>
      </c>
      <c r="L182" t="n">
        <v>0</v>
      </c>
      <c r="M182" t="n">
        <v>0</v>
      </c>
      <c r="N182" t="n">
        <v>0</v>
      </c>
      <c r="O182" t="n">
        <v>0</v>
      </c>
      <c r="P182" t="n">
        <v>0</v>
      </c>
      <c r="Q182" t="n">
        <v>0</v>
      </c>
      <c r="R182" s="2" t="inlineStr"/>
    </row>
    <row r="183" ht="15" customHeight="1">
      <c r="A183" t="inlineStr">
        <is>
          <t>A 36043-2024</t>
        </is>
      </c>
      <c r="B183" s="1" t="n">
        <v>45533.60770833334</v>
      </c>
      <c r="C183" s="1" t="n">
        <v>46189</v>
      </c>
      <c r="D183" t="inlineStr">
        <is>
          <t>KALMAR LÄN</t>
        </is>
      </c>
      <c r="E183" t="inlineStr">
        <is>
          <t>VIMMERBY</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34588-2024</t>
        </is>
      </c>
      <c r="B184" s="1" t="n">
        <v>45526.3865625</v>
      </c>
      <c r="C184" s="1" t="n">
        <v>46189</v>
      </c>
      <c r="D184" t="inlineStr">
        <is>
          <t>KALMAR LÄN</t>
        </is>
      </c>
      <c r="E184" t="inlineStr">
        <is>
          <t>VIMMERBY</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56659-2023</t>
        </is>
      </c>
      <c r="B185" s="1" t="n">
        <v>45243.84869212963</v>
      </c>
      <c r="C185" s="1" t="n">
        <v>46189</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3331-2023</t>
        </is>
      </c>
      <c r="B186" s="1" t="n">
        <v>44949</v>
      </c>
      <c r="C186" s="1" t="n">
        <v>46189</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40828-2023</t>
        </is>
      </c>
      <c r="B187" s="1" t="n">
        <v>45171.96248842592</v>
      </c>
      <c r="C187" s="1" t="n">
        <v>46189</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1687-2023</t>
        </is>
      </c>
      <c r="B188" s="1" t="n">
        <v>44938</v>
      </c>
      <c r="C188" s="1" t="n">
        <v>46189</v>
      </c>
      <c r="D188" t="inlineStr">
        <is>
          <t>KALMAR LÄN</t>
        </is>
      </c>
      <c r="E188" t="inlineStr">
        <is>
          <t>VIMMERBY</t>
        </is>
      </c>
      <c r="F188" t="inlineStr">
        <is>
          <t>Kommuner</t>
        </is>
      </c>
      <c r="G188" t="n">
        <v>2.5</v>
      </c>
      <c r="H188" t="n">
        <v>0</v>
      </c>
      <c r="I188" t="n">
        <v>0</v>
      </c>
      <c r="J188" t="n">
        <v>0</v>
      </c>
      <c r="K188" t="n">
        <v>0</v>
      </c>
      <c r="L188" t="n">
        <v>0</v>
      </c>
      <c r="M188" t="n">
        <v>0</v>
      </c>
      <c r="N188" t="n">
        <v>0</v>
      </c>
      <c r="O188" t="n">
        <v>0</v>
      </c>
      <c r="P188" t="n">
        <v>0</v>
      </c>
      <c r="Q188" t="n">
        <v>0</v>
      </c>
      <c r="R188" s="2" t="inlineStr"/>
    </row>
    <row r="189" ht="15" customHeight="1">
      <c r="A189" t="inlineStr">
        <is>
          <t>A 16734-2023</t>
        </is>
      </c>
      <c r="B189" s="1" t="n">
        <v>45030.71012731481</v>
      </c>
      <c r="C189" s="1" t="n">
        <v>46189</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29440-2024</t>
        </is>
      </c>
      <c r="B190" s="1" t="n">
        <v>45483.82479166667</v>
      </c>
      <c r="C190" s="1" t="n">
        <v>46189</v>
      </c>
      <c r="D190" t="inlineStr">
        <is>
          <t>KALMAR LÄN</t>
        </is>
      </c>
      <c r="E190" t="inlineStr">
        <is>
          <t>VIMMERBY</t>
        </is>
      </c>
      <c r="G190" t="n">
        <v>4.5</v>
      </c>
      <c r="H190" t="n">
        <v>0</v>
      </c>
      <c r="I190" t="n">
        <v>0</v>
      </c>
      <c r="J190" t="n">
        <v>0</v>
      </c>
      <c r="K190" t="n">
        <v>0</v>
      </c>
      <c r="L190" t="n">
        <v>0</v>
      </c>
      <c r="M190" t="n">
        <v>0</v>
      </c>
      <c r="N190" t="n">
        <v>0</v>
      </c>
      <c r="O190" t="n">
        <v>0</v>
      </c>
      <c r="P190" t="n">
        <v>0</v>
      </c>
      <c r="Q190" t="n">
        <v>0</v>
      </c>
      <c r="R190" s="2" t="inlineStr"/>
    </row>
    <row r="191" ht="15" customHeight="1">
      <c r="A191" t="inlineStr">
        <is>
          <t>A 30921-2024</t>
        </is>
      </c>
      <c r="B191" s="1" t="n">
        <v>45498</v>
      </c>
      <c r="C191" s="1" t="n">
        <v>46189</v>
      </c>
      <c r="D191" t="inlineStr">
        <is>
          <t>KALMAR LÄN</t>
        </is>
      </c>
      <c r="E191" t="inlineStr">
        <is>
          <t>VIMMERBY</t>
        </is>
      </c>
      <c r="G191" t="n">
        <v>1.6</v>
      </c>
      <c r="H191" t="n">
        <v>0</v>
      </c>
      <c r="I191" t="n">
        <v>0</v>
      </c>
      <c r="J191" t="n">
        <v>0</v>
      </c>
      <c r="K191" t="n">
        <v>0</v>
      </c>
      <c r="L191" t="n">
        <v>0</v>
      </c>
      <c r="M191" t="n">
        <v>0</v>
      </c>
      <c r="N191" t="n">
        <v>0</v>
      </c>
      <c r="O191" t="n">
        <v>0</v>
      </c>
      <c r="P191" t="n">
        <v>0</v>
      </c>
      <c r="Q191" t="n">
        <v>0</v>
      </c>
      <c r="R191" s="2" t="inlineStr"/>
    </row>
    <row r="192" ht="15" customHeight="1">
      <c r="A192" t="inlineStr">
        <is>
          <t>A 53482-2022</t>
        </is>
      </c>
      <c r="B192" s="1" t="n">
        <v>44879</v>
      </c>
      <c r="C192" s="1" t="n">
        <v>46189</v>
      </c>
      <c r="D192" t="inlineStr">
        <is>
          <t>KALMAR LÄN</t>
        </is>
      </c>
      <c r="E192" t="inlineStr">
        <is>
          <t>VIMMERBY</t>
        </is>
      </c>
      <c r="G192" t="n">
        <v>10.1</v>
      </c>
      <c r="H192" t="n">
        <v>0</v>
      </c>
      <c r="I192" t="n">
        <v>0</v>
      </c>
      <c r="J192" t="n">
        <v>0</v>
      </c>
      <c r="K192" t="n">
        <v>0</v>
      </c>
      <c r="L192" t="n">
        <v>0</v>
      </c>
      <c r="M192" t="n">
        <v>0</v>
      </c>
      <c r="N192" t="n">
        <v>0</v>
      </c>
      <c r="O192" t="n">
        <v>0</v>
      </c>
      <c r="P192" t="n">
        <v>0</v>
      </c>
      <c r="Q192" t="n">
        <v>0</v>
      </c>
      <c r="R192" s="2" t="inlineStr"/>
    </row>
    <row r="193" ht="15" customHeight="1">
      <c r="A193" t="inlineStr">
        <is>
          <t>A 64143-2021</t>
        </is>
      </c>
      <c r="B193" s="1" t="n">
        <v>44510.52157407408</v>
      </c>
      <c r="C193" s="1" t="n">
        <v>46189</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9720-2023</t>
        </is>
      </c>
      <c r="B194" s="1" t="n">
        <v>44984</v>
      </c>
      <c r="C194" s="1" t="n">
        <v>46189</v>
      </c>
      <c r="D194" t="inlineStr">
        <is>
          <t>KALMAR LÄN</t>
        </is>
      </c>
      <c r="E194" t="inlineStr">
        <is>
          <t>VIMMERBY</t>
        </is>
      </c>
      <c r="G194" t="n">
        <v>4.4</v>
      </c>
      <c r="H194" t="n">
        <v>0</v>
      </c>
      <c r="I194" t="n">
        <v>0</v>
      </c>
      <c r="J194" t="n">
        <v>0</v>
      </c>
      <c r="K194" t="n">
        <v>0</v>
      </c>
      <c r="L194" t="n">
        <v>0</v>
      </c>
      <c r="M194" t="n">
        <v>0</v>
      </c>
      <c r="N194" t="n">
        <v>0</v>
      </c>
      <c r="O194" t="n">
        <v>0</v>
      </c>
      <c r="P194" t="n">
        <v>0</v>
      </c>
      <c r="Q194" t="n">
        <v>0</v>
      </c>
      <c r="R194" s="2" t="inlineStr"/>
    </row>
    <row r="195" ht="15" customHeight="1">
      <c r="A195" t="inlineStr">
        <is>
          <t>A 5938-2022</t>
        </is>
      </c>
      <c r="B195" s="1" t="n">
        <v>44598</v>
      </c>
      <c r="C195" s="1" t="n">
        <v>46189</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29180-2024</t>
        </is>
      </c>
      <c r="B196" s="1" t="n">
        <v>45482.54108796296</v>
      </c>
      <c r="C196" s="1" t="n">
        <v>46189</v>
      </c>
      <c r="D196" t="inlineStr">
        <is>
          <t>KALMAR LÄN</t>
        </is>
      </c>
      <c r="E196" t="inlineStr">
        <is>
          <t>VIMMERBY</t>
        </is>
      </c>
      <c r="G196" t="n">
        <v>3.8</v>
      </c>
      <c r="H196" t="n">
        <v>0</v>
      </c>
      <c r="I196" t="n">
        <v>0</v>
      </c>
      <c r="J196" t="n">
        <v>0</v>
      </c>
      <c r="K196" t="n">
        <v>0</v>
      </c>
      <c r="L196" t="n">
        <v>0</v>
      </c>
      <c r="M196" t="n">
        <v>0</v>
      </c>
      <c r="N196" t="n">
        <v>0</v>
      </c>
      <c r="O196" t="n">
        <v>0</v>
      </c>
      <c r="P196" t="n">
        <v>0</v>
      </c>
      <c r="Q196" t="n">
        <v>0</v>
      </c>
      <c r="R196" s="2" t="inlineStr"/>
    </row>
    <row r="197" ht="15" customHeight="1">
      <c r="A197" t="inlineStr">
        <is>
          <t>A 54838-2024</t>
        </is>
      </c>
      <c r="B197" s="1" t="n">
        <v>45618.56787037037</v>
      </c>
      <c r="C197" s="1" t="n">
        <v>46189</v>
      </c>
      <c r="D197" t="inlineStr">
        <is>
          <t>KALMAR LÄN</t>
        </is>
      </c>
      <c r="E197" t="inlineStr">
        <is>
          <t>VIMMERBY</t>
        </is>
      </c>
      <c r="G197" t="n">
        <v>3.3</v>
      </c>
      <c r="H197" t="n">
        <v>0</v>
      </c>
      <c r="I197" t="n">
        <v>0</v>
      </c>
      <c r="J197" t="n">
        <v>0</v>
      </c>
      <c r="K197" t="n">
        <v>0</v>
      </c>
      <c r="L197" t="n">
        <v>0</v>
      </c>
      <c r="M197" t="n">
        <v>0</v>
      </c>
      <c r="N197" t="n">
        <v>0</v>
      </c>
      <c r="O197" t="n">
        <v>0</v>
      </c>
      <c r="P197" t="n">
        <v>0</v>
      </c>
      <c r="Q197" t="n">
        <v>0</v>
      </c>
      <c r="R197" s="2" t="inlineStr"/>
    </row>
    <row r="198" ht="15" customHeight="1">
      <c r="A198" t="inlineStr">
        <is>
          <t>A 25987-2024</t>
        </is>
      </c>
      <c r="B198" s="1" t="n">
        <v>45467.74417824074</v>
      </c>
      <c r="C198" s="1" t="n">
        <v>46189</v>
      </c>
      <c r="D198" t="inlineStr">
        <is>
          <t>KALMAR LÄN</t>
        </is>
      </c>
      <c r="E198" t="inlineStr">
        <is>
          <t>VIMMERBY</t>
        </is>
      </c>
      <c r="G198" t="n">
        <v>0.8</v>
      </c>
      <c r="H198" t="n">
        <v>0</v>
      </c>
      <c r="I198" t="n">
        <v>0</v>
      </c>
      <c r="J198" t="n">
        <v>0</v>
      </c>
      <c r="K198" t="n">
        <v>0</v>
      </c>
      <c r="L198" t="n">
        <v>0</v>
      </c>
      <c r="M198" t="n">
        <v>0</v>
      </c>
      <c r="N198" t="n">
        <v>0</v>
      </c>
      <c r="O198" t="n">
        <v>0</v>
      </c>
      <c r="P198" t="n">
        <v>0</v>
      </c>
      <c r="Q198" t="n">
        <v>0</v>
      </c>
      <c r="R198" s="2" t="inlineStr"/>
    </row>
    <row r="199" ht="15" customHeight="1">
      <c r="A199" t="inlineStr">
        <is>
          <t>A 25109-2023</t>
        </is>
      </c>
      <c r="B199" s="1" t="n">
        <v>45086</v>
      </c>
      <c r="C199" s="1" t="n">
        <v>46189</v>
      </c>
      <c r="D199" t="inlineStr">
        <is>
          <t>KALMAR LÄN</t>
        </is>
      </c>
      <c r="E199" t="inlineStr">
        <is>
          <t>VIMMERBY</t>
        </is>
      </c>
      <c r="G199" t="n">
        <v>1.5</v>
      </c>
      <c r="H199" t="n">
        <v>0</v>
      </c>
      <c r="I199" t="n">
        <v>0</v>
      </c>
      <c r="J199" t="n">
        <v>0</v>
      </c>
      <c r="K199" t="n">
        <v>0</v>
      </c>
      <c r="L199" t="n">
        <v>0</v>
      </c>
      <c r="M199" t="n">
        <v>0</v>
      </c>
      <c r="N199" t="n">
        <v>0</v>
      </c>
      <c r="O199" t="n">
        <v>0</v>
      </c>
      <c r="P199" t="n">
        <v>0</v>
      </c>
      <c r="Q199" t="n">
        <v>0</v>
      </c>
      <c r="R199" s="2" t="inlineStr"/>
    </row>
    <row r="200" ht="15" customHeight="1">
      <c r="A200" t="inlineStr">
        <is>
          <t>A 58104-2024</t>
        </is>
      </c>
      <c r="B200" s="1" t="n">
        <v>45632.37459490741</v>
      </c>
      <c r="C200" s="1" t="n">
        <v>46189</v>
      </c>
      <c r="D200" t="inlineStr">
        <is>
          <t>KALMAR LÄN</t>
        </is>
      </c>
      <c r="E200" t="inlineStr">
        <is>
          <t>VIMMERBY</t>
        </is>
      </c>
      <c r="G200" t="n">
        <v>5</v>
      </c>
      <c r="H200" t="n">
        <v>0</v>
      </c>
      <c r="I200" t="n">
        <v>0</v>
      </c>
      <c r="J200" t="n">
        <v>0</v>
      </c>
      <c r="K200" t="n">
        <v>0</v>
      </c>
      <c r="L200" t="n">
        <v>0</v>
      </c>
      <c r="M200" t="n">
        <v>0</v>
      </c>
      <c r="N200" t="n">
        <v>0</v>
      </c>
      <c r="O200" t="n">
        <v>0</v>
      </c>
      <c r="P200" t="n">
        <v>0</v>
      </c>
      <c r="Q200" t="n">
        <v>0</v>
      </c>
      <c r="R200" s="2" t="inlineStr"/>
    </row>
    <row r="201" ht="15" customHeight="1">
      <c r="A201" t="inlineStr">
        <is>
          <t>A 35710-2023</t>
        </is>
      </c>
      <c r="B201" s="1" t="n">
        <v>45147.67096064815</v>
      </c>
      <c r="C201" s="1" t="n">
        <v>46189</v>
      </c>
      <c r="D201" t="inlineStr">
        <is>
          <t>KALMAR LÄN</t>
        </is>
      </c>
      <c r="E201" t="inlineStr">
        <is>
          <t>VIMMERBY</t>
        </is>
      </c>
      <c r="G201" t="n">
        <v>3.1</v>
      </c>
      <c r="H201" t="n">
        <v>0</v>
      </c>
      <c r="I201" t="n">
        <v>0</v>
      </c>
      <c r="J201" t="n">
        <v>0</v>
      </c>
      <c r="K201" t="n">
        <v>0</v>
      </c>
      <c r="L201" t="n">
        <v>0</v>
      </c>
      <c r="M201" t="n">
        <v>0</v>
      </c>
      <c r="N201" t="n">
        <v>0</v>
      </c>
      <c r="O201" t="n">
        <v>0</v>
      </c>
      <c r="P201" t="n">
        <v>0</v>
      </c>
      <c r="Q201" t="n">
        <v>0</v>
      </c>
      <c r="R201" s="2" t="inlineStr"/>
    </row>
    <row r="202" ht="15" customHeight="1">
      <c r="A202" t="inlineStr">
        <is>
          <t>A 35711-2023</t>
        </is>
      </c>
      <c r="B202" s="1" t="n">
        <v>45147.67172453704</v>
      </c>
      <c r="C202" s="1" t="n">
        <v>46189</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12215-2024</t>
        </is>
      </c>
      <c r="B203" s="1" t="n">
        <v>45378.32185185186</v>
      </c>
      <c r="C203" s="1" t="n">
        <v>46189</v>
      </c>
      <c r="D203" t="inlineStr">
        <is>
          <t>KALMAR LÄN</t>
        </is>
      </c>
      <c r="E203" t="inlineStr">
        <is>
          <t>VIMMERBY</t>
        </is>
      </c>
      <c r="G203" t="n">
        <v>1.6</v>
      </c>
      <c r="H203" t="n">
        <v>0</v>
      </c>
      <c r="I203" t="n">
        <v>0</v>
      </c>
      <c r="J203" t="n">
        <v>0</v>
      </c>
      <c r="K203" t="n">
        <v>0</v>
      </c>
      <c r="L203" t="n">
        <v>0</v>
      </c>
      <c r="M203" t="n">
        <v>0</v>
      </c>
      <c r="N203" t="n">
        <v>0</v>
      </c>
      <c r="O203" t="n">
        <v>0</v>
      </c>
      <c r="P203" t="n">
        <v>0</v>
      </c>
      <c r="Q203" t="n">
        <v>0</v>
      </c>
      <c r="R203" s="2" t="inlineStr"/>
    </row>
    <row r="204" ht="15" customHeight="1">
      <c r="A204" t="inlineStr">
        <is>
          <t>A 30920-2024</t>
        </is>
      </c>
      <c r="B204" s="1" t="n">
        <v>45498.673125</v>
      </c>
      <c r="C204" s="1" t="n">
        <v>46189</v>
      </c>
      <c r="D204" t="inlineStr">
        <is>
          <t>KALMAR LÄN</t>
        </is>
      </c>
      <c r="E204" t="inlineStr">
        <is>
          <t>VIMMERBY</t>
        </is>
      </c>
      <c r="G204" t="n">
        <v>1.3</v>
      </c>
      <c r="H204" t="n">
        <v>0</v>
      </c>
      <c r="I204" t="n">
        <v>0</v>
      </c>
      <c r="J204" t="n">
        <v>0</v>
      </c>
      <c r="K204" t="n">
        <v>0</v>
      </c>
      <c r="L204" t="n">
        <v>0</v>
      </c>
      <c r="M204" t="n">
        <v>0</v>
      </c>
      <c r="N204" t="n">
        <v>0</v>
      </c>
      <c r="O204" t="n">
        <v>0</v>
      </c>
      <c r="P204" t="n">
        <v>0</v>
      </c>
      <c r="Q204" t="n">
        <v>0</v>
      </c>
      <c r="R204" s="2" t="inlineStr"/>
    </row>
    <row r="205" ht="15" customHeight="1">
      <c r="A205" t="inlineStr">
        <is>
          <t>A 62023-2022</t>
        </is>
      </c>
      <c r="B205" s="1" t="n">
        <v>44918.50106481482</v>
      </c>
      <c r="C205" s="1" t="n">
        <v>46189</v>
      </c>
      <c r="D205" t="inlineStr">
        <is>
          <t>KALMAR LÄN</t>
        </is>
      </c>
      <c r="E205" t="inlineStr">
        <is>
          <t>VIMMERBY</t>
        </is>
      </c>
      <c r="G205" t="n">
        <v>0.3</v>
      </c>
      <c r="H205" t="n">
        <v>0</v>
      </c>
      <c r="I205" t="n">
        <v>0</v>
      </c>
      <c r="J205" t="n">
        <v>0</v>
      </c>
      <c r="K205" t="n">
        <v>0</v>
      </c>
      <c r="L205" t="n">
        <v>0</v>
      </c>
      <c r="M205" t="n">
        <v>0</v>
      </c>
      <c r="N205" t="n">
        <v>0</v>
      </c>
      <c r="O205" t="n">
        <v>0</v>
      </c>
      <c r="P205" t="n">
        <v>0</v>
      </c>
      <c r="Q205" t="n">
        <v>0</v>
      </c>
      <c r="R205" s="2" t="inlineStr"/>
    </row>
    <row r="206" ht="15" customHeight="1">
      <c r="A206" t="inlineStr">
        <is>
          <t>A 56536-2022</t>
        </is>
      </c>
      <c r="B206" s="1" t="n">
        <v>44893</v>
      </c>
      <c r="C206" s="1" t="n">
        <v>46189</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63541-2023</t>
        </is>
      </c>
      <c r="B207" s="1" t="n">
        <v>45275.32266203704</v>
      </c>
      <c r="C207" s="1" t="n">
        <v>46189</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37323-2024</t>
        </is>
      </c>
      <c r="B208" s="1" t="n">
        <v>45540.50098379629</v>
      </c>
      <c r="C208" s="1" t="n">
        <v>46189</v>
      </c>
      <c r="D208" t="inlineStr">
        <is>
          <t>KALMAR LÄN</t>
        </is>
      </c>
      <c r="E208" t="inlineStr">
        <is>
          <t>VIMMERBY</t>
        </is>
      </c>
      <c r="G208" t="n">
        <v>1.2</v>
      </c>
      <c r="H208" t="n">
        <v>0</v>
      </c>
      <c r="I208" t="n">
        <v>0</v>
      </c>
      <c r="J208" t="n">
        <v>0</v>
      </c>
      <c r="K208" t="n">
        <v>0</v>
      </c>
      <c r="L208" t="n">
        <v>0</v>
      </c>
      <c r="M208" t="n">
        <v>0</v>
      </c>
      <c r="N208" t="n">
        <v>0</v>
      </c>
      <c r="O208" t="n">
        <v>0</v>
      </c>
      <c r="P208" t="n">
        <v>0</v>
      </c>
      <c r="Q208" t="n">
        <v>0</v>
      </c>
      <c r="R208" s="2" t="inlineStr"/>
    </row>
    <row r="209" ht="15" customHeight="1">
      <c r="A209" t="inlineStr">
        <is>
          <t>A 11429-2022</t>
        </is>
      </c>
      <c r="B209" s="1" t="n">
        <v>44630</v>
      </c>
      <c r="C209" s="1" t="n">
        <v>46189</v>
      </c>
      <c r="D209" t="inlineStr">
        <is>
          <t>KALMAR LÄN</t>
        </is>
      </c>
      <c r="E209" t="inlineStr">
        <is>
          <t>VIMMERBY</t>
        </is>
      </c>
      <c r="G209" t="n">
        <v>2.6</v>
      </c>
      <c r="H209" t="n">
        <v>0</v>
      </c>
      <c r="I209" t="n">
        <v>0</v>
      </c>
      <c r="J209" t="n">
        <v>0</v>
      </c>
      <c r="K209" t="n">
        <v>0</v>
      </c>
      <c r="L209" t="n">
        <v>0</v>
      </c>
      <c r="M209" t="n">
        <v>0</v>
      </c>
      <c r="N209" t="n">
        <v>0</v>
      </c>
      <c r="O209" t="n">
        <v>0</v>
      </c>
      <c r="P209" t="n">
        <v>0</v>
      </c>
      <c r="Q209" t="n">
        <v>0</v>
      </c>
      <c r="R209" s="2" t="inlineStr"/>
    </row>
    <row r="210" ht="15" customHeight="1">
      <c r="A210" t="inlineStr">
        <is>
          <t>A 56582-2022</t>
        </is>
      </c>
      <c r="B210" s="1" t="n">
        <v>44893</v>
      </c>
      <c r="C210" s="1" t="n">
        <v>46189</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6408-2025</t>
        </is>
      </c>
      <c r="B211" s="1" t="n">
        <v>45699.45671296296</v>
      </c>
      <c r="C211" s="1" t="n">
        <v>46189</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11609-2023</t>
        </is>
      </c>
      <c r="B212" s="1" t="n">
        <v>44994.40635416667</v>
      </c>
      <c r="C212" s="1" t="n">
        <v>46189</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3816-2022</t>
        </is>
      </c>
      <c r="B213" s="1" t="n">
        <v>44587</v>
      </c>
      <c r="C213" s="1" t="n">
        <v>46189</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1081-2023</t>
        </is>
      </c>
      <c r="B214" s="1" t="n">
        <v>44935</v>
      </c>
      <c r="C214" s="1" t="n">
        <v>46189</v>
      </c>
      <c r="D214" t="inlineStr">
        <is>
          <t>KALMAR LÄN</t>
        </is>
      </c>
      <c r="E214" t="inlineStr">
        <is>
          <t>VIMMERBY</t>
        </is>
      </c>
      <c r="G214" t="n">
        <v>1.3</v>
      </c>
      <c r="H214" t="n">
        <v>0</v>
      </c>
      <c r="I214" t="n">
        <v>0</v>
      </c>
      <c r="J214" t="n">
        <v>0</v>
      </c>
      <c r="K214" t="n">
        <v>0</v>
      </c>
      <c r="L214" t="n">
        <v>0</v>
      </c>
      <c r="M214" t="n">
        <v>0</v>
      </c>
      <c r="N214" t="n">
        <v>0</v>
      </c>
      <c r="O214" t="n">
        <v>0</v>
      </c>
      <c r="P214" t="n">
        <v>0</v>
      </c>
      <c r="Q214" t="n">
        <v>0</v>
      </c>
      <c r="R214" s="2" t="inlineStr"/>
    </row>
    <row r="215" ht="15" customHeight="1">
      <c r="A215" t="inlineStr">
        <is>
          <t>A 7047-2022</t>
        </is>
      </c>
      <c r="B215" s="1" t="n">
        <v>44603</v>
      </c>
      <c r="C215" s="1" t="n">
        <v>46189</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12499-2023</t>
        </is>
      </c>
      <c r="B216" s="1" t="n">
        <v>44999.86172453704</v>
      </c>
      <c r="C216" s="1" t="n">
        <v>46189</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12500-2023</t>
        </is>
      </c>
      <c r="B217" s="1" t="n">
        <v>44999.8625</v>
      </c>
      <c r="C217" s="1" t="n">
        <v>46189</v>
      </c>
      <c r="D217" t="inlineStr">
        <is>
          <t>KALMAR LÄN</t>
        </is>
      </c>
      <c r="E217" t="inlineStr">
        <is>
          <t>VIMMERBY</t>
        </is>
      </c>
      <c r="G217" t="n">
        <v>0.5</v>
      </c>
      <c r="H217" t="n">
        <v>0</v>
      </c>
      <c r="I217" t="n">
        <v>0</v>
      </c>
      <c r="J217" t="n">
        <v>0</v>
      </c>
      <c r="K217" t="n">
        <v>0</v>
      </c>
      <c r="L217" t="n">
        <v>0</v>
      </c>
      <c r="M217" t="n">
        <v>0</v>
      </c>
      <c r="N217" t="n">
        <v>0</v>
      </c>
      <c r="O217" t="n">
        <v>0</v>
      </c>
      <c r="P217" t="n">
        <v>0</v>
      </c>
      <c r="Q217" t="n">
        <v>0</v>
      </c>
      <c r="R217" s="2" t="inlineStr"/>
    </row>
    <row r="218" ht="15" customHeight="1">
      <c r="A218" t="inlineStr">
        <is>
          <t>A 44464-2024</t>
        </is>
      </c>
      <c r="B218" s="1" t="n">
        <v>45574.35809027778</v>
      </c>
      <c r="C218" s="1" t="n">
        <v>46189</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41066-2024</t>
        </is>
      </c>
      <c r="B219" s="1" t="n">
        <v>45559.38876157408</v>
      </c>
      <c r="C219" s="1" t="n">
        <v>46189</v>
      </c>
      <c r="D219" t="inlineStr">
        <is>
          <t>KALMAR LÄN</t>
        </is>
      </c>
      <c r="E219" t="inlineStr">
        <is>
          <t>VIMMERBY</t>
        </is>
      </c>
      <c r="G219" t="n">
        <v>2.4</v>
      </c>
      <c r="H219" t="n">
        <v>0</v>
      </c>
      <c r="I219" t="n">
        <v>0</v>
      </c>
      <c r="J219" t="n">
        <v>0</v>
      </c>
      <c r="K219" t="n">
        <v>0</v>
      </c>
      <c r="L219" t="n">
        <v>0</v>
      </c>
      <c r="M219" t="n">
        <v>0</v>
      </c>
      <c r="N219" t="n">
        <v>0</v>
      </c>
      <c r="O219" t="n">
        <v>0</v>
      </c>
      <c r="P219" t="n">
        <v>0</v>
      </c>
      <c r="Q219" t="n">
        <v>0</v>
      </c>
      <c r="R219" s="2" t="inlineStr"/>
    </row>
    <row r="220" ht="15" customHeight="1">
      <c r="A220" t="inlineStr">
        <is>
          <t>A 33103-2024</t>
        </is>
      </c>
      <c r="B220" s="1" t="n">
        <v>45517.8162037037</v>
      </c>
      <c r="C220" s="1" t="n">
        <v>46189</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12510-2022</t>
        </is>
      </c>
      <c r="B221" s="1" t="n">
        <v>44638.55256944444</v>
      </c>
      <c r="C221" s="1" t="n">
        <v>46189</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6066-2023</t>
        </is>
      </c>
      <c r="B222" s="1" t="n">
        <v>44964.50894675926</v>
      </c>
      <c r="C222" s="1" t="n">
        <v>46189</v>
      </c>
      <c r="D222" t="inlineStr">
        <is>
          <t>KALMAR LÄN</t>
        </is>
      </c>
      <c r="E222" t="inlineStr">
        <is>
          <t>VIMMERBY</t>
        </is>
      </c>
      <c r="G222" t="n">
        <v>2.8</v>
      </c>
      <c r="H222" t="n">
        <v>0</v>
      </c>
      <c r="I222" t="n">
        <v>0</v>
      </c>
      <c r="J222" t="n">
        <v>0</v>
      </c>
      <c r="K222" t="n">
        <v>0</v>
      </c>
      <c r="L222" t="n">
        <v>0</v>
      </c>
      <c r="M222" t="n">
        <v>0</v>
      </c>
      <c r="N222" t="n">
        <v>0</v>
      </c>
      <c r="O222" t="n">
        <v>0</v>
      </c>
      <c r="P222" t="n">
        <v>0</v>
      </c>
      <c r="Q222" t="n">
        <v>0</v>
      </c>
      <c r="R222" s="2" t="inlineStr"/>
    </row>
    <row r="223" ht="15" customHeight="1">
      <c r="A223" t="inlineStr">
        <is>
          <t>A 89-2023</t>
        </is>
      </c>
      <c r="B223" s="1" t="n">
        <v>44918</v>
      </c>
      <c r="C223" s="1" t="n">
        <v>46189</v>
      </c>
      <c r="D223" t="inlineStr">
        <is>
          <t>KALMAR LÄN</t>
        </is>
      </c>
      <c r="E223" t="inlineStr">
        <is>
          <t>VIMMERBY</t>
        </is>
      </c>
      <c r="G223" t="n">
        <v>16.1</v>
      </c>
      <c r="H223" t="n">
        <v>0</v>
      </c>
      <c r="I223" t="n">
        <v>0</v>
      </c>
      <c r="J223" t="n">
        <v>0</v>
      </c>
      <c r="K223" t="n">
        <v>0</v>
      </c>
      <c r="L223" t="n">
        <v>0</v>
      </c>
      <c r="M223" t="n">
        <v>0</v>
      </c>
      <c r="N223" t="n">
        <v>0</v>
      </c>
      <c r="O223" t="n">
        <v>0</v>
      </c>
      <c r="P223" t="n">
        <v>0</v>
      </c>
      <c r="Q223" t="n">
        <v>0</v>
      </c>
      <c r="R223" s="2" t="inlineStr"/>
    </row>
    <row r="224" ht="15" customHeight="1">
      <c r="A224" t="inlineStr">
        <is>
          <t>A 5382-2023</t>
        </is>
      </c>
      <c r="B224" s="1" t="n">
        <v>44959.66407407408</v>
      </c>
      <c r="C224" s="1" t="n">
        <v>46189</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6668-2023</t>
        </is>
      </c>
      <c r="B225" s="1" t="n">
        <v>44966</v>
      </c>
      <c r="C225" s="1" t="n">
        <v>46189</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16020-2023</t>
        </is>
      </c>
      <c r="B226" s="1" t="n">
        <v>45026.82216435186</v>
      </c>
      <c r="C226" s="1" t="n">
        <v>46189</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30634-2024</t>
        </is>
      </c>
      <c r="B227" s="1" t="n">
        <v>45495</v>
      </c>
      <c r="C227" s="1" t="n">
        <v>46189</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60292-2022</t>
        </is>
      </c>
      <c r="B228" s="1" t="n">
        <v>44910.54231481482</v>
      </c>
      <c r="C228" s="1" t="n">
        <v>46189</v>
      </c>
      <c r="D228" t="inlineStr">
        <is>
          <t>KALMAR LÄN</t>
        </is>
      </c>
      <c r="E228" t="inlineStr">
        <is>
          <t>VIMMERBY</t>
        </is>
      </c>
      <c r="G228" t="n">
        <v>4.4</v>
      </c>
      <c r="H228" t="n">
        <v>0</v>
      </c>
      <c r="I228" t="n">
        <v>0</v>
      </c>
      <c r="J228" t="n">
        <v>0</v>
      </c>
      <c r="K228" t="n">
        <v>0</v>
      </c>
      <c r="L228" t="n">
        <v>0</v>
      </c>
      <c r="M228" t="n">
        <v>0</v>
      </c>
      <c r="N228" t="n">
        <v>0</v>
      </c>
      <c r="O228" t="n">
        <v>0</v>
      </c>
      <c r="P228" t="n">
        <v>0</v>
      </c>
      <c r="Q228" t="n">
        <v>0</v>
      </c>
      <c r="R228" s="2" t="inlineStr"/>
    </row>
    <row r="229" ht="15" customHeight="1">
      <c r="A229" t="inlineStr">
        <is>
          <t>A 6355-2022</t>
        </is>
      </c>
      <c r="B229" s="1" t="n">
        <v>44600</v>
      </c>
      <c r="C229" s="1" t="n">
        <v>46189</v>
      </c>
      <c r="D229" t="inlineStr">
        <is>
          <t>KALMAR LÄN</t>
        </is>
      </c>
      <c r="E229" t="inlineStr">
        <is>
          <t>VIMMERBY</t>
        </is>
      </c>
      <c r="G229" t="n">
        <v>4.9</v>
      </c>
      <c r="H229" t="n">
        <v>0</v>
      </c>
      <c r="I229" t="n">
        <v>0</v>
      </c>
      <c r="J229" t="n">
        <v>0</v>
      </c>
      <c r="K229" t="n">
        <v>0</v>
      </c>
      <c r="L229" t="n">
        <v>0</v>
      </c>
      <c r="M229" t="n">
        <v>0</v>
      </c>
      <c r="N229" t="n">
        <v>0</v>
      </c>
      <c r="O229" t="n">
        <v>0</v>
      </c>
      <c r="P229" t="n">
        <v>0</v>
      </c>
      <c r="Q229" t="n">
        <v>0</v>
      </c>
      <c r="R229" s="2" t="inlineStr"/>
    </row>
    <row r="230" ht="15" customHeight="1">
      <c r="A230" t="inlineStr">
        <is>
          <t>A 1146-2025</t>
        </is>
      </c>
      <c r="B230" s="1" t="n">
        <v>45666</v>
      </c>
      <c r="C230" s="1" t="n">
        <v>46189</v>
      </c>
      <c r="D230" t="inlineStr">
        <is>
          <t>KALMAR LÄN</t>
        </is>
      </c>
      <c r="E230" t="inlineStr">
        <is>
          <t>VIMMERBY</t>
        </is>
      </c>
      <c r="G230" t="n">
        <v>4</v>
      </c>
      <c r="H230" t="n">
        <v>0</v>
      </c>
      <c r="I230" t="n">
        <v>0</v>
      </c>
      <c r="J230" t="n">
        <v>0</v>
      </c>
      <c r="K230" t="n">
        <v>0</v>
      </c>
      <c r="L230" t="n">
        <v>0</v>
      </c>
      <c r="M230" t="n">
        <v>0</v>
      </c>
      <c r="N230" t="n">
        <v>0</v>
      </c>
      <c r="O230" t="n">
        <v>0</v>
      </c>
      <c r="P230" t="n">
        <v>0</v>
      </c>
      <c r="Q230" t="n">
        <v>0</v>
      </c>
      <c r="R230" s="2" t="inlineStr"/>
    </row>
    <row r="231" ht="15" customHeight="1">
      <c r="A231" t="inlineStr">
        <is>
          <t>A 43034-2024</t>
        </is>
      </c>
      <c r="B231" s="1" t="n">
        <v>45567.42011574074</v>
      </c>
      <c r="C231" s="1" t="n">
        <v>46189</v>
      </c>
      <c r="D231" t="inlineStr">
        <is>
          <t>KALMAR LÄN</t>
        </is>
      </c>
      <c r="E231" t="inlineStr">
        <is>
          <t>VIMMERBY</t>
        </is>
      </c>
      <c r="G231" t="n">
        <v>1.8</v>
      </c>
      <c r="H231" t="n">
        <v>0</v>
      </c>
      <c r="I231" t="n">
        <v>0</v>
      </c>
      <c r="J231" t="n">
        <v>0</v>
      </c>
      <c r="K231" t="n">
        <v>0</v>
      </c>
      <c r="L231" t="n">
        <v>0</v>
      </c>
      <c r="M231" t="n">
        <v>0</v>
      </c>
      <c r="N231" t="n">
        <v>0</v>
      </c>
      <c r="O231" t="n">
        <v>0</v>
      </c>
      <c r="P231" t="n">
        <v>0</v>
      </c>
      <c r="Q231" t="n">
        <v>0</v>
      </c>
      <c r="R231" s="2" t="inlineStr"/>
    </row>
    <row r="232" ht="15" customHeight="1">
      <c r="A232" t="inlineStr">
        <is>
          <t>A 40256-2024</t>
        </is>
      </c>
      <c r="B232" s="1" t="n">
        <v>45554.62944444444</v>
      </c>
      <c r="C232" s="1" t="n">
        <v>46189</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12890-2023</t>
        </is>
      </c>
      <c r="B233" s="1" t="n">
        <v>45001.59209490741</v>
      </c>
      <c r="C233" s="1" t="n">
        <v>46189</v>
      </c>
      <c r="D233" t="inlineStr">
        <is>
          <t>KALMAR LÄN</t>
        </is>
      </c>
      <c r="E233" t="inlineStr">
        <is>
          <t>VIMMERBY</t>
        </is>
      </c>
      <c r="G233" t="n">
        <v>2.8</v>
      </c>
      <c r="H233" t="n">
        <v>0</v>
      </c>
      <c r="I233" t="n">
        <v>0</v>
      </c>
      <c r="J233" t="n">
        <v>0</v>
      </c>
      <c r="K233" t="n">
        <v>0</v>
      </c>
      <c r="L233" t="n">
        <v>0</v>
      </c>
      <c r="M233" t="n">
        <v>0</v>
      </c>
      <c r="N233" t="n">
        <v>0</v>
      </c>
      <c r="O233" t="n">
        <v>0</v>
      </c>
      <c r="P233" t="n">
        <v>0</v>
      </c>
      <c r="Q233" t="n">
        <v>0</v>
      </c>
      <c r="R233" s="2" t="inlineStr"/>
    </row>
    <row r="234" ht="15" customHeight="1">
      <c r="A234" t="inlineStr">
        <is>
          <t>A 3902-2022</t>
        </is>
      </c>
      <c r="B234" s="1" t="n">
        <v>44587.48847222222</v>
      </c>
      <c r="C234" s="1" t="n">
        <v>46189</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43093-2024</t>
        </is>
      </c>
      <c r="B235" s="1" t="n">
        <v>45567</v>
      </c>
      <c r="C235" s="1" t="n">
        <v>46189</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55300-2021</t>
        </is>
      </c>
      <c r="B236" s="1" t="n">
        <v>44475</v>
      </c>
      <c r="C236" s="1" t="n">
        <v>46189</v>
      </c>
      <c r="D236" t="inlineStr">
        <is>
          <t>KALMAR LÄN</t>
        </is>
      </c>
      <c r="E236" t="inlineStr">
        <is>
          <t>VIMMERBY</t>
        </is>
      </c>
      <c r="G236" t="n">
        <v>3.4</v>
      </c>
      <c r="H236" t="n">
        <v>0</v>
      </c>
      <c r="I236" t="n">
        <v>0</v>
      </c>
      <c r="J236" t="n">
        <v>0</v>
      </c>
      <c r="K236" t="n">
        <v>0</v>
      </c>
      <c r="L236" t="n">
        <v>0</v>
      </c>
      <c r="M236" t="n">
        <v>0</v>
      </c>
      <c r="N236" t="n">
        <v>0</v>
      </c>
      <c r="O236" t="n">
        <v>0</v>
      </c>
      <c r="P236" t="n">
        <v>0</v>
      </c>
      <c r="Q236" t="n">
        <v>0</v>
      </c>
      <c r="R236" s="2" t="inlineStr"/>
    </row>
    <row r="237" ht="15" customHeight="1">
      <c r="A237" t="inlineStr">
        <is>
          <t>A 35198-2023</t>
        </is>
      </c>
      <c r="B237" s="1" t="n">
        <v>45145</v>
      </c>
      <c r="C237" s="1" t="n">
        <v>46189</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14451-2024</t>
        </is>
      </c>
      <c r="B238" s="1" t="n">
        <v>45394.50028935185</v>
      </c>
      <c r="C238" s="1" t="n">
        <v>46189</v>
      </c>
      <c r="D238" t="inlineStr">
        <is>
          <t>KALMAR LÄN</t>
        </is>
      </c>
      <c r="E238" t="inlineStr">
        <is>
          <t>VIMMERBY</t>
        </is>
      </c>
      <c r="G238" t="n">
        <v>1.9</v>
      </c>
      <c r="H238" t="n">
        <v>0</v>
      </c>
      <c r="I238" t="n">
        <v>0</v>
      </c>
      <c r="J238" t="n">
        <v>0</v>
      </c>
      <c r="K238" t="n">
        <v>0</v>
      </c>
      <c r="L238" t="n">
        <v>0</v>
      </c>
      <c r="M238" t="n">
        <v>0</v>
      </c>
      <c r="N238" t="n">
        <v>0</v>
      </c>
      <c r="O238" t="n">
        <v>0</v>
      </c>
      <c r="P238" t="n">
        <v>0</v>
      </c>
      <c r="Q238" t="n">
        <v>0</v>
      </c>
      <c r="R238" s="2" t="inlineStr"/>
    </row>
    <row r="239" ht="15" customHeight="1">
      <c r="A239" t="inlineStr">
        <is>
          <t>A 2536-2023</t>
        </is>
      </c>
      <c r="B239" s="1" t="n">
        <v>44943.62954861111</v>
      </c>
      <c r="C239" s="1" t="n">
        <v>46189</v>
      </c>
      <c r="D239" t="inlineStr">
        <is>
          <t>KALMAR LÄN</t>
        </is>
      </c>
      <c r="E239" t="inlineStr">
        <is>
          <t>VIMMERBY</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50993-2022</t>
        </is>
      </c>
      <c r="B240" s="1" t="n">
        <v>44867</v>
      </c>
      <c r="C240" s="1" t="n">
        <v>46189</v>
      </c>
      <c r="D240" t="inlineStr">
        <is>
          <t>KALMAR LÄN</t>
        </is>
      </c>
      <c r="E240" t="inlineStr">
        <is>
          <t>VIMMERBY</t>
        </is>
      </c>
      <c r="G240" t="n">
        <v>1.7</v>
      </c>
      <c r="H240" t="n">
        <v>0</v>
      </c>
      <c r="I240" t="n">
        <v>0</v>
      </c>
      <c r="J240" t="n">
        <v>0</v>
      </c>
      <c r="K240" t="n">
        <v>0</v>
      </c>
      <c r="L240" t="n">
        <v>0</v>
      </c>
      <c r="M240" t="n">
        <v>0</v>
      </c>
      <c r="N240" t="n">
        <v>0</v>
      </c>
      <c r="O240" t="n">
        <v>0</v>
      </c>
      <c r="P240" t="n">
        <v>0</v>
      </c>
      <c r="Q240" t="n">
        <v>0</v>
      </c>
      <c r="R240" s="2" t="inlineStr"/>
    </row>
    <row r="241" ht="15" customHeight="1">
      <c r="A241" t="inlineStr">
        <is>
          <t>A 2801-2023</t>
        </is>
      </c>
      <c r="B241" s="1" t="n">
        <v>44944.73487268519</v>
      </c>
      <c r="C241" s="1" t="n">
        <v>46189</v>
      </c>
      <c r="D241" t="inlineStr">
        <is>
          <t>KALMAR LÄN</t>
        </is>
      </c>
      <c r="E241" t="inlineStr">
        <is>
          <t>VIMMERBY</t>
        </is>
      </c>
      <c r="G241" t="n">
        <v>0.6</v>
      </c>
      <c r="H241" t="n">
        <v>0</v>
      </c>
      <c r="I241" t="n">
        <v>0</v>
      </c>
      <c r="J241" t="n">
        <v>0</v>
      </c>
      <c r="K241" t="n">
        <v>0</v>
      </c>
      <c r="L241" t="n">
        <v>0</v>
      </c>
      <c r="M241" t="n">
        <v>0</v>
      </c>
      <c r="N241" t="n">
        <v>0</v>
      </c>
      <c r="O241" t="n">
        <v>0</v>
      </c>
      <c r="P241" t="n">
        <v>0</v>
      </c>
      <c r="Q241" t="n">
        <v>0</v>
      </c>
      <c r="R241" s="2" t="inlineStr"/>
    </row>
    <row r="242" ht="15" customHeight="1">
      <c r="A242" t="inlineStr">
        <is>
          <t>A 46225-2024</t>
        </is>
      </c>
      <c r="B242" s="1" t="n">
        <v>45581.57333333333</v>
      </c>
      <c r="C242" s="1" t="n">
        <v>46189</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36055-2024</t>
        </is>
      </c>
      <c r="B243" s="1" t="n">
        <v>45533.63056712963</v>
      </c>
      <c r="C243" s="1" t="n">
        <v>46189</v>
      </c>
      <c r="D243" t="inlineStr">
        <is>
          <t>KALMAR LÄN</t>
        </is>
      </c>
      <c r="E243" t="inlineStr">
        <is>
          <t>VIMMERBY</t>
        </is>
      </c>
      <c r="F243" t="inlineStr">
        <is>
          <t>Kommuner</t>
        </is>
      </c>
      <c r="G243" t="n">
        <v>1.9</v>
      </c>
      <c r="H243" t="n">
        <v>0</v>
      </c>
      <c r="I243" t="n">
        <v>0</v>
      </c>
      <c r="J243" t="n">
        <v>0</v>
      </c>
      <c r="K243" t="n">
        <v>0</v>
      </c>
      <c r="L243" t="n">
        <v>0</v>
      </c>
      <c r="M243" t="n">
        <v>0</v>
      </c>
      <c r="N243" t="n">
        <v>0</v>
      </c>
      <c r="O243" t="n">
        <v>0</v>
      </c>
      <c r="P243" t="n">
        <v>0</v>
      </c>
      <c r="Q243" t="n">
        <v>0</v>
      </c>
      <c r="R243" s="2" t="inlineStr"/>
    </row>
    <row r="244" ht="15" customHeight="1">
      <c r="A244" t="inlineStr">
        <is>
          <t>A 47859-2024</t>
        </is>
      </c>
      <c r="B244" s="1" t="n">
        <v>45588.67070601852</v>
      </c>
      <c r="C244" s="1" t="n">
        <v>46189</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43606-2024</t>
        </is>
      </c>
      <c r="B245" s="1" t="n">
        <v>45569.45017361111</v>
      </c>
      <c r="C245" s="1" t="n">
        <v>46189</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32835-2022</t>
        </is>
      </c>
      <c r="B246" s="1" t="n">
        <v>44784.42528935185</v>
      </c>
      <c r="C246" s="1" t="n">
        <v>46189</v>
      </c>
      <c r="D246" t="inlineStr">
        <is>
          <t>KALMAR LÄN</t>
        </is>
      </c>
      <c r="E246" t="inlineStr">
        <is>
          <t>VIMMERBY</t>
        </is>
      </c>
      <c r="G246" t="n">
        <v>1.6</v>
      </c>
      <c r="H246" t="n">
        <v>0</v>
      </c>
      <c r="I246" t="n">
        <v>0</v>
      </c>
      <c r="J246" t="n">
        <v>0</v>
      </c>
      <c r="K246" t="n">
        <v>0</v>
      </c>
      <c r="L246" t="n">
        <v>0</v>
      </c>
      <c r="M246" t="n">
        <v>0</v>
      </c>
      <c r="N246" t="n">
        <v>0</v>
      </c>
      <c r="O246" t="n">
        <v>0</v>
      </c>
      <c r="P246" t="n">
        <v>0</v>
      </c>
      <c r="Q246" t="n">
        <v>0</v>
      </c>
      <c r="R246" s="2" t="inlineStr"/>
    </row>
    <row r="247" ht="15" customHeight="1">
      <c r="A247" t="inlineStr">
        <is>
          <t>A 41896-2023</t>
        </is>
      </c>
      <c r="B247" s="1" t="n">
        <v>45176.72427083334</v>
      </c>
      <c r="C247" s="1" t="n">
        <v>46189</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12325-2023</t>
        </is>
      </c>
      <c r="B248" s="1" t="n">
        <v>44999.35858796296</v>
      </c>
      <c r="C248" s="1" t="n">
        <v>46189</v>
      </c>
      <c r="D248" t="inlineStr">
        <is>
          <t>KALMAR LÄN</t>
        </is>
      </c>
      <c r="E248" t="inlineStr">
        <is>
          <t>VIMMERBY</t>
        </is>
      </c>
      <c r="G248" t="n">
        <v>3.4</v>
      </c>
      <c r="H248" t="n">
        <v>0</v>
      </c>
      <c r="I248" t="n">
        <v>0</v>
      </c>
      <c r="J248" t="n">
        <v>0</v>
      </c>
      <c r="K248" t="n">
        <v>0</v>
      </c>
      <c r="L248" t="n">
        <v>0</v>
      </c>
      <c r="M248" t="n">
        <v>0</v>
      </c>
      <c r="N248" t="n">
        <v>0</v>
      </c>
      <c r="O248" t="n">
        <v>0</v>
      </c>
      <c r="P248" t="n">
        <v>0</v>
      </c>
      <c r="Q248" t="n">
        <v>0</v>
      </c>
      <c r="R248" s="2" t="inlineStr"/>
    </row>
    <row r="249" ht="15" customHeight="1">
      <c r="A249" t="inlineStr">
        <is>
          <t>A 42165-2024</t>
        </is>
      </c>
      <c r="B249" s="1" t="n">
        <v>45562.46342592593</v>
      </c>
      <c r="C249" s="1" t="n">
        <v>46189</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28034-2022</t>
        </is>
      </c>
      <c r="B250" s="1" t="n">
        <v>44746.38834490741</v>
      </c>
      <c r="C250" s="1" t="n">
        <v>46189</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40665-2023</t>
        </is>
      </c>
      <c r="B251" s="1" t="n">
        <v>45170</v>
      </c>
      <c r="C251" s="1" t="n">
        <v>46189</v>
      </c>
      <c r="D251" t="inlineStr">
        <is>
          <t>KALMAR LÄN</t>
        </is>
      </c>
      <c r="E251" t="inlineStr">
        <is>
          <t>VIMMERBY</t>
        </is>
      </c>
      <c r="G251" t="n">
        <v>2.6</v>
      </c>
      <c r="H251" t="n">
        <v>0</v>
      </c>
      <c r="I251" t="n">
        <v>0</v>
      </c>
      <c r="J251" t="n">
        <v>0</v>
      </c>
      <c r="K251" t="n">
        <v>0</v>
      </c>
      <c r="L251" t="n">
        <v>0</v>
      </c>
      <c r="M251" t="n">
        <v>0</v>
      </c>
      <c r="N251" t="n">
        <v>0</v>
      </c>
      <c r="O251" t="n">
        <v>0</v>
      </c>
      <c r="P251" t="n">
        <v>0</v>
      </c>
      <c r="Q251" t="n">
        <v>0</v>
      </c>
      <c r="R251" s="2" t="inlineStr"/>
    </row>
    <row r="252" ht="15" customHeight="1">
      <c r="A252" t="inlineStr">
        <is>
          <t>A 47263-2023</t>
        </is>
      </c>
      <c r="B252" s="1" t="n">
        <v>45202.4209837963</v>
      </c>
      <c r="C252" s="1" t="n">
        <v>46189</v>
      </c>
      <c r="D252" t="inlineStr">
        <is>
          <t>KALMAR LÄN</t>
        </is>
      </c>
      <c r="E252" t="inlineStr">
        <is>
          <t>VIMMERBY</t>
        </is>
      </c>
      <c r="G252" t="n">
        <v>1.8</v>
      </c>
      <c r="H252" t="n">
        <v>0</v>
      </c>
      <c r="I252" t="n">
        <v>0</v>
      </c>
      <c r="J252" t="n">
        <v>0</v>
      </c>
      <c r="K252" t="n">
        <v>0</v>
      </c>
      <c r="L252" t="n">
        <v>0</v>
      </c>
      <c r="M252" t="n">
        <v>0</v>
      </c>
      <c r="N252" t="n">
        <v>0</v>
      </c>
      <c r="O252" t="n">
        <v>0</v>
      </c>
      <c r="P252" t="n">
        <v>0</v>
      </c>
      <c r="Q252" t="n">
        <v>0</v>
      </c>
      <c r="R252" s="2" t="inlineStr"/>
    </row>
    <row r="253" ht="15" customHeight="1">
      <c r="A253" t="inlineStr">
        <is>
          <t>A 23095-2023</t>
        </is>
      </c>
      <c r="B253" s="1" t="n">
        <v>45075.43059027778</v>
      </c>
      <c r="C253" s="1" t="n">
        <v>46189</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32919-2022</t>
        </is>
      </c>
      <c r="B254" s="1" t="n">
        <v>44784.62724537037</v>
      </c>
      <c r="C254" s="1" t="n">
        <v>46189</v>
      </c>
      <c r="D254" t="inlineStr">
        <is>
          <t>KALMAR LÄN</t>
        </is>
      </c>
      <c r="E254" t="inlineStr">
        <is>
          <t>VIMMERBY</t>
        </is>
      </c>
      <c r="G254" t="n">
        <v>1.7</v>
      </c>
      <c r="H254" t="n">
        <v>0</v>
      </c>
      <c r="I254" t="n">
        <v>0</v>
      </c>
      <c r="J254" t="n">
        <v>0</v>
      </c>
      <c r="K254" t="n">
        <v>0</v>
      </c>
      <c r="L254" t="n">
        <v>0</v>
      </c>
      <c r="M254" t="n">
        <v>0</v>
      </c>
      <c r="N254" t="n">
        <v>0</v>
      </c>
      <c r="O254" t="n">
        <v>0</v>
      </c>
      <c r="P254" t="n">
        <v>0</v>
      </c>
      <c r="Q254" t="n">
        <v>0</v>
      </c>
      <c r="R254" s="2" t="inlineStr"/>
    </row>
    <row r="255" ht="15" customHeight="1">
      <c r="A255" t="inlineStr">
        <is>
          <t>A 7068-2024</t>
        </is>
      </c>
      <c r="B255" s="1" t="n">
        <v>45343.68038194445</v>
      </c>
      <c r="C255" s="1" t="n">
        <v>46189</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55605-2024</t>
        </is>
      </c>
      <c r="B256" s="1" t="n">
        <v>45622</v>
      </c>
      <c r="C256" s="1" t="n">
        <v>46189</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54409-2024</t>
        </is>
      </c>
      <c r="B257" s="1" t="n">
        <v>45617.47570601852</v>
      </c>
      <c r="C257" s="1" t="n">
        <v>46189</v>
      </c>
      <c r="D257" t="inlineStr">
        <is>
          <t>KALMAR LÄN</t>
        </is>
      </c>
      <c r="E257" t="inlineStr">
        <is>
          <t>VIMMERBY</t>
        </is>
      </c>
      <c r="G257" t="n">
        <v>4.3</v>
      </c>
      <c r="H257" t="n">
        <v>0</v>
      </c>
      <c r="I257" t="n">
        <v>0</v>
      </c>
      <c r="J257" t="n">
        <v>0</v>
      </c>
      <c r="K257" t="n">
        <v>0</v>
      </c>
      <c r="L257" t="n">
        <v>0</v>
      </c>
      <c r="M257" t="n">
        <v>0</v>
      </c>
      <c r="N257" t="n">
        <v>0</v>
      </c>
      <c r="O257" t="n">
        <v>0</v>
      </c>
      <c r="P257" t="n">
        <v>0</v>
      </c>
      <c r="Q257" t="n">
        <v>0</v>
      </c>
      <c r="R257" s="2" t="inlineStr"/>
    </row>
    <row r="258" ht="15" customHeight="1">
      <c r="A258" t="inlineStr">
        <is>
          <t>A 32655-2023</t>
        </is>
      </c>
      <c r="B258" s="1" t="n">
        <v>45121.61318287037</v>
      </c>
      <c r="C258" s="1" t="n">
        <v>46189</v>
      </c>
      <c r="D258" t="inlineStr">
        <is>
          <t>KALMAR LÄN</t>
        </is>
      </c>
      <c r="E258" t="inlineStr">
        <is>
          <t>VIMMERBY</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9475-2023</t>
        </is>
      </c>
      <c r="B259" s="1" t="n">
        <v>44981.58834490741</v>
      </c>
      <c r="C259" s="1" t="n">
        <v>46189</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11619-2023</t>
        </is>
      </c>
      <c r="B260" s="1" t="n">
        <v>44994.42113425926</v>
      </c>
      <c r="C260" s="1" t="n">
        <v>46189</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5074-2023</t>
        </is>
      </c>
      <c r="B261" s="1" t="n">
        <v>44958.61047453704</v>
      </c>
      <c r="C261" s="1" t="n">
        <v>46189</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6368-2023</t>
        </is>
      </c>
      <c r="B262" s="1" t="n">
        <v>44965</v>
      </c>
      <c r="C262" s="1" t="n">
        <v>46189</v>
      </c>
      <c r="D262" t="inlineStr">
        <is>
          <t>KALMAR LÄN</t>
        </is>
      </c>
      <c r="E262" t="inlineStr">
        <is>
          <t>VIMMERBY</t>
        </is>
      </c>
      <c r="G262" t="n">
        <v>1.3</v>
      </c>
      <c r="H262" t="n">
        <v>0</v>
      </c>
      <c r="I262" t="n">
        <v>0</v>
      </c>
      <c r="J262" t="n">
        <v>0</v>
      </c>
      <c r="K262" t="n">
        <v>0</v>
      </c>
      <c r="L262" t="n">
        <v>0</v>
      </c>
      <c r="M262" t="n">
        <v>0</v>
      </c>
      <c r="N262" t="n">
        <v>0</v>
      </c>
      <c r="O262" t="n">
        <v>0</v>
      </c>
      <c r="P262" t="n">
        <v>0</v>
      </c>
      <c r="Q262" t="n">
        <v>0</v>
      </c>
      <c r="R262" s="2" t="inlineStr"/>
    </row>
    <row r="263" ht="15" customHeight="1">
      <c r="A263" t="inlineStr">
        <is>
          <t>A 5701-2024</t>
        </is>
      </c>
      <c r="B263" s="1" t="n">
        <v>45334.78826388889</v>
      </c>
      <c r="C263" s="1" t="n">
        <v>46189</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8410-2023</t>
        </is>
      </c>
      <c r="B264" s="1" t="n">
        <v>44977</v>
      </c>
      <c r="C264" s="1" t="n">
        <v>46189</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7797-2023</t>
        </is>
      </c>
      <c r="B265" s="1" t="n">
        <v>44973.43075231482</v>
      </c>
      <c r="C265" s="1" t="n">
        <v>46189</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52823-2024</t>
        </is>
      </c>
      <c r="B266" s="1" t="n">
        <v>45610.59094907407</v>
      </c>
      <c r="C266" s="1" t="n">
        <v>46189</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15550-2023</t>
        </is>
      </c>
      <c r="B267" s="1" t="n">
        <v>45020</v>
      </c>
      <c r="C267" s="1" t="n">
        <v>46189</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31355-2023</t>
        </is>
      </c>
      <c r="B268" s="1" t="n">
        <v>45114.49505787037</v>
      </c>
      <c r="C268" s="1" t="n">
        <v>46189</v>
      </c>
      <c r="D268" t="inlineStr">
        <is>
          <t>KALMAR LÄN</t>
        </is>
      </c>
      <c r="E268" t="inlineStr">
        <is>
          <t>VIMMERBY</t>
        </is>
      </c>
      <c r="G268" t="n">
        <v>1.3</v>
      </c>
      <c r="H268" t="n">
        <v>0</v>
      </c>
      <c r="I268" t="n">
        <v>0</v>
      </c>
      <c r="J268" t="n">
        <v>0</v>
      </c>
      <c r="K268" t="n">
        <v>0</v>
      </c>
      <c r="L268" t="n">
        <v>0</v>
      </c>
      <c r="M268" t="n">
        <v>0</v>
      </c>
      <c r="N268" t="n">
        <v>0</v>
      </c>
      <c r="O268" t="n">
        <v>0</v>
      </c>
      <c r="P268" t="n">
        <v>0</v>
      </c>
      <c r="Q268" t="n">
        <v>0</v>
      </c>
      <c r="R268" s="2" t="inlineStr"/>
    </row>
    <row r="269" ht="15" customHeight="1">
      <c r="A269" t="inlineStr">
        <is>
          <t>A 56853-2022</t>
        </is>
      </c>
      <c r="B269" s="1" t="n">
        <v>44894.49538194444</v>
      </c>
      <c r="C269" s="1" t="n">
        <v>46189</v>
      </c>
      <c r="D269" t="inlineStr">
        <is>
          <t>KALMAR LÄN</t>
        </is>
      </c>
      <c r="E269" t="inlineStr">
        <is>
          <t>VIMMERBY</t>
        </is>
      </c>
      <c r="G269" t="n">
        <v>4.3</v>
      </c>
      <c r="H269" t="n">
        <v>0</v>
      </c>
      <c r="I269" t="n">
        <v>0</v>
      </c>
      <c r="J269" t="n">
        <v>0</v>
      </c>
      <c r="K269" t="n">
        <v>0</v>
      </c>
      <c r="L269" t="n">
        <v>0</v>
      </c>
      <c r="M269" t="n">
        <v>0</v>
      </c>
      <c r="N269" t="n">
        <v>0</v>
      </c>
      <c r="O269" t="n">
        <v>0</v>
      </c>
      <c r="P269" t="n">
        <v>0</v>
      </c>
      <c r="Q269" t="n">
        <v>0</v>
      </c>
      <c r="R269" s="2" t="inlineStr"/>
    </row>
    <row r="270" ht="15" customHeight="1">
      <c r="A270" t="inlineStr">
        <is>
          <t>A 11152-2023</t>
        </is>
      </c>
      <c r="B270" s="1" t="n">
        <v>44992</v>
      </c>
      <c r="C270" s="1" t="n">
        <v>46189</v>
      </c>
      <c r="D270" t="inlineStr">
        <is>
          <t>KALMAR LÄN</t>
        </is>
      </c>
      <c r="E270" t="inlineStr">
        <is>
          <t>VIMMERBY</t>
        </is>
      </c>
      <c r="G270" t="n">
        <v>10.6</v>
      </c>
      <c r="H270" t="n">
        <v>0</v>
      </c>
      <c r="I270" t="n">
        <v>0</v>
      </c>
      <c r="J270" t="n">
        <v>0</v>
      </c>
      <c r="K270" t="n">
        <v>0</v>
      </c>
      <c r="L270" t="n">
        <v>0</v>
      </c>
      <c r="M270" t="n">
        <v>0</v>
      </c>
      <c r="N270" t="n">
        <v>0</v>
      </c>
      <c r="O270" t="n">
        <v>0</v>
      </c>
      <c r="P270" t="n">
        <v>0</v>
      </c>
      <c r="Q270" t="n">
        <v>0</v>
      </c>
      <c r="R270" s="2" t="inlineStr"/>
    </row>
    <row r="271" ht="15" customHeight="1">
      <c r="A271" t="inlineStr">
        <is>
          <t>A 58100-2024</t>
        </is>
      </c>
      <c r="B271" s="1" t="n">
        <v>45632.36706018518</v>
      </c>
      <c r="C271" s="1" t="n">
        <v>46189</v>
      </c>
      <c r="D271" t="inlineStr">
        <is>
          <t>KALMAR LÄN</t>
        </is>
      </c>
      <c r="E271" t="inlineStr">
        <is>
          <t>VIMMERBY</t>
        </is>
      </c>
      <c r="G271" t="n">
        <v>0.9</v>
      </c>
      <c r="H271" t="n">
        <v>0</v>
      </c>
      <c r="I271" t="n">
        <v>0</v>
      </c>
      <c r="J271" t="n">
        <v>0</v>
      </c>
      <c r="K271" t="n">
        <v>0</v>
      </c>
      <c r="L271" t="n">
        <v>0</v>
      </c>
      <c r="M271" t="n">
        <v>0</v>
      </c>
      <c r="N271" t="n">
        <v>0</v>
      </c>
      <c r="O271" t="n">
        <v>0</v>
      </c>
      <c r="P271" t="n">
        <v>0</v>
      </c>
      <c r="Q271" t="n">
        <v>0</v>
      </c>
      <c r="R271" s="2" t="inlineStr"/>
    </row>
    <row r="272" ht="15" customHeight="1">
      <c r="A272" t="inlineStr">
        <is>
          <t>A 18330-2023</t>
        </is>
      </c>
      <c r="B272" s="1" t="n">
        <v>45041</v>
      </c>
      <c r="C272" s="1" t="n">
        <v>46189</v>
      </c>
      <c r="D272" t="inlineStr">
        <is>
          <t>KALMAR LÄN</t>
        </is>
      </c>
      <c r="E272" t="inlineStr">
        <is>
          <t>VIMMERBY</t>
        </is>
      </c>
      <c r="G272" t="n">
        <v>1.7</v>
      </c>
      <c r="H272" t="n">
        <v>0</v>
      </c>
      <c r="I272" t="n">
        <v>0</v>
      </c>
      <c r="J272" t="n">
        <v>0</v>
      </c>
      <c r="K272" t="n">
        <v>0</v>
      </c>
      <c r="L272" t="n">
        <v>0</v>
      </c>
      <c r="M272" t="n">
        <v>0</v>
      </c>
      <c r="N272" t="n">
        <v>0</v>
      </c>
      <c r="O272" t="n">
        <v>0</v>
      </c>
      <c r="P272" t="n">
        <v>0</v>
      </c>
      <c r="Q272" t="n">
        <v>0</v>
      </c>
      <c r="R272" s="2" t="inlineStr"/>
    </row>
    <row r="273" ht="15" customHeight="1">
      <c r="A273" t="inlineStr">
        <is>
          <t>A 27993-2022</t>
        </is>
      </c>
      <c r="B273" s="1" t="n">
        <v>44745.84396990741</v>
      </c>
      <c r="C273" s="1" t="n">
        <v>46189</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53752-2024</t>
        </is>
      </c>
      <c r="B274" s="1" t="n">
        <v>45615.48927083334</v>
      </c>
      <c r="C274" s="1" t="n">
        <v>46189</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58728-2024</t>
        </is>
      </c>
      <c r="B275" s="1" t="n">
        <v>45635.66695601852</v>
      </c>
      <c r="C275" s="1" t="n">
        <v>46189</v>
      </c>
      <c r="D275" t="inlineStr">
        <is>
          <t>KALMAR LÄN</t>
        </is>
      </c>
      <c r="E275" t="inlineStr">
        <is>
          <t>VIMMERBY</t>
        </is>
      </c>
      <c r="G275" t="n">
        <v>0.4</v>
      </c>
      <c r="H275" t="n">
        <v>0</v>
      </c>
      <c r="I275" t="n">
        <v>0</v>
      </c>
      <c r="J275" t="n">
        <v>0</v>
      </c>
      <c r="K275" t="n">
        <v>0</v>
      </c>
      <c r="L275" t="n">
        <v>0</v>
      </c>
      <c r="M275" t="n">
        <v>0</v>
      </c>
      <c r="N275" t="n">
        <v>0</v>
      </c>
      <c r="O275" t="n">
        <v>0</v>
      </c>
      <c r="P275" t="n">
        <v>0</v>
      </c>
      <c r="Q275" t="n">
        <v>0</v>
      </c>
      <c r="R275" s="2" t="inlineStr"/>
    </row>
    <row r="276" ht="15" customHeight="1">
      <c r="A276" t="inlineStr">
        <is>
          <t>A 43242-2024</t>
        </is>
      </c>
      <c r="B276" s="1" t="n">
        <v>45568.30189814815</v>
      </c>
      <c r="C276" s="1" t="n">
        <v>46189</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16983-2023</t>
        </is>
      </c>
      <c r="B277" s="1" t="n">
        <v>45033.76043981482</v>
      </c>
      <c r="C277" s="1" t="n">
        <v>46189</v>
      </c>
      <c r="D277" t="inlineStr">
        <is>
          <t>KALMAR LÄN</t>
        </is>
      </c>
      <c r="E277" t="inlineStr">
        <is>
          <t>VIMMERBY</t>
        </is>
      </c>
      <c r="G277" t="n">
        <v>0.6</v>
      </c>
      <c r="H277" t="n">
        <v>0</v>
      </c>
      <c r="I277" t="n">
        <v>0</v>
      </c>
      <c r="J277" t="n">
        <v>0</v>
      </c>
      <c r="K277" t="n">
        <v>0</v>
      </c>
      <c r="L277" t="n">
        <v>0</v>
      </c>
      <c r="M277" t="n">
        <v>0</v>
      </c>
      <c r="N277" t="n">
        <v>0</v>
      </c>
      <c r="O277" t="n">
        <v>0</v>
      </c>
      <c r="P277" t="n">
        <v>0</v>
      </c>
      <c r="Q277" t="n">
        <v>0</v>
      </c>
      <c r="R277" s="2" t="inlineStr"/>
    </row>
    <row r="278" ht="15" customHeight="1">
      <c r="A278" t="inlineStr">
        <is>
          <t>A 57486-2024</t>
        </is>
      </c>
      <c r="B278" s="1" t="n">
        <v>45630.35827546296</v>
      </c>
      <c r="C278" s="1" t="n">
        <v>46189</v>
      </c>
      <c r="D278" t="inlineStr">
        <is>
          <t>KALMAR LÄN</t>
        </is>
      </c>
      <c r="E278" t="inlineStr">
        <is>
          <t>VIMMERBY</t>
        </is>
      </c>
      <c r="G278" t="n">
        <v>0.4</v>
      </c>
      <c r="H278" t="n">
        <v>0</v>
      </c>
      <c r="I278" t="n">
        <v>0</v>
      </c>
      <c r="J278" t="n">
        <v>0</v>
      </c>
      <c r="K278" t="n">
        <v>0</v>
      </c>
      <c r="L278" t="n">
        <v>0</v>
      </c>
      <c r="M278" t="n">
        <v>0</v>
      </c>
      <c r="N278" t="n">
        <v>0</v>
      </c>
      <c r="O278" t="n">
        <v>0</v>
      </c>
      <c r="P278" t="n">
        <v>0</v>
      </c>
      <c r="Q278" t="n">
        <v>0</v>
      </c>
      <c r="R278" s="2" t="inlineStr"/>
    </row>
    <row r="279" ht="15" customHeight="1">
      <c r="A279" t="inlineStr">
        <is>
          <t>A 6405-2025</t>
        </is>
      </c>
      <c r="B279" s="1" t="n">
        <v>45699.45392361111</v>
      </c>
      <c r="C279" s="1" t="n">
        <v>46189</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36843-2023</t>
        </is>
      </c>
      <c r="B280" s="1" t="n">
        <v>45154.49831018518</v>
      </c>
      <c r="C280" s="1" t="n">
        <v>46189</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21496-2023</t>
        </is>
      </c>
      <c r="B281" s="1" t="n">
        <v>45063.49936342592</v>
      </c>
      <c r="C281" s="1" t="n">
        <v>46189</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31056-2022</t>
        </is>
      </c>
      <c r="B282" s="1" t="n">
        <v>44769.45805555556</v>
      </c>
      <c r="C282" s="1" t="n">
        <v>46189</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44423-2023</t>
        </is>
      </c>
      <c r="B283" s="1" t="n">
        <v>45189</v>
      </c>
      <c r="C283" s="1" t="n">
        <v>46189</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72701-2021</t>
        </is>
      </c>
      <c r="B284" s="1" t="n">
        <v>44546</v>
      </c>
      <c r="C284" s="1" t="n">
        <v>46189</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61355-2024</t>
        </is>
      </c>
      <c r="B285" s="1" t="n">
        <v>45646.38200231481</v>
      </c>
      <c r="C285" s="1" t="n">
        <v>46189</v>
      </c>
      <c r="D285" t="inlineStr">
        <is>
          <t>KALMAR LÄN</t>
        </is>
      </c>
      <c r="E285" t="inlineStr">
        <is>
          <t>VIMMERBY</t>
        </is>
      </c>
      <c r="G285" t="n">
        <v>2.7</v>
      </c>
      <c r="H285" t="n">
        <v>0</v>
      </c>
      <c r="I285" t="n">
        <v>0</v>
      </c>
      <c r="J285" t="n">
        <v>0</v>
      </c>
      <c r="K285" t="n">
        <v>0</v>
      </c>
      <c r="L285" t="n">
        <v>0</v>
      </c>
      <c r="M285" t="n">
        <v>0</v>
      </c>
      <c r="N285" t="n">
        <v>0</v>
      </c>
      <c r="O285" t="n">
        <v>0</v>
      </c>
      <c r="P285" t="n">
        <v>0</v>
      </c>
      <c r="Q285" t="n">
        <v>0</v>
      </c>
      <c r="R285" s="2" t="inlineStr"/>
    </row>
    <row r="286" ht="15" customHeight="1">
      <c r="A286" t="inlineStr">
        <is>
          <t>A 32614-2023</t>
        </is>
      </c>
      <c r="B286" s="1" t="n">
        <v>45121</v>
      </c>
      <c r="C286" s="1" t="n">
        <v>46189</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33374-2021</t>
        </is>
      </c>
      <c r="B287" s="1" t="n">
        <v>44377</v>
      </c>
      <c r="C287" s="1" t="n">
        <v>46189</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61939-2021</t>
        </is>
      </c>
      <c r="B288" s="1" t="n">
        <v>44502</v>
      </c>
      <c r="C288" s="1" t="n">
        <v>46189</v>
      </c>
      <c r="D288" t="inlineStr">
        <is>
          <t>KALMAR LÄN</t>
        </is>
      </c>
      <c r="E288" t="inlineStr">
        <is>
          <t>VIMMERBY</t>
        </is>
      </c>
      <c r="G288" t="n">
        <v>2.7</v>
      </c>
      <c r="H288" t="n">
        <v>0</v>
      </c>
      <c r="I288" t="n">
        <v>0</v>
      </c>
      <c r="J288" t="n">
        <v>0</v>
      </c>
      <c r="K288" t="n">
        <v>0</v>
      </c>
      <c r="L288" t="n">
        <v>0</v>
      </c>
      <c r="M288" t="n">
        <v>0</v>
      </c>
      <c r="N288" t="n">
        <v>0</v>
      </c>
      <c r="O288" t="n">
        <v>0</v>
      </c>
      <c r="P288" t="n">
        <v>0</v>
      </c>
      <c r="Q288" t="n">
        <v>0</v>
      </c>
      <c r="R288" s="2" t="inlineStr"/>
    </row>
    <row r="289" ht="15" customHeight="1">
      <c r="A289" t="inlineStr">
        <is>
          <t>A 10759-2023</t>
        </is>
      </c>
      <c r="B289" s="1" t="n">
        <v>44988</v>
      </c>
      <c r="C289" s="1" t="n">
        <v>46189</v>
      </c>
      <c r="D289" t="inlineStr">
        <is>
          <t>KALMAR LÄN</t>
        </is>
      </c>
      <c r="E289" t="inlineStr">
        <is>
          <t>VIMMERBY</t>
        </is>
      </c>
      <c r="G289" t="n">
        <v>0.4</v>
      </c>
      <c r="H289" t="n">
        <v>0</v>
      </c>
      <c r="I289" t="n">
        <v>0</v>
      </c>
      <c r="J289" t="n">
        <v>0</v>
      </c>
      <c r="K289" t="n">
        <v>0</v>
      </c>
      <c r="L289" t="n">
        <v>0</v>
      </c>
      <c r="M289" t="n">
        <v>0</v>
      </c>
      <c r="N289" t="n">
        <v>0</v>
      </c>
      <c r="O289" t="n">
        <v>0</v>
      </c>
      <c r="P289" t="n">
        <v>0</v>
      </c>
      <c r="Q289" t="n">
        <v>0</v>
      </c>
      <c r="R289" s="2" t="inlineStr"/>
    </row>
    <row r="290" ht="15" customHeight="1">
      <c r="A290" t="inlineStr">
        <is>
          <t>A 40076-2021</t>
        </is>
      </c>
      <c r="B290" s="1" t="n">
        <v>44418</v>
      </c>
      <c r="C290" s="1" t="n">
        <v>46189</v>
      </c>
      <c r="D290" t="inlineStr">
        <is>
          <t>KALMAR LÄN</t>
        </is>
      </c>
      <c r="E290" t="inlineStr">
        <is>
          <t>VIMMERBY</t>
        </is>
      </c>
      <c r="G290" t="n">
        <v>2</v>
      </c>
      <c r="H290" t="n">
        <v>0</v>
      </c>
      <c r="I290" t="n">
        <v>0</v>
      </c>
      <c r="J290" t="n">
        <v>0</v>
      </c>
      <c r="K290" t="n">
        <v>0</v>
      </c>
      <c r="L290" t="n">
        <v>0</v>
      </c>
      <c r="M290" t="n">
        <v>0</v>
      </c>
      <c r="N290" t="n">
        <v>0</v>
      </c>
      <c r="O290" t="n">
        <v>0</v>
      </c>
      <c r="P290" t="n">
        <v>0</v>
      </c>
      <c r="Q290" t="n">
        <v>0</v>
      </c>
      <c r="R290" s="2" t="inlineStr"/>
    </row>
    <row r="291" ht="15" customHeight="1">
      <c r="A291" t="inlineStr">
        <is>
          <t>A 12588-2025</t>
        </is>
      </c>
      <c r="B291" s="1" t="n">
        <v>45732.76936342593</v>
      </c>
      <c r="C291" s="1" t="n">
        <v>46189</v>
      </c>
      <c r="D291" t="inlineStr">
        <is>
          <t>KALMAR LÄN</t>
        </is>
      </c>
      <c r="E291" t="inlineStr">
        <is>
          <t>VIMMERBY</t>
        </is>
      </c>
      <c r="G291" t="n">
        <v>1.6</v>
      </c>
      <c r="H291" t="n">
        <v>0</v>
      </c>
      <c r="I291" t="n">
        <v>0</v>
      </c>
      <c r="J291" t="n">
        <v>0</v>
      </c>
      <c r="K291" t="n">
        <v>0</v>
      </c>
      <c r="L291" t="n">
        <v>0</v>
      </c>
      <c r="M291" t="n">
        <v>0</v>
      </c>
      <c r="N291" t="n">
        <v>0</v>
      </c>
      <c r="O291" t="n">
        <v>0</v>
      </c>
      <c r="P291" t="n">
        <v>0</v>
      </c>
      <c r="Q291" t="n">
        <v>0</v>
      </c>
      <c r="R291" s="2" t="inlineStr"/>
    </row>
    <row r="292" ht="15" customHeight="1">
      <c r="A292" t="inlineStr">
        <is>
          <t>A 25979-2023</t>
        </is>
      </c>
      <c r="B292" s="1" t="n">
        <v>45090.89653935185</v>
      </c>
      <c r="C292" s="1" t="n">
        <v>46189</v>
      </c>
      <c r="D292" t="inlineStr">
        <is>
          <t>KALMAR LÄN</t>
        </is>
      </c>
      <c r="E292" t="inlineStr">
        <is>
          <t>VIMMERBY</t>
        </is>
      </c>
      <c r="G292" t="n">
        <v>2</v>
      </c>
      <c r="H292" t="n">
        <v>0</v>
      </c>
      <c r="I292" t="n">
        <v>0</v>
      </c>
      <c r="J292" t="n">
        <v>0</v>
      </c>
      <c r="K292" t="n">
        <v>0</v>
      </c>
      <c r="L292" t="n">
        <v>0</v>
      </c>
      <c r="M292" t="n">
        <v>0</v>
      </c>
      <c r="N292" t="n">
        <v>0</v>
      </c>
      <c r="O292" t="n">
        <v>0</v>
      </c>
      <c r="P292" t="n">
        <v>0</v>
      </c>
      <c r="Q292" t="n">
        <v>0</v>
      </c>
      <c r="R292" s="2" t="inlineStr"/>
    </row>
    <row r="293" ht="15" customHeight="1">
      <c r="A293" t="inlineStr">
        <is>
          <t>A 25980-2023</t>
        </is>
      </c>
      <c r="B293" s="1" t="n">
        <v>45090.89880787037</v>
      </c>
      <c r="C293" s="1" t="n">
        <v>46189</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46921-2023</t>
        </is>
      </c>
      <c r="B294" s="1" t="n">
        <v>45201.39996527778</v>
      </c>
      <c r="C294" s="1" t="n">
        <v>46189</v>
      </c>
      <c r="D294" t="inlineStr">
        <is>
          <t>KALMAR LÄN</t>
        </is>
      </c>
      <c r="E294" t="inlineStr">
        <is>
          <t>VIMMERBY</t>
        </is>
      </c>
      <c r="G294" t="n">
        <v>2.6</v>
      </c>
      <c r="H294" t="n">
        <v>0</v>
      </c>
      <c r="I294" t="n">
        <v>0</v>
      </c>
      <c r="J294" t="n">
        <v>0</v>
      </c>
      <c r="K294" t="n">
        <v>0</v>
      </c>
      <c r="L294" t="n">
        <v>0</v>
      </c>
      <c r="M294" t="n">
        <v>0</v>
      </c>
      <c r="N294" t="n">
        <v>0</v>
      </c>
      <c r="O294" t="n">
        <v>0</v>
      </c>
      <c r="P294" t="n">
        <v>0</v>
      </c>
      <c r="Q294" t="n">
        <v>0</v>
      </c>
      <c r="R294" s="2" t="inlineStr"/>
    </row>
    <row r="295" ht="15" customHeight="1">
      <c r="A295" t="inlineStr">
        <is>
          <t>A 10837-2023</t>
        </is>
      </c>
      <c r="B295" s="1" t="n">
        <v>44991.30547453704</v>
      </c>
      <c r="C295" s="1" t="n">
        <v>46189</v>
      </c>
      <c r="D295" t="inlineStr">
        <is>
          <t>KALMAR LÄN</t>
        </is>
      </c>
      <c r="E295" t="inlineStr">
        <is>
          <t>VIMMERBY</t>
        </is>
      </c>
      <c r="G295" t="n">
        <v>7.3</v>
      </c>
      <c r="H295" t="n">
        <v>0</v>
      </c>
      <c r="I295" t="n">
        <v>0</v>
      </c>
      <c r="J295" t="n">
        <v>0</v>
      </c>
      <c r="K295" t="n">
        <v>0</v>
      </c>
      <c r="L295" t="n">
        <v>0</v>
      </c>
      <c r="M295" t="n">
        <v>0</v>
      </c>
      <c r="N295" t="n">
        <v>0</v>
      </c>
      <c r="O295" t="n">
        <v>0</v>
      </c>
      <c r="P295" t="n">
        <v>0</v>
      </c>
      <c r="Q295" t="n">
        <v>0</v>
      </c>
      <c r="R295" s="2" t="inlineStr"/>
    </row>
    <row r="296" ht="15" customHeight="1">
      <c r="A296" t="inlineStr">
        <is>
          <t>A 10838-2023</t>
        </is>
      </c>
      <c r="B296" s="1" t="n">
        <v>44991</v>
      </c>
      <c r="C296" s="1" t="n">
        <v>46189</v>
      </c>
      <c r="D296" t="inlineStr">
        <is>
          <t>KALMAR LÄN</t>
        </is>
      </c>
      <c r="E296" t="inlineStr">
        <is>
          <t>VIMMERBY</t>
        </is>
      </c>
      <c r="G296" t="n">
        <v>5.1</v>
      </c>
      <c r="H296" t="n">
        <v>0</v>
      </c>
      <c r="I296" t="n">
        <v>0</v>
      </c>
      <c r="J296" t="n">
        <v>0</v>
      </c>
      <c r="K296" t="n">
        <v>0</v>
      </c>
      <c r="L296" t="n">
        <v>0</v>
      </c>
      <c r="M296" t="n">
        <v>0</v>
      </c>
      <c r="N296" t="n">
        <v>0</v>
      </c>
      <c r="O296" t="n">
        <v>0</v>
      </c>
      <c r="P296" t="n">
        <v>0</v>
      </c>
      <c r="Q296" t="n">
        <v>0</v>
      </c>
      <c r="R296" s="2" t="inlineStr"/>
    </row>
    <row r="297" ht="15" customHeight="1">
      <c r="A297" t="inlineStr">
        <is>
          <t>A 30912-2023</t>
        </is>
      </c>
      <c r="B297" s="1" t="n">
        <v>45113.41633101852</v>
      </c>
      <c r="C297" s="1" t="n">
        <v>46189</v>
      </c>
      <c r="D297" t="inlineStr">
        <is>
          <t>KALMAR LÄN</t>
        </is>
      </c>
      <c r="E297" t="inlineStr">
        <is>
          <t>VIMMERBY</t>
        </is>
      </c>
      <c r="G297" t="n">
        <v>5</v>
      </c>
      <c r="H297" t="n">
        <v>0</v>
      </c>
      <c r="I297" t="n">
        <v>0</v>
      </c>
      <c r="J297" t="n">
        <v>0</v>
      </c>
      <c r="K297" t="n">
        <v>0</v>
      </c>
      <c r="L297" t="n">
        <v>0</v>
      </c>
      <c r="M297" t="n">
        <v>0</v>
      </c>
      <c r="N297" t="n">
        <v>0</v>
      </c>
      <c r="O297" t="n">
        <v>0</v>
      </c>
      <c r="P297" t="n">
        <v>0</v>
      </c>
      <c r="Q297" t="n">
        <v>0</v>
      </c>
      <c r="R297" s="2" t="inlineStr"/>
    </row>
    <row r="298" ht="15" customHeight="1">
      <c r="A298" t="inlineStr">
        <is>
          <t>A 55436-2023</t>
        </is>
      </c>
      <c r="B298" s="1" t="n">
        <v>45238.4328587963</v>
      </c>
      <c r="C298" s="1" t="n">
        <v>46189</v>
      </c>
      <c r="D298" t="inlineStr">
        <is>
          <t>KALMAR LÄN</t>
        </is>
      </c>
      <c r="E298" t="inlineStr">
        <is>
          <t>VIMMERBY</t>
        </is>
      </c>
      <c r="G298" t="n">
        <v>5.6</v>
      </c>
      <c r="H298" t="n">
        <v>0</v>
      </c>
      <c r="I298" t="n">
        <v>0</v>
      </c>
      <c r="J298" t="n">
        <v>0</v>
      </c>
      <c r="K298" t="n">
        <v>0</v>
      </c>
      <c r="L298" t="n">
        <v>0</v>
      </c>
      <c r="M298" t="n">
        <v>0</v>
      </c>
      <c r="N298" t="n">
        <v>0</v>
      </c>
      <c r="O298" t="n">
        <v>0</v>
      </c>
      <c r="P298" t="n">
        <v>0</v>
      </c>
      <c r="Q298" t="n">
        <v>0</v>
      </c>
      <c r="R298" s="2" t="inlineStr"/>
    </row>
    <row r="299" ht="15" customHeight="1">
      <c r="A299" t="inlineStr">
        <is>
          <t>A 21507-2023</t>
        </is>
      </c>
      <c r="B299" s="1" t="n">
        <v>45063.508125</v>
      </c>
      <c r="C299" s="1" t="n">
        <v>46189</v>
      </c>
      <c r="D299" t="inlineStr">
        <is>
          <t>KALMAR LÄN</t>
        </is>
      </c>
      <c r="E299" t="inlineStr">
        <is>
          <t>VIMMERBY</t>
        </is>
      </c>
      <c r="G299" t="n">
        <v>2.8</v>
      </c>
      <c r="H299" t="n">
        <v>0</v>
      </c>
      <c r="I299" t="n">
        <v>0</v>
      </c>
      <c r="J299" t="n">
        <v>0</v>
      </c>
      <c r="K299" t="n">
        <v>0</v>
      </c>
      <c r="L299" t="n">
        <v>0</v>
      </c>
      <c r="M299" t="n">
        <v>0</v>
      </c>
      <c r="N299" t="n">
        <v>0</v>
      </c>
      <c r="O299" t="n">
        <v>0</v>
      </c>
      <c r="P299" t="n">
        <v>0</v>
      </c>
      <c r="Q299" t="n">
        <v>0</v>
      </c>
      <c r="R299" s="2" t="inlineStr"/>
    </row>
    <row r="300" ht="15" customHeight="1">
      <c r="A300" t="inlineStr">
        <is>
          <t>A 51187-2023</t>
        </is>
      </c>
      <c r="B300" s="1" t="n">
        <v>45219.40528935185</v>
      </c>
      <c r="C300" s="1" t="n">
        <v>46189</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45560-2021</t>
        </is>
      </c>
      <c r="B301" s="1" t="n">
        <v>44440</v>
      </c>
      <c r="C301" s="1" t="n">
        <v>46189</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16622-2025</t>
        </is>
      </c>
      <c r="B302" s="1" t="n">
        <v>45754.33641203704</v>
      </c>
      <c r="C302" s="1" t="n">
        <v>46189</v>
      </c>
      <c r="D302" t="inlineStr">
        <is>
          <t>KALMAR LÄN</t>
        </is>
      </c>
      <c r="E302" t="inlineStr">
        <is>
          <t>VIMMERBY</t>
        </is>
      </c>
      <c r="G302" t="n">
        <v>1</v>
      </c>
      <c r="H302" t="n">
        <v>0</v>
      </c>
      <c r="I302" t="n">
        <v>0</v>
      </c>
      <c r="J302" t="n">
        <v>0</v>
      </c>
      <c r="K302" t="n">
        <v>0</v>
      </c>
      <c r="L302" t="n">
        <v>0</v>
      </c>
      <c r="M302" t="n">
        <v>0</v>
      </c>
      <c r="N302" t="n">
        <v>0</v>
      </c>
      <c r="O302" t="n">
        <v>0</v>
      </c>
      <c r="P302" t="n">
        <v>0</v>
      </c>
      <c r="Q302" t="n">
        <v>0</v>
      </c>
      <c r="R302" s="2" t="inlineStr"/>
    </row>
    <row r="303" ht="15" customHeight="1">
      <c r="A303" t="inlineStr">
        <is>
          <t>A 31340-2023</t>
        </is>
      </c>
      <c r="B303" s="1" t="n">
        <v>45114.47895833333</v>
      </c>
      <c r="C303" s="1" t="n">
        <v>46189</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29168-2024</t>
        </is>
      </c>
      <c r="B304" s="1" t="n">
        <v>45482.49870370371</v>
      </c>
      <c r="C304" s="1" t="n">
        <v>46189</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29186-2024</t>
        </is>
      </c>
      <c r="B305" s="1" t="n">
        <v>45482.54844907407</v>
      </c>
      <c r="C305" s="1" t="n">
        <v>46189</v>
      </c>
      <c r="D305" t="inlineStr">
        <is>
          <t>KALMAR LÄN</t>
        </is>
      </c>
      <c r="E305" t="inlineStr">
        <is>
          <t>VIMMERBY</t>
        </is>
      </c>
      <c r="G305" t="n">
        <v>2.6</v>
      </c>
      <c r="H305" t="n">
        <v>0</v>
      </c>
      <c r="I305" t="n">
        <v>0</v>
      </c>
      <c r="J305" t="n">
        <v>0</v>
      </c>
      <c r="K305" t="n">
        <v>0</v>
      </c>
      <c r="L305" t="n">
        <v>0</v>
      </c>
      <c r="M305" t="n">
        <v>0</v>
      </c>
      <c r="N305" t="n">
        <v>0</v>
      </c>
      <c r="O305" t="n">
        <v>0</v>
      </c>
      <c r="P305" t="n">
        <v>0</v>
      </c>
      <c r="Q305" t="n">
        <v>0</v>
      </c>
      <c r="R305" s="2" t="inlineStr"/>
    </row>
    <row r="306" ht="15" customHeight="1">
      <c r="A306" t="inlineStr">
        <is>
          <t>A 35895-2024</t>
        </is>
      </c>
      <c r="B306" s="1" t="n">
        <v>45533.38870370371</v>
      </c>
      <c r="C306" s="1" t="n">
        <v>46189</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12590-2025</t>
        </is>
      </c>
      <c r="B307" s="1" t="n">
        <v>45732.79925925926</v>
      </c>
      <c r="C307" s="1" t="n">
        <v>46189</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30318-2023</t>
        </is>
      </c>
      <c r="B308" s="1" t="n">
        <v>45111.30824074074</v>
      </c>
      <c r="C308" s="1" t="n">
        <v>46189</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43186-2021</t>
        </is>
      </c>
      <c r="B309" s="1" t="n">
        <v>44431.84840277778</v>
      </c>
      <c r="C309" s="1" t="n">
        <v>46189</v>
      </c>
      <c r="D309" t="inlineStr">
        <is>
          <t>KALMAR LÄN</t>
        </is>
      </c>
      <c r="E309" t="inlineStr">
        <is>
          <t>VIMMERBY</t>
        </is>
      </c>
      <c r="G309" t="n">
        <v>0.6</v>
      </c>
      <c r="H309" t="n">
        <v>0</v>
      </c>
      <c r="I309" t="n">
        <v>0</v>
      </c>
      <c r="J309" t="n">
        <v>0</v>
      </c>
      <c r="K309" t="n">
        <v>0</v>
      </c>
      <c r="L309" t="n">
        <v>0</v>
      </c>
      <c r="M309" t="n">
        <v>0</v>
      </c>
      <c r="N309" t="n">
        <v>0</v>
      </c>
      <c r="O309" t="n">
        <v>0</v>
      </c>
      <c r="P309" t="n">
        <v>0</v>
      </c>
      <c r="Q309" t="n">
        <v>0</v>
      </c>
      <c r="R309" s="2" t="inlineStr"/>
    </row>
    <row r="310" ht="15" customHeight="1">
      <c r="A310" t="inlineStr">
        <is>
          <t>A 60230-2022</t>
        </is>
      </c>
      <c r="B310" s="1" t="n">
        <v>44910</v>
      </c>
      <c r="C310" s="1" t="n">
        <v>46189</v>
      </c>
      <c r="D310" t="inlineStr">
        <is>
          <t>KALMAR LÄN</t>
        </is>
      </c>
      <c r="E310" t="inlineStr">
        <is>
          <t>VIMMERBY</t>
        </is>
      </c>
      <c r="G310" t="n">
        <v>11.3</v>
      </c>
      <c r="H310" t="n">
        <v>0</v>
      </c>
      <c r="I310" t="n">
        <v>0</v>
      </c>
      <c r="J310" t="n">
        <v>0</v>
      </c>
      <c r="K310" t="n">
        <v>0</v>
      </c>
      <c r="L310" t="n">
        <v>0</v>
      </c>
      <c r="M310" t="n">
        <v>0</v>
      </c>
      <c r="N310" t="n">
        <v>0</v>
      </c>
      <c r="O310" t="n">
        <v>0</v>
      </c>
      <c r="P310" t="n">
        <v>0</v>
      </c>
      <c r="Q310" t="n">
        <v>0</v>
      </c>
      <c r="R310" s="2" t="inlineStr"/>
    </row>
    <row r="311" ht="15" customHeight="1">
      <c r="A311" t="inlineStr">
        <is>
          <t>A 5925-2022</t>
        </is>
      </c>
      <c r="B311" s="1" t="n">
        <v>44598.7384837963</v>
      </c>
      <c r="C311" s="1" t="n">
        <v>46189</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845-2023</t>
        </is>
      </c>
      <c r="B312" s="1" t="n">
        <v>44931</v>
      </c>
      <c r="C312" s="1" t="n">
        <v>46189</v>
      </c>
      <c r="D312" t="inlineStr">
        <is>
          <t>KALMAR LÄN</t>
        </is>
      </c>
      <c r="E312" t="inlineStr">
        <is>
          <t>VIMMERBY</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16119-2023</t>
        </is>
      </c>
      <c r="B313" s="1" t="n">
        <v>45027.59450231482</v>
      </c>
      <c r="C313" s="1" t="n">
        <v>46189</v>
      </c>
      <c r="D313" t="inlineStr">
        <is>
          <t>KALMAR LÄN</t>
        </is>
      </c>
      <c r="E313" t="inlineStr">
        <is>
          <t>VIMMERBY</t>
        </is>
      </c>
      <c r="F313" t="inlineStr">
        <is>
          <t>Kommuner</t>
        </is>
      </c>
      <c r="G313" t="n">
        <v>4.4</v>
      </c>
      <c r="H313" t="n">
        <v>0</v>
      </c>
      <c r="I313" t="n">
        <v>0</v>
      </c>
      <c r="J313" t="n">
        <v>0</v>
      </c>
      <c r="K313" t="n">
        <v>0</v>
      </c>
      <c r="L313" t="n">
        <v>0</v>
      </c>
      <c r="M313" t="n">
        <v>0</v>
      </c>
      <c r="N313" t="n">
        <v>0</v>
      </c>
      <c r="O313" t="n">
        <v>0</v>
      </c>
      <c r="P313" t="n">
        <v>0</v>
      </c>
      <c r="Q313" t="n">
        <v>0</v>
      </c>
      <c r="R313" s="2" t="inlineStr"/>
    </row>
    <row r="314" ht="15" customHeight="1">
      <c r="A314" t="inlineStr">
        <is>
          <t>A 30588-2023</t>
        </is>
      </c>
      <c r="B314" s="1" t="n">
        <v>45112.33599537037</v>
      </c>
      <c r="C314" s="1" t="n">
        <v>46189</v>
      </c>
      <c r="D314" t="inlineStr">
        <is>
          <t>KALMAR LÄN</t>
        </is>
      </c>
      <c r="E314" t="inlineStr">
        <is>
          <t>VIMMERBY</t>
        </is>
      </c>
      <c r="G314" t="n">
        <v>2.7</v>
      </c>
      <c r="H314" t="n">
        <v>0</v>
      </c>
      <c r="I314" t="n">
        <v>0</v>
      </c>
      <c r="J314" t="n">
        <v>0</v>
      </c>
      <c r="K314" t="n">
        <v>0</v>
      </c>
      <c r="L314" t="n">
        <v>0</v>
      </c>
      <c r="M314" t="n">
        <v>0</v>
      </c>
      <c r="N314" t="n">
        <v>0</v>
      </c>
      <c r="O314" t="n">
        <v>0</v>
      </c>
      <c r="P314" t="n">
        <v>0</v>
      </c>
      <c r="Q314" t="n">
        <v>0</v>
      </c>
      <c r="R314" s="2" t="inlineStr"/>
    </row>
    <row r="315" ht="15" customHeight="1">
      <c r="A315" t="inlineStr">
        <is>
          <t>A 45528-2021</t>
        </is>
      </c>
      <c r="B315" s="1" t="n">
        <v>44440.60415509259</v>
      </c>
      <c r="C315" s="1" t="n">
        <v>46189</v>
      </c>
      <c r="D315" t="inlineStr">
        <is>
          <t>KALMAR LÄN</t>
        </is>
      </c>
      <c r="E315" t="inlineStr">
        <is>
          <t>VIMMERBY</t>
        </is>
      </c>
      <c r="G315" t="n">
        <v>2.2</v>
      </c>
      <c r="H315" t="n">
        <v>0</v>
      </c>
      <c r="I315" t="n">
        <v>0</v>
      </c>
      <c r="J315" t="n">
        <v>0</v>
      </c>
      <c r="K315" t="n">
        <v>0</v>
      </c>
      <c r="L315" t="n">
        <v>0</v>
      </c>
      <c r="M315" t="n">
        <v>0</v>
      </c>
      <c r="N315" t="n">
        <v>0</v>
      </c>
      <c r="O315" t="n">
        <v>0</v>
      </c>
      <c r="P315" t="n">
        <v>0</v>
      </c>
      <c r="Q315" t="n">
        <v>0</v>
      </c>
      <c r="R315" s="2" t="inlineStr"/>
    </row>
    <row r="316" ht="15" customHeight="1">
      <c r="A316" t="inlineStr">
        <is>
          <t>A 39807-2025</t>
        </is>
      </c>
      <c r="B316" s="1" t="n">
        <v>45891.50986111111</v>
      </c>
      <c r="C316" s="1" t="n">
        <v>46189</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39736-2025</t>
        </is>
      </c>
      <c r="B317" s="1" t="n">
        <v>45891</v>
      </c>
      <c r="C317" s="1" t="n">
        <v>46189</v>
      </c>
      <c r="D317" t="inlineStr">
        <is>
          <t>KALMAR LÄN</t>
        </is>
      </c>
      <c r="E317" t="inlineStr">
        <is>
          <t>VIMMERBY</t>
        </is>
      </c>
      <c r="G317" t="n">
        <v>12.8</v>
      </c>
      <c r="H317" t="n">
        <v>0</v>
      </c>
      <c r="I317" t="n">
        <v>0</v>
      </c>
      <c r="J317" t="n">
        <v>0</v>
      </c>
      <c r="K317" t="n">
        <v>0</v>
      </c>
      <c r="L317" t="n">
        <v>0</v>
      </c>
      <c r="M317" t="n">
        <v>0</v>
      </c>
      <c r="N317" t="n">
        <v>0</v>
      </c>
      <c r="O317" t="n">
        <v>0</v>
      </c>
      <c r="P317" t="n">
        <v>0</v>
      </c>
      <c r="Q317" t="n">
        <v>0</v>
      </c>
      <c r="R317" s="2" t="inlineStr"/>
    </row>
    <row r="318" ht="15" customHeight="1">
      <c r="A318" t="inlineStr">
        <is>
          <t>A 16516-2023</t>
        </is>
      </c>
      <c r="B318" s="1" t="n">
        <v>45029</v>
      </c>
      <c r="C318" s="1" t="n">
        <v>46189</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39803-2025</t>
        </is>
      </c>
      <c r="B319" s="1" t="n">
        <v>45891.50525462963</v>
      </c>
      <c r="C319" s="1" t="n">
        <v>46189</v>
      </c>
      <c r="D319" t="inlineStr">
        <is>
          <t>KALMAR LÄN</t>
        </is>
      </c>
      <c r="E319" t="inlineStr">
        <is>
          <t>VIMMERBY</t>
        </is>
      </c>
      <c r="G319" t="n">
        <v>0.5</v>
      </c>
      <c r="H319" t="n">
        <v>0</v>
      </c>
      <c r="I319" t="n">
        <v>0</v>
      </c>
      <c r="J319" t="n">
        <v>0</v>
      </c>
      <c r="K319" t="n">
        <v>0</v>
      </c>
      <c r="L319" t="n">
        <v>0</v>
      </c>
      <c r="M319" t="n">
        <v>0</v>
      </c>
      <c r="N319" t="n">
        <v>0</v>
      </c>
      <c r="O319" t="n">
        <v>0</v>
      </c>
      <c r="P319" t="n">
        <v>0</v>
      </c>
      <c r="Q319" t="n">
        <v>0</v>
      </c>
      <c r="R319" s="2" t="inlineStr"/>
    </row>
    <row r="320" ht="15" customHeight="1">
      <c r="A320" t="inlineStr">
        <is>
          <t>A 40970-2025</t>
        </is>
      </c>
      <c r="B320" s="1" t="n">
        <v>45897.88706018519</v>
      </c>
      <c r="C320" s="1" t="n">
        <v>46189</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40973-2025</t>
        </is>
      </c>
      <c r="B321" s="1" t="n">
        <v>45897.89737268518</v>
      </c>
      <c r="C321" s="1" t="n">
        <v>46189</v>
      </c>
      <c r="D321" t="inlineStr">
        <is>
          <t>KALMAR LÄN</t>
        </is>
      </c>
      <c r="E321" t="inlineStr">
        <is>
          <t>VIMMERBY</t>
        </is>
      </c>
      <c r="G321" t="n">
        <v>1.8</v>
      </c>
      <c r="H321" t="n">
        <v>0</v>
      </c>
      <c r="I321" t="n">
        <v>0</v>
      </c>
      <c r="J321" t="n">
        <v>0</v>
      </c>
      <c r="K321" t="n">
        <v>0</v>
      </c>
      <c r="L321" t="n">
        <v>0</v>
      </c>
      <c r="M321" t="n">
        <v>0</v>
      </c>
      <c r="N321" t="n">
        <v>0</v>
      </c>
      <c r="O321" t="n">
        <v>0</v>
      </c>
      <c r="P321" t="n">
        <v>0</v>
      </c>
      <c r="Q321" t="n">
        <v>0</v>
      </c>
      <c r="R321" s="2" t="inlineStr"/>
    </row>
    <row r="322" ht="15" customHeight="1">
      <c r="A322" t="inlineStr">
        <is>
          <t>A 48373-2021</t>
        </is>
      </c>
      <c r="B322" s="1" t="n">
        <v>44451</v>
      </c>
      <c r="C322" s="1" t="n">
        <v>46189</v>
      </c>
      <c r="D322" t="inlineStr">
        <is>
          <t>KALMAR LÄN</t>
        </is>
      </c>
      <c r="E322" t="inlineStr">
        <is>
          <t>VIMMERBY</t>
        </is>
      </c>
      <c r="G322" t="n">
        <v>2.2</v>
      </c>
      <c r="H322" t="n">
        <v>0</v>
      </c>
      <c r="I322" t="n">
        <v>0</v>
      </c>
      <c r="J322" t="n">
        <v>0</v>
      </c>
      <c r="K322" t="n">
        <v>0</v>
      </c>
      <c r="L322" t="n">
        <v>0</v>
      </c>
      <c r="M322" t="n">
        <v>0</v>
      </c>
      <c r="N322" t="n">
        <v>0</v>
      </c>
      <c r="O322" t="n">
        <v>0</v>
      </c>
      <c r="P322" t="n">
        <v>0</v>
      </c>
      <c r="Q322" t="n">
        <v>0</v>
      </c>
      <c r="R322" s="2" t="inlineStr"/>
    </row>
    <row r="323" ht="15" customHeight="1">
      <c r="A323" t="inlineStr">
        <is>
          <t>A 7485-2024</t>
        </is>
      </c>
      <c r="B323" s="1" t="n">
        <v>45346.67184027778</v>
      </c>
      <c r="C323" s="1" t="n">
        <v>46189</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6574-2023</t>
        </is>
      </c>
      <c r="B324" s="1" t="n">
        <v>44966</v>
      </c>
      <c r="C324" s="1" t="n">
        <v>46189</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40971-2025</t>
        </is>
      </c>
      <c r="B325" s="1" t="n">
        <v>45897.88836805556</v>
      </c>
      <c r="C325" s="1" t="n">
        <v>46189</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41591-2025</t>
        </is>
      </c>
      <c r="B326" s="1" t="n">
        <v>45901.6327662037</v>
      </c>
      <c r="C326" s="1" t="n">
        <v>46189</v>
      </c>
      <c r="D326" t="inlineStr">
        <is>
          <t>KALMAR LÄN</t>
        </is>
      </c>
      <c r="E326" t="inlineStr">
        <is>
          <t>VIMMERBY</t>
        </is>
      </c>
      <c r="G326" t="n">
        <v>0.5</v>
      </c>
      <c r="H326" t="n">
        <v>0</v>
      </c>
      <c r="I326" t="n">
        <v>0</v>
      </c>
      <c r="J326" t="n">
        <v>0</v>
      </c>
      <c r="K326" t="n">
        <v>0</v>
      </c>
      <c r="L326" t="n">
        <v>0</v>
      </c>
      <c r="M326" t="n">
        <v>0</v>
      </c>
      <c r="N326" t="n">
        <v>0</v>
      </c>
      <c r="O326" t="n">
        <v>0</v>
      </c>
      <c r="P326" t="n">
        <v>0</v>
      </c>
      <c r="Q326" t="n">
        <v>0</v>
      </c>
      <c r="R326" s="2" t="inlineStr"/>
    </row>
    <row r="327" ht="15" customHeight="1">
      <c r="A327" t="inlineStr">
        <is>
          <t>A 41589-2025</t>
        </is>
      </c>
      <c r="B327" s="1" t="n">
        <v>45901.63219907408</v>
      </c>
      <c r="C327" s="1" t="n">
        <v>46189</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58750-2022</t>
        </is>
      </c>
      <c r="B328" s="1" t="n">
        <v>44903.33363425926</v>
      </c>
      <c r="C328" s="1" t="n">
        <v>46189</v>
      </c>
      <c r="D328" t="inlineStr">
        <is>
          <t>KALMAR LÄN</t>
        </is>
      </c>
      <c r="E328" t="inlineStr">
        <is>
          <t>VIMMERBY</t>
        </is>
      </c>
      <c r="G328" t="n">
        <v>3.3</v>
      </c>
      <c r="H328" t="n">
        <v>0</v>
      </c>
      <c r="I328" t="n">
        <v>0</v>
      </c>
      <c r="J328" t="n">
        <v>0</v>
      </c>
      <c r="K328" t="n">
        <v>0</v>
      </c>
      <c r="L328" t="n">
        <v>0</v>
      </c>
      <c r="M328" t="n">
        <v>0</v>
      </c>
      <c r="N328" t="n">
        <v>0</v>
      </c>
      <c r="O328" t="n">
        <v>0</v>
      </c>
      <c r="P328" t="n">
        <v>0</v>
      </c>
      <c r="Q328" t="n">
        <v>0</v>
      </c>
      <c r="R328" s="2" t="inlineStr"/>
    </row>
    <row r="329" ht="15" customHeight="1">
      <c r="A329" t="inlineStr">
        <is>
          <t>A 34090-2025</t>
        </is>
      </c>
      <c r="B329" s="1" t="n">
        <v>45845</v>
      </c>
      <c r="C329" s="1" t="n">
        <v>46189</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2260-2022</t>
        </is>
      </c>
      <c r="B330" s="1" t="n">
        <v>44578.62943287037</v>
      </c>
      <c r="C330" s="1" t="n">
        <v>46189</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50860-2022</t>
        </is>
      </c>
      <c r="B331" s="1" t="n">
        <v>44867</v>
      </c>
      <c r="C331" s="1" t="n">
        <v>46189</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53483-2022</t>
        </is>
      </c>
      <c r="B332" s="1" t="n">
        <v>44879.55940972222</v>
      </c>
      <c r="C332" s="1" t="n">
        <v>46189</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58962-2022</t>
        </is>
      </c>
      <c r="B333" s="1" t="n">
        <v>44903</v>
      </c>
      <c r="C333" s="1" t="n">
        <v>46189</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58967-2022</t>
        </is>
      </c>
      <c r="B334" s="1" t="n">
        <v>44896</v>
      </c>
      <c r="C334" s="1" t="n">
        <v>46189</v>
      </c>
      <c r="D334" t="inlineStr">
        <is>
          <t>KALMAR LÄN</t>
        </is>
      </c>
      <c r="E334" t="inlineStr">
        <is>
          <t>VIMMERBY</t>
        </is>
      </c>
      <c r="G334" t="n">
        <v>5</v>
      </c>
      <c r="H334" t="n">
        <v>0</v>
      </c>
      <c r="I334" t="n">
        <v>0</v>
      </c>
      <c r="J334" t="n">
        <v>0</v>
      </c>
      <c r="K334" t="n">
        <v>0</v>
      </c>
      <c r="L334" t="n">
        <v>0</v>
      </c>
      <c r="M334" t="n">
        <v>0</v>
      </c>
      <c r="N334" t="n">
        <v>0</v>
      </c>
      <c r="O334" t="n">
        <v>0</v>
      </c>
      <c r="P334" t="n">
        <v>0</v>
      </c>
      <c r="Q334" t="n">
        <v>0</v>
      </c>
      <c r="R334" s="2" t="inlineStr"/>
    </row>
    <row r="335" ht="15" customHeight="1">
      <c r="A335" t="inlineStr">
        <is>
          <t>A 57682-2022</t>
        </is>
      </c>
      <c r="B335" s="1" t="n">
        <v>44890</v>
      </c>
      <c r="C335" s="1" t="n">
        <v>46189</v>
      </c>
      <c r="D335" t="inlineStr">
        <is>
          <t>KALMAR LÄN</t>
        </is>
      </c>
      <c r="E335" t="inlineStr">
        <is>
          <t>VIMMERBY</t>
        </is>
      </c>
      <c r="G335" t="n">
        <v>1.5</v>
      </c>
      <c r="H335" t="n">
        <v>0</v>
      </c>
      <c r="I335" t="n">
        <v>0</v>
      </c>
      <c r="J335" t="n">
        <v>0</v>
      </c>
      <c r="K335" t="n">
        <v>0</v>
      </c>
      <c r="L335" t="n">
        <v>0</v>
      </c>
      <c r="M335" t="n">
        <v>0</v>
      </c>
      <c r="N335" t="n">
        <v>0</v>
      </c>
      <c r="O335" t="n">
        <v>0</v>
      </c>
      <c r="P335" t="n">
        <v>0</v>
      </c>
      <c r="Q335" t="n">
        <v>0</v>
      </c>
      <c r="R335" s="2" t="inlineStr"/>
    </row>
    <row r="336" ht="15" customHeight="1">
      <c r="A336" t="inlineStr">
        <is>
          <t>A 38604-2025</t>
        </is>
      </c>
      <c r="B336" s="1" t="n">
        <v>45884.50613425926</v>
      </c>
      <c r="C336" s="1" t="n">
        <v>46189</v>
      </c>
      <c r="D336" t="inlineStr">
        <is>
          <t>KALMAR LÄN</t>
        </is>
      </c>
      <c r="E336" t="inlineStr">
        <is>
          <t>VIMMERBY</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4076-2022</t>
        </is>
      </c>
      <c r="B337" s="1" t="n">
        <v>44588.37998842593</v>
      </c>
      <c r="C337" s="1" t="n">
        <v>46189</v>
      </c>
      <c r="D337" t="inlineStr">
        <is>
          <t>KALMAR LÄN</t>
        </is>
      </c>
      <c r="E337" t="inlineStr">
        <is>
          <t>VIMMERBY</t>
        </is>
      </c>
      <c r="G337" t="n">
        <v>3</v>
      </c>
      <c r="H337" t="n">
        <v>0</v>
      </c>
      <c r="I337" t="n">
        <v>0</v>
      </c>
      <c r="J337" t="n">
        <v>0</v>
      </c>
      <c r="K337" t="n">
        <v>0</v>
      </c>
      <c r="L337" t="n">
        <v>0</v>
      </c>
      <c r="M337" t="n">
        <v>0</v>
      </c>
      <c r="N337" t="n">
        <v>0</v>
      </c>
      <c r="O337" t="n">
        <v>0</v>
      </c>
      <c r="P337" t="n">
        <v>0</v>
      </c>
      <c r="Q337" t="n">
        <v>0</v>
      </c>
      <c r="R337" s="2" t="inlineStr"/>
    </row>
    <row r="338" ht="15" customHeight="1">
      <c r="A338" t="inlineStr">
        <is>
          <t>A 4122-2022</t>
        </is>
      </c>
      <c r="B338" s="1" t="n">
        <v>44588</v>
      </c>
      <c r="C338" s="1" t="n">
        <v>46189</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9624-2024</t>
        </is>
      </c>
      <c r="B339" s="1" t="n">
        <v>45361.90282407407</v>
      </c>
      <c r="C339" s="1" t="n">
        <v>46189</v>
      </c>
      <c r="D339" t="inlineStr">
        <is>
          <t>KALMAR LÄN</t>
        </is>
      </c>
      <c r="E339" t="inlineStr">
        <is>
          <t>VIMMERBY</t>
        </is>
      </c>
      <c r="G339" t="n">
        <v>3.8</v>
      </c>
      <c r="H339" t="n">
        <v>0</v>
      </c>
      <c r="I339" t="n">
        <v>0</v>
      </c>
      <c r="J339" t="n">
        <v>0</v>
      </c>
      <c r="K339" t="n">
        <v>0</v>
      </c>
      <c r="L339" t="n">
        <v>0</v>
      </c>
      <c r="M339" t="n">
        <v>0</v>
      </c>
      <c r="N339" t="n">
        <v>0</v>
      </c>
      <c r="O339" t="n">
        <v>0</v>
      </c>
      <c r="P339" t="n">
        <v>0</v>
      </c>
      <c r="Q339" t="n">
        <v>0</v>
      </c>
      <c r="R339" s="2" t="inlineStr"/>
    </row>
    <row r="340" ht="15" customHeight="1">
      <c r="A340" t="inlineStr">
        <is>
          <t>A 52327-2023</t>
        </is>
      </c>
      <c r="B340" s="1" t="n">
        <v>45224.6515162037</v>
      </c>
      <c r="C340" s="1" t="n">
        <v>46189</v>
      </c>
      <c r="D340" t="inlineStr">
        <is>
          <t>KALMAR LÄN</t>
        </is>
      </c>
      <c r="E340" t="inlineStr">
        <is>
          <t>VIMMERBY</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29616-2022</t>
        </is>
      </c>
      <c r="B341" s="1" t="n">
        <v>44754</v>
      </c>
      <c r="C341" s="1" t="n">
        <v>46189</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28403-2023</t>
        </is>
      </c>
      <c r="B342" s="1" t="n">
        <v>45100.85270833333</v>
      </c>
      <c r="C342" s="1" t="n">
        <v>46189</v>
      </c>
      <c r="D342" t="inlineStr">
        <is>
          <t>KALMAR LÄN</t>
        </is>
      </c>
      <c r="E342" t="inlineStr">
        <is>
          <t>VIMMERBY</t>
        </is>
      </c>
      <c r="G342" t="n">
        <v>1.8</v>
      </c>
      <c r="H342" t="n">
        <v>0</v>
      </c>
      <c r="I342" t="n">
        <v>0</v>
      </c>
      <c r="J342" t="n">
        <v>0</v>
      </c>
      <c r="K342" t="n">
        <v>0</v>
      </c>
      <c r="L342" t="n">
        <v>0</v>
      </c>
      <c r="M342" t="n">
        <v>0</v>
      </c>
      <c r="N342" t="n">
        <v>0</v>
      </c>
      <c r="O342" t="n">
        <v>0</v>
      </c>
      <c r="P342" t="n">
        <v>0</v>
      </c>
      <c r="Q342" t="n">
        <v>0</v>
      </c>
      <c r="R342" s="2" t="inlineStr"/>
    </row>
    <row r="343" ht="15" customHeight="1">
      <c r="A343" t="inlineStr">
        <is>
          <t>A 17511-2024</t>
        </is>
      </c>
      <c r="B343" s="1" t="n">
        <v>45415.57682870371</v>
      </c>
      <c r="C343" s="1" t="n">
        <v>46189</v>
      </c>
      <c r="D343" t="inlineStr">
        <is>
          <t>KALMAR LÄN</t>
        </is>
      </c>
      <c r="E343" t="inlineStr">
        <is>
          <t>VIMMERBY</t>
        </is>
      </c>
      <c r="G343" t="n">
        <v>5.3</v>
      </c>
      <c r="H343" t="n">
        <v>0</v>
      </c>
      <c r="I343" t="n">
        <v>0</v>
      </c>
      <c r="J343" t="n">
        <v>0</v>
      </c>
      <c r="K343" t="n">
        <v>0</v>
      </c>
      <c r="L343" t="n">
        <v>0</v>
      </c>
      <c r="M343" t="n">
        <v>0</v>
      </c>
      <c r="N343" t="n">
        <v>0</v>
      </c>
      <c r="O343" t="n">
        <v>0</v>
      </c>
      <c r="P343" t="n">
        <v>0</v>
      </c>
      <c r="Q343" t="n">
        <v>0</v>
      </c>
      <c r="R343" s="2" t="inlineStr"/>
    </row>
    <row r="344" ht="15" customHeight="1">
      <c r="A344" t="inlineStr">
        <is>
          <t>A 66022-2021</t>
        </is>
      </c>
      <c r="B344" s="1" t="n">
        <v>44517</v>
      </c>
      <c r="C344" s="1" t="n">
        <v>46189</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30070-2023</t>
        </is>
      </c>
      <c r="B345" s="1" t="n">
        <v>45110.4275</v>
      </c>
      <c r="C345" s="1" t="n">
        <v>46189</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44091-2025</t>
        </is>
      </c>
      <c r="B346" s="1" t="n">
        <v>45915.55950231481</v>
      </c>
      <c r="C346" s="1" t="n">
        <v>46189</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44095-2025</t>
        </is>
      </c>
      <c r="B347" s="1" t="n">
        <v>45915.56430555556</v>
      </c>
      <c r="C347" s="1" t="n">
        <v>46189</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46078-2023</t>
        </is>
      </c>
      <c r="B348" s="1" t="n">
        <v>45196</v>
      </c>
      <c r="C348" s="1" t="n">
        <v>46189</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7643-2022</t>
        </is>
      </c>
      <c r="B349" s="1" t="n">
        <v>44607</v>
      </c>
      <c r="C349" s="1" t="n">
        <v>46189</v>
      </c>
      <c r="D349" t="inlineStr">
        <is>
          <t>KALMAR LÄN</t>
        </is>
      </c>
      <c r="E349" t="inlineStr">
        <is>
          <t>VIMMERBY</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3494-2023</t>
        </is>
      </c>
      <c r="B350" s="1" t="n">
        <v>44949</v>
      </c>
      <c r="C350" s="1" t="n">
        <v>46189</v>
      </c>
      <c r="D350" t="inlineStr">
        <is>
          <t>KALMAR LÄN</t>
        </is>
      </c>
      <c r="E350" t="inlineStr">
        <is>
          <t>VIMMERBY</t>
        </is>
      </c>
      <c r="F350" t="inlineStr">
        <is>
          <t>Kyrkan</t>
        </is>
      </c>
      <c r="G350" t="n">
        <v>0.8</v>
      </c>
      <c r="H350" t="n">
        <v>0</v>
      </c>
      <c r="I350" t="n">
        <v>0</v>
      </c>
      <c r="J350" t="n">
        <v>0</v>
      </c>
      <c r="K350" t="n">
        <v>0</v>
      </c>
      <c r="L350" t="n">
        <v>0</v>
      </c>
      <c r="M350" t="n">
        <v>0</v>
      </c>
      <c r="N350" t="n">
        <v>0</v>
      </c>
      <c r="O350" t="n">
        <v>0</v>
      </c>
      <c r="P350" t="n">
        <v>0</v>
      </c>
      <c r="Q350" t="n">
        <v>0</v>
      </c>
      <c r="R350" s="2" t="inlineStr"/>
    </row>
    <row r="351" ht="15" customHeight="1">
      <c r="A351" t="inlineStr">
        <is>
          <t>A 32633-2023</t>
        </is>
      </c>
      <c r="B351" s="1" t="n">
        <v>45121.58699074074</v>
      </c>
      <c r="C351" s="1" t="n">
        <v>46189</v>
      </c>
      <c r="D351" t="inlineStr">
        <is>
          <t>KALMAR LÄN</t>
        </is>
      </c>
      <c r="E351" t="inlineStr">
        <is>
          <t>VIMMERBY</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43601-2024</t>
        </is>
      </c>
      <c r="B352" s="1" t="n">
        <v>45569.44684027778</v>
      </c>
      <c r="C352" s="1" t="n">
        <v>46189</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13813-2024</t>
        </is>
      </c>
      <c r="B353" s="1" t="n">
        <v>45391.41310185185</v>
      </c>
      <c r="C353" s="1" t="n">
        <v>46189</v>
      </c>
      <c r="D353" t="inlineStr">
        <is>
          <t>KALMAR LÄN</t>
        </is>
      </c>
      <c r="E353" t="inlineStr">
        <is>
          <t>VIMMERBY</t>
        </is>
      </c>
      <c r="G353" t="n">
        <v>0.4</v>
      </c>
      <c r="H353" t="n">
        <v>0</v>
      </c>
      <c r="I353" t="n">
        <v>0</v>
      </c>
      <c r="J353" t="n">
        <v>0</v>
      </c>
      <c r="K353" t="n">
        <v>0</v>
      </c>
      <c r="L353" t="n">
        <v>0</v>
      </c>
      <c r="M353" t="n">
        <v>0</v>
      </c>
      <c r="N353" t="n">
        <v>0</v>
      </c>
      <c r="O353" t="n">
        <v>0</v>
      </c>
      <c r="P353" t="n">
        <v>0</v>
      </c>
      <c r="Q353" t="n">
        <v>0</v>
      </c>
      <c r="R353" s="2" t="inlineStr"/>
    </row>
    <row r="354" ht="15" customHeight="1">
      <c r="A354" t="inlineStr">
        <is>
          <t>A 25234-2023</t>
        </is>
      </c>
      <c r="B354" s="1" t="n">
        <v>45086.63194444445</v>
      </c>
      <c r="C354" s="1" t="n">
        <v>46189</v>
      </c>
      <c r="D354" t="inlineStr">
        <is>
          <t>KALMAR LÄN</t>
        </is>
      </c>
      <c r="E354" t="inlineStr">
        <is>
          <t>VIMMERBY</t>
        </is>
      </c>
      <c r="G354" t="n">
        <v>2.1</v>
      </c>
      <c r="H354" t="n">
        <v>0</v>
      </c>
      <c r="I354" t="n">
        <v>0</v>
      </c>
      <c r="J354" t="n">
        <v>0</v>
      </c>
      <c r="K354" t="n">
        <v>0</v>
      </c>
      <c r="L354" t="n">
        <v>0</v>
      </c>
      <c r="M354" t="n">
        <v>0</v>
      </c>
      <c r="N354" t="n">
        <v>0</v>
      </c>
      <c r="O354" t="n">
        <v>0</v>
      </c>
      <c r="P354" t="n">
        <v>0</v>
      </c>
      <c r="Q354" t="n">
        <v>0</v>
      </c>
      <c r="R354" s="2" t="inlineStr"/>
    </row>
    <row r="355" ht="15" customHeight="1">
      <c r="A355" t="inlineStr">
        <is>
          <t>A 25236-2023</t>
        </is>
      </c>
      <c r="B355" s="1" t="n">
        <v>45086.63334490741</v>
      </c>
      <c r="C355" s="1" t="n">
        <v>46189</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25244-2023</t>
        </is>
      </c>
      <c r="B356" s="1" t="n">
        <v>45086</v>
      </c>
      <c r="C356" s="1" t="n">
        <v>46189</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23341-2022</t>
        </is>
      </c>
      <c r="B357" s="1" t="n">
        <v>44720.53898148148</v>
      </c>
      <c r="C357" s="1" t="n">
        <v>46189</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71793-2021</t>
        </is>
      </c>
      <c r="B358" s="1" t="n">
        <v>44539</v>
      </c>
      <c r="C358" s="1" t="n">
        <v>46189</v>
      </c>
      <c r="D358" t="inlineStr">
        <is>
          <t>KALMAR LÄN</t>
        </is>
      </c>
      <c r="E358" t="inlineStr">
        <is>
          <t>VIMMERBY</t>
        </is>
      </c>
      <c r="G358" t="n">
        <v>2.7</v>
      </c>
      <c r="H358" t="n">
        <v>0</v>
      </c>
      <c r="I358" t="n">
        <v>0</v>
      </c>
      <c r="J358" t="n">
        <v>0</v>
      </c>
      <c r="K358" t="n">
        <v>0</v>
      </c>
      <c r="L358" t="n">
        <v>0</v>
      </c>
      <c r="M358" t="n">
        <v>0</v>
      </c>
      <c r="N358" t="n">
        <v>0</v>
      </c>
      <c r="O358" t="n">
        <v>0</v>
      </c>
      <c r="P358" t="n">
        <v>0</v>
      </c>
      <c r="Q358" t="n">
        <v>0</v>
      </c>
      <c r="R358" s="2" t="inlineStr"/>
    </row>
    <row r="359" ht="15" customHeight="1">
      <c r="A359" t="inlineStr">
        <is>
          <t>A 73938-2021</t>
        </is>
      </c>
      <c r="B359" s="1" t="n">
        <v>44553</v>
      </c>
      <c r="C359" s="1" t="n">
        <v>46189</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6069-2023</t>
        </is>
      </c>
      <c r="B360" s="1" t="n">
        <v>44964.5115162037</v>
      </c>
      <c r="C360" s="1" t="n">
        <v>46189</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47227-2025</t>
        </is>
      </c>
      <c r="B361" s="1" t="n">
        <v>45930.39769675926</v>
      </c>
      <c r="C361" s="1" t="n">
        <v>46189</v>
      </c>
      <c r="D361" t="inlineStr">
        <is>
          <t>KALMAR LÄN</t>
        </is>
      </c>
      <c r="E361" t="inlineStr">
        <is>
          <t>VIMMERBY</t>
        </is>
      </c>
      <c r="G361" t="n">
        <v>1.3</v>
      </c>
      <c r="H361" t="n">
        <v>0</v>
      </c>
      <c r="I361" t="n">
        <v>0</v>
      </c>
      <c r="J361" t="n">
        <v>0</v>
      </c>
      <c r="K361" t="n">
        <v>0</v>
      </c>
      <c r="L361" t="n">
        <v>0</v>
      </c>
      <c r="M361" t="n">
        <v>0</v>
      </c>
      <c r="N361" t="n">
        <v>0</v>
      </c>
      <c r="O361" t="n">
        <v>0</v>
      </c>
      <c r="P361" t="n">
        <v>0</v>
      </c>
      <c r="Q361" t="n">
        <v>0</v>
      </c>
      <c r="R361" s="2" t="inlineStr"/>
    </row>
    <row r="362" ht="15" customHeight="1">
      <c r="A362" t="inlineStr">
        <is>
          <t>A 50995-2022</t>
        </is>
      </c>
      <c r="B362" s="1" t="n">
        <v>44867</v>
      </c>
      <c r="C362" s="1" t="n">
        <v>46189</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27122-2023</t>
        </is>
      </c>
      <c r="B363" s="1" t="n">
        <v>45096.45247685185</v>
      </c>
      <c r="C363" s="1" t="n">
        <v>46189</v>
      </c>
      <c r="D363" t="inlineStr">
        <is>
          <t>KALMAR LÄN</t>
        </is>
      </c>
      <c r="E363" t="inlineStr">
        <is>
          <t>VIMMERBY</t>
        </is>
      </c>
      <c r="G363" t="n">
        <v>1.7</v>
      </c>
      <c r="H363" t="n">
        <v>0</v>
      </c>
      <c r="I363" t="n">
        <v>0</v>
      </c>
      <c r="J363" t="n">
        <v>0</v>
      </c>
      <c r="K363" t="n">
        <v>0</v>
      </c>
      <c r="L363" t="n">
        <v>0</v>
      </c>
      <c r="M363" t="n">
        <v>0</v>
      </c>
      <c r="N363" t="n">
        <v>0</v>
      </c>
      <c r="O363" t="n">
        <v>0</v>
      </c>
      <c r="P363" t="n">
        <v>0</v>
      </c>
      <c r="Q363" t="n">
        <v>0</v>
      </c>
      <c r="R363" s="2" t="inlineStr"/>
    </row>
    <row r="364" ht="15" customHeight="1">
      <c r="A364" t="inlineStr">
        <is>
          <t>A 30402-2023</t>
        </is>
      </c>
      <c r="B364" s="1" t="n">
        <v>45111.48395833333</v>
      </c>
      <c r="C364" s="1" t="n">
        <v>46189</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47842-2024</t>
        </is>
      </c>
      <c r="B365" s="1" t="n">
        <v>45588.65545138889</v>
      </c>
      <c r="C365" s="1" t="n">
        <v>46189</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6857-2023</t>
        </is>
      </c>
      <c r="B366" s="1" t="n">
        <v>44967.45122685185</v>
      </c>
      <c r="C366" s="1" t="n">
        <v>46189</v>
      </c>
      <c r="D366" t="inlineStr">
        <is>
          <t>KALMAR LÄN</t>
        </is>
      </c>
      <c r="E366" t="inlineStr">
        <is>
          <t>VIMMERBY</t>
        </is>
      </c>
      <c r="G366" t="n">
        <v>2.1</v>
      </c>
      <c r="H366" t="n">
        <v>0</v>
      </c>
      <c r="I366" t="n">
        <v>0</v>
      </c>
      <c r="J366" t="n">
        <v>0</v>
      </c>
      <c r="K366" t="n">
        <v>0</v>
      </c>
      <c r="L366" t="n">
        <v>0</v>
      </c>
      <c r="M366" t="n">
        <v>0</v>
      </c>
      <c r="N366" t="n">
        <v>0</v>
      </c>
      <c r="O366" t="n">
        <v>0</v>
      </c>
      <c r="P366" t="n">
        <v>0</v>
      </c>
      <c r="Q366" t="n">
        <v>0</v>
      </c>
      <c r="R366" s="2" t="inlineStr"/>
    </row>
    <row r="367" ht="15" customHeight="1">
      <c r="A367" t="inlineStr">
        <is>
          <t>A 46224-2024</t>
        </is>
      </c>
      <c r="B367" s="1" t="n">
        <v>45581.57016203704</v>
      </c>
      <c r="C367" s="1" t="n">
        <v>46189</v>
      </c>
      <c r="D367" t="inlineStr">
        <is>
          <t>KALMAR LÄN</t>
        </is>
      </c>
      <c r="E367" t="inlineStr">
        <is>
          <t>VIMMERBY</t>
        </is>
      </c>
      <c r="G367" t="n">
        <v>3.1</v>
      </c>
      <c r="H367" t="n">
        <v>0</v>
      </c>
      <c r="I367" t="n">
        <v>0</v>
      </c>
      <c r="J367" t="n">
        <v>0</v>
      </c>
      <c r="K367" t="n">
        <v>0</v>
      </c>
      <c r="L367" t="n">
        <v>0</v>
      </c>
      <c r="M367" t="n">
        <v>0</v>
      </c>
      <c r="N367" t="n">
        <v>0</v>
      </c>
      <c r="O367" t="n">
        <v>0</v>
      </c>
      <c r="P367" t="n">
        <v>0</v>
      </c>
      <c r="Q367" t="n">
        <v>0</v>
      </c>
      <c r="R367" s="2" t="inlineStr"/>
    </row>
    <row r="368" ht="15" customHeight="1">
      <c r="A368" t="inlineStr">
        <is>
          <t>A 29013-2024</t>
        </is>
      </c>
      <c r="B368" s="1" t="n">
        <v>45481.55984953704</v>
      </c>
      <c r="C368" s="1" t="n">
        <v>46189</v>
      </c>
      <c r="D368" t="inlineStr">
        <is>
          <t>KALMAR LÄN</t>
        </is>
      </c>
      <c r="E368" t="inlineStr">
        <is>
          <t>VIMMERBY</t>
        </is>
      </c>
      <c r="G368" t="n">
        <v>3.4</v>
      </c>
      <c r="H368" t="n">
        <v>0</v>
      </c>
      <c r="I368" t="n">
        <v>0</v>
      </c>
      <c r="J368" t="n">
        <v>0</v>
      </c>
      <c r="K368" t="n">
        <v>0</v>
      </c>
      <c r="L368" t="n">
        <v>0</v>
      </c>
      <c r="M368" t="n">
        <v>0</v>
      </c>
      <c r="N368" t="n">
        <v>0</v>
      </c>
      <c r="O368" t="n">
        <v>0</v>
      </c>
      <c r="P368" t="n">
        <v>0</v>
      </c>
      <c r="Q368" t="n">
        <v>0</v>
      </c>
      <c r="R368" s="2" t="inlineStr"/>
    </row>
    <row r="369" ht="15" customHeight="1">
      <c r="A369" t="inlineStr">
        <is>
          <t>A 48408-2025</t>
        </is>
      </c>
      <c r="B369" s="1" t="n">
        <v>45934.40527777778</v>
      </c>
      <c r="C369" s="1" t="n">
        <v>46189</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37028-2024</t>
        </is>
      </c>
      <c r="B370" s="1" t="n">
        <v>45539.38744212963</v>
      </c>
      <c r="C370" s="1" t="n">
        <v>46189</v>
      </c>
      <c r="D370" t="inlineStr">
        <is>
          <t>KALMAR LÄN</t>
        </is>
      </c>
      <c r="E370" t="inlineStr">
        <is>
          <t>VIMMERBY</t>
        </is>
      </c>
      <c r="G370" t="n">
        <v>5.2</v>
      </c>
      <c r="H370" t="n">
        <v>0</v>
      </c>
      <c r="I370" t="n">
        <v>0</v>
      </c>
      <c r="J370" t="n">
        <v>0</v>
      </c>
      <c r="K370" t="n">
        <v>0</v>
      </c>
      <c r="L370" t="n">
        <v>0</v>
      </c>
      <c r="M370" t="n">
        <v>0</v>
      </c>
      <c r="N370" t="n">
        <v>0</v>
      </c>
      <c r="O370" t="n">
        <v>0</v>
      </c>
      <c r="P370" t="n">
        <v>0</v>
      </c>
      <c r="Q370" t="n">
        <v>0</v>
      </c>
      <c r="R370" s="2" t="inlineStr"/>
    </row>
    <row r="371" ht="15" customHeight="1">
      <c r="A371" t="inlineStr">
        <is>
          <t>A 37187-2024</t>
        </is>
      </c>
      <c r="B371" s="1" t="n">
        <v>45539.65212962963</v>
      </c>
      <c r="C371" s="1" t="n">
        <v>46189</v>
      </c>
      <c r="D371" t="inlineStr">
        <is>
          <t>KALMAR LÄN</t>
        </is>
      </c>
      <c r="E371" t="inlineStr">
        <is>
          <t>VIMMERBY</t>
        </is>
      </c>
      <c r="G371" t="n">
        <v>2.7</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46189</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39584-2024</t>
        </is>
      </c>
      <c r="B373" s="1" t="n">
        <v>45552.36759259259</v>
      </c>
      <c r="C373" s="1" t="n">
        <v>46189</v>
      </c>
      <c r="D373" t="inlineStr">
        <is>
          <t>KALMAR LÄN</t>
        </is>
      </c>
      <c r="E373" t="inlineStr">
        <is>
          <t>VIMMERBY</t>
        </is>
      </c>
      <c r="G373" t="n">
        <v>1.9</v>
      </c>
      <c r="H373" t="n">
        <v>0</v>
      </c>
      <c r="I373" t="n">
        <v>0</v>
      </c>
      <c r="J373" t="n">
        <v>0</v>
      </c>
      <c r="K373" t="n">
        <v>0</v>
      </c>
      <c r="L373" t="n">
        <v>0</v>
      </c>
      <c r="M373" t="n">
        <v>0</v>
      </c>
      <c r="N373" t="n">
        <v>0</v>
      </c>
      <c r="O373" t="n">
        <v>0</v>
      </c>
      <c r="P373" t="n">
        <v>0</v>
      </c>
      <c r="Q373" t="n">
        <v>0</v>
      </c>
      <c r="R373" s="2" t="inlineStr"/>
    </row>
    <row r="374" ht="15" customHeight="1">
      <c r="A374" t="inlineStr">
        <is>
          <t>A 27705-2023</t>
        </is>
      </c>
      <c r="B374" s="1" t="n">
        <v>45098.30535879629</v>
      </c>
      <c r="C374" s="1" t="n">
        <v>46189</v>
      </c>
      <c r="D374" t="inlineStr">
        <is>
          <t>KALMAR LÄN</t>
        </is>
      </c>
      <c r="E374" t="inlineStr">
        <is>
          <t>VIMMERBY</t>
        </is>
      </c>
      <c r="G374" t="n">
        <v>1</v>
      </c>
      <c r="H374" t="n">
        <v>0</v>
      </c>
      <c r="I374" t="n">
        <v>0</v>
      </c>
      <c r="J374" t="n">
        <v>0</v>
      </c>
      <c r="K374" t="n">
        <v>0</v>
      </c>
      <c r="L374" t="n">
        <v>0</v>
      </c>
      <c r="M374" t="n">
        <v>0</v>
      </c>
      <c r="N374" t="n">
        <v>0</v>
      </c>
      <c r="O374" t="n">
        <v>0</v>
      </c>
      <c r="P374" t="n">
        <v>0</v>
      </c>
      <c r="Q374" t="n">
        <v>0</v>
      </c>
      <c r="R374" s="2" t="inlineStr"/>
    </row>
    <row r="375" ht="15" customHeight="1">
      <c r="A375" t="inlineStr">
        <is>
          <t>A 31013-2023</t>
        </is>
      </c>
      <c r="B375" s="1" t="n">
        <v>45113.56574074074</v>
      </c>
      <c r="C375" s="1" t="n">
        <v>46189</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33352-2022</t>
        </is>
      </c>
      <c r="B376" s="1" t="n">
        <v>44788</v>
      </c>
      <c r="C376" s="1" t="n">
        <v>46189</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46234-2024</t>
        </is>
      </c>
      <c r="B377" s="1" t="n">
        <v>45581.57958333333</v>
      </c>
      <c r="C377" s="1" t="n">
        <v>46189</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39053-2024</t>
        </is>
      </c>
      <c r="B378" s="1" t="n">
        <v>45548</v>
      </c>
      <c r="C378" s="1" t="n">
        <v>46189</v>
      </c>
      <c r="D378" t="inlineStr">
        <is>
          <t>KALMAR LÄN</t>
        </is>
      </c>
      <c r="E378" t="inlineStr">
        <is>
          <t>VIMMERBY</t>
        </is>
      </c>
      <c r="G378" t="n">
        <v>5</v>
      </c>
      <c r="H378" t="n">
        <v>0</v>
      </c>
      <c r="I378" t="n">
        <v>0</v>
      </c>
      <c r="J378" t="n">
        <v>0</v>
      </c>
      <c r="K378" t="n">
        <v>0</v>
      </c>
      <c r="L378" t="n">
        <v>0</v>
      </c>
      <c r="M378" t="n">
        <v>0</v>
      </c>
      <c r="N378" t="n">
        <v>0</v>
      </c>
      <c r="O378" t="n">
        <v>0</v>
      </c>
      <c r="P378" t="n">
        <v>0</v>
      </c>
      <c r="Q378" t="n">
        <v>0</v>
      </c>
      <c r="R378" s="2" t="inlineStr"/>
    </row>
    <row r="379" ht="15" customHeight="1">
      <c r="A379" t="inlineStr">
        <is>
          <t>A 15449-2023</t>
        </is>
      </c>
      <c r="B379" s="1" t="n">
        <v>45020</v>
      </c>
      <c r="C379" s="1" t="n">
        <v>46189</v>
      </c>
      <c r="D379" t="inlineStr">
        <is>
          <t>KALMAR LÄN</t>
        </is>
      </c>
      <c r="E379" t="inlineStr">
        <is>
          <t>VIMMERBY</t>
        </is>
      </c>
      <c r="G379" t="n">
        <v>0.5</v>
      </c>
      <c r="H379" t="n">
        <v>0</v>
      </c>
      <c r="I379" t="n">
        <v>0</v>
      </c>
      <c r="J379" t="n">
        <v>0</v>
      </c>
      <c r="K379" t="n">
        <v>0</v>
      </c>
      <c r="L379" t="n">
        <v>0</v>
      </c>
      <c r="M379" t="n">
        <v>0</v>
      </c>
      <c r="N379" t="n">
        <v>0</v>
      </c>
      <c r="O379" t="n">
        <v>0</v>
      </c>
      <c r="P379" t="n">
        <v>0</v>
      </c>
      <c r="Q379" t="n">
        <v>0</v>
      </c>
      <c r="R379" s="2" t="inlineStr"/>
    </row>
    <row r="380" ht="15" customHeight="1">
      <c r="A380" t="inlineStr">
        <is>
          <t>A 43594-2024</t>
        </is>
      </c>
      <c r="B380" s="1" t="n">
        <v>45569.44295138889</v>
      </c>
      <c r="C380" s="1" t="n">
        <v>46189</v>
      </c>
      <c r="D380" t="inlineStr">
        <is>
          <t>KALMAR LÄN</t>
        </is>
      </c>
      <c r="E380" t="inlineStr">
        <is>
          <t>VIMMERBY</t>
        </is>
      </c>
      <c r="G380" t="n">
        <v>3.9</v>
      </c>
      <c r="H380" t="n">
        <v>0</v>
      </c>
      <c r="I380" t="n">
        <v>0</v>
      </c>
      <c r="J380" t="n">
        <v>0</v>
      </c>
      <c r="K380" t="n">
        <v>0</v>
      </c>
      <c r="L380" t="n">
        <v>0</v>
      </c>
      <c r="M380" t="n">
        <v>0</v>
      </c>
      <c r="N380" t="n">
        <v>0</v>
      </c>
      <c r="O380" t="n">
        <v>0</v>
      </c>
      <c r="P380" t="n">
        <v>0</v>
      </c>
      <c r="Q380" t="n">
        <v>0</v>
      </c>
      <c r="R380" s="2" t="inlineStr"/>
    </row>
    <row r="381" ht="15" customHeight="1">
      <c r="A381" t="inlineStr">
        <is>
          <t>A 17486-2024</t>
        </is>
      </c>
      <c r="B381" s="1" t="n">
        <v>45415.48979166667</v>
      </c>
      <c r="C381" s="1" t="n">
        <v>46189</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14248-2023</t>
        </is>
      </c>
      <c r="B382" s="1" t="n">
        <v>45009</v>
      </c>
      <c r="C382" s="1" t="n">
        <v>46189</v>
      </c>
      <c r="D382" t="inlineStr">
        <is>
          <t>KALMAR LÄN</t>
        </is>
      </c>
      <c r="E382" t="inlineStr">
        <is>
          <t>VIMMERBY</t>
        </is>
      </c>
      <c r="G382" t="n">
        <v>2.6</v>
      </c>
      <c r="H382" t="n">
        <v>0</v>
      </c>
      <c r="I382" t="n">
        <v>0</v>
      </c>
      <c r="J382" t="n">
        <v>0</v>
      </c>
      <c r="K382" t="n">
        <v>0</v>
      </c>
      <c r="L382" t="n">
        <v>0</v>
      </c>
      <c r="M382" t="n">
        <v>0</v>
      </c>
      <c r="N382" t="n">
        <v>0</v>
      </c>
      <c r="O382" t="n">
        <v>0</v>
      </c>
      <c r="P382" t="n">
        <v>0</v>
      </c>
      <c r="Q382" t="n">
        <v>0</v>
      </c>
      <c r="R382" s="2" t="inlineStr"/>
    </row>
    <row r="383" ht="15" customHeight="1">
      <c r="A383" t="inlineStr">
        <is>
          <t>A 51062-2025</t>
        </is>
      </c>
      <c r="B383" s="1" t="n">
        <v>45947.44685185186</v>
      </c>
      <c r="C383" s="1" t="n">
        <v>46189</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30400-2023</t>
        </is>
      </c>
      <c r="B384" s="1" t="n">
        <v>45111.48225694444</v>
      </c>
      <c r="C384" s="1" t="n">
        <v>46189</v>
      </c>
      <c r="D384" t="inlineStr">
        <is>
          <t>KALMAR LÄN</t>
        </is>
      </c>
      <c r="E384" t="inlineStr">
        <is>
          <t>VIMMERBY</t>
        </is>
      </c>
      <c r="G384" t="n">
        <v>2.7</v>
      </c>
      <c r="H384" t="n">
        <v>0</v>
      </c>
      <c r="I384" t="n">
        <v>0</v>
      </c>
      <c r="J384" t="n">
        <v>0</v>
      </c>
      <c r="K384" t="n">
        <v>0</v>
      </c>
      <c r="L384" t="n">
        <v>0</v>
      </c>
      <c r="M384" t="n">
        <v>0</v>
      </c>
      <c r="N384" t="n">
        <v>0</v>
      </c>
      <c r="O384" t="n">
        <v>0</v>
      </c>
      <c r="P384" t="n">
        <v>0</v>
      </c>
      <c r="Q384" t="n">
        <v>0</v>
      </c>
      <c r="R384" s="2" t="inlineStr"/>
    </row>
    <row r="385" ht="15" customHeight="1">
      <c r="A385" t="inlineStr">
        <is>
          <t>A 30404-2023</t>
        </is>
      </c>
      <c r="B385" s="1" t="n">
        <v>45111.48636574074</v>
      </c>
      <c r="C385" s="1" t="n">
        <v>46189</v>
      </c>
      <c r="D385" t="inlineStr">
        <is>
          <t>KALMAR LÄN</t>
        </is>
      </c>
      <c r="E385" t="inlineStr">
        <is>
          <t>VIMMERBY</t>
        </is>
      </c>
      <c r="G385" t="n">
        <v>0.6</v>
      </c>
      <c r="H385" t="n">
        <v>0</v>
      </c>
      <c r="I385" t="n">
        <v>0</v>
      </c>
      <c r="J385" t="n">
        <v>0</v>
      </c>
      <c r="K385" t="n">
        <v>0</v>
      </c>
      <c r="L385" t="n">
        <v>0</v>
      </c>
      <c r="M385" t="n">
        <v>0</v>
      </c>
      <c r="N385" t="n">
        <v>0</v>
      </c>
      <c r="O385" t="n">
        <v>0</v>
      </c>
      <c r="P385" t="n">
        <v>0</v>
      </c>
      <c r="Q385" t="n">
        <v>0</v>
      </c>
      <c r="R385" s="2" t="inlineStr"/>
    </row>
    <row r="386" ht="15" customHeight="1">
      <c r="A386" t="inlineStr">
        <is>
          <t>A 55123-2024</t>
        </is>
      </c>
      <c r="B386" s="1" t="n">
        <v>45621.46103009259</v>
      </c>
      <c r="C386" s="1" t="n">
        <v>46189</v>
      </c>
      <c r="D386" t="inlineStr">
        <is>
          <t>KALMAR LÄN</t>
        </is>
      </c>
      <c r="E386" t="inlineStr">
        <is>
          <t>VIMMERBY</t>
        </is>
      </c>
      <c r="G386" t="n">
        <v>3.1</v>
      </c>
      <c r="H386" t="n">
        <v>0</v>
      </c>
      <c r="I386" t="n">
        <v>0</v>
      </c>
      <c r="J386" t="n">
        <v>0</v>
      </c>
      <c r="K386" t="n">
        <v>0</v>
      </c>
      <c r="L386" t="n">
        <v>0</v>
      </c>
      <c r="M386" t="n">
        <v>0</v>
      </c>
      <c r="N386" t="n">
        <v>0</v>
      </c>
      <c r="O386" t="n">
        <v>0</v>
      </c>
      <c r="P386" t="n">
        <v>0</v>
      </c>
      <c r="Q386" t="n">
        <v>0</v>
      </c>
      <c r="R386" s="2" t="inlineStr"/>
    </row>
    <row r="387" ht="15" customHeight="1">
      <c r="A387" t="inlineStr">
        <is>
          <t>A 31405-2023</t>
        </is>
      </c>
      <c r="B387" s="1" t="n">
        <v>45114.58148148148</v>
      </c>
      <c r="C387" s="1" t="n">
        <v>46189</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24707-2024</t>
        </is>
      </c>
      <c r="B388" s="1" t="n">
        <v>45460.62172453704</v>
      </c>
      <c r="C388" s="1" t="n">
        <v>46189</v>
      </c>
      <c r="D388" t="inlineStr">
        <is>
          <t>KALMAR LÄN</t>
        </is>
      </c>
      <c r="E388" t="inlineStr">
        <is>
          <t>VIMMERBY</t>
        </is>
      </c>
      <c r="G388" t="n">
        <v>1.7</v>
      </c>
      <c r="H388" t="n">
        <v>0</v>
      </c>
      <c r="I388" t="n">
        <v>0</v>
      </c>
      <c r="J388" t="n">
        <v>0</v>
      </c>
      <c r="K388" t="n">
        <v>0</v>
      </c>
      <c r="L388" t="n">
        <v>0</v>
      </c>
      <c r="M388" t="n">
        <v>0</v>
      </c>
      <c r="N388" t="n">
        <v>0</v>
      </c>
      <c r="O388" t="n">
        <v>0</v>
      </c>
      <c r="P388" t="n">
        <v>0</v>
      </c>
      <c r="Q388" t="n">
        <v>0</v>
      </c>
      <c r="R388" s="2" t="inlineStr"/>
    </row>
    <row r="389" ht="15" customHeight="1">
      <c r="A389" t="inlineStr">
        <is>
          <t>A 36049-2024</t>
        </is>
      </c>
      <c r="B389" s="1" t="n">
        <v>45533.61996527778</v>
      </c>
      <c r="C389" s="1" t="n">
        <v>46189</v>
      </c>
      <c r="D389" t="inlineStr">
        <is>
          <t>KALMAR LÄN</t>
        </is>
      </c>
      <c r="E389" t="inlineStr">
        <is>
          <t>VIMMERBY</t>
        </is>
      </c>
      <c r="F389" t="inlineStr">
        <is>
          <t>Kommuner</t>
        </is>
      </c>
      <c r="G389" t="n">
        <v>2.6</v>
      </c>
      <c r="H389" t="n">
        <v>0</v>
      </c>
      <c r="I389" t="n">
        <v>0</v>
      </c>
      <c r="J389" t="n">
        <v>0</v>
      </c>
      <c r="K389" t="n">
        <v>0</v>
      </c>
      <c r="L389" t="n">
        <v>0</v>
      </c>
      <c r="M389" t="n">
        <v>0</v>
      </c>
      <c r="N389" t="n">
        <v>0</v>
      </c>
      <c r="O389" t="n">
        <v>0</v>
      </c>
      <c r="P389" t="n">
        <v>0</v>
      </c>
      <c r="Q389" t="n">
        <v>0</v>
      </c>
      <c r="R389" s="2" t="inlineStr"/>
    </row>
    <row r="390" ht="15" customHeight="1">
      <c r="A390" t="inlineStr">
        <is>
          <t>A 51990-2025</t>
        </is>
      </c>
      <c r="B390" s="1" t="n">
        <v>45952.58061342593</v>
      </c>
      <c r="C390" s="1" t="n">
        <v>46189</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52466-2025</t>
        </is>
      </c>
      <c r="B391" s="1" t="n">
        <v>45954.44707175926</v>
      </c>
      <c r="C391" s="1" t="n">
        <v>46189</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14359-2025</t>
        </is>
      </c>
      <c r="B392" s="1" t="n">
        <v>45741.37270833334</v>
      </c>
      <c r="C392" s="1" t="n">
        <v>46189</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39578-2024</t>
        </is>
      </c>
      <c r="B393" s="1" t="n">
        <v>45552.36484953704</v>
      </c>
      <c r="C393" s="1" t="n">
        <v>46189</v>
      </c>
      <c r="D393" t="inlineStr">
        <is>
          <t>KALMAR LÄN</t>
        </is>
      </c>
      <c r="E393" t="inlineStr">
        <is>
          <t>VIMMERBY</t>
        </is>
      </c>
      <c r="G393" t="n">
        <v>1.5</v>
      </c>
      <c r="H393" t="n">
        <v>0</v>
      </c>
      <c r="I393" t="n">
        <v>0</v>
      </c>
      <c r="J393" t="n">
        <v>0</v>
      </c>
      <c r="K393" t="n">
        <v>0</v>
      </c>
      <c r="L393" t="n">
        <v>0</v>
      </c>
      <c r="M393" t="n">
        <v>0</v>
      </c>
      <c r="N393" t="n">
        <v>0</v>
      </c>
      <c r="O393" t="n">
        <v>0</v>
      </c>
      <c r="P393" t="n">
        <v>0</v>
      </c>
      <c r="Q393" t="n">
        <v>0</v>
      </c>
      <c r="R393" s="2" t="inlineStr"/>
    </row>
    <row r="394" ht="15" customHeight="1">
      <c r="A394" t="inlineStr">
        <is>
          <t>A 52475-2025</t>
        </is>
      </c>
      <c r="B394" s="1" t="n">
        <v>45954.468125</v>
      </c>
      <c r="C394" s="1" t="n">
        <v>46189</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62779-2023</t>
        </is>
      </c>
      <c r="B395" s="1" t="n">
        <v>45271.66576388889</v>
      </c>
      <c r="C395" s="1" t="n">
        <v>46189</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3425-2022</t>
        </is>
      </c>
      <c r="B396" s="1" t="n">
        <v>44585.51060185185</v>
      </c>
      <c r="C396" s="1" t="n">
        <v>46189</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43962-2024</t>
        </is>
      </c>
      <c r="B397" s="1" t="n">
        <v>45572.48293981481</v>
      </c>
      <c r="C397" s="1" t="n">
        <v>46189</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12810-2023</t>
        </is>
      </c>
      <c r="B398" s="1" t="n">
        <v>45001.43854166667</v>
      </c>
      <c r="C398" s="1" t="n">
        <v>46189</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43068-2023</t>
        </is>
      </c>
      <c r="B399" s="1" t="n">
        <v>45182.78834490741</v>
      </c>
      <c r="C399" s="1" t="n">
        <v>46189</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12075-2024</t>
        </is>
      </c>
      <c r="B400" s="1" t="n">
        <v>45377</v>
      </c>
      <c r="C400" s="1" t="n">
        <v>46189</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53398-2025</t>
        </is>
      </c>
      <c r="B401" s="1" t="n">
        <v>45959.56247685185</v>
      </c>
      <c r="C401" s="1" t="n">
        <v>46189</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53397-2025</t>
        </is>
      </c>
      <c r="B402" s="1" t="n">
        <v>45959.55918981481</v>
      </c>
      <c r="C402" s="1" t="n">
        <v>46189</v>
      </c>
      <c r="D402" t="inlineStr">
        <is>
          <t>KALMAR LÄN</t>
        </is>
      </c>
      <c r="E402" t="inlineStr">
        <is>
          <t>VIMMERBY</t>
        </is>
      </c>
      <c r="G402" t="n">
        <v>1.6</v>
      </c>
      <c r="H402" t="n">
        <v>0</v>
      </c>
      <c r="I402" t="n">
        <v>0</v>
      </c>
      <c r="J402" t="n">
        <v>0</v>
      </c>
      <c r="K402" t="n">
        <v>0</v>
      </c>
      <c r="L402" t="n">
        <v>0</v>
      </c>
      <c r="M402" t="n">
        <v>0</v>
      </c>
      <c r="N402" t="n">
        <v>0</v>
      </c>
      <c r="O402" t="n">
        <v>0</v>
      </c>
      <c r="P402" t="n">
        <v>0</v>
      </c>
      <c r="Q402" t="n">
        <v>0</v>
      </c>
      <c r="R402" s="2" t="inlineStr"/>
    </row>
    <row r="403" ht="15" customHeight="1">
      <c r="A403" t="inlineStr">
        <is>
          <t>A 2462-2022</t>
        </is>
      </c>
      <c r="B403" s="1" t="n">
        <v>44579.62225694444</v>
      </c>
      <c r="C403" s="1" t="n">
        <v>46189</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53396-2025</t>
        </is>
      </c>
      <c r="B404" s="1" t="n">
        <v>45959.55577546296</v>
      </c>
      <c r="C404" s="1" t="n">
        <v>46189</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53933-2025</t>
        </is>
      </c>
      <c r="B405" s="1" t="n">
        <v>45961.47650462963</v>
      </c>
      <c r="C405" s="1" t="n">
        <v>46189</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54236-2025</t>
        </is>
      </c>
      <c r="B406" s="1" t="n">
        <v>45964.62671296296</v>
      </c>
      <c r="C406" s="1" t="n">
        <v>46189</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53920-2025</t>
        </is>
      </c>
      <c r="B407" s="1" t="n">
        <v>45961.44951388889</v>
      </c>
      <c r="C407" s="1" t="n">
        <v>46189</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54234-2025</t>
        </is>
      </c>
      <c r="B408" s="1" t="n">
        <v>45964.62486111111</v>
      </c>
      <c r="C408" s="1" t="n">
        <v>46189</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13015-2022</t>
        </is>
      </c>
      <c r="B409" s="1" t="n">
        <v>44643</v>
      </c>
      <c r="C409" s="1" t="n">
        <v>46189</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4624-2024</t>
        </is>
      </c>
      <c r="B410" s="1" t="n">
        <v>45328.38755787037</v>
      </c>
      <c r="C410" s="1" t="n">
        <v>46189</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9129-2025</t>
        </is>
      </c>
      <c r="B411" s="1" t="n">
        <v>45713.92412037037</v>
      </c>
      <c r="C411" s="1" t="n">
        <v>46189</v>
      </c>
      <c r="D411" t="inlineStr">
        <is>
          <t>KALMAR LÄN</t>
        </is>
      </c>
      <c r="E411" t="inlineStr">
        <is>
          <t>VIMMERBY</t>
        </is>
      </c>
      <c r="G411" t="n">
        <v>2.8</v>
      </c>
      <c r="H411" t="n">
        <v>0</v>
      </c>
      <c r="I411" t="n">
        <v>0</v>
      </c>
      <c r="J411" t="n">
        <v>0</v>
      </c>
      <c r="K411" t="n">
        <v>0</v>
      </c>
      <c r="L411" t="n">
        <v>0</v>
      </c>
      <c r="M411" t="n">
        <v>0</v>
      </c>
      <c r="N411" t="n">
        <v>0</v>
      </c>
      <c r="O411" t="n">
        <v>0</v>
      </c>
      <c r="P411" t="n">
        <v>0</v>
      </c>
      <c r="Q411" t="n">
        <v>0</v>
      </c>
      <c r="R411" s="2" t="inlineStr"/>
    </row>
    <row r="412" ht="15" customHeight="1">
      <c r="A412" t="inlineStr">
        <is>
          <t>A 22643-2023</t>
        </is>
      </c>
      <c r="B412" s="1" t="n">
        <v>45071</v>
      </c>
      <c r="C412" s="1" t="n">
        <v>46189</v>
      </c>
      <c r="D412" t="inlineStr">
        <is>
          <t>KALMAR LÄN</t>
        </is>
      </c>
      <c r="E412" t="inlineStr">
        <is>
          <t>VIMMERBY</t>
        </is>
      </c>
      <c r="G412" t="n">
        <v>3.9</v>
      </c>
      <c r="H412" t="n">
        <v>0</v>
      </c>
      <c r="I412" t="n">
        <v>0</v>
      </c>
      <c r="J412" t="n">
        <v>0</v>
      </c>
      <c r="K412" t="n">
        <v>0</v>
      </c>
      <c r="L412" t="n">
        <v>0</v>
      </c>
      <c r="M412" t="n">
        <v>0</v>
      </c>
      <c r="N412" t="n">
        <v>0</v>
      </c>
      <c r="O412" t="n">
        <v>0</v>
      </c>
      <c r="P412" t="n">
        <v>0</v>
      </c>
      <c r="Q412" t="n">
        <v>0</v>
      </c>
      <c r="R412" s="2" t="inlineStr"/>
    </row>
    <row r="413" ht="15" customHeight="1">
      <c r="A413" t="inlineStr">
        <is>
          <t>A 55385-2025</t>
        </is>
      </c>
      <c r="B413" s="1" t="n">
        <v>45971.43350694444</v>
      </c>
      <c r="C413" s="1" t="n">
        <v>46189</v>
      </c>
      <c r="D413" t="inlineStr">
        <is>
          <t>KALMAR LÄN</t>
        </is>
      </c>
      <c r="E413" t="inlineStr">
        <is>
          <t>VIMMERBY</t>
        </is>
      </c>
      <c r="G413" t="n">
        <v>5</v>
      </c>
      <c r="H413" t="n">
        <v>0</v>
      </c>
      <c r="I413" t="n">
        <v>0</v>
      </c>
      <c r="J413" t="n">
        <v>0</v>
      </c>
      <c r="K413" t="n">
        <v>0</v>
      </c>
      <c r="L413" t="n">
        <v>0</v>
      </c>
      <c r="M413" t="n">
        <v>0</v>
      </c>
      <c r="N413" t="n">
        <v>0</v>
      </c>
      <c r="O413" t="n">
        <v>0</v>
      </c>
      <c r="P413" t="n">
        <v>0</v>
      </c>
      <c r="Q413" t="n">
        <v>0</v>
      </c>
      <c r="R413" s="2" t="inlineStr"/>
    </row>
    <row r="414" ht="15" customHeight="1">
      <c r="A414" t="inlineStr">
        <is>
          <t>A 34597-2022</t>
        </is>
      </c>
      <c r="B414" s="1" t="n">
        <v>44795</v>
      </c>
      <c r="C414" s="1" t="n">
        <v>46189</v>
      </c>
      <c r="D414" t="inlineStr">
        <is>
          <t>KALMAR LÄN</t>
        </is>
      </c>
      <c r="E414" t="inlineStr">
        <is>
          <t>VIMMERBY</t>
        </is>
      </c>
      <c r="G414" t="n">
        <v>2.2</v>
      </c>
      <c r="H414" t="n">
        <v>0</v>
      </c>
      <c r="I414" t="n">
        <v>0</v>
      </c>
      <c r="J414" t="n">
        <v>0</v>
      </c>
      <c r="K414" t="n">
        <v>0</v>
      </c>
      <c r="L414" t="n">
        <v>0</v>
      </c>
      <c r="M414" t="n">
        <v>0</v>
      </c>
      <c r="N414" t="n">
        <v>0</v>
      </c>
      <c r="O414" t="n">
        <v>0</v>
      </c>
      <c r="P414" t="n">
        <v>0</v>
      </c>
      <c r="Q414" t="n">
        <v>0</v>
      </c>
      <c r="R414" s="2" t="inlineStr"/>
    </row>
    <row r="415" ht="15" customHeight="1">
      <c r="A415" t="inlineStr">
        <is>
          <t>A 40079-2023</t>
        </is>
      </c>
      <c r="B415" s="1" t="n">
        <v>45168.89298611111</v>
      </c>
      <c r="C415" s="1" t="n">
        <v>46189</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55603-2025</t>
        </is>
      </c>
      <c r="B416" s="1" t="n">
        <v>45971</v>
      </c>
      <c r="C416" s="1" t="n">
        <v>46189</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19833-2023</t>
        </is>
      </c>
      <c r="B417" s="1" t="n">
        <v>45052</v>
      </c>
      <c r="C417" s="1" t="n">
        <v>46189</v>
      </c>
      <c r="D417" t="inlineStr">
        <is>
          <t>KALMAR LÄN</t>
        </is>
      </c>
      <c r="E417" t="inlineStr">
        <is>
          <t>VIMMERBY</t>
        </is>
      </c>
      <c r="G417" t="n">
        <v>6.7</v>
      </c>
      <c r="H417" t="n">
        <v>0</v>
      </c>
      <c r="I417" t="n">
        <v>0</v>
      </c>
      <c r="J417" t="n">
        <v>0</v>
      </c>
      <c r="K417" t="n">
        <v>0</v>
      </c>
      <c r="L417" t="n">
        <v>0</v>
      </c>
      <c r="M417" t="n">
        <v>0</v>
      </c>
      <c r="N417" t="n">
        <v>0</v>
      </c>
      <c r="O417" t="n">
        <v>0</v>
      </c>
      <c r="P417" t="n">
        <v>0</v>
      </c>
      <c r="Q417" t="n">
        <v>0</v>
      </c>
      <c r="R417" s="2" t="inlineStr"/>
    </row>
    <row r="418" ht="15" customHeight="1">
      <c r="A418" t="inlineStr">
        <is>
          <t>A 17084-2025</t>
        </is>
      </c>
      <c r="B418" s="1" t="n">
        <v>45755.64450231481</v>
      </c>
      <c r="C418" s="1" t="n">
        <v>46189</v>
      </c>
      <c r="D418" t="inlineStr">
        <is>
          <t>KALMAR LÄN</t>
        </is>
      </c>
      <c r="E418" t="inlineStr">
        <is>
          <t>VIMMERBY</t>
        </is>
      </c>
      <c r="G418" t="n">
        <v>1.4</v>
      </c>
      <c r="H418" t="n">
        <v>0</v>
      </c>
      <c r="I418" t="n">
        <v>0</v>
      </c>
      <c r="J418" t="n">
        <v>0</v>
      </c>
      <c r="K418" t="n">
        <v>0</v>
      </c>
      <c r="L418" t="n">
        <v>0</v>
      </c>
      <c r="M418" t="n">
        <v>0</v>
      </c>
      <c r="N418" t="n">
        <v>0</v>
      </c>
      <c r="O418" t="n">
        <v>0</v>
      </c>
      <c r="P418" t="n">
        <v>0</v>
      </c>
      <c r="Q418" t="n">
        <v>0</v>
      </c>
      <c r="R418" s="2" t="inlineStr"/>
    </row>
    <row r="419" ht="15" customHeight="1">
      <c r="A419" t="inlineStr">
        <is>
          <t>A 56022-2024</t>
        </is>
      </c>
      <c r="B419" s="1" t="n">
        <v>45623.95947916667</v>
      </c>
      <c r="C419" s="1" t="n">
        <v>46189</v>
      </c>
      <c r="D419" t="inlineStr">
        <is>
          <t>KALMAR LÄN</t>
        </is>
      </c>
      <c r="E419" t="inlineStr">
        <is>
          <t>VIMMERBY</t>
        </is>
      </c>
      <c r="G419" t="n">
        <v>0.3</v>
      </c>
      <c r="H419" t="n">
        <v>0</v>
      </c>
      <c r="I419" t="n">
        <v>0</v>
      </c>
      <c r="J419" t="n">
        <v>0</v>
      </c>
      <c r="K419" t="n">
        <v>0</v>
      </c>
      <c r="L419" t="n">
        <v>0</v>
      </c>
      <c r="M419" t="n">
        <v>0</v>
      </c>
      <c r="N419" t="n">
        <v>0</v>
      </c>
      <c r="O419" t="n">
        <v>0</v>
      </c>
      <c r="P419" t="n">
        <v>0</v>
      </c>
      <c r="Q419" t="n">
        <v>0</v>
      </c>
      <c r="R419" s="2" t="inlineStr"/>
    </row>
    <row r="420" ht="15" customHeight="1">
      <c r="A420" t="inlineStr">
        <is>
          <t>A 11928-2022</t>
        </is>
      </c>
      <c r="B420" s="1" t="n">
        <v>44635</v>
      </c>
      <c r="C420" s="1" t="n">
        <v>46189</v>
      </c>
      <c r="D420" t="inlineStr">
        <is>
          <t>KALMAR LÄN</t>
        </is>
      </c>
      <c r="E420" t="inlineStr">
        <is>
          <t>VIMMERBY</t>
        </is>
      </c>
      <c r="G420" t="n">
        <v>2.8</v>
      </c>
      <c r="H420" t="n">
        <v>0</v>
      </c>
      <c r="I420" t="n">
        <v>0</v>
      </c>
      <c r="J420" t="n">
        <v>0</v>
      </c>
      <c r="K420" t="n">
        <v>0</v>
      </c>
      <c r="L420" t="n">
        <v>0</v>
      </c>
      <c r="M420" t="n">
        <v>0</v>
      </c>
      <c r="N420" t="n">
        <v>0</v>
      </c>
      <c r="O420" t="n">
        <v>0</v>
      </c>
      <c r="P420" t="n">
        <v>0</v>
      </c>
      <c r="Q420" t="n">
        <v>0</v>
      </c>
      <c r="R420" s="2" t="inlineStr"/>
    </row>
    <row r="421" ht="15" customHeight="1">
      <c r="A421" t="inlineStr">
        <is>
          <t>A 5527-2022</t>
        </is>
      </c>
      <c r="B421" s="1" t="n">
        <v>44595.583125</v>
      </c>
      <c r="C421" s="1" t="n">
        <v>46189</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49461-2023</t>
        </is>
      </c>
      <c r="B422" s="1" t="n">
        <v>45211.52642361111</v>
      </c>
      <c r="C422" s="1" t="n">
        <v>46189</v>
      </c>
      <c r="D422" t="inlineStr">
        <is>
          <t>KALMAR LÄN</t>
        </is>
      </c>
      <c r="E422" t="inlineStr">
        <is>
          <t>VIMMERBY</t>
        </is>
      </c>
      <c r="G422" t="n">
        <v>1.5</v>
      </c>
      <c r="H422" t="n">
        <v>0</v>
      </c>
      <c r="I422" t="n">
        <v>0</v>
      </c>
      <c r="J422" t="n">
        <v>0</v>
      </c>
      <c r="K422" t="n">
        <v>0</v>
      </c>
      <c r="L422" t="n">
        <v>0</v>
      </c>
      <c r="M422" t="n">
        <v>0</v>
      </c>
      <c r="N422" t="n">
        <v>0</v>
      </c>
      <c r="O422" t="n">
        <v>0</v>
      </c>
      <c r="P422" t="n">
        <v>0</v>
      </c>
      <c r="Q422" t="n">
        <v>0</v>
      </c>
      <c r="R422" s="2" t="inlineStr"/>
    </row>
    <row r="423" ht="15" customHeight="1">
      <c r="A423" t="inlineStr">
        <is>
          <t>A 49474-2023</t>
        </is>
      </c>
      <c r="B423" s="1" t="n">
        <v>45211.541875</v>
      </c>
      <c r="C423" s="1" t="n">
        <v>46189</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61861-2024</t>
        </is>
      </c>
      <c r="B424" s="1" t="n">
        <v>45650.37370370371</v>
      </c>
      <c r="C424" s="1" t="n">
        <v>46189</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45846-2023</t>
        </is>
      </c>
      <c r="B425" s="1" t="n">
        <v>45195.58452546296</v>
      </c>
      <c r="C425" s="1" t="n">
        <v>46189</v>
      </c>
      <c r="D425" t="inlineStr">
        <is>
          <t>KALMAR LÄN</t>
        </is>
      </c>
      <c r="E425" t="inlineStr">
        <is>
          <t>VIMMERBY</t>
        </is>
      </c>
      <c r="G425" t="n">
        <v>0.7</v>
      </c>
      <c r="H425" t="n">
        <v>0</v>
      </c>
      <c r="I425" t="n">
        <v>0</v>
      </c>
      <c r="J425" t="n">
        <v>0</v>
      </c>
      <c r="K425" t="n">
        <v>0</v>
      </c>
      <c r="L425" t="n">
        <v>0</v>
      </c>
      <c r="M425" t="n">
        <v>0</v>
      </c>
      <c r="N425" t="n">
        <v>0</v>
      </c>
      <c r="O425" t="n">
        <v>0</v>
      </c>
      <c r="P425" t="n">
        <v>0</v>
      </c>
      <c r="Q425" t="n">
        <v>0</v>
      </c>
      <c r="R425" s="2" t="inlineStr"/>
    </row>
    <row r="426" ht="15" customHeight="1">
      <c r="A426" t="inlineStr">
        <is>
          <t>A 8167-2024</t>
        </is>
      </c>
      <c r="B426" s="1" t="n">
        <v>45351.6062962963</v>
      </c>
      <c r="C426" s="1" t="n">
        <v>46189</v>
      </c>
      <c r="D426" t="inlineStr">
        <is>
          <t>KALMAR LÄN</t>
        </is>
      </c>
      <c r="E426" t="inlineStr">
        <is>
          <t>VIMMERBY</t>
        </is>
      </c>
      <c r="G426" t="n">
        <v>3.8</v>
      </c>
      <c r="H426" t="n">
        <v>0</v>
      </c>
      <c r="I426" t="n">
        <v>0</v>
      </c>
      <c r="J426" t="n">
        <v>0</v>
      </c>
      <c r="K426" t="n">
        <v>0</v>
      </c>
      <c r="L426" t="n">
        <v>0</v>
      </c>
      <c r="M426" t="n">
        <v>0</v>
      </c>
      <c r="N426" t="n">
        <v>0</v>
      </c>
      <c r="O426" t="n">
        <v>0</v>
      </c>
      <c r="P426" t="n">
        <v>0</v>
      </c>
      <c r="Q426" t="n">
        <v>0</v>
      </c>
      <c r="R426" s="2" t="inlineStr"/>
    </row>
    <row r="427" ht="15" customHeight="1">
      <c r="A427" t="inlineStr">
        <is>
          <t>A 49382-2023</t>
        </is>
      </c>
      <c r="B427" s="1" t="n">
        <v>45208</v>
      </c>
      <c r="C427" s="1" t="n">
        <v>46189</v>
      </c>
      <c r="D427" t="inlineStr">
        <is>
          <t>KALMAR LÄN</t>
        </is>
      </c>
      <c r="E427" t="inlineStr">
        <is>
          <t>VIMMERBY</t>
        </is>
      </c>
      <c r="G427" t="n">
        <v>2.2</v>
      </c>
      <c r="H427" t="n">
        <v>0</v>
      </c>
      <c r="I427" t="n">
        <v>0</v>
      </c>
      <c r="J427" t="n">
        <v>0</v>
      </c>
      <c r="K427" t="n">
        <v>0</v>
      </c>
      <c r="L427" t="n">
        <v>0</v>
      </c>
      <c r="M427" t="n">
        <v>0</v>
      </c>
      <c r="N427" t="n">
        <v>0</v>
      </c>
      <c r="O427" t="n">
        <v>0</v>
      </c>
      <c r="P427" t="n">
        <v>0</v>
      </c>
      <c r="Q427" t="n">
        <v>0</v>
      </c>
      <c r="R427" s="2" t="inlineStr"/>
    </row>
    <row r="428" ht="15" customHeight="1">
      <c r="A428" t="inlineStr">
        <is>
          <t>A 57728-2025</t>
        </is>
      </c>
      <c r="B428" s="1" t="n">
        <v>45981</v>
      </c>
      <c r="C428" s="1" t="n">
        <v>46189</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35846-2023</t>
        </is>
      </c>
      <c r="B429" s="1" t="n">
        <v>45148</v>
      </c>
      <c r="C429" s="1" t="n">
        <v>46189</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35913-2023</t>
        </is>
      </c>
      <c r="B430" s="1" t="n">
        <v>45148</v>
      </c>
      <c r="C430" s="1" t="n">
        <v>46189</v>
      </c>
      <c r="D430" t="inlineStr">
        <is>
          <t>KALMAR LÄN</t>
        </is>
      </c>
      <c r="E430" t="inlineStr">
        <is>
          <t>VIMMERBY</t>
        </is>
      </c>
      <c r="G430" t="n">
        <v>6.9</v>
      </c>
      <c r="H430" t="n">
        <v>0</v>
      </c>
      <c r="I430" t="n">
        <v>0</v>
      </c>
      <c r="J430" t="n">
        <v>0</v>
      </c>
      <c r="K430" t="n">
        <v>0</v>
      </c>
      <c r="L430" t="n">
        <v>0</v>
      </c>
      <c r="M430" t="n">
        <v>0</v>
      </c>
      <c r="N430" t="n">
        <v>0</v>
      </c>
      <c r="O430" t="n">
        <v>0</v>
      </c>
      <c r="P430" t="n">
        <v>0</v>
      </c>
      <c r="Q430" t="n">
        <v>0</v>
      </c>
      <c r="R430" s="2" t="inlineStr"/>
    </row>
    <row r="431" ht="15" customHeight="1">
      <c r="A431" t="inlineStr">
        <is>
          <t>A 38757-2023</t>
        </is>
      </c>
      <c r="B431" s="1" t="n">
        <v>45163.41376157408</v>
      </c>
      <c r="C431" s="1" t="n">
        <v>46189</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58498-2025</t>
        </is>
      </c>
      <c r="B432" s="1" t="n">
        <v>45985.68671296296</v>
      </c>
      <c r="C432" s="1" t="n">
        <v>46189</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58501-2025</t>
        </is>
      </c>
      <c r="B433" s="1" t="n">
        <v>45985.69153935185</v>
      </c>
      <c r="C433" s="1" t="n">
        <v>46189</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24283-2023</t>
        </is>
      </c>
      <c r="B434" s="1" t="n">
        <v>45079.87827546296</v>
      </c>
      <c r="C434" s="1" t="n">
        <v>46189</v>
      </c>
      <c r="D434" t="inlineStr">
        <is>
          <t>KALMAR LÄN</t>
        </is>
      </c>
      <c r="E434" t="inlineStr">
        <is>
          <t>VIMMERBY</t>
        </is>
      </c>
      <c r="G434" t="n">
        <v>2</v>
      </c>
      <c r="H434" t="n">
        <v>0</v>
      </c>
      <c r="I434" t="n">
        <v>0</v>
      </c>
      <c r="J434" t="n">
        <v>0</v>
      </c>
      <c r="K434" t="n">
        <v>0</v>
      </c>
      <c r="L434" t="n">
        <v>0</v>
      </c>
      <c r="M434" t="n">
        <v>0</v>
      </c>
      <c r="N434" t="n">
        <v>0</v>
      </c>
      <c r="O434" t="n">
        <v>0</v>
      </c>
      <c r="P434" t="n">
        <v>0</v>
      </c>
      <c r="Q434" t="n">
        <v>0</v>
      </c>
      <c r="R434" s="2" t="inlineStr"/>
    </row>
    <row r="435" ht="15" customHeight="1">
      <c r="A435" t="inlineStr">
        <is>
          <t>A 58503-2025</t>
        </is>
      </c>
      <c r="B435" s="1" t="n">
        <v>45985.69509259259</v>
      </c>
      <c r="C435" s="1" t="n">
        <v>46189</v>
      </c>
      <c r="D435" t="inlineStr">
        <is>
          <t>KALMAR LÄN</t>
        </is>
      </c>
      <c r="E435" t="inlineStr">
        <is>
          <t>VIMMERBY</t>
        </is>
      </c>
      <c r="G435" t="n">
        <v>1.6</v>
      </c>
      <c r="H435" t="n">
        <v>0</v>
      </c>
      <c r="I435" t="n">
        <v>0</v>
      </c>
      <c r="J435" t="n">
        <v>0</v>
      </c>
      <c r="K435" t="n">
        <v>0</v>
      </c>
      <c r="L435" t="n">
        <v>0</v>
      </c>
      <c r="M435" t="n">
        <v>0</v>
      </c>
      <c r="N435" t="n">
        <v>0</v>
      </c>
      <c r="O435" t="n">
        <v>0</v>
      </c>
      <c r="P435" t="n">
        <v>0</v>
      </c>
      <c r="Q435" t="n">
        <v>0</v>
      </c>
      <c r="R435" s="2" t="inlineStr"/>
    </row>
    <row r="436" ht="15" customHeight="1">
      <c r="A436" t="inlineStr">
        <is>
          <t>A 58446-2025</t>
        </is>
      </c>
      <c r="B436" s="1" t="n">
        <v>45985.62168981481</v>
      </c>
      <c r="C436" s="1" t="n">
        <v>46189</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58500-2025</t>
        </is>
      </c>
      <c r="B437" s="1" t="n">
        <v>45985.69008101852</v>
      </c>
      <c r="C437" s="1" t="n">
        <v>46189</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59598-2023</t>
        </is>
      </c>
      <c r="B438" s="1" t="n">
        <v>45254.62489583333</v>
      </c>
      <c r="C438" s="1" t="n">
        <v>46189</v>
      </c>
      <c r="D438" t="inlineStr">
        <is>
          <t>KALMAR LÄN</t>
        </is>
      </c>
      <c r="E438" t="inlineStr">
        <is>
          <t>VIMMERBY</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30920-2023</t>
        </is>
      </c>
      <c r="B439" s="1" t="n">
        <v>45113.43921296296</v>
      </c>
      <c r="C439" s="1" t="n">
        <v>46189</v>
      </c>
      <c r="D439" t="inlineStr">
        <is>
          <t>KALMAR LÄN</t>
        </is>
      </c>
      <c r="E439" t="inlineStr">
        <is>
          <t>VIMMERBY</t>
        </is>
      </c>
      <c r="G439" t="n">
        <v>3.1</v>
      </c>
      <c r="H439" t="n">
        <v>0</v>
      </c>
      <c r="I439" t="n">
        <v>0</v>
      </c>
      <c r="J439" t="n">
        <v>0</v>
      </c>
      <c r="K439" t="n">
        <v>0</v>
      </c>
      <c r="L439" t="n">
        <v>0</v>
      </c>
      <c r="M439" t="n">
        <v>0</v>
      </c>
      <c r="N439" t="n">
        <v>0</v>
      </c>
      <c r="O439" t="n">
        <v>0</v>
      </c>
      <c r="P439" t="n">
        <v>0</v>
      </c>
      <c r="Q439" t="n">
        <v>0</v>
      </c>
      <c r="R439" s="2" t="inlineStr"/>
    </row>
    <row r="440" ht="15" customHeight="1">
      <c r="A440" t="inlineStr">
        <is>
          <t>A 59037-2025</t>
        </is>
      </c>
      <c r="B440" s="1" t="n">
        <v>45988.36508101852</v>
      </c>
      <c r="C440" s="1" t="n">
        <v>46189</v>
      </c>
      <c r="D440" t="inlineStr">
        <is>
          <t>KALMAR LÄN</t>
        </is>
      </c>
      <c r="E440" t="inlineStr">
        <is>
          <t>VIMMERBY</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59034-2025</t>
        </is>
      </c>
      <c r="B441" s="1" t="n">
        <v>45988.36243055556</v>
      </c>
      <c r="C441" s="1" t="n">
        <v>46189</v>
      </c>
      <c r="D441" t="inlineStr">
        <is>
          <t>KALMAR LÄN</t>
        </is>
      </c>
      <c r="E441" t="inlineStr">
        <is>
          <t>VIMMERBY</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58858-2025</t>
        </is>
      </c>
      <c r="B442" s="1" t="n">
        <v>45987.4243287037</v>
      </c>
      <c r="C442" s="1" t="n">
        <v>46189</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59039-2025</t>
        </is>
      </c>
      <c r="B443" s="1" t="n">
        <v>45988.36790509259</v>
      </c>
      <c r="C443" s="1" t="n">
        <v>46189</v>
      </c>
      <c r="D443" t="inlineStr">
        <is>
          <t>KALMAR LÄN</t>
        </is>
      </c>
      <c r="E443" t="inlineStr">
        <is>
          <t>VIMMERBY</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58841-2025</t>
        </is>
      </c>
      <c r="B444" s="1" t="n">
        <v>45987.36275462963</v>
      </c>
      <c r="C444" s="1" t="n">
        <v>46189</v>
      </c>
      <c r="D444" t="inlineStr">
        <is>
          <t>KALMAR LÄN</t>
        </is>
      </c>
      <c r="E444" t="inlineStr">
        <is>
          <t>VIMMERBY</t>
        </is>
      </c>
      <c r="G444" t="n">
        <v>3.5</v>
      </c>
      <c r="H444" t="n">
        <v>0</v>
      </c>
      <c r="I444" t="n">
        <v>0</v>
      </c>
      <c r="J444" t="n">
        <v>0</v>
      </c>
      <c r="K444" t="n">
        <v>0</v>
      </c>
      <c r="L444" t="n">
        <v>0</v>
      </c>
      <c r="M444" t="n">
        <v>0</v>
      </c>
      <c r="N444" t="n">
        <v>0</v>
      </c>
      <c r="O444" t="n">
        <v>0</v>
      </c>
      <c r="P444" t="n">
        <v>0</v>
      </c>
      <c r="Q444" t="n">
        <v>0</v>
      </c>
      <c r="R444" s="2" t="inlineStr"/>
    </row>
    <row r="445" ht="15" customHeight="1">
      <c r="A445" t="inlineStr">
        <is>
          <t>A 40929-2022</t>
        </is>
      </c>
      <c r="B445" s="1" t="n">
        <v>44825.4336574074</v>
      </c>
      <c r="C445" s="1" t="n">
        <v>46189</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33380-2023</t>
        </is>
      </c>
      <c r="B446" s="1" t="n">
        <v>45128</v>
      </c>
      <c r="C446" s="1" t="n">
        <v>46189</v>
      </c>
      <c r="D446" t="inlineStr">
        <is>
          <t>KALMAR LÄN</t>
        </is>
      </c>
      <c r="E446" t="inlineStr">
        <is>
          <t>VIMMERBY</t>
        </is>
      </c>
      <c r="G446" t="n">
        <v>5.2</v>
      </c>
      <c r="H446" t="n">
        <v>0</v>
      </c>
      <c r="I446" t="n">
        <v>0</v>
      </c>
      <c r="J446" t="n">
        <v>0</v>
      </c>
      <c r="K446" t="n">
        <v>0</v>
      </c>
      <c r="L446" t="n">
        <v>0</v>
      </c>
      <c r="M446" t="n">
        <v>0</v>
      </c>
      <c r="N446" t="n">
        <v>0</v>
      </c>
      <c r="O446" t="n">
        <v>0</v>
      </c>
      <c r="P446" t="n">
        <v>0</v>
      </c>
      <c r="Q446" t="n">
        <v>0</v>
      </c>
      <c r="R446" s="2" t="inlineStr"/>
    </row>
    <row r="447" ht="15" customHeight="1">
      <c r="A447" t="inlineStr">
        <is>
          <t>A 46144-2023</t>
        </is>
      </c>
      <c r="B447" s="1" t="n">
        <v>45196.57247685185</v>
      </c>
      <c r="C447" s="1" t="n">
        <v>46189</v>
      </c>
      <c r="D447" t="inlineStr">
        <is>
          <t>KALMAR LÄN</t>
        </is>
      </c>
      <c r="E447" t="inlineStr">
        <is>
          <t>VIMMERBY</t>
        </is>
      </c>
      <c r="G447" t="n">
        <v>6.5</v>
      </c>
      <c r="H447" t="n">
        <v>0</v>
      </c>
      <c r="I447" t="n">
        <v>0</v>
      </c>
      <c r="J447" t="n">
        <v>0</v>
      </c>
      <c r="K447" t="n">
        <v>0</v>
      </c>
      <c r="L447" t="n">
        <v>0</v>
      </c>
      <c r="M447" t="n">
        <v>0</v>
      </c>
      <c r="N447" t="n">
        <v>0</v>
      </c>
      <c r="O447" t="n">
        <v>0</v>
      </c>
      <c r="P447" t="n">
        <v>0</v>
      </c>
      <c r="Q447" t="n">
        <v>0</v>
      </c>
      <c r="R447" s="2" t="inlineStr"/>
    </row>
    <row r="448" ht="15" customHeight="1">
      <c r="A448" t="inlineStr">
        <is>
          <t>A 54787-2023</t>
        </is>
      </c>
      <c r="B448" s="1" t="n">
        <v>45236</v>
      </c>
      <c r="C448" s="1" t="n">
        <v>46189</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15715-2022</t>
        </is>
      </c>
      <c r="B449" s="1" t="n">
        <v>44663</v>
      </c>
      <c r="C449" s="1" t="n">
        <v>46189</v>
      </c>
      <c r="D449" t="inlineStr">
        <is>
          <t>KALMAR LÄN</t>
        </is>
      </c>
      <c r="E449" t="inlineStr">
        <is>
          <t>VIMMERBY</t>
        </is>
      </c>
      <c r="G449" t="n">
        <v>2.3</v>
      </c>
      <c r="H449" t="n">
        <v>0</v>
      </c>
      <c r="I449" t="n">
        <v>0</v>
      </c>
      <c r="J449" t="n">
        <v>0</v>
      </c>
      <c r="K449" t="n">
        <v>0</v>
      </c>
      <c r="L449" t="n">
        <v>0</v>
      </c>
      <c r="M449" t="n">
        <v>0</v>
      </c>
      <c r="N449" t="n">
        <v>0</v>
      </c>
      <c r="O449" t="n">
        <v>0</v>
      </c>
      <c r="P449" t="n">
        <v>0</v>
      </c>
      <c r="Q449" t="n">
        <v>0</v>
      </c>
      <c r="R449" s="2" t="inlineStr"/>
    </row>
    <row r="450" ht="15" customHeight="1">
      <c r="A450" t="inlineStr">
        <is>
          <t>A 60180-2025</t>
        </is>
      </c>
      <c r="B450" s="1" t="n">
        <v>45994.46428240741</v>
      </c>
      <c r="C450" s="1" t="n">
        <v>46189</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43774-2023</t>
        </is>
      </c>
      <c r="B451" s="1" t="n">
        <v>45187</v>
      </c>
      <c r="C451" s="1" t="n">
        <v>46189</v>
      </c>
      <c r="D451" t="inlineStr">
        <is>
          <t>KALMAR LÄN</t>
        </is>
      </c>
      <c r="E451" t="inlineStr">
        <is>
          <t>VIMMERBY</t>
        </is>
      </c>
      <c r="G451" t="n">
        <v>3.4</v>
      </c>
      <c r="H451" t="n">
        <v>0</v>
      </c>
      <c r="I451" t="n">
        <v>0</v>
      </c>
      <c r="J451" t="n">
        <v>0</v>
      </c>
      <c r="K451" t="n">
        <v>0</v>
      </c>
      <c r="L451" t="n">
        <v>0</v>
      </c>
      <c r="M451" t="n">
        <v>0</v>
      </c>
      <c r="N451" t="n">
        <v>0</v>
      </c>
      <c r="O451" t="n">
        <v>0</v>
      </c>
      <c r="P451" t="n">
        <v>0</v>
      </c>
      <c r="Q451" t="n">
        <v>0</v>
      </c>
      <c r="R451" s="2" t="inlineStr"/>
    </row>
    <row r="452" ht="15" customHeight="1">
      <c r="A452" t="inlineStr">
        <is>
          <t>A 43705-2023</t>
        </is>
      </c>
      <c r="B452" s="1" t="n">
        <v>45187.42854166667</v>
      </c>
      <c r="C452" s="1" t="n">
        <v>46189</v>
      </c>
      <c r="D452" t="inlineStr">
        <is>
          <t>KALMAR LÄN</t>
        </is>
      </c>
      <c r="E452" t="inlineStr">
        <is>
          <t>VIMMERBY</t>
        </is>
      </c>
      <c r="G452" t="n">
        <v>1.2</v>
      </c>
      <c r="H452" t="n">
        <v>0</v>
      </c>
      <c r="I452" t="n">
        <v>0</v>
      </c>
      <c r="J452" t="n">
        <v>0</v>
      </c>
      <c r="K452" t="n">
        <v>0</v>
      </c>
      <c r="L452" t="n">
        <v>0</v>
      </c>
      <c r="M452" t="n">
        <v>0</v>
      </c>
      <c r="N452" t="n">
        <v>0</v>
      </c>
      <c r="O452" t="n">
        <v>0</v>
      </c>
      <c r="P452" t="n">
        <v>0</v>
      </c>
      <c r="Q452" t="n">
        <v>0</v>
      </c>
      <c r="R452" s="2" t="inlineStr"/>
    </row>
    <row r="453" ht="15" customHeight="1">
      <c r="A453" t="inlineStr">
        <is>
          <t>A 7932-2025</t>
        </is>
      </c>
      <c r="B453" s="1" t="n">
        <v>45707.3793287037</v>
      </c>
      <c r="C453" s="1" t="n">
        <v>46189</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60297-2025</t>
        </is>
      </c>
      <c r="B454" s="1" t="n">
        <v>45994</v>
      </c>
      <c r="C454" s="1" t="n">
        <v>46189</v>
      </c>
      <c r="D454" t="inlineStr">
        <is>
          <t>KALMAR LÄN</t>
        </is>
      </c>
      <c r="E454" t="inlineStr">
        <is>
          <t>VIMMERBY</t>
        </is>
      </c>
      <c r="G454" t="n">
        <v>4.2</v>
      </c>
      <c r="H454" t="n">
        <v>0</v>
      </c>
      <c r="I454" t="n">
        <v>0</v>
      </c>
      <c r="J454" t="n">
        <v>0</v>
      </c>
      <c r="K454" t="n">
        <v>0</v>
      </c>
      <c r="L454" t="n">
        <v>0</v>
      </c>
      <c r="M454" t="n">
        <v>0</v>
      </c>
      <c r="N454" t="n">
        <v>0</v>
      </c>
      <c r="O454" t="n">
        <v>0</v>
      </c>
      <c r="P454" t="n">
        <v>0</v>
      </c>
      <c r="Q454" t="n">
        <v>0</v>
      </c>
      <c r="R454" s="2" t="inlineStr"/>
    </row>
    <row r="455" ht="15" customHeight="1">
      <c r="A455" t="inlineStr">
        <is>
          <t>A 1978-2024</t>
        </is>
      </c>
      <c r="B455" s="1" t="n">
        <v>45308.59001157407</v>
      </c>
      <c r="C455" s="1" t="n">
        <v>46189</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6399-2025</t>
        </is>
      </c>
      <c r="B456" s="1" t="n">
        <v>45699.44291666667</v>
      </c>
      <c r="C456" s="1" t="n">
        <v>46189</v>
      </c>
      <c r="D456" t="inlineStr">
        <is>
          <t>KALMAR LÄN</t>
        </is>
      </c>
      <c r="E456" t="inlineStr">
        <is>
          <t>VIMMERBY</t>
        </is>
      </c>
      <c r="G456" t="n">
        <v>3.1</v>
      </c>
      <c r="H456" t="n">
        <v>0</v>
      </c>
      <c r="I456" t="n">
        <v>0</v>
      </c>
      <c r="J456" t="n">
        <v>0</v>
      </c>
      <c r="K456" t="n">
        <v>0</v>
      </c>
      <c r="L456" t="n">
        <v>0</v>
      </c>
      <c r="M456" t="n">
        <v>0</v>
      </c>
      <c r="N456" t="n">
        <v>0</v>
      </c>
      <c r="O456" t="n">
        <v>0</v>
      </c>
      <c r="P456" t="n">
        <v>0</v>
      </c>
      <c r="Q456" t="n">
        <v>0</v>
      </c>
      <c r="R456" s="2" t="inlineStr"/>
    </row>
    <row r="457" ht="15" customHeight="1">
      <c r="A457" t="inlineStr">
        <is>
          <t>A 41311-2023</t>
        </is>
      </c>
      <c r="B457" s="1" t="n">
        <v>45174</v>
      </c>
      <c r="C457" s="1" t="n">
        <v>46189</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10785-2025</t>
        </is>
      </c>
      <c r="B458" s="1" t="n">
        <v>45722.48634259259</v>
      </c>
      <c r="C458" s="1" t="n">
        <v>46189</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61790-2025</t>
        </is>
      </c>
      <c r="B459" s="1" t="n">
        <v>46002.68768518518</v>
      </c>
      <c r="C459" s="1" t="n">
        <v>46189</v>
      </c>
      <c r="D459" t="inlineStr">
        <is>
          <t>KALMAR LÄN</t>
        </is>
      </c>
      <c r="E459" t="inlineStr">
        <is>
          <t>VIMMERBY</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61726-2025</t>
        </is>
      </c>
      <c r="B460" s="1" t="n">
        <v>46002.58822916666</v>
      </c>
      <c r="C460" s="1" t="n">
        <v>46189</v>
      </c>
      <c r="D460" t="inlineStr">
        <is>
          <t>KALMAR LÄN</t>
        </is>
      </c>
      <c r="E460" t="inlineStr">
        <is>
          <t>VIMMERBY</t>
        </is>
      </c>
      <c r="F460" t="inlineStr">
        <is>
          <t>Sveaskog</t>
        </is>
      </c>
      <c r="G460" t="n">
        <v>0.2</v>
      </c>
      <c r="H460" t="n">
        <v>0</v>
      </c>
      <c r="I460" t="n">
        <v>0</v>
      </c>
      <c r="J460" t="n">
        <v>0</v>
      </c>
      <c r="K460" t="n">
        <v>0</v>
      </c>
      <c r="L460" t="n">
        <v>0</v>
      </c>
      <c r="M460" t="n">
        <v>0</v>
      </c>
      <c r="N460" t="n">
        <v>0</v>
      </c>
      <c r="O460" t="n">
        <v>0</v>
      </c>
      <c r="P460" t="n">
        <v>0</v>
      </c>
      <c r="Q460" t="n">
        <v>0</v>
      </c>
      <c r="R460" s="2" t="inlineStr"/>
    </row>
    <row r="461" ht="15" customHeight="1">
      <c r="A461" t="inlineStr">
        <is>
          <t>A 18020-2025</t>
        </is>
      </c>
      <c r="B461" s="1" t="n">
        <v>45761.4437962963</v>
      </c>
      <c r="C461" s="1" t="n">
        <v>46189</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61725-2025</t>
        </is>
      </c>
      <c r="B462" s="1" t="n">
        <v>46002.58680555555</v>
      </c>
      <c r="C462" s="1" t="n">
        <v>46189</v>
      </c>
      <c r="D462" t="inlineStr">
        <is>
          <t>KALMAR LÄN</t>
        </is>
      </c>
      <c r="E462" t="inlineStr">
        <is>
          <t>VIMMERBY</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585-2024</t>
        </is>
      </c>
      <c r="B463" s="1" t="n">
        <v>45299.62576388889</v>
      </c>
      <c r="C463" s="1" t="n">
        <v>46189</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6802-2025</t>
        </is>
      </c>
      <c r="B464" s="1" t="n">
        <v>45700.68289351852</v>
      </c>
      <c r="C464" s="1" t="n">
        <v>46189</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56020-2024</t>
        </is>
      </c>
      <c r="B465" s="1" t="n">
        <v>45623.9525462963</v>
      </c>
      <c r="C465" s="1" t="n">
        <v>46189</v>
      </c>
      <c r="D465" t="inlineStr">
        <is>
          <t>KALMAR LÄN</t>
        </is>
      </c>
      <c r="E465" t="inlineStr">
        <is>
          <t>VIMMERBY</t>
        </is>
      </c>
      <c r="G465" t="n">
        <v>1</v>
      </c>
      <c r="H465" t="n">
        <v>0</v>
      </c>
      <c r="I465" t="n">
        <v>0</v>
      </c>
      <c r="J465" t="n">
        <v>0</v>
      </c>
      <c r="K465" t="n">
        <v>0</v>
      </c>
      <c r="L465" t="n">
        <v>0</v>
      </c>
      <c r="M465" t="n">
        <v>0</v>
      </c>
      <c r="N465" t="n">
        <v>0</v>
      </c>
      <c r="O465" t="n">
        <v>0</v>
      </c>
      <c r="P465" t="n">
        <v>0</v>
      </c>
      <c r="Q465" t="n">
        <v>0</v>
      </c>
      <c r="R465" s="2" t="inlineStr"/>
    </row>
    <row r="466" ht="15" customHeight="1">
      <c r="A466" t="inlineStr">
        <is>
          <t>A 33842-2022</t>
        </is>
      </c>
      <c r="B466" s="1" t="n">
        <v>44790.49523148148</v>
      </c>
      <c r="C466" s="1" t="n">
        <v>46189</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60675-2023</t>
        </is>
      </c>
      <c r="B467" s="1" t="n">
        <v>45260.4716550926</v>
      </c>
      <c r="C467" s="1" t="n">
        <v>46189</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40095-2022</t>
        </is>
      </c>
      <c r="B468" s="1" t="n">
        <v>44820</v>
      </c>
      <c r="C468" s="1" t="n">
        <v>46189</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19537-2022</t>
        </is>
      </c>
      <c r="B469" s="1" t="n">
        <v>44693.62822916666</v>
      </c>
      <c r="C469" s="1" t="n">
        <v>46189</v>
      </c>
      <c r="D469" t="inlineStr">
        <is>
          <t>KALMAR LÄN</t>
        </is>
      </c>
      <c r="E469" t="inlineStr">
        <is>
          <t>VIMMERBY</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57311-2023</t>
        </is>
      </c>
      <c r="B470" s="1" t="n">
        <v>45245.63574074074</v>
      </c>
      <c r="C470" s="1" t="n">
        <v>46189</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64428-2023</t>
        </is>
      </c>
      <c r="B471" s="1" t="n">
        <v>45280.66769675926</v>
      </c>
      <c r="C471" s="1" t="n">
        <v>46189</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4527-2023</t>
        </is>
      </c>
      <c r="B472" s="1" t="n">
        <v>44956</v>
      </c>
      <c r="C472" s="1" t="n">
        <v>46189</v>
      </c>
      <c r="D472" t="inlineStr">
        <is>
          <t>KALMAR LÄN</t>
        </is>
      </c>
      <c r="E472" t="inlineStr">
        <is>
          <t>VIMMERBY</t>
        </is>
      </c>
      <c r="F472" t="inlineStr">
        <is>
          <t>Kommuner</t>
        </is>
      </c>
      <c r="G472" t="n">
        <v>8.5</v>
      </c>
      <c r="H472" t="n">
        <v>0</v>
      </c>
      <c r="I472" t="n">
        <v>0</v>
      </c>
      <c r="J472" t="n">
        <v>0</v>
      </c>
      <c r="K472" t="n">
        <v>0</v>
      </c>
      <c r="L472" t="n">
        <v>0</v>
      </c>
      <c r="M472" t="n">
        <v>0</v>
      </c>
      <c r="N472" t="n">
        <v>0</v>
      </c>
      <c r="O472" t="n">
        <v>0</v>
      </c>
      <c r="P472" t="n">
        <v>0</v>
      </c>
      <c r="Q472" t="n">
        <v>0</v>
      </c>
      <c r="R472" s="2" t="inlineStr"/>
    </row>
    <row r="473" ht="15" customHeight="1">
      <c r="A473" t="inlineStr">
        <is>
          <t>A 3268-2024</t>
        </is>
      </c>
      <c r="B473" s="1" t="n">
        <v>45317</v>
      </c>
      <c r="C473" s="1" t="n">
        <v>46189</v>
      </c>
      <c r="D473" t="inlineStr">
        <is>
          <t>KALMAR LÄN</t>
        </is>
      </c>
      <c r="E473" t="inlineStr">
        <is>
          <t>VIMMERBY</t>
        </is>
      </c>
      <c r="F473" t="inlineStr">
        <is>
          <t>Övriga Aktiebolag</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51408-2023</t>
        </is>
      </c>
      <c r="B474" s="1" t="n">
        <v>45219.69356481481</v>
      </c>
      <c r="C474" s="1" t="n">
        <v>46189</v>
      </c>
      <c r="D474" t="inlineStr">
        <is>
          <t>KALMAR LÄN</t>
        </is>
      </c>
      <c r="E474" t="inlineStr">
        <is>
          <t>VIMMERBY</t>
        </is>
      </c>
      <c r="G474" t="n">
        <v>0.7</v>
      </c>
      <c r="H474" t="n">
        <v>0</v>
      </c>
      <c r="I474" t="n">
        <v>0</v>
      </c>
      <c r="J474" t="n">
        <v>0</v>
      </c>
      <c r="K474" t="n">
        <v>0</v>
      </c>
      <c r="L474" t="n">
        <v>0</v>
      </c>
      <c r="M474" t="n">
        <v>0</v>
      </c>
      <c r="N474" t="n">
        <v>0</v>
      </c>
      <c r="O474" t="n">
        <v>0</v>
      </c>
      <c r="P474" t="n">
        <v>0</v>
      </c>
      <c r="Q474" t="n">
        <v>0</v>
      </c>
      <c r="R474" s="2" t="inlineStr"/>
    </row>
    <row r="475" ht="15" customHeight="1">
      <c r="A475" t="inlineStr">
        <is>
          <t>A 52588-2023</t>
        </is>
      </c>
      <c r="B475" s="1" t="n">
        <v>45225.60192129629</v>
      </c>
      <c r="C475" s="1" t="n">
        <v>46189</v>
      </c>
      <c r="D475" t="inlineStr">
        <is>
          <t>KALMAR LÄN</t>
        </is>
      </c>
      <c r="E475" t="inlineStr">
        <is>
          <t>VIMMERBY</t>
        </is>
      </c>
      <c r="G475" t="n">
        <v>2.9</v>
      </c>
      <c r="H475" t="n">
        <v>0</v>
      </c>
      <c r="I475" t="n">
        <v>0</v>
      </c>
      <c r="J475" t="n">
        <v>0</v>
      </c>
      <c r="K475" t="n">
        <v>0</v>
      </c>
      <c r="L475" t="n">
        <v>0</v>
      </c>
      <c r="M475" t="n">
        <v>0</v>
      </c>
      <c r="N475" t="n">
        <v>0</v>
      </c>
      <c r="O475" t="n">
        <v>0</v>
      </c>
      <c r="P475" t="n">
        <v>0</v>
      </c>
      <c r="Q475" t="n">
        <v>0</v>
      </c>
      <c r="R475" s="2" t="inlineStr"/>
    </row>
    <row r="476" ht="15" customHeight="1">
      <c r="A476" t="inlineStr">
        <is>
          <t>A 55236-2023</t>
        </is>
      </c>
      <c r="B476" s="1" t="n">
        <v>45237.63225694445</v>
      </c>
      <c r="C476" s="1" t="n">
        <v>46189</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55245-2023</t>
        </is>
      </c>
      <c r="B477" s="1" t="n">
        <v>45237.64408564815</v>
      </c>
      <c r="C477" s="1" t="n">
        <v>46189</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25370-2022</t>
        </is>
      </c>
      <c r="B478" s="1" t="n">
        <v>44732.3659837963</v>
      </c>
      <c r="C478" s="1" t="n">
        <v>46189</v>
      </c>
      <c r="D478" t="inlineStr">
        <is>
          <t>KALMAR LÄN</t>
        </is>
      </c>
      <c r="E478" t="inlineStr">
        <is>
          <t>VIMMERBY</t>
        </is>
      </c>
      <c r="G478" t="n">
        <v>1.2</v>
      </c>
      <c r="H478" t="n">
        <v>0</v>
      </c>
      <c r="I478" t="n">
        <v>0</v>
      </c>
      <c r="J478" t="n">
        <v>0</v>
      </c>
      <c r="K478" t="n">
        <v>0</v>
      </c>
      <c r="L478" t="n">
        <v>0</v>
      </c>
      <c r="M478" t="n">
        <v>0</v>
      </c>
      <c r="N478" t="n">
        <v>0</v>
      </c>
      <c r="O478" t="n">
        <v>0</v>
      </c>
      <c r="P478" t="n">
        <v>0</v>
      </c>
      <c r="Q478" t="n">
        <v>0</v>
      </c>
      <c r="R478" s="2" t="inlineStr"/>
    </row>
    <row r="479" ht="15" customHeight="1">
      <c r="A479" t="inlineStr">
        <is>
          <t>A 63848-2025</t>
        </is>
      </c>
      <c r="B479" s="1" t="n">
        <v>46020.44902777778</v>
      </c>
      <c r="C479" s="1" t="n">
        <v>46189</v>
      </c>
      <c r="D479" t="inlineStr">
        <is>
          <t>KALMAR LÄN</t>
        </is>
      </c>
      <c r="E479" t="inlineStr">
        <is>
          <t>VIMMERBY</t>
        </is>
      </c>
      <c r="G479" t="n">
        <v>3.4</v>
      </c>
      <c r="H479" t="n">
        <v>0</v>
      </c>
      <c r="I479" t="n">
        <v>0</v>
      </c>
      <c r="J479" t="n">
        <v>0</v>
      </c>
      <c r="K479" t="n">
        <v>0</v>
      </c>
      <c r="L479" t="n">
        <v>0</v>
      </c>
      <c r="M479" t="n">
        <v>0</v>
      </c>
      <c r="N479" t="n">
        <v>0</v>
      </c>
      <c r="O479" t="n">
        <v>0</v>
      </c>
      <c r="P479" t="n">
        <v>0</v>
      </c>
      <c r="Q479" t="n">
        <v>0</v>
      </c>
      <c r="R479" s="2" t="inlineStr"/>
    </row>
    <row r="480" ht="15" customHeight="1">
      <c r="A480" t="inlineStr">
        <is>
          <t>A 33838-2022</t>
        </is>
      </c>
      <c r="B480" s="1" t="n">
        <v>44790.49040509259</v>
      </c>
      <c r="C480" s="1" t="n">
        <v>46189</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63758-2025</t>
        </is>
      </c>
      <c r="B481" s="1" t="n">
        <v>46018.46483796297</v>
      </c>
      <c r="C481" s="1" t="n">
        <v>46189</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4058-2024</t>
        </is>
      </c>
      <c r="B482" s="1" t="n">
        <v>45323.53744212963</v>
      </c>
      <c r="C482" s="1" t="n">
        <v>46189</v>
      </c>
      <c r="D482" t="inlineStr">
        <is>
          <t>KALMAR LÄN</t>
        </is>
      </c>
      <c r="E482" t="inlineStr">
        <is>
          <t>VIMMERBY</t>
        </is>
      </c>
      <c r="G482" t="n">
        <v>6.5</v>
      </c>
      <c r="H482" t="n">
        <v>0</v>
      </c>
      <c r="I482" t="n">
        <v>0</v>
      </c>
      <c r="J482" t="n">
        <v>0</v>
      </c>
      <c r="K482" t="n">
        <v>0</v>
      </c>
      <c r="L482" t="n">
        <v>0</v>
      </c>
      <c r="M482" t="n">
        <v>0</v>
      </c>
      <c r="N482" t="n">
        <v>0</v>
      </c>
      <c r="O482" t="n">
        <v>0</v>
      </c>
      <c r="P482" t="n">
        <v>0</v>
      </c>
      <c r="Q482" t="n">
        <v>0</v>
      </c>
      <c r="R482" s="2" t="inlineStr"/>
    </row>
    <row r="483" ht="15" customHeight="1">
      <c r="A483" t="inlineStr">
        <is>
          <t>A 36008-2024</t>
        </is>
      </c>
      <c r="B483" s="1" t="n">
        <v>45533.55362268518</v>
      </c>
      <c r="C483" s="1" t="n">
        <v>46189</v>
      </c>
      <c r="D483" t="inlineStr">
        <is>
          <t>KALMAR LÄN</t>
        </is>
      </c>
      <c r="E483" t="inlineStr">
        <is>
          <t>VIMMERBY</t>
        </is>
      </c>
      <c r="G483" t="n">
        <v>3.7</v>
      </c>
      <c r="H483" t="n">
        <v>0</v>
      </c>
      <c r="I483" t="n">
        <v>0</v>
      </c>
      <c r="J483" t="n">
        <v>0</v>
      </c>
      <c r="K483" t="n">
        <v>0</v>
      </c>
      <c r="L483" t="n">
        <v>0</v>
      </c>
      <c r="M483" t="n">
        <v>0</v>
      </c>
      <c r="N483" t="n">
        <v>0</v>
      </c>
      <c r="O483" t="n">
        <v>0</v>
      </c>
      <c r="P483" t="n">
        <v>0</v>
      </c>
      <c r="Q483" t="n">
        <v>0</v>
      </c>
      <c r="R483" s="2" t="inlineStr"/>
    </row>
    <row r="484" ht="15" customHeight="1">
      <c r="A484" t="inlineStr">
        <is>
          <t>A 8540-2024</t>
        </is>
      </c>
      <c r="B484" s="1" t="n">
        <v>45355.54138888889</v>
      </c>
      <c r="C484" s="1" t="n">
        <v>46189</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9623-2024</t>
        </is>
      </c>
      <c r="B485" s="1" t="n">
        <v>45361.87975694444</v>
      </c>
      <c r="C485" s="1" t="n">
        <v>46189</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5146-2024</t>
        </is>
      </c>
      <c r="B486" s="1" t="n">
        <v>45330</v>
      </c>
      <c r="C486" s="1" t="n">
        <v>46189</v>
      </c>
      <c r="D486" t="inlineStr">
        <is>
          <t>KALMAR LÄN</t>
        </is>
      </c>
      <c r="E486" t="inlineStr">
        <is>
          <t>VIMMERBY</t>
        </is>
      </c>
      <c r="G486" t="n">
        <v>5.3</v>
      </c>
      <c r="H486" t="n">
        <v>0</v>
      </c>
      <c r="I486" t="n">
        <v>0</v>
      </c>
      <c r="J486" t="n">
        <v>0</v>
      </c>
      <c r="K486" t="n">
        <v>0</v>
      </c>
      <c r="L486" t="n">
        <v>0</v>
      </c>
      <c r="M486" t="n">
        <v>0</v>
      </c>
      <c r="N486" t="n">
        <v>0</v>
      </c>
      <c r="O486" t="n">
        <v>0</v>
      </c>
      <c r="P486" t="n">
        <v>0</v>
      </c>
      <c r="Q486" t="n">
        <v>0</v>
      </c>
      <c r="R486" s="2" t="inlineStr"/>
    </row>
    <row r="487" ht="15" customHeight="1">
      <c r="A487" t="inlineStr">
        <is>
          <t>A 5148-2024</t>
        </is>
      </c>
      <c r="B487" s="1" t="n">
        <v>45330</v>
      </c>
      <c r="C487" s="1" t="n">
        <v>46189</v>
      </c>
      <c r="D487" t="inlineStr">
        <is>
          <t>KALMAR LÄN</t>
        </is>
      </c>
      <c r="E487" t="inlineStr">
        <is>
          <t>VIMMERBY</t>
        </is>
      </c>
      <c r="G487" t="n">
        <v>5.6</v>
      </c>
      <c r="H487" t="n">
        <v>0</v>
      </c>
      <c r="I487" t="n">
        <v>0</v>
      </c>
      <c r="J487" t="n">
        <v>0</v>
      </c>
      <c r="K487" t="n">
        <v>0</v>
      </c>
      <c r="L487" t="n">
        <v>0</v>
      </c>
      <c r="M487" t="n">
        <v>0</v>
      </c>
      <c r="N487" t="n">
        <v>0</v>
      </c>
      <c r="O487" t="n">
        <v>0</v>
      </c>
      <c r="P487" t="n">
        <v>0</v>
      </c>
      <c r="Q487" t="n">
        <v>0</v>
      </c>
      <c r="R487" s="2" t="inlineStr"/>
    </row>
    <row r="488" ht="15" customHeight="1">
      <c r="A488" t="inlineStr">
        <is>
          <t>A 44179-2022</t>
        </is>
      </c>
      <c r="B488" s="1" t="n">
        <v>44839.4528125</v>
      </c>
      <c r="C488" s="1" t="n">
        <v>46189</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409-2026</t>
        </is>
      </c>
      <c r="B489" s="1" t="n">
        <v>46028.69432870371</v>
      </c>
      <c r="C489" s="1" t="n">
        <v>46189</v>
      </c>
      <c r="D489" t="inlineStr">
        <is>
          <t>KALMAR LÄN</t>
        </is>
      </c>
      <c r="E489" t="inlineStr">
        <is>
          <t>VIMMERBY</t>
        </is>
      </c>
      <c r="G489" t="n">
        <v>2.2</v>
      </c>
      <c r="H489" t="n">
        <v>0</v>
      </c>
      <c r="I489" t="n">
        <v>0</v>
      </c>
      <c r="J489" t="n">
        <v>0</v>
      </c>
      <c r="K489" t="n">
        <v>0</v>
      </c>
      <c r="L489" t="n">
        <v>0</v>
      </c>
      <c r="M489" t="n">
        <v>0</v>
      </c>
      <c r="N489" t="n">
        <v>0</v>
      </c>
      <c r="O489" t="n">
        <v>0</v>
      </c>
      <c r="P489" t="n">
        <v>0</v>
      </c>
      <c r="Q489" t="n">
        <v>0</v>
      </c>
      <c r="R489" s="2" t="inlineStr"/>
    </row>
    <row r="490" ht="15" customHeight="1">
      <c r="A490" t="inlineStr">
        <is>
          <t>A 50648-2023</t>
        </is>
      </c>
      <c r="B490" s="1" t="n">
        <v>45217.47834490741</v>
      </c>
      <c r="C490" s="1" t="n">
        <v>46189</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406-2026</t>
        </is>
      </c>
      <c r="B491" s="1" t="n">
        <v>46028.68663194445</v>
      </c>
      <c r="C491" s="1" t="n">
        <v>46189</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2121-2022</t>
        </is>
      </c>
      <c r="B492" s="1" t="n">
        <v>44578.32717592592</v>
      </c>
      <c r="C492" s="1" t="n">
        <v>46189</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579-2026</t>
        </is>
      </c>
      <c r="B493" s="1" t="n">
        <v>46029.47912037037</v>
      </c>
      <c r="C493" s="1" t="n">
        <v>46189</v>
      </c>
      <c r="D493" t="inlineStr">
        <is>
          <t>KALMAR LÄN</t>
        </is>
      </c>
      <c r="E493" t="inlineStr">
        <is>
          <t>VIMMERBY</t>
        </is>
      </c>
      <c r="G493" t="n">
        <v>3</v>
      </c>
      <c r="H493" t="n">
        <v>0</v>
      </c>
      <c r="I493" t="n">
        <v>0</v>
      </c>
      <c r="J493" t="n">
        <v>0</v>
      </c>
      <c r="K493" t="n">
        <v>0</v>
      </c>
      <c r="L493" t="n">
        <v>0</v>
      </c>
      <c r="M493" t="n">
        <v>0</v>
      </c>
      <c r="N493" t="n">
        <v>0</v>
      </c>
      <c r="O493" t="n">
        <v>0</v>
      </c>
      <c r="P493" t="n">
        <v>0</v>
      </c>
      <c r="Q493" t="n">
        <v>0</v>
      </c>
      <c r="R493" s="2" t="inlineStr"/>
    </row>
    <row r="494" ht="15" customHeight="1">
      <c r="A494" t="inlineStr">
        <is>
          <t>A 57799-2022</t>
        </is>
      </c>
      <c r="B494" s="1" t="n">
        <v>44897</v>
      </c>
      <c r="C494" s="1" t="n">
        <v>46189</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842-2026</t>
        </is>
      </c>
      <c r="B495" s="1" t="n">
        <v>46030.380625</v>
      </c>
      <c r="C495" s="1" t="n">
        <v>46189</v>
      </c>
      <c r="D495" t="inlineStr">
        <is>
          <t>KALMAR LÄN</t>
        </is>
      </c>
      <c r="E495" t="inlineStr">
        <is>
          <t>VIMMERBY</t>
        </is>
      </c>
      <c r="G495" t="n">
        <v>0.9</v>
      </c>
      <c r="H495" t="n">
        <v>0</v>
      </c>
      <c r="I495" t="n">
        <v>0</v>
      </c>
      <c r="J495" t="n">
        <v>0</v>
      </c>
      <c r="K495" t="n">
        <v>0</v>
      </c>
      <c r="L495" t="n">
        <v>0</v>
      </c>
      <c r="M495" t="n">
        <v>0</v>
      </c>
      <c r="N495" t="n">
        <v>0</v>
      </c>
      <c r="O495" t="n">
        <v>0</v>
      </c>
      <c r="P495" t="n">
        <v>0</v>
      </c>
      <c r="Q495" t="n">
        <v>0</v>
      </c>
      <c r="R495" s="2" t="inlineStr"/>
    </row>
    <row r="496" ht="15" customHeight="1">
      <c r="A496" t="inlineStr">
        <is>
          <t>A 26318-2023</t>
        </is>
      </c>
      <c r="B496" s="1" t="n">
        <v>45091.67936342592</v>
      </c>
      <c r="C496" s="1" t="n">
        <v>46189</v>
      </c>
      <c r="D496" t="inlineStr">
        <is>
          <t>KALMAR LÄN</t>
        </is>
      </c>
      <c r="E496" t="inlineStr">
        <is>
          <t>VIMMERBY</t>
        </is>
      </c>
      <c r="G496" t="n">
        <v>3.8</v>
      </c>
      <c r="H496" t="n">
        <v>0</v>
      </c>
      <c r="I496" t="n">
        <v>0</v>
      </c>
      <c r="J496" t="n">
        <v>0</v>
      </c>
      <c r="K496" t="n">
        <v>0</v>
      </c>
      <c r="L496" t="n">
        <v>0</v>
      </c>
      <c r="M496" t="n">
        <v>0</v>
      </c>
      <c r="N496" t="n">
        <v>0</v>
      </c>
      <c r="O496" t="n">
        <v>0</v>
      </c>
      <c r="P496" t="n">
        <v>0</v>
      </c>
      <c r="Q496" t="n">
        <v>0</v>
      </c>
      <c r="R496" s="2" t="inlineStr"/>
    </row>
    <row r="497" ht="15" customHeight="1">
      <c r="A497" t="inlineStr">
        <is>
          <t>A 60437-2023</t>
        </is>
      </c>
      <c r="B497" s="1" t="n">
        <v>45259.51916666667</v>
      </c>
      <c r="C497" s="1" t="n">
        <v>46189</v>
      </c>
      <c r="D497" t="inlineStr">
        <is>
          <t>KALMAR LÄN</t>
        </is>
      </c>
      <c r="E497" t="inlineStr">
        <is>
          <t>VIMMERBY</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60438-2023</t>
        </is>
      </c>
      <c r="B498" s="1" t="n">
        <v>45259.52020833334</v>
      </c>
      <c r="C498" s="1" t="n">
        <v>46189</v>
      </c>
      <c r="D498" t="inlineStr">
        <is>
          <t>KALMAR LÄN</t>
        </is>
      </c>
      <c r="E498" t="inlineStr">
        <is>
          <t>VIMMERBY</t>
        </is>
      </c>
      <c r="F498" t="inlineStr">
        <is>
          <t>Sveaskog</t>
        </is>
      </c>
      <c r="G498" t="n">
        <v>1.2</v>
      </c>
      <c r="H498" t="n">
        <v>0</v>
      </c>
      <c r="I498" t="n">
        <v>0</v>
      </c>
      <c r="J498" t="n">
        <v>0</v>
      </c>
      <c r="K498" t="n">
        <v>0</v>
      </c>
      <c r="L498" t="n">
        <v>0</v>
      </c>
      <c r="M498" t="n">
        <v>0</v>
      </c>
      <c r="N498" t="n">
        <v>0</v>
      </c>
      <c r="O498" t="n">
        <v>0</v>
      </c>
      <c r="P498" t="n">
        <v>0</v>
      </c>
      <c r="Q498" t="n">
        <v>0</v>
      </c>
      <c r="R498" s="2" t="inlineStr"/>
    </row>
    <row r="499" ht="15" customHeight="1">
      <c r="A499" t="inlineStr">
        <is>
          <t>A 1069-2026</t>
        </is>
      </c>
      <c r="B499" s="1" t="n">
        <v>46030</v>
      </c>
      <c r="C499" s="1" t="n">
        <v>46189</v>
      </c>
      <c r="D499" t="inlineStr">
        <is>
          <t>KALMAR LÄN</t>
        </is>
      </c>
      <c r="E499" t="inlineStr">
        <is>
          <t>VIMMERBY</t>
        </is>
      </c>
      <c r="G499" t="n">
        <v>3.3</v>
      </c>
      <c r="H499" t="n">
        <v>0</v>
      </c>
      <c r="I499" t="n">
        <v>0</v>
      </c>
      <c r="J499" t="n">
        <v>0</v>
      </c>
      <c r="K499" t="n">
        <v>0</v>
      </c>
      <c r="L499" t="n">
        <v>0</v>
      </c>
      <c r="M499" t="n">
        <v>0</v>
      </c>
      <c r="N499" t="n">
        <v>0</v>
      </c>
      <c r="O499" t="n">
        <v>0</v>
      </c>
      <c r="P499" t="n">
        <v>0</v>
      </c>
      <c r="Q499" t="n">
        <v>0</v>
      </c>
      <c r="R499" s="2" t="inlineStr"/>
    </row>
    <row r="500" ht="15" customHeight="1">
      <c r="A500" t="inlineStr">
        <is>
          <t>A 7758-2024</t>
        </is>
      </c>
      <c r="B500" s="1" t="n">
        <v>45349.54434027777</v>
      </c>
      <c r="C500" s="1" t="n">
        <v>46189</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1743-2026</t>
        </is>
      </c>
      <c r="B501" s="1" t="n">
        <v>46034</v>
      </c>
      <c r="C501" s="1" t="n">
        <v>46189</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6082-2022</t>
        </is>
      </c>
      <c r="B502" s="1" t="n">
        <v>44599</v>
      </c>
      <c r="C502" s="1" t="n">
        <v>46189</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46979-2023</t>
        </is>
      </c>
      <c r="B503" s="1" t="n">
        <v>45201</v>
      </c>
      <c r="C503" s="1" t="n">
        <v>46189</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1748-2026</t>
        </is>
      </c>
      <c r="B504" s="1" t="n">
        <v>46034.65589120371</v>
      </c>
      <c r="C504" s="1" t="n">
        <v>46189</v>
      </c>
      <c r="D504" t="inlineStr">
        <is>
          <t>KALMAR LÄN</t>
        </is>
      </c>
      <c r="E504" t="inlineStr">
        <is>
          <t>VIMMERBY</t>
        </is>
      </c>
      <c r="G504" t="n">
        <v>0.9</v>
      </c>
      <c r="H504" t="n">
        <v>0</v>
      </c>
      <c r="I504" t="n">
        <v>0</v>
      </c>
      <c r="J504" t="n">
        <v>0</v>
      </c>
      <c r="K504" t="n">
        <v>0</v>
      </c>
      <c r="L504" t="n">
        <v>0</v>
      </c>
      <c r="M504" t="n">
        <v>0</v>
      </c>
      <c r="N504" t="n">
        <v>0</v>
      </c>
      <c r="O504" t="n">
        <v>0</v>
      </c>
      <c r="P504" t="n">
        <v>0</v>
      </c>
      <c r="Q504" t="n">
        <v>0</v>
      </c>
      <c r="R504" s="2" t="inlineStr"/>
    </row>
    <row r="505" ht="15" customHeight="1">
      <c r="A505" t="inlineStr">
        <is>
          <t>A 2596-2025</t>
        </is>
      </c>
      <c r="B505" s="1" t="n">
        <v>45674.71810185185</v>
      </c>
      <c r="C505" s="1" t="n">
        <v>46189</v>
      </c>
      <c r="D505" t="inlineStr">
        <is>
          <t>KALMAR LÄN</t>
        </is>
      </c>
      <c r="E505" t="inlineStr">
        <is>
          <t>VIMMERBY</t>
        </is>
      </c>
      <c r="G505" t="n">
        <v>9</v>
      </c>
      <c r="H505" t="n">
        <v>0</v>
      </c>
      <c r="I505" t="n">
        <v>0</v>
      </c>
      <c r="J505" t="n">
        <v>0</v>
      </c>
      <c r="K505" t="n">
        <v>0</v>
      </c>
      <c r="L505" t="n">
        <v>0</v>
      </c>
      <c r="M505" t="n">
        <v>0</v>
      </c>
      <c r="N505" t="n">
        <v>0</v>
      </c>
      <c r="O505" t="n">
        <v>0</v>
      </c>
      <c r="P505" t="n">
        <v>0</v>
      </c>
      <c r="Q505" t="n">
        <v>0</v>
      </c>
      <c r="R505" s="2" t="inlineStr"/>
    </row>
    <row r="506" ht="15" customHeight="1">
      <c r="A506" t="inlineStr">
        <is>
          <t>A 47855-2024</t>
        </is>
      </c>
      <c r="B506" s="1" t="n">
        <v>45588.66457175926</v>
      </c>
      <c r="C506" s="1" t="n">
        <v>46189</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63583-2023</t>
        </is>
      </c>
      <c r="B507" s="1" t="n">
        <v>45275.41833333333</v>
      </c>
      <c r="C507" s="1" t="n">
        <v>46189</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1862-2026</t>
        </is>
      </c>
      <c r="B508" s="1" t="n">
        <v>46035.44689814815</v>
      </c>
      <c r="C508" s="1" t="n">
        <v>46189</v>
      </c>
      <c r="D508" t="inlineStr">
        <is>
          <t>KALMAR LÄN</t>
        </is>
      </c>
      <c r="E508" t="inlineStr">
        <is>
          <t>VIMMERBY</t>
        </is>
      </c>
      <c r="G508" t="n">
        <v>3.1</v>
      </c>
      <c r="H508" t="n">
        <v>0</v>
      </c>
      <c r="I508" t="n">
        <v>0</v>
      </c>
      <c r="J508" t="n">
        <v>0</v>
      </c>
      <c r="K508" t="n">
        <v>0</v>
      </c>
      <c r="L508" t="n">
        <v>0</v>
      </c>
      <c r="M508" t="n">
        <v>0</v>
      </c>
      <c r="N508" t="n">
        <v>0</v>
      </c>
      <c r="O508" t="n">
        <v>0</v>
      </c>
      <c r="P508" t="n">
        <v>0</v>
      </c>
      <c r="Q508" t="n">
        <v>0</v>
      </c>
      <c r="R508" s="2" t="inlineStr"/>
    </row>
    <row r="509" ht="15" customHeight="1">
      <c r="A509" t="inlineStr">
        <is>
          <t>A 60228-2021</t>
        </is>
      </c>
      <c r="B509" s="1" t="n">
        <v>44495</v>
      </c>
      <c r="C509" s="1" t="n">
        <v>46189</v>
      </c>
      <c r="D509" t="inlineStr">
        <is>
          <t>KALMAR LÄN</t>
        </is>
      </c>
      <c r="E509" t="inlineStr">
        <is>
          <t>VIMMERBY</t>
        </is>
      </c>
      <c r="G509" t="n">
        <v>4.1</v>
      </c>
      <c r="H509" t="n">
        <v>0</v>
      </c>
      <c r="I509" t="n">
        <v>0</v>
      </c>
      <c r="J509" t="n">
        <v>0</v>
      </c>
      <c r="K509" t="n">
        <v>0</v>
      </c>
      <c r="L509" t="n">
        <v>0</v>
      </c>
      <c r="M509" t="n">
        <v>0</v>
      </c>
      <c r="N509" t="n">
        <v>0</v>
      </c>
      <c r="O509" t="n">
        <v>0</v>
      </c>
      <c r="P509" t="n">
        <v>0</v>
      </c>
      <c r="Q509" t="n">
        <v>0</v>
      </c>
      <c r="R509" s="2" t="inlineStr"/>
    </row>
    <row r="510" ht="15" customHeight="1">
      <c r="A510" t="inlineStr">
        <is>
          <t>A 46522-2022</t>
        </is>
      </c>
      <c r="B510" s="1" t="n">
        <v>44848.59133101852</v>
      </c>
      <c r="C510" s="1" t="n">
        <v>46189</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21109-2024</t>
        </is>
      </c>
      <c r="B511" s="1" t="n">
        <v>45440.28329861111</v>
      </c>
      <c r="C511" s="1" t="n">
        <v>46189</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33815-2022</t>
        </is>
      </c>
      <c r="B512" s="1" t="n">
        <v>44790.45876157407</v>
      </c>
      <c r="C512" s="1" t="n">
        <v>46189</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49461-2022</t>
        </is>
      </c>
      <c r="B513" s="1" t="n">
        <v>44861</v>
      </c>
      <c r="C513" s="1" t="n">
        <v>46189</v>
      </c>
      <c r="D513" t="inlineStr">
        <is>
          <t>KALMAR LÄN</t>
        </is>
      </c>
      <c r="E513" t="inlineStr">
        <is>
          <t>VIMMERBY</t>
        </is>
      </c>
      <c r="G513" t="n">
        <v>3.2</v>
      </c>
      <c r="H513" t="n">
        <v>0</v>
      </c>
      <c r="I513" t="n">
        <v>0</v>
      </c>
      <c r="J513" t="n">
        <v>0</v>
      </c>
      <c r="K513" t="n">
        <v>0</v>
      </c>
      <c r="L513" t="n">
        <v>0</v>
      </c>
      <c r="M513" t="n">
        <v>0</v>
      </c>
      <c r="N513" t="n">
        <v>0</v>
      </c>
      <c r="O513" t="n">
        <v>0</v>
      </c>
      <c r="P513" t="n">
        <v>0</v>
      </c>
      <c r="Q513" t="n">
        <v>0</v>
      </c>
      <c r="R513" s="2" t="inlineStr"/>
    </row>
    <row r="514" ht="15" customHeight="1">
      <c r="A514" t="inlineStr">
        <is>
          <t>A 53542-2022</t>
        </is>
      </c>
      <c r="B514" s="1" t="n">
        <v>44879.62173611111</v>
      </c>
      <c r="C514" s="1" t="n">
        <v>46189</v>
      </c>
      <c r="D514" t="inlineStr">
        <is>
          <t>KALMAR LÄN</t>
        </is>
      </c>
      <c r="E514" t="inlineStr">
        <is>
          <t>VIMMERBY</t>
        </is>
      </c>
      <c r="G514" t="n">
        <v>2.6</v>
      </c>
      <c r="H514" t="n">
        <v>0</v>
      </c>
      <c r="I514" t="n">
        <v>0</v>
      </c>
      <c r="J514" t="n">
        <v>0</v>
      </c>
      <c r="K514" t="n">
        <v>0</v>
      </c>
      <c r="L514" t="n">
        <v>0</v>
      </c>
      <c r="M514" t="n">
        <v>0</v>
      </c>
      <c r="N514" t="n">
        <v>0</v>
      </c>
      <c r="O514" t="n">
        <v>0</v>
      </c>
      <c r="P514" t="n">
        <v>0</v>
      </c>
      <c r="Q514" t="n">
        <v>0</v>
      </c>
      <c r="R514" s="2" t="inlineStr"/>
    </row>
    <row r="515" ht="15" customHeight="1">
      <c r="A515" t="inlineStr">
        <is>
          <t>A 35713-2023</t>
        </is>
      </c>
      <c r="B515" s="1" t="n">
        <v>45147</v>
      </c>
      <c r="C515" s="1" t="n">
        <v>46189</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2523-2026</t>
        </is>
      </c>
      <c r="B516" s="1" t="n">
        <v>46037.42825231481</v>
      </c>
      <c r="C516" s="1" t="n">
        <v>46189</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10424-2023</t>
        </is>
      </c>
      <c r="B517" s="1" t="n">
        <v>44987.54104166666</v>
      </c>
      <c r="C517" s="1" t="n">
        <v>46189</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2514-2026</t>
        </is>
      </c>
      <c r="B518" s="1" t="n">
        <v>46037.42219907408</v>
      </c>
      <c r="C518" s="1" t="n">
        <v>46189</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2518-2026</t>
        </is>
      </c>
      <c r="B519" s="1" t="n">
        <v>46037.42511574074</v>
      </c>
      <c r="C519" s="1" t="n">
        <v>46189</v>
      </c>
      <c r="D519" t="inlineStr">
        <is>
          <t>KALMAR LÄN</t>
        </is>
      </c>
      <c r="E519" t="inlineStr">
        <is>
          <t>VIMMERBY</t>
        </is>
      </c>
      <c r="G519" t="n">
        <v>1.2</v>
      </c>
      <c r="H519" t="n">
        <v>0</v>
      </c>
      <c r="I519" t="n">
        <v>0</v>
      </c>
      <c r="J519" t="n">
        <v>0</v>
      </c>
      <c r="K519" t="n">
        <v>0</v>
      </c>
      <c r="L519" t="n">
        <v>0</v>
      </c>
      <c r="M519" t="n">
        <v>0</v>
      </c>
      <c r="N519" t="n">
        <v>0</v>
      </c>
      <c r="O519" t="n">
        <v>0</v>
      </c>
      <c r="P519" t="n">
        <v>0</v>
      </c>
      <c r="Q519" t="n">
        <v>0</v>
      </c>
      <c r="R519" s="2" t="inlineStr"/>
    </row>
    <row r="520" ht="15" customHeight="1">
      <c r="A520" t="inlineStr">
        <is>
          <t>A 3266-2026</t>
        </is>
      </c>
      <c r="B520" s="1" t="n">
        <v>46041</v>
      </c>
      <c r="C520" s="1" t="n">
        <v>46189</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33340-2023</t>
        </is>
      </c>
      <c r="B521" s="1" t="n">
        <v>45128.37305555555</v>
      </c>
      <c r="C521" s="1" t="n">
        <v>46189</v>
      </c>
      <c r="D521" t="inlineStr">
        <is>
          <t>KALMAR LÄN</t>
        </is>
      </c>
      <c r="E521" t="inlineStr">
        <is>
          <t>VIMMERBY</t>
        </is>
      </c>
      <c r="G521" t="n">
        <v>1.5</v>
      </c>
      <c r="H521" t="n">
        <v>0</v>
      </c>
      <c r="I521" t="n">
        <v>0</v>
      </c>
      <c r="J521" t="n">
        <v>0</v>
      </c>
      <c r="K521" t="n">
        <v>0</v>
      </c>
      <c r="L521" t="n">
        <v>0</v>
      </c>
      <c r="M521" t="n">
        <v>0</v>
      </c>
      <c r="N521" t="n">
        <v>0</v>
      </c>
      <c r="O521" t="n">
        <v>0</v>
      </c>
      <c r="P521" t="n">
        <v>0</v>
      </c>
      <c r="Q521" t="n">
        <v>0</v>
      </c>
      <c r="R521" s="2" t="inlineStr"/>
    </row>
    <row r="522" ht="15" customHeight="1">
      <c r="A522" t="inlineStr">
        <is>
          <t>A 3965-2026</t>
        </is>
      </c>
      <c r="B522" s="1" t="n">
        <v>46044.34563657407</v>
      </c>
      <c r="C522" s="1" t="n">
        <v>46189</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3868-2026</t>
        </is>
      </c>
      <c r="B523" s="1" t="n">
        <v>46043.6360300926</v>
      </c>
      <c r="C523" s="1" t="n">
        <v>46189</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3869-2026</t>
        </is>
      </c>
      <c r="B524" s="1" t="n">
        <v>46043.63940972222</v>
      </c>
      <c r="C524" s="1" t="n">
        <v>46189</v>
      </c>
      <c r="D524" t="inlineStr">
        <is>
          <t>KALMAR LÄN</t>
        </is>
      </c>
      <c r="E524" t="inlineStr">
        <is>
          <t>VIMMERBY</t>
        </is>
      </c>
      <c r="G524" t="n">
        <v>0.7</v>
      </c>
      <c r="H524" t="n">
        <v>0</v>
      </c>
      <c r="I524" t="n">
        <v>0</v>
      </c>
      <c r="J524" t="n">
        <v>0</v>
      </c>
      <c r="K524" t="n">
        <v>0</v>
      </c>
      <c r="L524" t="n">
        <v>0</v>
      </c>
      <c r="M524" t="n">
        <v>0</v>
      </c>
      <c r="N524" t="n">
        <v>0</v>
      </c>
      <c r="O524" t="n">
        <v>0</v>
      </c>
      <c r="P524" t="n">
        <v>0</v>
      </c>
      <c r="Q524" t="n">
        <v>0</v>
      </c>
      <c r="R524" s="2" t="inlineStr"/>
    </row>
    <row r="525" ht="15" customHeight="1">
      <c r="A525" t="inlineStr">
        <is>
          <t>A 29017-2024</t>
        </is>
      </c>
      <c r="B525" s="1" t="n">
        <v>45481.56722222222</v>
      </c>
      <c r="C525" s="1" t="n">
        <v>46189</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58046-2022</t>
        </is>
      </c>
      <c r="B526" s="1" t="n">
        <v>44900.57393518519</v>
      </c>
      <c r="C526" s="1" t="n">
        <v>46189</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14548-2024</t>
        </is>
      </c>
      <c r="B527" s="1" t="n">
        <v>45394.66887731481</v>
      </c>
      <c r="C527" s="1" t="n">
        <v>46189</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48120-2022</t>
        </is>
      </c>
      <c r="B528" s="1" t="n">
        <v>44857.65989583333</v>
      </c>
      <c r="C528" s="1" t="n">
        <v>46189</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3423-2022</t>
        </is>
      </c>
      <c r="B529" s="1" t="n">
        <v>44585.50431712963</v>
      </c>
      <c r="C529" s="1" t="n">
        <v>46189</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11074-2023</t>
        </is>
      </c>
      <c r="B530" s="1" t="n">
        <v>44992.34151620371</v>
      </c>
      <c r="C530" s="1" t="n">
        <v>46189</v>
      </c>
      <c r="D530" t="inlineStr">
        <is>
          <t>KALMAR LÄN</t>
        </is>
      </c>
      <c r="E530" t="inlineStr">
        <is>
          <t>VIMMERBY</t>
        </is>
      </c>
      <c r="F530" t="inlineStr">
        <is>
          <t>Sveaskog</t>
        </is>
      </c>
      <c r="G530" t="n">
        <v>3.1</v>
      </c>
      <c r="H530" t="n">
        <v>0</v>
      </c>
      <c r="I530" t="n">
        <v>0</v>
      </c>
      <c r="J530" t="n">
        <v>0</v>
      </c>
      <c r="K530" t="n">
        <v>0</v>
      </c>
      <c r="L530" t="n">
        <v>0</v>
      </c>
      <c r="M530" t="n">
        <v>0</v>
      </c>
      <c r="N530" t="n">
        <v>0</v>
      </c>
      <c r="O530" t="n">
        <v>0</v>
      </c>
      <c r="P530" t="n">
        <v>0</v>
      </c>
      <c r="Q530" t="n">
        <v>0</v>
      </c>
      <c r="R530" s="2" t="inlineStr"/>
    </row>
    <row r="531" ht="15" customHeight="1">
      <c r="A531" t="inlineStr">
        <is>
          <t>A 71631-2021</t>
        </is>
      </c>
      <c r="B531" s="1" t="n">
        <v>44542.90072916666</v>
      </c>
      <c r="C531" s="1" t="n">
        <v>46189</v>
      </c>
      <c r="D531" t="inlineStr">
        <is>
          <t>KALMAR LÄN</t>
        </is>
      </c>
      <c r="E531" t="inlineStr">
        <is>
          <t>VIMMERBY</t>
        </is>
      </c>
      <c r="G531" t="n">
        <v>0.9</v>
      </c>
      <c r="H531" t="n">
        <v>0</v>
      </c>
      <c r="I531" t="n">
        <v>0</v>
      </c>
      <c r="J531" t="n">
        <v>0</v>
      </c>
      <c r="K531" t="n">
        <v>0</v>
      </c>
      <c r="L531" t="n">
        <v>0</v>
      </c>
      <c r="M531" t="n">
        <v>0</v>
      </c>
      <c r="N531" t="n">
        <v>0</v>
      </c>
      <c r="O531" t="n">
        <v>0</v>
      </c>
      <c r="P531" t="n">
        <v>0</v>
      </c>
      <c r="Q531" t="n">
        <v>0</v>
      </c>
      <c r="R531" s="2" t="inlineStr"/>
    </row>
    <row r="532" ht="15" customHeight="1">
      <c r="A532" t="inlineStr">
        <is>
          <t>A 49039-2021</t>
        </is>
      </c>
      <c r="B532" s="1" t="n">
        <v>44453.56578703703</v>
      </c>
      <c r="C532" s="1" t="n">
        <v>46189</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42918-2021</t>
        </is>
      </c>
      <c r="B533" s="1" t="n">
        <v>44431</v>
      </c>
      <c r="C533" s="1" t="n">
        <v>46189</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529-2022</t>
        </is>
      </c>
      <c r="B534" s="1" t="n">
        <v>44566</v>
      </c>
      <c r="C534" s="1" t="n">
        <v>46189</v>
      </c>
      <c r="D534" t="inlineStr">
        <is>
          <t>KALMAR LÄN</t>
        </is>
      </c>
      <c r="E534" t="inlineStr">
        <is>
          <t>VIMMERBY</t>
        </is>
      </c>
      <c r="G534" t="n">
        <v>1.5</v>
      </c>
      <c r="H534" t="n">
        <v>0</v>
      </c>
      <c r="I534" t="n">
        <v>0</v>
      </c>
      <c r="J534" t="n">
        <v>0</v>
      </c>
      <c r="K534" t="n">
        <v>0</v>
      </c>
      <c r="L534" t="n">
        <v>0</v>
      </c>
      <c r="M534" t="n">
        <v>0</v>
      </c>
      <c r="N534" t="n">
        <v>0</v>
      </c>
      <c r="O534" t="n">
        <v>0</v>
      </c>
      <c r="P534" t="n">
        <v>0</v>
      </c>
      <c r="Q534" t="n">
        <v>0</v>
      </c>
      <c r="R534" s="2" t="inlineStr"/>
    </row>
    <row r="535" ht="15" customHeight="1">
      <c r="A535" t="inlineStr">
        <is>
          <t>A 14855-2025</t>
        </is>
      </c>
      <c r="B535" s="1" t="n">
        <v>45743.41148148148</v>
      </c>
      <c r="C535" s="1" t="n">
        <v>46189</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60951-2023</t>
        </is>
      </c>
      <c r="B536" s="1" t="n">
        <v>45261.44914351852</v>
      </c>
      <c r="C536" s="1" t="n">
        <v>46189</v>
      </c>
      <c r="D536" t="inlineStr">
        <is>
          <t>KALMAR LÄN</t>
        </is>
      </c>
      <c r="E536" t="inlineStr">
        <is>
          <t>VIMMERBY</t>
        </is>
      </c>
      <c r="G536" t="n">
        <v>4.3</v>
      </c>
      <c r="H536" t="n">
        <v>0</v>
      </c>
      <c r="I536" t="n">
        <v>0</v>
      </c>
      <c r="J536" t="n">
        <v>0</v>
      </c>
      <c r="K536" t="n">
        <v>0</v>
      </c>
      <c r="L536" t="n">
        <v>0</v>
      </c>
      <c r="M536" t="n">
        <v>0</v>
      </c>
      <c r="N536" t="n">
        <v>0</v>
      </c>
      <c r="O536" t="n">
        <v>0</v>
      </c>
      <c r="P536" t="n">
        <v>0</v>
      </c>
      <c r="Q536" t="n">
        <v>0</v>
      </c>
      <c r="R536" s="2" t="inlineStr"/>
    </row>
    <row r="537" ht="15" customHeight="1">
      <c r="A537" t="inlineStr">
        <is>
          <t>A 19162-2023</t>
        </is>
      </c>
      <c r="B537" s="1" t="n">
        <v>45048.59699074074</v>
      </c>
      <c r="C537" s="1" t="n">
        <v>46189</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31209-2024</t>
        </is>
      </c>
      <c r="B538" s="1" t="n">
        <v>45503.5658912037</v>
      </c>
      <c r="C538" s="1" t="n">
        <v>46189</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5864-2022</t>
        </is>
      </c>
      <c r="B539" s="1" t="n">
        <v>44596</v>
      </c>
      <c r="C539" s="1" t="n">
        <v>46189</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3938-2023</t>
        </is>
      </c>
      <c r="B540" s="1" t="n">
        <v>44952.35775462963</v>
      </c>
      <c r="C540" s="1" t="n">
        <v>46189</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50085-2023</t>
        </is>
      </c>
      <c r="B541" s="1" t="n">
        <v>45215.5959375</v>
      </c>
      <c r="C541" s="1" t="n">
        <v>46189</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11219-2023</t>
        </is>
      </c>
      <c r="B542" s="1" t="n">
        <v>44992.62498842592</v>
      </c>
      <c r="C542" s="1" t="n">
        <v>46189</v>
      </c>
      <c r="D542" t="inlineStr">
        <is>
          <t>KALMAR LÄN</t>
        </is>
      </c>
      <c r="E542" t="inlineStr">
        <is>
          <t>VIMMERBY</t>
        </is>
      </c>
      <c r="G542" t="n">
        <v>2.5</v>
      </c>
      <c r="H542" t="n">
        <v>0</v>
      </c>
      <c r="I542" t="n">
        <v>0</v>
      </c>
      <c r="J542" t="n">
        <v>0</v>
      </c>
      <c r="K542" t="n">
        <v>0</v>
      </c>
      <c r="L542" t="n">
        <v>0</v>
      </c>
      <c r="M542" t="n">
        <v>0</v>
      </c>
      <c r="N542" t="n">
        <v>0</v>
      </c>
      <c r="O542" t="n">
        <v>0</v>
      </c>
      <c r="P542" t="n">
        <v>0</v>
      </c>
      <c r="Q542" t="n">
        <v>0</v>
      </c>
      <c r="R542" s="2" t="inlineStr"/>
    </row>
    <row r="543" ht="15" customHeight="1">
      <c r="A543" t="inlineStr">
        <is>
          <t>A 6817-2026</t>
        </is>
      </c>
      <c r="B543" s="1" t="n">
        <v>46057.38412037037</v>
      </c>
      <c r="C543" s="1" t="n">
        <v>46189</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6850-2023</t>
        </is>
      </c>
      <c r="B544" s="1" t="n">
        <v>44967.44255787037</v>
      </c>
      <c r="C544" s="1" t="n">
        <v>46189</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6358-2022</t>
        </is>
      </c>
      <c r="B545" s="1" t="n">
        <v>44600</v>
      </c>
      <c r="C545" s="1" t="n">
        <v>46189</v>
      </c>
      <c r="D545" t="inlineStr">
        <is>
          <t>KALMAR LÄN</t>
        </is>
      </c>
      <c r="E545" t="inlineStr">
        <is>
          <t>VIMMERBY</t>
        </is>
      </c>
      <c r="G545" t="n">
        <v>1.7</v>
      </c>
      <c r="H545" t="n">
        <v>0</v>
      </c>
      <c r="I545" t="n">
        <v>0</v>
      </c>
      <c r="J545" t="n">
        <v>0</v>
      </c>
      <c r="K545" t="n">
        <v>0</v>
      </c>
      <c r="L545" t="n">
        <v>0</v>
      </c>
      <c r="M545" t="n">
        <v>0</v>
      </c>
      <c r="N545" t="n">
        <v>0</v>
      </c>
      <c r="O545" t="n">
        <v>0</v>
      </c>
      <c r="P545" t="n">
        <v>0</v>
      </c>
      <c r="Q545" t="n">
        <v>0</v>
      </c>
      <c r="R545" s="2" t="inlineStr"/>
    </row>
    <row r="546" ht="15" customHeight="1">
      <c r="A546" t="inlineStr">
        <is>
          <t>A 43853-2023</t>
        </is>
      </c>
      <c r="B546" s="1" t="n">
        <v>45187.60813657408</v>
      </c>
      <c r="C546" s="1" t="n">
        <v>46189</v>
      </c>
      <c r="D546" t="inlineStr">
        <is>
          <t>KALMAR LÄN</t>
        </is>
      </c>
      <c r="E546" t="inlineStr">
        <is>
          <t>VIMMERBY</t>
        </is>
      </c>
      <c r="G546" t="n">
        <v>1.4</v>
      </c>
      <c r="H546" t="n">
        <v>0</v>
      </c>
      <c r="I546" t="n">
        <v>0</v>
      </c>
      <c r="J546" t="n">
        <v>0</v>
      </c>
      <c r="K546" t="n">
        <v>0</v>
      </c>
      <c r="L546" t="n">
        <v>0</v>
      </c>
      <c r="M546" t="n">
        <v>0</v>
      </c>
      <c r="N546" t="n">
        <v>0</v>
      </c>
      <c r="O546" t="n">
        <v>0</v>
      </c>
      <c r="P546" t="n">
        <v>0</v>
      </c>
      <c r="Q546" t="n">
        <v>0</v>
      </c>
      <c r="R546" s="2" t="inlineStr"/>
    </row>
    <row r="547" ht="15" customHeight="1">
      <c r="A547" t="inlineStr">
        <is>
          <t>A 48673-2021</t>
        </is>
      </c>
      <c r="B547" s="1" t="n">
        <v>44452</v>
      </c>
      <c r="C547" s="1" t="n">
        <v>46189</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14137-2023</t>
        </is>
      </c>
      <c r="B548" s="1" t="n">
        <v>45009.4671875</v>
      </c>
      <c r="C548" s="1" t="n">
        <v>46189</v>
      </c>
      <c r="D548" t="inlineStr">
        <is>
          <t>KALMAR LÄN</t>
        </is>
      </c>
      <c r="E548" t="inlineStr">
        <is>
          <t>VIMMERBY</t>
        </is>
      </c>
      <c r="G548" t="n">
        <v>1.3</v>
      </c>
      <c r="H548" t="n">
        <v>0</v>
      </c>
      <c r="I548" t="n">
        <v>0</v>
      </c>
      <c r="J548" t="n">
        <v>0</v>
      </c>
      <c r="K548" t="n">
        <v>0</v>
      </c>
      <c r="L548" t="n">
        <v>0</v>
      </c>
      <c r="M548" t="n">
        <v>0</v>
      </c>
      <c r="N548" t="n">
        <v>0</v>
      </c>
      <c r="O548" t="n">
        <v>0</v>
      </c>
      <c r="P548" t="n">
        <v>0</v>
      </c>
      <c r="Q548" t="n">
        <v>0</v>
      </c>
      <c r="R548" s="2" t="inlineStr"/>
    </row>
    <row r="549" ht="15" customHeight="1">
      <c r="A549" t="inlineStr">
        <is>
          <t>A 8595-2026</t>
        </is>
      </c>
      <c r="B549" s="1" t="n">
        <v>46065.7372337963</v>
      </c>
      <c r="C549" s="1" t="n">
        <v>46189</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38780-2021</t>
        </is>
      </c>
      <c r="B550" s="1" t="n">
        <v>44410</v>
      </c>
      <c r="C550" s="1" t="n">
        <v>46189</v>
      </c>
      <c r="D550" t="inlineStr">
        <is>
          <t>KALMAR LÄN</t>
        </is>
      </c>
      <c r="E550" t="inlineStr">
        <is>
          <t>VIMMERBY</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30503-2023</t>
        </is>
      </c>
      <c r="B551" s="1" t="n">
        <v>45111</v>
      </c>
      <c r="C551" s="1" t="n">
        <v>46189</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60110-2022</t>
        </is>
      </c>
      <c r="B552" s="1" t="n">
        <v>44909</v>
      </c>
      <c r="C552" s="1" t="n">
        <v>46189</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59300-2024</t>
        </is>
      </c>
      <c r="B553" s="1" t="n">
        <v>45637.66542824074</v>
      </c>
      <c r="C553" s="1" t="n">
        <v>46189</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18329-2023</t>
        </is>
      </c>
      <c r="B554" s="1" t="n">
        <v>45041.63380787037</v>
      </c>
      <c r="C554" s="1" t="n">
        <v>46189</v>
      </c>
      <c r="D554" t="inlineStr">
        <is>
          <t>KALMAR LÄN</t>
        </is>
      </c>
      <c r="E554" t="inlineStr">
        <is>
          <t>VIMMERBY</t>
        </is>
      </c>
      <c r="G554" t="n">
        <v>0.5</v>
      </c>
      <c r="H554" t="n">
        <v>0</v>
      </c>
      <c r="I554" t="n">
        <v>0</v>
      </c>
      <c r="J554" t="n">
        <v>0</v>
      </c>
      <c r="K554" t="n">
        <v>0</v>
      </c>
      <c r="L554" t="n">
        <v>0</v>
      </c>
      <c r="M554" t="n">
        <v>0</v>
      </c>
      <c r="N554" t="n">
        <v>0</v>
      </c>
      <c r="O554" t="n">
        <v>0</v>
      </c>
      <c r="P554" t="n">
        <v>0</v>
      </c>
      <c r="Q554" t="n">
        <v>0</v>
      </c>
      <c r="R554" s="2" t="inlineStr"/>
    </row>
    <row r="555" ht="15" customHeight="1">
      <c r="A555" t="inlineStr">
        <is>
          <t>A 5720-2023</t>
        </is>
      </c>
      <c r="B555" s="1" t="n">
        <v>44961</v>
      </c>
      <c r="C555" s="1" t="n">
        <v>46189</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61538-2022</t>
        </is>
      </c>
      <c r="B556" s="1" t="n">
        <v>44916.55414351852</v>
      </c>
      <c r="C556" s="1" t="n">
        <v>46189</v>
      </c>
      <c r="D556" t="inlineStr">
        <is>
          <t>KALMAR LÄN</t>
        </is>
      </c>
      <c r="E556" t="inlineStr">
        <is>
          <t>VIMMERBY</t>
        </is>
      </c>
      <c r="G556" t="n">
        <v>1.5</v>
      </c>
      <c r="H556" t="n">
        <v>0</v>
      </c>
      <c r="I556" t="n">
        <v>0</v>
      </c>
      <c r="J556" t="n">
        <v>0</v>
      </c>
      <c r="K556" t="n">
        <v>0</v>
      </c>
      <c r="L556" t="n">
        <v>0</v>
      </c>
      <c r="M556" t="n">
        <v>0</v>
      </c>
      <c r="N556" t="n">
        <v>0</v>
      </c>
      <c r="O556" t="n">
        <v>0</v>
      </c>
      <c r="P556" t="n">
        <v>0</v>
      </c>
      <c r="Q556" t="n">
        <v>0</v>
      </c>
      <c r="R556" s="2" t="inlineStr"/>
    </row>
    <row r="557" ht="15" customHeight="1">
      <c r="A557" t="inlineStr">
        <is>
          <t>A 694-2024</t>
        </is>
      </c>
      <c r="B557" s="1" t="n">
        <v>45300.3794212963</v>
      </c>
      <c r="C557" s="1" t="n">
        <v>46189</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57114-2023</t>
        </is>
      </c>
      <c r="B558" s="1" t="n">
        <v>45245.36174768519</v>
      </c>
      <c r="C558" s="1" t="n">
        <v>46189</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12327-2023</t>
        </is>
      </c>
      <c r="B559" s="1" t="n">
        <v>44999.36081018519</v>
      </c>
      <c r="C559" s="1" t="n">
        <v>46189</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30633-2024</t>
        </is>
      </c>
      <c r="B560" s="1" t="n">
        <v>45495</v>
      </c>
      <c r="C560" s="1" t="n">
        <v>46189</v>
      </c>
      <c r="D560" t="inlineStr">
        <is>
          <t>KALMAR LÄN</t>
        </is>
      </c>
      <c r="E560" t="inlineStr">
        <is>
          <t>VIMMERBY</t>
        </is>
      </c>
      <c r="G560" t="n">
        <v>0.5</v>
      </c>
      <c r="H560" t="n">
        <v>0</v>
      </c>
      <c r="I560" t="n">
        <v>0</v>
      </c>
      <c r="J560" t="n">
        <v>0</v>
      </c>
      <c r="K560" t="n">
        <v>0</v>
      </c>
      <c r="L560" t="n">
        <v>0</v>
      </c>
      <c r="M560" t="n">
        <v>0</v>
      </c>
      <c r="N560" t="n">
        <v>0</v>
      </c>
      <c r="O560" t="n">
        <v>0</v>
      </c>
      <c r="P560" t="n">
        <v>0</v>
      </c>
      <c r="Q560" t="n">
        <v>0</v>
      </c>
      <c r="R560" s="2" t="inlineStr"/>
    </row>
    <row r="561" ht="15" customHeight="1">
      <c r="A561" t="inlineStr">
        <is>
          <t>A 11407-2026</t>
        </is>
      </c>
      <c r="B561" s="1" t="n">
        <v>46083</v>
      </c>
      <c r="C561" s="1" t="n">
        <v>46189</v>
      </c>
      <c r="D561" t="inlineStr">
        <is>
          <t>KALMAR LÄN</t>
        </is>
      </c>
      <c r="E561" t="inlineStr">
        <is>
          <t>VIMMERBY</t>
        </is>
      </c>
      <c r="G561" t="n">
        <v>2.3</v>
      </c>
      <c r="H561" t="n">
        <v>0</v>
      </c>
      <c r="I561" t="n">
        <v>0</v>
      </c>
      <c r="J561" t="n">
        <v>0</v>
      </c>
      <c r="K561" t="n">
        <v>0</v>
      </c>
      <c r="L561" t="n">
        <v>0</v>
      </c>
      <c r="M561" t="n">
        <v>0</v>
      </c>
      <c r="N561" t="n">
        <v>0</v>
      </c>
      <c r="O561" t="n">
        <v>0</v>
      </c>
      <c r="P561" t="n">
        <v>0</v>
      </c>
      <c r="Q561" t="n">
        <v>0</v>
      </c>
      <c r="R561" s="2" t="inlineStr"/>
    </row>
    <row r="562" ht="15" customHeight="1">
      <c r="A562" t="inlineStr">
        <is>
          <t>A 33424-2023</t>
        </is>
      </c>
      <c r="B562" s="1" t="n">
        <v>45128.9325</v>
      </c>
      <c r="C562" s="1" t="n">
        <v>46189</v>
      </c>
      <c r="D562" t="inlineStr">
        <is>
          <t>KALMAR LÄN</t>
        </is>
      </c>
      <c r="E562" t="inlineStr">
        <is>
          <t>VIMMERBY</t>
        </is>
      </c>
      <c r="G562" t="n">
        <v>2.4</v>
      </c>
      <c r="H562" t="n">
        <v>0</v>
      </c>
      <c r="I562" t="n">
        <v>0</v>
      </c>
      <c r="J562" t="n">
        <v>0</v>
      </c>
      <c r="K562" t="n">
        <v>0</v>
      </c>
      <c r="L562" t="n">
        <v>0</v>
      </c>
      <c r="M562" t="n">
        <v>0</v>
      </c>
      <c r="N562" t="n">
        <v>0</v>
      </c>
      <c r="O562" t="n">
        <v>0</v>
      </c>
      <c r="P562" t="n">
        <v>0</v>
      </c>
      <c r="Q562" t="n">
        <v>0</v>
      </c>
      <c r="R562" s="2" t="inlineStr"/>
    </row>
    <row r="563" ht="15" customHeight="1">
      <c r="A563" t="inlineStr">
        <is>
          <t>A 33425-2023</t>
        </is>
      </c>
      <c r="B563" s="1" t="n">
        <v>45128.93540509259</v>
      </c>
      <c r="C563" s="1" t="n">
        <v>46189</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3609-2024</t>
        </is>
      </c>
      <c r="B564" s="1" t="n">
        <v>45320.89128472222</v>
      </c>
      <c r="C564" s="1" t="n">
        <v>46189</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11415-2026</t>
        </is>
      </c>
      <c r="B565" s="1" t="n">
        <v>46083</v>
      </c>
      <c r="C565" s="1" t="n">
        <v>46189</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8650-2022</t>
        </is>
      </c>
      <c r="B566" s="1" t="n">
        <v>44613</v>
      </c>
      <c r="C566" s="1" t="n">
        <v>46189</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11147-2023</t>
        </is>
      </c>
      <c r="B567" s="1" t="n">
        <v>44992</v>
      </c>
      <c r="C567" s="1" t="n">
        <v>46189</v>
      </c>
      <c r="D567" t="inlineStr">
        <is>
          <t>KALMAR LÄN</t>
        </is>
      </c>
      <c r="E567" t="inlineStr">
        <is>
          <t>VIMMERBY</t>
        </is>
      </c>
      <c r="G567" t="n">
        <v>0.8</v>
      </c>
      <c r="H567" t="n">
        <v>0</v>
      </c>
      <c r="I567" t="n">
        <v>0</v>
      </c>
      <c r="J567" t="n">
        <v>0</v>
      </c>
      <c r="K567" t="n">
        <v>0</v>
      </c>
      <c r="L567" t="n">
        <v>0</v>
      </c>
      <c r="M567" t="n">
        <v>0</v>
      </c>
      <c r="N567" t="n">
        <v>0</v>
      </c>
      <c r="O567" t="n">
        <v>0</v>
      </c>
      <c r="P567" t="n">
        <v>0</v>
      </c>
      <c r="Q567" t="n">
        <v>0</v>
      </c>
      <c r="R567" s="2" t="inlineStr"/>
    </row>
    <row r="568" ht="15" customHeight="1">
      <c r="A568" t="inlineStr">
        <is>
          <t>A 16676-2023</t>
        </is>
      </c>
      <c r="B568" s="1" t="n">
        <v>45028</v>
      </c>
      <c r="C568" s="1" t="n">
        <v>46189</v>
      </c>
      <c r="D568" t="inlineStr">
        <is>
          <t>KALMAR LÄN</t>
        </is>
      </c>
      <c r="E568" t="inlineStr">
        <is>
          <t>VIMMERBY</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23263-2024</t>
        </is>
      </c>
      <c r="B569" s="1" t="n">
        <v>45453.36854166666</v>
      </c>
      <c r="C569" s="1" t="n">
        <v>46189</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49488-2023</t>
        </is>
      </c>
      <c r="B570" s="1" t="n">
        <v>45211.55472222222</v>
      </c>
      <c r="C570" s="1" t="n">
        <v>46189</v>
      </c>
      <c r="D570" t="inlineStr">
        <is>
          <t>KALMAR LÄN</t>
        </is>
      </c>
      <c r="E570" t="inlineStr">
        <is>
          <t>VIMMERBY</t>
        </is>
      </c>
      <c r="F570" t="inlineStr">
        <is>
          <t>Sveaskog</t>
        </is>
      </c>
      <c r="G570" t="n">
        <v>6.2</v>
      </c>
      <c r="H570" t="n">
        <v>0</v>
      </c>
      <c r="I570" t="n">
        <v>0</v>
      </c>
      <c r="J570" t="n">
        <v>0</v>
      </c>
      <c r="K570" t="n">
        <v>0</v>
      </c>
      <c r="L570" t="n">
        <v>0</v>
      </c>
      <c r="M570" t="n">
        <v>0</v>
      </c>
      <c r="N570" t="n">
        <v>0</v>
      </c>
      <c r="O570" t="n">
        <v>0</v>
      </c>
      <c r="P570" t="n">
        <v>0</v>
      </c>
      <c r="Q570" t="n">
        <v>0</v>
      </c>
      <c r="R570" s="2" t="inlineStr"/>
    </row>
    <row r="571" ht="15" customHeight="1">
      <c r="A571" t="inlineStr">
        <is>
          <t>A 12730-2026</t>
        </is>
      </c>
      <c r="B571" s="1" t="n">
        <v>46091</v>
      </c>
      <c r="C571" s="1" t="n">
        <v>46189</v>
      </c>
      <c r="D571" t="inlineStr">
        <is>
          <t>KALMAR LÄN</t>
        </is>
      </c>
      <c r="E571" t="inlineStr">
        <is>
          <t>VIMMERBY</t>
        </is>
      </c>
      <c r="G571" t="n">
        <v>1</v>
      </c>
      <c r="H571" t="n">
        <v>0</v>
      </c>
      <c r="I571" t="n">
        <v>0</v>
      </c>
      <c r="J571" t="n">
        <v>0</v>
      </c>
      <c r="K571" t="n">
        <v>0</v>
      </c>
      <c r="L571" t="n">
        <v>0</v>
      </c>
      <c r="M571" t="n">
        <v>0</v>
      </c>
      <c r="N571" t="n">
        <v>0</v>
      </c>
      <c r="O571" t="n">
        <v>0</v>
      </c>
      <c r="P571" t="n">
        <v>0</v>
      </c>
      <c r="Q571" t="n">
        <v>0</v>
      </c>
      <c r="R571" s="2" t="inlineStr"/>
    </row>
    <row r="572" ht="15" customHeight="1">
      <c r="A572" t="inlineStr">
        <is>
          <t>A 72067-2021</t>
        </is>
      </c>
      <c r="B572" s="1" t="n">
        <v>44540</v>
      </c>
      <c r="C572" s="1" t="n">
        <v>46189</v>
      </c>
      <c r="D572" t="inlineStr">
        <is>
          <t>KALMAR LÄN</t>
        </is>
      </c>
      <c r="E572" t="inlineStr">
        <is>
          <t>VIMMERBY</t>
        </is>
      </c>
      <c r="G572" t="n">
        <v>1.6</v>
      </c>
      <c r="H572" t="n">
        <v>0</v>
      </c>
      <c r="I572" t="n">
        <v>0</v>
      </c>
      <c r="J572" t="n">
        <v>0</v>
      </c>
      <c r="K572" t="n">
        <v>0</v>
      </c>
      <c r="L572" t="n">
        <v>0</v>
      </c>
      <c r="M572" t="n">
        <v>0</v>
      </c>
      <c r="N572" t="n">
        <v>0</v>
      </c>
      <c r="O572" t="n">
        <v>0</v>
      </c>
      <c r="P572" t="n">
        <v>0</v>
      </c>
      <c r="Q572" t="n">
        <v>0</v>
      </c>
      <c r="R572" s="2" t="inlineStr"/>
    </row>
    <row r="573" ht="15" customHeight="1">
      <c r="A573" t="inlineStr">
        <is>
          <t>A 41158-2023</t>
        </is>
      </c>
      <c r="B573" s="1" t="n">
        <v>45174.31395833333</v>
      </c>
      <c r="C573" s="1" t="n">
        <v>46189</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9511-2023</t>
        </is>
      </c>
      <c r="B574" s="1" t="n">
        <v>44981.64725694444</v>
      </c>
      <c r="C574" s="1" t="n">
        <v>46189</v>
      </c>
      <c r="D574" t="inlineStr">
        <is>
          <t>KALMAR LÄN</t>
        </is>
      </c>
      <c r="E574" t="inlineStr">
        <is>
          <t>VIMMERBY</t>
        </is>
      </c>
      <c r="G574" t="n">
        <v>3.5</v>
      </c>
      <c r="H574" t="n">
        <v>0</v>
      </c>
      <c r="I574" t="n">
        <v>0</v>
      </c>
      <c r="J574" t="n">
        <v>0</v>
      </c>
      <c r="K574" t="n">
        <v>0</v>
      </c>
      <c r="L574" t="n">
        <v>0</v>
      </c>
      <c r="M574" t="n">
        <v>0</v>
      </c>
      <c r="N574" t="n">
        <v>0</v>
      </c>
      <c r="O574" t="n">
        <v>0</v>
      </c>
      <c r="P574" t="n">
        <v>0</v>
      </c>
      <c r="Q574" t="n">
        <v>0</v>
      </c>
      <c r="R574" s="2" t="inlineStr"/>
    </row>
    <row r="575" ht="15" customHeight="1">
      <c r="A575" t="inlineStr">
        <is>
          <t>A 12820-2026</t>
        </is>
      </c>
      <c r="B575" s="1" t="n">
        <v>46092.40909722223</v>
      </c>
      <c r="C575" s="1" t="n">
        <v>46189</v>
      </c>
      <c r="D575" t="inlineStr">
        <is>
          <t>KALMAR LÄN</t>
        </is>
      </c>
      <c r="E575" t="inlineStr">
        <is>
          <t>VIMMERBY</t>
        </is>
      </c>
      <c r="G575" t="n">
        <v>4.3</v>
      </c>
      <c r="H575" t="n">
        <v>0</v>
      </c>
      <c r="I575" t="n">
        <v>0</v>
      </c>
      <c r="J575" t="n">
        <v>0</v>
      </c>
      <c r="K575" t="n">
        <v>0</v>
      </c>
      <c r="L575" t="n">
        <v>0</v>
      </c>
      <c r="M575" t="n">
        <v>0</v>
      </c>
      <c r="N575" t="n">
        <v>0</v>
      </c>
      <c r="O575" t="n">
        <v>0</v>
      </c>
      <c r="P575" t="n">
        <v>0</v>
      </c>
      <c r="Q575" t="n">
        <v>0</v>
      </c>
      <c r="R575" s="2" t="inlineStr"/>
    </row>
    <row r="576" ht="15" customHeight="1">
      <c r="A576" t="inlineStr">
        <is>
          <t>A 12821-2026</t>
        </is>
      </c>
      <c r="B576" s="1" t="n">
        <v>46092.41256944444</v>
      </c>
      <c r="C576" s="1" t="n">
        <v>46189</v>
      </c>
      <c r="D576" t="inlineStr">
        <is>
          <t>KALMAR LÄN</t>
        </is>
      </c>
      <c r="E576" t="inlineStr">
        <is>
          <t>VIMMERBY</t>
        </is>
      </c>
      <c r="G576" t="n">
        <v>2.5</v>
      </c>
      <c r="H576" t="n">
        <v>0</v>
      </c>
      <c r="I576" t="n">
        <v>0</v>
      </c>
      <c r="J576" t="n">
        <v>0</v>
      </c>
      <c r="K576" t="n">
        <v>0</v>
      </c>
      <c r="L576" t="n">
        <v>0</v>
      </c>
      <c r="M576" t="n">
        <v>0</v>
      </c>
      <c r="N576" t="n">
        <v>0</v>
      </c>
      <c r="O576" t="n">
        <v>0</v>
      </c>
      <c r="P576" t="n">
        <v>0</v>
      </c>
      <c r="Q576" t="n">
        <v>0</v>
      </c>
      <c r="R576" s="2" t="inlineStr"/>
    </row>
    <row r="577" ht="15" customHeight="1">
      <c r="A577" t="inlineStr">
        <is>
          <t>A 12825-2026</t>
        </is>
      </c>
      <c r="B577" s="1" t="n">
        <v>46092.41561342592</v>
      </c>
      <c r="C577" s="1" t="n">
        <v>46189</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13667-2026</t>
        </is>
      </c>
      <c r="B578" s="1" t="n">
        <v>46097</v>
      </c>
      <c r="C578" s="1" t="n">
        <v>46189</v>
      </c>
      <c r="D578" t="inlineStr">
        <is>
          <t>KALMAR LÄN</t>
        </is>
      </c>
      <c r="E578" t="inlineStr">
        <is>
          <t>VIMMERBY</t>
        </is>
      </c>
      <c r="G578" t="n">
        <v>6.8</v>
      </c>
      <c r="H578" t="n">
        <v>0</v>
      </c>
      <c r="I578" t="n">
        <v>0</v>
      </c>
      <c r="J578" t="n">
        <v>0</v>
      </c>
      <c r="K578" t="n">
        <v>0</v>
      </c>
      <c r="L578" t="n">
        <v>0</v>
      </c>
      <c r="M578" t="n">
        <v>0</v>
      </c>
      <c r="N578" t="n">
        <v>0</v>
      </c>
      <c r="O578" t="n">
        <v>0</v>
      </c>
      <c r="P578" t="n">
        <v>0</v>
      </c>
      <c r="Q578" t="n">
        <v>0</v>
      </c>
      <c r="R578" s="2" t="inlineStr"/>
    </row>
    <row r="579" ht="15" customHeight="1">
      <c r="A579" t="inlineStr">
        <is>
          <t>A 34205-2023</t>
        </is>
      </c>
      <c r="B579" s="1" t="n">
        <v>45138</v>
      </c>
      <c r="C579" s="1" t="n">
        <v>46189</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13793-2026</t>
        </is>
      </c>
      <c r="B580" s="1" t="n">
        <v>46097.79199074074</v>
      </c>
      <c r="C580" s="1" t="n">
        <v>46189</v>
      </c>
      <c r="D580" t="inlineStr">
        <is>
          <t>KALMAR LÄN</t>
        </is>
      </c>
      <c r="E580" t="inlineStr">
        <is>
          <t>VIMMERBY</t>
        </is>
      </c>
      <c r="G580" t="n">
        <v>2.9</v>
      </c>
      <c r="H580" t="n">
        <v>0</v>
      </c>
      <c r="I580" t="n">
        <v>0</v>
      </c>
      <c r="J580" t="n">
        <v>0</v>
      </c>
      <c r="K580" t="n">
        <v>0</v>
      </c>
      <c r="L580" t="n">
        <v>0</v>
      </c>
      <c r="M580" t="n">
        <v>0</v>
      </c>
      <c r="N580" t="n">
        <v>0</v>
      </c>
      <c r="O580" t="n">
        <v>0</v>
      </c>
      <c r="P580" t="n">
        <v>0</v>
      </c>
      <c r="Q580" t="n">
        <v>0</v>
      </c>
      <c r="R580" s="2" t="inlineStr"/>
    </row>
    <row r="581" ht="15" customHeight="1">
      <c r="A581" t="inlineStr">
        <is>
          <t>A 14279-2026</t>
        </is>
      </c>
      <c r="B581" s="1" t="n">
        <v>46099.66826388889</v>
      </c>
      <c r="C581" s="1" t="n">
        <v>46189</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57091-2022</t>
        </is>
      </c>
      <c r="B582" s="1" t="n">
        <v>44895.46524305556</v>
      </c>
      <c r="C582" s="1" t="n">
        <v>46189</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2604-2025</t>
        </is>
      </c>
      <c r="B583" s="1" t="n">
        <v>45674.74094907408</v>
      </c>
      <c r="C583" s="1" t="n">
        <v>46189</v>
      </c>
      <c r="D583" t="inlineStr">
        <is>
          <t>KALMAR LÄN</t>
        </is>
      </c>
      <c r="E583" t="inlineStr">
        <is>
          <t>VIMMERBY</t>
        </is>
      </c>
      <c r="G583" t="n">
        <v>7.6</v>
      </c>
      <c r="H583" t="n">
        <v>0</v>
      </c>
      <c r="I583" t="n">
        <v>0</v>
      </c>
      <c r="J583" t="n">
        <v>0</v>
      </c>
      <c r="K583" t="n">
        <v>0</v>
      </c>
      <c r="L583" t="n">
        <v>0</v>
      </c>
      <c r="M583" t="n">
        <v>0</v>
      </c>
      <c r="N583" t="n">
        <v>0</v>
      </c>
      <c r="O583" t="n">
        <v>0</v>
      </c>
      <c r="P583" t="n">
        <v>0</v>
      </c>
      <c r="Q583" t="n">
        <v>0</v>
      </c>
      <c r="R583" s="2" t="inlineStr"/>
    </row>
    <row r="584" ht="15" customHeight="1">
      <c r="A584" t="inlineStr">
        <is>
          <t>A 6807-2025</t>
        </is>
      </c>
      <c r="B584" s="1" t="n">
        <v>45700.68672453704</v>
      </c>
      <c r="C584" s="1" t="n">
        <v>46189</v>
      </c>
      <c r="D584" t="inlineStr">
        <is>
          <t>KALMAR LÄN</t>
        </is>
      </c>
      <c r="E584" t="inlineStr">
        <is>
          <t>VIMMERBY</t>
        </is>
      </c>
      <c r="G584" t="n">
        <v>1.4</v>
      </c>
      <c r="H584" t="n">
        <v>0</v>
      </c>
      <c r="I584" t="n">
        <v>0</v>
      </c>
      <c r="J584" t="n">
        <v>0</v>
      </c>
      <c r="K584" t="n">
        <v>0</v>
      </c>
      <c r="L584" t="n">
        <v>0</v>
      </c>
      <c r="M584" t="n">
        <v>0</v>
      </c>
      <c r="N584" t="n">
        <v>0</v>
      </c>
      <c r="O584" t="n">
        <v>0</v>
      </c>
      <c r="P584" t="n">
        <v>0</v>
      </c>
      <c r="Q584" t="n">
        <v>0</v>
      </c>
      <c r="R584" s="2" t="inlineStr"/>
    </row>
    <row r="585" ht="15" customHeight="1">
      <c r="A585" t="inlineStr">
        <is>
          <t>A 14320-2026</t>
        </is>
      </c>
      <c r="B585" s="1" t="n">
        <v>46099.88449074074</v>
      </c>
      <c r="C585" s="1" t="n">
        <v>46189</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38851-2023</t>
        </is>
      </c>
      <c r="B586" s="1" t="n">
        <v>45163</v>
      </c>
      <c r="C586" s="1" t="n">
        <v>46189</v>
      </c>
      <c r="D586" t="inlineStr">
        <is>
          <t>KALMAR LÄN</t>
        </is>
      </c>
      <c r="E586" t="inlineStr">
        <is>
          <t>VIMMERBY</t>
        </is>
      </c>
      <c r="G586" t="n">
        <v>4.3</v>
      </c>
      <c r="H586" t="n">
        <v>0</v>
      </c>
      <c r="I586" t="n">
        <v>0</v>
      </c>
      <c r="J586" t="n">
        <v>0</v>
      </c>
      <c r="K586" t="n">
        <v>0</v>
      </c>
      <c r="L586" t="n">
        <v>0</v>
      </c>
      <c r="M586" t="n">
        <v>0</v>
      </c>
      <c r="N586" t="n">
        <v>0</v>
      </c>
      <c r="O586" t="n">
        <v>0</v>
      </c>
      <c r="P586" t="n">
        <v>0</v>
      </c>
      <c r="Q586" t="n">
        <v>0</v>
      </c>
      <c r="R586" s="2" t="inlineStr"/>
    </row>
    <row r="587" ht="15" customHeight="1">
      <c r="A587" t="inlineStr">
        <is>
          <t>A 14318-2026</t>
        </is>
      </c>
      <c r="B587" s="1" t="n">
        <v>46099.87961805556</v>
      </c>
      <c r="C587" s="1" t="n">
        <v>46189</v>
      </c>
      <c r="D587" t="inlineStr">
        <is>
          <t>KALMAR LÄN</t>
        </is>
      </c>
      <c r="E587" t="inlineStr">
        <is>
          <t>VIMMERBY</t>
        </is>
      </c>
      <c r="G587" t="n">
        <v>0.7</v>
      </c>
      <c r="H587" t="n">
        <v>0</v>
      </c>
      <c r="I587" t="n">
        <v>0</v>
      </c>
      <c r="J587" t="n">
        <v>0</v>
      </c>
      <c r="K587" t="n">
        <v>0</v>
      </c>
      <c r="L587" t="n">
        <v>0</v>
      </c>
      <c r="M587" t="n">
        <v>0</v>
      </c>
      <c r="N587" t="n">
        <v>0</v>
      </c>
      <c r="O587" t="n">
        <v>0</v>
      </c>
      <c r="P587" t="n">
        <v>0</v>
      </c>
      <c r="Q587" t="n">
        <v>0</v>
      </c>
      <c r="R587" s="2" t="inlineStr"/>
    </row>
    <row r="588" ht="15" customHeight="1">
      <c r="A588" t="inlineStr">
        <is>
          <t>A 23252-2024</t>
        </is>
      </c>
      <c r="B588" s="1" t="n">
        <v>45453.36067129629</v>
      </c>
      <c r="C588" s="1" t="n">
        <v>46189</v>
      </c>
      <c r="D588" t="inlineStr">
        <is>
          <t>KALMAR LÄN</t>
        </is>
      </c>
      <c r="E588" t="inlineStr">
        <is>
          <t>VIMMERBY</t>
        </is>
      </c>
      <c r="G588" t="n">
        <v>0.7</v>
      </c>
      <c r="H588" t="n">
        <v>0</v>
      </c>
      <c r="I588" t="n">
        <v>0</v>
      </c>
      <c r="J588" t="n">
        <v>0</v>
      </c>
      <c r="K588" t="n">
        <v>0</v>
      </c>
      <c r="L588" t="n">
        <v>0</v>
      </c>
      <c r="M588" t="n">
        <v>0</v>
      </c>
      <c r="N588" t="n">
        <v>0</v>
      </c>
      <c r="O588" t="n">
        <v>0</v>
      </c>
      <c r="P588" t="n">
        <v>0</v>
      </c>
      <c r="Q588" t="n">
        <v>0</v>
      </c>
      <c r="R588" s="2" t="inlineStr"/>
    </row>
    <row r="589" ht="15" customHeight="1">
      <c r="A589" t="inlineStr">
        <is>
          <t>A 15205-2026</t>
        </is>
      </c>
      <c r="B589" s="1" t="n">
        <v>46105.48628472222</v>
      </c>
      <c r="C589" s="1" t="n">
        <v>46189</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5792-2023</t>
        </is>
      </c>
      <c r="B590" s="1" t="n">
        <v>44963.44769675926</v>
      </c>
      <c r="C590" s="1" t="n">
        <v>46189</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2797-2023</t>
        </is>
      </c>
      <c r="B591" s="1" t="n">
        <v>44944.71386574074</v>
      </c>
      <c r="C591" s="1" t="n">
        <v>46189</v>
      </c>
      <c r="D591" t="inlineStr">
        <is>
          <t>KALMAR LÄN</t>
        </is>
      </c>
      <c r="E591" t="inlineStr">
        <is>
          <t>VIMMERBY</t>
        </is>
      </c>
      <c r="G591" t="n">
        <v>3.4</v>
      </c>
      <c r="H591" t="n">
        <v>0</v>
      </c>
      <c r="I591" t="n">
        <v>0</v>
      </c>
      <c r="J591" t="n">
        <v>0</v>
      </c>
      <c r="K591" t="n">
        <v>0</v>
      </c>
      <c r="L591" t="n">
        <v>0</v>
      </c>
      <c r="M591" t="n">
        <v>0</v>
      </c>
      <c r="N591" t="n">
        <v>0</v>
      </c>
      <c r="O591" t="n">
        <v>0</v>
      </c>
      <c r="P591" t="n">
        <v>0</v>
      </c>
      <c r="Q591" t="n">
        <v>0</v>
      </c>
      <c r="R591" s="2" t="inlineStr"/>
    </row>
    <row r="592" ht="15" customHeight="1">
      <c r="A592" t="inlineStr">
        <is>
          <t>A 2799-2023</t>
        </is>
      </c>
      <c r="B592" s="1" t="n">
        <v>44944.72100694444</v>
      </c>
      <c r="C592" s="1" t="n">
        <v>46189</v>
      </c>
      <c r="D592" t="inlineStr">
        <is>
          <t>KALMAR LÄN</t>
        </is>
      </c>
      <c r="E592" t="inlineStr">
        <is>
          <t>VIMMERBY</t>
        </is>
      </c>
      <c r="G592" t="n">
        <v>1.3</v>
      </c>
      <c r="H592" t="n">
        <v>0</v>
      </c>
      <c r="I592" t="n">
        <v>0</v>
      </c>
      <c r="J592" t="n">
        <v>0</v>
      </c>
      <c r="K592" t="n">
        <v>0</v>
      </c>
      <c r="L592" t="n">
        <v>0</v>
      </c>
      <c r="M592" t="n">
        <v>0</v>
      </c>
      <c r="N592" t="n">
        <v>0</v>
      </c>
      <c r="O592" t="n">
        <v>0</v>
      </c>
      <c r="P592" t="n">
        <v>0</v>
      </c>
      <c r="Q592" t="n">
        <v>0</v>
      </c>
      <c r="R592" s="2" t="inlineStr"/>
    </row>
    <row r="593" ht="15" customHeight="1">
      <c r="A593" t="inlineStr">
        <is>
          <t>A 15054-2026</t>
        </is>
      </c>
      <c r="B593" s="1" t="n">
        <v>46104.6815162037</v>
      </c>
      <c r="C593" s="1" t="n">
        <v>46189</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58278-2023</t>
        </is>
      </c>
      <c r="B594" s="1" t="n">
        <v>45250.5278587963</v>
      </c>
      <c r="C594" s="1" t="n">
        <v>46189</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14793-2026</t>
        </is>
      </c>
      <c r="B595" s="1" t="n">
        <v>46101.92108796296</v>
      </c>
      <c r="C595" s="1" t="n">
        <v>46189</v>
      </c>
      <c r="D595" t="inlineStr">
        <is>
          <t>KALMAR LÄN</t>
        </is>
      </c>
      <c r="E595" t="inlineStr">
        <is>
          <t>VIMMERBY</t>
        </is>
      </c>
      <c r="G595" t="n">
        <v>5.7</v>
      </c>
      <c r="H595" t="n">
        <v>0</v>
      </c>
      <c r="I595" t="n">
        <v>0</v>
      </c>
      <c r="J595" t="n">
        <v>0</v>
      </c>
      <c r="K595" t="n">
        <v>0</v>
      </c>
      <c r="L595" t="n">
        <v>0</v>
      </c>
      <c r="M595" t="n">
        <v>0</v>
      </c>
      <c r="N595" t="n">
        <v>0</v>
      </c>
      <c r="O595" t="n">
        <v>0</v>
      </c>
      <c r="P595" t="n">
        <v>0</v>
      </c>
      <c r="Q595" t="n">
        <v>0</v>
      </c>
      <c r="R595" s="2" t="inlineStr"/>
    </row>
    <row r="596" ht="15" customHeight="1">
      <c r="A596" t="inlineStr">
        <is>
          <t>A 36259-2022</t>
        </is>
      </c>
      <c r="B596" s="1" t="n">
        <v>44803.59118055556</v>
      </c>
      <c r="C596" s="1" t="n">
        <v>46189</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36526-2023</t>
        </is>
      </c>
      <c r="B597" s="1" t="n">
        <v>45153.32778935185</v>
      </c>
      <c r="C597" s="1" t="n">
        <v>46189</v>
      </c>
      <c r="D597" t="inlineStr">
        <is>
          <t>KALMAR LÄN</t>
        </is>
      </c>
      <c r="E597" t="inlineStr">
        <is>
          <t>VIMMERBY</t>
        </is>
      </c>
      <c r="G597" t="n">
        <v>2.7</v>
      </c>
      <c r="H597" t="n">
        <v>0</v>
      </c>
      <c r="I597" t="n">
        <v>0</v>
      </c>
      <c r="J597" t="n">
        <v>0</v>
      </c>
      <c r="K597" t="n">
        <v>0</v>
      </c>
      <c r="L597" t="n">
        <v>0</v>
      </c>
      <c r="M597" t="n">
        <v>0</v>
      </c>
      <c r="N597" t="n">
        <v>0</v>
      </c>
      <c r="O597" t="n">
        <v>0</v>
      </c>
      <c r="P597" t="n">
        <v>0</v>
      </c>
      <c r="Q597" t="n">
        <v>0</v>
      </c>
      <c r="R597" s="2" t="inlineStr"/>
    </row>
    <row r="598" ht="15" customHeight="1">
      <c r="A598" t="inlineStr">
        <is>
          <t>A 14792-2026</t>
        </is>
      </c>
      <c r="B598" s="1" t="n">
        <v>46101.91993055555</v>
      </c>
      <c r="C598" s="1" t="n">
        <v>46189</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29350-2023</t>
        </is>
      </c>
      <c r="B599" s="1" t="n">
        <v>45106</v>
      </c>
      <c r="C599" s="1" t="n">
        <v>46189</v>
      </c>
      <c r="D599" t="inlineStr">
        <is>
          <t>KALMAR LÄN</t>
        </is>
      </c>
      <c r="E599" t="inlineStr">
        <is>
          <t>VIMMERBY</t>
        </is>
      </c>
      <c r="G599" t="n">
        <v>0.8</v>
      </c>
      <c r="H599" t="n">
        <v>0</v>
      </c>
      <c r="I599" t="n">
        <v>0</v>
      </c>
      <c r="J599" t="n">
        <v>0</v>
      </c>
      <c r="K599" t="n">
        <v>0</v>
      </c>
      <c r="L599" t="n">
        <v>0</v>
      </c>
      <c r="M599" t="n">
        <v>0</v>
      </c>
      <c r="N599" t="n">
        <v>0</v>
      </c>
      <c r="O599" t="n">
        <v>0</v>
      </c>
      <c r="P599" t="n">
        <v>0</v>
      </c>
      <c r="Q599" t="n">
        <v>0</v>
      </c>
      <c r="R599" s="2" t="inlineStr"/>
    </row>
    <row r="600" ht="15" customHeight="1">
      <c r="A600" t="inlineStr">
        <is>
          <t>A 29351-2023</t>
        </is>
      </c>
      <c r="B600" s="1" t="n">
        <v>45106.2610300926</v>
      </c>
      <c r="C600" s="1" t="n">
        <v>46189</v>
      </c>
      <c r="D600" t="inlineStr">
        <is>
          <t>KALMAR LÄN</t>
        </is>
      </c>
      <c r="E600" t="inlineStr">
        <is>
          <t>VIMMERBY</t>
        </is>
      </c>
      <c r="G600" t="n">
        <v>0.4</v>
      </c>
      <c r="H600" t="n">
        <v>0</v>
      </c>
      <c r="I600" t="n">
        <v>0</v>
      </c>
      <c r="J600" t="n">
        <v>0</v>
      </c>
      <c r="K600" t="n">
        <v>0</v>
      </c>
      <c r="L600" t="n">
        <v>0</v>
      </c>
      <c r="M600" t="n">
        <v>0</v>
      </c>
      <c r="N600" t="n">
        <v>0</v>
      </c>
      <c r="O600" t="n">
        <v>0</v>
      </c>
      <c r="P600" t="n">
        <v>0</v>
      </c>
      <c r="Q600" t="n">
        <v>0</v>
      </c>
      <c r="R600" s="2" t="inlineStr"/>
    </row>
    <row r="601" ht="15" customHeight="1">
      <c r="A601" t="inlineStr">
        <is>
          <t>A 6474-2025</t>
        </is>
      </c>
      <c r="B601" s="1" t="n">
        <v>45699.60055555555</v>
      </c>
      <c r="C601" s="1" t="n">
        <v>46189</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57555-2024</t>
        </is>
      </c>
      <c r="B602" s="1" t="n">
        <v>45630.45069444444</v>
      </c>
      <c r="C602" s="1" t="n">
        <v>46189</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52279-2023</t>
        </is>
      </c>
      <c r="B603" s="1" t="n">
        <v>45224</v>
      </c>
      <c r="C603" s="1" t="n">
        <v>46189</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52324-2023</t>
        </is>
      </c>
      <c r="B604" s="1" t="n">
        <v>45224.64659722222</v>
      </c>
      <c r="C604" s="1" t="n">
        <v>46189</v>
      </c>
      <c r="D604" t="inlineStr">
        <is>
          <t>KALMAR LÄN</t>
        </is>
      </c>
      <c r="E604" t="inlineStr">
        <is>
          <t>VIMMERBY</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21882-2026</t>
        </is>
      </c>
      <c r="B605" s="1" t="n">
        <v>46150.59287037037</v>
      </c>
      <c r="C605" s="1" t="n">
        <v>46189</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40730-2024</t>
        </is>
      </c>
      <c r="B606" s="1" t="n">
        <v>45558.44914351852</v>
      </c>
      <c r="C606" s="1" t="n">
        <v>46189</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9643-2023</t>
        </is>
      </c>
      <c r="B607" s="1" t="n">
        <v>44984</v>
      </c>
      <c r="C607" s="1" t="n">
        <v>46189</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56213-2024</t>
        </is>
      </c>
      <c r="B608" s="1" t="n">
        <v>45624.60141203704</v>
      </c>
      <c r="C608" s="1" t="n">
        <v>46189</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9694-2023</t>
        </is>
      </c>
      <c r="B609" s="1" t="n">
        <v>44984.45895833334</v>
      </c>
      <c r="C609" s="1" t="n">
        <v>46189</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9710-2023</t>
        </is>
      </c>
      <c r="B610" s="1" t="n">
        <v>44984</v>
      </c>
      <c r="C610" s="1" t="n">
        <v>46189</v>
      </c>
      <c r="D610" t="inlineStr">
        <is>
          <t>KALMAR LÄN</t>
        </is>
      </c>
      <c r="E610" t="inlineStr">
        <is>
          <t>VIMMERBY</t>
        </is>
      </c>
      <c r="G610" t="n">
        <v>3.7</v>
      </c>
      <c r="H610" t="n">
        <v>0</v>
      </c>
      <c r="I610" t="n">
        <v>0</v>
      </c>
      <c r="J610" t="n">
        <v>0</v>
      </c>
      <c r="K610" t="n">
        <v>0</v>
      </c>
      <c r="L610" t="n">
        <v>0</v>
      </c>
      <c r="M610" t="n">
        <v>0</v>
      </c>
      <c r="N610" t="n">
        <v>0</v>
      </c>
      <c r="O610" t="n">
        <v>0</v>
      </c>
      <c r="P610" t="n">
        <v>0</v>
      </c>
      <c r="Q610" t="n">
        <v>0</v>
      </c>
      <c r="R610" s="2" t="inlineStr"/>
    </row>
    <row r="611" ht="15" customHeight="1">
      <c r="A611" t="inlineStr">
        <is>
          <t>A 16183-2026</t>
        </is>
      </c>
      <c r="B611" s="1" t="n">
        <v>46111</v>
      </c>
      <c r="C611" s="1" t="n">
        <v>46189</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7944-2024</t>
        </is>
      </c>
      <c r="B612" s="1" t="n">
        <v>45350.53306712963</v>
      </c>
      <c r="C612" s="1" t="n">
        <v>46189</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16632-2026</t>
        </is>
      </c>
      <c r="B613" s="1" t="n">
        <v>46112.62212962963</v>
      </c>
      <c r="C613" s="1" t="n">
        <v>46189</v>
      </c>
      <c r="D613" t="inlineStr">
        <is>
          <t>KALMAR LÄN</t>
        </is>
      </c>
      <c r="E613" t="inlineStr">
        <is>
          <t>VIMMERBY</t>
        </is>
      </c>
      <c r="G613" t="n">
        <v>2.1</v>
      </c>
      <c r="H613" t="n">
        <v>0</v>
      </c>
      <c r="I613" t="n">
        <v>0</v>
      </c>
      <c r="J613" t="n">
        <v>0</v>
      </c>
      <c r="K613" t="n">
        <v>0</v>
      </c>
      <c r="L613" t="n">
        <v>0</v>
      </c>
      <c r="M613" t="n">
        <v>0</v>
      </c>
      <c r="N613" t="n">
        <v>0</v>
      </c>
      <c r="O613" t="n">
        <v>0</v>
      </c>
      <c r="P613" t="n">
        <v>0</v>
      </c>
      <c r="Q613" t="n">
        <v>0</v>
      </c>
      <c r="R613" s="2" t="inlineStr"/>
    </row>
    <row r="614" ht="15" customHeight="1">
      <c r="A614" t="inlineStr">
        <is>
          <t>A 16653-2026</t>
        </is>
      </c>
      <c r="B614" s="1" t="n">
        <v>46112.64597222222</v>
      </c>
      <c r="C614" s="1" t="n">
        <v>46189</v>
      </c>
      <c r="D614" t="inlineStr">
        <is>
          <t>KALMAR LÄN</t>
        </is>
      </c>
      <c r="E614" t="inlineStr">
        <is>
          <t>VIMMERBY</t>
        </is>
      </c>
      <c r="F614" t="inlineStr">
        <is>
          <t>Kommuner</t>
        </is>
      </c>
      <c r="G614" t="n">
        <v>4.4</v>
      </c>
      <c r="H614" t="n">
        <v>0</v>
      </c>
      <c r="I614" t="n">
        <v>0</v>
      </c>
      <c r="J614" t="n">
        <v>0</v>
      </c>
      <c r="K614" t="n">
        <v>0</v>
      </c>
      <c r="L614" t="n">
        <v>0</v>
      </c>
      <c r="M614" t="n">
        <v>0</v>
      </c>
      <c r="N614" t="n">
        <v>0</v>
      </c>
      <c r="O614" t="n">
        <v>0</v>
      </c>
      <c r="P614" t="n">
        <v>0</v>
      </c>
      <c r="Q614" t="n">
        <v>0</v>
      </c>
      <c r="R614" s="2" t="inlineStr"/>
    </row>
    <row r="615" ht="15" customHeight="1">
      <c r="A615" t="inlineStr">
        <is>
          <t>A 16672-2026</t>
        </is>
      </c>
      <c r="B615" s="1" t="n">
        <v>46112.67336805556</v>
      </c>
      <c r="C615" s="1" t="n">
        <v>46189</v>
      </c>
      <c r="D615" t="inlineStr">
        <is>
          <t>KALMAR LÄN</t>
        </is>
      </c>
      <c r="E615" t="inlineStr">
        <is>
          <t>VIMMERBY</t>
        </is>
      </c>
      <c r="F615" t="inlineStr">
        <is>
          <t>Kommuner</t>
        </is>
      </c>
      <c r="G615" t="n">
        <v>1.4</v>
      </c>
      <c r="H615" t="n">
        <v>0</v>
      </c>
      <c r="I615" t="n">
        <v>0</v>
      </c>
      <c r="J615" t="n">
        <v>0</v>
      </c>
      <c r="K615" t="n">
        <v>0</v>
      </c>
      <c r="L615" t="n">
        <v>0</v>
      </c>
      <c r="M615" t="n">
        <v>0</v>
      </c>
      <c r="N615" t="n">
        <v>0</v>
      </c>
      <c r="O615" t="n">
        <v>0</v>
      </c>
      <c r="P615" t="n">
        <v>0</v>
      </c>
      <c r="Q615" t="n">
        <v>0</v>
      </c>
      <c r="R615" s="2" t="inlineStr"/>
    </row>
    <row r="616" ht="15" customHeight="1">
      <c r="A616" t="inlineStr">
        <is>
          <t>A 16870-2026</t>
        </is>
      </c>
      <c r="B616" s="1" t="n">
        <v>46113.5822800926</v>
      </c>
      <c r="C616" s="1" t="n">
        <v>46189</v>
      </c>
      <c r="D616" t="inlineStr">
        <is>
          <t>KALMAR LÄN</t>
        </is>
      </c>
      <c r="E616" t="inlineStr">
        <is>
          <t>VIMMERBY</t>
        </is>
      </c>
      <c r="G616" t="n">
        <v>2</v>
      </c>
      <c r="H616" t="n">
        <v>0</v>
      </c>
      <c r="I616" t="n">
        <v>0</v>
      </c>
      <c r="J616" t="n">
        <v>0</v>
      </c>
      <c r="K616" t="n">
        <v>0</v>
      </c>
      <c r="L616" t="n">
        <v>0</v>
      </c>
      <c r="M616" t="n">
        <v>0</v>
      </c>
      <c r="N616" t="n">
        <v>0</v>
      </c>
      <c r="O616" t="n">
        <v>0</v>
      </c>
      <c r="P616" t="n">
        <v>0</v>
      </c>
      <c r="Q616" t="n">
        <v>0</v>
      </c>
      <c r="R616" s="2" t="inlineStr"/>
    </row>
    <row r="617" ht="15" customHeight="1">
      <c r="A617" t="inlineStr">
        <is>
          <t>A 16795-2026</t>
        </is>
      </c>
      <c r="B617" s="1" t="n">
        <v>46113.47216435185</v>
      </c>
      <c r="C617" s="1" t="n">
        <v>46189</v>
      </c>
      <c r="D617" t="inlineStr">
        <is>
          <t>KALMAR LÄN</t>
        </is>
      </c>
      <c r="E617" t="inlineStr">
        <is>
          <t>VIMMERBY</t>
        </is>
      </c>
      <c r="G617" t="n">
        <v>2.1</v>
      </c>
      <c r="H617" t="n">
        <v>0</v>
      </c>
      <c r="I617" t="n">
        <v>0</v>
      </c>
      <c r="J617" t="n">
        <v>0</v>
      </c>
      <c r="K617" t="n">
        <v>0</v>
      </c>
      <c r="L617" t="n">
        <v>0</v>
      </c>
      <c r="M617" t="n">
        <v>0</v>
      </c>
      <c r="N617" t="n">
        <v>0</v>
      </c>
      <c r="O617" t="n">
        <v>0</v>
      </c>
      <c r="P617" t="n">
        <v>0</v>
      </c>
      <c r="Q617" t="n">
        <v>0</v>
      </c>
      <c r="R617" s="2" t="inlineStr"/>
    </row>
    <row r="618" ht="15" customHeight="1">
      <c r="A618" t="inlineStr">
        <is>
          <t>A 16799-2026</t>
        </is>
      </c>
      <c r="B618" s="1" t="n">
        <v>46113.47913194444</v>
      </c>
      <c r="C618" s="1" t="n">
        <v>46189</v>
      </c>
      <c r="D618" t="inlineStr">
        <is>
          <t>KALMAR LÄN</t>
        </is>
      </c>
      <c r="E618" t="inlineStr">
        <is>
          <t>VIMMERBY</t>
        </is>
      </c>
      <c r="G618" t="n">
        <v>1</v>
      </c>
      <c r="H618" t="n">
        <v>0</v>
      </c>
      <c r="I618" t="n">
        <v>0</v>
      </c>
      <c r="J618" t="n">
        <v>0</v>
      </c>
      <c r="K618" t="n">
        <v>0</v>
      </c>
      <c r="L618" t="n">
        <v>0</v>
      </c>
      <c r="M618" t="n">
        <v>0</v>
      </c>
      <c r="N618" t="n">
        <v>0</v>
      </c>
      <c r="O618" t="n">
        <v>0</v>
      </c>
      <c r="P618" t="n">
        <v>0</v>
      </c>
      <c r="Q618" t="n">
        <v>0</v>
      </c>
      <c r="R618" s="2" t="inlineStr"/>
    </row>
    <row r="619" ht="15" customHeight="1">
      <c r="A619" t="inlineStr">
        <is>
          <t>A 10807-2024</t>
        </is>
      </c>
      <c r="B619" s="1" t="n">
        <v>45369.62780092593</v>
      </c>
      <c r="C619" s="1" t="n">
        <v>46189</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16801-2026</t>
        </is>
      </c>
      <c r="B620" s="1" t="n">
        <v>46113.48400462963</v>
      </c>
      <c r="C620" s="1" t="n">
        <v>46189</v>
      </c>
      <c r="D620" t="inlineStr">
        <is>
          <t>KALMAR LÄN</t>
        </is>
      </c>
      <c r="E620" t="inlineStr">
        <is>
          <t>VIMMERBY</t>
        </is>
      </c>
      <c r="G620" t="n">
        <v>0.7</v>
      </c>
      <c r="H620" t="n">
        <v>0</v>
      </c>
      <c r="I620" t="n">
        <v>0</v>
      </c>
      <c r="J620" t="n">
        <v>0</v>
      </c>
      <c r="K620" t="n">
        <v>0</v>
      </c>
      <c r="L620" t="n">
        <v>0</v>
      </c>
      <c r="M620" t="n">
        <v>0</v>
      </c>
      <c r="N620" t="n">
        <v>0</v>
      </c>
      <c r="O620" t="n">
        <v>0</v>
      </c>
      <c r="P620" t="n">
        <v>0</v>
      </c>
      <c r="Q620" t="n">
        <v>0</v>
      </c>
      <c r="R620" s="2" t="inlineStr"/>
    </row>
    <row r="621" ht="15" customHeight="1">
      <c r="A621" t="inlineStr">
        <is>
          <t>A 16675-2026</t>
        </is>
      </c>
      <c r="B621" s="1" t="n">
        <v>46112.68202546296</v>
      </c>
      <c r="C621" s="1" t="n">
        <v>46189</v>
      </c>
      <c r="D621" t="inlineStr">
        <is>
          <t>KALMAR LÄN</t>
        </is>
      </c>
      <c r="E621" t="inlineStr">
        <is>
          <t>VIMMERBY</t>
        </is>
      </c>
      <c r="F621" t="inlineStr">
        <is>
          <t>Kommuner</t>
        </is>
      </c>
      <c r="G621" t="n">
        <v>0.8</v>
      </c>
      <c r="H621" t="n">
        <v>0</v>
      </c>
      <c r="I621" t="n">
        <v>0</v>
      </c>
      <c r="J621" t="n">
        <v>0</v>
      </c>
      <c r="K621" t="n">
        <v>0</v>
      </c>
      <c r="L621" t="n">
        <v>0</v>
      </c>
      <c r="M621" t="n">
        <v>0</v>
      </c>
      <c r="N621" t="n">
        <v>0</v>
      </c>
      <c r="O621" t="n">
        <v>0</v>
      </c>
      <c r="P621" t="n">
        <v>0</v>
      </c>
      <c r="Q621" t="n">
        <v>0</v>
      </c>
      <c r="R621" s="2" t="inlineStr"/>
    </row>
    <row r="622" ht="15" customHeight="1">
      <c r="A622" t="inlineStr">
        <is>
          <t>A 40260-2024</t>
        </is>
      </c>
      <c r="B622" s="1" t="n">
        <v>45554.63225694445</v>
      </c>
      <c r="C622" s="1" t="n">
        <v>46189</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10787-2025</t>
        </is>
      </c>
      <c r="B623" s="1" t="n">
        <v>45722.48915509259</v>
      </c>
      <c r="C623" s="1" t="n">
        <v>46189</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16678-2026</t>
        </is>
      </c>
      <c r="B624" s="1" t="n">
        <v>46112.69435185185</v>
      </c>
      <c r="C624" s="1" t="n">
        <v>46189</v>
      </c>
      <c r="D624" t="inlineStr">
        <is>
          <t>KALMAR LÄN</t>
        </is>
      </c>
      <c r="E624" t="inlineStr">
        <is>
          <t>VIMMERBY</t>
        </is>
      </c>
      <c r="F624" t="inlineStr">
        <is>
          <t>Kommuner</t>
        </is>
      </c>
      <c r="G624" t="n">
        <v>1.6</v>
      </c>
      <c r="H624" t="n">
        <v>0</v>
      </c>
      <c r="I624" t="n">
        <v>0</v>
      </c>
      <c r="J624" t="n">
        <v>0</v>
      </c>
      <c r="K624" t="n">
        <v>0</v>
      </c>
      <c r="L624" t="n">
        <v>0</v>
      </c>
      <c r="M624" t="n">
        <v>0</v>
      </c>
      <c r="N624" t="n">
        <v>0</v>
      </c>
      <c r="O624" t="n">
        <v>0</v>
      </c>
      <c r="P624" t="n">
        <v>0</v>
      </c>
      <c r="Q624" t="n">
        <v>0</v>
      </c>
      <c r="R624" s="2" t="inlineStr"/>
    </row>
    <row r="625" ht="15" customHeight="1">
      <c r="A625" t="inlineStr">
        <is>
          <t>A 16648-2026</t>
        </is>
      </c>
      <c r="B625" s="1" t="n">
        <v>46112.64032407408</v>
      </c>
      <c r="C625" s="1" t="n">
        <v>46189</v>
      </c>
      <c r="D625" t="inlineStr">
        <is>
          <t>KALMAR LÄN</t>
        </is>
      </c>
      <c r="E625" t="inlineStr">
        <is>
          <t>VIMMERBY</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16656-2026</t>
        </is>
      </c>
      <c r="B626" s="1" t="n">
        <v>46112.65111111111</v>
      </c>
      <c r="C626" s="1" t="n">
        <v>46189</v>
      </c>
      <c r="D626" t="inlineStr">
        <is>
          <t>KALMAR LÄN</t>
        </is>
      </c>
      <c r="E626" t="inlineStr">
        <is>
          <t>VIMMERBY</t>
        </is>
      </c>
      <c r="F626" t="inlineStr">
        <is>
          <t>Kommuner</t>
        </is>
      </c>
      <c r="G626" t="n">
        <v>5.5</v>
      </c>
      <c r="H626" t="n">
        <v>0</v>
      </c>
      <c r="I626" t="n">
        <v>0</v>
      </c>
      <c r="J626" t="n">
        <v>0</v>
      </c>
      <c r="K626" t="n">
        <v>0</v>
      </c>
      <c r="L626" t="n">
        <v>0</v>
      </c>
      <c r="M626" t="n">
        <v>0</v>
      </c>
      <c r="N626" t="n">
        <v>0</v>
      </c>
      <c r="O626" t="n">
        <v>0</v>
      </c>
      <c r="P626" t="n">
        <v>0</v>
      </c>
      <c r="Q626" t="n">
        <v>0</v>
      </c>
      <c r="R626" s="2" t="inlineStr"/>
    </row>
    <row r="627" ht="15" customHeight="1">
      <c r="A627" t="inlineStr">
        <is>
          <t>A 58577-2024</t>
        </is>
      </c>
      <c r="B627" s="1" t="n">
        <v>45635.4874537037</v>
      </c>
      <c r="C627" s="1" t="n">
        <v>46189</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38198-2024</t>
        </is>
      </c>
      <c r="B628" s="1" t="n">
        <v>45545.49508101852</v>
      </c>
      <c r="C628" s="1" t="n">
        <v>46189</v>
      </c>
      <c r="D628" t="inlineStr">
        <is>
          <t>KALMAR LÄN</t>
        </is>
      </c>
      <c r="E628" t="inlineStr">
        <is>
          <t>VIMMERBY</t>
        </is>
      </c>
      <c r="G628" t="n">
        <v>7.9</v>
      </c>
      <c r="H628" t="n">
        <v>0</v>
      </c>
      <c r="I628" t="n">
        <v>0</v>
      </c>
      <c r="J628" t="n">
        <v>0</v>
      </c>
      <c r="K628" t="n">
        <v>0</v>
      </c>
      <c r="L628" t="n">
        <v>0</v>
      </c>
      <c r="M628" t="n">
        <v>0</v>
      </c>
      <c r="N628" t="n">
        <v>0</v>
      </c>
      <c r="O628" t="n">
        <v>0</v>
      </c>
      <c r="P628" t="n">
        <v>0</v>
      </c>
      <c r="Q628" t="n">
        <v>0</v>
      </c>
      <c r="R628" s="2" t="inlineStr"/>
    </row>
    <row r="629" ht="15" customHeight="1">
      <c r="A629" t="inlineStr">
        <is>
          <t>A 16823-2026</t>
        </is>
      </c>
      <c r="B629" s="1" t="n">
        <v>46113.51649305555</v>
      </c>
      <c r="C629" s="1" t="n">
        <v>46189</v>
      </c>
      <c r="D629" t="inlineStr">
        <is>
          <t>KALMAR LÄN</t>
        </is>
      </c>
      <c r="E629" t="inlineStr">
        <is>
          <t>VIMMERBY</t>
        </is>
      </c>
      <c r="G629" t="n">
        <v>0.8</v>
      </c>
      <c r="H629" t="n">
        <v>0</v>
      </c>
      <c r="I629" t="n">
        <v>0</v>
      </c>
      <c r="J629" t="n">
        <v>0</v>
      </c>
      <c r="K629" t="n">
        <v>0</v>
      </c>
      <c r="L629" t="n">
        <v>0</v>
      </c>
      <c r="M629" t="n">
        <v>0</v>
      </c>
      <c r="N629" t="n">
        <v>0</v>
      </c>
      <c r="O629" t="n">
        <v>0</v>
      </c>
      <c r="P629" t="n">
        <v>0</v>
      </c>
      <c r="Q629" t="n">
        <v>0</v>
      </c>
      <c r="R629" s="2" t="inlineStr"/>
    </row>
    <row r="630" ht="15" customHeight="1">
      <c r="A630" t="inlineStr">
        <is>
          <t>A 16617-2026</t>
        </is>
      </c>
      <c r="B630" s="1" t="n">
        <v>46112.60607638889</v>
      </c>
      <c r="C630" s="1" t="n">
        <v>46189</v>
      </c>
      <c r="D630" t="inlineStr">
        <is>
          <t>KALMAR LÄN</t>
        </is>
      </c>
      <c r="E630" t="inlineStr">
        <is>
          <t>VIMMERBY</t>
        </is>
      </c>
      <c r="F630" t="inlineStr">
        <is>
          <t>Kommuner</t>
        </is>
      </c>
      <c r="G630" t="n">
        <v>0.6</v>
      </c>
      <c r="H630" t="n">
        <v>0</v>
      </c>
      <c r="I630" t="n">
        <v>0</v>
      </c>
      <c r="J630" t="n">
        <v>0</v>
      </c>
      <c r="K630" t="n">
        <v>0</v>
      </c>
      <c r="L630" t="n">
        <v>0</v>
      </c>
      <c r="M630" t="n">
        <v>0</v>
      </c>
      <c r="N630" t="n">
        <v>0</v>
      </c>
      <c r="O630" t="n">
        <v>0</v>
      </c>
      <c r="P630" t="n">
        <v>0</v>
      </c>
      <c r="Q630" t="n">
        <v>0</v>
      </c>
      <c r="R630" s="2" t="inlineStr"/>
    </row>
    <row r="631" ht="15" customHeight="1">
      <c r="A631" t="inlineStr">
        <is>
          <t>A 22264-2023</t>
        </is>
      </c>
      <c r="B631" s="1" t="n">
        <v>45070.3665625</v>
      </c>
      <c r="C631" s="1" t="n">
        <v>46189</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22266-2023</t>
        </is>
      </c>
      <c r="B632" s="1" t="n">
        <v>45070</v>
      </c>
      <c r="C632" s="1" t="n">
        <v>46189</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50091-2023</t>
        </is>
      </c>
      <c r="B633" s="1" t="n">
        <v>45215.60199074074</v>
      </c>
      <c r="C633" s="1" t="n">
        <v>46189</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10303-2025</t>
        </is>
      </c>
      <c r="B634" s="1" t="n">
        <v>45720.44217592593</v>
      </c>
      <c r="C634" s="1" t="n">
        <v>46189</v>
      </c>
      <c r="D634" t="inlineStr">
        <is>
          <t>KALMAR LÄN</t>
        </is>
      </c>
      <c r="E634" t="inlineStr">
        <is>
          <t>VIMMERBY</t>
        </is>
      </c>
      <c r="G634" t="n">
        <v>0.9</v>
      </c>
      <c r="H634" t="n">
        <v>0</v>
      </c>
      <c r="I634" t="n">
        <v>0</v>
      </c>
      <c r="J634" t="n">
        <v>0</v>
      </c>
      <c r="K634" t="n">
        <v>0</v>
      </c>
      <c r="L634" t="n">
        <v>0</v>
      </c>
      <c r="M634" t="n">
        <v>0</v>
      </c>
      <c r="N634" t="n">
        <v>0</v>
      </c>
      <c r="O634" t="n">
        <v>0</v>
      </c>
      <c r="P634" t="n">
        <v>0</v>
      </c>
      <c r="Q634" t="n">
        <v>0</v>
      </c>
      <c r="R634" s="2" t="inlineStr"/>
    </row>
    <row r="635" ht="15" customHeight="1">
      <c r="A635" t="inlineStr">
        <is>
          <t>A 11027-2023</t>
        </is>
      </c>
      <c r="B635" s="1" t="n">
        <v>44991.89657407408</v>
      </c>
      <c r="C635" s="1" t="n">
        <v>46189</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11661-2023</t>
        </is>
      </c>
      <c r="B636" s="1" t="n">
        <v>44994.46908564815</v>
      </c>
      <c r="C636" s="1" t="n">
        <v>46189</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36155-2023</t>
        </is>
      </c>
      <c r="B637" s="1" t="n">
        <v>45149.60917824074</v>
      </c>
      <c r="C637" s="1" t="n">
        <v>46189</v>
      </c>
      <c r="D637" t="inlineStr">
        <is>
          <t>KALMAR LÄN</t>
        </is>
      </c>
      <c r="E637" t="inlineStr">
        <is>
          <t>VIMMERBY</t>
        </is>
      </c>
      <c r="G637" t="n">
        <v>5</v>
      </c>
      <c r="H637" t="n">
        <v>0</v>
      </c>
      <c r="I637" t="n">
        <v>0</v>
      </c>
      <c r="J637" t="n">
        <v>0</v>
      </c>
      <c r="K637" t="n">
        <v>0</v>
      </c>
      <c r="L637" t="n">
        <v>0</v>
      </c>
      <c r="M637" t="n">
        <v>0</v>
      </c>
      <c r="N637" t="n">
        <v>0</v>
      </c>
      <c r="O637" t="n">
        <v>0</v>
      </c>
      <c r="P637" t="n">
        <v>0</v>
      </c>
      <c r="Q637" t="n">
        <v>0</v>
      </c>
      <c r="R637" s="2" t="inlineStr"/>
    </row>
    <row r="638" ht="15" customHeight="1">
      <c r="A638" t="inlineStr">
        <is>
          <t>A 40147-2023</t>
        </is>
      </c>
      <c r="B638" s="1" t="n">
        <v>45169</v>
      </c>
      <c r="C638" s="1" t="n">
        <v>46189</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63950-2023</t>
        </is>
      </c>
      <c r="B639" s="1" t="n">
        <v>45278</v>
      </c>
      <c r="C639" s="1" t="n">
        <v>46189</v>
      </c>
      <c r="D639" t="inlineStr">
        <is>
          <t>KALMAR LÄN</t>
        </is>
      </c>
      <c r="E639" t="inlineStr">
        <is>
          <t>VIMMERBY</t>
        </is>
      </c>
      <c r="F639" t="inlineStr">
        <is>
          <t>Kyrkan</t>
        </is>
      </c>
      <c r="G639" t="n">
        <v>2.7</v>
      </c>
      <c r="H639" t="n">
        <v>0</v>
      </c>
      <c r="I639" t="n">
        <v>0</v>
      </c>
      <c r="J639" t="n">
        <v>0</v>
      </c>
      <c r="K639" t="n">
        <v>0</v>
      </c>
      <c r="L639" t="n">
        <v>0</v>
      </c>
      <c r="M639" t="n">
        <v>0</v>
      </c>
      <c r="N639" t="n">
        <v>0</v>
      </c>
      <c r="O639" t="n">
        <v>0</v>
      </c>
      <c r="P639" t="n">
        <v>0</v>
      </c>
      <c r="Q639" t="n">
        <v>0</v>
      </c>
      <c r="R639" s="2" t="inlineStr"/>
    </row>
    <row r="640" ht="15" customHeight="1">
      <c r="A640" t="inlineStr">
        <is>
          <t>A 24096-2024</t>
        </is>
      </c>
      <c r="B640" s="1" t="n">
        <v>45456.59289351852</v>
      </c>
      <c r="C640" s="1" t="n">
        <v>46189</v>
      </c>
      <c r="D640" t="inlineStr">
        <is>
          <t>KALMAR LÄN</t>
        </is>
      </c>
      <c r="E640" t="inlineStr">
        <is>
          <t>VIMMERBY</t>
        </is>
      </c>
      <c r="G640" t="n">
        <v>2.3</v>
      </c>
      <c r="H640" t="n">
        <v>0</v>
      </c>
      <c r="I640" t="n">
        <v>0</v>
      </c>
      <c r="J640" t="n">
        <v>0</v>
      </c>
      <c r="K640" t="n">
        <v>0</v>
      </c>
      <c r="L640" t="n">
        <v>0</v>
      </c>
      <c r="M640" t="n">
        <v>0</v>
      </c>
      <c r="N640" t="n">
        <v>0</v>
      </c>
      <c r="O640" t="n">
        <v>0</v>
      </c>
      <c r="P640" t="n">
        <v>0</v>
      </c>
      <c r="Q640" t="n">
        <v>0</v>
      </c>
      <c r="R640" s="2" t="inlineStr"/>
    </row>
    <row r="641" ht="15" customHeight="1">
      <c r="A641" t="inlineStr">
        <is>
          <t>A 13015-2023</t>
        </is>
      </c>
      <c r="B641" s="1" t="n">
        <v>45002</v>
      </c>
      <c r="C641" s="1" t="n">
        <v>46189</v>
      </c>
      <c r="D641" t="inlineStr">
        <is>
          <t>KALMAR LÄN</t>
        </is>
      </c>
      <c r="E641" t="inlineStr">
        <is>
          <t>VIMMERBY</t>
        </is>
      </c>
      <c r="G641" t="n">
        <v>3.2</v>
      </c>
      <c r="H641" t="n">
        <v>0</v>
      </c>
      <c r="I641" t="n">
        <v>0</v>
      </c>
      <c r="J641" t="n">
        <v>0</v>
      </c>
      <c r="K641" t="n">
        <v>0</v>
      </c>
      <c r="L641" t="n">
        <v>0</v>
      </c>
      <c r="M641" t="n">
        <v>0</v>
      </c>
      <c r="N641" t="n">
        <v>0</v>
      </c>
      <c r="O641" t="n">
        <v>0</v>
      </c>
      <c r="P641" t="n">
        <v>0</v>
      </c>
      <c r="Q641" t="n">
        <v>0</v>
      </c>
      <c r="R641" s="2" t="inlineStr"/>
    </row>
    <row r="642" ht="15" customHeight="1">
      <c r="A642" t="inlineStr">
        <is>
          <t>A 41199-2023</t>
        </is>
      </c>
      <c r="B642" s="1" t="n">
        <v>45174.40454861111</v>
      </c>
      <c r="C642" s="1" t="n">
        <v>46189</v>
      </c>
      <c r="D642" t="inlineStr">
        <is>
          <t>KALMAR LÄN</t>
        </is>
      </c>
      <c r="E642" t="inlineStr">
        <is>
          <t>VIMMERBY</t>
        </is>
      </c>
      <c r="G642" t="n">
        <v>1.3</v>
      </c>
      <c r="H642" t="n">
        <v>0</v>
      </c>
      <c r="I642" t="n">
        <v>0</v>
      </c>
      <c r="J642" t="n">
        <v>0</v>
      </c>
      <c r="K642" t="n">
        <v>0</v>
      </c>
      <c r="L642" t="n">
        <v>0</v>
      </c>
      <c r="M642" t="n">
        <v>0</v>
      </c>
      <c r="N642" t="n">
        <v>0</v>
      </c>
      <c r="O642" t="n">
        <v>0</v>
      </c>
      <c r="P642" t="n">
        <v>0</v>
      </c>
      <c r="Q642" t="n">
        <v>0</v>
      </c>
      <c r="R642" s="2" t="inlineStr"/>
    </row>
    <row r="643" ht="15" customHeight="1">
      <c r="A643" t="inlineStr">
        <is>
          <t>A 36014-2024</t>
        </is>
      </c>
      <c r="B643" s="1" t="n">
        <v>45533.56108796296</v>
      </c>
      <c r="C643" s="1" t="n">
        <v>46189</v>
      </c>
      <c r="D643" t="inlineStr">
        <is>
          <t>KALMAR LÄN</t>
        </is>
      </c>
      <c r="E643" t="inlineStr">
        <is>
          <t>VIMMERBY</t>
        </is>
      </c>
      <c r="G643" t="n">
        <v>2.3</v>
      </c>
      <c r="H643" t="n">
        <v>0</v>
      </c>
      <c r="I643" t="n">
        <v>0</v>
      </c>
      <c r="J643" t="n">
        <v>0</v>
      </c>
      <c r="K643" t="n">
        <v>0</v>
      </c>
      <c r="L643" t="n">
        <v>0</v>
      </c>
      <c r="M643" t="n">
        <v>0</v>
      </c>
      <c r="N643" t="n">
        <v>0</v>
      </c>
      <c r="O643" t="n">
        <v>0</v>
      </c>
      <c r="P643" t="n">
        <v>0</v>
      </c>
      <c r="Q643" t="n">
        <v>0</v>
      </c>
      <c r="R643" s="2" t="inlineStr"/>
    </row>
    <row r="644" ht="15" customHeight="1">
      <c r="A644" t="inlineStr">
        <is>
          <t>A 36030-2024</t>
        </is>
      </c>
      <c r="B644" s="1" t="n">
        <v>45533.58302083334</v>
      </c>
      <c r="C644" s="1" t="n">
        <v>46189</v>
      </c>
      <c r="D644" t="inlineStr">
        <is>
          <t>KALMAR LÄN</t>
        </is>
      </c>
      <c r="E644" t="inlineStr">
        <is>
          <t>VIMMERBY</t>
        </is>
      </c>
      <c r="F644" t="inlineStr">
        <is>
          <t>Kommuner</t>
        </is>
      </c>
      <c r="G644" t="n">
        <v>4</v>
      </c>
      <c r="H644" t="n">
        <v>0</v>
      </c>
      <c r="I644" t="n">
        <v>0</v>
      </c>
      <c r="J644" t="n">
        <v>0</v>
      </c>
      <c r="K644" t="n">
        <v>0</v>
      </c>
      <c r="L644" t="n">
        <v>0</v>
      </c>
      <c r="M644" t="n">
        <v>0</v>
      </c>
      <c r="N644" t="n">
        <v>0</v>
      </c>
      <c r="O644" t="n">
        <v>0</v>
      </c>
      <c r="P644" t="n">
        <v>0</v>
      </c>
      <c r="Q644" t="n">
        <v>0</v>
      </c>
      <c r="R644" s="2" t="inlineStr"/>
    </row>
    <row r="645" ht="15" customHeight="1">
      <c r="A645" t="inlineStr">
        <is>
          <t>A 6321-2023</t>
        </is>
      </c>
      <c r="B645" s="1" t="n">
        <v>44965.4815162037</v>
      </c>
      <c r="C645" s="1" t="n">
        <v>46189</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52755-2022</t>
        </is>
      </c>
      <c r="B646" s="1" t="n">
        <v>44875.27736111111</v>
      </c>
      <c r="C646" s="1" t="n">
        <v>46189</v>
      </c>
      <c r="D646" t="inlineStr">
        <is>
          <t>KALMAR LÄN</t>
        </is>
      </c>
      <c r="E646" t="inlineStr">
        <is>
          <t>VIMMERBY</t>
        </is>
      </c>
      <c r="G646" t="n">
        <v>1.1</v>
      </c>
      <c r="H646" t="n">
        <v>0</v>
      </c>
      <c r="I646" t="n">
        <v>0</v>
      </c>
      <c r="J646" t="n">
        <v>0</v>
      </c>
      <c r="K646" t="n">
        <v>0</v>
      </c>
      <c r="L646" t="n">
        <v>0</v>
      </c>
      <c r="M646" t="n">
        <v>0</v>
      </c>
      <c r="N646" t="n">
        <v>0</v>
      </c>
      <c r="O646" t="n">
        <v>0</v>
      </c>
      <c r="P646" t="n">
        <v>0</v>
      </c>
      <c r="Q646" t="n">
        <v>0</v>
      </c>
      <c r="R646" s="2" t="inlineStr"/>
    </row>
    <row r="647" ht="15" customHeight="1">
      <c r="A647" t="inlineStr">
        <is>
          <t>A 40823-2023</t>
        </is>
      </c>
      <c r="B647" s="1" t="n">
        <v>45171.77335648148</v>
      </c>
      <c r="C647" s="1" t="n">
        <v>46189</v>
      </c>
      <c r="D647" t="inlineStr">
        <is>
          <t>KALMAR LÄN</t>
        </is>
      </c>
      <c r="E647" t="inlineStr">
        <is>
          <t>VIMMERBY</t>
        </is>
      </c>
      <c r="G647" t="n">
        <v>2.7</v>
      </c>
      <c r="H647" t="n">
        <v>0</v>
      </c>
      <c r="I647" t="n">
        <v>0</v>
      </c>
      <c r="J647" t="n">
        <v>0</v>
      </c>
      <c r="K647" t="n">
        <v>0</v>
      </c>
      <c r="L647" t="n">
        <v>0</v>
      </c>
      <c r="M647" t="n">
        <v>0</v>
      </c>
      <c r="N647" t="n">
        <v>0</v>
      </c>
      <c r="O647" t="n">
        <v>0</v>
      </c>
      <c r="P647" t="n">
        <v>0</v>
      </c>
      <c r="Q647" t="n">
        <v>0</v>
      </c>
      <c r="R647" s="2" t="inlineStr"/>
    </row>
    <row r="648" ht="15" customHeight="1">
      <c r="A648" t="inlineStr">
        <is>
          <t>A 27761-2024</t>
        </is>
      </c>
      <c r="B648" s="1" t="n">
        <v>45475.49018518518</v>
      </c>
      <c r="C648" s="1" t="n">
        <v>46189</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21028-2023</t>
        </is>
      </c>
      <c r="B649" s="1" t="n">
        <v>45061</v>
      </c>
      <c r="C649" s="1" t="n">
        <v>46189</v>
      </c>
      <c r="D649" t="inlineStr">
        <is>
          <t>KALMAR LÄN</t>
        </is>
      </c>
      <c r="E649" t="inlineStr">
        <is>
          <t>VIMMERBY</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64203-2021</t>
        </is>
      </c>
      <c r="B650" s="1" t="n">
        <v>44510.60921296296</v>
      </c>
      <c r="C650" s="1" t="n">
        <v>46189</v>
      </c>
      <c r="D650" t="inlineStr">
        <is>
          <t>KALMAR LÄN</t>
        </is>
      </c>
      <c r="E650" t="inlineStr">
        <is>
          <t>VIMMERBY</t>
        </is>
      </c>
      <c r="F650" t="inlineStr">
        <is>
          <t>Övriga Aktiebolag</t>
        </is>
      </c>
      <c r="G650" t="n">
        <v>5.4</v>
      </c>
      <c r="H650" t="n">
        <v>0</v>
      </c>
      <c r="I650" t="n">
        <v>0</v>
      </c>
      <c r="J650" t="n">
        <v>0</v>
      </c>
      <c r="K650" t="n">
        <v>0</v>
      </c>
      <c r="L650" t="n">
        <v>0</v>
      </c>
      <c r="M650" t="n">
        <v>0</v>
      </c>
      <c r="N650" t="n">
        <v>0</v>
      </c>
      <c r="O650" t="n">
        <v>0</v>
      </c>
      <c r="P650" t="n">
        <v>0</v>
      </c>
      <c r="Q650" t="n">
        <v>0</v>
      </c>
      <c r="R650" s="2" t="inlineStr"/>
    </row>
    <row r="651" ht="15" customHeight="1">
      <c r="A651" t="inlineStr">
        <is>
          <t>A 1016-2024</t>
        </is>
      </c>
      <c r="B651" s="1" t="n">
        <v>45301</v>
      </c>
      <c r="C651" s="1" t="n">
        <v>46189</v>
      </c>
      <c r="D651" t="inlineStr">
        <is>
          <t>KALMAR LÄN</t>
        </is>
      </c>
      <c r="E651" t="inlineStr">
        <is>
          <t>VIMMERBY</t>
        </is>
      </c>
      <c r="G651" t="n">
        <v>1</v>
      </c>
      <c r="H651" t="n">
        <v>0</v>
      </c>
      <c r="I651" t="n">
        <v>0</v>
      </c>
      <c r="J651" t="n">
        <v>0</v>
      </c>
      <c r="K651" t="n">
        <v>0</v>
      </c>
      <c r="L651" t="n">
        <v>0</v>
      </c>
      <c r="M651" t="n">
        <v>0</v>
      </c>
      <c r="N651" t="n">
        <v>0</v>
      </c>
      <c r="O651" t="n">
        <v>0</v>
      </c>
      <c r="P651" t="n">
        <v>0</v>
      </c>
      <c r="Q651" t="n">
        <v>0</v>
      </c>
      <c r="R651" s="2" t="inlineStr"/>
    </row>
    <row r="652" ht="15" customHeight="1">
      <c r="A652" t="inlineStr">
        <is>
          <t>A 1024-2024</t>
        </is>
      </c>
      <c r="B652" s="1" t="n">
        <v>45301.68237268519</v>
      </c>
      <c r="C652" s="1" t="n">
        <v>46189</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17713-2026</t>
        </is>
      </c>
      <c r="B653" s="1" t="n">
        <v>46121.72810185186</v>
      </c>
      <c r="C653" s="1" t="n">
        <v>46189</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27758-2024</t>
        </is>
      </c>
      <c r="B654" s="1" t="n">
        <v>45475.48303240741</v>
      </c>
      <c r="C654" s="1" t="n">
        <v>46189</v>
      </c>
      <c r="D654" t="inlineStr">
        <is>
          <t>KALMAR LÄN</t>
        </is>
      </c>
      <c r="E654" t="inlineStr">
        <is>
          <t>VIMMERBY</t>
        </is>
      </c>
      <c r="G654" t="n">
        <v>2.6</v>
      </c>
      <c r="H654" t="n">
        <v>0</v>
      </c>
      <c r="I654" t="n">
        <v>0</v>
      </c>
      <c r="J654" t="n">
        <v>0</v>
      </c>
      <c r="K654" t="n">
        <v>0</v>
      </c>
      <c r="L654" t="n">
        <v>0</v>
      </c>
      <c r="M654" t="n">
        <v>0</v>
      </c>
      <c r="N654" t="n">
        <v>0</v>
      </c>
      <c r="O654" t="n">
        <v>0</v>
      </c>
      <c r="P654" t="n">
        <v>0</v>
      </c>
      <c r="Q654" t="n">
        <v>0</v>
      </c>
      <c r="R654" s="2" t="inlineStr"/>
    </row>
    <row r="655" ht="15" customHeight="1">
      <c r="A655" t="inlineStr">
        <is>
          <t>A 32865-2023</t>
        </is>
      </c>
      <c r="B655" s="1" t="n">
        <v>45124</v>
      </c>
      <c r="C655" s="1" t="n">
        <v>46189</v>
      </c>
      <c r="D655" t="inlineStr">
        <is>
          <t>KALMAR LÄN</t>
        </is>
      </c>
      <c r="E655" t="inlineStr">
        <is>
          <t>VIMMERBY</t>
        </is>
      </c>
      <c r="G655" t="n">
        <v>0.5</v>
      </c>
      <c r="H655" t="n">
        <v>0</v>
      </c>
      <c r="I655" t="n">
        <v>0</v>
      </c>
      <c r="J655" t="n">
        <v>0</v>
      </c>
      <c r="K655" t="n">
        <v>0</v>
      </c>
      <c r="L655" t="n">
        <v>0</v>
      </c>
      <c r="M655" t="n">
        <v>0</v>
      </c>
      <c r="N655" t="n">
        <v>0</v>
      </c>
      <c r="O655" t="n">
        <v>0</v>
      </c>
      <c r="P655" t="n">
        <v>0</v>
      </c>
      <c r="Q655" t="n">
        <v>0</v>
      </c>
      <c r="R655" s="2" t="inlineStr"/>
    </row>
    <row r="656" ht="15" customHeight="1">
      <c r="A656" t="inlineStr">
        <is>
          <t>A 17926-2025</t>
        </is>
      </c>
      <c r="B656" s="1" t="n">
        <v>45759.38987268518</v>
      </c>
      <c r="C656" s="1" t="n">
        <v>46189</v>
      </c>
      <c r="D656" t="inlineStr">
        <is>
          <t>KALMAR LÄN</t>
        </is>
      </c>
      <c r="E656" t="inlineStr">
        <is>
          <t>VIMMERBY</t>
        </is>
      </c>
      <c r="G656" t="n">
        <v>1</v>
      </c>
      <c r="H656" t="n">
        <v>0</v>
      </c>
      <c r="I656" t="n">
        <v>0</v>
      </c>
      <c r="J656" t="n">
        <v>0</v>
      </c>
      <c r="K656" t="n">
        <v>0</v>
      </c>
      <c r="L656" t="n">
        <v>0</v>
      </c>
      <c r="M656" t="n">
        <v>0</v>
      </c>
      <c r="N656" t="n">
        <v>0</v>
      </c>
      <c r="O656" t="n">
        <v>0</v>
      </c>
      <c r="P656" t="n">
        <v>0</v>
      </c>
      <c r="Q656" t="n">
        <v>0</v>
      </c>
      <c r="R656" s="2" t="inlineStr"/>
    </row>
    <row r="657" ht="15" customHeight="1">
      <c r="A657" t="inlineStr">
        <is>
          <t>A 35127-2024</t>
        </is>
      </c>
      <c r="B657" s="1" t="n">
        <v>45530.33202546297</v>
      </c>
      <c r="C657" s="1" t="n">
        <v>46189</v>
      </c>
      <c r="D657" t="inlineStr">
        <is>
          <t>KALMAR LÄN</t>
        </is>
      </c>
      <c r="E657" t="inlineStr">
        <is>
          <t>VIMMERBY</t>
        </is>
      </c>
      <c r="G657" t="n">
        <v>0.5</v>
      </c>
      <c r="H657" t="n">
        <v>0</v>
      </c>
      <c r="I657" t="n">
        <v>0</v>
      </c>
      <c r="J657" t="n">
        <v>0</v>
      </c>
      <c r="K657" t="n">
        <v>0</v>
      </c>
      <c r="L657" t="n">
        <v>0</v>
      </c>
      <c r="M657" t="n">
        <v>0</v>
      </c>
      <c r="N657" t="n">
        <v>0</v>
      </c>
      <c r="O657" t="n">
        <v>0</v>
      </c>
      <c r="P657" t="n">
        <v>0</v>
      </c>
      <c r="Q657" t="n">
        <v>0</v>
      </c>
      <c r="R657" s="2" t="inlineStr"/>
    </row>
    <row r="658" ht="15" customHeight="1">
      <c r="A658" t="inlineStr">
        <is>
          <t>A 18122-2026</t>
        </is>
      </c>
      <c r="B658" s="1" t="n">
        <v>46125.58524305555</v>
      </c>
      <c r="C658" s="1" t="n">
        <v>46189</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33383-2023</t>
        </is>
      </c>
      <c r="B659" s="1" t="n">
        <v>45128.58414351852</v>
      </c>
      <c r="C659" s="1" t="n">
        <v>46189</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55716-2023</t>
        </is>
      </c>
      <c r="B660" s="1" t="n">
        <v>45232</v>
      </c>
      <c r="C660" s="1" t="n">
        <v>46189</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34386-2024</t>
        </is>
      </c>
      <c r="B661" s="1" t="n">
        <v>45525.41762731481</v>
      </c>
      <c r="C661" s="1" t="n">
        <v>46189</v>
      </c>
      <c r="D661" t="inlineStr">
        <is>
          <t>KALMAR LÄN</t>
        </is>
      </c>
      <c r="E661" t="inlineStr">
        <is>
          <t>VIMMERBY</t>
        </is>
      </c>
      <c r="G661" t="n">
        <v>0.3</v>
      </c>
      <c r="H661" t="n">
        <v>0</v>
      </c>
      <c r="I661" t="n">
        <v>0</v>
      </c>
      <c r="J661" t="n">
        <v>0</v>
      </c>
      <c r="K661" t="n">
        <v>0</v>
      </c>
      <c r="L661" t="n">
        <v>0</v>
      </c>
      <c r="M661" t="n">
        <v>0</v>
      </c>
      <c r="N661" t="n">
        <v>0</v>
      </c>
      <c r="O661" t="n">
        <v>0</v>
      </c>
      <c r="P661" t="n">
        <v>0</v>
      </c>
      <c r="Q661" t="n">
        <v>0</v>
      </c>
      <c r="R661" s="2" t="inlineStr"/>
    </row>
    <row r="662" ht="15" customHeight="1">
      <c r="A662" t="inlineStr">
        <is>
          <t>A 42429-2024</t>
        </is>
      </c>
      <c r="B662" s="1" t="n">
        <v>45565.40657407408</v>
      </c>
      <c r="C662" s="1" t="n">
        <v>46189</v>
      </c>
      <c r="D662" t="inlineStr">
        <is>
          <t>KALMAR LÄN</t>
        </is>
      </c>
      <c r="E662" t="inlineStr">
        <is>
          <t>VIMMERBY</t>
        </is>
      </c>
      <c r="G662" t="n">
        <v>1</v>
      </c>
      <c r="H662" t="n">
        <v>0</v>
      </c>
      <c r="I662" t="n">
        <v>0</v>
      </c>
      <c r="J662" t="n">
        <v>0</v>
      </c>
      <c r="K662" t="n">
        <v>0</v>
      </c>
      <c r="L662" t="n">
        <v>0</v>
      </c>
      <c r="M662" t="n">
        <v>0</v>
      </c>
      <c r="N662" t="n">
        <v>0</v>
      </c>
      <c r="O662" t="n">
        <v>0</v>
      </c>
      <c r="P662" t="n">
        <v>0</v>
      </c>
      <c r="Q662" t="n">
        <v>0</v>
      </c>
      <c r="R662" s="2" t="inlineStr"/>
    </row>
    <row r="663" ht="15" customHeight="1">
      <c r="A663" t="inlineStr">
        <is>
          <t>A 59943-2023</t>
        </is>
      </c>
      <c r="B663" s="1" t="n">
        <v>45257.67958333333</v>
      </c>
      <c r="C663" s="1" t="n">
        <v>46189</v>
      </c>
      <c r="D663" t="inlineStr">
        <is>
          <t>KALMAR LÄN</t>
        </is>
      </c>
      <c r="E663" t="inlineStr">
        <is>
          <t>VIMMERBY</t>
        </is>
      </c>
      <c r="G663" t="n">
        <v>6.4</v>
      </c>
      <c r="H663" t="n">
        <v>0</v>
      </c>
      <c r="I663" t="n">
        <v>0</v>
      </c>
      <c r="J663" t="n">
        <v>0</v>
      </c>
      <c r="K663" t="n">
        <v>0</v>
      </c>
      <c r="L663" t="n">
        <v>0</v>
      </c>
      <c r="M663" t="n">
        <v>0</v>
      </c>
      <c r="N663" t="n">
        <v>0</v>
      </c>
      <c r="O663" t="n">
        <v>0</v>
      </c>
      <c r="P663" t="n">
        <v>0</v>
      </c>
      <c r="Q663" t="n">
        <v>0</v>
      </c>
      <c r="R663" s="2" t="inlineStr"/>
    </row>
    <row r="664" ht="15" customHeight="1">
      <c r="A664" t="inlineStr">
        <is>
          <t>A 15493-2023</t>
        </is>
      </c>
      <c r="B664" s="1" t="n">
        <v>45018</v>
      </c>
      <c r="C664" s="1" t="n">
        <v>46189</v>
      </c>
      <c r="D664" t="inlineStr">
        <is>
          <t>KALMAR LÄN</t>
        </is>
      </c>
      <c r="E664" t="inlineStr">
        <is>
          <t>VIMMERBY</t>
        </is>
      </c>
      <c r="G664" t="n">
        <v>1</v>
      </c>
      <c r="H664" t="n">
        <v>0</v>
      </c>
      <c r="I664" t="n">
        <v>0</v>
      </c>
      <c r="J664" t="n">
        <v>0</v>
      </c>
      <c r="K664" t="n">
        <v>0</v>
      </c>
      <c r="L664" t="n">
        <v>0</v>
      </c>
      <c r="M664" t="n">
        <v>0</v>
      </c>
      <c r="N664" t="n">
        <v>0</v>
      </c>
      <c r="O664" t="n">
        <v>0</v>
      </c>
      <c r="P664" t="n">
        <v>0</v>
      </c>
      <c r="Q664" t="n">
        <v>0</v>
      </c>
      <c r="R664" s="2" t="inlineStr"/>
    </row>
    <row r="665" ht="15" customHeight="1">
      <c r="A665" t="inlineStr">
        <is>
          <t>A 51881-2024</t>
        </is>
      </c>
      <c r="B665" s="1" t="n">
        <v>45607.56773148148</v>
      </c>
      <c r="C665" s="1" t="n">
        <v>46189</v>
      </c>
      <c r="D665" t="inlineStr">
        <is>
          <t>KALMAR LÄN</t>
        </is>
      </c>
      <c r="E665" t="inlineStr">
        <is>
          <t>VIMMERBY</t>
        </is>
      </c>
      <c r="G665" t="n">
        <v>3.4</v>
      </c>
      <c r="H665" t="n">
        <v>0</v>
      </c>
      <c r="I665" t="n">
        <v>0</v>
      </c>
      <c r="J665" t="n">
        <v>0</v>
      </c>
      <c r="K665" t="n">
        <v>0</v>
      </c>
      <c r="L665" t="n">
        <v>0</v>
      </c>
      <c r="M665" t="n">
        <v>0</v>
      </c>
      <c r="N665" t="n">
        <v>0</v>
      </c>
      <c r="O665" t="n">
        <v>0</v>
      </c>
      <c r="P665" t="n">
        <v>0</v>
      </c>
      <c r="Q665" t="n">
        <v>0</v>
      </c>
      <c r="R665" s="2" t="inlineStr"/>
    </row>
    <row r="666" ht="15" customHeight="1">
      <c r="A666" t="inlineStr">
        <is>
          <t>A 1021-2024</t>
        </is>
      </c>
      <c r="B666" s="1" t="n">
        <v>45301.67736111111</v>
      </c>
      <c r="C666" s="1" t="n">
        <v>46189</v>
      </c>
      <c r="D666" t="inlineStr">
        <is>
          <t>KALMAR LÄN</t>
        </is>
      </c>
      <c r="E666" t="inlineStr">
        <is>
          <t>VIMMERBY</t>
        </is>
      </c>
      <c r="G666" t="n">
        <v>1</v>
      </c>
      <c r="H666" t="n">
        <v>0</v>
      </c>
      <c r="I666" t="n">
        <v>0</v>
      </c>
      <c r="J666" t="n">
        <v>0</v>
      </c>
      <c r="K666" t="n">
        <v>0</v>
      </c>
      <c r="L666" t="n">
        <v>0</v>
      </c>
      <c r="M666" t="n">
        <v>0</v>
      </c>
      <c r="N666" t="n">
        <v>0</v>
      </c>
      <c r="O666" t="n">
        <v>0</v>
      </c>
      <c r="P666" t="n">
        <v>0</v>
      </c>
      <c r="Q666" t="n">
        <v>0</v>
      </c>
      <c r="R666" s="2" t="inlineStr"/>
    </row>
    <row r="667" ht="15" customHeight="1">
      <c r="A667" t="inlineStr">
        <is>
          <t>A 32569-2024</t>
        </is>
      </c>
      <c r="B667" s="1" t="n">
        <v>45513.55840277778</v>
      </c>
      <c r="C667" s="1" t="n">
        <v>46189</v>
      </c>
      <c r="D667" t="inlineStr">
        <is>
          <t>KALMAR LÄN</t>
        </is>
      </c>
      <c r="E667" t="inlineStr">
        <is>
          <t>VIMMERBY</t>
        </is>
      </c>
      <c r="G667" t="n">
        <v>3.7</v>
      </c>
      <c r="H667" t="n">
        <v>0</v>
      </c>
      <c r="I667" t="n">
        <v>0</v>
      </c>
      <c r="J667" t="n">
        <v>0</v>
      </c>
      <c r="K667" t="n">
        <v>0</v>
      </c>
      <c r="L667" t="n">
        <v>0</v>
      </c>
      <c r="M667" t="n">
        <v>0</v>
      </c>
      <c r="N667" t="n">
        <v>0</v>
      </c>
      <c r="O667" t="n">
        <v>0</v>
      </c>
      <c r="P667" t="n">
        <v>0</v>
      </c>
      <c r="Q667" t="n">
        <v>0</v>
      </c>
      <c r="R667" s="2" t="inlineStr"/>
    </row>
    <row r="668" ht="15" customHeight="1">
      <c r="A668" t="inlineStr">
        <is>
          <t>A 32575-2024</t>
        </is>
      </c>
      <c r="B668" s="1" t="n">
        <v>45513.56527777778</v>
      </c>
      <c r="C668" s="1" t="n">
        <v>46189</v>
      </c>
      <c r="D668" t="inlineStr">
        <is>
          <t>KALMAR LÄN</t>
        </is>
      </c>
      <c r="E668" t="inlineStr">
        <is>
          <t>VIMMERBY</t>
        </is>
      </c>
      <c r="G668" t="n">
        <v>1.5</v>
      </c>
      <c r="H668" t="n">
        <v>0</v>
      </c>
      <c r="I668" t="n">
        <v>0</v>
      </c>
      <c r="J668" t="n">
        <v>0</v>
      </c>
      <c r="K668" t="n">
        <v>0</v>
      </c>
      <c r="L668" t="n">
        <v>0</v>
      </c>
      <c r="M668" t="n">
        <v>0</v>
      </c>
      <c r="N668" t="n">
        <v>0</v>
      </c>
      <c r="O668" t="n">
        <v>0</v>
      </c>
      <c r="P668" t="n">
        <v>0</v>
      </c>
      <c r="Q668" t="n">
        <v>0</v>
      </c>
      <c r="R668" s="2" t="inlineStr"/>
    </row>
    <row r="669" ht="15" customHeight="1">
      <c r="A669" t="inlineStr">
        <is>
          <t>A 30063-2023</t>
        </is>
      </c>
      <c r="B669" s="1" t="n">
        <v>45110.4184375</v>
      </c>
      <c r="C669" s="1" t="n">
        <v>46189</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17482-2024</t>
        </is>
      </c>
      <c r="B670" s="1" t="n">
        <v>45415.47848379629</v>
      </c>
      <c r="C670" s="1" t="n">
        <v>46189</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13817-2024</t>
        </is>
      </c>
      <c r="B671" s="1" t="n">
        <v>45391.41976851852</v>
      </c>
      <c r="C671" s="1" t="n">
        <v>46189</v>
      </c>
      <c r="D671" t="inlineStr">
        <is>
          <t>KALMAR LÄN</t>
        </is>
      </c>
      <c r="E671" t="inlineStr">
        <is>
          <t>VIMMERBY</t>
        </is>
      </c>
      <c r="G671" t="n">
        <v>1</v>
      </c>
      <c r="H671" t="n">
        <v>0</v>
      </c>
      <c r="I671" t="n">
        <v>0</v>
      </c>
      <c r="J671" t="n">
        <v>0</v>
      </c>
      <c r="K671" t="n">
        <v>0</v>
      </c>
      <c r="L671" t="n">
        <v>0</v>
      </c>
      <c r="M671" t="n">
        <v>0</v>
      </c>
      <c r="N671" t="n">
        <v>0</v>
      </c>
      <c r="O671" t="n">
        <v>0</v>
      </c>
      <c r="P671" t="n">
        <v>0</v>
      </c>
      <c r="Q671" t="n">
        <v>0</v>
      </c>
      <c r="R671" s="2" t="inlineStr"/>
    </row>
    <row r="672" ht="15" customHeight="1">
      <c r="A672" t="inlineStr">
        <is>
          <t>A 30406-2023</t>
        </is>
      </c>
      <c r="B672" s="1" t="n">
        <v>45111.48787037037</v>
      </c>
      <c r="C672" s="1" t="n">
        <v>46189</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29020-2024</t>
        </is>
      </c>
      <c r="B673" s="1" t="n">
        <v>45481.58048611111</v>
      </c>
      <c r="C673" s="1" t="n">
        <v>46189</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24932-2026</t>
        </is>
      </c>
      <c r="B674" s="1" t="n">
        <v>46174.5197800926</v>
      </c>
      <c r="C674" s="1" t="n">
        <v>46189</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18633-2026</t>
        </is>
      </c>
      <c r="B675" s="1" t="n">
        <v>46128.26289351852</v>
      </c>
      <c r="C675" s="1" t="n">
        <v>46189</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25582-2024</t>
        </is>
      </c>
      <c r="B676" s="1" t="n">
        <v>45463</v>
      </c>
      <c r="C676" s="1" t="n">
        <v>46189</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57578-2024</t>
        </is>
      </c>
      <c r="B677" s="1" t="n">
        <v>45630.47564814815</v>
      </c>
      <c r="C677" s="1" t="n">
        <v>46189</v>
      </c>
      <c r="D677" t="inlineStr">
        <is>
          <t>KALMAR LÄN</t>
        </is>
      </c>
      <c r="E677" t="inlineStr">
        <is>
          <t>VIMMERBY</t>
        </is>
      </c>
      <c r="G677" t="n">
        <v>2.6</v>
      </c>
      <c r="H677" t="n">
        <v>0</v>
      </c>
      <c r="I677" t="n">
        <v>0</v>
      </c>
      <c r="J677" t="n">
        <v>0</v>
      </c>
      <c r="K677" t="n">
        <v>0</v>
      </c>
      <c r="L677" t="n">
        <v>0</v>
      </c>
      <c r="M677" t="n">
        <v>0</v>
      </c>
      <c r="N677" t="n">
        <v>0</v>
      </c>
      <c r="O677" t="n">
        <v>0</v>
      </c>
      <c r="P677" t="n">
        <v>0</v>
      </c>
      <c r="Q677" t="n">
        <v>0</v>
      </c>
      <c r="R677" s="2" t="inlineStr"/>
    </row>
    <row r="678" ht="15" customHeight="1">
      <c r="A678" t="inlineStr">
        <is>
          <t>A 24930-2026</t>
        </is>
      </c>
      <c r="B678" s="1" t="n">
        <v>46174.51430555555</v>
      </c>
      <c r="C678" s="1" t="n">
        <v>46189</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25194-2026</t>
        </is>
      </c>
      <c r="B679" s="1" t="n">
        <v>46175.58986111111</v>
      </c>
      <c r="C679" s="1" t="n">
        <v>46189</v>
      </c>
      <c r="D679" t="inlineStr">
        <is>
          <t>KALMAR LÄN</t>
        </is>
      </c>
      <c r="E679" t="inlineStr">
        <is>
          <t>VIMMERBY</t>
        </is>
      </c>
      <c r="G679" t="n">
        <v>3.4</v>
      </c>
      <c r="H679" t="n">
        <v>0</v>
      </c>
      <c r="I679" t="n">
        <v>0</v>
      </c>
      <c r="J679" t="n">
        <v>0</v>
      </c>
      <c r="K679" t="n">
        <v>0</v>
      </c>
      <c r="L679" t="n">
        <v>0</v>
      </c>
      <c r="M679" t="n">
        <v>0</v>
      </c>
      <c r="N679" t="n">
        <v>0</v>
      </c>
      <c r="O679" t="n">
        <v>0</v>
      </c>
      <c r="P679" t="n">
        <v>0</v>
      </c>
      <c r="Q679" t="n">
        <v>0</v>
      </c>
      <c r="R679" s="2" t="inlineStr"/>
    </row>
    <row r="680" ht="15" customHeight="1">
      <c r="A680" t="inlineStr">
        <is>
          <t>A 25106-2026</t>
        </is>
      </c>
      <c r="B680" s="1" t="n">
        <v>46175.35026620371</v>
      </c>
      <c r="C680" s="1" t="n">
        <v>46189</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25284-2026</t>
        </is>
      </c>
      <c r="B681" s="1" t="n">
        <v>46176.40210648148</v>
      </c>
      <c r="C681" s="1" t="n">
        <v>46189</v>
      </c>
      <c r="D681" t="inlineStr">
        <is>
          <t>KALMAR LÄN</t>
        </is>
      </c>
      <c r="E681" t="inlineStr">
        <is>
          <t>VIMMERBY</t>
        </is>
      </c>
      <c r="G681" t="n">
        <v>1.6</v>
      </c>
      <c r="H681" t="n">
        <v>0</v>
      </c>
      <c r="I681" t="n">
        <v>0</v>
      </c>
      <c r="J681" t="n">
        <v>0</v>
      </c>
      <c r="K681" t="n">
        <v>0</v>
      </c>
      <c r="L681" t="n">
        <v>0</v>
      </c>
      <c r="M681" t="n">
        <v>0</v>
      </c>
      <c r="N681" t="n">
        <v>0</v>
      </c>
      <c r="O681" t="n">
        <v>0</v>
      </c>
      <c r="P681" t="n">
        <v>0</v>
      </c>
      <c r="Q681" t="n">
        <v>0</v>
      </c>
      <c r="R681" s="2" t="inlineStr"/>
    </row>
    <row r="682" ht="15" customHeight="1">
      <c r="A682" t="inlineStr">
        <is>
          <t>A 25192-2026</t>
        </is>
      </c>
      <c r="B682" s="1" t="n">
        <v>46175.5820949074</v>
      </c>
      <c r="C682" s="1" t="n">
        <v>46189</v>
      </c>
      <c r="D682" t="inlineStr">
        <is>
          <t>KALMAR LÄN</t>
        </is>
      </c>
      <c r="E682" t="inlineStr">
        <is>
          <t>VIMMERBY</t>
        </is>
      </c>
      <c r="G682" t="n">
        <v>3.2</v>
      </c>
      <c r="H682" t="n">
        <v>0</v>
      </c>
      <c r="I682" t="n">
        <v>0</v>
      </c>
      <c r="J682" t="n">
        <v>0</v>
      </c>
      <c r="K682" t="n">
        <v>0</v>
      </c>
      <c r="L682" t="n">
        <v>0</v>
      </c>
      <c r="M682" t="n">
        <v>0</v>
      </c>
      <c r="N682" t="n">
        <v>0</v>
      </c>
      <c r="O682" t="n">
        <v>0</v>
      </c>
      <c r="P682" t="n">
        <v>0</v>
      </c>
      <c r="Q682" t="n">
        <v>0</v>
      </c>
      <c r="R682" s="2" t="inlineStr"/>
    </row>
    <row r="683" ht="15" customHeight="1">
      <c r="A683" t="inlineStr">
        <is>
          <t>A 25105-2026</t>
        </is>
      </c>
      <c r="B683" s="1" t="n">
        <v>46175.34893518518</v>
      </c>
      <c r="C683" s="1" t="n">
        <v>46189</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25345-2026</t>
        </is>
      </c>
      <c r="B684" s="1" t="n">
        <v>46176.58015046296</v>
      </c>
      <c r="C684" s="1" t="n">
        <v>46189</v>
      </c>
      <c r="D684" t="inlineStr">
        <is>
          <t>KALMAR LÄN</t>
        </is>
      </c>
      <c r="E684" t="inlineStr">
        <is>
          <t>VIMMERBY</t>
        </is>
      </c>
      <c r="G684" t="n">
        <v>1.9</v>
      </c>
      <c r="H684" t="n">
        <v>0</v>
      </c>
      <c r="I684" t="n">
        <v>0</v>
      </c>
      <c r="J684" t="n">
        <v>0</v>
      </c>
      <c r="K684" t="n">
        <v>0</v>
      </c>
      <c r="L684" t="n">
        <v>0</v>
      </c>
      <c r="M684" t="n">
        <v>0</v>
      </c>
      <c r="N684" t="n">
        <v>0</v>
      </c>
      <c r="O684" t="n">
        <v>0</v>
      </c>
      <c r="P684" t="n">
        <v>0</v>
      </c>
      <c r="Q684" t="n">
        <v>0</v>
      </c>
      <c r="R684" s="2" t="inlineStr"/>
    </row>
    <row r="685" ht="15" customHeight="1">
      <c r="A685" t="inlineStr">
        <is>
          <t>A 25395-2026</t>
        </is>
      </c>
      <c r="B685" s="1" t="n">
        <v>46176.73450231482</v>
      </c>
      <c r="C685" s="1" t="n">
        <v>46189</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11442-2025</t>
        </is>
      </c>
      <c r="B686" s="1" t="n">
        <v>45726.62721064815</v>
      </c>
      <c r="C686" s="1" t="n">
        <v>46189</v>
      </c>
      <c r="D686" t="inlineStr">
        <is>
          <t>KALMAR LÄN</t>
        </is>
      </c>
      <c r="E686" t="inlineStr">
        <is>
          <t>VIMMERBY</t>
        </is>
      </c>
      <c r="G686" t="n">
        <v>2.6</v>
      </c>
      <c r="H686" t="n">
        <v>0</v>
      </c>
      <c r="I686" t="n">
        <v>0</v>
      </c>
      <c r="J686" t="n">
        <v>0</v>
      </c>
      <c r="K686" t="n">
        <v>0</v>
      </c>
      <c r="L686" t="n">
        <v>0</v>
      </c>
      <c r="M686" t="n">
        <v>0</v>
      </c>
      <c r="N686" t="n">
        <v>0</v>
      </c>
      <c r="O686" t="n">
        <v>0</v>
      </c>
      <c r="P686" t="n">
        <v>0</v>
      </c>
      <c r="Q686" t="n">
        <v>0</v>
      </c>
      <c r="R686" s="2" t="inlineStr"/>
    </row>
    <row r="687" ht="15" customHeight="1">
      <c r="A687" t="inlineStr">
        <is>
          <t>A 6307-2025</t>
        </is>
      </c>
      <c r="B687" s="1" t="n">
        <v>45698.69016203703</v>
      </c>
      <c r="C687" s="1" t="n">
        <v>46189</v>
      </c>
      <c r="D687" t="inlineStr">
        <is>
          <t>KALMAR LÄN</t>
        </is>
      </c>
      <c r="E687" t="inlineStr">
        <is>
          <t>VIMMERBY</t>
        </is>
      </c>
      <c r="G687" t="n">
        <v>3</v>
      </c>
      <c r="H687" t="n">
        <v>0</v>
      </c>
      <c r="I687" t="n">
        <v>0</v>
      </c>
      <c r="J687" t="n">
        <v>0</v>
      </c>
      <c r="K687" t="n">
        <v>0</v>
      </c>
      <c r="L687" t="n">
        <v>0</v>
      </c>
      <c r="M687" t="n">
        <v>0</v>
      </c>
      <c r="N687" t="n">
        <v>0</v>
      </c>
      <c r="O687" t="n">
        <v>0</v>
      </c>
      <c r="P687" t="n">
        <v>0</v>
      </c>
      <c r="Q687" t="n">
        <v>0</v>
      </c>
      <c r="R687" s="2" t="inlineStr"/>
    </row>
    <row r="688" ht="15" customHeight="1">
      <c r="A688" t="inlineStr">
        <is>
          <t>A 25158-2026</t>
        </is>
      </c>
      <c r="B688" s="1" t="n">
        <v>46175.45645833333</v>
      </c>
      <c r="C688" s="1" t="n">
        <v>46189</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37866-2025</t>
        </is>
      </c>
      <c r="B689" s="1" t="n">
        <v>45881</v>
      </c>
      <c r="C689" s="1" t="n">
        <v>46189</v>
      </c>
      <c r="D689" t="inlineStr">
        <is>
          <t>KALMAR LÄN</t>
        </is>
      </c>
      <c r="E689" t="inlineStr">
        <is>
          <t>VIMMERBY</t>
        </is>
      </c>
      <c r="G689" t="n">
        <v>3.4</v>
      </c>
      <c r="H689" t="n">
        <v>0</v>
      </c>
      <c r="I689" t="n">
        <v>0</v>
      </c>
      <c r="J689" t="n">
        <v>0</v>
      </c>
      <c r="K689" t="n">
        <v>0</v>
      </c>
      <c r="L689" t="n">
        <v>0</v>
      </c>
      <c r="M689" t="n">
        <v>0</v>
      </c>
      <c r="N689" t="n">
        <v>0</v>
      </c>
      <c r="O689" t="n">
        <v>0</v>
      </c>
      <c r="P689" t="n">
        <v>0</v>
      </c>
      <c r="Q689" t="n">
        <v>0</v>
      </c>
      <c r="R689" s="2" t="inlineStr"/>
    </row>
    <row r="690" ht="15" customHeight="1">
      <c r="A690" t="inlineStr">
        <is>
          <t>A 20018-2026</t>
        </is>
      </c>
      <c r="B690" s="1" t="n">
        <v>46136.50282407407</v>
      </c>
      <c r="C690" s="1" t="n">
        <v>46189</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45114-2025</t>
        </is>
      </c>
      <c r="B691" s="1" t="n">
        <v>45919.42387731482</v>
      </c>
      <c r="C691" s="1" t="n">
        <v>46189</v>
      </c>
      <c r="D691" t="inlineStr">
        <is>
          <t>KALMAR LÄN</t>
        </is>
      </c>
      <c r="E691" t="inlineStr">
        <is>
          <t>VIMMERBY</t>
        </is>
      </c>
      <c r="G691" t="n">
        <v>2.7</v>
      </c>
      <c r="H691" t="n">
        <v>0</v>
      </c>
      <c r="I691" t="n">
        <v>0</v>
      </c>
      <c r="J691" t="n">
        <v>0</v>
      </c>
      <c r="K691" t="n">
        <v>0</v>
      </c>
      <c r="L691" t="n">
        <v>0</v>
      </c>
      <c r="M691" t="n">
        <v>0</v>
      </c>
      <c r="N691" t="n">
        <v>0</v>
      </c>
      <c r="O691" t="n">
        <v>0</v>
      </c>
      <c r="P691" t="n">
        <v>0</v>
      </c>
      <c r="Q691" t="n">
        <v>0</v>
      </c>
      <c r="R691" s="2" t="inlineStr"/>
    </row>
    <row r="692" ht="15" customHeight="1">
      <c r="A692" t="inlineStr">
        <is>
          <t>A 52294-2023</t>
        </is>
      </c>
      <c r="B692" s="1" t="n">
        <v>45224.60075231481</v>
      </c>
      <c r="C692" s="1" t="n">
        <v>46189</v>
      </c>
      <c r="D692" t="inlineStr">
        <is>
          <t>KALMAR LÄN</t>
        </is>
      </c>
      <c r="E692" t="inlineStr">
        <is>
          <t>VIMMERBY</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23984-2025</t>
        </is>
      </c>
      <c r="B693" s="1" t="n">
        <v>45796</v>
      </c>
      <c r="C693" s="1" t="n">
        <v>46189</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25830-2025</t>
        </is>
      </c>
      <c r="B694" s="1" t="n">
        <v>45804.44519675926</v>
      </c>
      <c r="C694" s="1" t="n">
        <v>46189</v>
      </c>
      <c r="D694" t="inlineStr">
        <is>
          <t>KALMAR LÄN</t>
        </is>
      </c>
      <c r="E694" t="inlineStr">
        <is>
          <t>VIMMERBY</t>
        </is>
      </c>
      <c r="G694" t="n">
        <v>4.9</v>
      </c>
      <c r="H694" t="n">
        <v>0</v>
      </c>
      <c r="I694" t="n">
        <v>0</v>
      </c>
      <c r="J694" t="n">
        <v>0</v>
      </c>
      <c r="K694" t="n">
        <v>0</v>
      </c>
      <c r="L694" t="n">
        <v>0</v>
      </c>
      <c r="M694" t="n">
        <v>0</v>
      </c>
      <c r="N694" t="n">
        <v>0</v>
      </c>
      <c r="O694" t="n">
        <v>0</v>
      </c>
      <c r="P694" t="n">
        <v>0</v>
      </c>
      <c r="Q694" t="n">
        <v>0</v>
      </c>
      <c r="R694" s="2" t="inlineStr"/>
    </row>
    <row r="695" ht="15" customHeight="1">
      <c r="A695" t="inlineStr">
        <is>
          <t>A 36273-2025</t>
        </is>
      </c>
      <c r="B695" s="1" t="n">
        <v>45867.63094907408</v>
      </c>
      <c r="C695" s="1" t="n">
        <v>46189</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36282-2025</t>
        </is>
      </c>
      <c r="B696" s="1" t="n">
        <v>45867.64663194444</v>
      </c>
      <c r="C696" s="1" t="n">
        <v>46189</v>
      </c>
      <c r="D696" t="inlineStr">
        <is>
          <t>KALMAR LÄN</t>
        </is>
      </c>
      <c r="E696" t="inlineStr">
        <is>
          <t>VIMMERBY</t>
        </is>
      </c>
      <c r="G696" t="n">
        <v>1.4</v>
      </c>
      <c r="H696" t="n">
        <v>0</v>
      </c>
      <c r="I696" t="n">
        <v>0</v>
      </c>
      <c r="J696" t="n">
        <v>0</v>
      </c>
      <c r="K696" t="n">
        <v>0</v>
      </c>
      <c r="L696" t="n">
        <v>0</v>
      </c>
      <c r="M696" t="n">
        <v>0</v>
      </c>
      <c r="N696" t="n">
        <v>0</v>
      </c>
      <c r="O696" t="n">
        <v>0</v>
      </c>
      <c r="P696" t="n">
        <v>0</v>
      </c>
      <c r="Q696" t="n">
        <v>0</v>
      </c>
      <c r="R696" s="2" t="inlineStr"/>
    </row>
    <row r="697" ht="15" customHeight="1">
      <c r="A697" t="inlineStr">
        <is>
          <t>A 31876-2025</t>
        </is>
      </c>
      <c r="B697" s="1" t="n">
        <v>45834.65197916667</v>
      </c>
      <c r="C697" s="1" t="n">
        <v>46189</v>
      </c>
      <c r="D697" t="inlineStr">
        <is>
          <t>KALMAR LÄN</t>
        </is>
      </c>
      <c r="E697" t="inlineStr">
        <is>
          <t>VIMMERBY</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58159-2024</t>
        </is>
      </c>
      <c r="B698" s="1" t="n">
        <v>45632.44886574074</v>
      </c>
      <c r="C698" s="1" t="n">
        <v>46189</v>
      </c>
      <c r="D698" t="inlineStr">
        <is>
          <t>KALMAR LÄN</t>
        </is>
      </c>
      <c r="E698" t="inlineStr">
        <is>
          <t>VIMMERBY</t>
        </is>
      </c>
      <c r="G698" t="n">
        <v>7.5</v>
      </c>
      <c r="H698" t="n">
        <v>0</v>
      </c>
      <c r="I698" t="n">
        <v>0</v>
      </c>
      <c r="J698" t="n">
        <v>0</v>
      </c>
      <c r="K698" t="n">
        <v>0</v>
      </c>
      <c r="L698" t="n">
        <v>0</v>
      </c>
      <c r="M698" t="n">
        <v>0</v>
      </c>
      <c r="N698" t="n">
        <v>0</v>
      </c>
      <c r="O698" t="n">
        <v>0</v>
      </c>
      <c r="P698" t="n">
        <v>0</v>
      </c>
      <c r="Q698" t="n">
        <v>0</v>
      </c>
      <c r="R698" s="2" t="inlineStr"/>
    </row>
    <row r="699" ht="15" customHeight="1">
      <c r="A699" t="inlineStr">
        <is>
          <t>A 20017-2026</t>
        </is>
      </c>
      <c r="B699" s="1" t="n">
        <v>46136.49986111111</v>
      </c>
      <c r="C699" s="1" t="n">
        <v>46189</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28282-2025</t>
        </is>
      </c>
      <c r="B700" s="1" t="n">
        <v>45818.58769675926</v>
      </c>
      <c r="C700" s="1" t="n">
        <v>46189</v>
      </c>
      <c r="D700" t="inlineStr">
        <is>
          <t>KALMAR LÄN</t>
        </is>
      </c>
      <c r="E700" t="inlineStr">
        <is>
          <t>VIMMERBY</t>
        </is>
      </c>
      <c r="F700" t="inlineStr">
        <is>
          <t>Sveaskog</t>
        </is>
      </c>
      <c r="G700" t="n">
        <v>0.7</v>
      </c>
      <c r="H700" t="n">
        <v>0</v>
      </c>
      <c r="I700" t="n">
        <v>0</v>
      </c>
      <c r="J700" t="n">
        <v>0</v>
      </c>
      <c r="K700" t="n">
        <v>0</v>
      </c>
      <c r="L700" t="n">
        <v>0</v>
      </c>
      <c r="M700" t="n">
        <v>0</v>
      </c>
      <c r="N700" t="n">
        <v>0</v>
      </c>
      <c r="O700" t="n">
        <v>0</v>
      </c>
      <c r="P700" t="n">
        <v>0</v>
      </c>
      <c r="Q700" t="n">
        <v>0</v>
      </c>
      <c r="R700" s="2" t="inlineStr"/>
    </row>
    <row r="701" ht="15" customHeight="1">
      <c r="A701" t="inlineStr">
        <is>
          <t>A 16015-2025</t>
        </is>
      </c>
      <c r="B701" s="1" t="n">
        <v>45749.60487268519</v>
      </c>
      <c r="C701" s="1" t="n">
        <v>46189</v>
      </c>
      <c r="D701" t="inlineStr">
        <is>
          <t>KALMAR LÄN</t>
        </is>
      </c>
      <c r="E701" t="inlineStr">
        <is>
          <t>VIMMERBY</t>
        </is>
      </c>
      <c r="F701" t="inlineStr">
        <is>
          <t>Kyrkan</t>
        </is>
      </c>
      <c r="G701" t="n">
        <v>2.7</v>
      </c>
      <c r="H701" t="n">
        <v>0</v>
      </c>
      <c r="I701" t="n">
        <v>0</v>
      </c>
      <c r="J701" t="n">
        <v>0</v>
      </c>
      <c r="K701" t="n">
        <v>0</v>
      </c>
      <c r="L701" t="n">
        <v>0</v>
      </c>
      <c r="M701" t="n">
        <v>0</v>
      </c>
      <c r="N701" t="n">
        <v>0</v>
      </c>
      <c r="O701" t="n">
        <v>0</v>
      </c>
      <c r="P701" t="n">
        <v>0</v>
      </c>
      <c r="Q701" t="n">
        <v>0</v>
      </c>
      <c r="R701" s="2" t="inlineStr"/>
    </row>
    <row r="702" ht="15" customHeight="1">
      <c r="A702" t="inlineStr">
        <is>
          <t>A 51278-2024</t>
        </is>
      </c>
      <c r="B702" s="1" t="n">
        <v>45603.74959490741</v>
      </c>
      <c r="C702" s="1" t="n">
        <v>46189</v>
      </c>
      <c r="D702" t="inlineStr">
        <is>
          <t>KALMAR LÄN</t>
        </is>
      </c>
      <c r="E702" t="inlineStr">
        <is>
          <t>VIMMERBY</t>
        </is>
      </c>
      <c r="G702" t="n">
        <v>3.4</v>
      </c>
      <c r="H702" t="n">
        <v>0</v>
      </c>
      <c r="I702" t="n">
        <v>0</v>
      </c>
      <c r="J702" t="n">
        <v>0</v>
      </c>
      <c r="K702" t="n">
        <v>0</v>
      </c>
      <c r="L702" t="n">
        <v>0</v>
      </c>
      <c r="M702" t="n">
        <v>0</v>
      </c>
      <c r="N702" t="n">
        <v>0</v>
      </c>
      <c r="O702" t="n">
        <v>0</v>
      </c>
      <c r="P702" t="n">
        <v>0</v>
      </c>
      <c r="Q702" t="n">
        <v>0</v>
      </c>
      <c r="R702" s="2" t="inlineStr"/>
    </row>
    <row r="703" ht="15" customHeight="1">
      <c r="A703" t="inlineStr">
        <is>
          <t>A 38969-2023</t>
        </is>
      </c>
      <c r="B703" s="1" t="n">
        <v>45163.63621527778</v>
      </c>
      <c r="C703" s="1" t="n">
        <v>46189</v>
      </c>
      <c r="D703" t="inlineStr">
        <is>
          <t>KALMAR LÄN</t>
        </is>
      </c>
      <c r="E703" t="inlineStr">
        <is>
          <t>VIMMERBY</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35082-2024</t>
        </is>
      </c>
      <c r="B704" s="1" t="n">
        <v>45527.68784722222</v>
      </c>
      <c r="C704" s="1" t="n">
        <v>46189</v>
      </c>
      <c r="D704" t="inlineStr">
        <is>
          <t>KALMAR LÄN</t>
        </is>
      </c>
      <c r="E704" t="inlineStr">
        <is>
          <t>VIMMERBY</t>
        </is>
      </c>
      <c r="G704" t="n">
        <v>0.8</v>
      </c>
      <c r="H704" t="n">
        <v>0</v>
      </c>
      <c r="I704" t="n">
        <v>0</v>
      </c>
      <c r="J704" t="n">
        <v>0</v>
      </c>
      <c r="K704" t="n">
        <v>0</v>
      </c>
      <c r="L704" t="n">
        <v>0</v>
      </c>
      <c r="M704" t="n">
        <v>0</v>
      </c>
      <c r="N704" t="n">
        <v>0</v>
      </c>
      <c r="O704" t="n">
        <v>0</v>
      </c>
      <c r="P704" t="n">
        <v>0</v>
      </c>
      <c r="Q704" t="n">
        <v>0</v>
      </c>
      <c r="R704" s="2" t="inlineStr"/>
    </row>
    <row r="705" ht="15" customHeight="1">
      <c r="A705" t="inlineStr">
        <is>
          <t>A 44582-2024</t>
        </is>
      </c>
      <c r="B705" s="1" t="n">
        <v>45574.49298611111</v>
      </c>
      <c r="C705" s="1" t="n">
        <v>46189</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9456-2025</t>
        </is>
      </c>
      <c r="B706" s="1" t="n">
        <v>45715.44159722222</v>
      </c>
      <c r="C706" s="1" t="n">
        <v>46189</v>
      </c>
      <c r="D706" t="inlineStr">
        <is>
          <t>KALMAR LÄN</t>
        </is>
      </c>
      <c r="E706" t="inlineStr">
        <is>
          <t>VIMMERBY</t>
        </is>
      </c>
      <c r="G706" t="n">
        <v>1.5</v>
      </c>
      <c r="H706" t="n">
        <v>0</v>
      </c>
      <c r="I706" t="n">
        <v>0</v>
      </c>
      <c r="J706" t="n">
        <v>0</v>
      </c>
      <c r="K706" t="n">
        <v>0</v>
      </c>
      <c r="L706" t="n">
        <v>0</v>
      </c>
      <c r="M706" t="n">
        <v>0</v>
      </c>
      <c r="N706" t="n">
        <v>0</v>
      </c>
      <c r="O706" t="n">
        <v>0</v>
      </c>
      <c r="P706" t="n">
        <v>0</v>
      </c>
      <c r="Q706" t="n">
        <v>0</v>
      </c>
      <c r="R706" s="2" t="inlineStr"/>
    </row>
    <row r="707" ht="15" customHeight="1">
      <c r="A707" t="inlineStr">
        <is>
          <t>A 11111-2023</t>
        </is>
      </c>
      <c r="B707" s="1" t="n">
        <v>44992.4255787037</v>
      </c>
      <c r="C707" s="1" t="n">
        <v>46189</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29727-2025</t>
        </is>
      </c>
      <c r="B708" s="1" t="n">
        <v>45825.5796875</v>
      </c>
      <c r="C708" s="1" t="n">
        <v>46189</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29783-2024</t>
        </is>
      </c>
      <c r="B709" s="1" t="n">
        <v>45485.45778935185</v>
      </c>
      <c r="C709" s="1" t="n">
        <v>46189</v>
      </c>
      <c r="D709" t="inlineStr">
        <is>
          <t>KALMAR LÄN</t>
        </is>
      </c>
      <c r="E709" t="inlineStr">
        <is>
          <t>VIMMERBY</t>
        </is>
      </c>
      <c r="G709" t="n">
        <v>3.1</v>
      </c>
      <c r="H709" t="n">
        <v>0</v>
      </c>
      <c r="I709" t="n">
        <v>0</v>
      </c>
      <c r="J709" t="n">
        <v>0</v>
      </c>
      <c r="K709" t="n">
        <v>0</v>
      </c>
      <c r="L709" t="n">
        <v>0</v>
      </c>
      <c r="M709" t="n">
        <v>0</v>
      </c>
      <c r="N709" t="n">
        <v>0</v>
      </c>
      <c r="O709" t="n">
        <v>0</v>
      </c>
      <c r="P709" t="n">
        <v>0</v>
      </c>
      <c r="Q709" t="n">
        <v>0</v>
      </c>
      <c r="R709" s="2" t="inlineStr"/>
    </row>
    <row r="710" ht="15" customHeight="1">
      <c r="A710" t="inlineStr">
        <is>
          <t>A 46118-2025</t>
        </is>
      </c>
      <c r="B710" s="1" t="n">
        <v>45924.57697916667</v>
      </c>
      <c r="C710" s="1" t="n">
        <v>46189</v>
      </c>
      <c r="D710" t="inlineStr">
        <is>
          <t>KALMAR LÄN</t>
        </is>
      </c>
      <c r="E710" t="inlineStr">
        <is>
          <t>VIMMERBY</t>
        </is>
      </c>
      <c r="G710" t="n">
        <v>2.9</v>
      </c>
      <c r="H710" t="n">
        <v>0</v>
      </c>
      <c r="I710" t="n">
        <v>0</v>
      </c>
      <c r="J710" t="n">
        <v>0</v>
      </c>
      <c r="K710" t="n">
        <v>0</v>
      </c>
      <c r="L710" t="n">
        <v>0</v>
      </c>
      <c r="M710" t="n">
        <v>0</v>
      </c>
      <c r="N710" t="n">
        <v>0</v>
      </c>
      <c r="O710" t="n">
        <v>0</v>
      </c>
      <c r="P710" t="n">
        <v>0</v>
      </c>
      <c r="Q710" t="n">
        <v>0</v>
      </c>
      <c r="R710" s="2" t="inlineStr"/>
    </row>
    <row r="711" ht="15" customHeight="1">
      <c r="A711" t="inlineStr">
        <is>
          <t>A 45854-2025</t>
        </is>
      </c>
      <c r="B711" s="1" t="n">
        <v>45923</v>
      </c>
      <c r="C711" s="1" t="n">
        <v>46189</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58724-2024</t>
        </is>
      </c>
      <c r="B712" s="1" t="n">
        <v>45635.66409722222</v>
      </c>
      <c r="C712" s="1" t="n">
        <v>46189</v>
      </c>
      <c r="D712" t="inlineStr">
        <is>
          <t>KALMAR LÄN</t>
        </is>
      </c>
      <c r="E712" t="inlineStr">
        <is>
          <t>VIMMERBY</t>
        </is>
      </c>
      <c r="G712" t="n">
        <v>1</v>
      </c>
      <c r="H712" t="n">
        <v>0</v>
      </c>
      <c r="I712" t="n">
        <v>0</v>
      </c>
      <c r="J712" t="n">
        <v>0</v>
      </c>
      <c r="K712" t="n">
        <v>0</v>
      </c>
      <c r="L712" t="n">
        <v>0</v>
      </c>
      <c r="M712" t="n">
        <v>0</v>
      </c>
      <c r="N712" t="n">
        <v>0</v>
      </c>
      <c r="O712" t="n">
        <v>0</v>
      </c>
      <c r="P712" t="n">
        <v>0</v>
      </c>
      <c r="Q712" t="n">
        <v>0</v>
      </c>
      <c r="R712" s="2" t="inlineStr"/>
    </row>
    <row r="713" ht="15" customHeight="1">
      <c r="A713" t="inlineStr">
        <is>
          <t>A 15494-2024</t>
        </is>
      </c>
      <c r="B713" s="1" t="n">
        <v>45401.53033564815</v>
      </c>
      <c r="C713" s="1" t="n">
        <v>46189</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60215-2022</t>
        </is>
      </c>
      <c r="B714" s="1" t="n">
        <v>44910.41346064815</v>
      </c>
      <c r="C714" s="1" t="n">
        <v>46189</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26046-2025</t>
        </is>
      </c>
      <c r="B715" s="1" t="n">
        <v>45804.708125</v>
      </c>
      <c r="C715" s="1" t="n">
        <v>46189</v>
      </c>
      <c r="D715" t="inlineStr">
        <is>
          <t>KALMAR LÄN</t>
        </is>
      </c>
      <c r="E715" t="inlineStr">
        <is>
          <t>VIMMERBY</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25792-2025</t>
        </is>
      </c>
      <c r="B716" s="1" t="n">
        <v>45804.39141203704</v>
      </c>
      <c r="C716" s="1" t="n">
        <v>46189</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20-2025</t>
        </is>
      </c>
      <c r="B717" s="1" t="n">
        <v>45658.80232638889</v>
      </c>
      <c r="C717" s="1" t="n">
        <v>46189</v>
      </c>
      <c r="D717" t="inlineStr">
        <is>
          <t>KALMAR LÄN</t>
        </is>
      </c>
      <c r="E717" t="inlineStr">
        <is>
          <t>VIMMERBY</t>
        </is>
      </c>
      <c r="G717" t="n">
        <v>1.3</v>
      </c>
      <c r="H717" t="n">
        <v>0</v>
      </c>
      <c r="I717" t="n">
        <v>0</v>
      </c>
      <c r="J717" t="n">
        <v>0</v>
      </c>
      <c r="K717" t="n">
        <v>0</v>
      </c>
      <c r="L717" t="n">
        <v>0</v>
      </c>
      <c r="M717" t="n">
        <v>0</v>
      </c>
      <c r="N717" t="n">
        <v>0</v>
      </c>
      <c r="O717" t="n">
        <v>0</v>
      </c>
      <c r="P717" t="n">
        <v>0</v>
      </c>
      <c r="Q717" t="n">
        <v>0</v>
      </c>
      <c r="R717" s="2" t="inlineStr"/>
    </row>
    <row r="718" ht="15" customHeight="1">
      <c r="A718" t="inlineStr">
        <is>
          <t>A 6028-2023</t>
        </is>
      </c>
      <c r="B718" s="1" t="n">
        <v>44964.44356481481</v>
      </c>
      <c r="C718" s="1" t="n">
        <v>46189</v>
      </c>
      <c r="D718" t="inlineStr">
        <is>
          <t>KALMAR LÄN</t>
        </is>
      </c>
      <c r="E718" t="inlineStr">
        <is>
          <t>VIMMERBY</t>
        </is>
      </c>
      <c r="G718" t="n">
        <v>2.5</v>
      </c>
      <c r="H718" t="n">
        <v>0</v>
      </c>
      <c r="I718" t="n">
        <v>0</v>
      </c>
      <c r="J718" t="n">
        <v>0</v>
      </c>
      <c r="K718" t="n">
        <v>0</v>
      </c>
      <c r="L718" t="n">
        <v>0</v>
      </c>
      <c r="M718" t="n">
        <v>0</v>
      </c>
      <c r="N718" t="n">
        <v>0</v>
      </c>
      <c r="O718" t="n">
        <v>0</v>
      </c>
      <c r="P718" t="n">
        <v>0</v>
      </c>
      <c r="Q718" t="n">
        <v>0</v>
      </c>
      <c r="R718" s="2" t="inlineStr"/>
    </row>
    <row r="719" ht="15" customHeight="1">
      <c r="A719" t="inlineStr">
        <is>
          <t>A 26207-2025</t>
        </is>
      </c>
      <c r="B719" s="1" t="n">
        <v>45805.52983796296</v>
      </c>
      <c r="C719" s="1" t="n">
        <v>46189</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42850-2022</t>
        </is>
      </c>
      <c r="B720" s="1" t="n">
        <v>44832.67608796297</v>
      </c>
      <c r="C720" s="1" t="n">
        <v>46189</v>
      </c>
      <c r="D720" t="inlineStr">
        <is>
          <t>KALMAR LÄN</t>
        </is>
      </c>
      <c r="E720" t="inlineStr">
        <is>
          <t>VIMMERBY</t>
        </is>
      </c>
      <c r="G720" t="n">
        <v>5.9</v>
      </c>
      <c r="H720" t="n">
        <v>0</v>
      </c>
      <c r="I720" t="n">
        <v>0</v>
      </c>
      <c r="J720" t="n">
        <v>0</v>
      </c>
      <c r="K720" t="n">
        <v>0</v>
      </c>
      <c r="L720" t="n">
        <v>0</v>
      </c>
      <c r="M720" t="n">
        <v>0</v>
      </c>
      <c r="N720" t="n">
        <v>0</v>
      </c>
      <c r="O720" t="n">
        <v>0</v>
      </c>
      <c r="P720" t="n">
        <v>0</v>
      </c>
      <c r="Q720" t="n">
        <v>0</v>
      </c>
      <c r="R720" s="2" t="inlineStr"/>
    </row>
    <row r="721" ht="15" customHeight="1">
      <c r="A721" t="inlineStr">
        <is>
          <t>A 26254-2025</t>
        </is>
      </c>
      <c r="B721" s="1" t="n">
        <v>45805</v>
      </c>
      <c r="C721" s="1" t="n">
        <v>46189</v>
      </c>
      <c r="D721" t="inlineStr">
        <is>
          <t>KALMAR LÄN</t>
        </is>
      </c>
      <c r="E721" t="inlineStr">
        <is>
          <t>VIMMERBY</t>
        </is>
      </c>
      <c r="G721" t="n">
        <v>2</v>
      </c>
      <c r="H721" t="n">
        <v>0</v>
      </c>
      <c r="I721" t="n">
        <v>0</v>
      </c>
      <c r="J721" t="n">
        <v>0</v>
      </c>
      <c r="K721" t="n">
        <v>0</v>
      </c>
      <c r="L721" t="n">
        <v>0</v>
      </c>
      <c r="M721" t="n">
        <v>0</v>
      </c>
      <c r="N721" t="n">
        <v>0</v>
      </c>
      <c r="O721" t="n">
        <v>0</v>
      </c>
      <c r="P721" t="n">
        <v>0</v>
      </c>
      <c r="Q721" t="n">
        <v>0</v>
      </c>
      <c r="R721" s="2" t="inlineStr"/>
    </row>
    <row r="722" ht="15" customHeight="1">
      <c r="A722" t="inlineStr">
        <is>
          <t>A 28290-2025</t>
        </is>
      </c>
      <c r="B722" s="1" t="n">
        <v>45818.59261574074</v>
      </c>
      <c r="C722" s="1" t="n">
        <v>46189</v>
      </c>
      <c r="D722" t="inlineStr">
        <is>
          <t>KALMAR LÄN</t>
        </is>
      </c>
      <c r="E722" t="inlineStr">
        <is>
          <t>VIMMERBY</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28294-2025</t>
        </is>
      </c>
      <c r="B723" s="1" t="n">
        <v>45818.595625</v>
      </c>
      <c r="C723" s="1" t="n">
        <v>46189</v>
      </c>
      <c r="D723" t="inlineStr">
        <is>
          <t>KALMAR LÄN</t>
        </is>
      </c>
      <c r="E723" t="inlineStr">
        <is>
          <t>VIMMERBY</t>
        </is>
      </c>
      <c r="F723" t="inlineStr">
        <is>
          <t>Sveaskog</t>
        </is>
      </c>
      <c r="G723" t="n">
        <v>1.1</v>
      </c>
      <c r="H723" t="n">
        <v>0</v>
      </c>
      <c r="I723" t="n">
        <v>0</v>
      </c>
      <c r="J723" t="n">
        <v>0</v>
      </c>
      <c r="K723" t="n">
        <v>0</v>
      </c>
      <c r="L723" t="n">
        <v>0</v>
      </c>
      <c r="M723" t="n">
        <v>0</v>
      </c>
      <c r="N723" t="n">
        <v>0</v>
      </c>
      <c r="O723" t="n">
        <v>0</v>
      </c>
      <c r="P723" t="n">
        <v>0</v>
      </c>
      <c r="Q723" t="n">
        <v>0</v>
      </c>
      <c r="R723" s="2" t="inlineStr"/>
    </row>
    <row r="724" ht="15" customHeight="1">
      <c r="A724" t="inlineStr">
        <is>
          <t>A 28713-2025</t>
        </is>
      </c>
      <c r="B724" s="1" t="n">
        <v>45820.33930555556</v>
      </c>
      <c r="C724" s="1" t="n">
        <v>46189</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52465-2025</t>
        </is>
      </c>
      <c r="B725" s="1" t="n">
        <v>45954.44543981482</v>
      </c>
      <c r="C725" s="1" t="n">
        <v>46189</v>
      </c>
      <c r="D725" t="inlineStr">
        <is>
          <t>KALMAR LÄN</t>
        </is>
      </c>
      <c r="E725" t="inlineStr">
        <is>
          <t>VIMMERBY</t>
        </is>
      </c>
      <c r="G725" t="n">
        <v>0.9</v>
      </c>
      <c r="H725" t="n">
        <v>0</v>
      </c>
      <c r="I725" t="n">
        <v>0</v>
      </c>
      <c r="J725" t="n">
        <v>0</v>
      </c>
      <c r="K725" t="n">
        <v>0</v>
      </c>
      <c r="L725" t="n">
        <v>0</v>
      </c>
      <c r="M725" t="n">
        <v>0</v>
      </c>
      <c r="N725" t="n">
        <v>0</v>
      </c>
      <c r="O725" t="n">
        <v>0</v>
      </c>
      <c r="P725" t="n">
        <v>0</v>
      </c>
      <c r="Q725" t="n">
        <v>0</v>
      </c>
      <c r="R725" s="2" t="inlineStr"/>
    </row>
    <row r="726" ht="15" customHeight="1">
      <c r="A726" t="inlineStr">
        <is>
          <t>A 26029-2026</t>
        </is>
      </c>
      <c r="B726" s="1" t="n">
        <v>46181.50233796296</v>
      </c>
      <c r="C726" s="1" t="n">
        <v>46189</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29737-2025</t>
        </is>
      </c>
      <c r="B727" s="1" t="n">
        <v>45825.58672453704</v>
      </c>
      <c r="C727" s="1" t="n">
        <v>46189</v>
      </c>
      <c r="D727" t="inlineStr">
        <is>
          <t>KALMAR LÄN</t>
        </is>
      </c>
      <c r="E727" t="inlineStr">
        <is>
          <t>VIMMERBY</t>
        </is>
      </c>
      <c r="G727" t="n">
        <v>1.2</v>
      </c>
      <c r="H727" t="n">
        <v>0</v>
      </c>
      <c r="I727" t="n">
        <v>0</v>
      </c>
      <c r="J727" t="n">
        <v>0</v>
      </c>
      <c r="K727" t="n">
        <v>0</v>
      </c>
      <c r="L727" t="n">
        <v>0</v>
      </c>
      <c r="M727" t="n">
        <v>0</v>
      </c>
      <c r="N727" t="n">
        <v>0</v>
      </c>
      <c r="O727" t="n">
        <v>0</v>
      </c>
      <c r="P727" t="n">
        <v>0</v>
      </c>
      <c r="Q727" t="n">
        <v>0</v>
      </c>
      <c r="R727" s="2" t="inlineStr"/>
    </row>
    <row r="728" ht="15" customHeight="1">
      <c r="A728" t="inlineStr">
        <is>
          <t>A 30293-2025</t>
        </is>
      </c>
      <c r="B728" s="1" t="n">
        <v>45827</v>
      </c>
      <c r="C728" s="1" t="n">
        <v>46189</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30882-2025</t>
        </is>
      </c>
      <c r="B729" s="1" t="n">
        <v>45832.34540509259</v>
      </c>
      <c r="C729" s="1" t="n">
        <v>46189</v>
      </c>
      <c r="D729" t="inlineStr">
        <is>
          <t>KALMAR LÄN</t>
        </is>
      </c>
      <c r="E729" t="inlineStr">
        <is>
          <t>VIMMERBY</t>
        </is>
      </c>
      <c r="G729" t="n">
        <v>0.7</v>
      </c>
      <c r="H729" t="n">
        <v>0</v>
      </c>
      <c r="I729" t="n">
        <v>0</v>
      </c>
      <c r="J729" t="n">
        <v>0</v>
      </c>
      <c r="K729" t="n">
        <v>0</v>
      </c>
      <c r="L729" t="n">
        <v>0</v>
      </c>
      <c r="M729" t="n">
        <v>0</v>
      </c>
      <c r="N729" t="n">
        <v>0</v>
      </c>
      <c r="O729" t="n">
        <v>0</v>
      </c>
      <c r="P729" t="n">
        <v>0</v>
      </c>
      <c r="Q729" t="n">
        <v>0</v>
      </c>
      <c r="R729" s="2" t="inlineStr"/>
    </row>
    <row r="730" ht="15" customHeight="1">
      <c r="A730" t="inlineStr">
        <is>
          <t>A 30971-2025</t>
        </is>
      </c>
      <c r="B730" s="1" t="n">
        <v>45832.46146990741</v>
      </c>
      <c r="C730" s="1" t="n">
        <v>46189</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59579-2025</t>
        </is>
      </c>
      <c r="B731" s="1" t="n">
        <v>45992.30569444445</v>
      </c>
      <c r="C731" s="1" t="n">
        <v>46189</v>
      </c>
      <c r="D731" t="inlineStr">
        <is>
          <t>KALMAR LÄN</t>
        </is>
      </c>
      <c r="E731" t="inlineStr">
        <is>
          <t>VIMMERBY</t>
        </is>
      </c>
      <c r="G731" t="n">
        <v>1.3</v>
      </c>
      <c r="H731" t="n">
        <v>0</v>
      </c>
      <c r="I731" t="n">
        <v>0</v>
      </c>
      <c r="J731" t="n">
        <v>0</v>
      </c>
      <c r="K731" t="n">
        <v>0</v>
      </c>
      <c r="L731" t="n">
        <v>0</v>
      </c>
      <c r="M731" t="n">
        <v>0</v>
      </c>
      <c r="N731" t="n">
        <v>0</v>
      </c>
      <c r="O731" t="n">
        <v>0</v>
      </c>
      <c r="P731" t="n">
        <v>0</v>
      </c>
      <c r="Q731" t="n">
        <v>0</v>
      </c>
      <c r="R731" s="2" t="inlineStr"/>
    </row>
    <row r="732" ht="15" customHeight="1">
      <c r="A732" t="inlineStr">
        <is>
          <t>A 37088-2025</t>
        </is>
      </c>
      <c r="B732" s="1" t="n">
        <v>45875.45716435185</v>
      </c>
      <c r="C732" s="1" t="n">
        <v>46189</v>
      </c>
      <c r="D732" t="inlineStr">
        <is>
          <t>KALMAR LÄN</t>
        </is>
      </c>
      <c r="E732" t="inlineStr">
        <is>
          <t>VIMMERBY</t>
        </is>
      </c>
      <c r="G732" t="n">
        <v>1.3</v>
      </c>
      <c r="H732" t="n">
        <v>0</v>
      </c>
      <c r="I732" t="n">
        <v>0</v>
      </c>
      <c r="J732" t="n">
        <v>0</v>
      </c>
      <c r="K732" t="n">
        <v>0</v>
      </c>
      <c r="L732" t="n">
        <v>0</v>
      </c>
      <c r="M732" t="n">
        <v>0</v>
      </c>
      <c r="N732" t="n">
        <v>0</v>
      </c>
      <c r="O732" t="n">
        <v>0</v>
      </c>
      <c r="P732" t="n">
        <v>0</v>
      </c>
      <c r="Q732" t="n">
        <v>0</v>
      </c>
      <c r="R732" s="2" t="inlineStr"/>
    </row>
    <row r="733" ht="15" customHeight="1">
      <c r="A733" t="inlineStr">
        <is>
          <t>A 37102-2025</t>
        </is>
      </c>
      <c r="B733" s="1" t="n">
        <v>45875.47454861111</v>
      </c>
      <c r="C733" s="1" t="n">
        <v>46189</v>
      </c>
      <c r="D733" t="inlineStr">
        <is>
          <t>KALMAR LÄN</t>
        </is>
      </c>
      <c r="E733" t="inlineStr">
        <is>
          <t>VIMMERBY</t>
        </is>
      </c>
      <c r="G733" t="n">
        <v>1.3</v>
      </c>
      <c r="H733" t="n">
        <v>0</v>
      </c>
      <c r="I733" t="n">
        <v>0</v>
      </c>
      <c r="J733" t="n">
        <v>0</v>
      </c>
      <c r="K733" t="n">
        <v>0</v>
      </c>
      <c r="L733" t="n">
        <v>0</v>
      </c>
      <c r="M733" t="n">
        <v>0</v>
      </c>
      <c r="N733" t="n">
        <v>0</v>
      </c>
      <c r="O733" t="n">
        <v>0</v>
      </c>
      <c r="P733" t="n">
        <v>0</v>
      </c>
      <c r="Q733" t="n">
        <v>0</v>
      </c>
      <c r="R733" s="2" t="inlineStr"/>
    </row>
    <row r="734" ht="15" customHeight="1">
      <c r="A734" t="inlineStr">
        <is>
          <t>A 8559-2025</t>
        </is>
      </c>
      <c r="B734" s="1" t="n">
        <v>45709.62280092593</v>
      </c>
      <c r="C734" s="1" t="n">
        <v>46189</v>
      </c>
      <c r="D734" t="inlineStr">
        <is>
          <t>KALMAR LÄN</t>
        </is>
      </c>
      <c r="E734" t="inlineStr">
        <is>
          <t>VIMMERBY</t>
        </is>
      </c>
      <c r="G734" t="n">
        <v>8.9</v>
      </c>
      <c r="H734" t="n">
        <v>0</v>
      </c>
      <c r="I734" t="n">
        <v>0</v>
      </c>
      <c r="J734" t="n">
        <v>0</v>
      </c>
      <c r="K734" t="n">
        <v>0</v>
      </c>
      <c r="L734" t="n">
        <v>0</v>
      </c>
      <c r="M734" t="n">
        <v>0</v>
      </c>
      <c r="N734" t="n">
        <v>0</v>
      </c>
      <c r="O734" t="n">
        <v>0</v>
      </c>
      <c r="P734" t="n">
        <v>0</v>
      </c>
      <c r="Q734" t="n">
        <v>0</v>
      </c>
      <c r="R734" s="2" t="inlineStr"/>
    </row>
    <row r="735" ht="15" customHeight="1">
      <c r="A735" t="inlineStr">
        <is>
          <t>A 19111-2025</t>
        </is>
      </c>
      <c r="B735" s="1" t="n">
        <v>45768.65611111111</v>
      </c>
      <c r="C735" s="1" t="n">
        <v>46189</v>
      </c>
      <c r="D735" t="inlineStr">
        <is>
          <t>KALMAR LÄN</t>
        </is>
      </c>
      <c r="E735" t="inlineStr">
        <is>
          <t>VIMMERBY</t>
        </is>
      </c>
      <c r="G735" t="n">
        <v>6.2</v>
      </c>
      <c r="H735" t="n">
        <v>0</v>
      </c>
      <c r="I735" t="n">
        <v>0</v>
      </c>
      <c r="J735" t="n">
        <v>0</v>
      </c>
      <c r="K735" t="n">
        <v>0</v>
      </c>
      <c r="L735" t="n">
        <v>0</v>
      </c>
      <c r="M735" t="n">
        <v>0</v>
      </c>
      <c r="N735" t="n">
        <v>0</v>
      </c>
      <c r="O735" t="n">
        <v>0</v>
      </c>
      <c r="P735" t="n">
        <v>0</v>
      </c>
      <c r="Q735" t="n">
        <v>0</v>
      </c>
      <c r="R735" s="2" t="inlineStr"/>
    </row>
    <row r="736" ht="15" customHeight="1">
      <c r="A736" t="inlineStr">
        <is>
          <t>A 31551-2025</t>
        </is>
      </c>
      <c r="B736" s="1" t="n">
        <v>45833.64237268519</v>
      </c>
      <c r="C736" s="1" t="n">
        <v>46189</v>
      </c>
      <c r="D736" t="inlineStr">
        <is>
          <t>KALMAR LÄN</t>
        </is>
      </c>
      <c r="E736" t="inlineStr">
        <is>
          <t>VIMMERBY</t>
        </is>
      </c>
      <c r="G736" t="n">
        <v>1.9</v>
      </c>
      <c r="H736" t="n">
        <v>0</v>
      </c>
      <c r="I736" t="n">
        <v>0</v>
      </c>
      <c r="J736" t="n">
        <v>0</v>
      </c>
      <c r="K736" t="n">
        <v>0</v>
      </c>
      <c r="L736" t="n">
        <v>0</v>
      </c>
      <c r="M736" t="n">
        <v>0</v>
      </c>
      <c r="N736" t="n">
        <v>0</v>
      </c>
      <c r="O736" t="n">
        <v>0</v>
      </c>
      <c r="P736" t="n">
        <v>0</v>
      </c>
      <c r="Q736" t="n">
        <v>0</v>
      </c>
      <c r="R736" s="2" t="inlineStr"/>
    </row>
    <row r="737" ht="15" customHeight="1">
      <c r="A737" t="inlineStr">
        <is>
          <t>A 32116-2025</t>
        </is>
      </c>
      <c r="B737" s="1" t="n">
        <v>45835.48862268519</v>
      </c>
      <c r="C737" s="1" t="n">
        <v>46189</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23394-2025</t>
        </is>
      </c>
      <c r="B738" s="1" t="n">
        <v>45791.89865740741</v>
      </c>
      <c r="C738" s="1" t="n">
        <v>46189</v>
      </c>
      <c r="D738" t="inlineStr">
        <is>
          <t>KALMAR LÄN</t>
        </is>
      </c>
      <c r="E738" t="inlineStr">
        <is>
          <t>VIMMERBY</t>
        </is>
      </c>
      <c r="G738" t="n">
        <v>3.1</v>
      </c>
      <c r="H738" t="n">
        <v>0</v>
      </c>
      <c r="I738" t="n">
        <v>0</v>
      </c>
      <c r="J738" t="n">
        <v>0</v>
      </c>
      <c r="K738" t="n">
        <v>0</v>
      </c>
      <c r="L738" t="n">
        <v>0</v>
      </c>
      <c r="M738" t="n">
        <v>0</v>
      </c>
      <c r="N738" t="n">
        <v>0</v>
      </c>
      <c r="O738" t="n">
        <v>0</v>
      </c>
      <c r="P738" t="n">
        <v>0</v>
      </c>
      <c r="Q738" t="n">
        <v>0</v>
      </c>
      <c r="R738" s="2" t="inlineStr"/>
    </row>
    <row r="739" ht="15" customHeight="1">
      <c r="A739" t="inlineStr">
        <is>
          <t>A 32380-2025</t>
        </is>
      </c>
      <c r="B739" s="1" t="n">
        <v>45837.77701388889</v>
      </c>
      <c r="C739" s="1" t="n">
        <v>46189</v>
      </c>
      <c r="D739" t="inlineStr">
        <is>
          <t>KALMAR LÄN</t>
        </is>
      </c>
      <c r="E739" t="inlineStr">
        <is>
          <t>VIMMERBY</t>
        </is>
      </c>
      <c r="G739" t="n">
        <v>3.1</v>
      </c>
      <c r="H739" t="n">
        <v>0</v>
      </c>
      <c r="I739" t="n">
        <v>0</v>
      </c>
      <c r="J739" t="n">
        <v>0</v>
      </c>
      <c r="K739" t="n">
        <v>0</v>
      </c>
      <c r="L739" t="n">
        <v>0</v>
      </c>
      <c r="M739" t="n">
        <v>0</v>
      </c>
      <c r="N739" t="n">
        <v>0</v>
      </c>
      <c r="O739" t="n">
        <v>0</v>
      </c>
      <c r="P739" t="n">
        <v>0</v>
      </c>
      <c r="Q739" t="n">
        <v>0</v>
      </c>
      <c r="R739" s="2" t="inlineStr"/>
    </row>
    <row r="740" ht="15" customHeight="1">
      <c r="A740" t="inlineStr">
        <is>
          <t>A 32077-2025</t>
        </is>
      </c>
      <c r="B740" s="1" t="n">
        <v>45835.45099537037</v>
      </c>
      <c r="C740" s="1" t="n">
        <v>46189</v>
      </c>
      <c r="D740" t="inlineStr">
        <is>
          <t>KALMAR LÄN</t>
        </is>
      </c>
      <c r="E740" t="inlineStr">
        <is>
          <t>VIMMERBY</t>
        </is>
      </c>
      <c r="G740" t="n">
        <v>1.8</v>
      </c>
      <c r="H740" t="n">
        <v>0</v>
      </c>
      <c r="I740" t="n">
        <v>0</v>
      </c>
      <c r="J740" t="n">
        <v>0</v>
      </c>
      <c r="K740" t="n">
        <v>0</v>
      </c>
      <c r="L740" t="n">
        <v>0</v>
      </c>
      <c r="M740" t="n">
        <v>0</v>
      </c>
      <c r="N740" t="n">
        <v>0</v>
      </c>
      <c r="O740" t="n">
        <v>0</v>
      </c>
      <c r="P740" t="n">
        <v>0</v>
      </c>
      <c r="Q740" t="n">
        <v>0</v>
      </c>
      <c r="R740" s="2" t="inlineStr"/>
    </row>
    <row r="741" ht="15" customHeight="1">
      <c r="A741" t="inlineStr">
        <is>
          <t>A 33186-2025</t>
        </is>
      </c>
      <c r="B741" s="1" t="n">
        <v>45840.59474537037</v>
      </c>
      <c r="C741" s="1" t="n">
        <v>46189</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30977-2025</t>
        </is>
      </c>
      <c r="B742" s="1" t="n">
        <v>45832.46649305556</v>
      </c>
      <c r="C742" s="1" t="n">
        <v>46189</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28702-2025</t>
        </is>
      </c>
      <c r="B743" s="1" t="n">
        <v>45820.03976851852</v>
      </c>
      <c r="C743" s="1" t="n">
        <v>46189</v>
      </c>
      <c r="D743" t="inlineStr">
        <is>
          <t>KALMAR LÄN</t>
        </is>
      </c>
      <c r="E743" t="inlineStr">
        <is>
          <t>VIMMERBY</t>
        </is>
      </c>
      <c r="G743" t="n">
        <v>2.1</v>
      </c>
      <c r="H743" t="n">
        <v>0</v>
      </c>
      <c r="I743" t="n">
        <v>0</v>
      </c>
      <c r="J743" t="n">
        <v>0</v>
      </c>
      <c r="K743" t="n">
        <v>0</v>
      </c>
      <c r="L743" t="n">
        <v>0</v>
      </c>
      <c r="M743" t="n">
        <v>0</v>
      </c>
      <c r="N743" t="n">
        <v>0</v>
      </c>
      <c r="O743" t="n">
        <v>0</v>
      </c>
      <c r="P743" t="n">
        <v>0</v>
      </c>
      <c r="Q743" t="n">
        <v>0</v>
      </c>
      <c r="R743" s="2" t="inlineStr"/>
    </row>
    <row r="744" ht="15" customHeight="1">
      <c r="A744" t="inlineStr">
        <is>
          <t>A 26768-2026</t>
        </is>
      </c>
      <c r="B744" s="1" t="n">
        <v>46184.6465625</v>
      </c>
      <c r="C744" s="1" t="n">
        <v>46189</v>
      </c>
      <c r="D744" t="inlineStr">
        <is>
          <t>KALMAR LÄN</t>
        </is>
      </c>
      <c r="E744" t="inlineStr">
        <is>
          <t>VIMMERBY</t>
        </is>
      </c>
      <c r="G744" t="n">
        <v>1.7</v>
      </c>
      <c r="H744" t="n">
        <v>0</v>
      </c>
      <c r="I744" t="n">
        <v>0</v>
      </c>
      <c r="J744" t="n">
        <v>0</v>
      </c>
      <c r="K744" t="n">
        <v>0</v>
      </c>
      <c r="L744" t="n">
        <v>0</v>
      </c>
      <c r="M744" t="n">
        <v>0</v>
      </c>
      <c r="N744" t="n">
        <v>0</v>
      </c>
      <c r="O744" t="n">
        <v>0</v>
      </c>
      <c r="P744" t="n">
        <v>0</v>
      </c>
      <c r="Q744" t="n">
        <v>0</v>
      </c>
      <c r="R744" s="2" t="inlineStr"/>
    </row>
    <row r="745" ht="15" customHeight="1">
      <c r="A745" t="inlineStr">
        <is>
          <t>A 26956-2025</t>
        </is>
      </c>
      <c r="B745" s="1" t="n">
        <v>45811.45460648148</v>
      </c>
      <c r="C745" s="1" t="n">
        <v>46189</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26722-2026</t>
        </is>
      </c>
      <c r="B746" s="1" t="n">
        <v>46184.53325231482</v>
      </c>
      <c r="C746" s="1" t="n">
        <v>46189</v>
      </c>
      <c r="D746" t="inlineStr">
        <is>
          <t>KALMAR LÄN</t>
        </is>
      </c>
      <c r="E746" t="inlineStr">
        <is>
          <t>VIMMERBY</t>
        </is>
      </c>
      <c r="G746" t="n">
        <v>1.8</v>
      </c>
      <c r="H746" t="n">
        <v>0</v>
      </c>
      <c r="I746" t="n">
        <v>0</v>
      </c>
      <c r="J746" t="n">
        <v>0</v>
      </c>
      <c r="K746" t="n">
        <v>0</v>
      </c>
      <c r="L746" t="n">
        <v>0</v>
      </c>
      <c r="M746" t="n">
        <v>0</v>
      </c>
      <c r="N746" t="n">
        <v>0</v>
      </c>
      <c r="O746" t="n">
        <v>0</v>
      </c>
      <c r="P746" t="n">
        <v>0</v>
      </c>
      <c r="Q746" t="n">
        <v>0</v>
      </c>
      <c r="R746" s="2" t="inlineStr"/>
    </row>
    <row r="747" ht="15" customHeight="1">
      <c r="A747" t="inlineStr">
        <is>
          <t>A 26734-2026</t>
        </is>
      </c>
      <c r="B747" s="1" t="n">
        <v>46184.58476851852</v>
      </c>
      <c r="C747" s="1" t="n">
        <v>46189</v>
      </c>
      <c r="D747" t="inlineStr">
        <is>
          <t>KALMAR LÄN</t>
        </is>
      </c>
      <c r="E747" t="inlineStr">
        <is>
          <t>VIMMERBY</t>
        </is>
      </c>
      <c r="G747" t="n">
        <v>2.6</v>
      </c>
      <c r="H747" t="n">
        <v>0</v>
      </c>
      <c r="I747" t="n">
        <v>0</v>
      </c>
      <c r="J747" t="n">
        <v>0</v>
      </c>
      <c r="K747" t="n">
        <v>0</v>
      </c>
      <c r="L747" t="n">
        <v>0</v>
      </c>
      <c r="M747" t="n">
        <v>0</v>
      </c>
      <c r="N747" t="n">
        <v>0</v>
      </c>
      <c r="O747" t="n">
        <v>0</v>
      </c>
      <c r="P747" t="n">
        <v>0</v>
      </c>
      <c r="Q747" t="n">
        <v>0</v>
      </c>
      <c r="R747" s="2" t="inlineStr"/>
    </row>
    <row r="748" ht="15" customHeight="1">
      <c r="A748" t="inlineStr">
        <is>
          <t>A 34628-2025</t>
        </is>
      </c>
      <c r="B748" s="1" t="n">
        <v>45847.91280092593</v>
      </c>
      <c r="C748" s="1" t="n">
        <v>46189</v>
      </c>
      <c r="D748" t="inlineStr">
        <is>
          <t>KALMAR LÄN</t>
        </is>
      </c>
      <c r="E748" t="inlineStr">
        <is>
          <t>VIMMERBY</t>
        </is>
      </c>
      <c r="G748" t="n">
        <v>4.2</v>
      </c>
      <c r="H748" t="n">
        <v>0</v>
      </c>
      <c r="I748" t="n">
        <v>0</v>
      </c>
      <c r="J748" t="n">
        <v>0</v>
      </c>
      <c r="K748" t="n">
        <v>0</v>
      </c>
      <c r="L748" t="n">
        <v>0</v>
      </c>
      <c r="M748" t="n">
        <v>0</v>
      </c>
      <c r="N748" t="n">
        <v>0</v>
      </c>
      <c r="O748" t="n">
        <v>0</v>
      </c>
      <c r="P748" t="n">
        <v>0</v>
      </c>
      <c r="Q748" t="n">
        <v>0</v>
      </c>
      <c r="R748" s="2" t="inlineStr"/>
    </row>
    <row r="749" ht="15" customHeight="1">
      <c r="A749" t="inlineStr">
        <is>
          <t>A 26462-2026</t>
        </is>
      </c>
      <c r="B749" s="1" t="n">
        <v>46183.49494212963</v>
      </c>
      <c r="C749" s="1" t="n">
        <v>46189</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35271-2025</t>
        </is>
      </c>
      <c r="B750" s="1" t="n">
        <v>45853.87599537037</v>
      </c>
      <c r="C750" s="1" t="n">
        <v>46189</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16953-2025</t>
        </is>
      </c>
      <c r="B751" s="1" t="n">
        <v>45755.44333333334</v>
      </c>
      <c r="C751" s="1" t="n">
        <v>46189</v>
      </c>
      <c r="D751" t="inlineStr">
        <is>
          <t>KALMAR LÄN</t>
        </is>
      </c>
      <c r="E751" t="inlineStr">
        <is>
          <t>VIMMERBY</t>
        </is>
      </c>
      <c r="G751" t="n">
        <v>2</v>
      </c>
      <c r="H751" t="n">
        <v>0</v>
      </c>
      <c r="I751" t="n">
        <v>0</v>
      </c>
      <c r="J751" t="n">
        <v>0</v>
      </c>
      <c r="K751" t="n">
        <v>0</v>
      </c>
      <c r="L751" t="n">
        <v>0</v>
      </c>
      <c r="M751" t="n">
        <v>0</v>
      </c>
      <c r="N751" t="n">
        <v>0</v>
      </c>
      <c r="O751" t="n">
        <v>0</v>
      </c>
      <c r="P751" t="n">
        <v>0</v>
      </c>
      <c r="Q751" t="n">
        <v>0</v>
      </c>
      <c r="R751" s="2" t="inlineStr"/>
    </row>
    <row r="752" ht="15" customHeight="1">
      <c r="A752" t="inlineStr">
        <is>
          <t>A 19502-2025</t>
        </is>
      </c>
      <c r="B752" s="1" t="n">
        <v>45769</v>
      </c>
      <c r="C752" s="1" t="n">
        <v>46189</v>
      </c>
      <c r="D752" t="inlineStr">
        <is>
          <t>KALMAR LÄN</t>
        </is>
      </c>
      <c r="E752" t="inlineStr">
        <is>
          <t>VIMMERBY</t>
        </is>
      </c>
      <c r="G752" t="n">
        <v>1.9</v>
      </c>
      <c r="H752" t="n">
        <v>0</v>
      </c>
      <c r="I752" t="n">
        <v>0</v>
      </c>
      <c r="J752" t="n">
        <v>0</v>
      </c>
      <c r="K752" t="n">
        <v>0</v>
      </c>
      <c r="L752" t="n">
        <v>0</v>
      </c>
      <c r="M752" t="n">
        <v>0</v>
      </c>
      <c r="N752" t="n">
        <v>0</v>
      </c>
      <c r="O752" t="n">
        <v>0</v>
      </c>
      <c r="P752" t="n">
        <v>0</v>
      </c>
      <c r="Q752" t="n">
        <v>0</v>
      </c>
      <c r="R752" s="2" t="inlineStr"/>
    </row>
    <row r="753" ht="15" customHeight="1">
      <c r="A753" t="inlineStr">
        <is>
          <t>A 36299-2025</t>
        </is>
      </c>
      <c r="B753" s="1" t="n">
        <v>45867.69346064814</v>
      </c>
      <c r="C753" s="1" t="n">
        <v>46189</v>
      </c>
      <c r="D753" t="inlineStr">
        <is>
          <t>KALMAR LÄN</t>
        </is>
      </c>
      <c r="E753" t="inlineStr">
        <is>
          <t>VIMMERBY</t>
        </is>
      </c>
      <c r="G753" t="n">
        <v>7.6</v>
      </c>
      <c r="H753" t="n">
        <v>0</v>
      </c>
      <c r="I753" t="n">
        <v>0</v>
      </c>
      <c r="J753" t="n">
        <v>0</v>
      </c>
      <c r="K753" t="n">
        <v>0</v>
      </c>
      <c r="L753" t="n">
        <v>0</v>
      </c>
      <c r="M753" t="n">
        <v>0</v>
      </c>
      <c r="N753" t="n">
        <v>0</v>
      </c>
      <c r="O753" t="n">
        <v>0</v>
      </c>
      <c r="P753" t="n">
        <v>0</v>
      </c>
      <c r="Q753" t="n">
        <v>0</v>
      </c>
      <c r="R753" s="2" t="inlineStr"/>
    </row>
    <row r="754" ht="15" customHeight="1">
      <c r="A754" t="inlineStr">
        <is>
          <t>A 36297-2025</t>
        </is>
      </c>
      <c r="B754" s="1" t="n">
        <v>45867.68625</v>
      </c>
      <c r="C754" s="1" t="n">
        <v>46189</v>
      </c>
      <c r="D754" t="inlineStr">
        <is>
          <t>KALMAR LÄN</t>
        </is>
      </c>
      <c r="E754" t="inlineStr">
        <is>
          <t>VIMMERBY</t>
        </is>
      </c>
      <c r="G754" t="n">
        <v>4.9</v>
      </c>
      <c r="H754" t="n">
        <v>0</v>
      </c>
      <c r="I754" t="n">
        <v>0</v>
      </c>
      <c r="J754" t="n">
        <v>0</v>
      </c>
      <c r="K754" t="n">
        <v>0</v>
      </c>
      <c r="L754" t="n">
        <v>0</v>
      </c>
      <c r="M754" t="n">
        <v>0</v>
      </c>
      <c r="N754" t="n">
        <v>0</v>
      </c>
      <c r="O754" t="n">
        <v>0</v>
      </c>
      <c r="P754" t="n">
        <v>0</v>
      </c>
      <c r="Q754" t="n">
        <v>0</v>
      </c>
      <c r="R754" s="2" t="inlineStr"/>
    </row>
    <row r="755" ht="15" customHeight="1">
      <c r="A755" t="inlineStr">
        <is>
          <t>A 36246-2025</t>
        </is>
      </c>
      <c r="B755" s="1" t="n">
        <v>45867.56320601852</v>
      </c>
      <c r="C755" s="1" t="n">
        <v>46189</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36538-2025</t>
        </is>
      </c>
      <c r="B756" s="1" t="n">
        <v>45869.62276620371</v>
      </c>
      <c r="C756" s="1" t="n">
        <v>46189</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26762-2026</t>
        </is>
      </c>
      <c r="B757" s="1" t="n">
        <v>46184.63865740741</v>
      </c>
      <c r="C757" s="1" t="n">
        <v>46189</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36601-2025</t>
        </is>
      </c>
      <c r="B758" s="1" t="n">
        <v>45870.52005787037</v>
      </c>
      <c r="C758" s="1" t="n">
        <v>46189</v>
      </c>
      <c r="D758" t="inlineStr">
        <is>
          <t>KALMAR LÄN</t>
        </is>
      </c>
      <c r="E758" t="inlineStr">
        <is>
          <t>VIMMERBY</t>
        </is>
      </c>
      <c r="G758" t="n">
        <v>0.5</v>
      </c>
      <c r="H758" t="n">
        <v>0</v>
      </c>
      <c r="I758" t="n">
        <v>0</v>
      </c>
      <c r="J758" t="n">
        <v>0</v>
      </c>
      <c r="K758" t="n">
        <v>0</v>
      </c>
      <c r="L758" t="n">
        <v>0</v>
      </c>
      <c r="M758" t="n">
        <v>0</v>
      </c>
      <c r="N758" t="n">
        <v>0</v>
      </c>
      <c r="O758" t="n">
        <v>0</v>
      </c>
      <c r="P758" t="n">
        <v>0</v>
      </c>
      <c r="Q758" t="n">
        <v>0</v>
      </c>
      <c r="R758" s="2" t="inlineStr"/>
    </row>
    <row r="759" ht="15" customHeight="1">
      <c r="A759" t="inlineStr">
        <is>
          <t>A 36603-2025</t>
        </is>
      </c>
      <c r="B759" s="1" t="n">
        <v>45870.52142361111</v>
      </c>
      <c r="C759" s="1" t="n">
        <v>46189</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26704-2026</t>
        </is>
      </c>
      <c r="B760" s="1" t="n">
        <v>46184.4731712963</v>
      </c>
      <c r="C760" s="1" t="n">
        <v>46189</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37668-2025</t>
        </is>
      </c>
      <c r="B761" s="1" t="n">
        <v>45880.51550925926</v>
      </c>
      <c r="C761" s="1" t="n">
        <v>46189</v>
      </c>
      <c r="D761" t="inlineStr">
        <is>
          <t>KALMAR LÄN</t>
        </is>
      </c>
      <c r="E761" t="inlineStr">
        <is>
          <t>VIMMERBY</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27074-2026</t>
        </is>
      </c>
      <c r="B762" s="1" t="n">
        <v>46186.34061342593</v>
      </c>
      <c r="C762" s="1" t="n">
        <v>46189</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c r="A763" t="inlineStr">
        <is>
          <t>A 37578-2025</t>
        </is>
      </c>
      <c r="B763" s="1" t="n">
        <v>45880.38380787037</v>
      </c>
      <c r="C763" s="1" t="n">
        <v>46189</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2026-06-16T12:58:00Z</dcterms:created>
  <dcterms:modified xmlns:dcterms="http://purl.org/dc/terms/" xmlns:xsi="http://www.w3.org/2001/XMLSchema-instance" xsi:type="dcterms:W3CDTF">2026-06-16T12:58:01Z</dcterms:modified>
</cp:coreProperties>
</file>